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a106246e4b86e0/Documents/"/>
    </mc:Choice>
  </mc:AlternateContent>
  <xr:revisionPtr revIDLastSave="177" documentId="8_{5BA4FB09-3FD3-40DA-97BA-9B70AA4712C9}" xr6:coauthVersionLast="47" xr6:coauthVersionMax="47" xr10:uidLastSave="{298CB6EC-C163-47D9-8124-C447D45C6CEA}"/>
  <bookViews>
    <workbookView xWindow="-108" yWindow="-108" windowWidth="23256" windowHeight="12456" xr2:uid="{9FFB55DD-7F04-409E-91A4-4A315AE35CF5}"/>
  </bookViews>
  <sheets>
    <sheet name="pivot" sheetId="3" r:id="rId1"/>
    <sheet name="Cleaned_orders" sheetId="1" r:id="rId2"/>
  </sheets>
  <calcPr calcId="191029"/>
  <pivotCaches>
    <pivotCache cacheId="28" r:id="rId3"/>
    <pivotCache cacheId="6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933" i="1" l="1"/>
  <c r="AH933" i="1"/>
  <c r="AG933" i="1"/>
  <c r="AF933" i="1"/>
  <c r="AE933" i="1"/>
  <c r="AD933" i="1"/>
  <c r="AC933" i="1"/>
  <c r="AB933" i="1"/>
  <c r="AI932" i="1"/>
  <c r="AH932" i="1"/>
  <c r="AG932" i="1"/>
  <c r="AF932" i="1"/>
  <c r="AE932" i="1"/>
  <c r="AD932" i="1"/>
  <c r="AC932" i="1"/>
  <c r="AB932" i="1"/>
  <c r="AI931" i="1"/>
  <c r="AH931" i="1"/>
  <c r="AG931" i="1"/>
  <c r="AF931" i="1"/>
  <c r="AE931" i="1"/>
  <c r="AD931" i="1"/>
  <c r="AC931" i="1"/>
  <c r="AB931" i="1"/>
  <c r="AI930" i="1"/>
  <c r="AH930" i="1"/>
  <c r="AG930" i="1"/>
  <c r="AF930" i="1"/>
  <c r="AE930" i="1"/>
  <c r="AD930" i="1"/>
  <c r="AC930" i="1"/>
  <c r="AB930" i="1"/>
  <c r="AH929" i="1"/>
  <c r="AG929" i="1"/>
  <c r="AF929" i="1"/>
  <c r="AE929" i="1"/>
  <c r="AD929" i="1"/>
  <c r="AC929" i="1"/>
  <c r="AB929" i="1"/>
  <c r="AI928" i="1"/>
  <c r="AH928" i="1"/>
  <c r="AG928" i="1"/>
  <c r="AF928" i="1"/>
  <c r="AE928" i="1"/>
  <c r="AD928" i="1"/>
  <c r="AC928" i="1"/>
  <c r="AB928" i="1"/>
  <c r="AI927" i="1"/>
  <c r="AH927" i="1"/>
  <c r="AG927" i="1"/>
  <c r="AF927" i="1"/>
  <c r="AE927" i="1"/>
  <c r="AD927" i="1"/>
  <c r="AC927" i="1"/>
  <c r="AB927" i="1"/>
  <c r="AI926" i="1"/>
  <c r="AH926" i="1"/>
  <c r="AG926" i="1"/>
  <c r="AF926" i="1"/>
  <c r="AE926" i="1"/>
  <c r="AD926" i="1"/>
  <c r="AC926" i="1"/>
  <c r="AB926" i="1"/>
  <c r="AI925" i="1"/>
  <c r="AH925" i="1"/>
  <c r="AG925" i="1"/>
  <c r="AF925" i="1"/>
  <c r="AE925" i="1"/>
  <c r="AD925" i="1"/>
  <c r="AC925" i="1"/>
  <c r="AB925" i="1"/>
  <c r="AI924" i="1"/>
  <c r="AH924" i="1"/>
  <c r="AG924" i="1"/>
  <c r="AF924" i="1"/>
  <c r="AE924" i="1"/>
  <c r="AD924" i="1"/>
  <c r="AC924" i="1"/>
  <c r="AB924" i="1"/>
  <c r="AI923" i="1"/>
  <c r="AH923" i="1"/>
  <c r="AG923" i="1"/>
  <c r="AF923" i="1"/>
  <c r="AE923" i="1"/>
  <c r="AD923" i="1"/>
  <c r="AC923" i="1"/>
  <c r="AB923" i="1"/>
  <c r="AI922" i="1"/>
  <c r="AH922" i="1"/>
  <c r="AG922" i="1"/>
  <c r="AF922" i="1"/>
  <c r="AE922" i="1"/>
  <c r="AD922" i="1"/>
  <c r="AC922" i="1"/>
  <c r="AB922" i="1"/>
  <c r="AI921" i="1"/>
  <c r="AH921" i="1"/>
  <c r="AG921" i="1"/>
  <c r="AF921" i="1"/>
  <c r="AE921" i="1"/>
  <c r="AD921" i="1"/>
  <c r="AC921" i="1"/>
  <c r="AB921" i="1"/>
  <c r="AI920" i="1"/>
  <c r="AH920" i="1"/>
  <c r="AG920" i="1"/>
  <c r="AF920" i="1"/>
  <c r="AE920" i="1"/>
  <c r="AD920" i="1"/>
  <c r="AC920" i="1"/>
  <c r="AB920" i="1"/>
  <c r="AI919" i="1"/>
  <c r="AH919" i="1"/>
  <c r="AG919" i="1"/>
  <c r="AF919" i="1"/>
  <c r="AE919" i="1"/>
  <c r="AD919" i="1"/>
  <c r="AC919" i="1"/>
  <c r="AB919" i="1"/>
  <c r="AI918" i="1"/>
  <c r="AH918" i="1"/>
  <c r="AG918" i="1"/>
  <c r="AF918" i="1"/>
  <c r="AE918" i="1"/>
  <c r="AD918" i="1"/>
  <c r="AC918" i="1"/>
  <c r="AB918" i="1"/>
  <c r="AI917" i="1"/>
  <c r="AH917" i="1"/>
  <c r="AG917" i="1"/>
  <c r="AF917" i="1"/>
  <c r="AE917" i="1"/>
  <c r="AD917" i="1"/>
  <c r="AC917" i="1"/>
  <c r="AB917" i="1"/>
  <c r="AI916" i="1"/>
  <c r="AH916" i="1"/>
  <c r="AG916" i="1"/>
  <c r="AF916" i="1"/>
  <c r="AE916" i="1"/>
  <c r="AD916" i="1"/>
  <c r="AC916" i="1"/>
  <c r="AB916" i="1"/>
  <c r="AI915" i="1"/>
  <c r="AH915" i="1"/>
  <c r="AG915" i="1"/>
  <c r="AF915" i="1"/>
  <c r="AE915" i="1"/>
  <c r="AD915" i="1"/>
  <c r="AC915" i="1"/>
  <c r="AB915" i="1"/>
  <c r="AI914" i="1"/>
  <c r="AH914" i="1"/>
  <c r="AG914" i="1"/>
  <c r="AF914" i="1"/>
  <c r="AE914" i="1"/>
  <c r="AD914" i="1"/>
  <c r="AC914" i="1"/>
  <c r="AB914" i="1"/>
  <c r="AI913" i="1"/>
  <c r="AH913" i="1"/>
  <c r="AG913" i="1"/>
  <c r="AF913" i="1"/>
  <c r="AE913" i="1"/>
  <c r="AD913" i="1"/>
  <c r="AC913" i="1"/>
  <c r="AB913" i="1"/>
  <c r="AI912" i="1"/>
  <c r="AH912" i="1"/>
  <c r="AG912" i="1"/>
  <c r="AF912" i="1"/>
  <c r="AE912" i="1"/>
  <c r="AD912" i="1"/>
  <c r="AC912" i="1"/>
  <c r="AB912" i="1"/>
  <c r="AI911" i="1"/>
  <c r="AH911" i="1"/>
  <c r="AG911" i="1"/>
  <c r="AF911" i="1"/>
  <c r="AE911" i="1"/>
  <c r="AD911" i="1"/>
  <c r="AC911" i="1"/>
  <c r="AB911" i="1"/>
  <c r="AI910" i="1"/>
  <c r="AH910" i="1"/>
  <c r="AG910" i="1"/>
  <c r="AF910" i="1"/>
  <c r="AE910" i="1"/>
  <c r="AD910" i="1"/>
  <c r="AC910" i="1"/>
  <c r="AB910" i="1"/>
  <c r="AI909" i="1"/>
  <c r="AH909" i="1"/>
  <c r="AG909" i="1"/>
  <c r="AF909" i="1"/>
  <c r="AE909" i="1"/>
  <c r="AD909" i="1"/>
  <c r="AC909" i="1"/>
  <c r="AB909" i="1"/>
  <c r="AI908" i="1"/>
  <c r="AH908" i="1"/>
  <c r="AG908" i="1"/>
  <c r="AF908" i="1"/>
  <c r="AE908" i="1"/>
  <c r="AD908" i="1"/>
  <c r="AC908" i="1"/>
  <c r="AB908" i="1"/>
  <c r="AI907" i="1"/>
  <c r="AH907" i="1"/>
  <c r="AG907" i="1"/>
  <c r="AF907" i="1"/>
  <c r="AE907" i="1"/>
  <c r="AD907" i="1"/>
  <c r="AC907" i="1"/>
  <c r="AB907" i="1"/>
  <c r="AI906" i="1"/>
  <c r="AH906" i="1"/>
  <c r="AG906" i="1"/>
  <c r="AF906" i="1"/>
  <c r="AE906" i="1"/>
  <c r="AD906" i="1"/>
  <c r="AB906" i="1"/>
  <c r="AH905" i="1"/>
  <c r="AG905" i="1"/>
  <c r="AF905" i="1"/>
  <c r="AE905" i="1"/>
  <c r="AD905" i="1"/>
  <c r="AC905" i="1"/>
  <c r="AB905" i="1"/>
  <c r="AI904" i="1"/>
  <c r="AH904" i="1"/>
  <c r="AG904" i="1"/>
  <c r="AF904" i="1"/>
  <c r="AE904" i="1"/>
  <c r="AD904" i="1"/>
  <c r="AC904" i="1"/>
  <c r="AB904" i="1"/>
  <c r="AI903" i="1"/>
  <c r="AH903" i="1"/>
  <c r="AG903" i="1"/>
  <c r="AF903" i="1"/>
  <c r="AE903" i="1"/>
  <c r="AD903" i="1"/>
  <c r="AC903" i="1"/>
  <c r="AB903" i="1"/>
  <c r="AI902" i="1"/>
  <c r="AH902" i="1"/>
  <c r="AG902" i="1"/>
  <c r="AF902" i="1"/>
  <c r="AE902" i="1"/>
  <c r="AD902" i="1"/>
  <c r="AC902" i="1"/>
  <c r="AB902" i="1"/>
  <c r="AI901" i="1"/>
  <c r="AH901" i="1"/>
  <c r="AG901" i="1"/>
  <c r="AF901" i="1"/>
  <c r="AE901" i="1"/>
  <c r="AD901" i="1"/>
  <c r="AC901" i="1"/>
  <c r="AB901" i="1"/>
  <c r="AI900" i="1"/>
  <c r="AH900" i="1"/>
  <c r="AG900" i="1"/>
  <c r="AF900" i="1"/>
  <c r="AE900" i="1"/>
  <c r="AD900" i="1"/>
  <c r="AC900" i="1"/>
  <c r="AB900" i="1"/>
  <c r="AI899" i="1"/>
  <c r="AH899" i="1"/>
  <c r="AG899" i="1"/>
  <c r="AF899" i="1"/>
  <c r="AE899" i="1"/>
  <c r="AD899" i="1"/>
  <c r="AC899" i="1"/>
  <c r="AB899" i="1"/>
  <c r="AI898" i="1"/>
  <c r="AH898" i="1"/>
  <c r="AG898" i="1"/>
  <c r="AF898" i="1"/>
  <c r="AE898" i="1"/>
  <c r="AD898" i="1"/>
  <c r="AC898" i="1"/>
  <c r="AB898" i="1"/>
  <c r="AI897" i="1"/>
  <c r="AH897" i="1"/>
  <c r="AG897" i="1"/>
  <c r="AF897" i="1"/>
  <c r="AE897" i="1"/>
  <c r="AD897" i="1"/>
  <c r="AC897" i="1"/>
  <c r="AB897" i="1"/>
  <c r="AI896" i="1"/>
  <c r="AH896" i="1"/>
  <c r="AG896" i="1"/>
  <c r="AF896" i="1"/>
  <c r="AE896" i="1"/>
  <c r="AD896" i="1"/>
  <c r="AC896" i="1"/>
  <c r="AB896" i="1"/>
  <c r="AI895" i="1"/>
  <c r="AH895" i="1"/>
  <c r="AG895" i="1"/>
  <c r="AF895" i="1"/>
  <c r="AE895" i="1"/>
  <c r="AD895" i="1"/>
  <c r="AC895" i="1"/>
  <c r="AB895" i="1"/>
  <c r="AI894" i="1"/>
  <c r="AH894" i="1"/>
  <c r="AG894" i="1"/>
  <c r="AF894" i="1"/>
  <c r="AE894" i="1"/>
  <c r="AD894" i="1"/>
  <c r="AC894" i="1"/>
  <c r="AB894" i="1"/>
  <c r="AI893" i="1"/>
  <c r="AH893" i="1"/>
  <c r="AG893" i="1"/>
  <c r="AF893" i="1"/>
  <c r="AE893" i="1"/>
  <c r="AD893" i="1"/>
  <c r="AC893" i="1"/>
  <c r="AB893" i="1"/>
  <c r="AI892" i="1"/>
  <c r="AH892" i="1"/>
  <c r="AG892" i="1"/>
  <c r="AF892" i="1"/>
  <c r="AE892" i="1"/>
  <c r="AD892" i="1"/>
  <c r="AC892" i="1"/>
  <c r="AB892" i="1"/>
  <c r="AI891" i="1"/>
  <c r="AH891" i="1"/>
  <c r="AG891" i="1"/>
  <c r="AF891" i="1"/>
  <c r="AE891" i="1"/>
  <c r="AD891" i="1"/>
  <c r="AC891" i="1"/>
  <c r="AB891" i="1"/>
  <c r="AI890" i="1"/>
  <c r="AH890" i="1"/>
  <c r="AG890" i="1"/>
  <c r="AF890" i="1"/>
  <c r="AE890" i="1"/>
  <c r="AD890" i="1"/>
  <c r="AC890" i="1"/>
  <c r="AB890" i="1"/>
  <c r="AI889" i="1"/>
  <c r="AH889" i="1"/>
  <c r="AG889" i="1"/>
  <c r="AF889" i="1"/>
  <c r="AE889" i="1"/>
  <c r="AD889" i="1"/>
  <c r="AC889" i="1"/>
  <c r="AB889" i="1"/>
  <c r="AI888" i="1"/>
  <c r="AH888" i="1"/>
  <c r="AG888" i="1"/>
  <c r="AF888" i="1"/>
  <c r="AE888" i="1"/>
  <c r="AD888" i="1"/>
  <c r="AC888" i="1"/>
  <c r="AB888" i="1"/>
  <c r="AI887" i="1"/>
  <c r="AH887" i="1"/>
  <c r="AG887" i="1"/>
  <c r="AF887" i="1"/>
  <c r="AE887" i="1"/>
  <c r="AD887" i="1"/>
  <c r="AC887" i="1"/>
  <c r="AB887" i="1"/>
  <c r="AI886" i="1"/>
  <c r="AH886" i="1"/>
  <c r="AG886" i="1"/>
  <c r="AF886" i="1"/>
  <c r="AE886" i="1"/>
  <c r="AD886" i="1"/>
  <c r="AC886" i="1"/>
  <c r="AB886" i="1"/>
  <c r="AI885" i="1"/>
  <c r="AH885" i="1"/>
  <c r="AG885" i="1"/>
  <c r="AF885" i="1"/>
  <c r="AE885" i="1"/>
  <c r="AD885" i="1"/>
  <c r="AC885" i="1"/>
  <c r="AB885" i="1"/>
  <c r="AI884" i="1"/>
  <c r="AH884" i="1"/>
  <c r="AG884" i="1"/>
  <c r="AF884" i="1"/>
  <c r="AE884" i="1"/>
  <c r="AD884" i="1"/>
  <c r="AC884" i="1"/>
  <c r="AB884" i="1"/>
  <c r="AI883" i="1"/>
  <c r="AH883" i="1"/>
  <c r="AG883" i="1"/>
  <c r="AF883" i="1"/>
  <c r="AE883" i="1"/>
  <c r="AD883" i="1"/>
  <c r="AC883" i="1"/>
  <c r="AB883" i="1"/>
  <c r="AI882" i="1"/>
  <c r="AH882" i="1"/>
  <c r="AG882" i="1"/>
  <c r="AF882" i="1"/>
  <c r="AE882" i="1"/>
  <c r="AD882" i="1"/>
  <c r="AB882" i="1"/>
  <c r="AI881" i="1"/>
  <c r="AH881" i="1"/>
  <c r="AG881" i="1"/>
  <c r="AF881" i="1"/>
  <c r="AE881" i="1"/>
  <c r="AD881" i="1"/>
  <c r="AC881" i="1"/>
  <c r="AB881" i="1"/>
  <c r="AI880" i="1"/>
  <c r="AH880" i="1"/>
  <c r="AG880" i="1"/>
  <c r="AF880" i="1"/>
  <c r="AE880" i="1"/>
  <c r="AD880" i="1"/>
  <c r="AC880" i="1"/>
  <c r="AB880" i="1"/>
  <c r="AI879" i="1"/>
  <c r="AH879" i="1"/>
  <c r="AG879" i="1"/>
  <c r="AF879" i="1"/>
  <c r="AE879" i="1"/>
  <c r="AD879" i="1"/>
  <c r="AC879" i="1"/>
  <c r="AB879" i="1"/>
  <c r="AI878" i="1"/>
  <c r="AH878" i="1"/>
  <c r="AG878" i="1"/>
  <c r="AF878" i="1"/>
  <c r="AE878" i="1"/>
  <c r="AD878" i="1"/>
  <c r="AC878" i="1"/>
  <c r="AB878" i="1"/>
  <c r="AI877" i="1"/>
  <c r="AH877" i="1"/>
  <c r="AG877" i="1"/>
  <c r="AF877" i="1"/>
  <c r="AE877" i="1"/>
  <c r="AD877" i="1"/>
  <c r="AC877" i="1"/>
  <c r="AB877" i="1"/>
  <c r="AI876" i="1"/>
  <c r="AH876" i="1"/>
  <c r="AG876" i="1"/>
  <c r="AF876" i="1"/>
  <c r="AE876" i="1"/>
  <c r="AD876" i="1"/>
  <c r="AC876" i="1"/>
  <c r="AB876" i="1"/>
  <c r="AI875" i="1"/>
  <c r="AH875" i="1"/>
  <c r="AG875" i="1"/>
  <c r="AF875" i="1"/>
  <c r="AE875" i="1"/>
  <c r="AD875" i="1"/>
  <c r="AC875" i="1"/>
  <c r="AB875" i="1"/>
  <c r="AI874" i="1"/>
  <c r="AH874" i="1"/>
  <c r="AG874" i="1"/>
  <c r="AF874" i="1"/>
  <c r="AE874" i="1"/>
  <c r="AD874" i="1"/>
  <c r="AC874" i="1"/>
  <c r="AB874" i="1"/>
  <c r="AI873" i="1"/>
  <c r="AH873" i="1"/>
  <c r="AG873" i="1"/>
  <c r="AF873" i="1"/>
  <c r="AE873" i="1"/>
  <c r="AD873" i="1"/>
  <c r="AC873" i="1"/>
  <c r="AB873" i="1"/>
  <c r="AI872" i="1"/>
  <c r="AH872" i="1"/>
  <c r="AG872" i="1"/>
  <c r="AF872" i="1"/>
  <c r="AE872" i="1"/>
  <c r="AD872" i="1"/>
  <c r="AC872" i="1"/>
  <c r="AB872" i="1"/>
  <c r="AI871" i="1"/>
  <c r="AH871" i="1"/>
  <c r="AG871" i="1"/>
  <c r="AF871" i="1"/>
  <c r="AE871" i="1"/>
  <c r="AD871" i="1"/>
  <c r="AB871" i="1"/>
  <c r="AI870" i="1"/>
  <c r="AH870" i="1"/>
  <c r="AG870" i="1"/>
  <c r="AF870" i="1"/>
  <c r="AE870" i="1"/>
  <c r="AD870" i="1"/>
  <c r="AC870" i="1"/>
  <c r="AB870" i="1"/>
  <c r="AI869" i="1"/>
  <c r="AH869" i="1"/>
  <c r="AG869" i="1"/>
  <c r="AF869" i="1"/>
  <c r="AE869" i="1"/>
  <c r="AD869" i="1"/>
  <c r="AC869" i="1"/>
  <c r="AB869" i="1"/>
  <c r="AI868" i="1"/>
  <c r="AH868" i="1"/>
  <c r="AG868" i="1"/>
  <c r="AF868" i="1"/>
  <c r="AE868" i="1"/>
  <c r="AD868" i="1"/>
  <c r="AC868" i="1"/>
  <c r="AB868" i="1"/>
  <c r="AI867" i="1"/>
  <c r="AH867" i="1"/>
  <c r="AG867" i="1"/>
  <c r="AF867" i="1"/>
  <c r="AE867" i="1"/>
  <c r="AD867" i="1"/>
  <c r="AC867" i="1"/>
  <c r="AB867" i="1"/>
  <c r="AI866" i="1"/>
  <c r="AH866" i="1"/>
  <c r="AG866" i="1"/>
  <c r="AF866" i="1"/>
  <c r="AE866" i="1"/>
  <c r="AD866" i="1"/>
  <c r="AC866" i="1"/>
  <c r="AB866" i="1"/>
  <c r="AI865" i="1"/>
  <c r="AH865" i="1"/>
  <c r="AG865" i="1"/>
  <c r="AF865" i="1"/>
  <c r="AE865" i="1"/>
  <c r="AD865" i="1"/>
  <c r="AC865" i="1"/>
  <c r="AB865" i="1"/>
  <c r="AI864" i="1"/>
  <c r="AH864" i="1"/>
  <c r="AG864" i="1"/>
  <c r="AF864" i="1"/>
  <c r="AE864" i="1"/>
  <c r="AD864" i="1"/>
  <c r="AC864" i="1"/>
  <c r="AB864" i="1"/>
  <c r="AI863" i="1"/>
  <c r="AH863" i="1"/>
  <c r="AG863" i="1"/>
  <c r="AF863" i="1"/>
  <c r="AE863" i="1"/>
  <c r="AD863" i="1"/>
  <c r="AC863" i="1"/>
  <c r="AB863" i="1"/>
  <c r="AI862" i="1"/>
  <c r="AH862" i="1"/>
  <c r="AG862" i="1"/>
  <c r="AF862" i="1"/>
  <c r="AE862" i="1"/>
  <c r="AD862" i="1"/>
  <c r="AC862" i="1"/>
  <c r="AB862" i="1"/>
  <c r="AI861" i="1"/>
  <c r="AH861" i="1"/>
  <c r="AG861" i="1"/>
  <c r="AF861" i="1"/>
  <c r="AE861" i="1"/>
  <c r="AD861" i="1"/>
  <c r="AC861" i="1"/>
  <c r="AB861" i="1"/>
  <c r="AI860" i="1"/>
  <c r="AH860" i="1"/>
  <c r="AG860" i="1"/>
  <c r="AF860" i="1"/>
  <c r="AE860" i="1"/>
  <c r="AD860" i="1"/>
  <c r="AC860" i="1"/>
  <c r="AB860" i="1"/>
  <c r="AI859" i="1"/>
  <c r="AH859" i="1"/>
  <c r="AG859" i="1"/>
  <c r="AF859" i="1"/>
  <c r="AE859" i="1"/>
  <c r="AD859" i="1"/>
  <c r="AC859" i="1"/>
  <c r="AB859" i="1"/>
  <c r="AI858" i="1"/>
  <c r="AH858" i="1"/>
  <c r="AG858" i="1"/>
  <c r="AF858" i="1"/>
  <c r="AE858" i="1"/>
  <c r="AD858" i="1"/>
  <c r="AC858" i="1"/>
  <c r="AB858" i="1"/>
  <c r="AI857" i="1"/>
  <c r="AH857" i="1"/>
  <c r="AG857" i="1"/>
  <c r="AF857" i="1"/>
  <c r="AE857" i="1"/>
  <c r="AD857" i="1"/>
  <c r="AC857" i="1"/>
  <c r="AB857" i="1"/>
  <c r="AI856" i="1"/>
  <c r="AH856" i="1"/>
  <c r="AG856" i="1"/>
  <c r="AF856" i="1"/>
  <c r="AE856" i="1"/>
  <c r="AD856" i="1"/>
  <c r="AC856" i="1"/>
  <c r="AB856" i="1"/>
  <c r="AI855" i="1"/>
  <c r="AH855" i="1"/>
  <c r="AG855" i="1"/>
  <c r="AF855" i="1"/>
  <c r="AE855" i="1"/>
  <c r="AD855" i="1"/>
  <c r="AC855" i="1"/>
  <c r="AB855" i="1"/>
  <c r="AI854" i="1"/>
  <c r="AH854" i="1"/>
  <c r="AG854" i="1"/>
  <c r="AF854" i="1"/>
  <c r="AE854" i="1"/>
  <c r="AD854" i="1"/>
  <c r="AC854" i="1"/>
  <c r="AB854" i="1"/>
  <c r="AI853" i="1"/>
  <c r="AH853" i="1"/>
  <c r="AG853" i="1"/>
  <c r="AF853" i="1"/>
  <c r="AE853" i="1"/>
  <c r="AD853" i="1"/>
  <c r="AC853" i="1"/>
  <c r="AB853" i="1"/>
  <c r="AI852" i="1"/>
  <c r="AH852" i="1"/>
  <c r="AG852" i="1"/>
  <c r="AF852" i="1"/>
  <c r="AE852" i="1"/>
  <c r="AD852" i="1"/>
  <c r="AC852" i="1"/>
  <c r="AB852" i="1"/>
  <c r="AI851" i="1"/>
  <c r="AH851" i="1"/>
  <c r="AG851" i="1"/>
  <c r="AF851" i="1"/>
  <c r="AE851" i="1"/>
  <c r="AD851" i="1"/>
  <c r="AC851" i="1"/>
  <c r="AB851" i="1"/>
  <c r="AI850" i="1"/>
  <c r="AH850" i="1"/>
  <c r="AG850" i="1"/>
  <c r="AF850" i="1"/>
  <c r="AE850" i="1"/>
  <c r="AD850" i="1"/>
  <c r="AC850" i="1"/>
  <c r="AB850" i="1"/>
  <c r="AI849" i="1"/>
  <c r="AH849" i="1"/>
  <c r="AG849" i="1"/>
  <c r="AF849" i="1"/>
  <c r="AE849" i="1"/>
  <c r="AD849" i="1"/>
  <c r="AC849" i="1"/>
  <c r="AB849" i="1"/>
  <c r="AI848" i="1"/>
  <c r="AH848" i="1"/>
  <c r="AG848" i="1"/>
  <c r="AF848" i="1"/>
  <c r="AE848" i="1"/>
  <c r="AD848" i="1"/>
  <c r="AC848" i="1"/>
  <c r="AB848" i="1"/>
  <c r="AI847" i="1"/>
  <c r="AH847" i="1"/>
  <c r="AG847" i="1"/>
  <c r="AF847" i="1"/>
  <c r="AE847" i="1"/>
  <c r="AD847" i="1"/>
  <c r="AC847" i="1"/>
  <c r="AB847" i="1"/>
  <c r="AI846" i="1"/>
  <c r="AH846" i="1"/>
  <c r="AG846" i="1"/>
  <c r="AF846" i="1"/>
  <c r="AE846" i="1"/>
  <c r="AD846" i="1"/>
  <c r="AC846" i="1"/>
  <c r="AB846" i="1"/>
  <c r="AI845" i="1"/>
  <c r="AH845" i="1"/>
  <c r="AG845" i="1"/>
  <c r="AF845" i="1"/>
  <c r="AE845" i="1"/>
  <c r="AD845" i="1"/>
  <c r="AC845" i="1"/>
  <c r="AB845" i="1"/>
  <c r="AI844" i="1"/>
  <c r="AH844" i="1"/>
  <c r="AG844" i="1"/>
  <c r="AF844" i="1"/>
  <c r="AE844" i="1"/>
  <c r="AD844" i="1"/>
  <c r="AC844" i="1"/>
  <c r="AB844" i="1"/>
  <c r="AI843" i="1"/>
  <c r="AH843" i="1"/>
  <c r="AG843" i="1"/>
  <c r="AF843" i="1"/>
  <c r="AE843" i="1"/>
  <c r="AD843" i="1"/>
  <c r="AC843" i="1"/>
  <c r="AB843" i="1"/>
  <c r="AI842" i="1"/>
  <c r="AH842" i="1"/>
  <c r="AG842" i="1"/>
  <c r="AF842" i="1"/>
  <c r="AE842" i="1"/>
  <c r="AD842" i="1"/>
  <c r="AC842" i="1"/>
  <c r="AB842" i="1"/>
  <c r="AI841" i="1"/>
  <c r="AH841" i="1"/>
  <c r="AG841" i="1"/>
  <c r="AF841" i="1"/>
  <c r="AE841" i="1"/>
  <c r="AD841" i="1"/>
  <c r="AC841" i="1"/>
  <c r="AB841" i="1"/>
  <c r="AI840" i="1"/>
  <c r="AH840" i="1"/>
  <c r="AG840" i="1"/>
  <c r="AF840" i="1"/>
  <c r="AE840" i="1"/>
  <c r="AD840" i="1"/>
  <c r="AC840" i="1"/>
  <c r="AB840" i="1"/>
  <c r="AI839" i="1"/>
  <c r="AH839" i="1"/>
  <c r="AG839" i="1"/>
  <c r="AF839" i="1"/>
  <c r="AE839" i="1"/>
  <c r="AD839" i="1"/>
  <c r="AC839" i="1"/>
  <c r="AB839" i="1"/>
  <c r="AI838" i="1"/>
  <c r="AH838" i="1"/>
  <c r="AG838" i="1"/>
  <c r="AF838" i="1"/>
  <c r="AE838" i="1"/>
  <c r="AD838" i="1"/>
  <c r="AC838" i="1"/>
  <c r="AB838" i="1"/>
  <c r="AI837" i="1"/>
  <c r="AH837" i="1"/>
  <c r="AG837" i="1"/>
  <c r="AF837" i="1"/>
  <c r="AE837" i="1"/>
  <c r="AD837" i="1"/>
  <c r="AC837" i="1"/>
  <c r="AB837" i="1"/>
  <c r="AI836" i="1"/>
  <c r="AH836" i="1"/>
  <c r="AG836" i="1"/>
  <c r="AF836" i="1"/>
  <c r="AE836" i="1"/>
  <c r="AD836" i="1"/>
  <c r="AC836" i="1"/>
  <c r="AB836" i="1"/>
  <c r="AI835" i="1"/>
  <c r="AH835" i="1"/>
  <c r="AG835" i="1"/>
  <c r="AF835" i="1"/>
  <c r="AE835" i="1"/>
  <c r="AD835" i="1"/>
  <c r="AC835" i="1"/>
  <c r="AB835" i="1"/>
  <c r="AI834" i="1"/>
  <c r="AH834" i="1"/>
  <c r="AG834" i="1"/>
  <c r="AF834" i="1"/>
  <c r="AE834" i="1"/>
  <c r="AD834" i="1"/>
  <c r="AC834" i="1"/>
  <c r="AB834" i="1"/>
  <c r="AI833" i="1"/>
  <c r="AH833" i="1"/>
  <c r="AG833" i="1"/>
  <c r="AF833" i="1"/>
  <c r="AE833" i="1"/>
  <c r="AD833" i="1"/>
  <c r="AB833" i="1"/>
  <c r="AI832" i="1"/>
  <c r="AH832" i="1"/>
  <c r="AG832" i="1"/>
  <c r="AF832" i="1"/>
  <c r="AE832" i="1"/>
  <c r="AD832" i="1"/>
  <c r="AB832" i="1"/>
  <c r="AI831" i="1"/>
  <c r="AH831" i="1"/>
  <c r="AG831" i="1"/>
  <c r="AF831" i="1"/>
  <c r="AE831" i="1"/>
  <c r="AD831" i="1"/>
  <c r="AC831" i="1"/>
  <c r="AB831" i="1"/>
  <c r="AI830" i="1"/>
  <c r="AH830" i="1"/>
  <c r="AG830" i="1"/>
  <c r="AF830" i="1"/>
  <c r="AE830" i="1"/>
  <c r="AD830" i="1"/>
  <c r="AC830" i="1"/>
  <c r="AB830" i="1"/>
  <c r="AI829" i="1"/>
  <c r="AH829" i="1"/>
  <c r="AG829" i="1"/>
  <c r="AF829" i="1"/>
  <c r="AE829" i="1"/>
  <c r="AD829" i="1"/>
  <c r="AC829" i="1"/>
  <c r="AB829" i="1"/>
  <c r="AI828" i="1"/>
  <c r="AH828" i="1"/>
  <c r="AG828" i="1"/>
  <c r="AF828" i="1"/>
  <c r="AE828" i="1"/>
  <c r="AD828" i="1"/>
  <c r="AC828" i="1"/>
  <c r="AB828" i="1"/>
  <c r="AI827" i="1"/>
  <c r="AH827" i="1"/>
  <c r="AG827" i="1"/>
  <c r="AF827" i="1"/>
  <c r="AE827" i="1"/>
  <c r="AD827" i="1"/>
  <c r="AC827" i="1"/>
  <c r="AB827" i="1"/>
  <c r="AI826" i="1"/>
  <c r="AH826" i="1"/>
  <c r="AG826" i="1"/>
  <c r="AF826" i="1"/>
  <c r="AE826" i="1"/>
  <c r="AD826" i="1"/>
  <c r="AC826" i="1"/>
  <c r="AB826" i="1"/>
  <c r="AI825" i="1"/>
  <c r="AH825" i="1"/>
  <c r="AG825" i="1"/>
  <c r="AF825" i="1"/>
  <c r="AE825" i="1"/>
  <c r="AD825" i="1"/>
  <c r="AC825" i="1"/>
  <c r="AB825" i="1"/>
  <c r="AI824" i="1"/>
  <c r="AH824" i="1"/>
  <c r="AG824" i="1"/>
  <c r="AF824" i="1"/>
  <c r="AE824" i="1"/>
  <c r="AD824" i="1"/>
  <c r="AC824" i="1"/>
  <c r="AB824" i="1"/>
  <c r="AI823" i="1"/>
  <c r="AH823" i="1"/>
  <c r="AG823" i="1"/>
  <c r="AF823" i="1"/>
  <c r="AE823" i="1"/>
  <c r="AD823" i="1"/>
  <c r="AC823" i="1"/>
  <c r="AB823" i="1"/>
  <c r="AI822" i="1"/>
  <c r="AH822" i="1"/>
  <c r="AG822" i="1"/>
  <c r="AF822" i="1"/>
  <c r="AE822" i="1"/>
  <c r="AD822" i="1"/>
  <c r="AC822" i="1"/>
  <c r="AB822" i="1"/>
  <c r="AI821" i="1"/>
  <c r="AH821" i="1"/>
  <c r="AG821" i="1"/>
  <c r="AF821" i="1"/>
  <c r="AE821" i="1"/>
  <c r="AD821" i="1"/>
  <c r="AC821" i="1"/>
  <c r="AB821" i="1"/>
  <c r="AI820" i="1"/>
  <c r="AH820" i="1"/>
  <c r="AG820" i="1"/>
  <c r="AF820" i="1"/>
  <c r="AE820" i="1"/>
  <c r="AD820" i="1"/>
  <c r="AC820" i="1"/>
  <c r="AB820" i="1"/>
  <c r="AI819" i="1"/>
  <c r="AH819" i="1"/>
  <c r="AG819" i="1"/>
  <c r="AF819" i="1"/>
  <c r="AE819" i="1"/>
  <c r="AD819" i="1"/>
  <c r="AC819" i="1"/>
  <c r="AB819" i="1"/>
  <c r="AI818" i="1"/>
  <c r="AH818" i="1"/>
  <c r="AG818" i="1"/>
  <c r="AF818" i="1"/>
  <c r="AE818" i="1"/>
  <c r="AD818" i="1"/>
  <c r="AC818" i="1"/>
  <c r="AB818" i="1"/>
  <c r="AI817" i="1"/>
  <c r="AH817" i="1"/>
  <c r="AG817" i="1"/>
  <c r="AF817" i="1"/>
  <c r="AE817" i="1"/>
  <c r="AD817" i="1"/>
  <c r="AC817" i="1"/>
  <c r="AB817" i="1"/>
  <c r="AI816" i="1"/>
  <c r="AH816" i="1"/>
  <c r="AG816" i="1"/>
  <c r="AF816" i="1"/>
  <c r="AE816" i="1"/>
  <c r="AD816" i="1"/>
  <c r="AC816" i="1"/>
  <c r="AB816" i="1"/>
  <c r="AI815" i="1"/>
  <c r="AH815" i="1"/>
  <c r="AG815" i="1"/>
  <c r="AF815" i="1"/>
  <c r="AE815" i="1"/>
  <c r="AD815" i="1"/>
  <c r="AC815" i="1"/>
  <c r="AB815" i="1"/>
  <c r="AI814" i="1"/>
  <c r="AH814" i="1"/>
  <c r="AG814" i="1"/>
  <c r="AF814" i="1"/>
  <c r="AE814" i="1"/>
  <c r="AD814" i="1"/>
  <c r="AC814" i="1"/>
  <c r="AB814" i="1"/>
  <c r="AI813" i="1"/>
  <c r="AH813" i="1"/>
  <c r="AG813" i="1"/>
  <c r="AF813" i="1"/>
  <c r="AE813" i="1"/>
  <c r="AD813" i="1"/>
  <c r="AC813" i="1"/>
  <c r="AB813" i="1"/>
  <c r="AI812" i="1"/>
  <c r="AH812" i="1"/>
  <c r="AG812" i="1"/>
  <c r="AF812" i="1"/>
  <c r="AE812" i="1"/>
  <c r="AD812" i="1"/>
  <c r="AC812" i="1"/>
  <c r="AB812" i="1"/>
  <c r="AI811" i="1"/>
  <c r="AH811" i="1"/>
  <c r="AG811" i="1"/>
  <c r="AF811" i="1"/>
  <c r="AE811" i="1"/>
  <c r="AD811" i="1"/>
  <c r="AB811" i="1"/>
  <c r="AI810" i="1"/>
  <c r="AH810" i="1"/>
  <c r="AG810" i="1"/>
  <c r="AF810" i="1"/>
  <c r="AE810" i="1"/>
  <c r="AD810" i="1"/>
  <c r="AC810" i="1"/>
  <c r="AB810" i="1"/>
  <c r="AI809" i="1"/>
  <c r="AH809" i="1"/>
  <c r="AG809" i="1"/>
  <c r="AF809" i="1"/>
  <c r="AE809" i="1"/>
  <c r="AD809" i="1"/>
  <c r="AC809" i="1"/>
  <c r="AB809" i="1"/>
  <c r="AI808" i="1"/>
  <c r="AH808" i="1"/>
  <c r="AG808" i="1"/>
  <c r="AF808" i="1"/>
  <c r="AE808" i="1"/>
  <c r="AD808" i="1"/>
  <c r="AC808" i="1"/>
  <c r="AB808" i="1"/>
  <c r="AI807" i="1"/>
  <c r="AH807" i="1"/>
  <c r="AG807" i="1"/>
  <c r="AF807" i="1"/>
  <c r="AE807" i="1"/>
  <c r="AD807" i="1"/>
  <c r="AC807" i="1"/>
  <c r="AB807" i="1"/>
  <c r="AI806" i="1"/>
  <c r="AH806" i="1"/>
  <c r="AG806" i="1"/>
  <c r="AF806" i="1"/>
  <c r="AE806" i="1"/>
  <c r="AD806" i="1"/>
  <c r="AC806" i="1"/>
  <c r="AB806" i="1"/>
  <c r="AI805" i="1"/>
  <c r="AH805" i="1"/>
  <c r="AG805" i="1"/>
  <c r="AF805" i="1"/>
  <c r="AE805" i="1"/>
  <c r="AD805" i="1"/>
  <c r="AB805" i="1"/>
  <c r="AI804" i="1"/>
  <c r="AH804" i="1"/>
  <c r="AG804" i="1"/>
  <c r="AF804" i="1"/>
  <c r="AE804" i="1"/>
  <c r="AD804" i="1"/>
  <c r="AC804" i="1"/>
  <c r="AB804" i="1"/>
  <c r="AI803" i="1"/>
  <c r="AH803" i="1"/>
  <c r="AG803" i="1"/>
  <c r="AF803" i="1"/>
  <c r="AE803" i="1"/>
  <c r="AD803" i="1"/>
  <c r="AC803" i="1"/>
  <c r="AB803" i="1"/>
  <c r="AI802" i="1"/>
  <c r="AH802" i="1"/>
  <c r="AG802" i="1"/>
  <c r="AF802" i="1"/>
  <c r="AE802" i="1"/>
  <c r="AD802" i="1"/>
  <c r="AC802" i="1"/>
  <c r="AB802" i="1"/>
  <c r="AH801" i="1"/>
  <c r="AG801" i="1"/>
  <c r="AF801" i="1"/>
  <c r="AE801" i="1"/>
  <c r="AD801" i="1"/>
  <c r="AC801" i="1"/>
  <c r="AB801" i="1"/>
  <c r="AI800" i="1"/>
  <c r="AH800" i="1"/>
  <c r="AG800" i="1"/>
  <c r="AF800" i="1"/>
  <c r="AE800" i="1"/>
  <c r="AD800" i="1"/>
  <c r="AC800" i="1"/>
  <c r="AB800" i="1"/>
  <c r="AI799" i="1"/>
  <c r="AH799" i="1"/>
  <c r="AG799" i="1"/>
  <c r="AF799" i="1"/>
  <c r="AE799" i="1"/>
  <c r="AD799" i="1"/>
  <c r="AC799" i="1"/>
  <c r="AB799" i="1"/>
  <c r="AI798" i="1"/>
  <c r="AH798" i="1"/>
  <c r="AG798" i="1"/>
  <c r="AF798" i="1"/>
  <c r="AE798" i="1"/>
  <c r="AD798" i="1"/>
  <c r="AC798" i="1"/>
  <c r="AB798" i="1"/>
  <c r="AI797" i="1"/>
  <c r="AH797" i="1"/>
  <c r="AG797" i="1"/>
  <c r="AF797" i="1"/>
  <c r="AE797" i="1"/>
  <c r="AD797" i="1"/>
  <c r="AC797" i="1"/>
  <c r="AB797" i="1"/>
  <c r="AI796" i="1"/>
  <c r="AH796" i="1"/>
  <c r="AG796" i="1"/>
  <c r="AF796" i="1"/>
  <c r="AE796" i="1"/>
  <c r="AD796" i="1"/>
  <c r="AC796" i="1"/>
  <c r="AB796" i="1"/>
  <c r="AI795" i="1"/>
  <c r="AH795" i="1"/>
  <c r="AG795" i="1"/>
  <c r="AF795" i="1"/>
  <c r="AE795" i="1"/>
  <c r="AD795" i="1"/>
  <c r="AC795" i="1"/>
  <c r="AB795" i="1"/>
  <c r="AI794" i="1"/>
  <c r="AH794" i="1"/>
  <c r="AG794" i="1"/>
  <c r="AF794" i="1"/>
  <c r="AE794" i="1"/>
  <c r="AD794" i="1"/>
  <c r="AC794" i="1"/>
  <c r="AB794" i="1"/>
  <c r="AI793" i="1"/>
  <c r="AH793" i="1"/>
  <c r="AG793" i="1"/>
  <c r="AF793" i="1"/>
  <c r="AE793" i="1"/>
  <c r="AD793" i="1"/>
  <c r="AC793" i="1"/>
  <c r="AB793" i="1"/>
  <c r="AI792" i="1"/>
  <c r="AH792" i="1"/>
  <c r="AG792" i="1"/>
  <c r="AF792" i="1"/>
  <c r="AE792" i="1"/>
  <c r="AD792" i="1"/>
  <c r="AC792" i="1"/>
  <c r="AB792" i="1"/>
  <c r="AI791" i="1"/>
  <c r="AH791" i="1"/>
  <c r="AG791" i="1"/>
  <c r="AF791" i="1"/>
  <c r="AE791" i="1"/>
  <c r="AD791" i="1"/>
  <c r="AB791" i="1"/>
  <c r="AI790" i="1"/>
  <c r="AH790" i="1"/>
  <c r="AG790" i="1"/>
  <c r="AF790" i="1"/>
  <c r="AE790" i="1"/>
  <c r="AD790" i="1"/>
  <c r="AC790" i="1"/>
  <c r="AB790" i="1"/>
  <c r="AI789" i="1"/>
  <c r="AH789" i="1"/>
  <c r="AG789" i="1"/>
  <c r="AF789" i="1"/>
  <c r="AE789" i="1"/>
  <c r="AD789" i="1"/>
  <c r="AC789" i="1"/>
  <c r="AB789" i="1"/>
  <c r="AH788" i="1"/>
  <c r="AG788" i="1"/>
  <c r="AF788" i="1"/>
  <c r="AE788" i="1"/>
  <c r="AD788" i="1"/>
  <c r="AC788" i="1"/>
  <c r="AB788" i="1"/>
  <c r="AI787" i="1"/>
  <c r="AH787" i="1"/>
  <c r="AG787" i="1"/>
  <c r="AF787" i="1"/>
  <c r="AE787" i="1"/>
  <c r="AD787" i="1"/>
  <c r="AC787" i="1"/>
  <c r="AB787" i="1"/>
  <c r="AI786" i="1"/>
  <c r="AH786" i="1"/>
  <c r="AG786" i="1"/>
  <c r="AF786" i="1"/>
  <c r="AE786" i="1"/>
  <c r="AD786" i="1"/>
  <c r="AC786" i="1"/>
  <c r="AB786" i="1"/>
  <c r="AI785" i="1"/>
  <c r="AH785" i="1"/>
  <c r="AG785" i="1"/>
  <c r="AF785" i="1"/>
  <c r="AE785" i="1"/>
  <c r="AD785" i="1"/>
  <c r="AC785" i="1"/>
  <c r="AB785" i="1"/>
  <c r="AI784" i="1"/>
  <c r="AH784" i="1"/>
  <c r="AG784" i="1"/>
  <c r="AF784" i="1"/>
  <c r="AE784" i="1"/>
  <c r="AD784" i="1"/>
  <c r="AC784" i="1"/>
  <c r="AB784" i="1"/>
  <c r="AI783" i="1"/>
  <c r="AH783" i="1"/>
  <c r="AG783" i="1"/>
  <c r="AF783" i="1"/>
  <c r="AE783" i="1"/>
  <c r="AD783" i="1"/>
  <c r="AC783" i="1"/>
  <c r="AB783" i="1"/>
  <c r="AI782" i="1"/>
  <c r="AH782" i="1"/>
  <c r="AG782" i="1"/>
  <c r="AF782" i="1"/>
  <c r="AE782" i="1"/>
  <c r="AD782" i="1"/>
  <c r="AC782" i="1"/>
  <c r="AB782" i="1"/>
  <c r="AI781" i="1"/>
  <c r="AH781" i="1"/>
  <c r="AG781" i="1"/>
  <c r="AF781" i="1"/>
  <c r="AE781" i="1"/>
  <c r="AD781" i="1"/>
  <c r="AC781" i="1"/>
  <c r="AB781" i="1"/>
  <c r="AI780" i="1"/>
  <c r="AH780" i="1"/>
  <c r="AG780" i="1"/>
  <c r="AF780" i="1"/>
  <c r="AE780" i="1"/>
  <c r="AD780" i="1"/>
  <c r="AC780" i="1"/>
  <c r="AB780" i="1"/>
  <c r="AI779" i="1"/>
  <c r="AH779" i="1"/>
  <c r="AG779" i="1"/>
  <c r="AF779" i="1"/>
  <c r="AE779" i="1"/>
  <c r="AD779" i="1"/>
  <c r="AC779" i="1"/>
  <c r="AB779" i="1"/>
  <c r="AI778" i="1"/>
  <c r="AH778" i="1"/>
  <c r="AG778" i="1"/>
  <c r="AF778" i="1"/>
  <c r="AE778" i="1"/>
  <c r="AD778" i="1"/>
  <c r="AC778" i="1"/>
  <c r="AB778" i="1"/>
  <c r="AI777" i="1"/>
  <c r="AH777" i="1"/>
  <c r="AG777" i="1"/>
  <c r="AF777" i="1"/>
  <c r="AE777" i="1"/>
  <c r="AD777" i="1"/>
  <c r="AC777" i="1"/>
  <c r="AB777" i="1"/>
  <c r="AH776" i="1"/>
  <c r="AG776" i="1"/>
  <c r="AF776" i="1"/>
  <c r="AE776" i="1"/>
  <c r="AD776" i="1"/>
  <c r="AC776" i="1"/>
  <c r="AB776" i="1"/>
  <c r="AH775" i="1"/>
  <c r="AG775" i="1"/>
  <c r="AF775" i="1"/>
  <c r="AE775" i="1"/>
  <c r="AD775" i="1"/>
  <c r="AC775" i="1"/>
  <c r="AB775" i="1"/>
  <c r="AI774" i="1"/>
  <c r="AH774" i="1"/>
  <c r="AG774" i="1"/>
  <c r="AF774" i="1"/>
  <c r="AE774" i="1"/>
  <c r="AD774" i="1"/>
  <c r="AC774" i="1"/>
  <c r="AB774" i="1"/>
  <c r="AI773" i="1"/>
  <c r="AH773" i="1"/>
  <c r="AG773" i="1"/>
  <c r="AF773" i="1"/>
  <c r="AE773" i="1"/>
  <c r="AD773" i="1"/>
  <c r="AC773" i="1"/>
  <c r="AB773" i="1"/>
  <c r="AI772" i="1"/>
  <c r="AH772" i="1"/>
  <c r="AG772" i="1"/>
  <c r="AF772" i="1"/>
  <c r="AE772" i="1"/>
  <c r="AD772" i="1"/>
  <c r="AC772" i="1"/>
  <c r="AB772" i="1"/>
  <c r="AI771" i="1"/>
  <c r="AH771" i="1"/>
  <c r="AG771" i="1"/>
  <c r="AF771" i="1"/>
  <c r="AE771" i="1"/>
  <c r="AD771" i="1"/>
  <c r="AC771" i="1"/>
  <c r="AB771" i="1"/>
  <c r="AI770" i="1"/>
  <c r="AH770" i="1"/>
  <c r="AG770" i="1"/>
  <c r="AF770" i="1"/>
  <c r="AE770" i="1"/>
  <c r="AD770" i="1"/>
  <c r="AC770" i="1"/>
  <c r="AB770" i="1"/>
  <c r="AI769" i="1"/>
  <c r="AH769" i="1"/>
  <c r="AG769" i="1"/>
  <c r="AF769" i="1"/>
  <c r="AE769" i="1"/>
  <c r="AD769" i="1"/>
  <c r="AC769" i="1"/>
  <c r="AB769" i="1"/>
  <c r="AI768" i="1"/>
  <c r="AH768" i="1"/>
  <c r="AG768" i="1"/>
  <c r="AF768" i="1"/>
  <c r="AE768" i="1"/>
  <c r="AD768" i="1"/>
  <c r="AC768" i="1"/>
  <c r="AB768" i="1"/>
  <c r="AI767" i="1"/>
  <c r="AH767" i="1"/>
  <c r="AG767" i="1"/>
  <c r="AF767" i="1"/>
  <c r="AE767" i="1"/>
  <c r="AD767" i="1"/>
  <c r="AC767" i="1"/>
  <c r="AB767" i="1"/>
  <c r="AI766" i="1"/>
  <c r="AH766" i="1"/>
  <c r="AG766" i="1"/>
  <c r="AF766" i="1"/>
  <c r="AE766" i="1"/>
  <c r="AD766" i="1"/>
  <c r="AC766" i="1"/>
  <c r="AB766" i="1"/>
  <c r="AI765" i="1"/>
  <c r="AH765" i="1"/>
  <c r="AG765" i="1"/>
  <c r="AF765" i="1"/>
  <c r="AE765" i="1"/>
  <c r="AD765" i="1"/>
  <c r="AC765" i="1"/>
  <c r="AB765" i="1"/>
  <c r="AI764" i="1"/>
  <c r="AH764" i="1"/>
  <c r="AG764" i="1"/>
  <c r="AF764" i="1"/>
  <c r="AE764" i="1"/>
  <c r="AD764" i="1"/>
  <c r="AC764" i="1"/>
  <c r="AB764" i="1"/>
  <c r="AI763" i="1"/>
  <c r="AH763" i="1"/>
  <c r="AG763" i="1"/>
  <c r="AF763" i="1"/>
  <c r="AE763" i="1"/>
  <c r="AD763" i="1"/>
  <c r="AC763" i="1"/>
  <c r="AB763" i="1"/>
  <c r="AI762" i="1"/>
  <c r="AH762" i="1"/>
  <c r="AG762" i="1"/>
  <c r="AF762" i="1"/>
  <c r="AE762" i="1"/>
  <c r="AD762" i="1"/>
  <c r="AC762" i="1"/>
  <c r="AB762" i="1"/>
  <c r="AI761" i="1"/>
  <c r="AH761" i="1"/>
  <c r="AG761" i="1"/>
  <c r="AF761" i="1"/>
  <c r="AE761" i="1"/>
  <c r="AD761" i="1"/>
  <c r="AC761" i="1"/>
  <c r="AB761" i="1"/>
  <c r="AI760" i="1"/>
  <c r="AH760" i="1"/>
  <c r="AG760" i="1"/>
  <c r="AF760" i="1"/>
  <c r="AE760" i="1"/>
  <c r="AD760" i="1"/>
  <c r="AC760" i="1"/>
  <c r="AB760" i="1"/>
  <c r="AI759" i="1"/>
  <c r="AH759" i="1"/>
  <c r="AG759" i="1"/>
  <c r="AF759" i="1"/>
  <c r="AE759" i="1"/>
  <c r="AD759" i="1"/>
  <c r="AC759" i="1"/>
  <c r="AB759" i="1"/>
  <c r="AI758" i="1"/>
  <c r="AH758" i="1"/>
  <c r="AG758" i="1"/>
  <c r="AF758" i="1"/>
  <c r="AE758" i="1"/>
  <c r="AD758" i="1"/>
  <c r="AC758" i="1"/>
  <c r="AB758" i="1"/>
  <c r="AI757" i="1"/>
  <c r="AH757" i="1"/>
  <c r="AG757" i="1"/>
  <c r="AF757" i="1"/>
  <c r="AE757" i="1"/>
  <c r="AD757" i="1"/>
  <c r="AC757" i="1"/>
  <c r="AB757" i="1"/>
  <c r="AI756" i="1"/>
  <c r="AH756" i="1"/>
  <c r="AG756" i="1"/>
  <c r="AF756" i="1"/>
  <c r="AE756" i="1"/>
  <c r="AD756" i="1"/>
  <c r="AC756" i="1"/>
  <c r="AB756" i="1"/>
  <c r="AI755" i="1"/>
  <c r="AH755" i="1"/>
  <c r="AG755" i="1"/>
  <c r="AF755" i="1"/>
  <c r="AE755" i="1"/>
  <c r="AD755" i="1"/>
  <c r="AC755" i="1"/>
  <c r="AB755" i="1"/>
  <c r="AI754" i="1"/>
  <c r="AH754" i="1"/>
  <c r="AG754" i="1"/>
  <c r="AF754" i="1"/>
  <c r="AE754" i="1"/>
  <c r="AD754" i="1"/>
  <c r="AC754" i="1"/>
  <c r="AB754" i="1"/>
  <c r="AH753" i="1"/>
  <c r="AG753" i="1"/>
  <c r="AF753" i="1"/>
  <c r="AE753" i="1"/>
  <c r="AD753" i="1"/>
  <c r="AB753" i="1"/>
  <c r="AI752" i="1"/>
  <c r="AH752" i="1"/>
  <c r="AG752" i="1"/>
  <c r="AF752" i="1"/>
  <c r="AE752" i="1"/>
  <c r="AD752" i="1"/>
  <c r="AC752" i="1"/>
  <c r="AB752" i="1"/>
  <c r="AI751" i="1"/>
  <c r="AH751" i="1"/>
  <c r="AG751" i="1"/>
  <c r="AF751" i="1"/>
  <c r="AE751" i="1"/>
  <c r="AD751" i="1"/>
  <c r="AC751" i="1"/>
  <c r="AB751" i="1"/>
  <c r="AI750" i="1"/>
  <c r="AH750" i="1"/>
  <c r="AG750" i="1"/>
  <c r="AF750" i="1"/>
  <c r="AE750" i="1"/>
  <c r="AD750" i="1"/>
  <c r="AC750" i="1"/>
  <c r="AB750" i="1"/>
  <c r="AI749" i="1"/>
  <c r="AH749" i="1"/>
  <c r="AG749" i="1"/>
  <c r="AF749" i="1"/>
  <c r="AE749" i="1"/>
  <c r="AD749" i="1"/>
  <c r="AC749" i="1"/>
  <c r="AB749" i="1"/>
  <c r="AI748" i="1"/>
  <c r="AH748" i="1"/>
  <c r="AG748" i="1"/>
  <c r="AF748" i="1"/>
  <c r="AE748" i="1"/>
  <c r="AD748" i="1"/>
  <c r="AC748" i="1"/>
  <c r="AB748" i="1"/>
  <c r="AI747" i="1"/>
  <c r="AH747" i="1"/>
  <c r="AG747" i="1"/>
  <c r="AF747" i="1"/>
  <c r="AE747" i="1"/>
  <c r="AD747" i="1"/>
  <c r="AC747" i="1"/>
  <c r="AB747" i="1"/>
  <c r="AI746" i="1"/>
  <c r="AH746" i="1"/>
  <c r="AG746" i="1"/>
  <c r="AF746" i="1"/>
  <c r="AE746" i="1"/>
  <c r="AD746" i="1"/>
  <c r="AC746" i="1"/>
  <c r="AB746" i="1"/>
  <c r="AI745" i="1"/>
  <c r="AH745" i="1"/>
  <c r="AG745" i="1"/>
  <c r="AF745" i="1"/>
  <c r="AE745" i="1"/>
  <c r="AD745" i="1"/>
  <c r="AC745" i="1"/>
  <c r="AB745" i="1"/>
  <c r="AI744" i="1"/>
  <c r="AH744" i="1"/>
  <c r="AG744" i="1"/>
  <c r="AF744" i="1"/>
  <c r="AE744" i="1"/>
  <c r="AD744" i="1"/>
  <c r="AC744" i="1"/>
  <c r="AB744" i="1"/>
  <c r="AI743" i="1"/>
  <c r="AH743" i="1"/>
  <c r="AG743" i="1"/>
  <c r="AF743" i="1"/>
  <c r="AE743" i="1"/>
  <c r="AD743" i="1"/>
  <c r="AC743" i="1"/>
  <c r="AB743" i="1"/>
  <c r="AI742" i="1"/>
  <c r="AH742" i="1"/>
  <c r="AG742" i="1"/>
  <c r="AF742" i="1"/>
  <c r="AE742" i="1"/>
  <c r="AD742" i="1"/>
  <c r="AC742" i="1"/>
  <c r="AB742" i="1"/>
  <c r="AI741" i="1"/>
  <c r="AH741" i="1"/>
  <c r="AG741" i="1"/>
  <c r="AF741" i="1"/>
  <c r="AE741" i="1"/>
  <c r="AD741" i="1"/>
  <c r="AC741" i="1"/>
  <c r="AB741" i="1"/>
  <c r="AI740" i="1"/>
  <c r="AH740" i="1"/>
  <c r="AG740" i="1"/>
  <c r="AF740" i="1"/>
  <c r="AE740" i="1"/>
  <c r="AD740" i="1"/>
  <c r="AC740" i="1"/>
  <c r="AB740" i="1"/>
  <c r="AI739" i="1"/>
  <c r="AH739" i="1"/>
  <c r="AG739" i="1"/>
  <c r="AF739" i="1"/>
  <c r="AE739" i="1"/>
  <c r="AD739" i="1"/>
  <c r="AC739" i="1"/>
  <c r="AB739" i="1"/>
  <c r="AI738" i="1"/>
  <c r="AH738" i="1"/>
  <c r="AG738" i="1"/>
  <c r="AF738" i="1"/>
  <c r="AE738" i="1"/>
  <c r="AD738" i="1"/>
  <c r="AC738" i="1"/>
  <c r="AB738" i="1"/>
  <c r="AI737" i="1"/>
  <c r="AH737" i="1"/>
  <c r="AG737" i="1"/>
  <c r="AF737" i="1"/>
  <c r="AE737" i="1"/>
  <c r="AD737" i="1"/>
  <c r="AC737" i="1"/>
  <c r="AB737" i="1"/>
  <c r="AI736" i="1"/>
  <c r="AH736" i="1"/>
  <c r="AG736" i="1"/>
  <c r="AF736" i="1"/>
  <c r="AE736" i="1"/>
  <c r="AD736" i="1"/>
  <c r="AC736" i="1"/>
  <c r="AB736" i="1"/>
  <c r="AI735" i="1"/>
  <c r="AH735" i="1"/>
  <c r="AG735" i="1"/>
  <c r="AF735" i="1"/>
  <c r="AE735" i="1"/>
  <c r="AD735" i="1"/>
  <c r="AC735" i="1"/>
  <c r="AB735" i="1"/>
  <c r="AI734" i="1"/>
  <c r="AH734" i="1"/>
  <c r="AG734" i="1"/>
  <c r="AF734" i="1"/>
  <c r="AE734" i="1"/>
  <c r="AD734" i="1"/>
  <c r="AC734" i="1"/>
  <c r="AB734" i="1"/>
  <c r="AI733" i="1"/>
  <c r="AH733" i="1"/>
  <c r="AG733" i="1"/>
  <c r="AF733" i="1"/>
  <c r="AE733" i="1"/>
  <c r="AD733" i="1"/>
  <c r="AC733" i="1"/>
  <c r="AB733" i="1"/>
  <c r="AI732" i="1"/>
  <c r="AH732" i="1"/>
  <c r="AG732" i="1"/>
  <c r="AF732" i="1"/>
  <c r="AE732" i="1"/>
  <c r="AD732" i="1"/>
  <c r="AC732" i="1"/>
  <c r="AB732" i="1"/>
  <c r="AI731" i="1"/>
  <c r="AH731" i="1"/>
  <c r="AG731" i="1"/>
  <c r="AF731" i="1"/>
  <c r="AE731" i="1"/>
  <c r="AD731" i="1"/>
  <c r="AC731" i="1"/>
  <c r="AB731" i="1"/>
  <c r="AI730" i="1"/>
  <c r="AH730" i="1"/>
  <c r="AG730" i="1"/>
  <c r="AF730" i="1"/>
  <c r="AE730" i="1"/>
  <c r="AD730" i="1"/>
  <c r="AC730" i="1"/>
  <c r="AB730" i="1"/>
  <c r="AI729" i="1"/>
  <c r="AH729" i="1"/>
  <c r="AG729" i="1"/>
  <c r="AF729" i="1"/>
  <c r="AE729" i="1"/>
  <c r="AD729" i="1"/>
  <c r="AC729" i="1"/>
  <c r="AB729" i="1"/>
  <c r="AI728" i="1"/>
  <c r="AH728" i="1"/>
  <c r="AG728" i="1"/>
  <c r="AF728" i="1"/>
  <c r="AE728" i="1"/>
  <c r="AD728" i="1"/>
  <c r="AC728" i="1"/>
  <c r="AB728" i="1"/>
  <c r="AI727" i="1"/>
  <c r="AH727" i="1"/>
  <c r="AG727" i="1"/>
  <c r="AF727" i="1"/>
  <c r="AE727" i="1"/>
  <c r="AD727" i="1"/>
  <c r="AC727" i="1"/>
  <c r="AB727" i="1"/>
  <c r="AI726" i="1"/>
  <c r="AH726" i="1"/>
  <c r="AG726" i="1"/>
  <c r="AF726" i="1"/>
  <c r="AE726" i="1"/>
  <c r="AD726" i="1"/>
  <c r="AC726" i="1"/>
  <c r="AB726" i="1"/>
  <c r="AI725" i="1"/>
  <c r="AH725" i="1"/>
  <c r="AG725" i="1"/>
  <c r="AF725" i="1"/>
  <c r="AE725" i="1"/>
  <c r="AD725" i="1"/>
  <c r="AC725" i="1"/>
  <c r="AB725" i="1"/>
  <c r="AI724" i="1"/>
  <c r="AH724" i="1"/>
  <c r="AG724" i="1"/>
  <c r="AF724" i="1"/>
  <c r="AE724" i="1"/>
  <c r="AD724" i="1"/>
  <c r="AC724" i="1"/>
  <c r="AB724" i="1"/>
  <c r="AI723" i="1"/>
  <c r="AH723" i="1"/>
  <c r="AG723" i="1"/>
  <c r="AF723" i="1"/>
  <c r="AE723" i="1"/>
  <c r="AD723" i="1"/>
  <c r="AC723" i="1"/>
  <c r="AB723" i="1"/>
  <c r="AI722" i="1"/>
  <c r="AH722" i="1"/>
  <c r="AG722" i="1"/>
  <c r="AF722" i="1"/>
  <c r="AE722" i="1"/>
  <c r="AD722" i="1"/>
  <c r="AC722" i="1"/>
  <c r="AB722" i="1"/>
  <c r="AI721" i="1"/>
  <c r="AH721" i="1"/>
  <c r="AG721" i="1"/>
  <c r="AF721" i="1"/>
  <c r="AE721" i="1"/>
  <c r="AD721" i="1"/>
  <c r="AC721" i="1"/>
  <c r="AB721" i="1"/>
  <c r="AI720" i="1"/>
  <c r="AH720" i="1"/>
  <c r="AG720" i="1"/>
  <c r="AF720" i="1"/>
  <c r="AE720" i="1"/>
  <c r="AD720" i="1"/>
  <c r="AC720" i="1"/>
  <c r="AB720" i="1"/>
  <c r="AI719" i="1"/>
  <c r="AH719" i="1"/>
  <c r="AG719" i="1"/>
  <c r="AF719" i="1"/>
  <c r="AE719" i="1"/>
  <c r="AD719" i="1"/>
  <c r="AC719" i="1"/>
  <c r="AB719" i="1"/>
  <c r="AI718" i="1"/>
  <c r="AH718" i="1"/>
  <c r="AG718" i="1"/>
  <c r="AF718" i="1"/>
  <c r="AE718" i="1"/>
  <c r="AD718" i="1"/>
  <c r="AC718" i="1"/>
  <c r="AB718" i="1"/>
  <c r="AI717" i="1"/>
  <c r="AH717" i="1"/>
  <c r="AG717" i="1"/>
  <c r="AF717" i="1"/>
  <c r="AE717" i="1"/>
  <c r="AD717" i="1"/>
  <c r="AC717" i="1"/>
  <c r="AB717" i="1"/>
  <c r="AI716" i="1"/>
  <c r="AH716" i="1"/>
  <c r="AG716" i="1"/>
  <c r="AF716" i="1"/>
  <c r="AE716" i="1"/>
  <c r="AD716" i="1"/>
  <c r="AC716" i="1"/>
  <c r="AB716" i="1"/>
  <c r="AI715" i="1"/>
  <c r="AH715" i="1"/>
  <c r="AG715" i="1"/>
  <c r="AF715" i="1"/>
  <c r="AE715" i="1"/>
  <c r="AD715" i="1"/>
  <c r="AC715" i="1"/>
  <c r="AB715" i="1"/>
  <c r="AI714" i="1"/>
  <c r="AH714" i="1"/>
  <c r="AG714" i="1"/>
  <c r="AF714" i="1"/>
  <c r="AE714" i="1"/>
  <c r="AD714" i="1"/>
  <c r="AC714" i="1"/>
  <c r="AB714" i="1"/>
  <c r="AI713" i="1"/>
  <c r="AH713" i="1"/>
  <c r="AG713" i="1"/>
  <c r="AF713" i="1"/>
  <c r="AE713" i="1"/>
  <c r="AD713" i="1"/>
  <c r="AC713" i="1"/>
  <c r="AB713" i="1"/>
  <c r="AI712" i="1"/>
  <c r="AH712" i="1"/>
  <c r="AG712" i="1"/>
  <c r="AF712" i="1"/>
  <c r="AE712" i="1"/>
  <c r="AD712" i="1"/>
  <c r="AC712" i="1"/>
  <c r="AB712" i="1"/>
  <c r="AI711" i="1"/>
  <c r="AH711" i="1"/>
  <c r="AG711" i="1"/>
  <c r="AF711" i="1"/>
  <c r="AE711" i="1"/>
  <c r="AD711" i="1"/>
  <c r="AC711" i="1"/>
  <c r="AB711" i="1"/>
  <c r="AI710" i="1"/>
  <c r="AH710" i="1"/>
  <c r="AG710" i="1"/>
  <c r="AF710" i="1"/>
  <c r="AE710" i="1"/>
  <c r="AD710" i="1"/>
  <c r="AC710" i="1"/>
  <c r="AB710" i="1"/>
  <c r="AI709" i="1"/>
  <c r="AH709" i="1"/>
  <c r="AG709" i="1"/>
  <c r="AF709" i="1"/>
  <c r="AE709" i="1"/>
  <c r="AD709" i="1"/>
  <c r="AC709" i="1"/>
  <c r="AB709" i="1"/>
  <c r="AI708" i="1"/>
  <c r="AH708" i="1"/>
  <c r="AG708" i="1"/>
  <c r="AF708" i="1"/>
  <c r="AE708" i="1"/>
  <c r="AD708" i="1"/>
  <c r="AC708" i="1"/>
  <c r="AB708" i="1"/>
  <c r="AI707" i="1"/>
  <c r="AH707" i="1"/>
  <c r="AG707" i="1"/>
  <c r="AF707" i="1"/>
  <c r="AE707" i="1"/>
  <c r="AD707" i="1"/>
  <c r="AC707" i="1"/>
  <c r="AB707" i="1"/>
  <c r="AH706" i="1"/>
  <c r="AG706" i="1"/>
  <c r="AF706" i="1"/>
  <c r="AE706" i="1"/>
  <c r="AD706" i="1"/>
  <c r="AC706" i="1"/>
  <c r="AB706" i="1"/>
  <c r="AI705" i="1"/>
  <c r="AH705" i="1"/>
  <c r="AG705" i="1"/>
  <c r="AF705" i="1"/>
  <c r="AE705" i="1"/>
  <c r="AD705" i="1"/>
  <c r="AC705" i="1"/>
  <c r="AB705" i="1"/>
  <c r="AI704" i="1"/>
  <c r="AH704" i="1"/>
  <c r="AG704" i="1"/>
  <c r="AF704" i="1"/>
  <c r="AE704" i="1"/>
  <c r="AD704" i="1"/>
  <c r="AC704" i="1"/>
  <c r="AB704" i="1"/>
  <c r="AI703" i="1"/>
  <c r="AH703" i="1"/>
  <c r="AG703" i="1"/>
  <c r="AF703" i="1"/>
  <c r="AE703" i="1"/>
  <c r="AD703" i="1"/>
  <c r="AC703" i="1"/>
  <c r="AB703" i="1"/>
  <c r="AI702" i="1"/>
  <c r="AH702" i="1"/>
  <c r="AG702" i="1"/>
  <c r="AF702" i="1"/>
  <c r="AE702" i="1"/>
  <c r="AD702" i="1"/>
  <c r="AC702" i="1"/>
  <c r="AB702" i="1"/>
  <c r="AI701" i="1"/>
  <c r="AH701" i="1"/>
  <c r="AG701" i="1"/>
  <c r="AF701" i="1"/>
  <c r="AE701" i="1"/>
  <c r="AD701" i="1"/>
  <c r="AC701" i="1"/>
  <c r="AB701" i="1"/>
  <c r="AI700" i="1"/>
  <c r="AH700" i="1"/>
  <c r="AG700" i="1"/>
  <c r="AF700" i="1"/>
  <c r="AE700" i="1"/>
  <c r="AD700" i="1"/>
  <c r="AC700" i="1"/>
  <c r="AB700" i="1"/>
  <c r="AI699" i="1"/>
  <c r="AH699" i="1"/>
  <c r="AG699" i="1"/>
  <c r="AF699" i="1"/>
  <c r="AE699" i="1"/>
  <c r="AD699" i="1"/>
  <c r="AC699" i="1"/>
  <c r="AB699" i="1"/>
  <c r="AH698" i="1"/>
  <c r="AG698" i="1"/>
  <c r="AF698" i="1"/>
  <c r="AE698" i="1"/>
  <c r="AD698" i="1"/>
  <c r="AC698" i="1"/>
  <c r="AB698" i="1"/>
  <c r="AI697" i="1"/>
  <c r="AH697" i="1"/>
  <c r="AG697" i="1"/>
  <c r="AF697" i="1"/>
  <c r="AE697" i="1"/>
  <c r="AD697" i="1"/>
  <c r="AC697" i="1"/>
  <c r="AB697" i="1"/>
  <c r="AI696" i="1"/>
  <c r="AH696" i="1"/>
  <c r="AG696" i="1"/>
  <c r="AF696" i="1"/>
  <c r="AE696" i="1"/>
  <c r="AD696" i="1"/>
  <c r="AC696" i="1"/>
  <c r="AB696" i="1"/>
  <c r="AI695" i="1"/>
  <c r="AH695" i="1"/>
  <c r="AG695" i="1"/>
  <c r="AF695" i="1"/>
  <c r="AE695" i="1"/>
  <c r="AD695" i="1"/>
  <c r="AC695" i="1"/>
  <c r="AB695" i="1"/>
  <c r="AI694" i="1"/>
  <c r="AH694" i="1"/>
  <c r="AG694" i="1"/>
  <c r="AF694" i="1"/>
  <c r="AE694" i="1"/>
  <c r="AD694" i="1"/>
  <c r="AC694" i="1"/>
  <c r="AB694" i="1"/>
  <c r="AI693" i="1"/>
  <c r="AH693" i="1"/>
  <c r="AG693" i="1"/>
  <c r="AF693" i="1"/>
  <c r="AE693" i="1"/>
  <c r="AD693" i="1"/>
  <c r="AC693" i="1"/>
  <c r="AB693" i="1"/>
  <c r="AI692" i="1"/>
  <c r="AH692" i="1"/>
  <c r="AG692" i="1"/>
  <c r="AF692" i="1"/>
  <c r="AE692" i="1"/>
  <c r="AD692" i="1"/>
  <c r="AC692" i="1"/>
  <c r="AB692" i="1"/>
  <c r="AI691" i="1"/>
  <c r="AH691" i="1"/>
  <c r="AG691" i="1"/>
  <c r="AF691" i="1"/>
  <c r="AE691" i="1"/>
  <c r="AD691" i="1"/>
  <c r="AC691" i="1"/>
  <c r="AB691" i="1"/>
  <c r="AI690" i="1"/>
  <c r="AH690" i="1"/>
  <c r="AG690" i="1"/>
  <c r="AF690" i="1"/>
  <c r="AE690" i="1"/>
  <c r="AD690" i="1"/>
  <c r="AC690" i="1"/>
  <c r="AB690" i="1"/>
  <c r="AI689" i="1"/>
  <c r="AH689" i="1"/>
  <c r="AG689" i="1"/>
  <c r="AF689" i="1"/>
  <c r="AE689" i="1"/>
  <c r="AD689" i="1"/>
  <c r="AC689" i="1"/>
  <c r="AB689" i="1"/>
  <c r="AI688" i="1"/>
  <c r="AH688" i="1"/>
  <c r="AG688" i="1"/>
  <c r="AF688" i="1"/>
  <c r="AE688" i="1"/>
  <c r="AD688" i="1"/>
  <c r="AC688" i="1"/>
  <c r="AB688" i="1"/>
  <c r="AI687" i="1"/>
  <c r="AH687" i="1"/>
  <c r="AG687" i="1"/>
  <c r="AF687" i="1"/>
  <c r="AE687" i="1"/>
  <c r="AD687" i="1"/>
  <c r="AC687" i="1"/>
  <c r="AB687" i="1"/>
  <c r="AI686" i="1"/>
  <c r="AH686" i="1"/>
  <c r="AG686" i="1"/>
  <c r="AF686" i="1"/>
  <c r="AE686" i="1"/>
  <c r="AD686" i="1"/>
  <c r="AC686" i="1"/>
  <c r="AB686" i="1"/>
  <c r="AI685" i="1"/>
  <c r="AH685" i="1"/>
  <c r="AG685" i="1"/>
  <c r="AF685" i="1"/>
  <c r="AE685" i="1"/>
  <c r="AD685" i="1"/>
  <c r="AC685" i="1"/>
  <c r="AB685" i="1"/>
  <c r="AI684" i="1"/>
  <c r="AH684" i="1"/>
  <c r="AG684" i="1"/>
  <c r="AF684" i="1"/>
  <c r="AE684" i="1"/>
  <c r="AD684" i="1"/>
  <c r="AC684" i="1"/>
  <c r="AB684" i="1"/>
  <c r="AI683" i="1"/>
  <c r="AH683" i="1"/>
  <c r="AG683" i="1"/>
  <c r="AF683" i="1"/>
  <c r="AE683" i="1"/>
  <c r="AD683" i="1"/>
  <c r="AC683" i="1"/>
  <c r="AB683" i="1"/>
  <c r="AI682" i="1"/>
  <c r="AH682" i="1"/>
  <c r="AG682" i="1"/>
  <c r="AF682" i="1"/>
  <c r="AE682" i="1"/>
  <c r="AD682" i="1"/>
  <c r="AC682" i="1"/>
  <c r="AB682" i="1"/>
  <c r="AI681" i="1"/>
  <c r="AH681" i="1"/>
  <c r="AG681" i="1"/>
  <c r="AF681" i="1"/>
  <c r="AE681" i="1"/>
  <c r="AD681" i="1"/>
  <c r="AC681" i="1"/>
  <c r="AB681" i="1"/>
  <c r="AI680" i="1"/>
  <c r="AH680" i="1"/>
  <c r="AG680" i="1"/>
  <c r="AF680" i="1"/>
  <c r="AE680" i="1"/>
  <c r="AD680" i="1"/>
  <c r="AC680" i="1"/>
  <c r="AB680" i="1"/>
  <c r="AI679" i="1"/>
  <c r="AH679" i="1"/>
  <c r="AG679" i="1"/>
  <c r="AF679" i="1"/>
  <c r="AE679" i="1"/>
  <c r="AD679" i="1"/>
  <c r="AC679" i="1"/>
  <c r="AB679" i="1"/>
  <c r="AI678" i="1"/>
  <c r="AH678" i="1"/>
  <c r="AG678" i="1"/>
  <c r="AF678" i="1"/>
  <c r="AE678" i="1"/>
  <c r="AD678" i="1"/>
  <c r="AC678" i="1"/>
  <c r="AB678" i="1"/>
  <c r="AI677" i="1"/>
  <c r="AH677" i="1"/>
  <c r="AG677" i="1"/>
  <c r="AF677" i="1"/>
  <c r="AE677" i="1"/>
  <c r="AD677" i="1"/>
  <c r="AC677" i="1"/>
  <c r="AB677" i="1"/>
  <c r="AI676" i="1"/>
  <c r="AH676" i="1"/>
  <c r="AG676" i="1"/>
  <c r="AF676" i="1"/>
  <c r="AE676" i="1"/>
  <c r="AD676" i="1"/>
  <c r="AC676" i="1"/>
  <c r="AB676" i="1"/>
  <c r="AI675" i="1"/>
  <c r="AH675" i="1"/>
  <c r="AG675" i="1"/>
  <c r="AF675" i="1"/>
  <c r="AE675" i="1"/>
  <c r="AD675" i="1"/>
  <c r="AC675" i="1"/>
  <c r="AB675" i="1"/>
  <c r="AI674" i="1"/>
  <c r="AH674" i="1"/>
  <c r="AG674" i="1"/>
  <c r="AF674" i="1"/>
  <c r="AE674" i="1"/>
  <c r="AD674" i="1"/>
  <c r="AC674" i="1"/>
  <c r="AB674" i="1"/>
  <c r="AI673" i="1"/>
  <c r="AH673" i="1"/>
  <c r="AG673" i="1"/>
  <c r="AF673" i="1"/>
  <c r="AE673" i="1"/>
  <c r="AD673" i="1"/>
  <c r="AC673" i="1"/>
  <c r="AB673" i="1"/>
  <c r="AI672" i="1"/>
  <c r="AH672" i="1"/>
  <c r="AG672" i="1"/>
  <c r="AF672" i="1"/>
  <c r="AE672" i="1"/>
  <c r="AD672" i="1"/>
  <c r="AC672" i="1"/>
  <c r="AB672" i="1"/>
  <c r="AI671" i="1"/>
  <c r="AH671" i="1"/>
  <c r="AG671" i="1"/>
  <c r="AF671" i="1"/>
  <c r="AE671" i="1"/>
  <c r="AD671" i="1"/>
  <c r="AC671" i="1"/>
  <c r="AB671" i="1"/>
  <c r="AI670" i="1"/>
  <c r="AH670" i="1"/>
  <c r="AG670" i="1"/>
  <c r="AF670" i="1"/>
  <c r="AE670" i="1"/>
  <c r="AD670" i="1"/>
  <c r="AC670" i="1"/>
  <c r="AB670" i="1"/>
  <c r="AI669" i="1"/>
  <c r="AH669" i="1"/>
  <c r="AG669" i="1"/>
  <c r="AF669" i="1"/>
  <c r="AE669" i="1"/>
  <c r="AD669" i="1"/>
  <c r="AC669" i="1"/>
  <c r="AB669" i="1"/>
  <c r="AI668" i="1"/>
  <c r="AH668" i="1"/>
  <c r="AG668" i="1"/>
  <c r="AF668" i="1"/>
  <c r="AE668" i="1"/>
  <c r="AD668" i="1"/>
  <c r="AC668" i="1"/>
  <c r="AB668" i="1"/>
  <c r="AI667" i="1"/>
  <c r="AH667" i="1"/>
  <c r="AG667" i="1"/>
  <c r="AF667" i="1"/>
  <c r="AE667" i="1"/>
  <c r="AD667" i="1"/>
  <c r="AC667" i="1"/>
  <c r="AB667" i="1"/>
  <c r="AI666" i="1"/>
  <c r="AH666" i="1"/>
  <c r="AG666" i="1"/>
  <c r="AF666" i="1"/>
  <c r="AE666" i="1"/>
  <c r="AD666" i="1"/>
  <c r="AC666" i="1"/>
  <c r="AB666" i="1"/>
  <c r="AI665" i="1"/>
  <c r="AH665" i="1"/>
  <c r="AG665" i="1"/>
  <c r="AF665" i="1"/>
  <c r="AE665" i="1"/>
  <c r="AD665" i="1"/>
  <c r="AC665" i="1"/>
  <c r="AB665" i="1"/>
  <c r="AI664" i="1"/>
  <c r="AH664" i="1"/>
  <c r="AG664" i="1"/>
  <c r="AF664" i="1"/>
  <c r="AE664" i="1"/>
  <c r="AD664" i="1"/>
  <c r="AC664" i="1"/>
  <c r="AB664" i="1"/>
  <c r="AI663" i="1"/>
  <c r="AH663" i="1"/>
  <c r="AG663" i="1"/>
  <c r="AF663" i="1"/>
  <c r="AE663" i="1"/>
  <c r="AD663" i="1"/>
  <c r="AC663" i="1"/>
  <c r="AB663" i="1"/>
  <c r="AI662" i="1"/>
  <c r="AH662" i="1"/>
  <c r="AG662" i="1"/>
  <c r="AF662" i="1"/>
  <c r="AE662" i="1"/>
  <c r="AD662" i="1"/>
  <c r="AC662" i="1"/>
  <c r="AB662" i="1"/>
  <c r="AI661" i="1"/>
  <c r="AH661" i="1"/>
  <c r="AG661" i="1"/>
  <c r="AF661" i="1"/>
  <c r="AE661" i="1"/>
  <c r="AD661" i="1"/>
  <c r="AC661" i="1"/>
  <c r="AB661" i="1"/>
  <c r="AI660" i="1"/>
  <c r="AH660" i="1"/>
  <c r="AG660" i="1"/>
  <c r="AF660" i="1"/>
  <c r="AE660" i="1"/>
  <c r="AD660" i="1"/>
  <c r="AB660" i="1"/>
  <c r="AI659" i="1"/>
  <c r="AH659" i="1"/>
  <c r="AG659" i="1"/>
  <c r="AF659" i="1"/>
  <c r="AE659" i="1"/>
  <c r="AD659" i="1"/>
  <c r="AC659" i="1"/>
  <c r="AB659" i="1"/>
  <c r="AI658" i="1"/>
  <c r="AH658" i="1"/>
  <c r="AG658" i="1"/>
  <c r="AF658" i="1"/>
  <c r="AE658" i="1"/>
  <c r="AD658" i="1"/>
  <c r="AC658" i="1"/>
  <c r="AB658" i="1"/>
  <c r="AI657" i="1"/>
  <c r="AH657" i="1"/>
  <c r="AG657" i="1"/>
  <c r="AF657" i="1"/>
  <c r="AE657" i="1"/>
  <c r="AD657" i="1"/>
  <c r="AC657" i="1"/>
  <c r="AB657" i="1"/>
  <c r="AI656" i="1"/>
  <c r="AH656" i="1"/>
  <c r="AG656" i="1"/>
  <c r="AF656" i="1"/>
  <c r="AE656" i="1"/>
  <c r="AD656" i="1"/>
  <c r="AC656" i="1"/>
  <c r="AB656" i="1"/>
  <c r="AI655" i="1"/>
  <c r="AH655" i="1"/>
  <c r="AG655" i="1"/>
  <c r="AF655" i="1"/>
  <c r="AE655" i="1"/>
  <c r="AD655" i="1"/>
  <c r="AC655" i="1"/>
  <c r="AB655" i="1"/>
  <c r="AI654" i="1"/>
  <c r="AH654" i="1"/>
  <c r="AG654" i="1"/>
  <c r="AF654" i="1"/>
  <c r="AE654" i="1"/>
  <c r="AD654" i="1"/>
  <c r="AC654" i="1"/>
  <c r="AB654" i="1"/>
  <c r="AI653" i="1"/>
  <c r="AH653" i="1"/>
  <c r="AG653" i="1"/>
  <c r="AF653" i="1"/>
  <c r="AE653" i="1"/>
  <c r="AD653" i="1"/>
  <c r="AC653" i="1"/>
  <c r="AB653" i="1"/>
  <c r="AI652" i="1"/>
  <c r="AH652" i="1"/>
  <c r="AG652" i="1"/>
  <c r="AF652" i="1"/>
  <c r="AE652" i="1"/>
  <c r="AD652" i="1"/>
  <c r="AC652" i="1"/>
  <c r="AB652" i="1"/>
  <c r="AI651" i="1"/>
  <c r="AH651" i="1"/>
  <c r="AG651" i="1"/>
  <c r="AF651" i="1"/>
  <c r="AE651" i="1"/>
  <c r="AD651" i="1"/>
  <c r="AC651" i="1"/>
  <c r="AB651" i="1"/>
  <c r="AI650" i="1"/>
  <c r="AH650" i="1"/>
  <c r="AG650" i="1"/>
  <c r="AF650" i="1"/>
  <c r="AE650" i="1"/>
  <c r="AD650" i="1"/>
  <c r="AC650" i="1"/>
  <c r="AB650" i="1"/>
  <c r="AI649" i="1"/>
  <c r="AH649" i="1"/>
  <c r="AG649" i="1"/>
  <c r="AF649" i="1"/>
  <c r="AE649" i="1"/>
  <c r="AD649" i="1"/>
  <c r="AC649" i="1"/>
  <c r="AB649" i="1"/>
  <c r="AI648" i="1"/>
  <c r="AH648" i="1"/>
  <c r="AG648" i="1"/>
  <c r="AF648" i="1"/>
  <c r="AE648" i="1"/>
  <c r="AD648" i="1"/>
  <c r="AC648" i="1"/>
  <c r="AB648" i="1"/>
  <c r="AI647" i="1"/>
  <c r="AH647" i="1"/>
  <c r="AG647" i="1"/>
  <c r="AF647" i="1"/>
  <c r="AE647" i="1"/>
  <c r="AD647" i="1"/>
  <c r="AC647" i="1"/>
  <c r="AB647" i="1"/>
  <c r="AI646" i="1"/>
  <c r="AH646" i="1"/>
  <c r="AG646" i="1"/>
  <c r="AF646" i="1"/>
  <c r="AE646" i="1"/>
  <c r="AD646" i="1"/>
  <c r="AC646" i="1"/>
  <c r="AB646" i="1"/>
  <c r="AI645" i="1"/>
  <c r="AH645" i="1"/>
  <c r="AG645" i="1"/>
  <c r="AF645" i="1"/>
  <c r="AE645" i="1"/>
  <c r="AD645" i="1"/>
  <c r="AC645" i="1"/>
  <c r="AB645" i="1"/>
  <c r="AI644" i="1"/>
  <c r="AH644" i="1"/>
  <c r="AG644" i="1"/>
  <c r="AF644" i="1"/>
  <c r="AE644" i="1"/>
  <c r="AD644" i="1"/>
  <c r="AC644" i="1"/>
  <c r="AB644" i="1"/>
  <c r="AI643" i="1"/>
  <c r="AH643" i="1"/>
  <c r="AG643" i="1"/>
  <c r="AF643" i="1"/>
  <c r="AE643" i="1"/>
  <c r="AD643" i="1"/>
  <c r="AC643" i="1"/>
  <c r="AB643" i="1"/>
  <c r="AI642" i="1"/>
  <c r="AH642" i="1"/>
  <c r="AG642" i="1"/>
  <c r="AF642" i="1"/>
  <c r="AE642" i="1"/>
  <c r="AD642" i="1"/>
  <c r="AC642" i="1"/>
  <c r="AB642" i="1"/>
  <c r="AI641" i="1"/>
  <c r="AH641" i="1"/>
  <c r="AG641" i="1"/>
  <c r="AF641" i="1"/>
  <c r="AE641" i="1"/>
  <c r="AD641" i="1"/>
  <c r="AC641" i="1"/>
  <c r="AB641" i="1"/>
  <c r="AI640" i="1"/>
  <c r="AH640" i="1"/>
  <c r="AG640" i="1"/>
  <c r="AF640" i="1"/>
  <c r="AE640" i="1"/>
  <c r="AD640" i="1"/>
  <c r="AC640" i="1"/>
  <c r="AB640" i="1"/>
  <c r="AI639" i="1"/>
  <c r="AH639" i="1"/>
  <c r="AG639" i="1"/>
  <c r="AF639" i="1"/>
  <c r="AE639" i="1"/>
  <c r="AD639" i="1"/>
  <c r="AC639" i="1"/>
  <c r="AB639" i="1"/>
  <c r="AI638" i="1"/>
  <c r="AH638" i="1"/>
  <c r="AG638" i="1"/>
  <c r="AF638" i="1"/>
  <c r="AE638" i="1"/>
  <c r="AD638" i="1"/>
  <c r="AC638" i="1"/>
  <c r="AB638" i="1"/>
  <c r="AI637" i="1"/>
  <c r="AH637" i="1"/>
  <c r="AG637" i="1"/>
  <c r="AF637" i="1"/>
  <c r="AE637" i="1"/>
  <c r="AD637" i="1"/>
  <c r="AC637" i="1"/>
  <c r="AB637" i="1"/>
  <c r="AI636" i="1"/>
  <c r="AH636" i="1"/>
  <c r="AG636" i="1"/>
  <c r="AF636" i="1"/>
  <c r="AE636" i="1"/>
  <c r="AD636" i="1"/>
  <c r="AC636" i="1"/>
  <c r="AB636" i="1"/>
  <c r="AI635" i="1"/>
  <c r="AH635" i="1"/>
  <c r="AG635" i="1"/>
  <c r="AF635" i="1"/>
  <c r="AE635" i="1"/>
  <c r="AD635" i="1"/>
  <c r="AC635" i="1"/>
  <c r="AB635" i="1"/>
  <c r="AI634" i="1"/>
  <c r="AH634" i="1"/>
  <c r="AG634" i="1"/>
  <c r="AF634" i="1"/>
  <c r="AE634" i="1"/>
  <c r="AD634" i="1"/>
  <c r="AC634" i="1"/>
  <c r="AB634" i="1"/>
  <c r="AI633" i="1"/>
  <c r="AH633" i="1"/>
  <c r="AG633" i="1"/>
  <c r="AF633" i="1"/>
  <c r="AE633" i="1"/>
  <c r="AD633" i="1"/>
  <c r="AC633" i="1"/>
  <c r="AB633" i="1"/>
  <c r="AI632" i="1"/>
  <c r="AH632" i="1"/>
  <c r="AG632" i="1"/>
  <c r="AF632" i="1"/>
  <c r="AE632" i="1"/>
  <c r="AD632" i="1"/>
  <c r="AC632" i="1"/>
  <c r="AB632" i="1"/>
  <c r="AI631" i="1"/>
  <c r="AH631" i="1"/>
  <c r="AG631" i="1"/>
  <c r="AF631" i="1"/>
  <c r="AE631" i="1"/>
  <c r="AD631" i="1"/>
  <c r="AC631" i="1"/>
  <c r="AB631" i="1"/>
  <c r="AI630" i="1"/>
  <c r="AH630" i="1"/>
  <c r="AG630" i="1"/>
  <c r="AF630" i="1"/>
  <c r="AE630" i="1"/>
  <c r="AD630" i="1"/>
  <c r="AC630" i="1"/>
  <c r="AB630" i="1"/>
  <c r="AI629" i="1"/>
  <c r="AH629" i="1"/>
  <c r="AG629" i="1"/>
  <c r="AF629" i="1"/>
  <c r="AE629" i="1"/>
  <c r="AD629" i="1"/>
  <c r="AC629" i="1"/>
  <c r="AB629" i="1"/>
  <c r="AI628" i="1"/>
  <c r="AH628" i="1"/>
  <c r="AG628" i="1"/>
  <c r="AF628" i="1"/>
  <c r="AE628" i="1"/>
  <c r="AD628" i="1"/>
  <c r="AC628" i="1"/>
  <c r="AB628" i="1"/>
  <c r="AI627" i="1"/>
  <c r="AH627" i="1"/>
  <c r="AG627" i="1"/>
  <c r="AF627" i="1"/>
  <c r="AE627" i="1"/>
  <c r="AD627" i="1"/>
  <c r="AC627" i="1"/>
  <c r="AB627" i="1"/>
  <c r="AI626" i="1"/>
  <c r="AH626" i="1"/>
  <c r="AG626" i="1"/>
  <c r="AF626" i="1"/>
  <c r="AE626" i="1"/>
  <c r="AD626" i="1"/>
  <c r="AC626" i="1"/>
  <c r="AB626" i="1"/>
  <c r="AI625" i="1"/>
  <c r="AH625" i="1"/>
  <c r="AG625" i="1"/>
  <c r="AF625" i="1"/>
  <c r="AE625" i="1"/>
  <c r="AD625" i="1"/>
  <c r="AC625" i="1"/>
  <c r="AB625" i="1"/>
  <c r="AI624" i="1"/>
  <c r="AH624" i="1"/>
  <c r="AG624" i="1"/>
  <c r="AF624" i="1"/>
  <c r="AE624" i="1"/>
  <c r="AD624" i="1"/>
  <c r="AC624" i="1"/>
  <c r="AB624" i="1"/>
  <c r="AI623" i="1"/>
  <c r="AH623" i="1"/>
  <c r="AG623" i="1"/>
  <c r="AF623" i="1"/>
  <c r="AE623" i="1"/>
  <c r="AD623" i="1"/>
  <c r="AC623" i="1"/>
  <c r="AB623" i="1"/>
  <c r="AI622" i="1"/>
  <c r="AH622" i="1"/>
  <c r="AG622" i="1"/>
  <c r="AF622" i="1"/>
  <c r="AE622" i="1"/>
  <c r="AD622" i="1"/>
  <c r="AC622" i="1"/>
  <c r="AB622" i="1"/>
  <c r="AI621" i="1"/>
  <c r="AH621" i="1"/>
  <c r="AG621" i="1"/>
  <c r="AF621" i="1"/>
  <c r="AE621" i="1"/>
  <c r="AD621" i="1"/>
  <c r="AC621" i="1"/>
  <c r="AB621" i="1"/>
  <c r="AI620" i="1"/>
  <c r="AH620" i="1"/>
  <c r="AG620" i="1"/>
  <c r="AF620" i="1"/>
  <c r="AE620" i="1"/>
  <c r="AD620" i="1"/>
  <c r="AC620" i="1"/>
  <c r="AB620" i="1"/>
  <c r="AI619" i="1"/>
  <c r="AH619" i="1"/>
  <c r="AG619" i="1"/>
  <c r="AF619" i="1"/>
  <c r="AE619" i="1"/>
  <c r="AD619" i="1"/>
  <c r="AC619" i="1"/>
  <c r="AB619" i="1"/>
  <c r="AI618" i="1"/>
  <c r="AH618" i="1"/>
  <c r="AG618" i="1"/>
  <c r="AF618" i="1"/>
  <c r="AE618" i="1"/>
  <c r="AD618" i="1"/>
  <c r="AC618" i="1"/>
  <c r="AB618" i="1"/>
  <c r="AI617" i="1"/>
  <c r="AH617" i="1"/>
  <c r="AG617" i="1"/>
  <c r="AF617" i="1"/>
  <c r="AE617" i="1"/>
  <c r="AD617" i="1"/>
  <c r="AC617" i="1"/>
  <c r="AB617" i="1"/>
  <c r="AI616" i="1"/>
  <c r="AH616" i="1"/>
  <c r="AG616" i="1"/>
  <c r="AF616" i="1"/>
  <c r="AE616" i="1"/>
  <c r="AD616" i="1"/>
  <c r="AC616" i="1"/>
  <c r="AB616" i="1"/>
  <c r="AI615" i="1"/>
  <c r="AH615" i="1"/>
  <c r="AG615" i="1"/>
  <c r="AF615" i="1"/>
  <c r="AE615" i="1"/>
  <c r="AD615" i="1"/>
  <c r="AC615" i="1"/>
  <c r="AB615" i="1"/>
  <c r="AI614" i="1"/>
  <c r="AH614" i="1"/>
  <c r="AG614" i="1"/>
  <c r="AF614" i="1"/>
  <c r="AE614" i="1"/>
  <c r="AD614" i="1"/>
  <c r="AB614" i="1"/>
  <c r="AI613" i="1"/>
  <c r="AH613" i="1"/>
  <c r="AG613" i="1"/>
  <c r="AF613" i="1"/>
  <c r="AE613" i="1"/>
  <c r="AD613" i="1"/>
  <c r="AC613" i="1"/>
  <c r="AB613" i="1"/>
  <c r="AI612" i="1"/>
  <c r="AH612" i="1"/>
  <c r="AG612" i="1"/>
  <c r="AF612" i="1"/>
  <c r="AE612" i="1"/>
  <c r="AD612" i="1"/>
  <c r="AC612" i="1"/>
  <c r="AB612" i="1"/>
  <c r="AI611" i="1"/>
  <c r="AH611" i="1"/>
  <c r="AG611" i="1"/>
  <c r="AF611" i="1"/>
  <c r="AE611" i="1"/>
  <c r="AD611" i="1"/>
  <c r="AC611" i="1"/>
  <c r="AB611" i="1"/>
  <c r="AI610" i="1"/>
  <c r="AH610" i="1"/>
  <c r="AG610" i="1"/>
  <c r="AF610" i="1"/>
  <c r="AE610" i="1"/>
  <c r="AD610" i="1"/>
  <c r="AC610" i="1"/>
  <c r="AB610" i="1"/>
  <c r="AI609" i="1"/>
  <c r="AH609" i="1"/>
  <c r="AG609" i="1"/>
  <c r="AF609" i="1"/>
  <c r="AE609" i="1"/>
  <c r="AD609" i="1"/>
  <c r="AC609" i="1"/>
  <c r="AB609" i="1"/>
  <c r="AI608" i="1"/>
  <c r="AH608" i="1"/>
  <c r="AG608" i="1"/>
  <c r="AF608" i="1"/>
  <c r="AE608" i="1"/>
  <c r="AD608" i="1"/>
  <c r="AC608" i="1"/>
  <c r="AB608" i="1"/>
  <c r="AI607" i="1"/>
  <c r="AH607" i="1"/>
  <c r="AG607" i="1"/>
  <c r="AF607" i="1"/>
  <c r="AE607" i="1"/>
  <c r="AD607" i="1"/>
  <c r="AC607" i="1"/>
  <c r="AB607" i="1"/>
  <c r="AI606" i="1"/>
  <c r="AH606" i="1"/>
  <c r="AG606" i="1"/>
  <c r="AF606" i="1"/>
  <c r="AE606" i="1"/>
  <c r="AD606" i="1"/>
  <c r="AC606" i="1"/>
  <c r="AB606" i="1"/>
  <c r="AI605" i="1"/>
  <c r="AH605" i="1"/>
  <c r="AG605" i="1"/>
  <c r="AF605" i="1"/>
  <c r="AE605" i="1"/>
  <c r="AD605" i="1"/>
  <c r="AC605" i="1"/>
  <c r="AB605" i="1"/>
  <c r="AI604" i="1"/>
  <c r="AH604" i="1"/>
  <c r="AG604" i="1"/>
  <c r="AF604" i="1"/>
  <c r="AE604" i="1"/>
  <c r="AD604" i="1"/>
  <c r="AC604" i="1"/>
  <c r="AB604" i="1"/>
  <c r="AI603" i="1"/>
  <c r="AH603" i="1"/>
  <c r="AG603" i="1"/>
  <c r="AF603" i="1"/>
  <c r="AE603" i="1"/>
  <c r="AD603" i="1"/>
  <c r="AC603" i="1"/>
  <c r="AB603" i="1"/>
  <c r="AI602" i="1"/>
  <c r="AH602" i="1"/>
  <c r="AG602" i="1"/>
  <c r="AF602" i="1"/>
  <c r="AE602" i="1"/>
  <c r="AD602" i="1"/>
  <c r="AC602" i="1"/>
  <c r="AB602" i="1"/>
  <c r="AI601" i="1"/>
  <c r="AH601" i="1"/>
  <c r="AG601" i="1"/>
  <c r="AF601" i="1"/>
  <c r="AE601" i="1"/>
  <c r="AD601" i="1"/>
  <c r="AC601" i="1"/>
  <c r="AB601" i="1"/>
  <c r="AI600" i="1"/>
  <c r="AH600" i="1"/>
  <c r="AG600" i="1"/>
  <c r="AF600" i="1"/>
  <c r="AE600" i="1"/>
  <c r="AD600" i="1"/>
  <c r="AC600" i="1"/>
  <c r="AB600" i="1"/>
  <c r="AI599" i="1"/>
  <c r="AH599" i="1"/>
  <c r="AG599" i="1"/>
  <c r="AF599" i="1"/>
  <c r="AE599" i="1"/>
  <c r="AD599" i="1"/>
  <c r="AC599" i="1"/>
  <c r="AB599" i="1"/>
  <c r="AI598" i="1"/>
  <c r="AH598" i="1"/>
  <c r="AG598" i="1"/>
  <c r="AF598" i="1"/>
  <c r="AE598" i="1"/>
  <c r="AD598" i="1"/>
  <c r="AC598" i="1"/>
  <c r="AB598" i="1"/>
  <c r="AI597" i="1"/>
  <c r="AH597" i="1"/>
  <c r="AG597" i="1"/>
  <c r="AF597" i="1"/>
  <c r="AE597" i="1"/>
  <c r="AD597" i="1"/>
  <c r="AC597" i="1"/>
  <c r="AB597" i="1"/>
  <c r="AI596" i="1"/>
  <c r="AH596" i="1"/>
  <c r="AG596" i="1"/>
  <c r="AF596" i="1"/>
  <c r="AE596" i="1"/>
  <c r="AD596" i="1"/>
  <c r="AC596" i="1"/>
  <c r="AB596" i="1"/>
  <c r="AI595" i="1"/>
  <c r="AH595" i="1"/>
  <c r="AG595" i="1"/>
  <c r="AF595" i="1"/>
  <c r="AE595" i="1"/>
  <c r="AD595" i="1"/>
  <c r="AC595" i="1"/>
  <c r="AB595" i="1"/>
  <c r="AI594" i="1"/>
  <c r="AH594" i="1"/>
  <c r="AG594" i="1"/>
  <c r="AF594" i="1"/>
  <c r="AE594" i="1"/>
  <c r="AD594" i="1"/>
  <c r="AC594" i="1"/>
  <c r="AB594" i="1"/>
  <c r="AI593" i="1"/>
  <c r="AH593" i="1"/>
  <c r="AG593" i="1"/>
  <c r="AF593" i="1"/>
  <c r="AE593" i="1"/>
  <c r="AD593" i="1"/>
  <c r="AC593" i="1"/>
  <c r="AB593" i="1"/>
  <c r="AI592" i="1"/>
  <c r="AH592" i="1"/>
  <c r="AG592" i="1"/>
  <c r="AF592" i="1"/>
  <c r="AE592" i="1"/>
  <c r="AD592" i="1"/>
  <c r="AC592" i="1"/>
  <c r="AB592" i="1"/>
  <c r="AI591" i="1"/>
  <c r="AH591" i="1"/>
  <c r="AG591" i="1"/>
  <c r="AF591" i="1"/>
  <c r="AE591" i="1"/>
  <c r="AD591" i="1"/>
  <c r="AC591" i="1"/>
  <c r="AB591" i="1"/>
  <c r="AI590" i="1"/>
  <c r="AH590" i="1"/>
  <c r="AG590" i="1"/>
  <c r="AF590" i="1"/>
  <c r="AE590" i="1"/>
  <c r="AD590" i="1"/>
  <c r="AC590" i="1"/>
  <c r="AB590" i="1"/>
  <c r="AI589" i="1"/>
  <c r="AH589" i="1"/>
  <c r="AG589" i="1"/>
  <c r="AF589" i="1"/>
  <c r="AE589" i="1"/>
  <c r="AD589" i="1"/>
  <c r="AC589" i="1"/>
  <c r="AB589" i="1"/>
  <c r="AI588" i="1"/>
  <c r="AH588" i="1"/>
  <c r="AG588" i="1"/>
  <c r="AF588" i="1"/>
  <c r="AE588" i="1"/>
  <c r="AD588" i="1"/>
  <c r="AC588" i="1"/>
  <c r="AB588" i="1"/>
  <c r="AI587" i="1"/>
  <c r="AH587" i="1"/>
  <c r="AG587" i="1"/>
  <c r="AF587" i="1"/>
  <c r="AE587" i="1"/>
  <c r="AD587" i="1"/>
  <c r="AC587" i="1"/>
  <c r="AB587" i="1"/>
  <c r="AI586" i="1"/>
  <c r="AH586" i="1"/>
  <c r="AG586" i="1"/>
  <c r="AF586" i="1"/>
  <c r="AE586" i="1"/>
  <c r="AD586" i="1"/>
  <c r="AC586" i="1"/>
  <c r="AB586" i="1"/>
  <c r="AI585" i="1"/>
  <c r="AH585" i="1"/>
  <c r="AG585" i="1"/>
  <c r="AF585" i="1"/>
  <c r="AE585" i="1"/>
  <c r="AD585" i="1"/>
  <c r="AC585" i="1"/>
  <c r="AB585" i="1"/>
  <c r="AI584" i="1"/>
  <c r="AH584" i="1"/>
  <c r="AG584" i="1"/>
  <c r="AF584" i="1"/>
  <c r="AE584" i="1"/>
  <c r="AD584" i="1"/>
  <c r="AC584" i="1"/>
  <c r="AB584" i="1"/>
  <c r="AI583" i="1"/>
  <c r="AH583" i="1"/>
  <c r="AG583" i="1"/>
  <c r="AF583" i="1"/>
  <c r="AE583" i="1"/>
  <c r="AD583" i="1"/>
  <c r="AC583" i="1"/>
  <c r="AB583" i="1"/>
  <c r="AI582" i="1"/>
  <c r="AH582" i="1"/>
  <c r="AG582" i="1"/>
  <c r="AF582" i="1"/>
  <c r="AE582" i="1"/>
  <c r="AD582" i="1"/>
  <c r="AC582" i="1"/>
  <c r="AB582" i="1"/>
  <c r="AI581" i="1"/>
  <c r="AH581" i="1"/>
  <c r="AG581" i="1"/>
  <c r="AF581" i="1"/>
  <c r="AE581" i="1"/>
  <c r="AD581" i="1"/>
  <c r="AC581" i="1"/>
  <c r="AB581" i="1"/>
  <c r="AI580" i="1"/>
  <c r="AH580" i="1"/>
  <c r="AG580" i="1"/>
  <c r="AF580" i="1"/>
  <c r="AE580" i="1"/>
  <c r="AD580" i="1"/>
  <c r="AC580" i="1"/>
  <c r="AB580" i="1"/>
  <c r="AI579" i="1"/>
  <c r="AH579" i="1"/>
  <c r="AG579" i="1"/>
  <c r="AF579" i="1"/>
  <c r="AE579" i="1"/>
  <c r="AD579" i="1"/>
  <c r="AC579" i="1"/>
  <c r="AB579" i="1"/>
  <c r="AI578" i="1"/>
  <c r="AH578" i="1"/>
  <c r="AG578" i="1"/>
  <c r="AF578" i="1"/>
  <c r="AE578" i="1"/>
  <c r="AD578" i="1"/>
  <c r="AB578" i="1"/>
  <c r="AI577" i="1"/>
  <c r="AH577" i="1"/>
  <c r="AG577" i="1"/>
  <c r="AF577" i="1"/>
  <c r="AE577" i="1"/>
  <c r="AD577" i="1"/>
  <c r="AC577" i="1"/>
  <c r="AB577" i="1"/>
  <c r="AI576" i="1"/>
  <c r="AH576" i="1"/>
  <c r="AG576" i="1"/>
  <c r="AF576" i="1"/>
  <c r="AE576" i="1"/>
  <c r="AD576" i="1"/>
  <c r="AC576" i="1"/>
  <c r="AB576" i="1"/>
  <c r="AI575" i="1"/>
  <c r="AH575" i="1"/>
  <c r="AG575" i="1"/>
  <c r="AF575" i="1"/>
  <c r="AE575" i="1"/>
  <c r="AD575" i="1"/>
  <c r="AC575" i="1"/>
  <c r="AB575" i="1"/>
  <c r="AI574" i="1"/>
  <c r="AH574" i="1"/>
  <c r="AG574" i="1"/>
  <c r="AF574" i="1"/>
  <c r="AE574" i="1"/>
  <c r="AD574" i="1"/>
  <c r="AC574" i="1"/>
  <c r="AB574" i="1"/>
  <c r="AH573" i="1"/>
  <c r="AG573" i="1"/>
  <c r="AF573" i="1"/>
  <c r="AE573" i="1"/>
  <c r="AD573" i="1"/>
  <c r="AC573" i="1"/>
  <c r="AB573" i="1"/>
  <c r="AI572" i="1"/>
  <c r="AH572" i="1"/>
  <c r="AG572" i="1"/>
  <c r="AF572" i="1"/>
  <c r="AE572" i="1"/>
  <c r="AD572" i="1"/>
  <c r="AC572" i="1"/>
  <c r="AB572" i="1"/>
  <c r="AI571" i="1"/>
  <c r="AH571" i="1"/>
  <c r="AG571" i="1"/>
  <c r="AF571" i="1"/>
  <c r="AE571" i="1"/>
  <c r="AD571" i="1"/>
  <c r="AC571" i="1"/>
  <c r="AB571" i="1"/>
  <c r="AI570" i="1"/>
  <c r="AH570" i="1"/>
  <c r="AG570" i="1"/>
  <c r="AF570" i="1"/>
  <c r="AE570" i="1"/>
  <c r="AD570" i="1"/>
  <c r="AC570" i="1"/>
  <c r="AB570" i="1"/>
  <c r="AI569" i="1"/>
  <c r="AH569" i="1"/>
  <c r="AG569" i="1"/>
  <c r="AF569" i="1"/>
  <c r="AE569" i="1"/>
  <c r="AD569" i="1"/>
  <c r="AC569" i="1"/>
  <c r="AB569" i="1"/>
  <c r="AI568" i="1"/>
  <c r="AH568" i="1"/>
  <c r="AG568" i="1"/>
  <c r="AF568" i="1"/>
  <c r="AE568" i="1"/>
  <c r="AD568" i="1"/>
  <c r="AC568" i="1"/>
  <c r="AB568" i="1"/>
  <c r="AI567" i="1"/>
  <c r="AH567" i="1"/>
  <c r="AG567" i="1"/>
  <c r="AF567" i="1"/>
  <c r="AE567" i="1"/>
  <c r="AD567" i="1"/>
  <c r="AC567" i="1"/>
  <c r="AB567" i="1"/>
  <c r="AI566" i="1"/>
  <c r="AH566" i="1"/>
  <c r="AG566" i="1"/>
  <c r="AF566" i="1"/>
  <c r="AE566" i="1"/>
  <c r="AD566" i="1"/>
  <c r="AC566" i="1"/>
  <c r="AB566" i="1"/>
  <c r="AI565" i="1"/>
  <c r="AH565" i="1"/>
  <c r="AG565" i="1"/>
  <c r="AF565" i="1"/>
  <c r="AE565" i="1"/>
  <c r="AD565" i="1"/>
  <c r="AC565" i="1"/>
  <c r="AB565" i="1"/>
  <c r="AI564" i="1"/>
  <c r="AH564" i="1"/>
  <c r="AG564" i="1"/>
  <c r="AF564" i="1"/>
  <c r="AE564" i="1"/>
  <c r="AD564" i="1"/>
  <c r="AC564" i="1"/>
  <c r="AB564" i="1"/>
  <c r="AI563" i="1"/>
  <c r="AH563" i="1"/>
  <c r="AG563" i="1"/>
  <c r="AF563" i="1"/>
  <c r="AE563" i="1"/>
  <c r="AD563" i="1"/>
  <c r="AC563" i="1"/>
  <c r="AB563" i="1"/>
  <c r="AI562" i="1"/>
  <c r="AH562" i="1"/>
  <c r="AG562" i="1"/>
  <c r="AF562" i="1"/>
  <c r="AE562" i="1"/>
  <c r="AD562" i="1"/>
  <c r="AC562" i="1"/>
  <c r="AB562" i="1"/>
  <c r="AI561" i="1"/>
  <c r="AH561" i="1"/>
  <c r="AG561" i="1"/>
  <c r="AF561" i="1"/>
  <c r="AE561" i="1"/>
  <c r="AD561" i="1"/>
  <c r="AC561" i="1"/>
  <c r="AB561" i="1"/>
  <c r="AI560" i="1"/>
  <c r="AH560" i="1"/>
  <c r="AG560" i="1"/>
  <c r="AF560" i="1"/>
  <c r="AE560" i="1"/>
  <c r="AD560" i="1"/>
  <c r="AC560" i="1"/>
  <c r="AB560" i="1"/>
  <c r="AI559" i="1"/>
  <c r="AH559" i="1"/>
  <c r="AG559" i="1"/>
  <c r="AF559" i="1"/>
  <c r="AE559" i="1"/>
  <c r="AD559" i="1"/>
  <c r="AC559" i="1"/>
  <c r="AB559" i="1"/>
  <c r="AI558" i="1"/>
  <c r="AH558" i="1"/>
  <c r="AG558" i="1"/>
  <c r="AF558" i="1"/>
  <c r="AE558" i="1"/>
  <c r="AD558" i="1"/>
  <c r="AC558" i="1"/>
  <c r="AB558" i="1"/>
  <c r="AI557" i="1"/>
  <c r="AH557" i="1"/>
  <c r="AG557" i="1"/>
  <c r="AF557" i="1"/>
  <c r="AE557" i="1"/>
  <c r="AD557" i="1"/>
  <c r="AC557" i="1"/>
  <c r="AB557" i="1"/>
  <c r="AI556" i="1"/>
  <c r="AH556" i="1"/>
  <c r="AG556" i="1"/>
  <c r="AF556" i="1"/>
  <c r="AE556" i="1"/>
  <c r="AD556" i="1"/>
  <c r="AB556" i="1"/>
  <c r="AI555" i="1"/>
  <c r="AH555" i="1"/>
  <c r="AG555" i="1"/>
  <c r="AF555" i="1"/>
  <c r="AE555" i="1"/>
  <c r="AD555" i="1"/>
  <c r="AC555" i="1"/>
  <c r="AB555" i="1"/>
  <c r="AI554" i="1"/>
  <c r="AH554" i="1"/>
  <c r="AG554" i="1"/>
  <c r="AF554" i="1"/>
  <c r="AE554" i="1"/>
  <c r="AD554" i="1"/>
  <c r="AC554" i="1"/>
  <c r="AB554" i="1"/>
  <c r="AI553" i="1"/>
  <c r="AH553" i="1"/>
  <c r="AG553" i="1"/>
  <c r="AF553" i="1"/>
  <c r="AE553" i="1"/>
  <c r="AD553" i="1"/>
  <c r="AC553" i="1"/>
  <c r="AB553" i="1"/>
  <c r="AI552" i="1"/>
  <c r="AH552" i="1"/>
  <c r="AG552" i="1"/>
  <c r="AF552" i="1"/>
  <c r="AE552" i="1"/>
  <c r="AD552" i="1"/>
  <c r="AC552" i="1"/>
  <c r="AB552" i="1"/>
  <c r="AI551" i="1"/>
  <c r="AH551" i="1"/>
  <c r="AG551" i="1"/>
  <c r="AF551" i="1"/>
  <c r="AE551" i="1"/>
  <c r="AD551" i="1"/>
  <c r="AC551" i="1"/>
  <c r="AB551" i="1"/>
  <c r="AI550" i="1"/>
  <c r="AH550" i="1"/>
  <c r="AG550" i="1"/>
  <c r="AF550" i="1"/>
  <c r="AE550" i="1"/>
  <c r="AD550" i="1"/>
  <c r="AC550" i="1"/>
  <c r="AB550" i="1"/>
  <c r="AI549" i="1"/>
  <c r="AH549" i="1"/>
  <c r="AG549" i="1"/>
  <c r="AF549" i="1"/>
  <c r="AE549" i="1"/>
  <c r="AD549" i="1"/>
  <c r="AC549" i="1"/>
  <c r="AB549" i="1"/>
  <c r="AI548" i="1"/>
  <c r="AH548" i="1"/>
  <c r="AG548" i="1"/>
  <c r="AF548" i="1"/>
  <c r="AE548" i="1"/>
  <c r="AD548" i="1"/>
  <c r="AC548" i="1"/>
  <c r="AB548" i="1"/>
  <c r="AI547" i="1"/>
  <c r="AH547" i="1"/>
  <c r="AG547" i="1"/>
  <c r="AF547" i="1"/>
  <c r="AE547" i="1"/>
  <c r="AD547" i="1"/>
  <c r="AC547" i="1"/>
  <c r="AB547" i="1"/>
  <c r="AI546" i="1"/>
  <c r="AH546" i="1"/>
  <c r="AG546" i="1"/>
  <c r="AF546" i="1"/>
  <c r="AE546" i="1"/>
  <c r="AD546" i="1"/>
  <c r="AC546" i="1"/>
  <c r="AB546" i="1"/>
  <c r="AI545" i="1"/>
  <c r="AH545" i="1"/>
  <c r="AG545" i="1"/>
  <c r="AF545" i="1"/>
  <c r="AE545" i="1"/>
  <c r="AD545" i="1"/>
  <c r="AC545" i="1"/>
  <c r="AB545" i="1"/>
  <c r="AI544" i="1"/>
  <c r="AH544" i="1"/>
  <c r="AG544" i="1"/>
  <c r="AF544" i="1"/>
  <c r="AE544" i="1"/>
  <c r="AD544" i="1"/>
  <c r="AC544" i="1"/>
  <c r="AB544" i="1"/>
  <c r="AI543" i="1"/>
  <c r="AH543" i="1"/>
  <c r="AG543" i="1"/>
  <c r="AF543" i="1"/>
  <c r="AE543" i="1"/>
  <c r="AD543" i="1"/>
  <c r="AC543" i="1"/>
  <c r="AB543" i="1"/>
  <c r="AI542" i="1"/>
  <c r="AH542" i="1"/>
  <c r="AG542" i="1"/>
  <c r="AF542" i="1"/>
  <c r="AE542" i="1"/>
  <c r="AD542" i="1"/>
  <c r="AC542" i="1"/>
  <c r="AB542" i="1"/>
  <c r="AI541" i="1"/>
  <c r="AH541" i="1"/>
  <c r="AG541" i="1"/>
  <c r="AF541" i="1"/>
  <c r="AE541" i="1"/>
  <c r="AD541" i="1"/>
  <c r="AC541" i="1"/>
  <c r="AB541" i="1"/>
  <c r="AI540" i="1"/>
  <c r="AH540" i="1"/>
  <c r="AG540" i="1"/>
  <c r="AF540" i="1"/>
  <c r="AE540" i="1"/>
  <c r="AD540" i="1"/>
  <c r="AC540" i="1"/>
  <c r="AB540" i="1"/>
  <c r="AI539" i="1"/>
  <c r="AH539" i="1"/>
  <c r="AG539" i="1"/>
  <c r="AF539" i="1"/>
  <c r="AE539" i="1"/>
  <c r="AD539" i="1"/>
  <c r="AC539" i="1"/>
  <c r="AB539" i="1"/>
  <c r="AI538" i="1"/>
  <c r="AH538" i="1"/>
  <c r="AG538" i="1"/>
  <c r="AF538" i="1"/>
  <c r="AE538" i="1"/>
  <c r="AD538" i="1"/>
  <c r="AC538" i="1"/>
  <c r="AB538" i="1"/>
  <c r="AI537" i="1"/>
  <c r="AH537" i="1"/>
  <c r="AG537" i="1"/>
  <c r="AF537" i="1"/>
  <c r="AE537" i="1"/>
  <c r="AD537" i="1"/>
  <c r="AC537" i="1"/>
  <c r="AB537" i="1"/>
  <c r="AI536" i="1"/>
  <c r="AH536" i="1"/>
  <c r="AG536" i="1"/>
  <c r="AF536" i="1"/>
  <c r="AE536" i="1"/>
  <c r="AD536" i="1"/>
  <c r="AC536" i="1"/>
  <c r="AB536" i="1"/>
  <c r="AI535" i="1"/>
  <c r="AH535" i="1"/>
  <c r="AG535" i="1"/>
  <c r="AF535" i="1"/>
  <c r="AE535" i="1"/>
  <c r="AD535" i="1"/>
  <c r="AC535" i="1"/>
  <c r="AB535" i="1"/>
  <c r="AI534" i="1"/>
  <c r="AH534" i="1"/>
  <c r="AG534" i="1"/>
  <c r="AF534" i="1"/>
  <c r="AE534" i="1"/>
  <c r="AD534" i="1"/>
  <c r="AC534" i="1"/>
  <c r="AB534" i="1"/>
  <c r="AH533" i="1"/>
  <c r="AG533" i="1"/>
  <c r="AF533" i="1"/>
  <c r="AE533" i="1"/>
  <c r="AD533" i="1"/>
  <c r="AC533" i="1"/>
  <c r="AB533" i="1"/>
  <c r="AI532" i="1"/>
  <c r="AH532" i="1"/>
  <c r="AG532" i="1"/>
  <c r="AF532" i="1"/>
  <c r="AE532" i="1"/>
  <c r="AD532" i="1"/>
  <c r="AC532" i="1"/>
  <c r="AB532" i="1"/>
  <c r="AI531" i="1"/>
  <c r="AH531" i="1"/>
  <c r="AG531" i="1"/>
  <c r="AF531" i="1"/>
  <c r="AE531" i="1"/>
  <c r="AD531" i="1"/>
  <c r="AC531" i="1"/>
  <c r="AB531" i="1"/>
  <c r="AI530" i="1"/>
  <c r="AH530" i="1"/>
  <c r="AG530" i="1"/>
  <c r="AF530" i="1"/>
  <c r="AE530" i="1"/>
  <c r="AD530" i="1"/>
  <c r="AC530" i="1"/>
  <c r="AB530" i="1"/>
  <c r="AI529" i="1"/>
  <c r="AH529" i="1"/>
  <c r="AG529" i="1"/>
  <c r="AF529" i="1"/>
  <c r="AE529" i="1"/>
  <c r="AD529" i="1"/>
  <c r="AC529" i="1"/>
  <c r="AB529" i="1"/>
  <c r="AI528" i="1"/>
  <c r="AH528" i="1"/>
  <c r="AG528" i="1"/>
  <c r="AF528" i="1"/>
  <c r="AE528" i="1"/>
  <c r="AD528" i="1"/>
  <c r="AC528" i="1"/>
  <c r="AB528" i="1"/>
  <c r="AI527" i="1"/>
  <c r="AH527" i="1"/>
  <c r="AG527" i="1"/>
  <c r="AF527" i="1"/>
  <c r="AE527" i="1"/>
  <c r="AD527" i="1"/>
  <c r="AC527" i="1"/>
  <c r="AB527" i="1"/>
  <c r="AI526" i="1"/>
  <c r="AH526" i="1"/>
  <c r="AG526" i="1"/>
  <c r="AF526" i="1"/>
  <c r="AE526" i="1"/>
  <c r="AD526" i="1"/>
  <c r="AC526" i="1"/>
  <c r="AB526" i="1"/>
  <c r="AI525" i="1"/>
  <c r="AH525" i="1"/>
  <c r="AG525" i="1"/>
  <c r="AF525" i="1"/>
  <c r="AE525" i="1"/>
  <c r="AD525" i="1"/>
  <c r="AC525" i="1"/>
  <c r="AB525" i="1"/>
  <c r="AI524" i="1"/>
  <c r="AH524" i="1"/>
  <c r="AG524" i="1"/>
  <c r="AF524" i="1"/>
  <c r="AE524" i="1"/>
  <c r="AD524" i="1"/>
  <c r="AC524" i="1"/>
  <c r="AB524" i="1"/>
  <c r="AI523" i="1"/>
  <c r="AH523" i="1"/>
  <c r="AG523" i="1"/>
  <c r="AF523" i="1"/>
  <c r="AE523" i="1"/>
  <c r="AD523" i="1"/>
  <c r="AC523" i="1"/>
  <c r="AB523" i="1"/>
  <c r="AI522" i="1"/>
  <c r="AH522" i="1"/>
  <c r="AG522" i="1"/>
  <c r="AF522" i="1"/>
  <c r="AE522" i="1"/>
  <c r="AD522" i="1"/>
  <c r="AC522" i="1"/>
  <c r="AB522" i="1"/>
  <c r="AI521" i="1"/>
  <c r="AH521" i="1"/>
  <c r="AG521" i="1"/>
  <c r="AF521" i="1"/>
  <c r="AE521" i="1"/>
  <c r="AD521" i="1"/>
  <c r="AC521" i="1"/>
  <c r="AB521" i="1"/>
  <c r="AI520" i="1"/>
  <c r="AH520" i="1"/>
  <c r="AG520" i="1"/>
  <c r="AF520" i="1"/>
  <c r="AE520" i="1"/>
  <c r="AD520" i="1"/>
  <c r="AC520" i="1"/>
  <c r="AB520" i="1"/>
  <c r="AI519" i="1"/>
  <c r="AH519" i="1"/>
  <c r="AG519" i="1"/>
  <c r="AF519" i="1"/>
  <c r="AE519" i="1"/>
  <c r="AD519" i="1"/>
  <c r="AC519" i="1"/>
  <c r="AB519" i="1"/>
  <c r="AI518" i="1"/>
  <c r="AH518" i="1"/>
  <c r="AG518" i="1"/>
  <c r="AF518" i="1"/>
  <c r="AE518" i="1"/>
  <c r="AD518" i="1"/>
  <c r="AC518" i="1"/>
  <c r="AB518" i="1"/>
  <c r="AI517" i="1"/>
  <c r="AH517" i="1"/>
  <c r="AG517" i="1"/>
  <c r="AF517" i="1"/>
  <c r="AE517" i="1"/>
  <c r="AD517" i="1"/>
  <c r="AC517" i="1"/>
  <c r="AB517" i="1"/>
  <c r="AI516" i="1"/>
  <c r="AH516" i="1"/>
  <c r="AG516" i="1"/>
  <c r="AF516" i="1"/>
  <c r="AE516" i="1"/>
  <c r="AD516" i="1"/>
  <c r="AC516" i="1"/>
  <c r="AB516" i="1"/>
  <c r="AI515" i="1"/>
  <c r="AH515" i="1"/>
  <c r="AG515" i="1"/>
  <c r="AF515" i="1"/>
  <c r="AE515" i="1"/>
  <c r="AD515" i="1"/>
  <c r="AC515" i="1"/>
  <c r="AB515" i="1"/>
  <c r="AI514" i="1"/>
  <c r="AH514" i="1"/>
  <c r="AG514" i="1"/>
  <c r="AF514" i="1"/>
  <c r="AE514" i="1"/>
  <c r="AD514" i="1"/>
  <c r="AC514" i="1"/>
  <c r="AB514" i="1"/>
  <c r="AI513" i="1"/>
  <c r="AH513" i="1"/>
  <c r="AG513" i="1"/>
  <c r="AF513" i="1"/>
  <c r="AE513" i="1"/>
  <c r="AD513" i="1"/>
  <c r="AC513" i="1"/>
  <c r="AB513" i="1"/>
  <c r="AI512" i="1"/>
  <c r="AH512" i="1"/>
  <c r="AG512" i="1"/>
  <c r="AF512" i="1"/>
  <c r="AE512" i="1"/>
  <c r="AD512" i="1"/>
  <c r="AC512" i="1"/>
  <c r="AB512" i="1"/>
  <c r="AI511" i="1"/>
  <c r="AH511" i="1"/>
  <c r="AG511" i="1"/>
  <c r="AF511" i="1"/>
  <c r="AE511" i="1"/>
  <c r="AD511" i="1"/>
  <c r="AC511" i="1"/>
  <c r="AB511" i="1"/>
  <c r="AI510" i="1"/>
  <c r="AH510" i="1"/>
  <c r="AG510" i="1"/>
  <c r="AF510" i="1"/>
  <c r="AE510" i="1"/>
  <c r="AD510" i="1"/>
  <c r="AC510" i="1"/>
  <c r="AB510" i="1"/>
  <c r="AI509" i="1"/>
  <c r="AH509" i="1"/>
  <c r="AG509" i="1"/>
  <c r="AF509" i="1"/>
  <c r="AE509" i="1"/>
  <c r="AD509" i="1"/>
  <c r="AC509" i="1"/>
  <c r="AB509" i="1"/>
  <c r="AI508" i="1"/>
  <c r="AH508" i="1"/>
  <c r="AG508" i="1"/>
  <c r="AF508" i="1"/>
  <c r="AE508" i="1"/>
  <c r="AD508" i="1"/>
  <c r="AC508" i="1"/>
  <c r="AB508" i="1"/>
  <c r="AI507" i="1"/>
  <c r="AH507" i="1"/>
  <c r="AG507" i="1"/>
  <c r="AF507" i="1"/>
  <c r="AE507" i="1"/>
  <c r="AD507" i="1"/>
  <c r="AC507" i="1"/>
  <c r="AB507" i="1"/>
  <c r="AI506" i="1"/>
  <c r="AH506" i="1"/>
  <c r="AG506" i="1"/>
  <c r="AF506" i="1"/>
  <c r="AE506" i="1"/>
  <c r="AD506" i="1"/>
  <c r="AC506" i="1"/>
  <c r="AB506" i="1"/>
  <c r="AI505" i="1"/>
  <c r="AH505" i="1"/>
  <c r="AG505" i="1"/>
  <c r="AF505" i="1"/>
  <c r="AE505" i="1"/>
  <c r="AD505" i="1"/>
  <c r="AC505" i="1"/>
  <c r="AB505" i="1"/>
  <c r="AI504" i="1"/>
  <c r="AH504" i="1"/>
  <c r="AG504" i="1"/>
  <c r="AF504" i="1"/>
  <c r="AE504" i="1"/>
  <c r="AD504" i="1"/>
  <c r="AC504" i="1"/>
  <c r="AB504" i="1"/>
  <c r="AI503" i="1"/>
  <c r="AH503" i="1"/>
  <c r="AG503" i="1"/>
  <c r="AF503" i="1"/>
  <c r="AE503" i="1"/>
  <c r="AD503" i="1"/>
  <c r="AC503" i="1"/>
  <c r="AB503" i="1"/>
  <c r="AI502" i="1"/>
  <c r="AH502" i="1"/>
  <c r="AG502" i="1"/>
  <c r="AF502" i="1"/>
  <c r="AE502" i="1"/>
  <c r="AD502" i="1"/>
  <c r="AC502" i="1"/>
  <c r="AB502" i="1"/>
  <c r="AI501" i="1"/>
  <c r="AH501" i="1"/>
  <c r="AG501" i="1"/>
  <c r="AF501" i="1"/>
  <c r="AE501" i="1"/>
  <c r="AD501" i="1"/>
  <c r="AC501" i="1"/>
  <c r="AB501" i="1"/>
  <c r="AI500" i="1"/>
  <c r="AH500" i="1"/>
  <c r="AG500" i="1"/>
  <c r="AF500" i="1"/>
  <c r="AE500" i="1"/>
  <c r="AD500" i="1"/>
  <c r="AC500" i="1"/>
  <c r="AB500" i="1"/>
  <c r="AI499" i="1"/>
  <c r="AH499" i="1"/>
  <c r="AG499" i="1"/>
  <c r="AF499" i="1"/>
  <c r="AE499" i="1"/>
  <c r="AD499" i="1"/>
  <c r="AC499" i="1"/>
  <c r="AB499" i="1"/>
  <c r="AI498" i="1"/>
  <c r="AH498" i="1"/>
  <c r="AG498" i="1"/>
  <c r="AF498" i="1"/>
  <c r="AE498" i="1"/>
  <c r="AD498" i="1"/>
  <c r="AC498" i="1"/>
  <c r="AB498" i="1"/>
  <c r="AI497" i="1"/>
  <c r="AH497" i="1"/>
  <c r="AG497" i="1"/>
  <c r="AF497" i="1"/>
  <c r="AE497" i="1"/>
  <c r="AD497" i="1"/>
  <c r="AC497" i="1"/>
  <c r="AB497" i="1"/>
  <c r="AI496" i="1"/>
  <c r="AH496" i="1"/>
  <c r="AG496" i="1"/>
  <c r="AF496" i="1"/>
  <c r="AE496" i="1"/>
  <c r="AD496" i="1"/>
  <c r="AC496" i="1"/>
  <c r="AB496" i="1"/>
  <c r="AI495" i="1"/>
  <c r="AH495" i="1"/>
  <c r="AG495" i="1"/>
  <c r="AF495" i="1"/>
  <c r="AE495" i="1"/>
  <c r="AD495" i="1"/>
  <c r="AC495" i="1"/>
  <c r="AB495" i="1"/>
  <c r="AI494" i="1"/>
  <c r="AH494" i="1"/>
  <c r="AG494" i="1"/>
  <c r="AF494" i="1"/>
  <c r="AE494" i="1"/>
  <c r="AD494" i="1"/>
  <c r="AC494" i="1"/>
  <c r="AB494" i="1"/>
  <c r="AI493" i="1"/>
  <c r="AH493" i="1"/>
  <c r="AG493" i="1"/>
  <c r="AF493" i="1"/>
  <c r="AE493" i="1"/>
  <c r="AD493" i="1"/>
  <c r="AC493" i="1"/>
  <c r="AB493" i="1"/>
  <c r="AI492" i="1"/>
  <c r="AH492" i="1"/>
  <c r="AG492" i="1"/>
  <c r="AF492" i="1"/>
  <c r="AE492" i="1"/>
  <c r="AD492" i="1"/>
  <c r="AC492" i="1"/>
  <c r="AB492" i="1"/>
  <c r="AI491" i="1"/>
  <c r="AH491" i="1"/>
  <c r="AG491" i="1"/>
  <c r="AF491" i="1"/>
  <c r="AE491" i="1"/>
  <c r="AD491" i="1"/>
  <c r="AC491" i="1"/>
  <c r="AB491" i="1"/>
  <c r="AI490" i="1"/>
  <c r="AH490" i="1"/>
  <c r="AG490" i="1"/>
  <c r="AF490" i="1"/>
  <c r="AE490" i="1"/>
  <c r="AD490" i="1"/>
  <c r="AC490" i="1"/>
  <c r="AB490" i="1"/>
  <c r="AI489" i="1"/>
  <c r="AH489" i="1"/>
  <c r="AG489" i="1"/>
  <c r="AF489" i="1"/>
  <c r="AE489" i="1"/>
  <c r="AD489" i="1"/>
  <c r="AC489" i="1"/>
  <c r="AB489" i="1"/>
  <c r="AI488" i="1"/>
  <c r="AH488" i="1"/>
  <c r="AG488" i="1"/>
  <c r="AF488" i="1"/>
  <c r="AE488" i="1"/>
  <c r="AD488" i="1"/>
  <c r="AC488" i="1"/>
  <c r="AB488" i="1"/>
  <c r="AI487" i="1"/>
  <c r="AH487" i="1"/>
  <c r="AG487" i="1"/>
  <c r="AF487" i="1"/>
  <c r="AE487" i="1"/>
  <c r="AD487" i="1"/>
  <c r="AC487" i="1"/>
  <c r="AB487" i="1"/>
  <c r="AI486" i="1"/>
  <c r="AH486" i="1"/>
  <c r="AG486" i="1"/>
  <c r="AF486" i="1"/>
  <c r="AE486" i="1"/>
  <c r="AD486" i="1"/>
  <c r="AC486" i="1"/>
  <c r="AB486" i="1"/>
  <c r="AI485" i="1"/>
  <c r="AH485" i="1"/>
  <c r="AG485" i="1"/>
  <c r="AF485" i="1"/>
  <c r="AE485" i="1"/>
  <c r="AD485" i="1"/>
  <c r="AC485" i="1"/>
  <c r="AB485" i="1"/>
  <c r="AI484" i="1"/>
  <c r="AH484" i="1"/>
  <c r="AG484" i="1"/>
  <c r="AF484" i="1"/>
  <c r="AE484" i="1"/>
  <c r="AD484" i="1"/>
  <c r="AC484" i="1"/>
  <c r="AB484" i="1"/>
  <c r="AI483" i="1"/>
  <c r="AH483" i="1"/>
  <c r="AG483" i="1"/>
  <c r="AF483" i="1"/>
  <c r="AE483" i="1"/>
  <c r="AD483" i="1"/>
  <c r="AC483" i="1"/>
  <c r="AB483" i="1"/>
  <c r="AH482" i="1"/>
  <c r="AG482" i="1"/>
  <c r="AF482" i="1"/>
  <c r="AE482" i="1"/>
  <c r="AD482" i="1"/>
  <c r="AC482" i="1"/>
  <c r="AB482" i="1"/>
  <c r="AI481" i="1"/>
  <c r="AH481" i="1"/>
  <c r="AG481" i="1"/>
  <c r="AF481" i="1"/>
  <c r="AE481" i="1"/>
  <c r="AD481" i="1"/>
  <c r="AC481" i="1"/>
  <c r="AB481" i="1"/>
  <c r="AI480" i="1"/>
  <c r="AH480" i="1"/>
  <c r="AG480" i="1"/>
  <c r="AF480" i="1"/>
  <c r="AE480" i="1"/>
  <c r="AD480" i="1"/>
  <c r="AB480" i="1"/>
  <c r="AI479" i="1"/>
  <c r="AH479" i="1"/>
  <c r="AG479" i="1"/>
  <c r="AF479" i="1"/>
  <c r="AE479" i="1"/>
  <c r="AD479" i="1"/>
  <c r="AC479" i="1"/>
  <c r="AB479" i="1"/>
  <c r="AI478" i="1"/>
  <c r="AH478" i="1"/>
  <c r="AG478" i="1"/>
  <c r="AF478" i="1"/>
  <c r="AE478" i="1"/>
  <c r="AD478" i="1"/>
  <c r="AC478" i="1"/>
  <c r="AB478" i="1"/>
  <c r="AI477" i="1"/>
  <c r="AH477" i="1"/>
  <c r="AG477" i="1"/>
  <c r="AF477" i="1"/>
  <c r="AE477" i="1"/>
  <c r="AD477" i="1"/>
  <c r="AC477" i="1"/>
  <c r="AB477" i="1"/>
  <c r="AI476" i="1"/>
  <c r="AH476" i="1"/>
  <c r="AG476" i="1"/>
  <c r="AF476" i="1"/>
  <c r="AE476" i="1"/>
  <c r="AD476" i="1"/>
  <c r="AC476" i="1"/>
  <c r="AB476" i="1"/>
  <c r="AI475" i="1"/>
  <c r="AH475" i="1"/>
  <c r="AG475" i="1"/>
  <c r="AF475" i="1"/>
  <c r="AE475" i="1"/>
  <c r="AD475" i="1"/>
  <c r="AC475" i="1"/>
  <c r="AB475" i="1"/>
  <c r="AI474" i="1"/>
  <c r="AH474" i="1"/>
  <c r="AG474" i="1"/>
  <c r="AF474" i="1"/>
  <c r="AE474" i="1"/>
  <c r="AD474" i="1"/>
  <c r="AC474" i="1"/>
  <c r="AB474" i="1"/>
  <c r="AI473" i="1"/>
  <c r="AH473" i="1"/>
  <c r="AG473" i="1"/>
  <c r="AF473" i="1"/>
  <c r="AE473" i="1"/>
  <c r="AD473" i="1"/>
  <c r="AC473" i="1"/>
  <c r="AB473" i="1"/>
  <c r="AI472" i="1"/>
  <c r="AH472" i="1"/>
  <c r="AG472" i="1"/>
  <c r="AF472" i="1"/>
  <c r="AE472" i="1"/>
  <c r="AD472" i="1"/>
  <c r="AC472" i="1"/>
  <c r="AB472" i="1"/>
  <c r="AI471" i="1"/>
  <c r="AH471" i="1"/>
  <c r="AG471" i="1"/>
  <c r="AF471" i="1"/>
  <c r="AE471" i="1"/>
  <c r="AD471" i="1"/>
  <c r="AC471" i="1"/>
  <c r="AB471" i="1"/>
  <c r="AI470" i="1"/>
  <c r="AH470" i="1"/>
  <c r="AG470" i="1"/>
  <c r="AF470" i="1"/>
  <c r="AE470" i="1"/>
  <c r="AD470" i="1"/>
  <c r="AC470" i="1"/>
  <c r="AB470" i="1"/>
  <c r="AI469" i="1"/>
  <c r="AH469" i="1"/>
  <c r="AG469" i="1"/>
  <c r="AF469" i="1"/>
  <c r="AE469" i="1"/>
  <c r="AD469" i="1"/>
  <c r="AC469" i="1"/>
  <c r="AB469" i="1"/>
  <c r="AI468" i="1"/>
  <c r="AH468" i="1"/>
  <c r="AG468" i="1"/>
  <c r="AF468" i="1"/>
  <c r="AE468" i="1"/>
  <c r="AD468" i="1"/>
  <c r="AC468" i="1"/>
  <c r="AB468" i="1"/>
  <c r="AI467" i="1"/>
  <c r="AH467" i="1"/>
  <c r="AG467" i="1"/>
  <c r="AF467" i="1"/>
  <c r="AE467" i="1"/>
  <c r="AD467" i="1"/>
  <c r="AC467" i="1"/>
  <c r="AB467" i="1"/>
  <c r="AI466" i="1"/>
  <c r="AH466" i="1"/>
  <c r="AG466" i="1"/>
  <c r="AF466" i="1"/>
  <c r="AE466" i="1"/>
  <c r="AD466" i="1"/>
  <c r="AC466" i="1"/>
  <c r="AB466" i="1"/>
  <c r="AI465" i="1"/>
  <c r="AH465" i="1"/>
  <c r="AG465" i="1"/>
  <c r="AF465" i="1"/>
  <c r="AE465" i="1"/>
  <c r="AD465" i="1"/>
  <c r="AC465" i="1"/>
  <c r="AB465" i="1"/>
  <c r="AI464" i="1"/>
  <c r="AH464" i="1"/>
  <c r="AG464" i="1"/>
  <c r="AF464" i="1"/>
  <c r="AE464" i="1"/>
  <c r="AD464" i="1"/>
  <c r="AC464" i="1"/>
  <c r="AB464" i="1"/>
  <c r="AI463" i="1"/>
  <c r="AH463" i="1"/>
  <c r="AG463" i="1"/>
  <c r="AF463" i="1"/>
  <c r="AE463" i="1"/>
  <c r="AD463" i="1"/>
  <c r="AC463" i="1"/>
  <c r="AB463" i="1"/>
  <c r="AI462" i="1"/>
  <c r="AH462" i="1"/>
  <c r="AG462" i="1"/>
  <c r="AF462" i="1"/>
  <c r="AE462" i="1"/>
  <c r="AD462" i="1"/>
  <c r="AB462" i="1"/>
  <c r="AI461" i="1"/>
  <c r="AH461" i="1"/>
  <c r="AG461" i="1"/>
  <c r="AF461" i="1"/>
  <c r="AE461" i="1"/>
  <c r="AD461" i="1"/>
  <c r="AC461" i="1"/>
  <c r="AB461" i="1"/>
  <c r="AI460" i="1"/>
  <c r="AH460" i="1"/>
  <c r="AG460" i="1"/>
  <c r="AF460" i="1"/>
  <c r="AE460" i="1"/>
  <c r="AD460" i="1"/>
  <c r="AC460" i="1"/>
  <c r="AB460" i="1"/>
  <c r="AI459" i="1"/>
  <c r="AH459" i="1"/>
  <c r="AG459" i="1"/>
  <c r="AF459" i="1"/>
  <c r="AE459" i="1"/>
  <c r="AD459" i="1"/>
  <c r="AC459" i="1"/>
  <c r="AB459" i="1"/>
  <c r="AI458" i="1"/>
  <c r="AH458" i="1"/>
  <c r="AG458" i="1"/>
  <c r="AF458" i="1"/>
  <c r="AE458" i="1"/>
  <c r="AD458" i="1"/>
  <c r="AC458" i="1"/>
  <c r="AB458" i="1"/>
  <c r="AI457" i="1"/>
  <c r="AH457" i="1"/>
  <c r="AG457" i="1"/>
  <c r="AF457" i="1"/>
  <c r="AE457" i="1"/>
  <c r="AD457" i="1"/>
  <c r="AC457" i="1"/>
  <c r="AB457" i="1"/>
  <c r="AI456" i="1"/>
  <c r="AH456" i="1"/>
  <c r="AG456" i="1"/>
  <c r="AF456" i="1"/>
  <c r="AE456" i="1"/>
  <c r="AD456" i="1"/>
  <c r="AC456" i="1"/>
  <c r="AB456" i="1"/>
  <c r="AI455" i="1"/>
  <c r="AH455" i="1"/>
  <c r="AG455" i="1"/>
  <c r="AF455" i="1"/>
  <c r="AE455" i="1"/>
  <c r="AD455" i="1"/>
  <c r="AC455" i="1"/>
  <c r="AB455" i="1"/>
  <c r="AI454" i="1"/>
  <c r="AH454" i="1"/>
  <c r="AG454" i="1"/>
  <c r="AF454" i="1"/>
  <c r="AE454" i="1"/>
  <c r="AD454" i="1"/>
  <c r="AC454" i="1"/>
  <c r="AB454" i="1"/>
  <c r="AI453" i="1"/>
  <c r="AH453" i="1"/>
  <c r="AG453" i="1"/>
  <c r="AF453" i="1"/>
  <c r="AE453" i="1"/>
  <c r="AD453" i="1"/>
  <c r="AC453" i="1"/>
  <c r="AB453" i="1"/>
  <c r="AI452" i="1"/>
  <c r="AH452" i="1"/>
  <c r="AG452" i="1"/>
  <c r="AF452" i="1"/>
  <c r="AE452" i="1"/>
  <c r="AD452" i="1"/>
  <c r="AC452" i="1"/>
  <c r="AB452" i="1"/>
  <c r="AI451" i="1"/>
  <c r="AH451" i="1"/>
  <c r="AG451" i="1"/>
  <c r="AF451" i="1"/>
  <c r="AE451" i="1"/>
  <c r="AD451" i="1"/>
  <c r="AC451" i="1"/>
  <c r="AB451" i="1"/>
  <c r="AI450" i="1"/>
  <c r="AH450" i="1"/>
  <c r="AG450" i="1"/>
  <c r="AF450" i="1"/>
  <c r="AE450" i="1"/>
  <c r="AD450" i="1"/>
  <c r="AC450" i="1"/>
  <c r="AB450" i="1"/>
  <c r="AI449" i="1"/>
  <c r="AH449" i="1"/>
  <c r="AG449" i="1"/>
  <c r="AF449" i="1"/>
  <c r="AE449" i="1"/>
  <c r="AD449" i="1"/>
  <c r="AC449" i="1"/>
  <c r="AB449" i="1"/>
  <c r="AI448" i="1"/>
  <c r="AH448" i="1"/>
  <c r="AG448" i="1"/>
  <c r="AF448" i="1"/>
  <c r="AE448" i="1"/>
  <c r="AD448" i="1"/>
  <c r="AC448" i="1"/>
  <c r="AB448" i="1"/>
  <c r="AI447" i="1"/>
  <c r="AH447" i="1"/>
  <c r="AG447" i="1"/>
  <c r="AF447" i="1"/>
  <c r="AE447" i="1"/>
  <c r="AD447" i="1"/>
  <c r="AC447" i="1"/>
  <c r="AB447" i="1"/>
  <c r="AI446" i="1"/>
  <c r="AH446" i="1"/>
  <c r="AG446" i="1"/>
  <c r="AF446" i="1"/>
  <c r="AE446" i="1"/>
  <c r="AD446" i="1"/>
  <c r="AC446" i="1"/>
  <c r="AB446" i="1"/>
  <c r="AI445" i="1"/>
  <c r="AH445" i="1"/>
  <c r="AG445" i="1"/>
  <c r="AF445" i="1"/>
  <c r="AE445" i="1"/>
  <c r="AD445" i="1"/>
  <c r="AC445" i="1"/>
  <c r="AB445" i="1"/>
  <c r="AI444" i="1"/>
  <c r="AH444" i="1"/>
  <c r="AG444" i="1"/>
  <c r="AF444" i="1"/>
  <c r="AE444" i="1"/>
  <c r="AD444" i="1"/>
  <c r="AC444" i="1"/>
  <c r="AB444" i="1"/>
  <c r="AI443" i="1"/>
  <c r="AH443" i="1"/>
  <c r="AG443" i="1"/>
  <c r="AF443" i="1"/>
  <c r="AE443" i="1"/>
  <c r="AD443" i="1"/>
  <c r="AC443" i="1"/>
  <c r="AB443" i="1"/>
  <c r="AI442" i="1"/>
  <c r="AH442" i="1"/>
  <c r="AG442" i="1"/>
  <c r="AF442" i="1"/>
  <c r="AE442" i="1"/>
  <c r="AD442" i="1"/>
  <c r="AC442" i="1"/>
  <c r="AB442" i="1"/>
  <c r="AI441" i="1"/>
  <c r="AH441" i="1"/>
  <c r="AG441" i="1"/>
  <c r="AF441" i="1"/>
  <c r="AE441" i="1"/>
  <c r="AD441" i="1"/>
  <c r="AC441" i="1"/>
  <c r="AB441" i="1"/>
  <c r="AI440" i="1"/>
  <c r="AH440" i="1"/>
  <c r="AG440" i="1"/>
  <c r="AF440" i="1"/>
  <c r="AE440" i="1"/>
  <c r="AD440" i="1"/>
  <c r="AC440" i="1"/>
  <c r="AB440" i="1"/>
  <c r="AI439" i="1"/>
  <c r="AH439" i="1"/>
  <c r="AG439" i="1"/>
  <c r="AF439" i="1"/>
  <c r="AE439" i="1"/>
  <c r="AD439" i="1"/>
  <c r="AC439" i="1"/>
  <c r="AB439" i="1"/>
  <c r="AI438" i="1"/>
  <c r="AH438" i="1"/>
  <c r="AG438" i="1"/>
  <c r="AF438" i="1"/>
  <c r="AE438" i="1"/>
  <c r="AD438" i="1"/>
  <c r="AC438" i="1"/>
  <c r="AB438" i="1"/>
  <c r="AI437" i="1"/>
  <c r="AH437" i="1"/>
  <c r="AG437" i="1"/>
  <c r="AF437" i="1"/>
  <c r="AE437" i="1"/>
  <c r="AD437" i="1"/>
  <c r="AC437" i="1"/>
  <c r="AB437" i="1"/>
  <c r="AI436" i="1"/>
  <c r="AH436" i="1"/>
  <c r="AG436" i="1"/>
  <c r="AF436" i="1"/>
  <c r="AE436" i="1"/>
  <c r="AD436" i="1"/>
  <c r="AC436" i="1"/>
  <c r="AB436" i="1"/>
  <c r="AI435" i="1"/>
  <c r="AH435" i="1"/>
  <c r="AG435" i="1"/>
  <c r="AF435" i="1"/>
  <c r="AE435" i="1"/>
  <c r="AD435" i="1"/>
  <c r="AC435" i="1"/>
  <c r="AB435" i="1"/>
  <c r="AI434" i="1"/>
  <c r="AH434" i="1"/>
  <c r="AG434" i="1"/>
  <c r="AF434" i="1"/>
  <c r="AE434" i="1"/>
  <c r="AD434" i="1"/>
  <c r="AC434" i="1"/>
  <c r="AB434" i="1"/>
  <c r="AI433" i="1"/>
  <c r="AH433" i="1"/>
  <c r="AG433" i="1"/>
  <c r="AF433" i="1"/>
  <c r="AE433" i="1"/>
  <c r="AD433" i="1"/>
  <c r="AC433" i="1"/>
  <c r="AB433" i="1"/>
  <c r="AI432" i="1"/>
  <c r="AH432" i="1"/>
  <c r="AG432" i="1"/>
  <c r="AF432" i="1"/>
  <c r="AE432" i="1"/>
  <c r="AD432" i="1"/>
  <c r="AC432" i="1"/>
  <c r="AB432" i="1"/>
  <c r="AI431" i="1"/>
  <c r="AH431" i="1"/>
  <c r="AG431" i="1"/>
  <c r="AF431" i="1"/>
  <c r="AE431" i="1"/>
  <c r="AD431" i="1"/>
  <c r="AC431" i="1"/>
  <c r="AB431" i="1"/>
  <c r="AI430" i="1"/>
  <c r="AH430" i="1"/>
  <c r="AG430" i="1"/>
  <c r="AF430" i="1"/>
  <c r="AE430" i="1"/>
  <c r="AD430" i="1"/>
  <c r="AC430" i="1"/>
  <c r="AB430" i="1"/>
  <c r="AI429" i="1"/>
  <c r="AH429" i="1"/>
  <c r="AG429" i="1"/>
  <c r="AF429" i="1"/>
  <c r="AE429" i="1"/>
  <c r="AD429" i="1"/>
  <c r="AB429" i="1"/>
  <c r="AI428" i="1"/>
  <c r="AH428" i="1"/>
  <c r="AG428" i="1"/>
  <c r="AF428" i="1"/>
  <c r="AE428" i="1"/>
  <c r="AD428" i="1"/>
  <c r="AC428" i="1"/>
  <c r="AB428" i="1"/>
  <c r="AI427" i="1"/>
  <c r="AH427" i="1"/>
  <c r="AG427" i="1"/>
  <c r="AF427" i="1"/>
  <c r="AE427" i="1"/>
  <c r="AD427" i="1"/>
  <c r="AC427" i="1"/>
  <c r="AB427" i="1"/>
  <c r="AI426" i="1"/>
  <c r="AH426" i="1"/>
  <c r="AG426" i="1"/>
  <c r="AF426" i="1"/>
  <c r="AE426" i="1"/>
  <c r="AD426" i="1"/>
  <c r="AC426" i="1"/>
  <c r="AB426" i="1"/>
  <c r="AI425" i="1"/>
  <c r="AH425" i="1"/>
  <c r="AG425" i="1"/>
  <c r="AF425" i="1"/>
  <c r="AE425" i="1"/>
  <c r="AD425" i="1"/>
  <c r="AC425" i="1"/>
  <c r="AB425" i="1"/>
  <c r="AI424" i="1"/>
  <c r="AH424" i="1"/>
  <c r="AG424" i="1"/>
  <c r="AF424" i="1"/>
  <c r="AE424" i="1"/>
  <c r="AD424" i="1"/>
  <c r="AC424" i="1"/>
  <c r="AB424" i="1"/>
  <c r="AI423" i="1"/>
  <c r="AH423" i="1"/>
  <c r="AG423" i="1"/>
  <c r="AF423" i="1"/>
  <c r="AE423" i="1"/>
  <c r="AD423" i="1"/>
  <c r="AC423" i="1"/>
  <c r="AB423" i="1"/>
  <c r="AI422" i="1"/>
  <c r="AH422" i="1"/>
  <c r="AG422" i="1"/>
  <c r="AF422" i="1"/>
  <c r="AE422" i="1"/>
  <c r="AD422" i="1"/>
  <c r="AC422" i="1"/>
  <c r="AB422" i="1"/>
  <c r="AI421" i="1"/>
  <c r="AH421" i="1"/>
  <c r="AG421" i="1"/>
  <c r="AF421" i="1"/>
  <c r="AE421" i="1"/>
  <c r="AD421" i="1"/>
  <c r="AC421" i="1"/>
  <c r="AB421" i="1"/>
  <c r="AI420" i="1"/>
  <c r="AH420" i="1"/>
  <c r="AG420" i="1"/>
  <c r="AF420" i="1"/>
  <c r="AE420" i="1"/>
  <c r="AD420" i="1"/>
  <c r="AC420" i="1"/>
  <c r="AB420" i="1"/>
  <c r="AI419" i="1"/>
  <c r="AH419" i="1"/>
  <c r="AG419" i="1"/>
  <c r="AF419" i="1"/>
  <c r="AE419" i="1"/>
  <c r="AD419" i="1"/>
  <c r="AC419" i="1"/>
  <c r="AB419" i="1"/>
  <c r="AI418" i="1"/>
  <c r="AH418" i="1"/>
  <c r="AG418" i="1"/>
  <c r="AF418" i="1"/>
  <c r="AE418" i="1"/>
  <c r="AD418" i="1"/>
  <c r="AC418" i="1"/>
  <c r="AB418" i="1"/>
  <c r="AI417" i="1"/>
  <c r="AH417" i="1"/>
  <c r="AG417" i="1"/>
  <c r="AF417" i="1"/>
  <c r="AE417" i="1"/>
  <c r="AD417" i="1"/>
  <c r="AC417" i="1"/>
  <c r="AB417" i="1"/>
  <c r="AI416" i="1"/>
  <c r="AH416" i="1"/>
  <c r="AG416" i="1"/>
  <c r="AF416" i="1"/>
  <c r="AE416" i="1"/>
  <c r="AD416" i="1"/>
  <c r="AC416" i="1"/>
  <c r="AB416" i="1"/>
  <c r="AI415" i="1"/>
  <c r="AH415" i="1"/>
  <c r="AG415" i="1"/>
  <c r="AF415" i="1"/>
  <c r="AE415" i="1"/>
  <c r="AD415" i="1"/>
  <c r="AC415" i="1"/>
  <c r="AB415" i="1"/>
  <c r="AI414" i="1"/>
  <c r="AH414" i="1"/>
  <c r="AG414" i="1"/>
  <c r="AF414" i="1"/>
  <c r="AE414" i="1"/>
  <c r="AD414" i="1"/>
  <c r="AC414" i="1"/>
  <c r="AB414" i="1"/>
  <c r="AI413" i="1"/>
  <c r="AH413" i="1"/>
  <c r="AG413" i="1"/>
  <c r="AF413" i="1"/>
  <c r="AE413" i="1"/>
  <c r="AD413" i="1"/>
  <c r="AC413" i="1"/>
  <c r="AB413" i="1"/>
  <c r="AI412" i="1"/>
  <c r="AH412" i="1"/>
  <c r="AG412" i="1"/>
  <c r="AF412" i="1"/>
  <c r="AE412" i="1"/>
  <c r="AD412" i="1"/>
  <c r="AC412" i="1"/>
  <c r="AB412" i="1"/>
  <c r="AI411" i="1"/>
  <c r="AH411" i="1"/>
  <c r="AG411" i="1"/>
  <c r="AF411" i="1"/>
  <c r="AE411" i="1"/>
  <c r="AD411" i="1"/>
  <c r="AC411" i="1"/>
  <c r="AB411" i="1"/>
  <c r="AI410" i="1"/>
  <c r="AH410" i="1"/>
  <c r="AG410" i="1"/>
  <c r="AF410" i="1"/>
  <c r="AE410" i="1"/>
  <c r="AD410" i="1"/>
  <c r="AC410" i="1"/>
  <c r="AB410" i="1"/>
  <c r="AI409" i="1"/>
  <c r="AH409" i="1"/>
  <c r="AG409" i="1"/>
  <c r="AF409" i="1"/>
  <c r="AE409" i="1"/>
  <c r="AD409" i="1"/>
  <c r="AC409" i="1"/>
  <c r="AB409" i="1"/>
  <c r="AI408" i="1"/>
  <c r="AH408" i="1"/>
  <c r="AG408" i="1"/>
  <c r="AF408" i="1"/>
  <c r="AE408" i="1"/>
  <c r="AD408" i="1"/>
  <c r="AC408" i="1"/>
  <c r="AB408" i="1"/>
  <c r="AH407" i="1"/>
  <c r="AG407" i="1"/>
  <c r="AF407" i="1"/>
  <c r="AE407" i="1"/>
  <c r="AD407" i="1"/>
  <c r="AC407" i="1"/>
  <c r="AB407" i="1"/>
  <c r="AI406" i="1"/>
  <c r="AH406" i="1"/>
  <c r="AG406" i="1"/>
  <c r="AF406" i="1"/>
  <c r="AE406" i="1"/>
  <c r="AD406" i="1"/>
  <c r="AC406" i="1"/>
  <c r="AB406" i="1"/>
  <c r="AI405" i="1"/>
  <c r="AH405" i="1"/>
  <c r="AG405" i="1"/>
  <c r="AF405" i="1"/>
  <c r="AE405" i="1"/>
  <c r="AD405" i="1"/>
  <c r="AC405" i="1"/>
  <c r="AB405" i="1"/>
  <c r="AH404" i="1"/>
  <c r="AG404" i="1"/>
  <c r="AF404" i="1"/>
  <c r="AE404" i="1"/>
  <c r="AD404" i="1"/>
  <c r="AC404" i="1"/>
  <c r="AB404" i="1"/>
  <c r="AI403" i="1"/>
  <c r="AH403" i="1"/>
  <c r="AG403" i="1"/>
  <c r="AF403" i="1"/>
  <c r="AE403" i="1"/>
  <c r="AD403" i="1"/>
  <c r="AC403" i="1"/>
  <c r="AB403" i="1"/>
  <c r="AI402" i="1"/>
  <c r="AH402" i="1"/>
  <c r="AG402" i="1"/>
  <c r="AF402" i="1"/>
  <c r="AE402" i="1"/>
  <c r="AD402" i="1"/>
  <c r="AC402" i="1"/>
  <c r="AB402" i="1"/>
  <c r="AI401" i="1"/>
  <c r="AH401" i="1"/>
  <c r="AG401" i="1"/>
  <c r="AF401" i="1"/>
  <c r="AE401" i="1"/>
  <c r="AD401" i="1"/>
  <c r="AC401" i="1"/>
  <c r="AB401" i="1"/>
  <c r="AI400" i="1"/>
  <c r="AH400" i="1"/>
  <c r="AG400" i="1"/>
  <c r="AF400" i="1"/>
  <c r="AE400" i="1"/>
  <c r="AD400" i="1"/>
  <c r="AC400" i="1"/>
  <c r="AB400" i="1"/>
  <c r="AI399" i="1"/>
  <c r="AH399" i="1"/>
  <c r="AG399" i="1"/>
  <c r="AF399" i="1"/>
  <c r="AE399" i="1"/>
  <c r="AD399" i="1"/>
  <c r="AC399" i="1"/>
  <c r="AB399" i="1"/>
  <c r="AI398" i="1"/>
  <c r="AH398" i="1"/>
  <c r="AG398" i="1"/>
  <c r="AF398" i="1"/>
  <c r="AE398" i="1"/>
  <c r="AD398" i="1"/>
  <c r="AC398" i="1"/>
  <c r="AB398" i="1"/>
  <c r="AI397" i="1"/>
  <c r="AH397" i="1"/>
  <c r="AG397" i="1"/>
  <c r="AF397" i="1"/>
  <c r="AE397" i="1"/>
  <c r="AD397" i="1"/>
  <c r="AC397" i="1"/>
  <c r="AB397" i="1"/>
  <c r="AI396" i="1"/>
  <c r="AH396" i="1"/>
  <c r="AG396" i="1"/>
  <c r="AF396" i="1"/>
  <c r="AE396" i="1"/>
  <c r="AD396" i="1"/>
  <c r="AC396" i="1"/>
  <c r="AB396" i="1"/>
  <c r="AI395" i="1"/>
  <c r="AH395" i="1"/>
  <c r="AG395" i="1"/>
  <c r="AF395" i="1"/>
  <c r="AE395" i="1"/>
  <c r="AD395" i="1"/>
  <c r="AC395" i="1"/>
  <c r="AB395" i="1"/>
  <c r="AI394" i="1"/>
  <c r="AH394" i="1"/>
  <c r="AG394" i="1"/>
  <c r="AF394" i="1"/>
  <c r="AE394" i="1"/>
  <c r="AD394" i="1"/>
  <c r="AC394" i="1"/>
  <c r="AB394" i="1"/>
  <c r="AI393" i="1"/>
  <c r="AH393" i="1"/>
  <c r="AG393" i="1"/>
  <c r="AF393" i="1"/>
  <c r="AE393" i="1"/>
  <c r="AD393" i="1"/>
  <c r="AC393" i="1"/>
  <c r="AB393" i="1"/>
  <c r="AI392" i="1"/>
  <c r="AH392" i="1"/>
  <c r="AG392" i="1"/>
  <c r="AF392" i="1"/>
  <c r="AE392" i="1"/>
  <c r="AD392" i="1"/>
  <c r="AC392" i="1"/>
  <c r="AB392" i="1"/>
  <c r="AI391" i="1"/>
  <c r="AH391" i="1"/>
  <c r="AG391" i="1"/>
  <c r="AF391" i="1"/>
  <c r="AE391" i="1"/>
  <c r="AD391" i="1"/>
  <c r="AC391" i="1"/>
  <c r="AB391" i="1"/>
  <c r="AI390" i="1"/>
  <c r="AH390" i="1"/>
  <c r="AG390" i="1"/>
  <c r="AF390" i="1"/>
  <c r="AE390" i="1"/>
  <c r="AD390" i="1"/>
  <c r="AC390" i="1"/>
  <c r="AB390" i="1"/>
  <c r="AI389" i="1"/>
  <c r="AH389" i="1"/>
  <c r="AG389" i="1"/>
  <c r="AF389" i="1"/>
  <c r="AE389" i="1"/>
  <c r="AD389" i="1"/>
  <c r="AC389" i="1"/>
  <c r="AB389" i="1"/>
  <c r="AI388" i="1"/>
  <c r="AH388" i="1"/>
  <c r="AG388" i="1"/>
  <c r="AF388" i="1"/>
  <c r="AE388" i="1"/>
  <c r="AD388" i="1"/>
  <c r="AC388" i="1"/>
  <c r="AB388" i="1"/>
  <c r="AI387" i="1"/>
  <c r="AH387" i="1"/>
  <c r="AG387" i="1"/>
  <c r="AF387" i="1"/>
  <c r="AE387" i="1"/>
  <c r="AD387" i="1"/>
  <c r="AC387" i="1"/>
  <c r="AB387" i="1"/>
  <c r="AI386" i="1"/>
  <c r="AH386" i="1"/>
  <c r="AG386" i="1"/>
  <c r="AF386" i="1"/>
  <c r="AE386" i="1"/>
  <c r="AD386" i="1"/>
  <c r="AC386" i="1"/>
  <c r="AB386" i="1"/>
  <c r="AI385" i="1"/>
  <c r="AH385" i="1"/>
  <c r="AG385" i="1"/>
  <c r="AF385" i="1"/>
  <c r="AE385" i="1"/>
  <c r="AD385" i="1"/>
  <c r="AC385" i="1"/>
  <c r="AB385" i="1"/>
  <c r="AI384" i="1"/>
  <c r="AH384" i="1"/>
  <c r="AG384" i="1"/>
  <c r="AF384" i="1"/>
  <c r="AE384" i="1"/>
  <c r="AD384" i="1"/>
  <c r="AC384" i="1"/>
  <c r="AB384" i="1"/>
  <c r="AI383" i="1"/>
  <c r="AH383" i="1"/>
  <c r="AG383" i="1"/>
  <c r="AF383" i="1"/>
  <c r="AE383" i="1"/>
  <c r="AD383" i="1"/>
  <c r="AC383" i="1"/>
  <c r="AB383" i="1"/>
  <c r="AI382" i="1"/>
  <c r="AH382" i="1"/>
  <c r="AG382" i="1"/>
  <c r="AF382" i="1"/>
  <c r="AE382" i="1"/>
  <c r="AD382" i="1"/>
  <c r="AC382" i="1"/>
  <c r="AB382" i="1"/>
  <c r="AI381" i="1"/>
  <c r="AH381" i="1"/>
  <c r="AG381" i="1"/>
  <c r="AF381" i="1"/>
  <c r="AE381" i="1"/>
  <c r="AD381" i="1"/>
  <c r="AC381" i="1"/>
  <c r="AB381" i="1"/>
  <c r="AI380" i="1"/>
  <c r="AH380" i="1"/>
  <c r="AG380" i="1"/>
  <c r="AF380" i="1"/>
  <c r="AE380" i="1"/>
  <c r="AD380" i="1"/>
  <c r="AC380" i="1"/>
  <c r="AB380" i="1"/>
  <c r="AI379" i="1"/>
  <c r="AH379" i="1"/>
  <c r="AG379" i="1"/>
  <c r="AF379" i="1"/>
  <c r="AE379" i="1"/>
  <c r="AD379" i="1"/>
  <c r="AC379" i="1"/>
  <c r="AB379" i="1"/>
  <c r="AI378" i="1"/>
  <c r="AH378" i="1"/>
  <c r="AG378" i="1"/>
  <c r="AF378" i="1"/>
  <c r="AE378" i="1"/>
  <c r="AD378" i="1"/>
  <c r="AC378" i="1"/>
  <c r="AB378" i="1"/>
  <c r="AI377" i="1"/>
  <c r="AH377" i="1"/>
  <c r="AG377" i="1"/>
  <c r="AF377" i="1"/>
  <c r="AE377" i="1"/>
  <c r="AD377" i="1"/>
  <c r="AC377" i="1"/>
  <c r="AB377" i="1"/>
  <c r="AI376" i="1"/>
  <c r="AH376" i="1"/>
  <c r="AG376" i="1"/>
  <c r="AF376" i="1"/>
  <c r="AE376" i="1"/>
  <c r="AD376" i="1"/>
  <c r="AC376" i="1"/>
  <c r="AB376" i="1"/>
  <c r="AI375" i="1"/>
  <c r="AH375" i="1"/>
  <c r="AG375" i="1"/>
  <c r="AF375" i="1"/>
  <c r="AE375" i="1"/>
  <c r="AD375" i="1"/>
  <c r="AC375" i="1"/>
  <c r="AB375" i="1"/>
  <c r="AI374" i="1"/>
  <c r="AH374" i="1"/>
  <c r="AG374" i="1"/>
  <c r="AF374" i="1"/>
  <c r="AE374" i="1"/>
  <c r="AD374" i="1"/>
  <c r="AC374" i="1"/>
  <c r="AB374" i="1"/>
  <c r="AI373" i="1"/>
  <c r="AH373" i="1"/>
  <c r="AG373" i="1"/>
  <c r="AF373" i="1"/>
  <c r="AE373" i="1"/>
  <c r="AD373" i="1"/>
  <c r="AC373" i="1"/>
  <c r="AB373" i="1"/>
  <c r="AI372" i="1"/>
  <c r="AH372" i="1"/>
  <c r="AG372" i="1"/>
  <c r="AF372" i="1"/>
  <c r="AE372" i="1"/>
  <c r="AD372" i="1"/>
  <c r="AC372" i="1"/>
  <c r="AB372" i="1"/>
  <c r="AI371" i="1"/>
  <c r="AH371" i="1"/>
  <c r="AG371" i="1"/>
  <c r="AF371" i="1"/>
  <c r="AE371" i="1"/>
  <c r="AD371" i="1"/>
  <c r="AC371" i="1"/>
  <c r="AB371" i="1"/>
  <c r="AI370" i="1"/>
  <c r="AH370" i="1"/>
  <c r="AG370" i="1"/>
  <c r="AF370" i="1"/>
  <c r="AE370" i="1"/>
  <c r="AD370" i="1"/>
  <c r="AC370" i="1"/>
  <c r="AB370" i="1"/>
  <c r="AI369" i="1"/>
  <c r="AH369" i="1"/>
  <c r="AG369" i="1"/>
  <c r="AF369" i="1"/>
  <c r="AE369" i="1"/>
  <c r="AD369" i="1"/>
  <c r="AC369" i="1"/>
  <c r="AB369" i="1"/>
  <c r="AI368" i="1"/>
  <c r="AH368" i="1"/>
  <c r="AG368" i="1"/>
  <c r="AF368" i="1"/>
  <c r="AE368" i="1"/>
  <c r="AD368" i="1"/>
  <c r="AC368" i="1"/>
  <c r="AB368" i="1"/>
  <c r="AI367" i="1"/>
  <c r="AH367" i="1"/>
  <c r="AG367" i="1"/>
  <c r="AF367" i="1"/>
  <c r="AE367" i="1"/>
  <c r="AD367" i="1"/>
  <c r="AC367" i="1"/>
  <c r="AB367" i="1"/>
  <c r="AI366" i="1"/>
  <c r="AH366" i="1"/>
  <c r="AG366" i="1"/>
  <c r="AF366" i="1"/>
  <c r="AE366" i="1"/>
  <c r="AD366" i="1"/>
  <c r="AC366" i="1"/>
  <c r="AB366" i="1"/>
  <c r="AI365" i="1"/>
  <c r="AH365" i="1"/>
  <c r="AG365" i="1"/>
  <c r="AF365" i="1"/>
  <c r="AE365" i="1"/>
  <c r="AD365" i="1"/>
  <c r="AC365" i="1"/>
  <c r="AB365" i="1"/>
  <c r="AI364" i="1"/>
  <c r="AH364" i="1"/>
  <c r="AG364" i="1"/>
  <c r="AF364" i="1"/>
  <c r="AE364" i="1"/>
  <c r="AD364" i="1"/>
  <c r="AC364" i="1"/>
  <c r="AB364" i="1"/>
  <c r="AI363" i="1"/>
  <c r="AH363" i="1"/>
  <c r="AG363" i="1"/>
  <c r="AF363" i="1"/>
  <c r="AE363" i="1"/>
  <c r="AD363" i="1"/>
  <c r="AC363" i="1"/>
  <c r="AB363" i="1"/>
  <c r="AI362" i="1"/>
  <c r="AH362" i="1"/>
  <c r="AG362" i="1"/>
  <c r="AF362" i="1"/>
  <c r="AE362" i="1"/>
  <c r="AD362" i="1"/>
  <c r="AC362" i="1"/>
  <c r="AB362" i="1"/>
  <c r="AI361" i="1"/>
  <c r="AH361" i="1"/>
  <c r="AG361" i="1"/>
  <c r="AF361" i="1"/>
  <c r="AE361" i="1"/>
  <c r="AD361" i="1"/>
  <c r="AC361" i="1"/>
  <c r="AB361" i="1"/>
  <c r="AI360" i="1"/>
  <c r="AH360" i="1"/>
  <c r="AG360" i="1"/>
  <c r="AF360" i="1"/>
  <c r="AE360" i="1"/>
  <c r="AD360" i="1"/>
  <c r="AC360" i="1"/>
  <c r="AB360" i="1"/>
  <c r="AI359" i="1"/>
  <c r="AH359" i="1"/>
  <c r="AG359" i="1"/>
  <c r="AF359" i="1"/>
  <c r="AE359" i="1"/>
  <c r="AD359" i="1"/>
  <c r="AC359" i="1"/>
  <c r="AB359" i="1"/>
  <c r="AI358" i="1"/>
  <c r="AH358" i="1"/>
  <c r="AG358" i="1"/>
  <c r="AF358" i="1"/>
  <c r="AE358" i="1"/>
  <c r="AD358" i="1"/>
  <c r="AC358" i="1"/>
  <c r="AB358" i="1"/>
  <c r="AI357" i="1"/>
  <c r="AH357" i="1"/>
  <c r="AG357" i="1"/>
  <c r="AF357" i="1"/>
  <c r="AE357" i="1"/>
  <c r="AD357" i="1"/>
  <c r="AC357" i="1"/>
  <c r="AB357" i="1"/>
  <c r="AI356" i="1"/>
  <c r="AH356" i="1"/>
  <c r="AG356" i="1"/>
  <c r="AF356" i="1"/>
  <c r="AE356" i="1"/>
  <c r="AD356" i="1"/>
  <c r="AC356" i="1"/>
  <c r="AB356" i="1"/>
  <c r="AI355" i="1"/>
  <c r="AH355" i="1"/>
  <c r="AG355" i="1"/>
  <c r="AF355" i="1"/>
  <c r="AE355" i="1"/>
  <c r="AD355" i="1"/>
  <c r="AC355" i="1"/>
  <c r="AB355" i="1"/>
  <c r="AI354" i="1"/>
  <c r="AH354" i="1"/>
  <c r="AG354" i="1"/>
  <c r="AF354" i="1"/>
  <c r="AE354" i="1"/>
  <c r="AD354" i="1"/>
  <c r="AC354" i="1"/>
  <c r="AB354" i="1"/>
  <c r="AI353" i="1"/>
  <c r="AH353" i="1"/>
  <c r="AG353" i="1"/>
  <c r="AF353" i="1"/>
  <c r="AE353" i="1"/>
  <c r="AD353" i="1"/>
  <c r="AC353" i="1"/>
  <c r="AB353" i="1"/>
  <c r="AI352" i="1"/>
  <c r="AH352" i="1"/>
  <c r="AG352" i="1"/>
  <c r="AF352" i="1"/>
  <c r="AE352" i="1"/>
  <c r="AD352" i="1"/>
  <c r="AC352" i="1"/>
  <c r="AB352" i="1"/>
  <c r="AI351" i="1"/>
  <c r="AH351" i="1"/>
  <c r="AG351" i="1"/>
  <c r="AF351" i="1"/>
  <c r="AE351" i="1"/>
  <c r="AD351" i="1"/>
  <c r="AC351" i="1"/>
  <c r="AB351" i="1"/>
  <c r="AI350" i="1"/>
  <c r="AH350" i="1"/>
  <c r="AG350" i="1"/>
  <c r="AF350" i="1"/>
  <c r="AE350" i="1"/>
  <c r="AD350" i="1"/>
  <c r="AC350" i="1"/>
  <c r="AB350" i="1"/>
  <c r="AI349" i="1"/>
  <c r="AH349" i="1"/>
  <c r="AG349" i="1"/>
  <c r="AF349" i="1"/>
  <c r="AE349" i="1"/>
  <c r="AD349" i="1"/>
  <c r="AC349" i="1"/>
  <c r="AB349" i="1"/>
  <c r="AI348" i="1"/>
  <c r="AH348" i="1"/>
  <c r="AG348" i="1"/>
  <c r="AF348" i="1"/>
  <c r="AE348" i="1"/>
  <c r="AD348" i="1"/>
  <c r="AC348" i="1"/>
  <c r="AB348" i="1"/>
  <c r="AI347" i="1"/>
  <c r="AH347" i="1"/>
  <c r="AG347" i="1"/>
  <c r="AF347" i="1"/>
  <c r="AE347" i="1"/>
  <c r="AD347" i="1"/>
  <c r="AC347" i="1"/>
  <c r="AB347" i="1"/>
  <c r="AI346" i="1"/>
  <c r="AH346" i="1"/>
  <c r="AG346" i="1"/>
  <c r="AF346" i="1"/>
  <c r="AE346" i="1"/>
  <c r="AD346" i="1"/>
  <c r="AC346" i="1"/>
  <c r="AB346" i="1"/>
  <c r="AI345" i="1"/>
  <c r="AH345" i="1"/>
  <c r="AG345" i="1"/>
  <c r="AF345" i="1"/>
  <c r="AE345" i="1"/>
  <c r="AD345" i="1"/>
  <c r="AC345" i="1"/>
  <c r="AB345" i="1"/>
  <c r="AI344" i="1"/>
  <c r="AH344" i="1"/>
  <c r="AG344" i="1"/>
  <c r="AF344" i="1"/>
  <c r="AE344" i="1"/>
  <c r="AD344" i="1"/>
  <c r="AC344" i="1"/>
  <c r="AB344" i="1"/>
  <c r="AI343" i="1"/>
  <c r="AH343" i="1"/>
  <c r="AG343" i="1"/>
  <c r="AF343" i="1"/>
  <c r="AE343" i="1"/>
  <c r="AD343" i="1"/>
  <c r="AC343" i="1"/>
  <c r="AB343" i="1"/>
  <c r="AI342" i="1"/>
  <c r="AH342" i="1"/>
  <c r="AG342" i="1"/>
  <c r="AF342" i="1"/>
  <c r="AE342" i="1"/>
  <c r="AD342" i="1"/>
  <c r="AC342" i="1"/>
  <c r="AB342" i="1"/>
  <c r="AI341" i="1"/>
  <c r="AH341" i="1"/>
  <c r="AG341" i="1"/>
  <c r="AF341" i="1"/>
  <c r="AE341" i="1"/>
  <c r="AD341" i="1"/>
  <c r="AC341" i="1"/>
  <c r="AB341" i="1"/>
  <c r="AI340" i="1"/>
  <c r="AH340" i="1"/>
  <c r="AG340" i="1"/>
  <c r="AF340" i="1"/>
  <c r="AE340" i="1"/>
  <c r="AD340" i="1"/>
  <c r="AC340" i="1"/>
  <c r="AB340" i="1"/>
  <c r="AI339" i="1"/>
  <c r="AH339" i="1"/>
  <c r="AG339" i="1"/>
  <c r="AF339" i="1"/>
  <c r="AE339" i="1"/>
  <c r="AD339" i="1"/>
  <c r="AC339" i="1"/>
  <c r="AB339" i="1"/>
  <c r="AI338" i="1"/>
  <c r="AH338" i="1"/>
  <c r="AG338" i="1"/>
  <c r="AF338" i="1"/>
  <c r="AE338" i="1"/>
  <c r="AD338" i="1"/>
  <c r="AC338" i="1"/>
  <c r="AB338" i="1"/>
  <c r="AI337" i="1"/>
  <c r="AH337" i="1"/>
  <c r="AG337" i="1"/>
  <c r="AF337" i="1"/>
  <c r="AE337" i="1"/>
  <c r="AD337" i="1"/>
  <c r="AC337" i="1"/>
  <c r="AB337" i="1"/>
  <c r="AI336" i="1"/>
  <c r="AH336" i="1"/>
  <c r="AG336" i="1"/>
  <c r="AF336" i="1"/>
  <c r="AE336" i="1"/>
  <c r="AD336" i="1"/>
  <c r="AC336" i="1"/>
  <c r="AB336" i="1"/>
  <c r="AI335" i="1"/>
  <c r="AH335" i="1"/>
  <c r="AG335" i="1"/>
  <c r="AF335" i="1"/>
  <c r="AE335" i="1"/>
  <c r="AD335" i="1"/>
  <c r="AB335" i="1"/>
  <c r="AI334" i="1"/>
  <c r="AH334" i="1"/>
  <c r="AG334" i="1"/>
  <c r="AF334" i="1"/>
  <c r="AE334" i="1"/>
  <c r="AD334" i="1"/>
  <c r="AC334" i="1"/>
  <c r="AB334" i="1"/>
  <c r="AI333" i="1"/>
  <c r="AH333" i="1"/>
  <c r="AG333" i="1"/>
  <c r="AF333" i="1"/>
  <c r="AE333" i="1"/>
  <c r="AD333" i="1"/>
  <c r="AC333" i="1"/>
  <c r="AB333" i="1"/>
  <c r="AI332" i="1"/>
  <c r="AH332" i="1"/>
  <c r="AG332" i="1"/>
  <c r="AF332" i="1"/>
  <c r="AE332" i="1"/>
  <c r="AD332" i="1"/>
  <c r="AC332" i="1"/>
  <c r="AB332" i="1"/>
  <c r="AI331" i="1"/>
  <c r="AH331" i="1"/>
  <c r="AG331" i="1"/>
  <c r="AF331" i="1"/>
  <c r="AE331" i="1"/>
  <c r="AD331" i="1"/>
  <c r="AC331" i="1"/>
  <c r="AB331" i="1"/>
  <c r="AI330" i="1"/>
  <c r="AH330" i="1"/>
  <c r="AG330" i="1"/>
  <c r="AF330" i="1"/>
  <c r="AE330" i="1"/>
  <c r="AD330" i="1"/>
  <c r="AC330" i="1"/>
  <c r="AB330" i="1"/>
  <c r="AI329" i="1"/>
  <c r="AH329" i="1"/>
  <c r="AG329" i="1"/>
  <c r="AF329" i="1"/>
  <c r="AE329" i="1"/>
  <c r="AD329" i="1"/>
  <c r="AC329" i="1"/>
  <c r="AB329" i="1"/>
  <c r="AI328" i="1"/>
  <c r="AH328" i="1"/>
  <c r="AG328" i="1"/>
  <c r="AF328" i="1"/>
  <c r="AE328" i="1"/>
  <c r="AD328" i="1"/>
  <c r="AC328" i="1"/>
  <c r="AB328" i="1"/>
  <c r="AI327" i="1"/>
  <c r="AH327" i="1"/>
  <c r="AG327" i="1"/>
  <c r="AF327" i="1"/>
  <c r="AE327" i="1"/>
  <c r="AD327" i="1"/>
  <c r="AC327" i="1"/>
  <c r="AB327" i="1"/>
  <c r="AI326" i="1"/>
  <c r="AH326" i="1"/>
  <c r="AG326" i="1"/>
  <c r="AF326" i="1"/>
  <c r="AE326" i="1"/>
  <c r="AD326" i="1"/>
  <c r="AC326" i="1"/>
  <c r="AB326" i="1"/>
  <c r="AI325" i="1"/>
  <c r="AH325" i="1"/>
  <c r="AG325" i="1"/>
  <c r="AF325" i="1"/>
  <c r="AE325" i="1"/>
  <c r="AD325" i="1"/>
  <c r="AC325" i="1"/>
  <c r="AB325" i="1"/>
  <c r="AI324" i="1"/>
  <c r="AH324" i="1"/>
  <c r="AG324" i="1"/>
  <c r="AF324" i="1"/>
  <c r="AE324" i="1"/>
  <c r="AD324" i="1"/>
  <c r="AC324" i="1"/>
  <c r="AB324" i="1"/>
  <c r="AI323" i="1"/>
  <c r="AH323" i="1"/>
  <c r="AG323" i="1"/>
  <c r="AF323" i="1"/>
  <c r="AE323" i="1"/>
  <c r="AD323" i="1"/>
  <c r="AC323" i="1"/>
  <c r="AB323" i="1"/>
  <c r="AI322" i="1"/>
  <c r="AH322" i="1"/>
  <c r="AG322" i="1"/>
  <c r="AF322" i="1"/>
  <c r="AE322" i="1"/>
  <c r="AD322" i="1"/>
  <c r="AC322" i="1"/>
  <c r="AB322" i="1"/>
  <c r="AI321" i="1"/>
  <c r="AH321" i="1"/>
  <c r="AG321" i="1"/>
  <c r="AF321" i="1"/>
  <c r="AE321" i="1"/>
  <c r="AD321" i="1"/>
  <c r="AC321" i="1"/>
  <c r="AB321" i="1"/>
  <c r="AI320" i="1"/>
  <c r="AH320" i="1"/>
  <c r="AG320" i="1"/>
  <c r="AF320" i="1"/>
  <c r="AE320" i="1"/>
  <c r="AD320" i="1"/>
  <c r="AC320" i="1"/>
  <c r="AB320" i="1"/>
  <c r="AI319" i="1"/>
  <c r="AH319" i="1"/>
  <c r="AG319" i="1"/>
  <c r="AF319" i="1"/>
  <c r="AE319" i="1"/>
  <c r="AD319" i="1"/>
  <c r="AC319" i="1"/>
  <c r="AB319" i="1"/>
  <c r="AI318" i="1"/>
  <c r="AH318" i="1"/>
  <c r="AG318" i="1"/>
  <c r="AF318" i="1"/>
  <c r="AE318" i="1"/>
  <c r="AD318" i="1"/>
  <c r="AC318" i="1"/>
  <c r="AB318" i="1"/>
  <c r="AI317" i="1"/>
  <c r="AH317" i="1"/>
  <c r="AG317" i="1"/>
  <c r="AF317" i="1"/>
  <c r="AE317" i="1"/>
  <c r="AD317" i="1"/>
  <c r="AC317" i="1"/>
  <c r="AB317" i="1"/>
  <c r="AI316" i="1"/>
  <c r="AH316" i="1"/>
  <c r="AG316" i="1"/>
  <c r="AF316" i="1"/>
  <c r="AE316" i="1"/>
  <c r="AD316" i="1"/>
  <c r="AC316" i="1"/>
  <c r="AB316" i="1"/>
  <c r="AI315" i="1"/>
  <c r="AH315" i="1"/>
  <c r="AG315" i="1"/>
  <c r="AF315" i="1"/>
  <c r="AE315" i="1"/>
  <c r="AD315" i="1"/>
  <c r="AC315" i="1"/>
  <c r="AB315" i="1"/>
  <c r="AI314" i="1"/>
  <c r="AH314" i="1"/>
  <c r="AG314" i="1"/>
  <c r="AF314" i="1"/>
  <c r="AE314" i="1"/>
  <c r="AD314" i="1"/>
  <c r="AC314" i="1"/>
  <c r="AB314" i="1"/>
  <c r="AI313" i="1"/>
  <c r="AH313" i="1"/>
  <c r="AG313" i="1"/>
  <c r="AF313" i="1"/>
  <c r="AE313" i="1"/>
  <c r="AD313" i="1"/>
  <c r="AC313" i="1"/>
  <c r="AB313" i="1"/>
  <c r="AI312" i="1"/>
  <c r="AH312" i="1"/>
  <c r="AG312" i="1"/>
  <c r="AF312" i="1"/>
  <c r="AE312" i="1"/>
  <c r="AD312" i="1"/>
  <c r="AC312" i="1"/>
  <c r="AB312" i="1"/>
  <c r="AI311" i="1"/>
  <c r="AH311" i="1"/>
  <c r="AG311" i="1"/>
  <c r="AF311" i="1"/>
  <c r="AE311" i="1"/>
  <c r="AD311" i="1"/>
  <c r="AC311" i="1"/>
  <c r="AB311" i="1"/>
  <c r="AI310" i="1"/>
  <c r="AH310" i="1"/>
  <c r="AG310" i="1"/>
  <c r="AF310" i="1"/>
  <c r="AE310" i="1"/>
  <c r="AD310" i="1"/>
  <c r="AC310" i="1"/>
  <c r="AB310" i="1"/>
  <c r="AI309" i="1"/>
  <c r="AH309" i="1"/>
  <c r="AG309" i="1"/>
  <c r="AF309" i="1"/>
  <c r="AE309" i="1"/>
  <c r="AD309" i="1"/>
  <c r="AC309" i="1"/>
  <c r="AB309" i="1"/>
  <c r="AI308" i="1"/>
  <c r="AH308" i="1"/>
  <c r="AG308" i="1"/>
  <c r="AF308" i="1"/>
  <c r="AE308" i="1"/>
  <c r="AD308" i="1"/>
  <c r="AC308" i="1"/>
  <c r="AB308" i="1"/>
  <c r="AI307" i="1"/>
  <c r="AH307" i="1"/>
  <c r="AG307" i="1"/>
  <c r="AF307" i="1"/>
  <c r="AE307" i="1"/>
  <c r="AD307" i="1"/>
  <c r="AC307" i="1"/>
  <c r="AB307" i="1"/>
  <c r="AI306" i="1"/>
  <c r="AH306" i="1"/>
  <c r="AG306" i="1"/>
  <c r="AF306" i="1"/>
  <c r="AE306" i="1"/>
  <c r="AD306" i="1"/>
  <c r="AC306" i="1"/>
  <c r="AB306" i="1"/>
  <c r="AI305" i="1"/>
  <c r="AH305" i="1"/>
  <c r="AG305" i="1"/>
  <c r="AF305" i="1"/>
  <c r="AE305" i="1"/>
  <c r="AD305" i="1"/>
  <c r="AC305" i="1"/>
  <c r="AB305" i="1"/>
  <c r="AI304" i="1"/>
  <c r="AH304" i="1"/>
  <c r="AG304" i="1"/>
  <c r="AF304" i="1"/>
  <c r="AE304" i="1"/>
  <c r="AD304" i="1"/>
  <c r="AC304" i="1"/>
  <c r="AB304" i="1"/>
  <c r="AI303" i="1"/>
  <c r="AH303" i="1"/>
  <c r="AG303" i="1"/>
  <c r="AF303" i="1"/>
  <c r="AE303" i="1"/>
  <c r="AD303" i="1"/>
  <c r="AC303" i="1"/>
  <c r="AB303" i="1"/>
  <c r="AI302" i="1"/>
  <c r="AH302" i="1"/>
  <c r="AG302" i="1"/>
  <c r="AF302" i="1"/>
  <c r="AE302" i="1"/>
  <c r="AD302" i="1"/>
  <c r="AC302" i="1"/>
  <c r="AB302" i="1"/>
  <c r="AI301" i="1"/>
  <c r="AH301" i="1"/>
  <c r="AG301" i="1"/>
  <c r="AF301" i="1"/>
  <c r="AE301" i="1"/>
  <c r="AD301" i="1"/>
  <c r="AC301" i="1"/>
  <c r="AB301" i="1"/>
  <c r="AI300" i="1"/>
  <c r="AH300" i="1"/>
  <c r="AG300" i="1"/>
  <c r="AF300" i="1"/>
  <c r="AE300" i="1"/>
  <c r="AD300" i="1"/>
  <c r="AC300" i="1"/>
  <c r="AB300" i="1"/>
  <c r="AI299" i="1"/>
  <c r="AH299" i="1"/>
  <c r="AG299" i="1"/>
  <c r="AF299" i="1"/>
  <c r="AE299" i="1"/>
  <c r="AD299" i="1"/>
  <c r="AC299" i="1"/>
  <c r="AB299" i="1"/>
  <c r="AI298" i="1"/>
  <c r="AH298" i="1"/>
  <c r="AG298" i="1"/>
  <c r="AF298" i="1"/>
  <c r="AE298" i="1"/>
  <c r="AD298" i="1"/>
  <c r="AC298" i="1"/>
  <c r="AB298" i="1"/>
  <c r="AI297" i="1"/>
  <c r="AH297" i="1"/>
  <c r="AG297" i="1"/>
  <c r="AF297" i="1"/>
  <c r="AE297" i="1"/>
  <c r="AD297" i="1"/>
  <c r="AC297" i="1"/>
  <c r="AB297" i="1"/>
  <c r="AI296" i="1"/>
  <c r="AH296" i="1"/>
  <c r="AG296" i="1"/>
  <c r="AF296" i="1"/>
  <c r="AE296" i="1"/>
  <c r="AD296" i="1"/>
  <c r="AC296" i="1"/>
  <c r="AB296" i="1"/>
  <c r="AI295" i="1"/>
  <c r="AH295" i="1"/>
  <c r="AG295" i="1"/>
  <c r="AF295" i="1"/>
  <c r="AE295" i="1"/>
  <c r="AD295" i="1"/>
  <c r="AC295" i="1"/>
  <c r="AB295" i="1"/>
  <c r="AI294" i="1"/>
  <c r="AH294" i="1"/>
  <c r="AG294" i="1"/>
  <c r="AF294" i="1"/>
  <c r="AE294" i="1"/>
  <c r="AD294" i="1"/>
  <c r="AC294" i="1"/>
  <c r="AB294" i="1"/>
  <c r="AI293" i="1"/>
  <c r="AH293" i="1"/>
  <c r="AG293" i="1"/>
  <c r="AF293" i="1"/>
  <c r="AE293" i="1"/>
  <c r="AD293" i="1"/>
  <c r="AC293" i="1"/>
  <c r="AB293" i="1"/>
  <c r="AI292" i="1"/>
  <c r="AH292" i="1"/>
  <c r="AG292" i="1"/>
  <c r="AF292" i="1"/>
  <c r="AE292" i="1"/>
  <c r="AD292" i="1"/>
  <c r="AC292" i="1"/>
  <c r="AB292" i="1"/>
  <c r="AI291" i="1"/>
  <c r="AH291" i="1"/>
  <c r="AG291" i="1"/>
  <c r="AF291" i="1"/>
  <c r="AE291" i="1"/>
  <c r="AD291" i="1"/>
  <c r="AC291" i="1"/>
  <c r="AB291" i="1"/>
  <c r="AI290" i="1"/>
  <c r="AH290" i="1"/>
  <c r="AG290" i="1"/>
  <c r="AF290" i="1"/>
  <c r="AE290" i="1"/>
  <c r="AD290" i="1"/>
  <c r="AC290" i="1"/>
  <c r="AB290" i="1"/>
  <c r="AI289" i="1"/>
  <c r="AH289" i="1"/>
  <c r="AG289" i="1"/>
  <c r="AF289" i="1"/>
  <c r="AE289" i="1"/>
  <c r="AD289" i="1"/>
  <c r="AC289" i="1"/>
  <c r="AB289" i="1"/>
  <c r="AI288" i="1"/>
  <c r="AH288" i="1"/>
  <c r="AG288" i="1"/>
  <c r="AF288" i="1"/>
  <c r="AE288" i="1"/>
  <c r="AD288" i="1"/>
  <c r="AC288" i="1"/>
  <c r="AB288" i="1"/>
  <c r="AI287" i="1"/>
  <c r="AH287" i="1"/>
  <c r="AG287" i="1"/>
  <c r="AF287" i="1"/>
  <c r="AE287" i="1"/>
  <c r="AD287" i="1"/>
  <c r="AC287" i="1"/>
  <c r="AB287" i="1"/>
  <c r="AI286" i="1"/>
  <c r="AH286" i="1"/>
  <c r="AG286" i="1"/>
  <c r="AF286" i="1"/>
  <c r="AE286" i="1"/>
  <c r="AD286" i="1"/>
  <c r="AC286" i="1"/>
  <c r="AB286" i="1"/>
  <c r="AI285" i="1"/>
  <c r="AH285" i="1"/>
  <c r="AG285" i="1"/>
  <c r="AF285" i="1"/>
  <c r="AE285" i="1"/>
  <c r="AD285" i="1"/>
  <c r="AC285" i="1"/>
  <c r="AB285" i="1"/>
  <c r="AI284" i="1"/>
  <c r="AH284" i="1"/>
  <c r="AG284" i="1"/>
  <c r="AF284" i="1"/>
  <c r="AE284" i="1"/>
  <c r="AD284" i="1"/>
  <c r="AC284" i="1"/>
  <c r="AB284" i="1"/>
  <c r="AI283" i="1"/>
  <c r="AH283" i="1"/>
  <c r="AG283" i="1"/>
  <c r="AF283" i="1"/>
  <c r="AE283" i="1"/>
  <c r="AD283" i="1"/>
  <c r="AC283" i="1"/>
  <c r="AB283" i="1"/>
  <c r="AI282" i="1"/>
  <c r="AH282" i="1"/>
  <c r="AG282" i="1"/>
  <c r="AF282" i="1"/>
  <c r="AE282" i="1"/>
  <c r="AD282" i="1"/>
  <c r="AC282" i="1"/>
  <c r="AB282" i="1"/>
  <c r="AI281" i="1"/>
  <c r="AH281" i="1"/>
  <c r="AG281" i="1"/>
  <c r="AF281" i="1"/>
  <c r="AE281" i="1"/>
  <c r="AD281" i="1"/>
  <c r="AC281" i="1"/>
  <c r="AB281" i="1"/>
  <c r="AI280" i="1"/>
  <c r="AH280" i="1"/>
  <c r="AG280" i="1"/>
  <c r="AF280" i="1"/>
  <c r="AE280" i="1"/>
  <c r="AD280" i="1"/>
  <c r="AC280" i="1"/>
  <c r="AB280" i="1"/>
  <c r="AI279" i="1"/>
  <c r="AH279" i="1"/>
  <c r="AG279" i="1"/>
  <c r="AF279" i="1"/>
  <c r="AE279" i="1"/>
  <c r="AD279" i="1"/>
  <c r="AC279" i="1"/>
  <c r="AB279" i="1"/>
  <c r="AI278" i="1"/>
  <c r="AH278" i="1"/>
  <c r="AG278" i="1"/>
  <c r="AF278" i="1"/>
  <c r="AE278" i="1"/>
  <c r="AD278" i="1"/>
  <c r="AB278" i="1"/>
  <c r="AI277" i="1"/>
  <c r="AH277" i="1"/>
  <c r="AG277" i="1"/>
  <c r="AF277" i="1"/>
  <c r="AE277" i="1"/>
  <c r="AD277" i="1"/>
  <c r="AC277" i="1"/>
  <c r="AB277" i="1"/>
  <c r="AI276" i="1"/>
  <c r="AH276" i="1"/>
  <c r="AG276" i="1"/>
  <c r="AF276" i="1"/>
  <c r="AE276" i="1"/>
  <c r="AD276" i="1"/>
  <c r="AC276" i="1"/>
  <c r="AB276" i="1"/>
  <c r="AI275" i="1"/>
  <c r="AH275" i="1"/>
  <c r="AG275" i="1"/>
  <c r="AF275" i="1"/>
  <c r="AE275" i="1"/>
  <c r="AD275" i="1"/>
  <c r="AC275" i="1"/>
  <c r="AB275" i="1"/>
  <c r="AI274" i="1"/>
  <c r="AH274" i="1"/>
  <c r="AG274" i="1"/>
  <c r="AF274" i="1"/>
  <c r="AE274" i="1"/>
  <c r="AD274" i="1"/>
  <c r="AC274" i="1"/>
  <c r="AB274" i="1"/>
  <c r="AI273" i="1"/>
  <c r="AH273" i="1"/>
  <c r="AG273" i="1"/>
  <c r="AF273" i="1"/>
  <c r="AE273" i="1"/>
  <c r="AD273" i="1"/>
  <c r="AC273" i="1"/>
  <c r="AB273" i="1"/>
  <c r="AI272" i="1"/>
  <c r="AH272" i="1"/>
  <c r="AG272" i="1"/>
  <c r="AF272" i="1"/>
  <c r="AE272" i="1"/>
  <c r="AD272" i="1"/>
  <c r="AC272" i="1"/>
  <c r="AB272" i="1"/>
  <c r="AI271" i="1"/>
  <c r="AH271" i="1"/>
  <c r="AG271" i="1"/>
  <c r="AF271" i="1"/>
  <c r="AE271" i="1"/>
  <c r="AD271" i="1"/>
  <c r="AC271" i="1"/>
  <c r="AB271" i="1"/>
  <c r="AI270" i="1"/>
  <c r="AH270" i="1"/>
  <c r="AG270" i="1"/>
  <c r="AF270" i="1"/>
  <c r="AE270" i="1"/>
  <c r="AD270" i="1"/>
  <c r="AC270" i="1"/>
  <c r="AB270" i="1"/>
  <c r="AI269" i="1"/>
  <c r="AH269" i="1"/>
  <c r="AG269" i="1"/>
  <c r="AF269" i="1"/>
  <c r="AE269" i="1"/>
  <c r="AD269" i="1"/>
  <c r="AC269" i="1"/>
  <c r="AB269" i="1"/>
  <c r="AI268" i="1"/>
  <c r="AH268" i="1"/>
  <c r="AG268" i="1"/>
  <c r="AF268" i="1"/>
  <c r="AE268" i="1"/>
  <c r="AD268" i="1"/>
  <c r="AC268" i="1"/>
  <c r="AB268" i="1"/>
  <c r="AI267" i="1"/>
  <c r="AH267" i="1"/>
  <c r="AG267" i="1"/>
  <c r="AF267" i="1"/>
  <c r="AE267" i="1"/>
  <c r="AD267" i="1"/>
  <c r="AC267" i="1"/>
  <c r="AB267" i="1"/>
  <c r="AI266" i="1"/>
  <c r="AH266" i="1"/>
  <c r="AG266" i="1"/>
  <c r="AF266" i="1"/>
  <c r="AE266" i="1"/>
  <c r="AD266" i="1"/>
  <c r="AC266" i="1"/>
  <c r="AB266" i="1"/>
  <c r="AI265" i="1"/>
  <c r="AH265" i="1"/>
  <c r="AG265" i="1"/>
  <c r="AF265" i="1"/>
  <c r="AE265" i="1"/>
  <c r="AD265" i="1"/>
  <c r="AC265" i="1"/>
  <c r="AB265" i="1"/>
  <c r="AI264" i="1"/>
  <c r="AH264" i="1"/>
  <c r="AG264" i="1"/>
  <c r="AF264" i="1"/>
  <c r="AE264" i="1"/>
  <c r="AD264" i="1"/>
  <c r="AC264" i="1"/>
  <c r="AB264" i="1"/>
  <c r="AI263" i="1"/>
  <c r="AH263" i="1"/>
  <c r="AG263" i="1"/>
  <c r="AF263" i="1"/>
  <c r="AE263" i="1"/>
  <c r="AD263" i="1"/>
  <c r="AC263" i="1"/>
  <c r="AB263" i="1"/>
  <c r="AI262" i="1"/>
  <c r="AH262" i="1"/>
  <c r="AG262" i="1"/>
  <c r="AF262" i="1"/>
  <c r="AE262" i="1"/>
  <c r="AD262" i="1"/>
  <c r="AC262" i="1"/>
  <c r="AB262" i="1"/>
  <c r="AI261" i="1"/>
  <c r="AH261" i="1"/>
  <c r="AG261" i="1"/>
  <c r="AF261" i="1"/>
  <c r="AE261" i="1"/>
  <c r="AD261" i="1"/>
  <c r="AC261" i="1"/>
  <c r="AB261" i="1"/>
  <c r="AI260" i="1"/>
  <c r="AH260" i="1"/>
  <c r="AG260" i="1"/>
  <c r="AF260" i="1"/>
  <c r="AE260" i="1"/>
  <c r="AD260" i="1"/>
  <c r="AC260" i="1"/>
  <c r="AB260" i="1"/>
  <c r="AI259" i="1"/>
  <c r="AH259" i="1"/>
  <c r="AG259" i="1"/>
  <c r="AF259" i="1"/>
  <c r="AE259" i="1"/>
  <c r="AD259" i="1"/>
  <c r="AC259" i="1"/>
  <c r="AB259" i="1"/>
  <c r="AI258" i="1"/>
  <c r="AH258" i="1"/>
  <c r="AG258" i="1"/>
  <c r="AF258" i="1"/>
  <c r="AE258" i="1"/>
  <c r="AD258" i="1"/>
  <c r="AC258" i="1"/>
  <c r="AB258" i="1"/>
  <c r="AI257" i="1"/>
  <c r="AH257" i="1"/>
  <c r="AG257" i="1"/>
  <c r="AF257" i="1"/>
  <c r="AE257" i="1"/>
  <c r="AD257" i="1"/>
  <c r="AC257" i="1"/>
  <c r="AB257" i="1"/>
  <c r="AI256" i="1"/>
  <c r="AH256" i="1"/>
  <c r="AG256" i="1"/>
  <c r="AF256" i="1"/>
  <c r="AE256" i="1"/>
  <c r="AD256" i="1"/>
  <c r="AC256" i="1"/>
  <c r="AB256" i="1"/>
  <c r="AI255" i="1"/>
  <c r="AH255" i="1"/>
  <c r="AG255" i="1"/>
  <c r="AF255" i="1"/>
  <c r="AE255" i="1"/>
  <c r="AD255" i="1"/>
  <c r="AC255" i="1"/>
  <c r="AB255" i="1"/>
  <c r="AI254" i="1"/>
  <c r="AH254" i="1"/>
  <c r="AG254" i="1"/>
  <c r="AF254" i="1"/>
  <c r="AE254" i="1"/>
  <c r="AD254" i="1"/>
  <c r="AC254" i="1"/>
  <c r="AB254" i="1"/>
  <c r="AI253" i="1"/>
  <c r="AH253" i="1"/>
  <c r="AG253" i="1"/>
  <c r="AF253" i="1"/>
  <c r="AE253" i="1"/>
  <c r="AD253" i="1"/>
  <c r="AC253" i="1"/>
  <c r="AB253" i="1"/>
  <c r="AI252" i="1"/>
  <c r="AH252" i="1"/>
  <c r="AG252" i="1"/>
  <c r="AF252" i="1"/>
  <c r="AE252" i="1"/>
  <c r="AD252" i="1"/>
  <c r="AC252" i="1"/>
  <c r="AB252" i="1"/>
  <c r="AI251" i="1"/>
  <c r="AH251" i="1"/>
  <c r="AG251" i="1"/>
  <c r="AF251" i="1"/>
  <c r="AE251" i="1"/>
  <c r="AD251" i="1"/>
  <c r="AC251" i="1"/>
  <c r="AB251" i="1"/>
  <c r="AI250" i="1"/>
  <c r="AH250" i="1"/>
  <c r="AG250" i="1"/>
  <c r="AF250" i="1"/>
  <c r="AE250" i="1"/>
  <c r="AD250" i="1"/>
  <c r="AC250" i="1"/>
  <c r="AB250" i="1"/>
  <c r="AI249" i="1"/>
  <c r="AH249" i="1"/>
  <c r="AG249" i="1"/>
  <c r="AF249" i="1"/>
  <c r="AE249" i="1"/>
  <c r="AD249" i="1"/>
  <c r="AC249" i="1"/>
  <c r="AB249" i="1"/>
  <c r="AI248" i="1"/>
  <c r="AH248" i="1"/>
  <c r="AG248" i="1"/>
  <c r="AF248" i="1"/>
  <c r="AE248" i="1"/>
  <c r="AD248" i="1"/>
  <c r="AC248" i="1"/>
  <c r="AB248" i="1"/>
  <c r="AI247" i="1"/>
  <c r="AH247" i="1"/>
  <c r="AG247" i="1"/>
  <c r="AF247" i="1"/>
  <c r="AE247" i="1"/>
  <c r="AD247" i="1"/>
  <c r="AC247" i="1"/>
  <c r="AB247" i="1"/>
  <c r="AI246" i="1"/>
  <c r="AH246" i="1"/>
  <c r="AG246" i="1"/>
  <c r="AF246" i="1"/>
  <c r="AE246" i="1"/>
  <c r="AD246" i="1"/>
  <c r="AC246" i="1"/>
  <c r="AB246" i="1"/>
  <c r="AI245" i="1"/>
  <c r="AH245" i="1"/>
  <c r="AG245" i="1"/>
  <c r="AF245" i="1"/>
  <c r="AE245" i="1"/>
  <c r="AD245" i="1"/>
  <c r="AB245" i="1"/>
  <c r="AI244" i="1"/>
  <c r="AH244" i="1"/>
  <c r="AG244" i="1"/>
  <c r="AF244" i="1"/>
  <c r="AE244" i="1"/>
  <c r="AD244" i="1"/>
  <c r="AC244" i="1"/>
  <c r="AB244" i="1"/>
  <c r="AI243" i="1"/>
  <c r="AH243" i="1"/>
  <c r="AG243" i="1"/>
  <c r="AF243" i="1"/>
  <c r="AE243" i="1"/>
  <c r="AD243" i="1"/>
  <c r="AC243" i="1"/>
  <c r="AB243" i="1"/>
  <c r="AI242" i="1"/>
  <c r="AH242" i="1"/>
  <c r="AG242" i="1"/>
  <c r="AF242" i="1"/>
  <c r="AE242" i="1"/>
  <c r="AD242" i="1"/>
  <c r="AC242" i="1"/>
  <c r="AB242" i="1"/>
  <c r="AI241" i="1"/>
  <c r="AH241" i="1"/>
  <c r="AG241" i="1"/>
  <c r="AF241" i="1"/>
  <c r="AE241" i="1"/>
  <c r="AD241" i="1"/>
  <c r="AC241" i="1"/>
  <c r="AB241" i="1"/>
  <c r="AI240" i="1"/>
  <c r="AH240" i="1"/>
  <c r="AG240" i="1"/>
  <c r="AF240" i="1"/>
  <c r="AE240" i="1"/>
  <c r="AD240" i="1"/>
  <c r="AC240" i="1"/>
  <c r="AB240" i="1"/>
  <c r="AI239" i="1"/>
  <c r="AH239" i="1"/>
  <c r="AG239" i="1"/>
  <c r="AF239" i="1"/>
  <c r="AE239" i="1"/>
  <c r="AD239" i="1"/>
  <c r="AC239" i="1"/>
  <c r="AB239" i="1"/>
  <c r="AI238" i="1"/>
  <c r="AH238" i="1"/>
  <c r="AG238" i="1"/>
  <c r="AF238" i="1"/>
  <c r="AE238" i="1"/>
  <c r="AD238" i="1"/>
  <c r="AC238" i="1"/>
  <c r="AB238" i="1"/>
  <c r="AI237" i="1"/>
  <c r="AH237" i="1"/>
  <c r="AG237" i="1"/>
  <c r="AF237" i="1"/>
  <c r="AE237" i="1"/>
  <c r="AD237" i="1"/>
  <c r="AC237" i="1"/>
  <c r="AB237" i="1"/>
  <c r="AI236" i="1"/>
  <c r="AH236" i="1"/>
  <c r="AG236" i="1"/>
  <c r="AF236" i="1"/>
  <c r="AE236" i="1"/>
  <c r="AD236" i="1"/>
  <c r="AC236" i="1"/>
  <c r="AB236" i="1"/>
  <c r="AH235" i="1"/>
  <c r="AG235" i="1"/>
  <c r="AF235" i="1"/>
  <c r="AE235" i="1"/>
  <c r="AD235" i="1"/>
  <c r="AC235" i="1"/>
  <c r="AB235" i="1"/>
  <c r="AI234" i="1"/>
  <c r="AH234" i="1"/>
  <c r="AG234" i="1"/>
  <c r="AF234" i="1"/>
  <c r="AE234" i="1"/>
  <c r="AD234" i="1"/>
  <c r="AC234" i="1"/>
  <c r="AB234" i="1"/>
  <c r="AI233" i="1"/>
  <c r="AH233" i="1"/>
  <c r="AG233" i="1"/>
  <c r="AF233" i="1"/>
  <c r="AE233" i="1"/>
  <c r="AD233" i="1"/>
  <c r="AC233" i="1"/>
  <c r="AB233" i="1"/>
  <c r="AI232" i="1"/>
  <c r="AH232" i="1"/>
  <c r="AG232" i="1"/>
  <c r="AF232" i="1"/>
  <c r="AE232" i="1"/>
  <c r="AD232" i="1"/>
  <c r="AC232" i="1"/>
  <c r="AB232" i="1"/>
  <c r="AI231" i="1"/>
  <c r="AH231" i="1"/>
  <c r="AG231" i="1"/>
  <c r="AF231" i="1"/>
  <c r="AE231" i="1"/>
  <c r="AD231" i="1"/>
  <c r="AC231" i="1"/>
  <c r="AB231" i="1"/>
  <c r="AI230" i="1"/>
  <c r="AH230" i="1"/>
  <c r="AG230" i="1"/>
  <c r="AF230" i="1"/>
  <c r="AE230" i="1"/>
  <c r="AD230" i="1"/>
  <c r="AC230" i="1"/>
  <c r="AB230" i="1"/>
  <c r="AI229" i="1"/>
  <c r="AH229" i="1"/>
  <c r="AG229" i="1"/>
  <c r="AF229" i="1"/>
  <c r="AE229" i="1"/>
  <c r="AD229" i="1"/>
  <c r="AC229" i="1"/>
  <c r="AB229" i="1"/>
  <c r="AI228" i="1"/>
  <c r="AH228" i="1"/>
  <c r="AG228" i="1"/>
  <c r="AF228" i="1"/>
  <c r="AE228" i="1"/>
  <c r="AD228" i="1"/>
  <c r="AB228" i="1"/>
  <c r="AI227" i="1"/>
  <c r="AH227" i="1"/>
  <c r="AG227" i="1"/>
  <c r="AF227" i="1"/>
  <c r="AE227" i="1"/>
  <c r="AD227" i="1"/>
  <c r="AC227" i="1"/>
  <c r="AB227" i="1"/>
  <c r="AI226" i="1"/>
  <c r="AH226" i="1"/>
  <c r="AG226" i="1"/>
  <c r="AF226" i="1"/>
  <c r="AE226" i="1"/>
  <c r="AD226" i="1"/>
  <c r="AC226" i="1"/>
  <c r="AB226" i="1"/>
  <c r="AI225" i="1"/>
  <c r="AH225" i="1"/>
  <c r="AG225" i="1"/>
  <c r="AF225" i="1"/>
  <c r="AE225" i="1"/>
  <c r="AD225" i="1"/>
  <c r="AC225" i="1"/>
  <c r="AB225" i="1"/>
  <c r="AI224" i="1"/>
  <c r="AH224" i="1"/>
  <c r="AG224" i="1"/>
  <c r="AF224" i="1"/>
  <c r="AE224" i="1"/>
  <c r="AD224" i="1"/>
  <c r="AC224" i="1"/>
  <c r="AB224" i="1"/>
  <c r="AI223" i="1"/>
  <c r="AH223" i="1"/>
  <c r="AG223" i="1"/>
  <c r="AF223" i="1"/>
  <c r="AE223" i="1"/>
  <c r="AD223" i="1"/>
  <c r="AC223" i="1"/>
  <c r="AB223" i="1"/>
  <c r="AI222" i="1"/>
  <c r="AH222" i="1"/>
  <c r="AG222" i="1"/>
  <c r="AF222" i="1"/>
  <c r="AE222" i="1"/>
  <c r="AD222" i="1"/>
  <c r="AC222" i="1"/>
  <c r="AB222" i="1"/>
  <c r="AI221" i="1"/>
  <c r="AH221" i="1"/>
  <c r="AG221" i="1"/>
  <c r="AF221" i="1"/>
  <c r="AE221" i="1"/>
  <c r="AD221" i="1"/>
  <c r="AC221" i="1"/>
  <c r="AB221" i="1"/>
  <c r="AI220" i="1"/>
  <c r="AH220" i="1"/>
  <c r="AG220" i="1"/>
  <c r="AF220" i="1"/>
  <c r="AE220" i="1"/>
  <c r="AD220" i="1"/>
  <c r="AC220" i="1"/>
  <c r="AB220" i="1"/>
  <c r="AI219" i="1"/>
  <c r="AH219" i="1"/>
  <c r="AG219" i="1"/>
  <c r="AF219" i="1"/>
  <c r="AE219" i="1"/>
  <c r="AD219" i="1"/>
  <c r="AC219" i="1"/>
  <c r="AB219" i="1"/>
  <c r="AI218" i="1"/>
  <c r="AH218" i="1"/>
  <c r="AG218" i="1"/>
  <c r="AF218" i="1"/>
  <c r="AE218" i="1"/>
  <c r="AD218" i="1"/>
  <c r="AC218" i="1"/>
  <c r="AB218" i="1"/>
  <c r="AI217" i="1"/>
  <c r="AH217" i="1"/>
  <c r="AG217" i="1"/>
  <c r="AF217" i="1"/>
  <c r="AE217" i="1"/>
  <c r="AD217" i="1"/>
  <c r="AC217" i="1"/>
  <c r="AB217" i="1"/>
  <c r="AI216" i="1"/>
  <c r="AH216" i="1"/>
  <c r="AG216" i="1"/>
  <c r="AF216" i="1"/>
  <c r="AE216" i="1"/>
  <c r="AD216" i="1"/>
  <c r="AC216" i="1"/>
  <c r="AB216" i="1"/>
  <c r="AI215" i="1"/>
  <c r="AH215" i="1"/>
  <c r="AG215" i="1"/>
  <c r="AF215" i="1"/>
  <c r="AE215" i="1"/>
  <c r="AD215" i="1"/>
  <c r="AC215" i="1"/>
  <c r="AB215" i="1"/>
  <c r="AI214" i="1"/>
  <c r="AH214" i="1"/>
  <c r="AG214" i="1"/>
  <c r="AF214" i="1"/>
  <c r="AE214" i="1"/>
  <c r="AD214" i="1"/>
  <c r="AC214" i="1"/>
  <c r="AB214" i="1"/>
  <c r="AI213" i="1"/>
  <c r="AH213" i="1"/>
  <c r="AG213" i="1"/>
  <c r="AF213" i="1"/>
  <c r="AE213" i="1"/>
  <c r="AD213" i="1"/>
  <c r="AC213" i="1"/>
  <c r="AB213" i="1"/>
  <c r="AI212" i="1"/>
  <c r="AH212" i="1"/>
  <c r="AG212" i="1"/>
  <c r="AF212" i="1"/>
  <c r="AE212" i="1"/>
  <c r="AD212" i="1"/>
  <c r="AC212" i="1"/>
  <c r="AB212" i="1"/>
  <c r="AI211" i="1"/>
  <c r="AH211" i="1"/>
  <c r="AG211" i="1"/>
  <c r="AF211" i="1"/>
  <c r="AE211" i="1"/>
  <c r="AD211" i="1"/>
  <c r="AC211" i="1"/>
  <c r="AB211" i="1"/>
  <c r="AI210" i="1"/>
  <c r="AH210" i="1"/>
  <c r="AG210" i="1"/>
  <c r="AF210" i="1"/>
  <c r="AE210" i="1"/>
  <c r="AD210" i="1"/>
  <c r="AC210" i="1"/>
  <c r="AB210" i="1"/>
  <c r="AI209" i="1"/>
  <c r="AH209" i="1"/>
  <c r="AG209" i="1"/>
  <c r="AF209" i="1"/>
  <c r="AE209" i="1"/>
  <c r="AD209" i="1"/>
  <c r="AC209" i="1"/>
  <c r="AB209" i="1"/>
  <c r="AI208" i="1"/>
  <c r="AH208" i="1"/>
  <c r="AG208" i="1"/>
  <c r="AF208" i="1"/>
  <c r="AE208" i="1"/>
  <c r="AD208" i="1"/>
  <c r="AC208" i="1"/>
  <c r="AB208" i="1"/>
  <c r="AI207" i="1"/>
  <c r="AH207" i="1"/>
  <c r="AG207" i="1"/>
  <c r="AF207" i="1"/>
  <c r="AE207" i="1"/>
  <c r="AD207" i="1"/>
  <c r="AC207" i="1"/>
  <c r="AB207" i="1"/>
  <c r="AI206" i="1"/>
  <c r="AH206" i="1"/>
  <c r="AG206" i="1"/>
  <c r="AF206" i="1"/>
  <c r="AE206" i="1"/>
  <c r="AD206" i="1"/>
  <c r="AC206" i="1"/>
  <c r="AB206" i="1"/>
  <c r="AI205" i="1"/>
  <c r="AH205" i="1"/>
  <c r="AG205" i="1"/>
  <c r="AF205" i="1"/>
  <c r="AE205" i="1"/>
  <c r="AD205" i="1"/>
  <c r="AC205" i="1"/>
  <c r="AB205" i="1"/>
  <c r="AI204" i="1"/>
  <c r="AH204" i="1"/>
  <c r="AG204" i="1"/>
  <c r="AF204" i="1"/>
  <c r="AE204" i="1"/>
  <c r="AD204" i="1"/>
  <c r="AC204" i="1"/>
  <c r="AB204" i="1"/>
  <c r="AI203" i="1"/>
  <c r="AH203" i="1"/>
  <c r="AG203" i="1"/>
  <c r="AF203" i="1"/>
  <c r="AE203" i="1"/>
  <c r="AD203" i="1"/>
  <c r="AC203" i="1"/>
  <c r="AB203" i="1"/>
  <c r="AI202" i="1"/>
  <c r="AH202" i="1"/>
  <c r="AG202" i="1"/>
  <c r="AF202" i="1"/>
  <c r="AE202" i="1"/>
  <c r="AD202" i="1"/>
  <c r="AC202" i="1"/>
  <c r="AB202" i="1"/>
  <c r="AH201" i="1"/>
  <c r="AG201" i="1"/>
  <c r="AF201" i="1"/>
  <c r="AE201" i="1"/>
  <c r="AD201" i="1"/>
  <c r="AC201" i="1"/>
  <c r="AB201" i="1"/>
  <c r="AI200" i="1"/>
  <c r="AH200" i="1"/>
  <c r="AG200" i="1"/>
  <c r="AF200" i="1"/>
  <c r="AE200" i="1"/>
  <c r="AD200" i="1"/>
  <c r="AC200" i="1"/>
  <c r="AB200" i="1"/>
  <c r="AI199" i="1"/>
  <c r="AH199" i="1"/>
  <c r="AG199" i="1"/>
  <c r="AF199" i="1"/>
  <c r="AE199" i="1"/>
  <c r="AD199" i="1"/>
  <c r="AC199" i="1"/>
  <c r="AB199" i="1"/>
  <c r="AI198" i="1"/>
  <c r="AH198" i="1"/>
  <c r="AG198" i="1"/>
  <c r="AF198" i="1"/>
  <c r="AE198" i="1"/>
  <c r="AD198" i="1"/>
  <c r="AC198" i="1"/>
  <c r="AB198" i="1"/>
  <c r="AI197" i="1"/>
  <c r="AH197" i="1"/>
  <c r="AG197" i="1"/>
  <c r="AF197" i="1"/>
  <c r="AE197" i="1"/>
  <c r="AD197" i="1"/>
  <c r="AC197" i="1"/>
  <c r="AB197" i="1"/>
  <c r="AI196" i="1"/>
  <c r="AH196" i="1"/>
  <c r="AG196" i="1"/>
  <c r="AF196" i="1"/>
  <c r="AE196" i="1"/>
  <c r="AD196" i="1"/>
  <c r="AC196" i="1"/>
  <c r="AB196" i="1"/>
  <c r="AI195" i="1"/>
  <c r="AH195" i="1"/>
  <c r="AG195" i="1"/>
  <c r="AF195" i="1"/>
  <c r="AE195" i="1"/>
  <c r="AD195" i="1"/>
  <c r="AC195" i="1"/>
  <c r="AB195" i="1"/>
  <c r="AI194" i="1"/>
  <c r="AH194" i="1"/>
  <c r="AG194" i="1"/>
  <c r="AF194" i="1"/>
  <c r="AE194" i="1"/>
  <c r="AD194" i="1"/>
  <c r="AC194" i="1"/>
  <c r="AB194" i="1"/>
  <c r="AI193" i="1"/>
  <c r="AH193" i="1"/>
  <c r="AG193" i="1"/>
  <c r="AF193" i="1"/>
  <c r="AE193" i="1"/>
  <c r="AD193" i="1"/>
  <c r="AC193" i="1"/>
  <c r="AB193" i="1"/>
  <c r="AI192" i="1"/>
  <c r="AH192" i="1"/>
  <c r="AG192" i="1"/>
  <c r="AF192" i="1"/>
  <c r="AE192" i="1"/>
  <c r="AD192" i="1"/>
  <c r="AC192" i="1"/>
  <c r="AB192" i="1"/>
  <c r="AI191" i="1"/>
  <c r="AH191" i="1"/>
  <c r="AG191" i="1"/>
  <c r="AF191" i="1"/>
  <c r="AE191" i="1"/>
  <c r="AD191" i="1"/>
  <c r="AC191" i="1"/>
  <c r="AB191" i="1"/>
  <c r="AI190" i="1"/>
  <c r="AH190" i="1"/>
  <c r="AG190" i="1"/>
  <c r="AF190" i="1"/>
  <c r="AE190" i="1"/>
  <c r="AD190" i="1"/>
  <c r="AC190" i="1"/>
  <c r="AB190" i="1"/>
  <c r="AI189" i="1"/>
  <c r="AH189" i="1"/>
  <c r="AG189" i="1"/>
  <c r="AF189" i="1"/>
  <c r="AE189" i="1"/>
  <c r="AD189" i="1"/>
  <c r="AC189" i="1"/>
  <c r="AB189" i="1"/>
  <c r="AI188" i="1"/>
  <c r="AH188" i="1"/>
  <c r="AG188" i="1"/>
  <c r="AF188" i="1"/>
  <c r="AE188" i="1"/>
  <c r="AD188" i="1"/>
  <c r="AC188" i="1"/>
  <c r="AB188" i="1"/>
  <c r="AI187" i="1"/>
  <c r="AH187" i="1"/>
  <c r="AG187" i="1"/>
  <c r="AF187" i="1"/>
  <c r="AE187" i="1"/>
  <c r="AD187" i="1"/>
  <c r="AB187" i="1"/>
  <c r="AI186" i="1"/>
  <c r="AH186" i="1"/>
  <c r="AG186" i="1"/>
  <c r="AF186" i="1"/>
  <c r="AE186" i="1"/>
  <c r="AD186" i="1"/>
  <c r="AC186" i="1"/>
  <c r="AB186" i="1"/>
  <c r="AI185" i="1"/>
  <c r="AH185" i="1"/>
  <c r="AG185" i="1"/>
  <c r="AF185" i="1"/>
  <c r="AE185" i="1"/>
  <c r="AD185" i="1"/>
  <c r="AC185" i="1"/>
  <c r="AB185" i="1"/>
  <c r="AI184" i="1"/>
  <c r="AH184" i="1"/>
  <c r="AG184" i="1"/>
  <c r="AF184" i="1"/>
  <c r="AE184" i="1"/>
  <c r="AD184" i="1"/>
  <c r="AC184" i="1"/>
  <c r="AB184" i="1"/>
  <c r="AI183" i="1"/>
  <c r="AH183" i="1"/>
  <c r="AG183" i="1"/>
  <c r="AF183" i="1"/>
  <c r="AE183" i="1"/>
  <c r="AD183" i="1"/>
  <c r="AC183" i="1"/>
  <c r="AB183" i="1"/>
  <c r="AI182" i="1"/>
  <c r="AH182" i="1"/>
  <c r="AG182" i="1"/>
  <c r="AF182" i="1"/>
  <c r="AE182" i="1"/>
  <c r="AD182" i="1"/>
  <c r="AC182" i="1"/>
  <c r="AB182" i="1"/>
  <c r="AI181" i="1"/>
  <c r="AH181" i="1"/>
  <c r="AG181" i="1"/>
  <c r="AF181" i="1"/>
  <c r="AE181" i="1"/>
  <c r="AD181" i="1"/>
  <c r="AC181" i="1"/>
  <c r="AB181" i="1"/>
  <c r="AI180" i="1"/>
  <c r="AH180" i="1"/>
  <c r="AG180" i="1"/>
  <c r="AF180" i="1"/>
  <c r="AE180" i="1"/>
  <c r="AD180" i="1"/>
  <c r="AC180" i="1"/>
  <c r="AB180" i="1"/>
  <c r="AI179" i="1"/>
  <c r="AH179" i="1"/>
  <c r="AG179" i="1"/>
  <c r="AF179" i="1"/>
  <c r="AE179" i="1"/>
  <c r="AD179" i="1"/>
  <c r="AB179" i="1"/>
  <c r="AI178" i="1"/>
  <c r="AH178" i="1"/>
  <c r="AG178" i="1"/>
  <c r="AF178" i="1"/>
  <c r="AE178" i="1"/>
  <c r="AD178" i="1"/>
  <c r="AC178" i="1"/>
  <c r="AB178" i="1"/>
  <c r="AI177" i="1"/>
  <c r="AH177" i="1"/>
  <c r="AG177" i="1"/>
  <c r="AF177" i="1"/>
  <c r="AE177" i="1"/>
  <c r="AD177" i="1"/>
  <c r="AC177" i="1"/>
  <c r="AB177" i="1"/>
  <c r="AI176" i="1"/>
  <c r="AH176" i="1"/>
  <c r="AG176" i="1"/>
  <c r="AF176" i="1"/>
  <c r="AE176" i="1"/>
  <c r="AD176" i="1"/>
  <c r="AC176" i="1"/>
  <c r="AB176" i="1"/>
  <c r="AI175" i="1"/>
  <c r="AH175" i="1"/>
  <c r="AG175" i="1"/>
  <c r="AF175" i="1"/>
  <c r="AE175" i="1"/>
  <c r="AD175" i="1"/>
  <c r="AC175" i="1"/>
  <c r="AB175" i="1"/>
  <c r="AI174" i="1"/>
  <c r="AH174" i="1"/>
  <c r="AG174" i="1"/>
  <c r="AF174" i="1"/>
  <c r="AE174" i="1"/>
  <c r="AD174" i="1"/>
  <c r="AC174" i="1"/>
  <c r="AB174" i="1"/>
  <c r="AI173" i="1"/>
  <c r="AH173" i="1"/>
  <c r="AG173" i="1"/>
  <c r="AF173" i="1"/>
  <c r="AE173" i="1"/>
  <c r="AD173" i="1"/>
  <c r="AC173" i="1"/>
  <c r="AB173" i="1"/>
  <c r="AI172" i="1"/>
  <c r="AH172" i="1"/>
  <c r="AG172" i="1"/>
  <c r="AF172" i="1"/>
  <c r="AE172" i="1"/>
  <c r="AD172" i="1"/>
  <c r="AC172" i="1"/>
  <c r="AB172" i="1"/>
  <c r="AI171" i="1"/>
  <c r="AH171" i="1"/>
  <c r="AG171" i="1"/>
  <c r="AF171" i="1"/>
  <c r="AE171" i="1"/>
  <c r="AD171" i="1"/>
  <c r="AC171" i="1"/>
  <c r="AB171" i="1"/>
  <c r="AI170" i="1"/>
  <c r="AH170" i="1"/>
  <c r="AG170" i="1"/>
  <c r="AF170" i="1"/>
  <c r="AE170" i="1"/>
  <c r="AD170" i="1"/>
  <c r="AC170" i="1"/>
  <c r="AB170" i="1"/>
  <c r="AI169" i="1"/>
  <c r="AH169" i="1"/>
  <c r="AG169" i="1"/>
  <c r="AF169" i="1"/>
  <c r="AE169" i="1"/>
  <c r="AD169" i="1"/>
  <c r="AC169" i="1"/>
  <c r="AB169" i="1"/>
  <c r="AI168" i="1"/>
  <c r="AH168" i="1"/>
  <c r="AG168" i="1"/>
  <c r="AF168" i="1"/>
  <c r="AE168" i="1"/>
  <c r="AD168" i="1"/>
  <c r="AC168" i="1"/>
  <c r="AB168" i="1"/>
  <c r="AI167" i="1"/>
  <c r="AH167" i="1"/>
  <c r="AG167" i="1"/>
  <c r="AF167" i="1"/>
  <c r="AE167" i="1"/>
  <c r="AD167" i="1"/>
  <c r="AC167" i="1"/>
  <c r="AB167" i="1"/>
  <c r="AI166" i="1"/>
  <c r="AH166" i="1"/>
  <c r="AG166" i="1"/>
  <c r="AF166" i="1"/>
  <c r="AE166" i="1"/>
  <c r="AD166" i="1"/>
  <c r="AC166" i="1"/>
  <c r="AB166" i="1"/>
  <c r="AH165" i="1"/>
  <c r="AG165" i="1"/>
  <c r="AF165" i="1"/>
  <c r="AE165" i="1"/>
  <c r="AD165" i="1"/>
  <c r="AC165" i="1"/>
  <c r="AB165" i="1"/>
  <c r="AI164" i="1"/>
  <c r="AH164" i="1"/>
  <c r="AG164" i="1"/>
  <c r="AF164" i="1"/>
  <c r="AE164" i="1"/>
  <c r="AD164" i="1"/>
  <c r="AC164" i="1"/>
  <c r="AB164" i="1"/>
  <c r="AI163" i="1"/>
  <c r="AH163" i="1"/>
  <c r="AG163" i="1"/>
  <c r="AF163" i="1"/>
  <c r="AE163" i="1"/>
  <c r="AD163" i="1"/>
  <c r="AC163" i="1"/>
  <c r="AB163" i="1"/>
  <c r="AI162" i="1"/>
  <c r="AH162" i="1"/>
  <c r="AG162" i="1"/>
  <c r="AF162" i="1"/>
  <c r="AE162" i="1"/>
  <c r="AD162" i="1"/>
  <c r="AC162" i="1"/>
  <c r="AB162" i="1"/>
  <c r="AI161" i="1"/>
  <c r="AH161" i="1"/>
  <c r="AG161" i="1"/>
  <c r="AF161" i="1"/>
  <c r="AE161" i="1"/>
  <c r="AD161" i="1"/>
  <c r="AC161" i="1"/>
  <c r="AB161" i="1"/>
  <c r="AI160" i="1"/>
  <c r="AH160" i="1"/>
  <c r="AG160" i="1"/>
  <c r="AF160" i="1"/>
  <c r="AE160" i="1"/>
  <c r="AD160" i="1"/>
  <c r="AC160" i="1"/>
  <c r="AB160" i="1"/>
  <c r="AI159" i="1"/>
  <c r="AH159" i="1"/>
  <c r="AG159" i="1"/>
  <c r="AF159" i="1"/>
  <c r="AE159" i="1"/>
  <c r="AD159" i="1"/>
  <c r="AC159" i="1"/>
  <c r="AB159" i="1"/>
  <c r="AI158" i="1"/>
  <c r="AH158" i="1"/>
  <c r="AG158" i="1"/>
  <c r="AF158" i="1"/>
  <c r="AE158" i="1"/>
  <c r="AD158" i="1"/>
  <c r="AC158" i="1"/>
  <c r="AB158" i="1"/>
  <c r="AI157" i="1"/>
  <c r="AH157" i="1"/>
  <c r="AG157" i="1"/>
  <c r="AF157" i="1"/>
  <c r="AE157" i="1"/>
  <c r="AD157" i="1"/>
  <c r="AC157" i="1"/>
  <c r="AB157" i="1"/>
  <c r="AI156" i="1"/>
  <c r="AH156" i="1"/>
  <c r="AG156" i="1"/>
  <c r="AF156" i="1"/>
  <c r="AE156" i="1"/>
  <c r="AD156" i="1"/>
  <c r="AC156" i="1"/>
  <c r="AB156" i="1"/>
  <c r="AI155" i="1"/>
  <c r="AH155" i="1"/>
  <c r="AG155" i="1"/>
  <c r="AF155" i="1"/>
  <c r="AE155" i="1"/>
  <c r="AD155" i="1"/>
  <c r="AC155" i="1"/>
  <c r="AB155" i="1"/>
  <c r="AI154" i="1"/>
  <c r="AH154" i="1"/>
  <c r="AG154" i="1"/>
  <c r="AF154" i="1"/>
  <c r="AE154" i="1"/>
  <c r="AD154" i="1"/>
  <c r="AC154" i="1"/>
  <c r="AB154" i="1"/>
  <c r="AI153" i="1"/>
  <c r="AH153" i="1"/>
  <c r="AG153" i="1"/>
  <c r="AF153" i="1"/>
  <c r="AE153" i="1"/>
  <c r="AD153" i="1"/>
  <c r="AB153" i="1"/>
  <c r="AI152" i="1"/>
  <c r="AH152" i="1"/>
  <c r="AG152" i="1"/>
  <c r="AF152" i="1"/>
  <c r="AE152" i="1"/>
  <c r="AD152" i="1"/>
  <c r="AB152" i="1"/>
  <c r="AI151" i="1"/>
  <c r="AH151" i="1"/>
  <c r="AG151" i="1"/>
  <c r="AF151" i="1"/>
  <c r="AE151" i="1"/>
  <c r="AD151" i="1"/>
  <c r="AC151" i="1"/>
  <c r="AB151" i="1"/>
  <c r="AH150" i="1"/>
  <c r="AG150" i="1"/>
  <c r="AF150" i="1"/>
  <c r="AE150" i="1"/>
  <c r="AD150" i="1"/>
  <c r="AC150" i="1"/>
  <c r="AB150" i="1"/>
  <c r="AI149" i="1"/>
  <c r="AH149" i="1"/>
  <c r="AG149" i="1"/>
  <c r="AF149" i="1"/>
  <c r="AE149" i="1"/>
  <c r="AD149" i="1"/>
  <c r="AC149" i="1"/>
  <c r="AB149" i="1"/>
  <c r="AI148" i="1"/>
  <c r="AH148" i="1"/>
  <c r="AG148" i="1"/>
  <c r="AF148" i="1"/>
  <c r="AE148" i="1"/>
  <c r="AD148" i="1"/>
  <c r="AC148" i="1"/>
  <c r="AB148" i="1"/>
  <c r="AI147" i="1"/>
  <c r="AH147" i="1"/>
  <c r="AG147" i="1"/>
  <c r="AF147" i="1"/>
  <c r="AE147" i="1"/>
  <c r="AD147" i="1"/>
  <c r="AC147" i="1"/>
  <c r="AB147" i="1"/>
  <c r="AI146" i="1"/>
  <c r="AH146" i="1"/>
  <c r="AG146" i="1"/>
  <c r="AF146" i="1"/>
  <c r="AE146" i="1"/>
  <c r="AD146" i="1"/>
  <c r="AC146" i="1"/>
  <c r="AB146" i="1"/>
  <c r="AI145" i="1"/>
  <c r="AH145" i="1"/>
  <c r="AG145" i="1"/>
  <c r="AF145" i="1"/>
  <c r="AE145" i="1"/>
  <c r="AD145" i="1"/>
  <c r="AC145" i="1"/>
  <c r="AB145" i="1"/>
  <c r="AI144" i="1"/>
  <c r="AH144" i="1"/>
  <c r="AG144" i="1"/>
  <c r="AF144" i="1"/>
  <c r="AE144" i="1"/>
  <c r="AD144" i="1"/>
  <c r="AC144" i="1"/>
  <c r="AB144" i="1"/>
  <c r="AI143" i="1"/>
  <c r="AH143" i="1"/>
  <c r="AG143" i="1"/>
  <c r="AF143" i="1"/>
  <c r="AE143" i="1"/>
  <c r="AD143" i="1"/>
  <c r="AC143" i="1"/>
  <c r="AB143" i="1"/>
  <c r="AI142" i="1"/>
  <c r="AH142" i="1"/>
  <c r="AG142" i="1"/>
  <c r="AF142" i="1"/>
  <c r="AE142" i="1"/>
  <c r="AD142" i="1"/>
  <c r="AC142" i="1"/>
  <c r="AB142" i="1"/>
  <c r="AI141" i="1"/>
  <c r="AH141" i="1"/>
  <c r="AG141" i="1"/>
  <c r="AF141" i="1"/>
  <c r="AE141" i="1"/>
  <c r="AD141" i="1"/>
  <c r="AC141" i="1"/>
  <c r="AB141" i="1"/>
  <c r="AI140" i="1"/>
  <c r="AH140" i="1"/>
  <c r="AG140" i="1"/>
  <c r="AF140" i="1"/>
  <c r="AE140" i="1"/>
  <c r="AD140" i="1"/>
  <c r="AC140" i="1"/>
  <c r="AB140" i="1"/>
  <c r="AI139" i="1"/>
  <c r="AH139" i="1"/>
  <c r="AG139" i="1"/>
  <c r="AF139" i="1"/>
  <c r="AE139" i="1"/>
  <c r="AD139" i="1"/>
  <c r="AC139" i="1"/>
  <c r="AB139" i="1"/>
  <c r="AI138" i="1"/>
  <c r="AH138" i="1"/>
  <c r="AG138" i="1"/>
  <c r="AF138" i="1"/>
  <c r="AE138" i="1"/>
  <c r="AD138" i="1"/>
  <c r="AC138" i="1"/>
  <c r="AB138" i="1"/>
  <c r="AI137" i="1"/>
  <c r="AH137" i="1"/>
  <c r="AG137" i="1"/>
  <c r="AF137" i="1"/>
  <c r="AE137" i="1"/>
  <c r="AD137" i="1"/>
  <c r="AC137" i="1"/>
  <c r="AB137" i="1"/>
  <c r="AH136" i="1"/>
  <c r="AG136" i="1"/>
  <c r="AF136" i="1"/>
  <c r="AE136" i="1"/>
  <c r="AD136" i="1"/>
  <c r="AC136" i="1"/>
  <c r="AB136" i="1"/>
  <c r="AI135" i="1"/>
  <c r="AH135" i="1"/>
  <c r="AG135" i="1"/>
  <c r="AF135" i="1"/>
  <c r="AE135" i="1"/>
  <c r="AD135" i="1"/>
  <c r="AC135" i="1"/>
  <c r="AB135" i="1"/>
  <c r="AI134" i="1"/>
  <c r="AH134" i="1"/>
  <c r="AG134" i="1"/>
  <c r="AF134" i="1"/>
  <c r="AE134" i="1"/>
  <c r="AD134" i="1"/>
  <c r="AC134" i="1"/>
  <c r="AB134" i="1"/>
  <c r="AI133" i="1"/>
  <c r="AH133" i="1"/>
  <c r="AG133" i="1"/>
  <c r="AF133" i="1"/>
  <c r="AE133" i="1"/>
  <c r="AD133" i="1"/>
  <c r="AC133" i="1"/>
  <c r="AB133" i="1"/>
  <c r="AI132" i="1"/>
  <c r="AH132" i="1"/>
  <c r="AG132" i="1"/>
  <c r="AF132" i="1"/>
  <c r="AE132" i="1"/>
  <c r="AD132" i="1"/>
  <c r="AC132" i="1"/>
  <c r="AB132" i="1"/>
  <c r="AI131" i="1"/>
  <c r="AH131" i="1"/>
  <c r="AG131" i="1"/>
  <c r="AF131" i="1"/>
  <c r="AE131" i="1"/>
  <c r="AD131" i="1"/>
  <c r="AC131" i="1"/>
  <c r="AB131" i="1"/>
  <c r="AI130" i="1"/>
  <c r="AH130" i="1"/>
  <c r="AG130" i="1"/>
  <c r="AF130" i="1"/>
  <c r="AE130" i="1"/>
  <c r="AD130" i="1"/>
  <c r="AC130" i="1"/>
  <c r="AB130" i="1"/>
  <c r="AI129" i="1"/>
  <c r="AH129" i="1"/>
  <c r="AG129" i="1"/>
  <c r="AF129" i="1"/>
  <c r="AE129" i="1"/>
  <c r="AD129" i="1"/>
  <c r="AC129" i="1"/>
  <c r="AB129" i="1"/>
  <c r="AI128" i="1"/>
  <c r="AH128" i="1"/>
  <c r="AG128" i="1"/>
  <c r="AF128" i="1"/>
  <c r="AE128" i="1"/>
  <c r="AD128" i="1"/>
  <c r="AC128" i="1"/>
  <c r="AB128" i="1"/>
  <c r="AI127" i="1"/>
  <c r="AH127" i="1"/>
  <c r="AG127" i="1"/>
  <c r="AF127" i="1"/>
  <c r="AE127" i="1"/>
  <c r="AD127" i="1"/>
  <c r="AC127" i="1"/>
  <c r="AB127" i="1"/>
  <c r="AI126" i="1"/>
  <c r="AH126" i="1"/>
  <c r="AG126" i="1"/>
  <c r="AF126" i="1"/>
  <c r="AE126" i="1"/>
  <c r="AD126" i="1"/>
  <c r="AC126" i="1"/>
  <c r="AB126" i="1"/>
  <c r="AI125" i="1"/>
  <c r="AH125" i="1"/>
  <c r="AG125" i="1"/>
  <c r="AF125" i="1"/>
  <c r="AE125" i="1"/>
  <c r="AD125" i="1"/>
  <c r="AC125" i="1"/>
  <c r="AB125" i="1"/>
  <c r="AI124" i="1"/>
  <c r="AH124" i="1"/>
  <c r="AG124" i="1"/>
  <c r="AF124" i="1"/>
  <c r="AE124" i="1"/>
  <c r="AD124" i="1"/>
  <c r="AC124" i="1"/>
  <c r="AB124" i="1"/>
  <c r="AI123" i="1"/>
  <c r="AH123" i="1"/>
  <c r="AG123" i="1"/>
  <c r="AF123" i="1"/>
  <c r="AE123" i="1"/>
  <c r="AD123" i="1"/>
  <c r="AC123" i="1"/>
  <c r="AB123" i="1"/>
  <c r="AI122" i="1"/>
  <c r="AH122" i="1"/>
  <c r="AG122" i="1"/>
  <c r="AF122" i="1"/>
  <c r="AE122" i="1"/>
  <c r="AD122" i="1"/>
  <c r="AC122" i="1"/>
  <c r="AB122" i="1"/>
  <c r="AI121" i="1"/>
  <c r="AH121" i="1"/>
  <c r="AG121" i="1"/>
  <c r="AF121" i="1"/>
  <c r="AE121" i="1"/>
  <c r="AD121" i="1"/>
  <c r="AC121" i="1"/>
  <c r="AB121" i="1"/>
  <c r="AI120" i="1"/>
  <c r="AH120" i="1"/>
  <c r="AG120" i="1"/>
  <c r="AF120" i="1"/>
  <c r="AE120" i="1"/>
  <c r="AD120" i="1"/>
  <c r="AC120" i="1"/>
  <c r="AB120" i="1"/>
  <c r="AI119" i="1"/>
  <c r="AH119" i="1"/>
  <c r="AG119" i="1"/>
  <c r="AF119" i="1"/>
  <c r="AE119" i="1"/>
  <c r="AD119" i="1"/>
  <c r="AC119" i="1"/>
  <c r="AB119" i="1"/>
  <c r="AI118" i="1"/>
  <c r="AH118" i="1"/>
  <c r="AG118" i="1"/>
  <c r="AF118" i="1"/>
  <c r="AE118" i="1"/>
  <c r="AD118" i="1"/>
  <c r="AB118" i="1"/>
  <c r="AI117" i="1"/>
  <c r="AH117" i="1"/>
  <c r="AG117" i="1"/>
  <c r="AF117" i="1"/>
  <c r="AE117" i="1"/>
  <c r="AD117" i="1"/>
  <c r="AC117" i="1"/>
  <c r="AB117" i="1"/>
  <c r="AI116" i="1"/>
  <c r="AH116" i="1"/>
  <c r="AG116" i="1"/>
  <c r="AF116" i="1"/>
  <c r="AE116" i="1"/>
  <c r="AD116" i="1"/>
  <c r="AC116" i="1"/>
  <c r="AB116" i="1"/>
  <c r="AI115" i="1"/>
  <c r="AH115" i="1"/>
  <c r="AG115" i="1"/>
  <c r="AF115" i="1"/>
  <c r="AE115" i="1"/>
  <c r="AD115" i="1"/>
  <c r="AC115" i="1"/>
  <c r="AB115" i="1"/>
  <c r="AI114" i="1"/>
  <c r="AH114" i="1"/>
  <c r="AG114" i="1"/>
  <c r="AF114" i="1"/>
  <c r="AE114" i="1"/>
  <c r="AD114" i="1"/>
  <c r="AB114" i="1"/>
  <c r="AI113" i="1"/>
  <c r="AH113" i="1"/>
  <c r="AG113" i="1"/>
  <c r="AF113" i="1"/>
  <c r="AE113" i="1"/>
  <c r="AD113" i="1"/>
  <c r="AC113" i="1"/>
  <c r="AB113" i="1"/>
  <c r="AI112" i="1"/>
  <c r="AH112" i="1"/>
  <c r="AG112" i="1"/>
  <c r="AF112" i="1"/>
  <c r="AE112" i="1"/>
  <c r="AD112" i="1"/>
  <c r="AC112" i="1"/>
  <c r="AB112" i="1"/>
  <c r="AI111" i="1"/>
  <c r="AH111" i="1"/>
  <c r="AG111" i="1"/>
  <c r="AF111" i="1"/>
  <c r="AE111" i="1"/>
  <c r="AD111" i="1"/>
  <c r="AC111" i="1"/>
  <c r="AB111" i="1"/>
  <c r="AI110" i="1"/>
  <c r="AH110" i="1"/>
  <c r="AG110" i="1"/>
  <c r="AF110" i="1"/>
  <c r="AE110" i="1"/>
  <c r="AD110" i="1"/>
  <c r="AC110" i="1"/>
  <c r="AB110" i="1"/>
  <c r="AI109" i="1"/>
  <c r="AH109" i="1"/>
  <c r="AG109" i="1"/>
  <c r="AF109" i="1"/>
  <c r="AE109" i="1"/>
  <c r="AD109" i="1"/>
  <c r="AC109" i="1"/>
  <c r="AB109" i="1"/>
  <c r="AI108" i="1"/>
  <c r="AH108" i="1"/>
  <c r="AG108" i="1"/>
  <c r="AF108" i="1"/>
  <c r="AE108" i="1"/>
  <c r="AD108" i="1"/>
  <c r="AC108" i="1"/>
  <c r="AB108" i="1"/>
  <c r="AI107" i="1"/>
  <c r="AH107" i="1"/>
  <c r="AG107" i="1"/>
  <c r="AF107" i="1"/>
  <c r="AE107" i="1"/>
  <c r="AD107" i="1"/>
  <c r="AC107" i="1"/>
  <c r="AB107" i="1"/>
  <c r="AI106" i="1"/>
  <c r="AH106" i="1"/>
  <c r="AG106" i="1"/>
  <c r="AF106" i="1"/>
  <c r="AE106" i="1"/>
  <c r="AD106" i="1"/>
  <c r="AC106" i="1"/>
  <c r="AB106" i="1"/>
  <c r="AI105" i="1"/>
  <c r="AH105" i="1"/>
  <c r="AG105" i="1"/>
  <c r="AF105" i="1"/>
  <c r="AE105" i="1"/>
  <c r="AD105" i="1"/>
  <c r="AC105" i="1"/>
  <c r="AB105" i="1"/>
  <c r="AI104" i="1"/>
  <c r="AH104" i="1"/>
  <c r="AG104" i="1"/>
  <c r="AF104" i="1"/>
  <c r="AE104" i="1"/>
  <c r="AD104" i="1"/>
  <c r="AC104" i="1"/>
  <c r="AB104" i="1"/>
  <c r="AI103" i="1"/>
  <c r="AH103" i="1"/>
  <c r="AG103" i="1"/>
  <c r="AF103" i="1"/>
  <c r="AE103" i="1"/>
  <c r="AD103" i="1"/>
  <c r="AC103" i="1"/>
  <c r="AB103" i="1"/>
  <c r="AI102" i="1"/>
  <c r="AH102" i="1"/>
  <c r="AG102" i="1"/>
  <c r="AF102" i="1"/>
  <c r="AE102" i="1"/>
  <c r="AD102" i="1"/>
  <c r="AC102" i="1"/>
  <c r="AB102" i="1"/>
  <c r="AI101" i="1"/>
  <c r="AH101" i="1"/>
  <c r="AG101" i="1"/>
  <c r="AF101" i="1"/>
  <c r="AE101" i="1"/>
  <c r="AD101" i="1"/>
  <c r="AC101" i="1"/>
  <c r="AB101" i="1"/>
  <c r="AH100" i="1"/>
  <c r="AG100" i="1"/>
  <c r="AF100" i="1"/>
  <c r="AE100" i="1"/>
  <c r="AD100" i="1"/>
  <c r="AC100" i="1"/>
  <c r="AB100" i="1"/>
  <c r="AI99" i="1"/>
  <c r="AH99" i="1"/>
  <c r="AG99" i="1"/>
  <c r="AF99" i="1"/>
  <c r="AE99" i="1"/>
  <c r="AD99" i="1"/>
  <c r="AC99" i="1"/>
  <c r="AB99" i="1"/>
  <c r="AI98" i="1"/>
  <c r="AH98" i="1"/>
  <c r="AG98" i="1"/>
  <c r="AF98" i="1"/>
  <c r="AE98" i="1"/>
  <c r="AD98" i="1"/>
  <c r="AC98" i="1"/>
  <c r="AB98" i="1"/>
  <c r="AI97" i="1"/>
  <c r="AH97" i="1"/>
  <c r="AG97" i="1"/>
  <c r="AF97" i="1"/>
  <c r="AE97" i="1"/>
  <c r="AD97" i="1"/>
  <c r="AC97" i="1"/>
  <c r="AB97" i="1"/>
  <c r="AI96" i="1"/>
  <c r="AH96" i="1"/>
  <c r="AG96" i="1"/>
  <c r="AF96" i="1"/>
  <c r="AE96" i="1"/>
  <c r="AD96" i="1"/>
  <c r="AC96" i="1"/>
  <c r="AB96" i="1"/>
  <c r="AI95" i="1"/>
  <c r="AH95" i="1"/>
  <c r="AG95" i="1"/>
  <c r="AF95" i="1"/>
  <c r="AE95" i="1"/>
  <c r="AD95" i="1"/>
  <c r="AC95" i="1"/>
  <c r="AB95" i="1"/>
  <c r="AI94" i="1"/>
  <c r="AH94" i="1"/>
  <c r="AG94" i="1"/>
  <c r="AF94" i="1"/>
  <c r="AE94" i="1"/>
  <c r="AD94" i="1"/>
  <c r="AC94" i="1"/>
  <c r="AB94" i="1"/>
  <c r="AI93" i="1"/>
  <c r="AH93" i="1"/>
  <c r="AG93" i="1"/>
  <c r="AF93" i="1"/>
  <c r="AE93" i="1"/>
  <c r="AD93" i="1"/>
  <c r="AC93" i="1"/>
  <c r="AB93" i="1"/>
  <c r="AI92" i="1"/>
  <c r="AH92" i="1"/>
  <c r="AG92" i="1"/>
  <c r="AF92" i="1"/>
  <c r="AE92" i="1"/>
  <c r="AD92" i="1"/>
  <c r="AC92" i="1"/>
  <c r="AB92" i="1"/>
  <c r="AI91" i="1"/>
  <c r="AH91" i="1"/>
  <c r="AG91" i="1"/>
  <c r="AF91" i="1"/>
  <c r="AE91" i="1"/>
  <c r="AD91" i="1"/>
  <c r="AC91" i="1"/>
  <c r="AB91" i="1"/>
  <c r="AI90" i="1"/>
  <c r="AH90" i="1"/>
  <c r="AG90" i="1"/>
  <c r="AF90" i="1"/>
  <c r="AE90" i="1"/>
  <c r="AD90" i="1"/>
  <c r="AC90" i="1"/>
  <c r="AB90" i="1"/>
  <c r="AI89" i="1"/>
  <c r="AH89" i="1"/>
  <c r="AG89" i="1"/>
  <c r="AF89" i="1"/>
  <c r="AE89" i="1"/>
  <c r="AD89" i="1"/>
  <c r="AC89" i="1"/>
  <c r="AB89" i="1"/>
  <c r="AI88" i="1"/>
  <c r="AH88" i="1"/>
  <c r="AG88" i="1"/>
  <c r="AF88" i="1"/>
  <c r="AE88" i="1"/>
  <c r="AD88" i="1"/>
  <c r="AC88" i="1"/>
  <c r="AB88" i="1"/>
  <c r="AI87" i="1"/>
  <c r="AH87" i="1"/>
  <c r="AG87" i="1"/>
  <c r="AF87" i="1"/>
  <c r="AE87" i="1"/>
  <c r="AD87" i="1"/>
  <c r="AC87" i="1"/>
  <c r="AB87" i="1"/>
  <c r="AI86" i="1"/>
  <c r="AH86" i="1"/>
  <c r="AG86" i="1"/>
  <c r="AF86" i="1"/>
  <c r="AE86" i="1"/>
  <c r="AD86" i="1"/>
  <c r="AC86" i="1"/>
  <c r="AB86" i="1"/>
  <c r="AI85" i="1"/>
  <c r="AH85" i="1"/>
  <c r="AG85" i="1"/>
  <c r="AF85" i="1"/>
  <c r="AE85" i="1"/>
  <c r="AD85" i="1"/>
  <c r="AC85" i="1"/>
  <c r="AB85" i="1"/>
  <c r="AI84" i="1"/>
  <c r="AH84" i="1"/>
  <c r="AG84" i="1"/>
  <c r="AF84" i="1"/>
  <c r="AE84" i="1"/>
  <c r="AD84" i="1"/>
  <c r="AC84" i="1"/>
  <c r="AB84" i="1"/>
  <c r="AI83" i="1"/>
  <c r="AH83" i="1"/>
  <c r="AG83" i="1"/>
  <c r="AF83" i="1"/>
  <c r="AE83" i="1"/>
  <c r="AD83" i="1"/>
  <c r="AC83" i="1"/>
  <c r="AB83" i="1"/>
  <c r="AI82" i="1"/>
  <c r="AH82" i="1"/>
  <c r="AG82" i="1"/>
  <c r="AF82" i="1"/>
  <c r="AE82" i="1"/>
  <c r="AD82" i="1"/>
  <c r="AC82" i="1"/>
  <c r="AB82" i="1"/>
  <c r="AI81" i="1"/>
  <c r="AH81" i="1"/>
  <c r="AG81" i="1"/>
  <c r="AF81" i="1"/>
  <c r="AE81" i="1"/>
  <c r="AD81" i="1"/>
  <c r="AC81" i="1"/>
  <c r="AB81" i="1"/>
  <c r="AI80" i="1"/>
  <c r="AH80" i="1"/>
  <c r="AG80" i="1"/>
  <c r="AF80" i="1"/>
  <c r="AE80" i="1"/>
  <c r="AD80" i="1"/>
  <c r="AC80" i="1"/>
  <c r="AB80" i="1"/>
  <c r="AI79" i="1"/>
  <c r="AH79" i="1"/>
  <c r="AG79" i="1"/>
  <c r="AF79" i="1"/>
  <c r="AE79" i="1"/>
  <c r="AD79" i="1"/>
  <c r="AC79" i="1"/>
  <c r="AB79" i="1"/>
  <c r="AI78" i="1"/>
  <c r="AH78" i="1"/>
  <c r="AG78" i="1"/>
  <c r="AF78" i="1"/>
  <c r="AE78" i="1"/>
  <c r="AD78" i="1"/>
  <c r="AC78" i="1"/>
  <c r="AB78" i="1"/>
  <c r="AI77" i="1"/>
  <c r="AH77" i="1"/>
  <c r="AG77" i="1"/>
  <c r="AF77" i="1"/>
  <c r="AE77" i="1"/>
  <c r="AD77" i="1"/>
  <c r="AC77" i="1"/>
  <c r="AB77" i="1"/>
  <c r="AI76" i="1"/>
  <c r="AH76" i="1"/>
  <c r="AG76" i="1"/>
  <c r="AF76" i="1"/>
  <c r="AE76" i="1"/>
  <c r="AD76" i="1"/>
  <c r="AC76" i="1"/>
  <c r="AB76" i="1"/>
  <c r="AI75" i="1"/>
  <c r="AH75" i="1"/>
  <c r="AG75" i="1"/>
  <c r="AF75" i="1"/>
  <c r="AE75" i="1"/>
  <c r="AD75" i="1"/>
  <c r="AC75" i="1"/>
  <c r="AB75" i="1"/>
  <c r="AI74" i="1"/>
  <c r="AH74" i="1"/>
  <c r="AG74" i="1"/>
  <c r="AF74" i="1"/>
  <c r="AE74" i="1"/>
  <c r="AD74" i="1"/>
  <c r="AC74" i="1"/>
  <c r="AB74" i="1"/>
  <c r="AI73" i="1"/>
  <c r="AH73" i="1"/>
  <c r="AG73" i="1"/>
  <c r="AF73" i="1"/>
  <c r="AE73" i="1"/>
  <c r="AD73" i="1"/>
  <c r="AC73" i="1"/>
  <c r="AB73" i="1"/>
  <c r="AI72" i="1"/>
  <c r="AH72" i="1"/>
  <c r="AG72" i="1"/>
  <c r="AF72" i="1"/>
  <c r="AE72" i="1"/>
  <c r="AD72" i="1"/>
  <c r="AC72" i="1"/>
  <c r="AB72" i="1"/>
  <c r="AI71" i="1"/>
  <c r="AH71" i="1"/>
  <c r="AG71" i="1"/>
  <c r="AF71" i="1"/>
  <c r="AE71" i="1"/>
  <c r="AD71" i="1"/>
  <c r="AC71" i="1"/>
  <c r="AB71" i="1"/>
  <c r="AI70" i="1"/>
  <c r="AH70" i="1"/>
  <c r="AG70" i="1"/>
  <c r="AF70" i="1"/>
  <c r="AE70" i="1"/>
  <c r="AD70" i="1"/>
  <c r="AC70" i="1"/>
  <c r="AB70" i="1"/>
  <c r="AI69" i="1"/>
  <c r="AH69" i="1"/>
  <c r="AG69" i="1"/>
  <c r="AF69" i="1"/>
  <c r="AE69" i="1"/>
  <c r="AD69" i="1"/>
  <c r="AC69" i="1"/>
  <c r="AB69" i="1"/>
  <c r="AI68" i="1"/>
  <c r="AH68" i="1"/>
  <c r="AG68" i="1"/>
  <c r="AF68" i="1"/>
  <c r="AE68" i="1"/>
  <c r="AD68" i="1"/>
  <c r="AC68" i="1"/>
  <c r="AB68" i="1"/>
  <c r="AI67" i="1"/>
  <c r="AH67" i="1"/>
  <c r="AG67" i="1"/>
  <c r="AF67" i="1"/>
  <c r="AE67" i="1"/>
  <c r="AD67" i="1"/>
  <c r="AC67" i="1"/>
  <c r="AB67" i="1"/>
  <c r="AI66" i="1"/>
  <c r="AH66" i="1"/>
  <c r="AG66" i="1"/>
  <c r="AF66" i="1"/>
  <c r="AE66" i="1"/>
  <c r="AD66" i="1"/>
  <c r="AC66" i="1"/>
  <c r="AB66" i="1"/>
  <c r="AI65" i="1"/>
  <c r="AH65" i="1"/>
  <c r="AG65" i="1"/>
  <c r="AF65" i="1"/>
  <c r="AE65" i="1"/>
  <c r="AD65" i="1"/>
  <c r="AC65" i="1"/>
  <c r="AB65" i="1"/>
  <c r="AI64" i="1"/>
  <c r="AH64" i="1"/>
  <c r="AG64" i="1"/>
  <c r="AF64" i="1"/>
  <c r="AE64" i="1"/>
  <c r="AD64" i="1"/>
  <c r="AC64" i="1"/>
  <c r="AB64" i="1"/>
  <c r="AI63" i="1"/>
  <c r="AH63" i="1"/>
  <c r="AG63" i="1"/>
  <c r="AF63" i="1"/>
  <c r="AE63" i="1"/>
  <c r="AD63" i="1"/>
  <c r="AC63" i="1"/>
  <c r="AB63" i="1"/>
  <c r="AI62" i="1"/>
  <c r="AH62" i="1"/>
  <c r="AG62" i="1"/>
  <c r="AF62" i="1"/>
  <c r="AE62" i="1"/>
  <c r="AD62" i="1"/>
  <c r="AC62" i="1"/>
  <c r="AB62" i="1"/>
  <c r="AI61" i="1"/>
  <c r="AH61" i="1"/>
  <c r="AG61" i="1"/>
  <c r="AF61" i="1"/>
  <c r="AE61" i="1"/>
  <c r="AD61" i="1"/>
  <c r="AC61" i="1"/>
  <c r="AB61" i="1"/>
  <c r="AH60" i="1"/>
  <c r="AG60" i="1"/>
  <c r="AF60" i="1"/>
  <c r="AE60" i="1"/>
  <c r="AD60" i="1"/>
  <c r="AC60" i="1"/>
  <c r="AB60" i="1"/>
  <c r="AI59" i="1"/>
  <c r="AH59" i="1"/>
  <c r="AG59" i="1"/>
  <c r="AF59" i="1"/>
  <c r="AE59" i="1"/>
  <c r="AD59" i="1"/>
  <c r="AC59" i="1"/>
  <c r="AB59" i="1"/>
  <c r="AI58" i="1"/>
  <c r="AH58" i="1"/>
  <c r="AG58" i="1"/>
  <c r="AF58" i="1"/>
  <c r="AE58" i="1"/>
  <c r="AD58" i="1"/>
  <c r="AC58" i="1"/>
  <c r="AB58" i="1"/>
  <c r="AI57" i="1"/>
  <c r="AH57" i="1"/>
  <c r="AG57" i="1"/>
  <c r="AF57" i="1"/>
  <c r="AE57" i="1"/>
  <c r="AD57" i="1"/>
  <c r="AC57" i="1"/>
  <c r="AB57" i="1"/>
  <c r="AI56" i="1"/>
  <c r="AH56" i="1"/>
  <c r="AG56" i="1"/>
  <c r="AF56" i="1"/>
  <c r="AE56" i="1"/>
  <c r="AD56" i="1"/>
  <c r="AC56" i="1"/>
  <c r="AB56" i="1"/>
  <c r="AI55" i="1"/>
  <c r="AH55" i="1"/>
  <c r="AG55" i="1"/>
  <c r="AF55" i="1"/>
  <c r="AE55" i="1"/>
  <c r="AD55" i="1"/>
  <c r="AC55" i="1"/>
  <c r="AB55" i="1"/>
  <c r="AI54" i="1"/>
  <c r="AH54" i="1"/>
  <c r="AG54" i="1"/>
  <c r="AF54" i="1"/>
  <c r="AE54" i="1"/>
  <c r="AD54" i="1"/>
  <c r="AC54" i="1"/>
  <c r="AB54" i="1"/>
  <c r="AI53" i="1"/>
  <c r="AH53" i="1"/>
  <c r="AG53" i="1"/>
  <c r="AF53" i="1"/>
  <c r="AE53" i="1"/>
  <c r="AD53" i="1"/>
  <c r="AC53" i="1"/>
  <c r="AB53" i="1"/>
  <c r="AI52" i="1"/>
  <c r="AH52" i="1"/>
  <c r="AG52" i="1"/>
  <c r="AF52" i="1"/>
  <c r="AE52" i="1"/>
  <c r="AD52" i="1"/>
  <c r="AC52" i="1"/>
  <c r="AB52" i="1"/>
  <c r="AI51" i="1"/>
  <c r="AH51" i="1"/>
  <c r="AG51" i="1"/>
  <c r="AF51" i="1"/>
  <c r="AE51" i="1"/>
  <c r="AD51" i="1"/>
  <c r="AC51" i="1"/>
  <c r="AB51" i="1"/>
  <c r="AI50" i="1"/>
  <c r="AH50" i="1"/>
  <c r="AG50" i="1"/>
  <c r="AF50" i="1"/>
  <c r="AE50" i="1"/>
  <c r="AD50" i="1"/>
  <c r="AC50" i="1"/>
  <c r="AB50" i="1"/>
  <c r="AI49" i="1"/>
  <c r="AH49" i="1"/>
  <c r="AG49" i="1"/>
  <c r="AF49" i="1"/>
  <c r="AE49" i="1"/>
  <c r="AD49" i="1"/>
  <c r="AC49" i="1"/>
  <c r="AB49" i="1"/>
  <c r="AI48" i="1"/>
  <c r="AH48" i="1"/>
  <c r="AG48" i="1"/>
  <c r="AF48" i="1"/>
  <c r="AE48" i="1"/>
  <c r="AD48" i="1"/>
  <c r="AC48" i="1"/>
  <c r="AB48" i="1"/>
  <c r="AI47" i="1"/>
  <c r="AH47" i="1"/>
  <c r="AG47" i="1"/>
  <c r="AF47" i="1"/>
  <c r="AE47" i="1"/>
  <c r="AD47" i="1"/>
  <c r="AC47" i="1"/>
  <c r="AB47" i="1"/>
  <c r="AI46" i="1"/>
  <c r="AH46" i="1"/>
  <c r="AG46" i="1"/>
  <c r="AF46" i="1"/>
  <c r="AE46" i="1"/>
  <c r="AD46" i="1"/>
  <c r="AC46" i="1"/>
  <c r="AB46" i="1"/>
  <c r="AI45" i="1"/>
  <c r="AH45" i="1"/>
  <c r="AG45" i="1"/>
  <c r="AF45" i="1"/>
  <c r="AE45" i="1"/>
  <c r="AD45" i="1"/>
  <c r="AC45" i="1"/>
  <c r="AB45" i="1"/>
  <c r="AI44" i="1"/>
  <c r="AH44" i="1"/>
  <c r="AG44" i="1"/>
  <c r="AF44" i="1"/>
  <c r="AE44" i="1"/>
  <c r="AD44" i="1"/>
  <c r="AC44" i="1"/>
  <c r="AB44" i="1"/>
  <c r="AI43" i="1"/>
  <c r="AH43" i="1"/>
  <c r="AG43" i="1"/>
  <c r="AF43" i="1"/>
  <c r="AE43" i="1"/>
  <c r="AD43" i="1"/>
  <c r="AC43" i="1"/>
  <c r="AB43" i="1"/>
  <c r="AI42" i="1"/>
  <c r="AH42" i="1"/>
  <c r="AG42" i="1"/>
  <c r="AF42" i="1"/>
  <c r="AE42" i="1"/>
  <c r="AD42" i="1"/>
  <c r="AC42" i="1"/>
  <c r="AB42" i="1"/>
  <c r="AI41" i="1"/>
  <c r="AH41" i="1"/>
  <c r="AG41" i="1"/>
  <c r="AF41" i="1"/>
  <c r="AE41" i="1"/>
  <c r="AD41" i="1"/>
  <c r="AC41" i="1"/>
  <c r="AB41" i="1"/>
  <c r="AI40" i="1"/>
  <c r="AH40" i="1"/>
  <c r="AG40" i="1"/>
  <c r="AF40" i="1"/>
  <c r="AE40" i="1"/>
  <c r="AD40" i="1"/>
  <c r="AC40" i="1"/>
  <c r="AB40" i="1"/>
  <c r="AI39" i="1"/>
  <c r="AH39" i="1"/>
  <c r="AG39" i="1"/>
  <c r="AF39" i="1"/>
  <c r="AE39" i="1"/>
  <c r="AD39" i="1"/>
  <c r="AC39" i="1"/>
  <c r="AB39" i="1"/>
  <c r="AI38" i="1"/>
  <c r="AH38" i="1"/>
  <c r="AG38" i="1"/>
  <c r="AF38" i="1"/>
  <c r="AE38" i="1"/>
  <c r="AD38" i="1"/>
  <c r="AC38" i="1"/>
  <c r="AB38" i="1"/>
  <c r="AI37" i="1"/>
  <c r="AH37" i="1"/>
  <c r="AG37" i="1"/>
  <c r="AF37" i="1"/>
  <c r="AE37" i="1"/>
  <c r="AD37" i="1"/>
  <c r="AC37" i="1"/>
  <c r="AB37" i="1"/>
  <c r="AH36" i="1"/>
  <c r="AG36" i="1"/>
  <c r="AF36" i="1"/>
  <c r="AE36" i="1"/>
  <c r="AD36" i="1"/>
  <c r="AC36" i="1"/>
  <c r="AB36" i="1"/>
  <c r="AI35" i="1"/>
  <c r="AH35" i="1"/>
  <c r="AG35" i="1"/>
  <c r="AF35" i="1"/>
  <c r="AE35" i="1"/>
  <c r="AD35" i="1"/>
  <c r="AC35" i="1"/>
  <c r="AB35" i="1"/>
  <c r="AI34" i="1"/>
  <c r="AH34" i="1"/>
  <c r="AG34" i="1"/>
  <c r="AF34" i="1"/>
  <c r="AE34" i="1"/>
  <c r="AD34" i="1"/>
  <c r="AC34" i="1"/>
  <c r="AB34" i="1"/>
  <c r="AI33" i="1"/>
  <c r="AH33" i="1"/>
  <c r="AG33" i="1"/>
  <c r="AF33" i="1"/>
  <c r="AE33" i="1"/>
  <c r="AD33" i="1"/>
  <c r="AC33" i="1"/>
  <c r="AB33" i="1"/>
  <c r="AI32" i="1"/>
  <c r="AH32" i="1"/>
  <c r="AG32" i="1"/>
  <c r="AF32" i="1"/>
  <c r="AE32" i="1"/>
  <c r="AD32" i="1"/>
  <c r="AC32" i="1"/>
  <c r="AB32" i="1"/>
  <c r="AI31" i="1"/>
  <c r="AH31" i="1"/>
  <c r="AG31" i="1"/>
  <c r="AF31" i="1"/>
  <c r="AE31" i="1"/>
  <c r="AD31" i="1"/>
  <c r="AC31" i="1"/>
  <c r="AB31" i="1"/>
  <c r="AI30" i="1"/>
  <c r="AH30" i="1"/>
  <c r="AG30" i="1"/>
  <c r="AF30" i="1"/>
  <c r="AE30" i="1"/>
  <c r="AD30" i="1"/>
  <c r="AC30" i="1"/>
  <c r="AB30" i="1"/>
  <c r="AI29" i="1"/>
  <c r="AH29" i="1"/>
  <c r="AG29" i="1"/>
  <c r="AF29" i="1"/>
  <c r="AE29" i="1"/>
  <c r="AD29" i="1"/>
  <c r="AC29" i="1"/>
  <c r="AB29" i="1"/>
  <c r="AI28" i="1"/>
  <c r="AH28" i="1"/>
  <c r="AG28" i="1"/>
  <c r="AF28" i="1"/>
  <c r="AE28" i="1"/>
  <c r="AD28" i="1"/>
  <c r="AC28" i="1"/>
  <c r="AB28" i="1"/>
  <c r="AI27" i="1"/>
  <c r="AH27" i="1"/>
  <c r="AG27" i="1"/>
  <c r="AF27" i="1"/>
  <c r="AE27" i="1"/>
  <c r="AD27" i="1"/>
  <c r="AC27" i="1"/>
  <c r="AB27" i="1"/>
  <c r="AI26" i="1"/>
  <c r="AH26" i="1"/>
  <c r="AG26" i="1"/>
  <c r="AF26" i="1"/>
  <c r="AE26" i="1"/>
  <c r="AD26" i="1"/>
  <c r="AC26" i="1"/>
  <c r="AB26" i="1"/>
  <c r="AI25" i="1"/>
  <c r="AH25" i="1"/>
  <c r="AG25" i="1"/>
  <c r="AF25" i="1"/>
  <c r="AE25" i="1"/>
  <c r="AD25" i="1"/>
  <c r="AC25" i="1"/>
  <c r="AB25" i="1"/>
  <c r="AI24" i="1"/>
  <c r="AH24" i="1"/>
  <c r="AG24" i="1"/>
  <c r="AF24" i="1"/>
  <c r="AE24" i="1"/>
  <c r="AD24" i="1"/>
  <c r="AC24" i="1"/>
  <c r="AB24" i="1"/>
  <c r="AI23" i="1"/>
  <c r="AH23" i="1"/>
  <c r="AG23" i="1"/>
  <c r="AF23" i="1"/>
  <c r="AE23" i="1"/>
  <c r="AD23" i="1"/>
  <c r="AC23" i="1"/>
  <c r="AB23" i="1"/>
  <c r="AI22" i="1"/>
  <c r="AH22" i="1"/>
  <c r="AG22" i="1"/>
  <c r="AF22" i="1"/>
  <c r="AE22" i="1"/>
  <c r="AD22" i="1"/>
  <c r="AC22" i="1"/>
  <c r="AB22" i="1"/>
  <c r="AI21" i="1"/>
  <c r="AH21" i="1"/>
  <c r="AG21" i="1"/>
  <c r="AF21" i="1"/>
  <c r="AE21" i="1"/>
  <c r="AD21" i="1"/>
  <c r="AC21" i="1"/>
  <c r="AB21" i="1"/>
  <c r="AI20" i="1"/>
  <c r="AH20" i="1"/>
  <c r="AG20" i="1"/>
  <c r="AF20" i="1"/>
  <c r="AE20" i="1"/>
  <c r="AD20" i="1"/>
  <c r="AC20" i="1"/>
  <c r="AB20" i="1"/>
  <c r="AI19" i="1"/>
  <c r="AH19" i="1"/>
  <c r="AG19" i="1"/>
  <c r="AF19" i="1"/>
  <c r="AE19" i="1"/>
  <c r="AD19" i="1"/>
  <c r="AC19" i="1"/>
  <c r="AB19" i="1"/>
  <c r="AI18" i="1"/>
  <c r="AH18" i="1"/>
  <c r="AG18" i="1"/>
  <c r="AF18" i="1"/>
  <c r="AE18" i="1"/>
  <c r="AD18" i="1"/>
  <c r="AC18" i="1"/>
  <c r="AB18" i="1"/>
  <c r="AI17" i="1"/>
  <c r="AH17" i="1"/>
  <c r="AG17" i="1"/>
  <c r="AF17" i="1"/>
  <c r="AE17" i="1"/>
  <c r="AD17" i="1"/>
  <c r="AC17" i="1"/>
  <c r="AB17" i="1"/>
  <c r="AI16" i="1"/>
  <c r="AH16" i="1"/>
  <c r="AG16" i="1"/>
  <c r="AF16" i="1"/>
  <c r="AE16" i="1"/>
  <c r="AD16" i="1"/>
  <c r="AC16" i="1"/>
  <c r="AB16" i="1"/>
  <c r="AI15" i="1"/>
  <c r="AH15" i="1"/>
  <c r="AG15" i="1"/>
  <c r="AF15" i="1"/>
  <c r="AE15" i="1"/>
  <c r="AD15" i="1"/>
  <c r="AC15" i="1"/>
  <c r="AB15" i="1"/>
  <c r="AI14" i="1"/>
  <c r="AH14" i="1"/>
  <c r="AG14" i="1"/>
  <c r="AF14" i="1"/>
  <c r="AE14" i="1"/>
  <c r="AD14" i="1"/>
  <c r="AC14" i="1"/>
  <c r="AB14" i="1"/>
  <c r="AI13" i="1"/>
  <c r="AH13" i="1"/>
  <c r="AG13" i="1"/>
  <c r="AF13" i="1"/>
  <c r="AE13" i="1"/>
  <c r="AD13" i="1"/>
  <c r="AC13" i="1"/>
  <c r="AB13" i="1"/>
  <c r="AI12" i="1"/>
  <c r="AH12" i="1"/>
  <c r="AG12" i="1"/>
  <c r="AF12" i="1"/>
  <c r="AE12" i="1"/>
  <c r="AD12" i="1"/>
  <c r="AC12" i="1"/>
  <c r="AB12" i="1"/>
  <c r="AI11" i="1"/>
  <c r="AH11" i="1"/>
  <c r="AG11" i="1"/>
  <c r="AF11" i="1"/>
  <c r="AE11" i="1"/>
  <c r="AD11" i="1"/>
  <c r="AC11" i="1"/>
  <c r="AB11" i="1"/>
  <c r="AI10" i="1"/>
  <c r="AH10" i="1"/>
  <c r="AG10" i="1"/>
  <c r="AF10" i="1"/>
  <c r="AE10" i="1"/>
  <c r="AD10" i="1"/>
  <c r="AC10" i="1"/>
  <c r="AB10" i="1"/>
  <c r="AI9" i="1"/>
  <c r="AH9" i="1"/>
  <c r="AG9" i="1"/>
  <c r="AF9" i="1"/>
  <c r="AE9" i="1"/>
  <c r="AD9" i="1"/>
  <c r="AC9" i="1"/>
  <c r="AB9" i="1"/>
  <c r="AI8" i="1"/>
  <c r="AH8" i="1"/>
  <c r="AG8" i="1"/>
  <c r="AF8" i="1"/>
  <c r="AE8" i="1"/>
  <c r="AD8" i="1"/>
  <c r="AC8" i="1"/>
  <c r="AB8" i="1"/>
  <c r="AI7" i="1"/>
  <c r="AH7" i="1"/>
  <c r="AG7" i="1"/>
  <c r="AF7" i="1"/>
  <c r="AE7" i="1"/>
  <c r="AD7" i="1"/>
  <c r="AC7" i="1"/>
  <c r="AB7" i="1"/>
  <c r="AI6" i="1"/>
  <c r="AH6" i="1"/>
  <c r="AG6" i="1"/>
  <c r="AF6" i="1"/>
  <c r="AE6" i="1"/>
  <c r="AD6" i="1"/>
  <c r="AC6" i="1"/>
  <c r="AB6" i="1"/>
  <c r="AI5" i="1"/>
  <c r="AH5" i="1"/>
  <c r="AG5" i="1"/>
  <c r="AF5" i="1"/>
  <c r="AE5" i="1"/>
  <c r="AD5" i="1"/>
  <c r="AC5" i="1"/>
  <c r="AB5" i="1"/>
  <c r="AI4" i="1"/>
  <c r="AH4" i="1"/>
  <c r="AG4" i="1"/>
  <c r="AF4" i="1"/>
  <c r="AE4" i="1"/>
  <c r="AD4" i="1"/>
  <c r="AC4" i="1"/>
  <c r="AB4" i="1"/>
  <c r="AI3" i="1"/>
  <c r="AH3" i="1"/>
  <c r="AG3" i="1"/>
  <c r="AF3" i="1"/>
  <c r="AE3" i="1"/>
  <c r="AD3" i="1"/>
  <c r="AC3" i="1"/>
  <c r="AB3" i="1"/>
  <c r="AI2" i="1"/>
  <c r="AH2" i="1"/>
  <c r="AG2" i="1"/>
  <c r="AF2" i="1"/>
  <c r="AE2" i="1"/>
  <c r="AD2" i="1"/>
  <c r="AC2" i="1"/>
  <c r="AB2" i="1"/>
  <c r="AA2" i="1" a="1"/>
  <c r="AA2" i="1" s="1"/>
  <c r="Y2" i="1" a="1"/>
  <c r="AK32" i="1" s="1"/>
  <c r="X2" i="1" a="1"/>
  <c r="AJ50" i="1" s="1"/>
  <c r="AK924" i="1" l="1"/>
  <c r="AK912" i="1"/>
  <c r="AK900" i="1"/>
  <c r="AK888" i="1"/>
  <c r="AK876" i="1"/>
  <c r="AK864" i="1"/>
  <c r="AK852" i="1"/>
  <c r="AK840" i="1"/>
  <c r="AK828" i="1"/>
  <c r="AK816" i="1"/>
  <c r="AK804" i="1"/>
  <c r="AK792" i="1"/>
  <c r="AK780" i="1"/>
  <c r="AK768" i="1"/>
  <c r="AK756" i="1"/>
  <c r="AK744" i="1"/>
  <c r="AK732" i="1"/>
  <c r="AK720" i="1"/>
  <c r="AK708" i="1"/>
  <c r="AK693" i="1"/>
  <c r="AK679" i="1"/>
  <c r="AK662" i="1"/>
  <c r="AK644" i="1"/>
  <c r="AK626" i="1"/>
  <c r="AK608" i="1"/>
  <c r="AK590" i="1"/>
  <c r="AK572" i="1"/>
  <c r="AK554" i="1"/>
  <c r="AK533" i="1"/>
  <c r="AK511" i="1"/>
  <c r="AK489" i="1"/>
  <c r="AK469" i="1"/>
  <c r="AK447" i="1"/>
  <c r="AK425" i="1"/>
  <c r="AK403" i="1"/>
  <c r="AK377" i="1"/>
  <c r="AK353" i="1"/>
  <c r="AK330" i="1"/>
  <c r="AK299" i="1"/>
  <c r="AK271" i="1"/>
  <c r="AK243" i="1"/>
  <c r="AK212" i="1"/>
  <c r="AK181" i="1"/>
  <c r="AK152" i="1"/>
  <c r="AK125" i="1"/>
  <c r="AK91" i="1"/>
  <c r="AK57" i="1"/>
  <c r="AK21" i="1"/>
  <c r="AJ917" i="1"/>
  <c r="AJ879" i="1"/>
  <c r="AJ845" i="1"/>
  <c r="AJ810" i="1"/>
  <c r="AJ774" i="1"/>
  <c r="AJ706" i="1"/>
  <c r="AJ618" i="1"/>
  <c r="AJ526" i="1"/>
  <c r="AJ433" i="1"/>
  <c r="AJ339" i="1"/>
  <c r="AJ231" i="1"/>
  <c r="AJ118" i="1"/>
  <c r="AK923" i="1"/>
  <c r="AK911" i="1"/>
  <c r="AK899" i="1"/>
  <c r="AK887" i="1"/>
  <c r="AK875" i="1"/>
  <c r="AK863" i="1"/>
  <c r="AK851" i="1"/>
  <c r="AK839" i="1"/>
  <c r="AK827" i="1"/>
  <c r="AK815" i="1"/>
  <c r="AK803" i="1"/>
  <c r="AK791" i="1"/>
  <c r="AK779" i="1"/>
  <c r="AK767" i="1"/>
  <c r="AK755" i="1"/>
  <c r="AK743" i="1"/>
  <c r="AK731" i="1"/>
  <c r="AK719" i="1"/>
  <c r="AK706" i="1"/>
  <c r="AK692" i="1"/>
  <c r="AK678" i="1"/>
  <c r="AK661" i="1"/>
  <c r="AK643" i="1"/>
  <c r="AK625" i="1"/>
  <c r="AK607" i="1"/>
  <c r="AK589" i="1"/>
  <c r="AK571" i="1"/>
  <c r="AK553" i="1"/>
  <c r="AK532" i="1"/>
  <c r="AK510" i="1"/>
  <c r="AK488" i="1"/>
  <c r="AK466" i="1"/>
  <c r="AK446" i="1"/>
  <c r="AK424" i="1"/>
  <c r="AK402" i="1"/>
  <c r="AK376" i="1"/>
  <c r="AK352" i="1"/>
  <c r="AK328" i="1"/>
  <c r="AK298" i="1"/>
  <c r="AK268" i="1"/>
  <c r="AK238" i="1"/>
  <c r="AK211" i="1"/>
  <c r="AK177" i="1"/>
  <c r="AK149" i="1"/>
  <c r="AK119" i="1"/>
  <c r="AK90" i="1"/>
  <c r="AK50" i="1"/>
  <c r="AK18" i="1"/>
  <c r="AJ916" i="1"/>
  <c r="AJ878" i="1"/>
  <c r="AJ844" i="1"/>
  <c r="AJ808" i="1"/>
  <c r="AJ773" i="1"/>
  <c r="AJ705" i="1"/>
  <c r="AJ615" i="1"/>
  <c r="AJ522" i="1"/>
  <c r="AJ430" i="1"/>
  <c r="AJ338" i="1"/>
  <c r="AJ230" i="1"/>
  <c r="AJ115" i="1"/>
  <c r="AK922" i="1"/>
  <c r="AK910" i="1"/>
  <c r="AK898" i="1"/>
  <c r="AK886" i="1"/>
  <c r="AK874" i="1"/>
  <c r="AK862" i="1"/>
  <c r="AK850" i="1"/>
  <c r="AK838" i="1"/>
  <c r="AK826" i="1"/>
  <c r="AK814" i="1"/>
  <c r="AK802" i="1"/>
  <c r="AK790" i="1"/>
  <c r="AK778" i="1"/>
  <c r="AK766" i="1"/>
  <c r="AK754" i="1"/>
  <c r="AK742" i="1"/>
  <c r="AK730" i="1"/>
  <c r="AK718" i="1"/>
  <c r="AK705" i="1"/>
  <c r="AK691" i="1"/>
  <c r="AK677" i="1"/>
  <c r="AK658" i="1"/>
  <c r="AK642" i="1"/>
  <c r="AK622" i="1"/>
  <c r="AK606" i="1"/>
  <c r="AK586" i="1"/>
  <c r="AK570" i="1"/>
  <c r="AK549" i="1"/>
  <c r="AK531" i="1"/>
  <c r="AK507" i="1"/>
  <c r="AK487" i="1"/>
  <c r="AK463" i="1"/>
  <c r="AK445" i="1"/>
  <c r="AK421" i="1"/>
  <c r="AK400" i="1"/>
  <c r="AK375" i="1"/>
  <c r="AK349" i="1"/>
  <c r="AK325" i="1"/>
  <c r="AK297" i="1"/>
  <c r="AK263" i="1"/>
  <c r="AK235" i="1"/>
  <c r="AK207" i="1"/>
  <c r="AK176" i="1"/>
  <c r="AK145" i="1"/>
  <c r="AK116" i="1"/>
  <c r="AK87" i="1"/>
  <c r="AK49" i="1"/>
  <c r="AK15" i="1"/>
  <c r="AJ910" i="1"/>
  <c r="AJ877" i="1"/>
  <c r="AJ837" i="1"/>
  <c r="AJ805" i="1"/>
  <c r="AJ772" i="1"/>
  <c r="AJ703" i="1"/>
  <c r="AJ608" i="1"/>
  <c r="AJ518" i="1"/>
  <c r="AJ428" i="1"/>
  <c r="AJ330" i="1"/>
  <c r="AJ225" i="1"/>
  <c r="AJ105" i="1"/>
  <c r="AK933" i="1"/>
  <c r="AK921" i="1"/>
  <c r="AK909" i="1"/>
  <c r="AK897" i="1"/>
  <c r="AK885" i="1"/>
  <c r="AK873" i="1"/>
  <c r="AK861" i="1"/>
  <c r="AK849" i="1"/>
  <c r="AK837" i="1"/>
  <c r="AK825" i="1"/>
  <c r="AK813" i="1"/>
  <c r="AK801" i="1"/>
  <c r="AK789" i="1"/>
  <c r="AK777" i="1"/>
  <c r="AK765" i="1"/>
  <c r="AK753" i="1"/>
  <c r="AK741" i="1"/>
  <c r="AK729" i="1"/>
  <c r="AK717" i="1"/>
  <c r="AK704" i="1"/>
  <c r="AK690" i="1"/>
  <c r="AK675" i="1"/>
  <c r="AK657" i="1"/>
  <c r="AK641" i="1"/>
  <c r="AK621" i="1"/>
  <c r="AK605" i="1"/>
  <c r="AK585" i="1"/>
  <c r="AK569" i="1"/>
  <c r="AK548" i="1"/>
  <c r="AK530" i="1"/>
  <c r="AK506" i="1"/>
  <c r="AK486" i="1"/>
  <c r="AK462" i="1"/>
  <c r="AK442" i="1"/>
  <c r="AK418" i="1"/>
  <c r="AK397" i="1"/>
  <c r="AK374" i="1"/>
  <c r="AK346" i="1"/>
  <c r="AK321" i="1"/>
  <c r="AK293" i="1"/>
  <c r="AK262" i="1"/>
  <c r="AK232" i="1"/>
  <c r="AK202" i="1"/>
  <c r="AK175" i="1"/>
  <c r="AK143" i="1"/>
  <c r="AK115" i="1"/>
  <c r="AK85" i="1"/>
  <c r="AK48" i="1"/>
  <c r="AK11" i="1"/>
  <c r="AJ907" i="1"/>
  <c r="AJ874" i="1"/>
  <c r="AJ836" i="1"/>
  <c r="AJ802" i="1"/>
  <c r="AJ766" i="1"/>
  <c r="AJ687" i="1"/>
  <c r="AJ592" i="1"/>
  <c r="AJ502" i="1"/>
  <c r="AJ412" i="1"/>
  <c r="AJ310" i="1"/>
  <c r="AJ206" i="1"/>
  <c r="AJ82" i="1"/>
  <c r="AK932" i="1"/>
  <c r="AK920" i="1"/>
  <c r="AK908" i="1"/>
  <c r="AK896" i="1"/>
  <c r="AK884" i="1"/>
  <c r="AK872" i="1"/>
  <c r="AK860" i="1"/>
  <c r="AK848" i="1"/>
  <c r="AK836" i="1"/>
  <c r="AK824" i="1"/>
  <c r="AK812" i="1"/>
  <c r="AK800" i="1"/>
  <c r="AK788" i="1"/>
  <c r="AK776" i="1"/>
  <c r="AK764" i="1"/>
  <c r="AK752" i="1"/>
  <c r="AK740" i="1"/>
  <c r="AK728" i="1"/>
  <c r="AK716" i="1"/>
  <c r="AK703" i="1"/>
  <c r="AK689" i="1"/>
  <c r="AK674" i="1"/>
  <c r="AK656" i="1"/>
  <c r="AK638" i="1"/>
  <c r="AK620" i="1"/>
  <c r="AK602" i="1"/>
  <c r="AK584" i="1"/>
  <c r="AK566" i="1"/>
  <c r="AK547" i="1"/>
  <c r="AK525" i="1"/>
  <c r="AK505" i="1"/>
  <c r="AK483" i="1"/>
  <c r="AK461" i="1"/>
  <c r="AK439" i="1"/>
  <c r="AK417" i="1"/>
  <c r="AK394" i="1"/>
  <c r="AK370" i="1"/>
  <c r="AK345" i="1"/>
  <c r="AK318" i="1"/>
  <c r="AK289" i="1"/>
  <c r="AK261" i="1"/>
  <c r="AK231" i="1"/>
  <c r="AK201" i="1"/>
  <c r="AK173" i="1"/>
  <c r="AK142" i="1"/>
  <c r="AK112" i="1"/>
  <c r="AK80" i="1"/>
  <c r="AK47" i="1"/>
  <c r="AK9" i="1"/>
  <c r="AJ906" i="1"/>
  <c r="AJ872" i="1"/>
  <c r="AJ835" i="1"/>
  <c r="AJ795" i="1"/>
  <c r="AJ761" i="1"/>
  <c r="AJ686" i="1"/>
  <c r="AJ591" i="1"/>
  <c r="AJ499" i="1"/>
  <c r="AJ406" i="1"/>
  <c r="AJ309" i="1"/>
  <c r="AJ202" i="1"/>
  <c r="AJ81" i="1"/>
  <c r="AK931" i="1"/>
  <c r="AK919" i="1"/>
  <c r="AK907" i="1"/>
  <c r="AK895" i="1"/>
  <c r="AK883" i="1"/>
  <c r="AK871" i="1"/>
  <c r="AK859" i="1"/>
  <c r="AK847" i="1"/>
  <c r="AK835" i="1"/>
  <c r="AK823" i="1"/>
  <c r="AK811" i="1"/>
  <c r="AK799" i="1"/>
  <c r="AK787" i="1"/>
  <c r="AK775" i="1"/>
  <c r="AK763" i="1"/>
  <c r="AK751" i="1"/>
  <c r="AK739" i="1"/>
  <c r="AK727" i="1"/>
  <c r="AK715" i="1"/>
  <c r="AK702" i="1"/>
  <c r="AK687" i="1"/>
  <c r="AK673" i="1"/>
  <c r="AK655" i="1"/>
  <c r="AK637" i="1"/>
  <c r="AK619" i="1"/>
  <c r="AK601" i="1"/>
  <c r="AK583" i="1"/>
  <c r="AK565" i="1"/>
  <c r="AK546" i="1"/>
  <c r="AK524" i="1"/>
  <c r="AK502" i="1"/>
  <c r="AK482" i="1"/>
  <c r="AK460" i="1"/>
  <c r="AK438" i="1"/>
  <c r="AK416" i="1"/>
  <c r="AK391" i="1"/>
  <c r="AK367" i="1"/>
  <c r="AK344" i="1"/>
  <c r="AK317" i="1"/>
  <c r="AK287" i="1"/>
  <c r="AK259" i="1"/>
  <c r="AK229" i="1"/>
  <c r="AK198" i="1"/>
  <c r="AK169" i="1"/>
  <c r="AK141" i="1"/>
  <c r="AK111" i="1"/>
  <c r="AK79" i="1"/>
  <c r="AK45" i="1"/>
  <c r="AK8" i="1"/>
  <c r="AJ898" i="1"/>
  <c r="AJ865" i="1"/>
  <c r="AJ832" i="1"/>
  <c r="AJ794" i="1"/>
  <c r="AJ760" i="1"/>
  <c r="AJ679" i="1"/>
  <c r="AJ589" i="1"/>
  <c r="AJ494" i="1"/>
  <c r="AJ402" i="1"/>
  <c r="AJ307" i="1"/>
  <c r="AJ197" i="1"/>
  <c r="AJ79" i="1"/>
  <c r="AK930" i="1"/>
  <c r="AK918" i="1"/>
  <c r="AK906" i="1"/>
  <c r="AK894" i="1"/>
  <c r="AK882" i="1"/>
  <c r="AK870" i="1"/>
  <c r="AK858" i="1"/>
  <c r="AK846" i="1"/>
  <c r="AK834" i="1"/>
  <c r="AK822" i="1"/>
  <c r="AK810" i="1"/>
  <c r="AK798" i="1"/>
  <c r="AK786" i="1"/>
  <c r="AK774" i="1"/>
  <c r="AK762" i="1"/>
  <c r="AK750" i="1"/>
  <c r="AK738" i="1"/>
  <c r="AK726" i="1"/>
  <c r="AK714" i="1"/>
  <c r="AK701" i="1"/>
  <c r="AK686" i="1"/>
  <c r="AK670" i="1"/>
  <c r="AK654" i="1"/>
  <c r="AK634" i="1"/>
  <c r="AK618" i="1"/>
  <c r="AK598" i="1"/>
  <c r="AK582" i="1"/>
  <c r="AK562" i="1"/>
  <c r="AK545" i="1"/>
  <c r="AK521" i="1"/>
  <c r="AK501" i="1"/>
  <c r="AK477" i="1"/>
  <c r="AK459" i="1"/>
  <c r="AK435" i="1"/>
  <c r="AK415" i="1"/>
  <c r="AK390" i="1"/>
  <c r="AK366" i="1"/>
  <c r="AK342" i="1"/>
  <c r="AK316" i="1"/>
  <c r="AK284" i="1"/>
  <c r="AK256" i="1"/>
  <c r="AK227" i="1"/>
  <c r="AK197" i="1"/>
  <c r="AK167" i="1"/>
  <c r="AK139" i="1"/>
  <c r="AK109" i="1"/>
  <c r="AK72" i="1"/>
  <c r="AK36" i="1"/>
  <c r="AK3" i="1"/>
  <c r="AJ896" i="1"/>
  <c r="AJ862" i="1"/>
  <c r="AJ830" i="1"/>
  <c r="AJ793" i="1"/>
  <c r="AJ751" i="1"/>
  <c r="AJ663" i="1"/>
  <c r="AJ571" i="1"/>
  <c r="AJ476" i="1"/>
  <c r="AJ388" i="1"/>
  <c r="AJ290" i="1"/>
  <c r="AJ175" i="1"/>
  <c r="AJ51" i="1"/>
  <c r="AK929" i="1"/>
  <c r="AK917" i="1"/>
  <c r="AK905" i="1"/>
  <c r="AK893" i="1"/>
  <c r="AK881" i="1"/>
  <c r="AK869" i="1"/>
  <c r="AK857" i="1"/>
  <c r="AK845" i="1"/>
  <c r="AK833" i="1"/>
  <c r="AK821" i="1"/>
  <c r="AK809" i="1"/>
  <c r="AK797" i="1"/>
  <c r="AK785" i="1"/>
  <c r="AK773" i="1"/>
  <c r="AK761" i="1"/>
  <c r="AK749" i="1"/>
  <c r="AK737" i="1"/>
  <c r="AK725" i="1"/>
  <c r="AK713" i="1"/>
  <c r="AK699" i="1"/>
  <c r="AK685" i="1"/>
  <c r="AK669" i="1"/>
  <c r="AK653" i="1"/>
  <c r="AK633" i="1"/>
  <c r="AK617" i="1"/>
  <c r="AK597" i="1"/>
  <c r="AK581" i="1"/>
  <c r="AK561" i="1"/>
  <c r="AK544" i="1"/>
  <c r="AK520" i="1"/>
  <c r="AK500" i="1"/>
  <c r="AK476" i="1"/>
  <c r="AK458" i="1"/>
  <c r="AK434" i="1"/>
  <c r="AK414" i="1"/>
  <c r="AK389" i="1"/>
  <c r="AK363" i="1"/>
  <c r="AK339" i="1"/>
  <c r="AK315" i="1"/>
  <c r="AK283" i="1"/>
  <c r="AK255" i="1"/>
  <c r="AK225" i="1"/>
  <c r="AK196" i="1"/>
  <c r="AK162" i="1"/>
  <c r="AK133" i="1"/>
  <c r="AK105" i="1"/>
  <c r="AK71" i="1"/>
  <c r="AK35" i="1"/>
  <c r="AJ932" i="1"/>
  <c r="AJ895" i="1"/>
  <c r="AJ859" i="1"/>
  <c r="AJ823" i="1"/>
  <c r="AJ790" i="1"/>
  <c r="AJ750" i="1"/>
  <c r="AJ662" i="1"/>
  <c r="AJ570" i="1"/>
  <c r="AJ475" i="1"/>
  <c r="AJ385" i="1"/>
  <c r="AJ283" i="1"/>
  <c r="AJ174" i="1"/>
  <c r="AJ4" i="1"/>
  <c r="AJ16" i="1"/>
  <c r="AJ28" i="1"/>
  <c r="AJ40" i="1"/>
  <c r="AJ52" i="1"/>
  <c r="AJ64" i="1"/>
  <c r="AJ76" i="1"/>
  <c r="AJ88" i="1"/>
  <c r="AJ100" i="1"/>
  <c r="AJ112" i="1"/>
  <c r="AJ124" i="1"/>
  <c r="AJ136" i="1"/>
  <c r="AJ148" i="1"/>
  <c r="AJ160" i="1"/>
  <c r="AJ172" i="1"/>
  <c r="AJ184" i="1"/>
  <c r="AJ196" i="1"/>
  <c r="AJ208" i="1"/>
  <c r="AJ220" i="1"/>
  <c r="AJ232" i="1"/>
  <c r="AJ244" i="1"/>
  <c r="AJ6" i="1"/>
  <c r="AJ9" i="1"/>
  <c r="AJ11" i="1"/>
  <c r="AJ23" i="1"/>
  <c r="AJ35" i="1"/>
  <c r="AJ47" i="1"/>
  <c r="AJ59" i="1"/>
  <c r="AJ71" i="1"/>
  <c r="AJ83" i="1"/>
  <c r="AJ95" i="1"/>
  <c r="AJ107" i="1"/>
  <c r="AJ119" i="1"/>
  <c r="AJ131" i="1"/>
  <c r="AJ143" i="1"/>
  <c r="AJ155" i="1"/>
  <c r="AJ167" i="1"/>
  <c r="AJ179" i="1"/>
  <c r="AJ191" i="1"/>
  <c r="AJ203" i="1"/>
  <c r="AJ215" i="1"/>
  <c r="AJ227" i="1"/>
  <c r="AJ239" i="1"/>
  <c r="AJ251" i="1"/>
  <c r="AJ263" i="1"/>
  <c r="AJ275" i="1"/>
  <c r="AJ287" i="1"/>
  <c r="AJ299" i="1"/>
  <c r="AJ311" i="1"/>
  <c r="AJ323" i="1"/>
  <c r="AJ335" i="1"/>
  <c r="AJ347" i="1"/>
  <c r="AJ359" i="1"/>
  <c r="AJ371" i="1"/>
  <c r="AJ383" i="1"/>
  <c r="AJ395" i="1"/>
  <c r="AJ407" i="1"/>
  <c r="AJ419" i="1"/>
  <c r="AJ431" i="1"/>
  <c r="AJ443" i="1"/>
  <c r="AJ455" i="1"/>
  <c r="AJ467" i="1"/>
  <c r="AJ479" i="1"/>
  <c r="AJ491" i="1"/>
  <c r="AJ503" i="1"/>
  <c r="AJ515" i="1"/>
  <c r="AJ527" i="1"/>
  <c r="AJ539" i="1"/>
  <c r="AJ551" i="1"/>
  <c r="AJ563" i="1"/>
  <c r="AJ575" i="1"/>
  <c r="AJ587" i="1"/>
  <c r="AJ599" i="1"/>
  <c r="AJ611" i="1"/>
  <c r="AJ623" i="1"/>
  <c r="AJ635" i="1"/>
  <c r="AJ647" i="1"/>
  <c r="AJ659" i="1"/>
  <c r="AJ671" i="1"/>
  <c r="AJ683" i="1"/>
  <c r="AJ695" i="1"/>
  <c r="AJ707" i="1"/>
  <c r="AJ719" i="1"/>
  <c r="AJ731" i="1"/>
  <c r="AJ743" i="1"/>
  <c r="AJ755" i="1"/>
  <c r="AJ767" i="1"/>
  <c r="AJ779" i="1"/>
  <c r="AJ791" i="1"/>
  <c r="AJ803" i="1"/>
  <c r="AJ815" i="1"/>
  <c r="AJ827" i="1"/>
  <c r="AJ839" i="1"/>
  <c r="AJ851" i="1"/>
  <c r="AJ863" i="1"/>
  <c r="AJ875" i="1"/>
  <c r="AJ887" i="1"/>
  <c r="AJ899" i="1"/>
  <c r="AJ911" i="1"/>
  <c r="AJ923" i="1"/>
  <c r="AJ12" i="1"/>
  <c r="AJ24" i="1"/>
  <c r="AJ36" i="1"/>
  <c r="AJ48" i="1"/>
  <c r="AJ60" i="1"/>
  <c r="AJ72" i="1"/>
  <c r="AJ84" i="1"/>
  <c r="AJ96" i="1"/>
  <c r="AJ108" i="1"/>
  <c r="AJ120" i="1"/>
  <c r="AJ132" i="1"/>
  <c r="AJ144" i="1"/>
  <c r="AJ156" i="1"/>
  <c r="AJ168" i="1"/>
  <c r="AJ180" i="1"/>
  <c r="AJ192" i="1"/>
  <c r="AJ204" i="1"/>
  <c r="AJ216" i="1"/>
  <c r="AJ228" i="1"/>
  <c r="AJ240" i="1"/>
  <c r="AJ252" i="1"/>
  <c r="AJ264" i="1"/>
  <c r="AJ276" i="1"/>
  <c r="AJ288" i="1"/>
  <c r="AJ300" i="1"/>
  <c r="AJ312" i="1"/>
  <c r="AJ324" i="1"/>
  <c r="AJ336" i="1"/>
  <c r="AJ348" i="1"/>
  <c r="AJ360" i="1"/>
  <c r="AJ372" i="1"/>
  <c r="AJ384" i="1"/>
  <c r="AJ396" i="1"/>
  <c r="AJ408" i="1"/>
  <c r="AJ420" i="1"/>
  <c r="AJ432" i="1"/>
  <c r="AJ444" i="1"/>
  <c r="AJ456" i="1"/>
  <c r="AJ468" i="1"/>
  <c r="AJ480" i="1"/>
  <c r="AJ492" i="1"/>
  <c r="AJ504" i="1"/>
  <c r="AJ516" i="1"/>
  <c r="AJ528" i="1"/>
  <c r="AJ540" i="1"/>
  <c r="AJ552" i="1"/>
  <c r="AJ564" i="1"/>
  <c r="AJ576" i="1"/>
  <c r="AJ588" i="1"/>
  <c r="AJ600" i="1"/>
  <c r="AJ612" i="1"/>
  <c r="AJ624" i="1"/>
  <c r="AJ636" i="1"/>
  <c r="AJ648" i="1"/>
  <c r="AJ660" i="1"/>
  <c r="AJ672" i="1"/>
  <c r="AJ684" i="1"/>
  <c r="AJ696" i="1"/>
  <c r="AJ708" i="1"/>
  <c r="AJ720" i="1"/>
  <c r="AJ732" i="1"/>
  <c r="AJ744" i="1"/>
  <c r="AJ756" i="1"/>
  <c r="AJ768" i="1"/>
  <c r="AJ780" i="1"/>
  <c r="AJ792" i="1"/>
  <c r="AJ804" i="1"/>
  <c r="AJ816" i="1"/>
  <c r="AJ828" i="1"/>
  <c r="AJ840" i="1"/>
  <c r="AJ852" i="1"/>
  <c r="AJ864" i="1"/>
  <c r="AJ876" i="1"/>
  <c r="AJ888" i="1"/>
  <c r="AJ900" i="1"/>
  <c r="AJ912" i="1"/>
  <c r="AJ924" i="1"/>
  <c r="AJ13" i="1"/>
  <c r="AJ25" i="1"/>
  <c r="AJ37" i="1"/>
  <c r="AJ49" i="1"/>
  <c r="AJ61" i="1"/>
  <c r="AJ73" i="1"/>
  <c r="AJ85" i="1"/>
  <c r="AJ97" i="1"/>
  <c r="AJ109" i="1"/>
  <c r="AJ121" i="1"/>
  <c r="AJ133" i="1"/>
  <c r="AJ145" i="1"/>
  <c r="AJ157" i="1"/>
  <c r="AJ169" i="1"/>
  <c r="AJ181" i="1"/>
  <c r="AJ193" i="1"/>
  <c r="AJ205" i="1"/>
  <c r="AJ217" i="1"/>
  <c r="AJ229" i="1"/>
  <c r="AJ241" i="1"/>
  <c r="AJ253" i="1"/>
  <c r="AJ265" i="1"/>
  <c r="AJ277" i="1"/>
  <c r="AJ289" i="1"/>
  <c r="AJ301" i="1"/>
  <c r="AJ313" i="1"/>
  <c r="AJ325" i="1"/>
  <c r="AJ337" i="1"/>
  <c r="AJ349" i="1"/>
  <c r="AJ361" i="1"/>
  <c r="AJ3" i="1"/>
  <c r="AJ22" i="1"/>
  <c r="AJ42" i="1"/>
  <c r="AJ58" i="1"/>
  <c r="AJ78" i="1"/>
  <c r="AJ94" i="1"/>
  <c r="AJ114" i="1"/>
  <c r="AJ7" i="1"/>
  <c r="AJ10" i="1"/>
  <c r="AJ14" i="1"/>
  <c r="AJ19" i="1"/>
  <c r="AJ38" i="1"/>
  <c r="AJ55" i="1"/>
  <c r="AJ74" i="1"/>
  <c r="AJ91" i="1"/>
  <c r="AJ110" i="1"/>
  <c r="AJ127" i="1"/>
  <c r="AJ146" i="1"/>
  <c r="AJ163" i="1"/>
  <c r="AJ182" i="1"/>
  <c r="AJ199" i="1"/>
  <c r="AJ218" i="1"/>
  <c r="AJ235" i="1"/>
  <c r="AJ254" i="1"/>
  <c r="AJ269" i="1"/>
  <c r="AJ284" i="1"/>
  <c r="AJ302" i="1"/>
  <c r="AJ317" i="1"/>
  <c r="AJ332" i="1"/>
  <c r="AJ350" i="1"/>
  <c r="AJ365" i="1"/>
  <c r="AJ379" i="1"/>
  <c r="AJ393" i="1"/>
  <c r="AJ409" i="1"/>
  <c r="AJ423" i="1"/>
  <c r="AJ437" i="1"/>
  <c r="AJ451" i="1"/>
  <c r="AJ465" i="1"/>
  <c r="AJ481" i="1"/>
  <c r="AJ495" i="1"/>
  <c r="AJ509" i="1"/>
  <c r="AJ523" i="1"/>
  <c r="AJ537" i="1"/>
  <c r="AJ553" i="1"/>
  <c r="AJ567" i="1"/>
  <c r="AJ581" i="1"/>
  <c r="AJ595" i="1"/>
  <c r="AJ609" i="1"/>
  <c r="AJ625" i="1"/>
  <c r="AJ639" i="1"/>
  <c r="AJ653" i="1"/>
  <c r="AJ667" i="1"/>
  <c r="AJ681" i="1"/>
  <c r="AJ697" i="1"/>
  <c r="AJ711" i="1"/>
  <c r="AJ725" i="1"/>
  <c r="AJ739" i="1"/>
  <c r="AJ753" i="1"/>
  <c r="AJ769" i="1"/>
  <c r="AJ783" i="1"/>
  <c r="AJ797" i="1"/>
  <c r="AJ811" i="1"/>
  <c r="AJ825" i="1"/>
  <c r="AJ841" i="1"/>
  <c r="AJ855" i="1"/>
  <c r="AJ869" i="1"/>
  <c r="AJ883" i="1"/>
  <c r="AJ897" i="1"/>
  <c r="AJ913" i="1"/>
  <c r="AJ927" i="1"/>
  <c r="AJ20" i="1"/>
  <c r="AJ39" i="1"/>
  <c r="AJ56" i="1"/>
  <c r="AJ75" i="1"/>
  <c r="AJ92" i="1"/>
  <c r="AJ111" i="1"/>
  <c r="AJ128" i="1"/>
  <c r="AJ147" i="1"/>
  <c r="AJ164" i="1"/>
  <c r="AJ183" i="1"/>
  <c r="AJ200" i="1"/>
  <c r="AJ219" i="1"/>
  <c r="AJ236" i="1"/>
  <c r="AJ255" i="1"/>
  <c r="AJ270" i="1"/>
  <c r="AJ285" i="1"/>
  <c r="AJ303" i="1"/>
  <c r="AJ318" i="1"/>
  <c r="AJ333" i="1"/>
  <c r="AJ351" i="1"/>
  <c r="AJ366" i="1"/>
  <c r="AJ380" i="1"/>
  <c r="AJ394" i="1"/>
  <c r="AJ410" i="1"/>
  <c r="AJ424" i="1"/>
  <c r="AJ438" i="1"/>
  <c r="AJ452" i="1"/>
  <c r="AJ466" i="1"/>
  <c r="AJ482" i="1"/>
  <c r="AJ496" i="1"/>
  <c r="AJ510" i="1"/>
  <c r="AJ524" i="1"/>
  <c r="AJ538" i="1"/>
  <c r="AJ554" i="1"/>
  <c r="AJ568" i="1"/>
  <c r="AJ582" i="1"/>
  <c r="AJ596" i="1"/>
  <c r="AJ610" i="1"/>
  <c r="AJ626" i="1"/>
  <c r="AJ640" i="1"/>
  <c r="AJ654" i="1"/>
  <c r="AJ668" i="1"/>
  <c r="AJ682" i="1"/>
  <c r="AJ698" i="1"/>
  <c r="AJ712" i="1"/>
  <c r="AJ21" i="1"/>
  <c r="AJ41" i="1"/>
  <c r="AJ57" i="1"/>
  <c r="AJ77" i="1"/>
  <c r="AJ93" i="1"/>
  <c r="AJ113" i="1"/>
  <c r="AJ129" i="1"/>
  <c r="AJ149" i="1"/>
  <c r="AJ165" i="1"/>
  <c r="AJ185" i="1"/>
  <c r="AJ201" i="1"/>
  <c r="AJ221" i="1"/>
  <c r="AJ237" i="1"/>
  <c r="AJ256" i="1"/>
  <c r="AJ271" i="1"/>
  <c r="AJ286" i="1"/>
  <c r="AJ304" i="1"/>
  <c r="AJ319" i="1"/>
  <c r="AJ334" i="1"/>
  <c r="AJ352" i="1"/>
  <c r="AJ367" i="1"/>
  <c r="AJ381" i="1"/>
  <c r="AJ397" i="1"/>
  <c r="AJ411" i="1"/>
  <c r="AJ425" i="1"/>
  <c r="AJ439" i="1"/>
  <c r="AJ453" i="1"/>
  <c r="AJ469" i="1"/>
  <c r="AJ483" i="1"/>
  <c r="AJ497" i="1"/>
  <c r="AJ511" i="1"/>
  <c r="AJ525" i="1"/>
  <c r="AJ541" i="1"/>
  <c r="AJ555" i="1"/>
  <c r="AJ569" i="1"/>
  <c r="AJ583" i="1"/>
  <c r="AJ597" i="1"/>
  <c r="AJ613" i="1"/>
  <c r="AJ627" i="1"/>
  <c r="AJ641" i="1"/>
  <c r="AJ655" i="1"/>
  <c r="AJ669" i="1"/>
  <c r="AJ685" i="1"/>
  <c r="AJ699" i="1"/>
  <c r="AJ713" i="1"/>
  <c r="AJ727" i="1"/>
  <c r="AJ741" i="1"/>
  <c r="AJ757" i="1"/>
  <c r="AJ771" i="1"/>
  <c r="AJ785" i="1"/>
  <c r="AJ799" i="1"/>
  <c r="AJ813" i="1"/>
  <c r="AJ829" i="1"/>
  <c r="AJ843" i="1"/>
  <c r="AJ857" i="1"/>
  <c r="AJ871" i="1"/>
  <c r="AJ885" i="1"/>
  <c r="AJ901" i="1"/>
  <c r="AJ915" i="1"/>
  <c r="AJ929" i="1"/>
  <c r="AJ32" i="1"/>
  <c r="AJ63" i="1"/>
  <c r="AJ87" i="1"/>
  <c r="AJ116" i="1"/>
  <c r="AJ139" i="1"/>
  <c r="AJ162" i="1"/>
  <c r="AJ188" i="1"/>
  <c r="AJ211" i="1"/>
  <c r="AJ234" i="1"/>
  <c r="AJ259" i="1"/>
  <c r="AJ280" i="1"/>
  <c r="AJ298" i="1"/>
  <c r="AJ322" i="1"/>
  <c r="AJ343" i="1"/>
  <c r="AJ364" i="1"/>
  <c r="AJ386" i="1"/>
  <c r="AJ403" i="1"/>
  <c r="AJ422" i="1"/>
  <c r="AJ442" i="1"/>
  <c r="AJ461" i="1"/>
  <c r="AJ478" i="1"/>
  <c r="AJ500" i="1"/>
  <c r="AJ519" i="1"/>
  <c r="AJ536" i="1"/>
  <c r="AJ558" i="1"/>
  <c r="AJ577" i="1"/>
  <c r="AJ594" i="1"/>
  <c r="AJ616" i="1"/>
  <c r="AJ633" i="1"/>
  <c r="AJ652" i="1"/>
  <c r="AJ674" i="1"/>
  <c r="AJ691" i="1"/>
  <c r="AJ710" i="1"/>
  <c r="AJ729" i="1"/>
  <c r="AJ747" i="1"/>
  <c r="AJ763" i="1"/>
  <c r="AJ781" i="1"/>
  <c r="AJ798" i="1"/>
  <c r="AJ817" i="1"/>
  <c r="AJ833" i="1"/>
  <c r="AJ849" i="1"/>
  <c r="AJ867" i="1"/>
  <c r="AJ884" i="1"/>
  <c r="AJ903" i="1"/>
  <c r="AJ919" i="1"/>
  <c r="AJ33" i="1"/>
  <c r="AJ65" i="1"/>
  <c r="AJ89" i="1"/>
  <c r="AJ117" i="1"/>
  <c r="AJ140" i="1"/>
  <c r="AJ166" i="1"/>
  <c r="AJ189" i="1"/>
  <c r="AJ212" i="1"/>
  <c r="AJ238" i="1"/>
  <c r="AJ260" i="1"/>
  <c r="AJ281" i="1"/>
  <c r="AJ305" i="1"/>
  <c r="AJ326" i="1"/>
  <c r="AJ344" i="1"/>
  <c r="AJ368" i="1"/>
  <c r="AJ387" i="1"/>
  <c r="AJ404" i="1"/>
  <c r="AJ426" i="1"/>
  <c r="AJ445" i="1"/>
  <c r="AJ462" i="1"/>
  <c r="AJ484" i="1"/>
  <c r="AJ501" i="1"/>
  <c r="AJ520" i="1"/>
  <c r="AJ542" i="1"/>
  <c r="AJ559" i="1"/>
  <c r="AJ578" i="1"/>
  <c r="AJ598" i="1"/>
  <c r="AJ617" i="1"/>
  <c r="AJ634" i="1"/>
  <c r="AJ656" i="1"/>
  <c r="AJ675" i="1"/>
  <c r="AJ692" i="1"/>
  <c r="AJ714" i="1"/>
  <c r="AJ730" i="1"/>
  <c r="AJ748" i="1"/>
  <c r="AJ764" i="1"/>
  <c r="AJ782" i="1"/>
  <c r="AJ800" i="1"/>
  <c r="AJ818" i="1"/>
  <c r="AJ834" i="1"/>
  <c r="AJ850" i="1"/>
  <c r="AJ868" i="1"/>
  <c r="AJ886" i="1"/>
  <c r="AJ904" i="1"/>
  <c r="AJ920" i="1"/>
  <c r="AJ5" i="1"/>
  <c r="AJ44" i="1"/>
  <c r="AJ70" i="1"/>
  <c r="AJ104" i="1"/>
  <c r="AJ137" i="1"/>
  <c r="AJ170" i="1"/>
  <c r="AJ195" i="1"/>
  <c r="AJ224" i="1"/>
  <c r="AJ249" i="1"/>
  <c r="AJ278" i="1"/>
  <c r="AJ306" i="1"/>
  <c r="AJ329" i="1"/>
  <c r="AJ355" i="1"/>
  <c r="AJ377" i="1"/>
  <c r="AJ401" i="1"/>
  <c r="AJ427" i="1"/>
  <c r="AJ448" i="1"/>
  <c r="AJ472" i="1"/>
  <c r="AJ493" i="1"/>
  <c r="AJ517" i="1"/>
  <c r="AJ543" i="1"/>
  <c r="AJ562" i="1"/>
  <c r="AJ586" i="1"/>
  <c r="AJ607" i="1"/>
  <c r="AJ631" i="1"/>
  <c r="AJ657" i="1"/>
  <c r="AJ678" i="1"/>
  <c r="AJ702" i="1"/>
  <c r="AJ723" i="1"/>
  <c r="AJ745" i="1"/>
  <c r="AJ765" i="1"/>
  <c r="AJ787" i="1"/>
  <c r="AJ807" i="1"/>
  <c r="AJ826" i="1"/>
  <c r="AJ847" i="1"/>
  <c r="AJ870" i="1"/>
  <c r="AJ891" i="1"/>
  <c r="AJ909" i="1"/>
  <c r="AJ931" i="1"/>
  <c r="AJ15" i="1"/>
  <c r="AJ46" i="1"/>
  <c r="AJ80" i="1"/>
  <c r="AJ106" i="1"/>
  <c r="AJ141" i="1"/>
  <c r="AJ173" i="1"/>
  <c r="AJ198" i="1"/>
  <c r="AJ226" i="1"/>
  <c r="AJ257" i="1"/>
  <c r="AJ282" i="1"/>
  <c r="AJ308" i="1"/>
  <c r="AJ331" i="1"/>
  <c r="AJ357" i="1"/>
  <c r="AJ382" i="1"/>
  <c r="AJ405" i="1"/>
  <c r="AJ429" i="1"/>
  <c r="AJ450" i="1"/>
  <c r="AJ474" i="1"/>
  <c r="AJ498" i="1"/>
  <c r="AJ521" i="1"/>
  <c r="AJ545" i="1"/>
  <c r="AJ566" i="1"/>
  <c r="AJ590" i="1"/>
  <c r="AJ614" i="1"/>
  <c r="AJ637" i="1"/>
  <c r="AJ661" i="1"/>
  <c r="AJ680" i="1"/>
  <c r="AJ704" i="1"/>
  <c r="AJ726" i="1"/>
  <c r="AJ749" i="1"/>
  <c r="AJ770" i="1"/>
  <c r="AJ789" i="1"/>
  <c r="AJ809" i="1"/>
  <c r="AJ831" i="1"/>
  <c r="AJ853" i="1"/>
  <c r="AJ873" i="1"/>
  <c r="AJ893" i="1"/>
  <c r="AJ914" i="1"/>
  <c r="AJ933" i="1"/>
  <c r="AJ26" i="1"/>
  <c r="AJ53" i="1"/>
  <c r="AJ86" i="1"/>
  <c r="AJ122" i="1"/>
  <c r="AJ151" i="1"/>
  <c r="AJ176" i="1"/>
  <c r="AJ207" i="1"/>
  <c r="AJ233" i="1"/>
  <c r="AJ262" i="1"/>
  <c r="AJ291" i="1"/>
  <c r="AJ314" i="1"/>
  <c r="AJ340" i="1"/>
  <c r="AJ363" i="1"/>
  <c r="AJ389" i="1"/>
  <c r="AJ413" i="1"/>
  <c r="AJ434" i="1"/>
  <c r="AJ458" i="1"/>
  <c r="AJ477" i="1"/>
  <c r="AJ505" i="1"/>
  <c r="AJ529" i="1"/>
  <c r="AJ548" i="1"/>
  <c r="AJ572" i="1"/>
  <c r="AJ593" i="1"/>
  <c r="AJ619" i="1"/>
  <c r="AJ643" i="1"/>
  <c r="AJ664" i="1"/>
  <c r="AJ688" i="1"/>
  <c r="AJ709" i="1"/>
  <c r="AJ734" i="1"/>
  <c r="AJ752" i="1"/>
  <c r="AJ27" i="1"/>
  <c r="AJ54" i="1"/>
  <c r="AJ90" i="1"/>
  <c r="AJ123" i="1"/>
  <c r="AJ152" i="1"/>
  <c r="AJ177" i="1"/>
  <c r="AJ209" i="1"/>
  <c r="AJ242" i="1"/>
  <c r="AJ266" i="1"/>
  <c r="AJ292" i="1"/>
  <c r="AJ315" i="1"/>
  <c r="AJ341" i="1"/>
  <c r="AJ369" i="1"/>
  <c r="AJ390" i="1"/>
  <c r="AJ414" i="1"/>
  <c r="AJ435" i="1"/>
  <c r="AJ459" i="1"/>
  <c r="AJ485" i="1"/>
  <c r="AJ506" i="1"/>
  <c r="AJ530" i="1"/>
  <c r="AJ549" i="1"/>
  <c r="AJ573" i="1"/>
  <c r="AJ601" i="1"/>
  <c r="AJ620" i="1"/>
  <c r="AJ644" i="1"/>
  <c r="AJ665" i="1"/>
  <c r="AJ689" i="1"/>
  <c r="AJ715" i="1"/>
  <c r="AJ735" i="1"/>
  <c r="AJ754" i="1"/>
  <c r="AJ29" i="1"/>
  <c r="AJ62" i="1"/>
  <c r="AJ98" i="1"/>
  <c r="AJ125" i="1"/>
  <c r="AJ153" i="1"/>
  <c r="AJ178" i="1"/>
  <c r="AJ210" i="1"/>
  <c r="AJ243" i="1"/>
  <c r="AJ267" i="1"/>
  <c r="AJ293" i="1"/>
  <c r="AJ316" i="1"/>
  <c r="AJ342" i="1"/>
  <c r="AJ370" i="1"/>
  <c r="AJ391" i="1"/>
  <c r="AJ415" i="1"/>
  <c r="AJ436" i="1"/>
  <c r="AJ460" i="1"/>
  <c r="AJ486" i="1"/>
  <c r="AJ507" i="1"/>
  <c r="AJ531" i="1"/>
  <c r="AJ550" i="1"/>
  <c r="AJ574" i="1"/>
  <c r="AJ602" i="1"/>
  <c r="AJ621" i="1"/>
  <c r="AJ645" i="1"/>
  <c r="AJ666" i="1"/>
  <c r="AJ690" i="1"/>
  <c r="AJ716" i="1"/>
  <c r="AJ736" i="1"/>
  <c r="AJ758" i="1"/>
  <c r="AJ776" i="1"/>
  <c r="AJ796" i="1"/>
  <c r="AJ820" i="1"/>
  <c r="AJ838" i="1"/>
  <c r="AJ860" i="1"/>
  <c r="AJ880" i="1"/>
  <c r="AJ902" i="1"/>
  <c r="AJ922" i="1"/>
  <c r="AJ30" i="1"/>
  <c r="AJ66" i="1"/>
  <c r="AJ99" i="1"/>
  <c r="AJ126" i="1"/>
  <c r="AJ154" i="1"/>
  <c r="AJ186" i="1"/>
  <c r="AJ213" i="1"/>
  <c r="AJ245" i="1"/>
  <c r="AJ268" i="1"/>
  <c r="AJ294" i="1"/>
  <c r="AJ320" i="1"/>
  <c r="AJ345" i="1"/>
  <c r="AJ373" i="1"/>
  <c r="AJ392" i="1"/>
  <c r="AJ416" i="1"/>
  <c r="AJ440" i="1"/>
  <c r="AJ463" i="1"/>
  <c r="AJ487" i="1"/>
  <c r="AJ508" i="1"/>
  <c r="AJ532" i="1"/>
  <c r="AJ556" i="1"/>
  <c r="AJ579" i="1"/>
  <c r="AJ603" i="1"/>
  <c r="AJ622" i="1"/>
  <c r="AJ646" i="1"/>
  <c r="AJ670" i="1"/>
  <c r="AJ693" i="1"/>
  <c r="AJ717" i="1"/>
  <c r="AJ737" i="1"/>
  <c r="AJ759" i="1"/>
  <c r="AJ777" i="1"/>
  <c r="AJ801" i="1"/>
  <c r="AJ821" i="1"/>
  <c r="AJ842" i="1"/>
  <c r="AJ861" i="1"/>
  <c r="AJ881" i="1"/>
  <c r="AJ905" i="1"/>
  <c r="AJ925" i="1"/>
  <c r="AJ31" i="1"/>
  <c r="AJ67" i="1"/>
  <c r="AJ101" i="1"/>
  <c r="AJ130" i="1"/>
  <c r="AJ158" i="1"/>
  <c r="AJ187" i="1"/>
  <c r="AJ214" i="1"/>
  <c r="AJ246" i="1"/>
  <c r="AJ272" i="1"/>
  <c r="AJ295" i="1"/>
  <c r="AJ321" i="1"/>
  <c r="AJ346" i="1"/>
  <c r="AJ374" i="1"/>
  <c r="AJ398" i="1"/>
  <c r="AJ417" i="1"/>
  <c r="AJ441" i="1"/>
  <c r="AJ464" i="1"/>
  <c r="AJ488" i="1"/>
  <c r="AJ512" i="1"/>
  <c r="AJ533" i="1"/>
  <c r="AJ557" i="1"/>
  <c r="AJ580" i="1"/>
  <c r="AJ604" i="1"/>
  <c r="AJ628" i="1"/>
  <c r="AJ649" i="1"/>
  <c r="AJ673" i="1"/>
  <c r="AJ694" i="1"/>
  <c r="AJ718" i="1"/>
  <c r="AJ738" i="1"/>
  <c r="AJ34" i="1"/>
  <c r="AJ68" i="1"/>
  <c r="AJ102" i="1"/>
  <c r="AJ134" i="1"/>
  <c r="AJ159" i="1"/>
  <c r="AJ190" i="1"/>
  <c r="AJ222" i="1"/>
  <c r="AJ247" i="1"/>
  <c r="AJ273" i="1"/>
  <c r="AJ296" i="1"/>
  <c r="AJ327" i="1"/>
  <c r="AJ353" i="1"/>
  <c r="AJ375" i="1"/>
  <c r="AJ399" i="1"/>
  <c r="AJ418" i="1"/>
  <c r="AJ446" i="1"/>
  <c r="AJ470" i="1"/>
  <c r="AJ489" i="1"/>
  <c r="AJ513" i="1"/>
  <c r="AJ534" i="1"/>
  <c r="AJ560" i="1"/>
  <c r="AJ584" i="1"/>
  <c r="AJ605" i="1"/>
  <c r="AJ629" i="1"/>
  <c r="AJ650" i="1"/>
  <c r="AJ676" i="1"/>
  <c r="AJ700" i="1"/>
  <c r="AJ721" i="1"/>
  <c r="AJ740" i="1"/>
  <c r="AJ43" i="1"/>
  <c r="AJ69" i="1"/>
  <c r="AJ103" i="1"/>
  <c r="AJ135" i="1"/>
  <c r="AJ161" i="1"/>
  <c r="AJ194" i="1"/>
  <c r="AJ223" i="1"/>
  <c r="AJ248" i="1"/>
  <c r="AJ274" i="1"/>
  <c r="AJ297" i="1"/>
  <c r="AJ328" i="1"/>
  <c r="AJ354" i="1"/>
  <c r="AJ376" i="1"/>
  <c r="AJ400" i="1"/>
  <c r="AJ421" i="1"/>
  <c r="AJ447" i="1"/>
  <c r="AJ471" i="1"/>
  <c r="AJ490" i="1"/>
  <c r="AJ514" i="1"/>
  <c r="AJ535" i="1"/>
  <c r="AJ561" i="1"/>
  <c r="AJ585" i="1"/>
  <c r="AJ606" i="1"/>
  <c r="AJ630" i="1"/>
  <c r="AJ651" i="1"/>
  <c r="AJ677" i="1"/>
  <c r="AJ701" i="1"/>
  <c r="AJ722" i="1"/>
  <c r="AJ742" i="1"/>
  <c r="AJ762" i="1"/>
  <c r="AJ786" i="1"/>
  <c r="AJ806" i="1"/>
  <c r="AJ824" i="1"/>
  <c r="AJ846" i="1"/>
  <c r="AJ866" i="1"/>
  <c r="AJ890" i="1"/>
  <c r="AJ908" i="1"/>
  <c r="AJ930" i="1"/>
  <c r="AK928" i="1"/>
  <c r="AK916" i="1"/>
  <c r="AK904" i="1"/>
  <c r="AK892" i="1"/>
  <c r="AK880" i="1"/>
  <c r="AK868" i="1"/>
  <c r="AK856" i="1"/>
  <c r="AK844" i="1"/>
  <c r="AK832" i="1"/>
  <c r="AK820" i="1"/>
  <c r="AK808" i="1"/>
  <c r="AK796" i="1"/>
  <c r="AK784" i="1"/>
  <c r="AK772" i="1"/>
  <c r="AK760" i="1"/>
  <c r="AK748" i="1"/>
  <c r="AK736" i="1"/>
  <c r="AK724" i="1"/>
  <c r="AK712" i="1"/>
  <c r="AK698" i="1"/>
  <c r="AK684" i="1"/>
  <c r="AK668" i="1"/>
  <c r="AK650" i="1"/>
  <c r="AK632" i="1"/>
  <c r="AK614" i="1"/>
  <c r="AK596" i="1"/>
  <c r="AK578" i="1"/>
  <c r="AK560" i="1"/>
  <c r="AK541" i="1"/>
  <c r="AK519" i="1"/>
  <c r="AK497" i="1"/>
  <c r="AK475" i="1"/>
  <c r="AK453" i="1"/>
  <c r="AK433" i="1"/>
  <c r="AK411" i="1"/>
  <c r="AK388" i="1"/>
  <c r="AK362" i="1"/>
  <c r="AK338" i="1"/>
  <c r="AK311" i="1"/>
  <c r="AK282" i="1"/>
  <c r="AK248" i="1"/>
  <c r="AK220" i="1"/>
  <c r="AK191" i="1"/>
  <c r="AK161" i="1"/>
  <c r="AK131" i="1"/>
  <c r="AK103" i="1"/>
  <c r="AK69" i="1"/>
  <c r="AJ928" i="1"/>
  <c r="AJ894" i="1"/>
  <c r="AJ858" i="1"/>
  <c r="AJ822" i="1"/>
  <c r="AJ788" i="1"/>
  <c r="AJ746" i="1"/>
  <c r="AJ658" i="1"/>
  <c r="AJ565" i="1"/>
  <c r="AJ473" i="1"/>
  <c r="AJ378" i="1"/>
  <c r="AJ279" i="1"/>
  <c r="AJ171" i="1"/>
  <c r="AJ45" i="1"/>
  <c r="AK4" i="1"/>
  <c r="AK16" i="1"/>
  <c r="AK28" i="1"/>
  <c r="AK40" i="1"/>
  <c r="AK52" i="1"/>
  <c r="AK64" i="1"/>
  <c r="AK76" i="1"/>
  <c r="AK88" i="1"/>
  <c r="AK5" i="1"/>
  <c r="AK17" i="1"/>
  <c r="AK29" i="1"/>
  <c r="AK41" i="1"/>
  <c r="AK53" i="1"/>
  <c r="AK65" i="1"/>
  <c r="AK77" i="1"/>
  <c r="AK89" i="1"/>
  <c r="AK10" i="1"/>
  <c r="AK24" i="1"/>
  <c r="AK38" i="1"/>
  <c r="AK54" i="1"/>
  <c r="AK68" i="1"/>
  <c r="AK82" i="1"/>
  <c r="AK96" i="1"/>
  <c r="AK108" i="1"/>
  <c r="AK120" i="1"/>
  <c r="AK132" i="1"/>
  <c r="AK144" i="1"/>
  <c r="AK156" i="1"/>
  <c r="AK168" i="1"/>
  <c r="AK180" i="1"/>
  <c r="AK192" i="1"/>
  <c r="AK204" i="1"/>
  <c r="AK216" i="1"/>
  <c r="AK228" i="1"/>
  <c r="AK240" i="1"/>
  <c r="AK252" i="1"/>
  <c r="AK264" i="1"/>
  <c r="AK276" i="1"/>
  <c r="AK288" i="1"/>
  <c r="AK300" i="1"/>
  <c r="AK312" i="1"/>
  <c r="AK324" i="1"/>
  <c r="AK12" i="1"/>
  <c r="AK26" i="1"/>
  <c r="AK42" i="1"/>
  <c r="AK56" i="1"/>
  <c r="AK70" i="1"/>
  <c r="AK84" i="1"/>
  <c r="AK98" i="1"/>
  <c r="AK110" i="1"/>
  <c r="AK122" i="1"/>
  <c r="AK134" i="1"/>
  <c r="AK146" i="1"/>
  <c r="AK158" i="1"/>
  <c r="AK170" i="1"/>
  <c r="AK182" i="1"/>
  <c r="AK194" i="1"/>
  <c r="AK206" i="1"/>
  <c r="AK218" i="1"/>
  <c r="AK230" i="1"/>
  <c r="AK242" i="1"/>
  <c r="AK254" i="1"/>
  <c r="AK266" i="1"/>
  <c r="AK278" i="1"/>
  <c r="AK290" i="1"/>
  <c r="AK302" i="1"/>
  <c r="AK314" i="1"/>
  <c r="AK6" i="1"/>
  <c r="AK22" i="1"/>
  <c r="AK39" i="1"/>
  <c r="AK58" i="1"/>
  <c r="AK74" i="1"/>
  <c r="AK92" i="1"/>
  <c r="AK106" i="1"/>
  <c r="AK121" i="1"/>
  <c r="AK136" i="1"/>
  <c r="AK150" i="1"/>
  <c r="AK164" i="1"/>
  <c r="AK178" i="1"/>
  <c r="AK193" i="1"/>
  <c r="AK208" i="1"/>
  <c r="AK222" i="1"/>
  <c r="AK236" i="1"/>
  <c r="AK250" i="1"/>
  <c r="AK265" i="1"/>
  <c r="AK280" i="1"/>
  <c r="AK294" i="1"/>
  <c r="AK308" i="1"/>
  <c r="AK322" i="1"/>
  <c r="AK335" i="1"/>
  <c r="AK347" i="1"/>
  <c r="AK359" i="1"/>
  <c r="AK371" i="1"/>
  <c r="AK383" i="1"/>
  <c r="AK395" i="1"/>
  <c r="AK407" i="1"/>
  <c r="AK419" i="1"/>
  <c r="AK431" i="1"/>
  <c r="AK443" i="1"/>
  <c r="AK455" i="1"/>
  <c r="AK467" i="1"/>
  <c r="AK479" i="1"/>
  <c r="AK491" i="1"/>
  <c r="AK503" i="1"/>
  <c r="AK515" i="1"/>
  <c r="AK527" i="1"/>
  <c r="AK539" i="1"/>
  <c r="AK7" i="1"/>
  <c r="AK23" i="1"/>
  <c r="AK43" i="1"/>
  <c r="AK59" i="1"/>
  <c r="AK75" i="1"/>
  <c r="AK93" i="1"/>
  <c r="AK107" i="1"/>
  <c r="AK123" i="1"/>
  <c r="AK137" i="1"/>
  <c r="AK151" i="1"/>
  <c r="AK165" i="1"/>
  <c r="AK179" i="1"/>
  <c r="AK195" i="1"/>
  <c r="AK209" i="1"/>
  <c r="AK223" i="1"/>
  <c r="AK237" i="1"/>
  <c r="AK251" i="1"/>
  <c r="AK267" i="1"/>
  <c r="AK281" i="1"/>
  <c r="AK295" i="1"/>
  <c r="AK309" i="1"/>
  <c r="AK323" i="1"/>
  <c r="AK336" i="1"/>
  <c r="AK348" i="1"/>
  <c r="AK360" i="1"/>
  <c r="AK372" i="1"/>
  <c r="AK384" i="1"/>
  <c r="AK396" i="1"/>
  <c r="AK408" i="1"/>
  <c r="AK420" i="1"/>
  <c r="AK432" i="1"/>
  <c r="AK444" i="1"/>
  <c r="AK456" i="1"/>
  <c r="AK468" i="1"/>
  <c r="AK480" i="1"/>
  <c r="AK492" i="1"/>
  <c r="AK504" i="1"/>
  <c r="AK516" i="1"/>
  <c r="AK528" i="1"/>
  <c r="AK540" i="1"/>
  <c r="AK552" i="1"/>
  <c r="AK20" i="1"/>
  <c r="AK44" i="1"/>
  <c r="AK62" i="1"/>
  <c r="AK83" i="1"/>
  <c r="AK102" i="1"/>
  <c r="AK118" i="1"/>
  <c r="AK138" i="1"/>
  <c r="AK154" i="1"/>
  <c r="AK172" i="1"/>
  <c r="AK188" i="1"/>
  <c r="AK205" i="1"/>
  <c r="AK224" i="1"/>
  <c r="AK241" i="1"/>
  <c r="AK258" i="1"/>
  <c r="AK274" i="1"/>
  <c r="AK292" i="1"/>
  <c r="AK310" i="1"/>
  <c r="AK327" i="1"/>
  <c r="AK341" i="1"/>
  <c r="AK355" i="1"/>
  <c r="AK369" i="1"/>
  <c r="AK385" i="1"/>
  <c r="AK399" i="1"/>
  <c r="AK413" i="1"/>
  <c r="AK427" i="1"/>
  <c r="AK441" i="1"/>
  <c r="AK457" i="1"/>
  <c r="AK471" i="1"/>
  <c r="AK485" i="1"/>
  <c r="AK499" i="1"/>
  <c r="AK513" i="1"/>
  <c r="AK529" i="1"/>
  <c r="AK543" i="1"/>
  <c r="AK556" i="1"/>
  <c r="AK568" i="1"/>
  <c r="AK580" i="1"/>
  <c r="AK592" i="1"/>
  <c r="AK604" i="1"/>
  <c r="AK616" i="1"/>
  <c r="AK628" i="1"/>
  <c r="AK640" i="1"/>
  <c r="AK652" i="1"/>
  <c r="AK664" i="1"/>
  <c r="AK676" i="1"/>
  <c r="AK688" i="1"/>
  <c r="AK700" i="1"/>
  <c r="AK25" i="1"/>
  <c r="AK46" i="1"/>
  <c r="AK66" i="1"/>
  <c r="AK86" i="1"/>
  <c r="AK104" i="1"/>
  <c r="AK124" i="1"/>
  <c r="AK140" i="1"/>
  <c r="AK157" i="1"/>
  <c r="AK174" i="1"/>
  <c r="AK190" i="1"/>
  <c r="AK210" i="1"/>
  <c r="AK226" i="1"/>
  <c r="AK244" i="1"/>
  <c r="AK260" i="1"/>
  <c r="AK277" i="1"/>
  <c r="AK296" i="1"/>
  <c r="AK313" i="1"/>
  <c r="AK329" i="1"/>
  <c r="AK343" i="1"/>
  <c r="AK357" i="1"/>
  <c r="AK373" i="1"/>
  <c r="AK387" i="1"/>
  <c r="AK401" i="1"/>
  <c r="AK13" i="1"/>
  <c r="AK33" i="1"/>
  <c r="AK51" i="1"/>
  <c r="AK73" i="1"/>
  <c r="AK95" i="1"/>
  <c r="AK113" i="1"/>
  <c r="AK129" i="1"/>
  <c r="AK147" i="1"/>
  <c r="AK163" i="1"/>
  <c r="AK183" i="1"/>
  <c r="AK199" i="1"/>
  <c r="AK215" i="1"/>
  <c r="AK233" i="1"/>
  <c r="AK249" i="1"/>
  <c r="AK269" i="1"/>
  <c r="AK285" i="1"/>
  <c r="AK303" i="1"/>
  <c r="AK319" i="1"/>
  <c r="AK334" i="1"/>
  <c r="AK350" i="1"/>
  <c r="AK364" i="1"/>
  <c r="AK378" i="1"/>
  <c r="AK392" i="1"/>
  <c r="AK406" i="1"/>
  <c r="AK422" i="1"/>
  <c r="AK436" i="1"/>
  <c r="AK450" i="1"/>
  <c r="AK464" i="1"/>
  <c r="AK478" i="1"/>
  <c r="AK494" i="1"/>
  <c r="AK508" i="1"/>
  <c r="AK522" i="1"/>
  <c r="AK536" i="1"/>
  <c r="AK550" i="1"/>
  <c r="AK563" i="1"/>
  <c r="AK575" i="1"/>
  <c r="AK587" i="1"/>
  <c r="AK599" i="1"/>
  <c r="AK611" i="1"/>
  <c r="AK623" i="1"/>
  <c r="AK635" i="1"/>
  <c r="AK647" i="1"/>
  <c r="AK659" i="1"/>
  <c r="AK671" i="1"/>
  <c r="AK683" i="1"/>
  <c r="AK695" i="1"/>
  <c r="AK707" i="1"/>
  <c r="AK14" i="1"/>
  <c r="AK34" i="1"/>
  <c r="AK55" i="1"/>
  <c r="AK78" i="1"/>
  <c r="AK97" i="1"/>
  <c r="AK114" i="1"/>
  <c r="AK130" i="1"/>
  <c r="AK148" i="1"/>
  <c r="AK166" i="1"/>
  <c r="AK184" i="1"/>
  <c r="AK200" i="1"/>
  <c r="AK217" i="1"/>
  <c r="AK234" i="1"/>
  <c r="AK253" i="1"/>
  <c r="AK270" i="1"/>
  <c r="AK286" i="1"/>
  <c r="AK304" i="1"/>
  <c r="AK320" i="1"/>
  <c r="AK337" i="1"/>
  <c r="AK351" i="1"/>
  <c r="AK365" i="1"/>
  <c r="AK379" i="1"/>
  <c r="AK393" i="1"/>
  <c r="AK409" i="1"/>
  <c r="AK423" i="1"/>
  <c r="AK437" i="1"/>
  <c r="AK451" i="1"/>
  <c r="AK465" i="1"/>
  <c r="AK481" i="1"/>
  <c r="AK495" i="1"/>
  <c r="AK509" i="1"/>
  <c r="AK523" i="1"/>
  <c r="AK537" i="1"/>
  <c r="AK551" i="1"/>
  <c r="AK564" i="1"/>
  <c r="AK576" i="1"/>
  <c r="AK588" i="1"/>
  <c r="AK600" i="1"/>
  <c r="AK612" i="1"/>
  <c r="AK624" i="1"/>
  <c r="AK636" i="1"/>
  <c r="AK648" i="1"/>
  <c r="AK660" i="1"/>
  <c r="AK672" i="1"/>
  <c r="AK19" i="1"/>
  <c r="AK37" i="1"/>
  <c r="AK61" i="1"/>
  <c r="AK81" i="1"/>
  <c r="AK101" i="1"/>
  <c r="AK117" i="1"/>
  <c r="AK135" i="1"/>
  <c r="AK153" i="1"/>
  <c r="AK171" i="1"/>
  <c r="AK187" i="1"/>
  <c r="AK203" i="1"/>
  <c r="AK221" i="1"/>
  <c r="AK239" i="1"/>
  <c r="AK257" i="1"/>
  <c r="AK273" i="1"/>
  <c r="AK291" i="1"/>
  <c r="AK307" i="1"/>
  <c r="AK326" i="1"/>
  <c r="AK340" i="1"/>
  <c r="AK354" i="1"/>
  <c r="AK368" i="1"/>
  <c r="AK382" i="1"/>
  <c r="AK398" i="1"/>
  <c r="AK412" i="1"/>
  <c r="AK426" i="1"/>
  <c r="AK440" i="1"/>
  <c r="AK454" i="1"/>
  <c r="AK470" i="1"/>
  <c r="AK484" i="1"/>
  <c r="AK498" i="1"/>
  <c r="AK512" i="1"/>
  <c r="AK526" i="1"/>
  <c r="AK542" i="1"/>
  <c r="AK555" i="1"/>
  <c r="AK567" i="1"/>
  <c r="AK579" i="1"/>
  <c r="AK591" i="1"/>
  <c r="AK603" i="1"/>
  <c r="AK615" i="1"/>
  <c r="AK627" i="1"/>
  <c r="AK639" i="1"/>
  <c r="AK651" i="1"/>
  <c r="AK663" i="1"/>
  <c r="AK927" i="1"/>
  <c r="AK915" i="1"/>
  <c r="AK903" i="1"/>
  <c r="AK891" i="1"/>
  <c r="AK879" i="1"/>
  <c r="AK867" i="1"/>
  <c r="AK855" i="1"/>
  <c r="AK843" i="1"/>
  <c r="AK831" i="1"/>
  <c r="AK819" i="1"/>
  <c r="AK807" i="1"/>
  <c r="AK795" i="1"/>
  <c r="AK783" i="1"/>
  <c r="AK771" i="1"/>
  <c r="AK759" i="1"/>
  <c r="AK747" i="1"/>
  <c r="AK735" i="1"/>
  <c r="AK723" i="1"/>
  <c r="AK711" i="1"/>
  <c r="AK697" i="1"/>
  <c r="AK682" i="1"/>
  <c r="AK667" i="1"/>
  <c r="AK649" i="1"/>
  <c r="AK631" i="1"/>
  <c r="AK613" i="1"/>
  <c r="AK595" i="1"/>
  <c r="AK577" i="1"/>
  <c r="AK559" i="1"/>
  <c r="AK538" i="1"/>
  <c r="AK518" i="1"/>
  <c r="AK496" i="1"/>
  <c r="AK474" i="1"/>
  <c r="AK452" i="1"/>
  <c r="AK430" i="1"/>
  <c r="AK410" i="1"/>
  <c r="AK386" i="1"/>
  <c r="AK361" i="1"/>
  <c r="AK333" i="1"/>
  <c r="AK306" i="1"/>
  <c r="AK279" i="1"/>
  <c r="AK247" i="1"/>
  <c r="AK219" i="1"/>
  <c r="AK189" i="1"/>
  <c r="AK160" i="1"/>
  <c r="AK128" i="1"/>
  <c r="AK100" i="1"/>
  <c r="AK67" i="1"/>
  <c r="AK31" i="1"/>
  <c r="AJ926" i="1"/>
  <c r="AJ892" i="1"/>
  <c r="AJ856" i="1"/>
  <c r="AJ819" i="1"/>
  <c r="AJ784" i="1"/>
  <c r="AJ733" i="1"/>
  <c r="AJ642" i="1"/>
  <c r="AJ547" i="1"/>
  <c r="AJ457" i="1"/>
  <c r="AJ362" i="1"/>
  <c r="AJ261" i="1"/>
  <c r="AJ150" i="1"/>
  <c r="AJ18" i="1"/>
  <c r="AK926" i="1"/>
  <c r="AK914" i="1"/>
  <c r="AK902" i="1"/>
  <c r="AK890" i="1"/>
  <c r="AK878" i="1"/>
  <c r="AK866" i="1"/>
  <c r="AK854" i="1"/>
  <c r="AK842" i="1"/>
  <c r="AK830" i="1"/>
  <c r="AK818" i="1"/>
  <c r="AK806" i="1"/>
  <c r="AK794" i="1"/>
  <c r="AK782" i="1"/>
  <c r="AK770" i="1"/>
  <c r="AK758" i="1"/>
  <c r="AK746" i="1"/>
  <c r="AK734" i="1"/>
  <c r="AK722" i="1"/>
  <c r="AK710" i="1"/>
  <c r="AK696" i="1"/>
  <c r="AK681" i="1"/>
  <c r="AK666" i="1"/>
  <c r="AK646" i="1"/>
  <c r="AK630" i="1"/>
  <c r="AK610" i="1"/>
  <c r="AK594" i="1"/>
  <c r="AK574" i="1"/>
  <c r="AK558" i="1"/>
  <c r="AK535" i="1"/>
  <c r="AK517" i="1"/>
  <c r="AK493" i="1"/>
  <c r="AK473" i="1"/>
  <c r="AK449" i="1"/>
  <c r="AK429" i="1"/>
  <c r="AK405" i="1"/>
  <c r="AK381" i="1"/>
  <c r="AK358" i="1"/>
  <c r="AK332" i="1"/>
  <c r="AK305" i="1"/>
  <c r="AK275" i="1"/>
  <c r="AK246" i="1"/>
  <c r="AK214" i="1"/>
  <c r="AK186" i="1"/>
  <c r="AK159" i="1"/>
  <c r="AK127" i="1"/>
  <c r="AK99" i="1"/>
  <c r="AK63" i="1"/>
  <c r="AK30" i="1"/>
  <c r="AJ921" i="1"/>
  <c r="AJ889" i="1"/>
  <c r="AJ854" i="1"/>
  <c r="AJ814" i="1"/>
  <c r="AJ778" i="1"/>
  <c r="AJ728" i="1"/>
  <c r="AJ638" i="1"/>
  <c r="AJ546" i="1"/>
  <c r="AJ454" i="1"/>
  <c r="AJ358" i="1"/>
  <c r="AJ258" i="1"/>
  <c r="AJ142" i="1"/>
  <c r="AJ17" i="1"/>
  <c r="AK925" i="1"/>
  <c r="AK913" i="1"/>
  <c r="AK901" i="1"/>
  <c r="AK889" i="1"/>
  <c r="AK877" i="1"/>
  <c r="AK865" i="1"/>
  <c r="AK853" i="1"/>
  <c r="AK841" i="1"/>
  <c r="AK829" i="1"/>
  <c r="AK817" i="1"/>
  <c r="AK805" i="1"/>
  <c r="AK793" i="1"/>
  <c r="AK781" i="1"/>
  <c r="AK769" i="1"/>
  <c r="AK757" i="1"/>
  <c r="AK745" i="1"/>
  <c r="AK733" i="1"/>
  <c r="AK721" i="1"/>
  <c r="AK709" i="1"/>
  <c r="AK694" i="1"/>
  <c r="AK680" i="1"/>
  <c r="AK665" i="1"/>
  <c r="AK645" i="1"/>
  <c r="AK629" i="1"/>
  <c r="AK609" i="1"/>
  <c r="AK593" i="1"/>
  <c r="AK573" i="1"/>
  <c r="AK557" i="1"/>
  <c r="AK534" i="1"/>
  <c r="AK514" i="1"/>
  <c r="AK490" i="1"/>
  <c r="AK472" i="1"/>
  <c r="AK448" i="1"/>
  <c r="AK428" i="1"/>
  <c r="AK404" i="1"/>
  <c r="AK380" i="1"/>
  <c r="AK356" i="1"/>
  <c r="AK331" i="1"/>
  <c r="AK301" i="1"/>
  <c r="AK272" i="1"/>
  <c r="AK245" i="1"/>
  <c r="AK213" i="1"/>
  <c r="AK185" i="1"/>
  <c r="AK155" i="1"/>
  <c r="AK126" i="1"/>
  <c r="AK94" i="1"/>
  <c r="AK60" i="1"/>
  <c r="AK27" i="1"/>
  <c r="AJ918" i="1"/>
  <c r="AJ882" i="1"/>
  <c r="AJ848" i="1"/>
  <c r="AJ812" i="1"/>
  <c r="AJ775" i="1"/>
  <c r="AJ724" i="1"/>
  <c r="AJ632" i="1"/>
  <c r="AJ544" i="1"/>
  <c r="AJ449" i="1"/>
  <c r="AJ356" i="1"/>
  <c r="AJ250" i="1"/>
  <c r="AJ138" i="1"/>
  <c r="AJ8" i="1"/>
  <c r="X2" i="1"/>
  <c r="Y2" i="1"/>
  <c r="AK2" i="1" s="1"/>
  <c r="AJ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<sst xmlns="http://schemas.openxmlformats.org/spreadsheetml/2006/main" count="21788" uniqueCount="4738">
  <si>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</si>
  <si>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</si>
  <si>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</si>
  <si>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</si>
  <si>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</si>
  <si>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</si>
  <si>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</si>
  <si>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</si>
  <si>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</si>
  <si>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</si>
  <si>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</si>
  <si>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</si>
  <si>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</si>
  <si>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</si>
  <si>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</si>
  <si>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</si>
  <si>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</si>
  <si>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</si>
  <si>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</si>
  <si>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</si>
  <si>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</si>
  <si>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order_id_1</t>
  </si>
  <si>
    <t>order_date_2</t>
  </si>
  <si>
    <t>ship_date_3</t>
  </si>
  <si>
    <t>customer_id_4</t>
  </si>
  <si>
    <t>customer_name_5</t>
  </si>
  <si>
    <t>segment_6</t>
  </si>
  <si>
    <t>region_7</t>
  </si>
  <si>
    <t>Ship dates_earlier than_Order dates</t>
  </si>
  <si>
    <t>shipping_delay_days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</si>
  <si>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</si>
  <si>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</si>
  <si>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</si>
  <si>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</si>
  <si>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</si>
  <si>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</si>
  <si>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</si>
  <si>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</si>
  <si>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</si>
  <si>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</si>
  <si>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</si>
  <si>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</si>
  <si>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</si>
  <si>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</si>
  <si>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</si>
  <si>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</si>
  <si>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</si>
  <si>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</si>
  <si>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</si>
  <si>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</si>
  <si>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</si>
  <si>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</si>
  <si>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</si>
  <si>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</si>
  <si>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</si>
  <si>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</si>
  <si>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</si>
  <si>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</si>
  <si>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</si>
  <si>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</si>
  <si>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</si>
  <si>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</si>
  <si>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</si>
  <si>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</si>
  <si>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</si>
  <si>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</si>
  <si>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</si>
  <si>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</si>
  <si>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</si>
  <si>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</si>
  <si>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</si>
  <si>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</si>
  <si>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</si>
  <si>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</si>
  <si>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</si>
  <si>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</si>
  <si>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</si>
  <si>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</si>
  <si>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</si>
  <si>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</si>
  <si>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</si>
  <si>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</si>
  <si>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</si>
  <si>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</si>
  <si>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</si>
  <si>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</si>
  <si>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</si>
  <si>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</si>
  <si>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</si>
  <si>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</si>
  <si>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</si>
  <si>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</si>
  <si>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</si>
  <si>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</si>
  <si>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</si>
  <si>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</si>
  <si>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</si>
  <si>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</si>
  <si>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</si>
  <si>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</si>
  <si>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</si>
  <si>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</si>
  <si>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</si>
  <si>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</si>
  <si>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</si>
  <si>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</si>
  <si>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</si>
  <si>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</si>
  <si>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</si>
  <si>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</si>
  <si>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</si>
  <si>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</si>
  <si>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</si>
  <si>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</si>
  <si>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</si>
  <si>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</si>
  <si>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</si>
  <si>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</si>
  <si>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</si>
  <si>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</si>
  <si>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</si>
  <si>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</si>
  <si>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</si>
  <si>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</si>
  <si>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</si>
  <si>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</si>
  <si>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</si>
  <si>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</si>
  <si>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</si>
  <si>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</si>
  <si>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</si>
  <si>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</si>
  <si>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</si>
  <si>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</si>
  <si>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</si>
  <si>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</si>
  <si>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</si>
  <si>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</si>
  <si>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</si>
  <si>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</si>
  <si>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</si>
  <si>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</si>
  <si>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</si>
  <si>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</si>
  <si>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</si>
  <si>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</si>
  <si>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</si>
  <si>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</si>
  <si>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</si>
  <si>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</si>
  <si>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</si>
  <si>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</si>
  <si>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</si>
  <si>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</si>
  <si>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</si>
  <si>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</si>
  <si>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</si>
  <si>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</si>
  <si>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</si>
  <si>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</si>
  <si>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</si>
  <si>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</si>
  <si>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</si>
  <si>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</si>
  <si>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</si>
  <si>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</si>
  <si>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</si>
  <si>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</si>
  <si>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</si>
  <si>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</si>
  <si>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</si>
  <si>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</si>
  <si>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</si>
  <si>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</si>
  <si>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</si>
  <si>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</si>
  <si>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</si>
  <si>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</si>
  <si>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</si>
  <si>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</si>
  <si>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</si>
  <si>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</si>
  <si>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</si>
  <si>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</si>
  <si>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</si>
  <si>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</si>
  <si>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</si>
  <si>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</si>
  <si>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</si>
  <si>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</si>
  <si>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</si>
  <si>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invalid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</si>
  <si>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</si>
  <si>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</si>
  <si>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</si>
  <si>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</si>
  <si>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</si>
  <si>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</si>
  <si>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</si>
  <si>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</si>
  <si>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</si>
  <si>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</si>
  <si>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</si>
  <si>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</si>
  <si>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</si>
  <si>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</si>
  <si>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</si>
  <si>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</si>
  <si>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</si>
  <si>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</si>
  <si>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</si>
  <si>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</si>
  <si>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</si>
  <si>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</si>
  <si>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</si>
  <si>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</si>
  <si>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</si>
  <si>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</si>
  <si>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</si>
  <si>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</si>
  <si>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</si>
  <si>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</si>
  <si>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</si>
  <si>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</si>
  <si>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</si>
  <si>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</si>
  <si>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</si>
  <si>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</si>
  <si>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</si>
  <si>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</si>
  <si>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</si>
  <si>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</si>
  <si>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</si>
  <si>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</si>
  <si>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</si>
  <si>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</si>
  <si>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</si>
  <si>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</si>
  <si>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</si>
  <si>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</si>
  <si>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</si>
  <si>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</si>
  <si>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</si>
  <si>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</si>
  <si>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</si>
  <si>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</si>
  <si>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</si>
  <si>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</si>
  <si>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</si>
  <si>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</si>
  <si>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</si>
  <si>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</si>
  <si>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</si>
  <si>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</si>
  <si>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</si>
  <si>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</si>
  <si>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</si>
  <si>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</si>
  <si>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</si>
  <si>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</si>
  <si>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</si>
  <si>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</si>
  <si>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</si>
  <si>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</si>
  <si>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</si>
  <si>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</si>
  <si>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</si>
  <si>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</si>
  <si>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</si>
  <si>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</si>
  <si>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</si>
  <si>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</si>
  <si>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</si>
  <si>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</si>
  <si>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</si>
  <si>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</si>
  <si>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</si>
  <si>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</si>
  <si>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</si>
  <si>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</si>
  <si>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</si>
  <si>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</si>
  <si>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unknown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</si>
  <si>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</si>
  <si>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</si>
  <si>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</si>
  <si>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</si>
  <si>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</si>
  <si>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</si>
  <si>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</si>
  <si>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</si>
  <si>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</si>
  <si>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</si>
  <si>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</si>
  <si>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</si>
  <si>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</si>
  <si>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</si>
  <si>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</si>
  <si>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</si>
  <si>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</si>
  <si>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</si>
  <si>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</si>
  <si>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</si>
  <si>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</si>
  <si>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</si>
  <si>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</si>
  <si>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</si>
  <si>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</si>
  <si>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</si>
  <si>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</si>
  <si>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</si>
  <si>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</si>
  <si>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</si>
  <si>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</si>
  <si>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</si>
  <si>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</si>
  <si>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</si>
  <si>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</si>
  <si>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</si>
  <si>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</si>
  <si>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</si>
  <si>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</si>
  <si>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</si>
  <si>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</si>
  <si>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</si>
  <si>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</si>
  <si>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</si>
  <si>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</si>
  <si>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</si>
  <si>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</si>
  <si>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</si>
  <si>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</si>
  <si>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</si>
  <si>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</si>
  <si>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</si>
  <si>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</si>
  <si>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</si>
  <si>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</si>
  <si>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</si>
  <si>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</si>
  <si>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</si>
  <si>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</si>
  <si>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</si>
  <si>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</si>
  <si>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</si>
  <si>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</si>
  <si>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</si>
  <si>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</si>
  <si>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</si>
  <si>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</si>
  <si>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</si>
  <si>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</si>
  <si>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</si>
  <si>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</si>
  <si>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</si>
  <si>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</si>
  <si>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</si>
  <si>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</si>
  <si>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</si>
  <si>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</si>
  <si>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</si>
  <si>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</si>
  <si>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</si>
  <si>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</si>
  <si>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</si>
  <si>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</si>
  <si>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</si>
  <si>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</si>
  <si>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</si>
  <si>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</si>
  <si>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</si>
  <si>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</si>
  <si>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</si>
  <si>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</si>
  <si>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</si>
  <si>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</si>
  <si>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</si>
  <si>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</si>
  <si>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</si>
  <si>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</si>
  <si>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</si>
  <si>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</si>
  <si>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</si>
  <si>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</si>
  <si>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</si>
  <si>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</si>
  <si>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</si>
  <si>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</si>
  <si>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</si>
  <si>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</si>
  <si>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</si>
  <si>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</si>
  <si>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</si>
  <si>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</si>
  <si>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</si>
  <si>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</si>
  <si>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</si>
  <si>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</si>
  <si>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</si>
  <si>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</si>
  <si>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</si>
  <si>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</si>
  <si>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</si>
  <si>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</si>
  <si>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</si>
  <si>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</si>
  <si>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</si>
  <si>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</si>
  <si>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</si>
  <si>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</si>
  <si>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</si>
  <si>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</si>
  <si>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</si>
  <si>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</si>
  <si>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</si>
  <si>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</si>
  <si>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</si>
  <si>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</si>
  <si>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</si>
  <si>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</si>
  <si>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</si>
  <si>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</si>
  <si>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</si>
  <si>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</si>
  <si>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</si>
  <si>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</si>
  <si>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</si>
  <si>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</si>
  <si>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</si>
  <si>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</si>
  <si>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</si>
  <si>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</si>
  <si>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</si>
  <si>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</si>
  <si>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</si>
  <si>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</si>
  <si>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</si>
  <si>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</si>
  <si>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</si>
  <si>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</si>
  <si>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</si>
  <si>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</si>
  <si>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</si>
  <si>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</si>
  <si>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</si>
  <si>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</si>
  <si>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</si>
  <si>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</si>
  <si>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</si>
  <si>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</si>
  <si>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</si>
  <si>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</si>
  <si>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</si>
  <si>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</si>
  <si>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</si>
  <si>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</si>
  <si>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</si>
  <si>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</si>
  <si>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</si>
  <si>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</si>
  <si>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</si>
  <si>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</si>
  <si>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</si>
  <si>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</si>
  <si>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</si>
  <si>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</si>
  <si>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</si>
  <si>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</si>
  <si>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</si>
  <si>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</si>
  <si>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</si>
  <si>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</si>
  <si>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</si>
  <si>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</si>
  <si>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</si>
  <si>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</si>
  <si>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</si>
  <si>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</si>
  <si>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</si>
  <si>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</si>
  <si>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</si>
  <si>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</si>
  <si>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</si>
  <si>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</si>
  <si>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</si>
  <si>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</si>
  <si>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</si>
  <si>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</si>
  <si>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</si>
  <si>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</si>
  <si>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</si>
  <si>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</si>
  <si>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</si>
  <si>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</si>
  <si>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</si>
  <si>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</si>
  <si>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</si>
  <si>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</si>
  <si>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</si>
  <si>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</si>
  <si>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</si>
  <si>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</si>
  <si>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</si>
  <si>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</si>
  <si>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</si>
  <si>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</si>
  <si>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</si>
  <si>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</si>
  <si>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</si>
  <si>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</si>
  <si>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</si>
  <si>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</si>
  <si>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</si>
  <si>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</si>
  <si>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</si>
  <si>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</si>
  <si>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</si>
  <si>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</si>
  <si>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</si>
  <si>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</si>
  <si>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</si>
  <si>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</si>
  <si>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</si>
  <si>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</si>
  <si>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</si>
  <si>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</si>
  <si>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</si>
  <si>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</si>
  <si>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</si>
  <si>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</si>
  <si>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</si>
  <si>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</si>
  <si>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</si>
  <si>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</si>
  <si>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</si>
  <si>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</si>
  <si>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</si>
  <si>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</si>
  <si>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</si>
  <si>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</si>
  <si>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</si>
  <si>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</si>
  <si>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</si>
  <si>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</si>
  <si>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</si>
  <si>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</si>
  <si>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</si>
  <si>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</si>
  <si>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</si>
  <si>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</si>
  <si>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</si>
  <si>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</si>
  <si>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</si>
  <si>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</si>
  <si>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</si>
  <si>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</si>
  <si>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</si>
  <si>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</si>
  <si>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</si>
  <si>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</si>
  <si>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</si>
  <si>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</si>
  <si>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</si>
  <si>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</si>
  <si>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</si>
  <si>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</si>
  <si>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</si>
  <si>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</si>
  <si>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</si>
  <si>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</si>
  <si>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</si>
  <si>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</si>
  <si>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</si>
  <si>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</si>
  <si>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</si>
  <si>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</si>
  <si>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</si>
  <si>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</si>
  <si>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</si>
  <si>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</si>
  <si>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</si>
  <si>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</si>
  <si>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</si>
  <si>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</si>
  <si>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</si>
  <si>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</si>
  <si>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</si>
  <si>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</si>
  <si>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</si>
  <si>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</si>
  <si>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</si>
  <si>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</si>
  <si>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</si>
  <si>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</si>
  <si>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</si>
  <si>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</si>
  <si>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</si>
  <si>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</si>
  <si>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</si>
  <si>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</si>
  <si>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</si>
  <si>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</si>
  <si>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</si>
  <si>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</si>
  <si>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</si>
  <si>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</si>
  <si>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</si>
  <si>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</si>
  <si>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</si>
  <si>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</si>
  <si>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</si>
  <si>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</si>
  <si>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</si>
  <si>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</si>
  <si>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</si>
  <si>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</si>
  <si>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</si>
  <si>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</si>
  <si>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</si>
  <si>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</si>
  <si>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</si>
  <si>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</si>
  <si>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</si>
  <si>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</si>
  <si>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</si>
  <si>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</si>
  <si>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</si>
  <si>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</si>
  <si>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</si>
  <si>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</si>
  <si>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</si>
  <si>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</si>
  <si>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</si>
  <si>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</si>
  <si>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</si>
  <si>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</si>
  <si>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</si>
  <si>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</si>
  <si>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</si>
  <si>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</si>
  <si>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</si>
  <si>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</si>
  <si>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</si>
  <si>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</si>
  <si>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</si>
  <si>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</si>
  <si>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</si>
  <si>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</si>
  <si>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</si>
  <si>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</si>
  <si>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</si>
  <si>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</si>
  <si>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</si>
  <si>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</si>
  <si>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</si>
  <si>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</si>
  <si>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</si>
  <si>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</si>
  <si>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</si>
  <si>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</si>
  <si>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</si>
  <si>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</si>
  <si>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</si>
  <si>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</si>
  <si>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</si>
  <si>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</si>
  <si>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</si>
  <si>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</si>
  <si>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</si>
  <si>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</si>
  <si>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</si>
  <si>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</si>
  <si>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</si>
  <si>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</si>
  <si>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</si>
  <si>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</si>
  <si>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</si>
  <si>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</si>
  <si>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</si>
  <si>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</si>
  <si>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</si>
  <si>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</si>
  <si>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</si>
  <si>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</si>
  <si>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</si>
  <si>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</si>
  <si>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</si>
  <si>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</si>
  <si>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</si>
  <si>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</si>
  <si>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</si>
  <si>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</si>
  <si>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</si>
  <si>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</si>
  <si>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</si>
  <si>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</si>
  <si>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</si>
  <si>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</si>
  <si>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</si>
  <si>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</si>
  <si>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</si>
  <si>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</si>
  <si>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</si>
  <si>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</si>
  <si>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</si>
  <si>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</si>
  <si>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</si>
  <si>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</si>
  <si>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</si>
  <si>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</si>
  <si>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</si>
  <si>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</si>
  <si>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</si>
  <si>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</si>
  <si>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</si>
  <si>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</si>
  <si>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</si>
  <si>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</si>
  <si>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</si>
  <si>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</si>
  <si>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</si>
  <si>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</si>
  <si>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</si>
  <si>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</si>
  <si>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</si>
  <si>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</si>
  <si>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</si>
  <si>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</si>
  <si>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</si>
  <si>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</si>
  <si>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</si>
  <si>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</si>
  <si>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</si>
  <si>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</si>
  <si>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</si>
  <si>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</si>
  <si>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</si>
  <si>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</si>
  <si>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</si>
  <si>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</si>
  <si>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</si>
  <si>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</si>
  <si>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</si>
  <si>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</si>
  <si>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</si>
  <si>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</si>
  <si>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</si>
  <si>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</si>
  <si>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</si>
  <si>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</si>
  <si>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</si>
  <si>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</si>
  <si>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</si>
  <si>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</si>
  <si>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</si>
  <si>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</si>
  <si>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</si>
  <si>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</si>
  <si>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</si>
  <si>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</si>
  <si>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</si>
  <si>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</si>
  <si>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</si>
  <si>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</si>
  <si>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</si>
  <si>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</si>
  <si>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</si>
  <si>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</si>
  <si>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</si>
  <si>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</si>
  <si>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</si>
  <si>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</si>
  <si>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</si>
  <si>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</si>
  <si>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</si>
  <si>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</si>
  <si>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</si>
  <si>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</si>
  <si>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</si>
  <si>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</si>
  <si>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</si>
  <si>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</si>
  <si>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</si>
  <si>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</si>
  <si>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</si>
  <si>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</si>
  <si>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</si>
  <si>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</si>
  <si>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</si>
  <si>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</si>
  <si>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</si>
  <si>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</si>
  <si>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</si>
  <si>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</si>
  <si>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</si>
  <si>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</si>
  <si>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</si>
  <si>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</si>
  <si>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</si>
  <si>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</si>
  <si>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</si>
  <si>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</si>
  <si>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</si>
  <si>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</si>
  <si>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</si>
  <si>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</si>
  <si>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</si>
  <si>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</si>
  <si>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</si>
  <si>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</si>
  <si>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</si>
  <si>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</si>
  <si>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</si>
  <si>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</si>
  <si>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</si>
  <si>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</si>
  <si>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</si>
  <si>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</si>
  <si>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</si>
  <si>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</si>
  <si>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</si>
  <si>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</si>
  <si>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</si>
  <si>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</si>
  <si>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</si>
  <si>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</si>
  <si>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</si>
  <si>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</si>
  <si>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</si>
  <si>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</si>
  <si>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</si>
  <si>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</si>
  <si>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</si>
  <si>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</si>
  <si>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</si>
  <si>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</si>
  <si>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</si>
  <si>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</si>
  <si>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</si>
  <si>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</si>
  <si>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</si>
  <si>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</si>
  <si>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</si>
  <si>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</si>
  <si>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</si>
  <si>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</si>
  <si>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</si>
  <si>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</si>
  <si>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</si>
  <si>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</si>
  <si>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</si>
  <si>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</si>
  <si>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</si>
  <si>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</si>
  <si>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</si>
  <si>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</si>
  <si>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</si>
  <si>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</si>
  <si>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</si>
  <si>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</si>
  <si>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</si>
  <si>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</si>
  <si>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</si>
  <si>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</si>
  <si>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</si>
  <si>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</si>
  <si>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</si>
  <si>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</si>
  <si>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</si>
  <si>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</si>
  <si>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</si>
  <si>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</si>
  <si>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</si>
  <si>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</si>
  <si>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</si>
  <si>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</si>
  <si>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</si>
  <si>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</si>
  <si>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</si>
  <si>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</si>
  <si>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</si>
  <si>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</si>
  <si>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</si>
  <si>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</si>
  <si>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</si>
  <si>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</si>
  <si>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</si>
  <si>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</si>
  <si>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</si>
  <si>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</si>
  <si>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</si>
  <si>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</si>
  <si>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</si>
  <si>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</si>
  <si>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</si>
  <si>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</si>
  <si>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</si>
  <si>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</si>
  <si>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</si>
  <si>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</si>
  <si>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</si>
  <si>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</si>
  <si>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</si>
  <si>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</si>
  <si>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</si>
  <si>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</si>
  <si>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</si>
  <si>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</si>
  <si>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</si>
  <si>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</si>
  <si>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</si>
  <si>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</si>
  <si>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</si>
  <si>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</si>
  <si>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</si>
  <si>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</si>
  <si>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</si>
  <si>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</si>
  <si>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</si>
  <si>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</si>
  <si>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</si>
  <si>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</si>
  <si>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</si>
  <si>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</si>
  <si>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</si>
  <si>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</si>
  <si>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</si>
  <si>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</si>
  <si>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</si>
  <si>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</si>
  <si>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</si>
  <si>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</si>
  <si>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</si>
  <si>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</si>
  <si>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</si>
  <si>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</si>
  <si>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</si>
  <si>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</si>
  <si>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</si>
  <si>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</si>
  <si>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</si>
  <si>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</si>
  <si>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</si>
  <si>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</si>
  <si>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</si>
  <si>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</si>
  <si>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</si>
  <si>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</si>
  <si>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</si>
  <si>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</si>
  <si>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</si>
  <si>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</si>
  <si>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</si>
  <si>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</si>
  <si>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</si>
  <si>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</si>
  <si>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</si>
  <si>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</si>
  <si>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</si>
  <si>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</si>
  <si>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</si>
  <si>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</si>
  <si>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</si>
  <si>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</si>
  <si>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</si>
  <si>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</si>
  <si>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</si>
  <si>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</si>
  <si>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</si>
  <si>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</si>
  <si>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</si>
  <si>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</si>
  <si>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</si>
  <si>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</si>
  <si>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</si>
  <si>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</si>
  <si>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</si>
  <si>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</si>
  <si>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</si>
  <si>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</si>
  <si>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</si>
  <si>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</si>
  <si>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</si>
  <si>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</si>
  <si>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</si>
  <si>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</si>
  <si>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</si>
  <si>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</si>
  <si>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</si>
  <si>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</si>
  <si>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</si>
  <si>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</si>
  <si>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</si>
  <si>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</si>
  <si>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</si>
  <si>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</si>
  <si>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</si>
  <si>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</si>
  <si>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</si>
  <si>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</si>
  <si>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</si>
  <si>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</si>
  <si>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</si>
  <si>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</si>
  <si>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</si>
  <si>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</si>
  <si>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</si>
  <si>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</si>
  <si>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</si>
  <si>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</si>
  <si>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</si>
  <si>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</si>
  <si>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</si>
  <si>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</si>
  <si>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</si>
  <si>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</si>
  <si>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</si>
  <si>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</si>
  <si>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</si>
  <si>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</si>
  <si>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</si>
  <si>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</si>
  <si>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</si>
  <si>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</si>
  <si>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</si>
  <si>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</si>
  <si>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</si>
  <si>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</si>
  <si>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</si>
  <si>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</si>
  <si>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</si>
  <si>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</si>
  <si>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</si>
  <si>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</si>
  <si>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</si>
  <si>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</si>
  <si>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</si>
  <si>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</si>
  <si>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</si>
  <si>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</si>
  <si>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</si>
  <si>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</si>
  <si>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</si>
  <si>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</si>
  <si>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</si>
  <si>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</si>
  <si>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</si>
  <si>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</si>
  <si>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</si>
  <si>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</si>
  <si>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</si>
  <si>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</si>
  <si>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</si>
  <si>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</si>
  <si>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</si>
  <si>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</si>
  <si>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</si>
  <si>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</si>
  <si>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</si>
  <si>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</si>
  <si>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</si>
  <si>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</si>
  <si>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</si>
  <si>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</si>
  <si>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</si>
  <si>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</si>
  <si>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</si>
  <si>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</si>
  <si>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</si>
  <si>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</si>
  <si>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</si>
  <si>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</si>
  <si>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</si>
  <si>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</si>
  <si>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</si>
  <si>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</si>
  <si>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</si>
  <si>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</si>
  <si>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</si>
  <si>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</si>
  <si>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</si>
  <si>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</si>
  <si>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</si>
  <si>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</si>
  <si>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</si>
  <si>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</si>
  <si>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</si>
  <si>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</si>
  <si>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</si>
  <si>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</si>
  <si>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</si>
  <si>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</si>
  <si>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</si>
  <si>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</si>
  <si>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</si>
  <si>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</si>
  <si>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</si>
  <si>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</si>
  <si>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</si>
  <si>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</si>
  <si>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</si>
  <si>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</si>
  <si>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</si>
  <si>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</si>
  <si>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</si>
  <si>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</si>
  <si>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</si>
  <si>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</si>
  <si>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</si>
  <si>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</si>
  <si>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</si>
  <si>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</si>
  <si>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</si>
  <si>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</si>
  <si>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</si>
  <si>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</si>
  <si>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</si>
  <si>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</si>
  <si>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</si>
  <si>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</si>
  <si>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</si>
  <si>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</si>
  <si>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</si>
  <si>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</si>
  <si>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</si>
  <si>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</si>
  <si>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</si>
  <si>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</si>
  <si>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</si>
  <si>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</si>
  <si>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</si>
  <si>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</si>
  <si>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</si>
  <si>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</si>
  <si>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</si>
  <si>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</si>
  <si>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</si>
  <si>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</si>
  <si>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</si>
  <si>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</si>
  <si>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</si>
  <si>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</si>
  <si>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</si>
  <si>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</si>
  <si>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</si>
  <si>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</si>
  <si>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</si>
  <si>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</si>
  <si>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</si>
  <si>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</si>
  <si>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</si>
  <si>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</si>
  <si>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</si>
  <si>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</si>
  <si>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</si>
  <si>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</si>
  <si>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</si>
  <si>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</si>
  <si>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</si>
  <si>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</si>
  <si>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</si>
  <si>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</si>
  <si>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</si>
  <si>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</si>
  <si>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</si>
  <si>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</si>
  <si>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</si>
  <si>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</si>
  <si>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</si>
  <si>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</si>
  <si>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</si>
  <si>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</si>
  <si>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</si>
  <si>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</si>
  <si>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</si>
  <si>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</si>
  <si>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</si>
  <si>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</si>
  <si>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</si>
  <si>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</si>
  <si>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</si>
  <si>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</si>
  <si>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</si>
  <si>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</si>
  <si>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</si>
  <si>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</si>
  <si>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</si>
  <si>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</si>
  <si>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</si>
  <si>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</si>
  <si>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</si>
  <si>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</si>
  <si>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</si>
  <si>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</si>
  <si>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</si>
  <si>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</si>
  <si>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</si>
  <si>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</si>
  <si>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</si>
  <si>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</si>
  <si>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</si>
  <si>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</si>
  <si>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</si>
  <si>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</si>
  <si>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</si>
  <si>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</si>
  <si>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</si>
  <si>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</si>
  <si>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</si>
  <si>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</si>
  <si>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</si>
  <si>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</si>
  <si>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</si>
  <si>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</si>
  <si>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</si>
  <si>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</si>
  <si>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</si>
  <si>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</si>
  <si>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</si>
  <si>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</si>
  <si>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</si>
  <si>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</si>
  <si>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</si>
  <si>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</si>
  <si>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</si>
  <si>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</si>
  <si>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</si>
  <si>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</si>
  <si>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</si>
  <si>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</si>
  <si>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</si>
  <si>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</si>
  <si>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</si>
  <si>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</si>
  <si>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</si>
  <si>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</si>
  <si>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</si>
  <si>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</si>
  <si>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</si>
  <si>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</si>
  <si>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</si>
  <si>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</si>
  <si>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</si>
  <si>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</si>
  <si>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</si>
  <si>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</si>
  <si>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</si>
  <si>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</si>
  <si>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</si>
  <si>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</si>
  <si>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</si>
  <si>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</si>
  <si>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</si>
  <si>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</si>
  <si>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</si>
  <si>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</si>
  <si>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</si>
  <si>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</si>
  <si>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</si>
  <si>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</si>
  <si>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</si>
  <si>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</si>
  <si>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</si>
  <si>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</si>
  <si>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</si>
  <si>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</si>
  <si>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</si>
  <si>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</si>
  <si>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</si>
  <si>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</si>
  <si>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</si>
  <si>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</si>
  <si>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</si>
  <si>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</si>
  <si>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</si>
  <si>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</si>
  <si>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</si>
  <si>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</si>
  <si>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</si>
  <si>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</si>
  <si>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</si>
  <si>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</si>
  <si>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</si>
  <si>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</si>
  <si>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</si>
  <si>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</si>
  <si>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</si>
  <si>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</si>
  <si>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</si>
  <si>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</si>
  <si>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</si>
  <si>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</si>
  <si>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</si>
  <si>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</si>
  <si>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</si>
  <si>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</si>
  <si>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</si>
  <si>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</si>
  <si>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</si>
  <si>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</si>
  <si>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</si>
  <si>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</si>
  <si>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</si>
  <si>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</si>
  <si>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</si>
  <si>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</si>
  <si>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</si>
  <si>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</si>
  <si>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</si>
  <si>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</si>
  <si>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</si>
  <si>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</si>
  <si>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</si>
  <si>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</si>
  <si>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</si>
  <si>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</si>
  <si>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</si>
  <si>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</si>
  <si>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</si>
  <si>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</si>
  <si>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</si>
  <si>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</si>
  <si>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</si>
  <si>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</si>
  <si>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</si>
  <si>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</si>
  <si>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</si>
  <si>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</si>
  <si>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</si>
  <si>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</si>
  <si>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</si>
  <si>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</si>
  <si>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</si>
  <si>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</si>
  <si>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</si>
  <si>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</si>
  <si>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</si>
  <si>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</si>
  <si>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</si>
  <si>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</si>
  <si>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</si>
  <si>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</si>
  <si>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</si>
  <si>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</si>
  <si>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</si>
  <si>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</si>
  <si>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</si>
  <si>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</si>
  <si>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</si>
  <si>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</si>
  <si>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</si>
  <si>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</si>
  <si>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</si>
  <si>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</si>
  <si>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</si>
  <si>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</si>
  <si>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</si>
  <si>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</si>
  <si>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</si>
  <si>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</si>
  <si>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</si>
  <si>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</si>
  <si>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</si>
  <si>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</si>
  <si>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</si>
  <si>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</si>
  <si>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</si>
  <si>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</si>
  <si>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</si>
  <si>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</si>
  <si>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</si>
  <si>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</si>
  <si>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</si>
  <si>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</si>
  <si>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</si>
  <si>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</si>
  <si>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</si>
  <si>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</si>
  <si>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</si>
  <si>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</si>
  <si>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</si>
  <si>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</si>
  <si>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</si>
  <si>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</si>
  <si>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</si>
  <si>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</si>
  <si>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</si>
  <si>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</si>
  <si>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</si>
  <si>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</si>
  <si>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</si>
  <si>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</si>
  <si>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</si>
  <si>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</si>
  <si>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</si>
  <si>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</si>
  <si>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</si>
  <si>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</si>
  <si>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</si>
  <si>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</si>
  <si>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</si>
  <si>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</si>
  <si>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</si>
  <si>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</si>
  <si>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</si>
  <si>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</si>
  <si>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</si>
  <si>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</si>
  <si>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</si>
  <si>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</si>
  <si>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</si>
  <si>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</si>
  <si>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</si>
  <si>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</si>
  <si>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</si>
  <si>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</si>
  <si>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</si>
  <si>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</si>
  <si>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</si>
  <si>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</si>
  <si>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</si>
  <si>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</si>
  <si>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</si>
  <si>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</si>
  <si>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</si>
  <si>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</si>
  <si>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</si>
  <si>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</si>
  <si>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</si>
  <si>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</si>
  <si>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</si>
  <si>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</si>
  <si>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</si>
  <si>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</si>
  <si>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</si>
  <si>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</si>
  <si>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</si>
  <si>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</si>
  <si>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</si>
  <si>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</si>
  <si>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</si>
  <si>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</si>
  <si>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</si>
  <si>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</si>
  <si>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</si>
  <si>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</si>
  <si>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</si>
  <si>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</si>
  <si>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</si>
  <si>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</si>
  <si>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</si>
  <si>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</si>
  <si>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</si>
  <si>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</si>
  <si>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</si>
  <si>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</si>
  <si>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</si>
  <si>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</si>
  <si>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</si>
  <si>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</si>
  <si>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</si>
  <si>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</si>
  <si>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</si>
  <si>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</si>
  <si>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</si>
  <si>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</si>
  <si>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</si>
  <si>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</si>
  <si>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</si>
  <si>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</si>
  <si>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</si>
  <si>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</si>
  <si>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</si>
  <si>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</si>
  <si>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</si>
  <si>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</si>
  <si>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</si>
  <si>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</si>
  <si>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</si>
  <si>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</si>
  <si>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</si>
  <si>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</si>
  <si>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</si>
  <si>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</si>
  <si>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</si>
  <si>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</si>
  <si>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</si>
  <si>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</si>
  <si>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</si>
  <si>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</si>
  <si>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</si>
  <si>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</si>
  <si>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</si>
  <si>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</si>
  <si>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</si>
  <si>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</si>
  <si>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</si>
  <si>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</si>
  <si>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</si>
  <si>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</si>
  <si>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</si>
  <si>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</si>
  <si>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</si>
  <si>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</si>
  <si>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</si>
  <si>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</si>
  <si>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</si>
  <si>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</si>
  <si>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</si>
  <si>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</si>
  <si>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</si>
  <si>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</si>
  <si>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</si>
  <si>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</si>
  <si>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</si>
  <si>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</si>
  <si>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</si>
  <si>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</si>
  <si>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</si>
  <si>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</si>
  <si>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</si>
  <si>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</si>
  <si>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</si>
  <si>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</si>
  <si>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</si>
  <si>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</si>
  <si>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</si>
  <si>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</si>
  <si>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</si>
  <si>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</si>
  <si>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</si>
  <si>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</si>
  <si>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</si>
  <si>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</si>
  <si>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</si>
  <si>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</si>
  <si>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</si>
  <si>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</si>
  <si>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</si>
  <si>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</si>
  <si>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</si>
  <si>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</si>
  <si>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</si>
  <si>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</si>
  <si>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</si>
  <si>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</si>
  <si>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</si>
  <si>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</si>
  <si>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</si>
  <si>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</si>
  <si>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</si>
  <si>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</si>
  <si>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</si>
  <si>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</si>
  <si>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</si>
  <si>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</si>
  <si>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</si>
  <si>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</si>
  <si>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</si>
  <si>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</si>
  <si>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</si>
  <si>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</si>
  <si>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</si>
  <si>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</si>
  <si>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</si>
  <si>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</si>
  <si>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</si>
  <si>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</si>
  <si>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</si>
  <si>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</si>
  <si>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</si>
  <si>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</si>
  <si>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</si>
  <si>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</si>
  <si>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</si>
  <si>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</si>
  <si>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</si>
  <si>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</si>
  <si>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</si>
  <si>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</si>
  <si>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</si>
  <si>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</si>
  <si>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</si>
  <si>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</si>
  <si>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</si>
  <si>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</si>
  <si>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</si>
  <si>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</si>
  <si>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</si>
  <si>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</si>
  <si>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</si>
  <si>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</si>
  <si>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</si>
  <si>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</si>
  <si>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</si>
  <si>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</si>
  <si>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</si>
  <si>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</si>
  <si>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</si>
  <si>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</si>
  <si>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</si>
  <si>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</si>
  <si>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</si>
  <si>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</si>
  <si>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</si>
  <si>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</si>
  <si>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</si>
  <si>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</si>
  <si>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</si>
  <si>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</si>
  <si>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</si>
  <si>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</si>
  <si>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</si>
  <si>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</si>
  <si>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</si>
  <si>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</si>
  <si>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</si>
  <si>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</si>
  <si>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</si>
  <si>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</si>
  <si>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</si>
  <si>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</si>
  <si>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</si>
  <si>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</si>
  <si>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</si>
  <si>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</si>
  <si>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</si>
  <si>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</si>
  <si>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</si>
  <si>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</si>
  <si>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</si>
  <si>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</si>
  <si>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</si>
  <si>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</si>
  <si>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</si>
  <si>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</si>
  <si>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</si>
  <si>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</si>
  <si>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</si>
  <si>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</si>
  <si>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</si>
  <si>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</si>
  <si>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</si>
  <si>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</si>
  <si>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</si>
  <si>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</si>
  <si>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</si>
  <si>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</si>
  <si>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</si>
  <si>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</si>
  <si>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</si>
  <si>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</si>
  <si>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</si>
  <si>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</si>
  <si>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</si>
  <si>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</si>
  <si>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</si>
  <si>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</si>
  <si>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</si>
  <si>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</si>
  <si>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</si>
  <si>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</si>
  <si>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</si>
  <si>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</si>
  <si>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</si>
  <si>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</si>
  <si>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</si>
  <si>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</si>
  <si>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</si>
  <si>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</si>
  <si>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</si>
  <si>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</si>
  <si>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</si>
  <si>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</si>
  <si>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</si>
  <si>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</si>
  <si>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</si>
  <si>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</si>
  <si>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</si>
  <si>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</si>
  <si>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</si>
  <si>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</si>
  <si>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</si>
  <si>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</si>
  <si>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</si>
  <si>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</si>
  <si>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</si>
  <si>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</si>
  <si>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</si>
  <si>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</si>
  <si>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</si>
  <si>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</si>
  <si>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</si>
  <si>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</si>
  <si>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</si>
  <si>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</si>
  <si>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</si>
  <si>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</si>
  <si>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</si>
  <si>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</si>
  <si>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</si>
  <si>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</si>
  <si>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</si>
  <si>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</si>
  <si>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</si>
  <si>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</si>
  <si>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</si>
  <si>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</si>
  <si>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</si>
  <si>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</si>
  <si>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</si>
  <si>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</si>
  <si>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</si>
  <si>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</si>
  <si>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</si>
  <si>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</si>
  <si>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</si>
  <si>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</si>
  <si>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</si>
  <si>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</si>
  <si>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</si>
  <si>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</si>
  <si>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</si>
  <si>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</si>
  <si>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</si>
  <si>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</si>
  <si>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</si>
  <si>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</si>
  <si>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</si>
  <si>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</si>
  <si>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</si>
  <si>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</si>
  <si>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</si>
  <si>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</si>
  <si>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</si>
  <si>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</si>
  <si>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</si>
  <si>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</si>
  <si>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</si>
  <si>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</si>
  <si>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</si>
  <si>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</si>
  <si>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</si>
  <si>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</si>
  <si>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</si>
  <si>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</si>
  <si>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</si>
  <si>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</si>
  <si>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</si>
  <si>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</si>
  <si>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</si>
  <si>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</si>
  <si>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</si>
  <si>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</si>
  <si>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</si>
  <si>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</si>
  <si>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</si>
  <si>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</si>
  <si>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</si>
  <si>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</si>
  <si>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</si>
  <si>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</si>
  <si>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</si>
  <si>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</si>
  <si>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</si>
  <si>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</si>
  <si>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</si>
  <si>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</si>
  <si>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</si>
  <si>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</si>
  <si>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</si>
  <si>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</si>
  <si>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</si>
  <si>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</si>
  <si>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</si>
  <si>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</si>
  <si>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</si>
  <si>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</si>
  <si>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</si>
  <si>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</si>
  <si>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</si>
  <si>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</si>
  <si>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</si>
  <si>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</si>
  <si>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</si>
  <si>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</si>
  <si>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</si>
  <si>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</si>
  <si>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</si>
  <si>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</si>
  <si>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</si>
  <si>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</si>
  <si>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</si>
  <si>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</si>
  <si>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</si>
  <si>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</si>
  <si>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</si>
  <si>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</si>
  <si>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</si>
  <si>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</si>
  <si>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</si>
  <si>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</si>
  <si>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</si>
  <si>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</si>
  <si>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</si>
  <si>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</si>
  <si>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</si>
  <si>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</si>
  <si>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</si>
  <si>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</si>
  <si>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</si>
  <si>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</si>
  <si>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</si>
  <si>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</si>
  <si>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</si>
  <si>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</si>
  <si>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</si>
  <si>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</si>
  <si>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</si>
  <si>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</si>
  <si>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</si>
  <si>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</si>
  <si>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</si>
  <si>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</si>
  <si>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</si>
  <si>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</si>
  <si>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</si>
  <si>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</si>
  <si>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</si>
  <si>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</si>
  <si>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</si>
  <si>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</si>
  <si>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</si>
  <si>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</si>
  <si>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</si>
  <si>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</si>
  <si>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</si>
  <si>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</si>
  <si>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</si>
  <si>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</si>
  <si>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</si>
  <si>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</si>
  <si>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</si>
  <si>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</si>
  <si>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</si>
  <si>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</si>
  <si>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</si>
  <si>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</si>
  <si>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</si>
  <si>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</si>
  <si>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</si>
  <si>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</si>
  <si>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</si>
  <si>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</si>
  <si>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</si>
  <si>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</si>
  <si>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</si>
  <si>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</si>
  <si>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</si>
  <si>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</si>
  <si>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</si>
  <si>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</si>
  <si>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</si>
  <si>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</si>
  <si>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</si>
  <si>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</si>
  <si>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</si>
  <si>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</si>
  <si>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</si>
  <si>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</si>
  <si>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</si>
  <si>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</si>
  <si>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</si>
  <si>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</si>
  <si>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</si>
  <si>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</si>
  <si>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</si>
  <si>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</si>
  <si>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</si>
  <si>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</si>
  <si>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</si>
  <si>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</si>
  <si>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</si>
  <si>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</si>
  <si>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</si>
  <si>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</si>
  <si>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</si>
  <si>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</si>
  <si>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</si>
  <si>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</si>
  <si>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</si>
  <si>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</si>
  <si>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</si>
  <si>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</si>
  <si>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</si>
  <si>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</si>
  <si>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</si>
  <si>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</si>
  <si>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</si>
  <si>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</si>
  <si>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</si>
  <si>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</si>
  <si>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</si>
  <si>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</si>
  <si>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</si>
  <si>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</si>
  <si>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</si>
  <si>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</si>
  <si>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</si>
  <si>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</si>
  <si>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</si>
  <si>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</si>
  <si>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</si>
  <si>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</si>
  <si>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</si>
  <si>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</si>
  <si>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</si>
  <si>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</si>
  <si>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</si>
  <si>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</si>
  <si>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</si>
  <si>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</si>
  <si>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</si>
  <si>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</si>
  <si>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</si>
  <si>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</si>
  <si>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</si>
  <si>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</si>
  <si>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</si>
  <si>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</si>
  <si>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</si>
  <si>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</si>
  <si>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</si>
  <si>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</si>
  <si>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</si>
  <si>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</si>
  <si>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</si>
  <si>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</si>
  <si>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</si>
  <si>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</si>
  <si>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</si>
  <si>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</si>
  <si>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</si>
  <si>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</si>
  <si>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</si>
  <si>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</si>
  <si>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</si>
  <si>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</si>
  <si>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</si>
  <si>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</si>
  <si>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</si>
  <si>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</si>
  <si>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</si>
  <si>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</si>
  <si>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</si>
  <si>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</si>
  <si>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</si>
  <si>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</si>
  <si>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</si>
  <si>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</si>
  <si>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</si>
  <si>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</si>
  <si>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</si>
  <si>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</si>
  <si>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</si>
  <si>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</si>
  <si>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</si>
  <si>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</si>
  <si>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</si>
  <si>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</si>
  <si>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</si>
  <si>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</si>
  <si>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</si>
  <si>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</si>
  <si>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</si>
  <si>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</si>
  <si>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</si>
  <si>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</si>
  <si>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</si>
  <si>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</si>
  <si>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</si>
  <si>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</si>
  <si>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</si>
  <si>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</si>
  <si>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</si>
  <si>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</si>
  <si>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</si>
  <si>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</si>
  <si>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</si>
  <si>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</si>
  <si>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</si>
  <si>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</si>
  <si>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</si>
  <si>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</si>
  <si>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</si>
  <si>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</si>
  <si>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</si>
  <si>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</si>
  <si>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</si>
  <si>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</si>
  <si>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</si>
  <si>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</si>
  <si>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</si>
  <si>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</si>
  <si>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</si>
  <si>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</si>
  <si>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</si>
  <si>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</si>
  <si>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</si>
  <si>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</si>
  <si>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</si>
  <si>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</si>
  <si>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</si>
  <si>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</si>
  <si>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</si>
  <si>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</si>
  <si>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</si>
  <si>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</si>
  <si>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</si>
  <si>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</si>
  <si>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</si>
  <si>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</si>
  <si>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</si>
  <si>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</si>
  <si>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</si>
  <si>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</si>
  <si>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</si>
  <si>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</si>
  <si>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</si>
  <si>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</si>
  <si>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</si>
  <si>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</si>
  <si>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</si>
  <si>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</si>
  <si>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</si>
  <si>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</si>
  <si>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</si>
  <si>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</si>
  <si>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</si>
  <si>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</si>
  <si>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</si>
  <si>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</si>
  <si>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</si>
  <si>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</si>
  <si>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</si>
  <si>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</si>
  <si>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</si>
  <si>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</si>
  <si>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</si>
  <si>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</si>
  <si>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</si>
  <si>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</si>
  <si>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</si>
  <si>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</si>
  <si>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</si>
  <si>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</si>
  <si>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</si>
  <si>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</si>
  <si>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</si>
  <si>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</si>
  <si>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</si>
  <si>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</si>
  <si>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</si>
  <si>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</si>
  <si>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</si>
  <si>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</si>
  <si>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</si>
  <si>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</si>
  <si>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</si>
  <si>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</si>
  <si>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</si>
  <si>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</si>
  <si>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</si>
  <si>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</si>
  <si>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</si>
  <si>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</si>
  <si>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</si>
  <si>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</si>
  <si>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</si>
  <si>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</si>
  <si>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</si>
  <si>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</si>
  <si>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</si>
  <si>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</si>
  <si>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</si>
  <si>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</si>
  <si>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</si>
  <si>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</si>
  <si>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</si>
  <si>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</si>
  <si>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</si>
  <si>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</si>
  <si>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</si>
  <si>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</si>
  <si>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</si>
  <si>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</si>
  <si>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</si>
  <si>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</si>
  <si>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</si>
  <si>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</si>
  <si>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</si>
  <si>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</si>
  <si>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</si>
  <si>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</si>
  <si>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</si>
  <si>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</si>
  <si>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</si>
  <si>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</si>
  <si>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</si>
  <si>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</si>
  <si>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</si>
  <si>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</si>
  <si>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</si>
  <si>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</si>
  <si>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</si>
  <si>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</si>
  <si>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</si>
  <si>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</si>
  <si>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</si>
  <si>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</si>
  <si>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</si>
  <si>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</si>
  <si>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</si>
  <si>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</si>
  <si>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</si>
  <si>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</si>
  <si>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</si>
  <si>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</si>
  <si>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</si>
  <si>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</si>
  <si>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</si>
  <si>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</si>
  <si>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</si>
  <si>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</si>
  <si>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</si>
  <si>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</si>
  <si>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</si>
  <si>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</si>
  <si>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</si>
  <si>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</si>
  <si>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</si>
  <si>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</si>
  <si>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</si>
  <si>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</si>
  <si>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</si>
  <si>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</si>
  <si>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</si>
  <si>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</si>
  <si>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</si>
  <si>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</si>
  <si>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</si>
  <si>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</si>
  <si>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</si>
  <si>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</si>
  <si>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</si>
  <si>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</si>
  <si>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</si>
  <si>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</si>
  <si>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</si>
  <si>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</si>
  <si>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</si>
  <si>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</si>
  <si>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</si>
  <si>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</si>
  <si>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</si>
  <si>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</si>
  <si>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</si>
  <si>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</si>
  <si>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</si>
  <si>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</si>
  <si>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</si>
  <si>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</si>
  <si>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</si>
  <si>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</si>
  <si>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</si>
  <si>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</si>
  <si>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</si>
  <si>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</si>
  <si>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</si>
  <si>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</si>
  <si>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</si>
  <si>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</si>
  <si>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</si>
  <si>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</si>
  <si>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</si>
  <si>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</si>
  <si>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</si>
  <si>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</si>
  <si>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</si>
  <si>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</si>
  <si>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</si>
  <si>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</si>
  <si>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</si>
  <si>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</si>
  <si>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</si>
  <si>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</si>
  <si>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</si>
  <si>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</si>
  <si>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</si>
  <si>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</si>
  <si>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</si>
  <si>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</si>
  <si>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</si>
  <si>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</si>
  <si>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</si>
  <si>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</si>
  <si>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</si>
  <si>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</si>
  <si>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</si>
  <si>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</si>
  <si>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</si>
  <si>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</si>
  <si>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</si>
  <si>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</si>
  <si>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</si>
  <si>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</si>
  <si>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</si>
  <si>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</si>
  <si>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</si>
  <si>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</si>
  <si>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</si>
  <si>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</si>
  <si>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</si>
  <si>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</si>
  <si>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</si>
  <si>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</si>
  <si>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</si>
  <si>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</si>
  <si>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</si>
  <si>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</si>
  <si>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</si>
  <si>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</si>
  <si>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</si>
  <si>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</si>
  <si>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</si>
  <si>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</si>
  <si>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</si>
  <si>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</si>
  <si>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</si>
  <si>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</si>
  <si>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</si>
  <si>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</si>
  <si>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</si>
  <si>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</si>
  <si>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</si>
  <si>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</si>
  <si>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</si>
  <si>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</si>
  <si>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</si>
  <si>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</si>
  <si>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</si>
  <si>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</si>
  <si>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</si>
  <si>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</si>
  <si>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</si>
  <si>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</si>
  <si>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</si>
  <si>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</si>
  <si>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</si>
  <si>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</si>
  <si>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</si>
  <si>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</si>
  <si>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</si>
  <si>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</si>
  <si>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</si>
  <si>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</si>
  <si>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</si>
  <si>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</si>
  <si>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</si>
  <si>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</si>
  <si>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</si>
  <si>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</si>
  <si>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</si>
  <si>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</si>
  <si>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</si>
  <si>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</si>
  <si>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</si>
  <si>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</si>
  <si>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</si>
  <si>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</si>
  <si>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</si>
  <si>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</si>
  <si>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</si>
  <si>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</si>
  <si>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</si>
  <si>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</si>
  <si>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</si>
  <si>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</si>
  <si>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</si>
  <si>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</si>
  <si>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</si>
  <si>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</si>
  <si>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</si>
  <si>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</si>
  <si>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</si>
  <si>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</si>
  <si>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</si>
  <si>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</si>
  <si>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</si>
  <si>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</si>
  <si>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</si>
  <si>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</si>
  <si>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</si>
  <si>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</si>
  <si>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</si>
  <si>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</si>
  <si>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</si>
  <si>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</si>
  <si>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</si>
  <si>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</si>
  <si>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</si>
  <si>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</si>
  <si>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</si>
  <si>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</si>
  <si>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</si>
  <si>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</si>
  <si>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</si>
  <si>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</si>
  <si>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</si>
  <si>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</si>
  <si>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</si>
  <si>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</si>
  <si>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</si>
  <si>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</si>
  <si>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</si>
  <si>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</si>
  <si>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</si>
  <si>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</si>
  <si>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</si>
  <si>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</si>
  <si>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</si>
  <si>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</si>
  <si>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</si>
  <si>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</si>
  <si>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</si>
  <si>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</si>
  <si>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</si>
  <si>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</si>
  <si>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</si>
  <si>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</si>
  <si>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</si>
  <si>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</si>
  <si>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</si>
  <si>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</si>
  <si>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</si>
  <si>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</si>
  <si>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</si>
  <si>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</si>
  <si>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</si>
  <si>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</si>
  <si>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</si>
  <si>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</si>
  <si>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</si>
  <si>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</si>
  <si>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</si>
  <si>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</si>
  <si>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</si>
  <si>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</si>
  <si>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</si>
  <si>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</si>
  <si>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</si>
  <si>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</si>
  <si>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</si>
  <si>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</si>
  <si>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</si>
  <si>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</si>
  <si>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</si>
  <si>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</si>
  <si>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</si>
  <si>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</si>
  <si>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</si>
  <si>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</si>
  <si>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</si>
  <si>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</si>
  <si>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</si>
  <si>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</si>
  <si>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</si>
  <si>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</si>
  <si>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</si>
  <si>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</si>
  <si>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</si>
  <si>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</si>
  <si>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</si>
  <si>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</si>
  <si>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</si>
  <si>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</si>
  <si>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</si>
  <si>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</si>
  <si>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</si>
  <si>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</si>
  <si>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</si>
  <si>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</si>
  <si>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</si>
  <si>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</si>
  <si>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</si>
  <si>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</si>
  <si>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</si>
  <si>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</si>
  <si>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</si>
  <si>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</si>
  <si>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</si>
  <si>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</si>
  <si>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</si>
  <si>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</si>
  <si>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</si>
  <si>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</si>
  <si>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</si>
  <si>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</si>
  <si>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</si>
  <si>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</si>
  <si>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</si>
  <si>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</si>
  <si>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</si>
  <si>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</si>
  <si>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</si>
  <si>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</si>
  <si>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</si>
  <si>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</si>
  <si>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</si>
  <si>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</si>
  <si>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</si>
  <si>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</si>
  <si>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</si>
  <si>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</si>
  <si>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</si>
  <si>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</si>
  <si>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</si>
  <si>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</si>
  <si>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</si>
  <si>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</si>
  <si>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</si>
  <si>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</si>
  <si>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</si>
  <si>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</si>
  <si>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</si>
  <si>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</si>
  <si>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</si>
  <si>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</si>
  <si>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</si>
  <si>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</si>
  <si>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</si>
  <si>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</si>
  <si>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</si>
  <si>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</si>
  <si>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</si>
  <si>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</si>
  <si>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</si>
  <si>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</si>
  <si>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</si>
  <si>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</si>
  <si>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</si>
  <si>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</si>
  <si>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</si>
  <si>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</si>
  <si>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</si>
  <si>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</si>
  <si>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</si>
  <si>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</si>
  <si>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</si>
  <si>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</si>
  <si>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</si>
  <si>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</si>
  <si>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</si>
  <si>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</si>
  <si>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</si>
  <si>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</si>
  <si>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</si>
  <si>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</si>
  <si>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</si>
  <si>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</si>
  <si>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</si>
  <si>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</si>
  <si>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</si>
  <si>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</si>
  <si>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</si>
  <si>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</si>
  <si>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</si>
  <si>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</si>
  <si>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</si>
  <si>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</si>
  <si>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</si>
  <si>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</si>
  <si>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</si>
  <si>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</si>
  <si>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</si>
  <si>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</si>
  <si>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</si>
  <si>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</si>
  <si>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</si>
  <si>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</si>
  <si>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</si>
  <si>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</si>
  <si>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</si>
  <si>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</si>
  <si>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</si>
  <si>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</si>
  <si>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</si>
  <si>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</si>
  <si>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</si>
  <si>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</si>
  <si>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</si>
  <si>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</si>
  <si>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</si>
  <si>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</si>
  <si>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</si>
  <si>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</si>
  <si>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</si>
  <si>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</si>
  <si>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</si>
  <si>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</si>
  <si>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</si>
  <si>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</si>
  <si>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</si>
  <si>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</si>
  <si>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</si>
  <si>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</si>
  <si>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</si>
  <si>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</si>
  <si>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</si>
  <si>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</si>
  <si>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</si>
  <si>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</si>
  <si>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</si>
  <si>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</si>
  <si>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</si>
  <si>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</si>
  <si>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</si>
  <si>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</si>
  <si>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</si>
  <si>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</si>
  <si>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</si>
  <si>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</si>
  <si>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</si>
  <si>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</si>
  <si>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</si>
  <si>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</si>
  <si>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</si>
  <si>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</si>
  <si>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</si>
  <si>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</si>
  <si>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</si>
  <si>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</si>
  <si>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</si>
  <si>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</si>
  <si>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</si>
  <si>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</si>
  <si>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</si>
  <si>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</si>
  <si>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</si>
  <si>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</si>
  <si>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</si>
  <si>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</si>
  <si>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</si>
  <si>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</si>
  <si>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</si>
  <si>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</si>
  <si>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</si>
  <si>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</si>
  <si>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</si>
  <si>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</si>
  <si>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</si>
  <si>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</si>
  <si>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</si>
  <si>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</si>
  <si>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</si>
  <si>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</si>
  <si>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</si>
  <si>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</si>
  <si>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</si>
  <si>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</si>
  <si>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</si>
  <si>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</si>
  <si>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</si>
  <si>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</si>
  <si>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</si>
  <si>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</si>
  <si>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</si>
  <si>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</si>
  <si>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</si>
  <si>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</si>
  <si>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</si>
  <si>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</si>
  <si>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</si>
  <si>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</si>
  <si>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</si>
  <si>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</si>
  <si>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</si>
  <si>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</si>
  <si>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</si>
  <si>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</si>
  <si>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</si>
  <si>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</si>
  <si>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</si>
  <si>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</si>
  <si>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</si>
  <si>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</si>
  <si>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</si>
  <si>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</si>
  <si>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</si>
  <si>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</si>
  <si>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</si>
  <si>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</si>
  <si>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</si>
  <si>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</si>
  <si>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</si>
  <si>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</si>
  <si>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</si>
  <si>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</si>
  <si>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</si>
  <si>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</si>
  <si>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</si>
  <si>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</si>
  <si>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</si>
  <si>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</si>
  <si>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</si>
  <si>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</si>
  <si>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</si>
  <si>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</si>
  <si>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</si>
  <si>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</si>
  <si>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</si>
  <si>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</si>
  <si>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</si>
  <si>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</si>
  <si>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</si>
  <si>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</si>
  <si>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</si>
  <si>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</si>
  <si>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</si>
  <si>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</si>
  <si>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</si>
  <si>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</si>
  <si>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</si>
  <si>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</si>
  <si>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</si>
  <si>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</si>
  <si>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</si>
  <si>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</si>
  <si>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</si>
  <si>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</si>
  <si>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</si>
  <si>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</si>
  <si>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</si>
  <si>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</si>
  <si>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</si>
  <si>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</si>
  <si>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</si>
  <si>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</si>
  <si>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</si>
  <si>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</si>
  <si>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</si>
  <si>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</si>
  <si>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</si>
  <si>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</si>
  <si>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</si>
  <si>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</si>
  <si>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</si>
  <si>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</si>
  <si>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</si>
  <si>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</si>
  <si>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</si>
  <si>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</si>
  <si>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</si>
  <si>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</si>
  <si>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</si>
  <si>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</si>
  <si>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</si>
  <si>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</si>
  <si>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</si>
  <si>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</si>
  <si>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</si>
  <si>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</si>
  <si>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</si>
  <si>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</si>
  <si>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</si>
  <si>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</si>
  <si>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</si>
  <si>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</si>
  <si>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</si>
  <si>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</si>
  <si>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</si>
  <si>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</si>
  <si>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</si>
  <si>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</si>
  <si>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</si>
  <si>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</si>
  <si>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</si>
  <si>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</si>
  <si>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</si>
  <si>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</si>
  <si>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</si>
  <si>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</si>
  <si>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</si>
  <si>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</si>
  <si>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</si>
  <si>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</si>
  <si>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</si>
  <si>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</si>
  <si>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</si>
  <si>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</si>
  <si>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</si>
  <si>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</si>
  <si>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</si>
  <si>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</si>
  <si>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</si>
  <si>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</si>
  <si>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</si>
  <si>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</si>
  <si>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</si>
  <si>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</si>
  <si>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</si>
  <si>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</si>
  <si>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</si>
  <si>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</si>
  <si>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</si>
  <si>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</si>
  <si>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</si>
  <si>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</si>
  <si>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</si>
  <si>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</si>
  <si>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</si>
  <si>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</si>
  <si>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</si>
  <si>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</si>
  <si>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</si>
  <si>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</si>
  <si>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</si>
  <si>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</si>
  <si>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</si>
  <si>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</si>
  <si>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</si>
  <si>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</si>
  <si>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</si>
  <si>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</si>
  <si>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</si>
  <si>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</si>
  <si>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</si>
  <si>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</si>
  <si>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</si>
  <si>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</si>
  <si>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</si>
  <si>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</si>
  <si>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</si>
  <si>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</si>
  <si>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</si>
  <si>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</si>
  <si>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</si>
  <si>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</si>
  <si>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</si>
  <si>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</si>
  <si>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</si>
  <si>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</si>
  <si>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</si>
  <si>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</si>
  <si>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</si>
  <si>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</si>
  <si>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</si>
  <si>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</si>
  <si>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</si>
  <si>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</si>
  <si>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</si>
  <si>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</si>
  <si>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</si>
  <si>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</si>
  <si>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</si>
  <si>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</si>
  <si>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</si>
  <si>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</si>
  <si>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</si>
  <si>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</si>
  <si>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</si>
  <si>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</si>
  <si>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</si>
  <si>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</si>
  <si>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</si>
  <si>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</si>
  <si>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</si>
  <si>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</si>
  <si>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</si>
  <si>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</si>
  <si>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</si>
  <si>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</si>
  <si>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</si>
  <si>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</si>
  <si>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</si>
  <si>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</si>
  <si>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</si>
  <si>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</si>
  <si>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</si>
  <si>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</si>
  <si>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</si>
  <si>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</si>
  <si>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</si>
  <si>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</si>
  <si>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</si>
  <si>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</si>
  <si>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</si>
  <si>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</si>
  <si>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</si>
  <si>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</si>
  <si>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</si>
  <si>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</si>
  <si>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</si>
  <si>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</si>
  <si>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</si>
  <si>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</si>
  <si>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</si>
  <si>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</si>
  <si>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</si>
  <si>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</si>
  <si>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</si>
  <si>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</si>
  <si>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</si>
  <si>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</si>
  <si>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</si>
  <si>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</si>
  <si>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</si>
  <si>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</si>
  <si>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</si>
  <si>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</si>
  <si>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</si>
  <si>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</si>
  <si>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</si>
  <si>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</si>
  <si>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</si>
  <si>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</si>
  <si>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</si>
  <si>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</si>
  <si>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</si>
  <si>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</si>
  <si>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</si>
  <si>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</si>
  <si>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</si>
  <si>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</si>
  <si>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</si>
  <si>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</si>
  <si>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</si>
  <si>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</si>
  <si>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</si>
  <si>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</si>
  <si>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</si>
  <si>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</si>
  <si>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</si>
  <si>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</si>
  <si>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</si>
  <si>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</si>
  <si>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</si>
  <si>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</si>
  <si>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</si>
  <si>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</si>
  <si>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</si>
  <si>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</si>
  <si>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</si>
  <si>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</si>
  <si>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</si>
  <si>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</si>
  <si>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</si>
  <si>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</si>
  <si>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</si>
  <si>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</si>
  <si>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</si>
  <si>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</si>
  <si>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</si>
  <si>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</si>
  <si>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</si>
  <si>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</si>
  <si>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</si>
  <si>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</si>
  <si>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</si>
  <si>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</si>
  <si>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</si>
  <si>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</si>
  <si>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</si>
  <si>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</si>
  <si>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</si>
  <si>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</si>
  <si>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</si>
  <si>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</si>
  <si>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</si>
  <si>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</si>
  <si>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</si>
  <si>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</si>
  <si>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</si>
  <si>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</si>
  <si>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</si>
  <si>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</si>
  <si>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</si>
  <si>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</si>
  <si>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</si>
  <si>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</si>
  <si>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</si>
  <si>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</si>
  <si>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</si>
  <si>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</si>
  <si>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</si>
  <si>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</si>
  <si>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</si>
  <si>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</si>
  <si>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</si>
  <si>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</si>
  <si>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</si>
  <si>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</si>
  <si>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</si>
  <si>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</si>
  <si>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</si>
  <si>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</si>
  <si>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</si>
  <si>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</si>
  <si>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</si>
  <si>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</si>
  <si>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</si>
  <si>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</si>
  <si>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</si>
  <si>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</si>
  <si>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</si>
  <si>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</si>
  <si>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</si>
  <si>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</si>
  <si>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</si>
  <si>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</si>
  <si>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</si>
  <si>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</si>
  <si>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</si>
  <si>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</si>
  <si>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</si>
  <si>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</si>
  <si>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</si>
  <si>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</si>
  <si>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</si>
  <si>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</si>
  <si>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</si>
  <si>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</si>
  <si>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</si>
  <si>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</si>
  <si>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</si>
  <si>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</si>
  <si>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</si>
  <si>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</si>
  <si>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</si>
  <si>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</si>
  <si>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</si>
  <si>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</si>
  <si>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</si>
  <si>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</si>
  <si>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</si>
  <si>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</si>
  <si>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</si>
  <si>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</si>
  <si>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</si>
  <si>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</si>
  <si>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</si>
  <si>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</si>
  <si>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</si>
  <si>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</si>
  <si>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</si>
  <si>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</si>
  <si>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</si>
  <si>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</si>
  <si>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</si>
  <si>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</si>
  <si>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</si>
  <si>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</si>
  <si>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</si>
  <si>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</si>
  <si>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</si>
  <si>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</si>
  <si>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</si>
  <si>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</si>
  <si>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</si>
  <si>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</si>
  <si>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</si>
  <si>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</si>
  <si>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</si>
  <si>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</si>
  <si>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</si>
  <si>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</si>
  <si>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</si>
  <si>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</si>
  <si>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</si>
  <si>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</si>
  <si>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</si>
  <si>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</si>
  <si>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</si>
  <si>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</si>
  <si>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</si>
  <si>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</si>
  <si>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</si>
  <si>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</si>
  <si>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</si>
  <si>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</si>
  <si>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</si>
  <si>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</si>
  <si>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</si>
  <si>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</si>
  <si>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</si>
  <si>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</si>
  <si>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</si>
  <si>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</si>
  <si>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</si>
  <si>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</si>
  <si>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</si>
  <si>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</si>
  <si>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</si>
  <si>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</si>
  <si>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</si>
  <si>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</si>
  <si>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</si>
  <si>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</si>
  <si>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</si>
  <si>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</si>
  <si>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</si>
  <si>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</si>
  <si>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</si>
  <si>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</si>
  <si>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</si>
  <si>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</si>
  <si>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</si>
  <si>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</si>
  <si>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</si>
  <si>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</si>
  <si>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</si>
  <si>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</si>
  <si>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</si>
  <si>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</si>
  <si>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</si>
  <si>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</si>
  <si>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</si>
  <si>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</si>
  <si>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</si>
  <si>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</si>
  <si>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</si>
  <si>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</si>
  <si>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</si>
  <si>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</si>
  <si>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</si>
  <si>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</si>
  <si>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</si>
  <si>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</si>
  <si>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</si>
  <si>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</si>
  <si>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</si>
  <si>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</si>
  <si>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</si>
  <si>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</si>
  <si>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</si>
  <si>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</si>
  <si>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</si>
  <si>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</si>
  <si>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</si>
  <si>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</si>
  <si>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</si>
  <si>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</si>
  <si>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</si>
  <si>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</si>
  <si>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</si>
  <si>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</si>
  <si>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</si>
  <si>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</si>
  <si>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</si>
  <si>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</si>
  <si>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</si>
  <si>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</si>
  <si>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</si>
  <si>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</si>
  <si>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</si>
  <si>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</si>
  <si>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</si>
  <si>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</si>
  <si>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</si>
  <si>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</si>
  <si>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</si>
  <si>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</si>
  <si>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</si>
  <si>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</si>
  <si>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</si>
  <si>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</si>
  <si>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</si>
  <si>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</si>
  <si>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</si>
  <si>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</si>
  <si>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</si>
  <si>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</si>
  <si>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</si>
  <si>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</si>
  <si>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</si>
  <si>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</si>
  <si>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</si>
  <si>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</si>
  <si>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</si>
  <si>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</si>
  <si>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</si>
  <si>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</si>
  <si>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</si>
  <si>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</si>
  <si>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</si>
  <si>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</si>
  <si>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</si>
  <si>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</si>
  <si>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</si>
  <si>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</si>
  <si>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</si>
  <si>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</si>
  <si>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</si>
  <si>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</si>
  <si>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</si>
  <si>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</si>
  <si>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</si>
  <si>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</si>
  <si>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</si>
  <si>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</si>
  <si>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</si>
  <si>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</si>
  <si>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</si>
  <si>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</si>
  <si>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</si>
  <si>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</si>
  <si>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</si>
  <si>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</si>
  <si>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</si>
  <si>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</si>
  <si>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</si>
  <si>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</si>
  <si>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</si>
  <si>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</si>
  <si>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</si>
  <si>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</si>
  <si>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</si>
  <si>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</si>
  <si>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</si>
  <si>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</si>
  <si>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</si>
  <si>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</si>
  <si>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</si>
  <si>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</si>
  <si>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</si>
  <si>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</si>
  <si>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</si>
  <si>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</si>
  <si>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</si>
  <si>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</si>
  <si>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</si>
  <si>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</si>
  <si>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</si>
  <si>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</si>
  <si>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</si>
  <si>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</si>
  <si>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</si>
  <si>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</si>
  <si>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</si>
  <si>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</si>
  <si>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</si>
  <si>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</si>
  <si>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</si>
  <si>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</si>
  <si>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</si>
  <si>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</si>
  <si>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</si>
  <si>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</si>
  <si>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</si>
  <si>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</si>
  <si>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</si>
  <si>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</si>
  <si>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</si>
  <si>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</si>
  <si>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</si>
  <si>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</si>
  <si>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</si>
  <si>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</si>
  <si>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</si>
  <si>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</si>
  <si>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</si>
  <si>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</si>
  <si>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</si>
  <si>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</si>
  <si>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</si>
  <si>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</si>
  <si>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</si>
  <si>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</si>
  <si>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</si>
  <si>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</si>
  <si>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</si>
  <si>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</si>
  <si>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</si>
  <si>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</si>
  <si>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</si>
  <si>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</si>
  <si>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</si>
  <si>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</si>
  <si>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</si>
  <si>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</si>
  <si>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</si>
  <si>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</si>
  <si>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</si>
  <si>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</si>
  <si>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</si>
  <si>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</si>
  <si>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</si>
  <si>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</si>
  <si>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</si>
  <si>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</si>
  <si>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</si>
  <si>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</si>
  <si>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</si>
  <si>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</si>
  <si>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</si>
  <si>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</si>
  <si>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</si>
  <si>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</si>
  <si>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</si>
  <si>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</si>
  <si>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</si>
  <si>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</si>
  <si>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</si>
  <si>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</si>
  <si>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</si>
  <si>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</si>
  <si>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</si>
  <si>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</si>
  <si>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</si>
  <si>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</si>
  <si>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</si>
  <si>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</si>
  <si>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</si>
  <si>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</si>
  <si>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</si>
  <si>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</si>
  <si>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</si>
  <si>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</si>
  <si>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</si>
  <si>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</si>
  <si>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</si>
  <si>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</si>
  <si>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</si>
  <si>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</si>
  <si>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</si>
  <si>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</si>
  <si>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</si>
  <si>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</si>
  <si>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</si>
  <si>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</si>
  <si>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</si>
  <si>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</si>
  <si>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</si>
  <si>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</si>
  <si>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</si>
  <si>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</si>
  <si>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</si>
  <si>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</si>
  <si>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</si>
  <si>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</si>
  <si>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</si>
  <si>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</si>
  <si>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</si>
  <si>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</si>
  <si>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</si>
  <si>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</si>
  <si>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</si>
  <si>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</si>
  <si>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</si>
  <si>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</si>
  <si>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</si>
  <si>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</si>
  <si>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</si>
  <si>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</si>
  <si>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</si>
  <si>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</si>
  <si>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</si>
  <si>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</si>
  <si>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</si>
  <si>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</si>
  <si>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</si>
  <si>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</si>
  <si>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</si>
  <si>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</si>
  <si>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</si>
  <si>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</si>
  <si>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</si>
  <si>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</si>
  <si>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</si>
  <si>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</si>
  <si>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</si>
  <si>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</si>
  <si>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</si>
  <si>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</si>
  <si>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</si>
  <si>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</si>
  <si>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</si>
  <si>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</si>
  <si>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</si>
  <si>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</si>
  <si>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</si>
  <si>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</si>
  <si>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</si>
  <si>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</si>
  <si>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</si>
  <si>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</si>
  <si>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</si>
  <si>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</si>
  <si>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</si>
  <si>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</si>
  <si>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</si>
  <si>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</si>
  <si>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</si>
  <si>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</si>
  <si>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</si>
  <si>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</si>
  <si>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</si>
  <si>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</si>
  <si>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</si>
  <si>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</si>
  <si>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</si>
  <si>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</si>
  <si>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</si>
  <si>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</si>
  <si>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</si>
  <si>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</si>
  <si>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</si>
  <si>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</si>
  <si>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</si>
  <si>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</si>
  <si>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</si>
  <si>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</si>
  <si>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</si>
  <si>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</si>
  <si>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</si>
  <si>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</si>
  <si>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</si>
  <si>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</si>
  <si>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</si>
  <si>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</si>
  <si>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</si>
  <si>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</si>
  <si>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</si>
  <si>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</si>
  <si>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</si>
  <si>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</si>
  <si>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</si>
  <si>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</si>
  <si>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</si>
  <si>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</si>
  <si>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</si>
  <si>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</si>
  <si>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</si>
  <si>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</si>
  <si>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</si>
  <si>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</si>
  <si>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</si>
  <si>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</si>
  <si>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</si>
  <si>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</si>
  <si>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</si>
  <si>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</si>
  <si>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</si>
  <si>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</si>
  <si>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</si>
  <si>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</si>
  <si>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</si>
  <si>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</si>
  <si>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</si>
  <si>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</si>
  <si>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</si>
  <si>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</si>
  <si>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</si>
  <si>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</si>
  <si>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</si>
  <si>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</si>
  <si>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</si>
  <si>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</si>
  <si>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</si>
  <si>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</si>
  <si>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</si>
  <si>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</si>
  <si>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</si>
  <si>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</si>
  <si>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</si>
  <si>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</si>
  <si>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</si>
  <si>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</si>
  <si>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</si>
  <si>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</si>
  <si>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</si>
  <si>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</si>
  <si>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</si>
  <si>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</si>
  <si>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</si>
  <si>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</si>
  <si>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</si>
  <si>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</si>
  <si>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</si>
  <si>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</si>
  <si>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</si>
  <si>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</si>
  <si>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</si>
  <si>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</si>
  <si>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</si>
  <si>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</si>
  <si>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</si>
  <si>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</si>
  <si>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</si>
  <si>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</si>
  <si>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</si>
  <si>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</si>
  <si>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</si>
  <si>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</si>
  <si>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</si>
  <si>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</si>
  <si>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</si>
  <si>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</si>
  <si>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</si>
  <si>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</si>
  <si>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</si>
  <si>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</si>
  <si>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</si>
  <si>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</si>
  <si>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</si>
  <si>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</si>
  <si>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</si>
  <si>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</si>
  <si>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</si>
  <si>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</si>
  <si>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</si>
  <si>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</si>
  <si>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</si>
  <si>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</si>
  <si>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</si>
  <si>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</si>
  <si>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</si>
  <si>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</si>
  <si>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</si>
  <si>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</si>
  <si>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</si>
  <si>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</si>
  <si>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</si>
  <si>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</si>
  <si>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</si>
  <si>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</si>
  <si>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</si>
  <si>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</si>
  <si>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</si>
  <si>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</si>
  <si>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</si>
  <si>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</si>
  <si>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</si>
  <si>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</si>
  <si>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</si>
  <si>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</si>
  <si>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</si>
  <si>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</si>
  <si>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</si>
  <si>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</si>
  <si>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</si>
  <si>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</si>
  <si>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</si>
  <si>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</si>
  <si>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</si>
  <si>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</si>
  <si>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</si>
  <si>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</si>
  <si>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</si>
  <si>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</si>
  <si>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</si>
  <si>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</si>
  <si>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</si>
  <si>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</si>
  <si>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</si>
  <si>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</si>
  <si>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</si>
  <si>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</si>
  <si>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</si>
  <si>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</si>
  <si>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</si>
  <si>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</si>
  <si>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</si>
  <si>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</si>
  <si>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</si>
  <si>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</si>
  <si>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</si>
  <si>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</si>
  <si>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</si>
  <si>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</si>
  <si>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</si>
  <si>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</si>
  <si>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</si>
  <si>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</si>
  <si>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</si>
  <si>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</si>
  <si>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</si>
  <si>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</si>
  <si>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</si>
  <si>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</si>
  <si>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</si>
  <si>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</si>
  <si>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</si>
  <si>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</si>
  <si>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</si>
  <si>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</si>
  <si>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</si>
  <si>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</si>
  <si>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</si>
  <si>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</si>
  <si>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</si>
  <si>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</si>
  <si>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</si>
  <si>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</si>
  <si>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</si>
  <si>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</si>
  <si>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</si>
  <si>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</si>
  <si>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</si>
  <si>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</si>
  <si>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</si>
  <si>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</si>
  <si>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</si>
  <si>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</si>
  <si>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</si>
  <si>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</si>
  <si>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</si>
  <si>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</si>
  <si>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</si>
  <si>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</si>
  <si>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</si>
  <si>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</si>
  <si>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</si>
  <si>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</si>
  <si>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</si>
  <si>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</si>
  <si>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</si>
  <si>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</si>
  <si>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</si>
  <si>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</si>
  <si>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</si>
  <si>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</si>
  <si>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</si>
  <si>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</si>
  <si>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</si>
  <si>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</si>
  <si>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</si>
  <si>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</si>
  <si>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</si>
  <si>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</si>
  <si>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</si>
  <si>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</si>
  <si>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</si>
  <si>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</si>
  <si>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</si>
  <si>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</si>
  <si>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</si>
  <si>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</si>
  <si>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</si>
  <si>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</si>
  <si>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</si>
  <si>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</si>
  <si>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</si>
  <si>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</si>
  <si>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</si>
  <si>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</si>
  <si>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</si>
  <si>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</si>
  <si>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</si>
  <si>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</si>
  <si>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</si>
  <si>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</si>
  <si>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</si>
  <si>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</si>
  <si>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</si>
  <si>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</si>
  <si>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</si>
  <si>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</si>
  <si>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</si>
  <si>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</si>
  <si>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</si>
  <si>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</si>
  <si>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</si>
  <si>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</si>
  <si>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</si>
  <si>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</si>
  <si>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</si>
  <si>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</si>
  <si>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</si>
  <si>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</si>
  <si>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</si>
  <si>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</si>
  <si>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</si>
  <si>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</si>
  <si>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</si>
  <si>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</si>
  <si>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</si>
  <si>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</si>
  <si>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</si>
  <si>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</si>
  <si>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</si>
  <si>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</si>
  <si>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</si>
  <si>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</si>
  <si>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</si>
  <si>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</si>
  <si>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</si>
  <si>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</si>
  <si>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</si>
  <si>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</si>
  <si>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</si>
  <si>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</si>
  <si>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</si>
  <si>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</si>
  <si>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</si>
  <si>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</si>
  <si>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</si>
  <si>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</si>
  <si>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</si>
  <si>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</si>
  <si>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</si>
  <si>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</si>
  <si>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</si>
  <si>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</si>
  <si>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</si>
  <si>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</si>
  <si>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</si>
  <si>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</si>
  <si>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</si>
  <si>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</si>
  <si>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</si>
  <si>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</si>
  <si>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</si>
  <si>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</si>
  <si>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</si>
  <si>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</si>
  <si>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</si>
  <si>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</si>
  <si>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</si>
  <si>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</si>
  <si>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</si>
  <si>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</si>
  <si>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</si>
  <si>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</si>
  <si>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</si>
  <si>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</si>
  <si>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</si>
  <si>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</si>
  <si>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</si>
  <si>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</si>
  <si>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</si>
  <si>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</si>
  <si>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</si>
  <si>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</si>
  <si>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</si>
  <si>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</si>
  <si>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</si>
  <si>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</si>
  <si>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</si>
  <si>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</si>
  <si>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</si>
  <si>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</si>
  <si>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</si>
  <si>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</si>
  <si>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</si>
  <si>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</si>
  <si>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</si>
  <si>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</si>
  <si>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</si>
  <si>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</si>
  <si>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</si>
  <si>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</si>
  <si>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</si>
  <si>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</si>
  <si>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</si>
  <si>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</si>
  <si>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</si>
  <si>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</si>
  <si>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</si>
  <si>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</si>
  <si>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</si>
  <si>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</si>
  <si>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</si>
  <si>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</si>
  <si>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</si>
  <si>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</si>
  <si>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</si>
  <si>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</si>
  <si>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</si>
  <si>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</si>
  <si>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</si>
  <si>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</si>
  <si>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</si>
  <si>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</si>
  <si>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</si>
  <si>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</si>
  <si>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</si>
  <si>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</si>
  <si>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</si>
  <si>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</si>
  <si>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</si>
  <si>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</si>
  <si>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</si>
  <si>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</si>
  <si>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</si>
  <si>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</si>
  <si>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</si>
  <si>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</si>
  <si>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</si>
  <si>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</si>
  <si>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</si>
  <si>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</si>
  <si>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</si>
  <si>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</si>
  <si>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</si>
  <si>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</si>
  <si>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</si>
  <si>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</si>
  <si>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</si>
  <si>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</si>
  <si>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</si>
  <si>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</si>
  <si>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</si>
  <si>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</si>
  <si>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</si>
  <si>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</si>
  <si>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</si>
  <si>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</si>
  <si>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</si>
  <si>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</si>
  <si>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</si>
  <si>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</si>
  <si>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</si>
  <si>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</si>
  <si>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</si>
  <si>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</si>
  <si>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</si>
  <si>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</si>
  <si>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</si>
  <si>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</si>
  <si>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</si>
  <si>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</si>
  <si>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</si>
  <si>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</si>
  <si>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</si>
  <si>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</si>
  <si>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</si>
  <si>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</si>
  <si>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</si>
  <si>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</si>
  <si>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</si>
  <si>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</si>
  <si>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</si>
  <si>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</si>
  <si>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</si>
  <si>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</si>
  <si>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</si>
  <si>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</si>
  <si>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</si>
  <si>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</si>
  <si>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</si>
  <si>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</si>
  <si>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</si>
  <si>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</si>
  <si>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</si>
  <si>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</si>
  <si>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</si>
  <si>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</si>
  <si>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</si>
  <si>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</si>
  <si>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</si>
  <si>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</si>
  <si>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</si>
  <si>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</si>
  <si>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</si>
  <si>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</si>
  <si>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</si>
  <si>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</si>
  <si>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</si>
  <si>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</si>
  <si>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</si>
  <si>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</si>
  <si>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</si>
  <si>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</si>
  <si>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</si>
  <si>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</si>
  <si>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</si>
  <si>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</si>
  <si>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</si>
  <si>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</si>
  <si>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</si>
  <si>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</si>
  <si>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</si>
  <si>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</si>
  <si>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</si>
  <si>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</si>
  <si>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</si>
  <si>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</si>
  <si>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</si>
  <si>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</si>
  <si>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</si>
  <si>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</si>
  <si>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</si>
  <si>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</si>
  <si>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</si>
  <si>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</si>
  <si>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</si>
  <si>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</si>
  <si>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</si>
  <si>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</si>
  <si>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</si>
  <si>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</si>
  <si>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</si>
  <si>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</si>
  <si>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</si>
  <si>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</si>
  <si>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</si>
  <si>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</si>
  <si>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</si>
  <si>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</si>
  <si>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</si>
  <si>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</si>
  <si>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</si>
  <si>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</si>
  <si>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</si>
  <si>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</si>
  <si>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</si>
  <si>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</si>
  <si>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</si>
  <si>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</si>
  <si>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</si>
  <si>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</si>
  <si>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</si>
  <si>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</si>
  <si>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</si>
  <si>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</si>
  <si>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</si>
  <si>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</si>
  <si>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</si>
  <si>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</si>
  <si>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</si>
  <si>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</si>
  <si>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</si>
  <si>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</si>
  <si>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</si>
  <si>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</si>
  <si>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</si>
  <si>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</si>
  <si>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</si>
  <si>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</si>
  <si>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</si>
  <si>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</si>
  <si>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</si>
  <si>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</si>
  <si>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</si>
  <si>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</si>
  <si>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</si>
  <si>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</si>
  <si>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</si>
  <si>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</si>
  <si>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</si>
  <si>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</si>
  <si>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</si>
  <si>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</si>
  <si>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</si>
  <si>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</si>
  <si>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</si>
  <si>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</si>
  <si>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</si>
  <si>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</si>
  <si>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</si>
  <si>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</si>
  <si>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</si>
  <si>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</si>
  <si>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</si>
  <si>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</si>
  <si>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</si>
  <si>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</si>
  <si>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</si>
  <si>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</si>
  <si>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</si>
  <si>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</si>
  <si>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</si>
  <si>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</si>
  <si>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</si>
  <si>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</si>
  <si>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</si>
  <si>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</si>
  <si>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</si>
  <si>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</si>
  <si>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</si>
  <si>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</si>
  <si>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</si>
  <si>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</si>
  <si>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</si>
  <si>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</si>
  <si>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</si>
  <si>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</si>
  <si>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</si>
  <si>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</si>
  <si>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</si>
  <si>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</si>
  <si>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</si>
  <si>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</si>
  <si>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</si>
  <si>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</si>
  <si>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</si>
  <si>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</si>
  <si>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</si>
  <si>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</si>
  <si>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</si>
  <si>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</si>
  <si>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</si>
  <si>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</si>
  <si>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</si>
  <si>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</si>
  <si>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</si>
  <si>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</si>
  <si>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</si>
  <si>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</si>
  <si>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</si>
  <si>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</si>
  <si>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</si>
  <si>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</si>
  <si>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</si>
  <si>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</si>
  <si>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</si>
  <si>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</si>
  <si>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</si>
  <si>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</si>
  <si>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</si>
  <si>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</si>
  <si>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</si>
  <si>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</si>
  <si>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</si>
  <si>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</si>
  <si>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</si>
  <si>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</si>
  <si>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</si>
  <si>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</si>
  <si>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</si>
  <si>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</si>
  <si>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</si>
  <si>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</si>
  <si>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</si>
  <si>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</si>
  <si>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</si>
  <si>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</si>
  <si>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</si>
  <si>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</si>
  <si>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</si>
  <si>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</si>
  <si>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</si>
  <si>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</si>
  <si>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</si>
  <si>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</si>
  <si>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</si>
  <si>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</si>
  <si>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</si>
  <si>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</si>
  <si>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</si>
  <si>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</si>
  <si>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</si>
  <si>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</si>
  <si>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</si>
  <si>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</si>
  <si>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</si>
  <si>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</si>
  <si>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</si>
  <si>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</si>
  <si>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</si>
  <si>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</si>
  <si>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</si>
  <si>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</si>
  <si>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</si>
  <si>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</si>
  <si>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</si>
  <si>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</si>
  <si>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</si>
  <si>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</si>
  <si>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</si>
  <si>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</si>
  <si>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</si>
  <si>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</si>
  <si>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</si>
  <si>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</si>
  <si>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</si>
  <si>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</si>
  <si>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</si>
  <si>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</si>
  <si>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</si>
  <si>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</si>
  <si>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</si>
  <si>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</si>
  <si>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</si>
  <si>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</si>
  <si>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</si>
  <si>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</si>
  <si>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</si>
  <si>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</si>
  <si>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</si>
  <si>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</si>
  <si>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</si>
  <si>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</si>
  <si>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</si>
  <si>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</si>
  <si>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</si>
  <si>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</si>
  <si>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</si>
  <si>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</si>
  <si>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</si>
  <si>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</si>
  <si>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</si>
  <si>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</si>
  <si>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</si>
  <si>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</si>
  <si>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</si>
  <si>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</si>
  <si>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</si>
  <si>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</si>
  <si>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</si>
  <si>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</si>
  <si>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</si>
  <si>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</si>
  <si>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</si>
  <si>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</si>
  <si>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</si>
  <si>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</si>
  <si>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</si>
  <si>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</si>
  <si>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</si>
  <si>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</si>
  <si>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</si>
  <si>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</si>
  <si>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</si>
  <si>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</si>
  <si>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</si>
  <si>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</si>
  <si>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</si>
  <si>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</si>
  <si>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</si>
  <si>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</si>
  <si>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</si>
  <si>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</si>
  <si>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</si>
  <si>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</si>
  <si>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</si>
  <si>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</si>
  <si>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</si>
  <si>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</si>
  <si>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</si>
  <si>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</si>
  <si>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</si>
  <si>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</si>
  <si>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</si>
  <si>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</si>
  <si>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</si>
  <si>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</si>
  <si>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</si>
  <si>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</si>
  <si>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</si>
  <si>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</si>
  <si>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</si>
  <si>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</si>
  <si>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</si>
  <si>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</si>
  <si>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</si>
  <si>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</si>
  <si>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</si>
  <si>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</si>
  <si>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</si>
  <si>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</si>
  <si>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</si>
  <si>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</si>
  <si>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</si>
  <si>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</si>
  <si>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</si>
  <si>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</si>
  <si>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</si>
  <si>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</si>
  <si>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</si>
  <si>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</si>
  <si>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</si>
  <si>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</si>
  <si>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</si>
  <si>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</si>
  <si>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</si>
  <si>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</si>
  <si>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</si>
  <si>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</si>
  <si>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</si>
  <si>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</si>
  <si>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</si>
  <si>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</si>
  <si>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</si>
  <si>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</si>
  <si>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</si>
  <si>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</si>
  <si>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</si>
  <si>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</si>
  <si>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</si>
  <si>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</si>
  <si>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</si>
  <si>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</si>
  <si>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</si>
  <si>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</si>
  <si>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</si>
  <si>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cleaned_discount</t>
  </si>
  <si>
    <t>calculated_sales</t>
  </si>
  <si>
    <t>calculated_profit</t>
  </si>
  <si>
    <t>profit_margin</t>
  </si>
  <si>
    <t>order_month</t>
  </si>
  <si>
    <t>order_year</t>
  </si>
  <si>
    <t>Duplicate_Check</t>
  </si>
  <si>
    <t>21-07-24</t>
  </si>
  <si>
    <t>invalid date</t>
  </si>
  <si>
    <t>July</t>
  </si>
  <si>
    <t>2024</t>
  </si>
  <si>
    <t>Invalid</t>
  </si>
  <si>
    <t>Unique</t>
  </si>
  <si>
    <t>05-09-24</t>
  </si>
  <si>
    <t>NA</t>
  </si>
  <si>
    <t>06-08-24</t>
  </si>
  <si>
    <t>15-06-24</t>
  </si>
  <si>
    <t>August</t>
  </si>
  <si>
    <t xml:space="preserve"> </t>
  </si>
  <si>
    <t>28-11-24</t>
  </si>
  <si>
    <t>November</t>
  </si>
  <si>
    <t>29-08-25</t>
  </si>
  <si>
    <t>01-09-25</t>
  </si>
  <si>
    <t>2025</t>
  </si>
  <si>
    <t>anomaly</t>
  </si>
  <si>
    <t>24-05-24</t>
  </si>
  <si>
    <t>28-05-24</t>
  </si>
  <si>
    <t>May</t>
  </si>
  <si>
    <t>04-10-25</t>
  </si>
  <si>
    <t>October</t>
  </si>
  <si>
    <t>23-02-25</t>
  </si>
  <si>
    <t>26-02-25</t>
  </si>
  <si>
    <t>February</t>
  </si>
  <si>
    <t>11-05-24</t>
  </si>
  <si>
    <t>11-10-24</t>
  </si>
  <si>
    <t>07-09-25</t>
  </si>
  <si>
    <t>09-12-25</t>
  </si>
  <si>
    <t>September</t>
  </si>
  <si>
    <t>20-05-25</t>
  </si>
  <si>
    <t>22-07-24</t>
  </si>
  <si>
    <t>23-07-24</t>
  </si>
  <si>
    <t>20-12-24</t>
  </si>
  <si>
    <t>December</t>
  </si>
  <si>
    <t>12-10-25</t>
  </si>
  <si>
    <t>16-10-25</t>
  </si>
  <si>
    <t>27-12-24</t>
  </si>
  <si>
    <t>07-09-24</t>
  </si>
  <si>
    <t>09-07-24</t>
  </si>
  <si>
    <t>05-08-24</t>
  </si>
  <si>
    <t>15-05-24</t>
  </si>
  <si>
    <t>01-07-24</t>
  </si>
  <si>
    <t>08-01-24</t>
  </si>
  <si>
    <t>17-07-25</t>
  </si>
  <si>
    <t>31-07-24</t>
  </si>
  <si>
    <t>21-01-25</t>
  </si>
  <si>
    <t>23-01-25</t>
  </si>
  <si>
    <t>January</t>
  </si>
  <si>
    <t>24-01-25</t>
  </si>
  <si>
    <t>19-01-25</t>
  </si>
  <si>
    <t>31-08-25</t>
  </si>
  <si>
    <t>04-03-24</t>
  </si>
  <si>
    <t>03-01-24</t>
  </si>
  <si>
    <t>March</t>
  </si>
  <si>
    <t>19-10-24</t>
  </si>
  <si>
    <t>23-11-24</t>
  </si>
  <si>
    <t>29-09-25</t>
  </si>
  <si>
    <t>05-10-25</t>
  </si>
  <si>
    <t>18-10-24</t>
  </si>
  <si>
    <t>13-08-25</t>
  </si>
  <si>
    <t>09-02-24</t>
  </si>
  <si>
    <t>02-12-24</t>
  </si>
  <si>
    <t>15-06-25</t>
  </si>
  <si>
    <t>19-06-25</t>
  </si>
  <si>
    <t>June</t>
  </si>
  <si>
    <t>22-11-24</t>
  </si>
  <si>
    <t>26-11-24</t>
  </si>
  <si>
    <t>27-07-24</t>
  </si>
  <si>
    <t>31-01-25</t>
  </si>
  <si>
    <t>05-02-25</t>
  </si>
  <si>
    <t>29-05-24</t>
  </si>
  <si>
    <t>25-10-24</t>
  </si>
  <si>
    <t>28-10-24</t>
  </si>
  <si>
    <t>29-07-25</t>
  </si>
  <si>
    <t>17-06-24</t>
  </si>
  <si>
    <t>22-06-24</t>
  </si>
  <si>
    <t>12-11-24</t>
  </si>
  <si>
    <t>11-12-24</t>
  </si>
  <si>
    <t>10-10-24</t>
  </si>
  <si>
    <t>16-10-24</t>
  </si>
  <si>
    <t>03-12-24</t>
  </si>
  <si>
    <t>17-03-24</t>
  </si>
  <si>
    <t>10-10-25</t>
  </si>
  <si>
    <t>15-10-25</t>
  </si>
  <si>
    <t>07-08-24</t>
  </si>
  <si>
    <t>25-06-24</t>
  </si>
  <si>
    <t>18-01-24</t>
  </si>
  <si>
    <t>24-01-24</t>
  </si>
  <si>
    <t>19-07-24</t>
  </si>
  <si>
    <t>12-08-24</t>
  </si>
  <si>
    <t>30-01-25</t>
  </si>
  <si>
    <t>06-04-24</t>
  </si>
  <si>
    <t>13-04-24</t>
  </si>
  <si>
    <t>April</t>
  </si>
  <si>
    <t>05-11-25</t>
  </si>
  <si>
    <t>19-05-25</t>
  </si>
  <si>
    <t>24-04-24</t>
  </si>
  <si>
    <t>29-04-24</t>
  </si>
  <si>
    <t>26-10-24</t>
  </si>
  <si>
    <t>31-03-25</t>
  </si>
  <si>
    <t>30-05-25</t>
  </si>
  <si>
    <t>02-06-25</t>
  </si>
  <si>
    <t>01-07-25</t>
  </si>
  <si>
    <t>03-07-25</t>
  </si>
  <si>
    <t>05-01-25</t>
  </si>
  <si>
    <t>06-01-25</t>
  </si>
  <si>
    <t>07-02-24</t>
  </si>
  <si>
    <t>15-02-24</t>
  </si>
  <si>
    <t>01-09-24</t>
  </si>
  <si>
    <t>20-07-24</t>
  </si>
  <si>
    <t>25-07-24</t>
  </si>
  <si>
    <t>16-04-24</t>
  </si>
  <si>
    <t>30-10-24</t>
  </si>
  <si>
    <t>02-11-24</t>
  </si>
  <si>
    <t>25-01-24</t>
  </si>
  <si>
    <t>01-02-24</t>
  </si>
  <si>
    <t>23-12-24</t>
  </si>
  <si>
    <t>22-04-24</t>
  </si>
  <si>
    <t>27-04-24</t>
  </si>
  <si>
    <t>03-02-25</t>
  </si>
  <si>
    <t>07-02-25</t>
  </si>
  <si>
    <t>13-11-24</t>
  </si>
  <si>
    <t>09-04-24</t>
  </si>
  <si>
    <t>22-08-25</t>
  </si>
  <si>
    <t>27-08-25</t>
  </si>
  <si>
    <t>23-04-25</t>
  </si>
  <si>
    <t>11-02-24</t>
  </si>
  <si>
    <t>29-03-25</t>
  </si>
  <si>
    <t>04-03-25</t>
  </si>
  <si>
    <t>01-03-25</t>
  </si>
  <si>
    <t>03-11-24</t>
  </si>
  <si>
    <t>11-11-24</t>
  </si>
  <si>
    <t>07-08-25</t>
  </si>
  <si>
    <t>12-07-25</t>
  </si>
  <si>
    <t>21-07-25</t>
  </si>
  <si>
    <t>27-09-25</t>
  </si>
  <si>
    <t>03-10-25</t>
  </si>
  <si>
    <t>10-08-24</t>
  </si>
  <si>
    <t>14-08-24</t>
  </si>
  <si>
    <t>16-03-25</t>
  </si>
  <si>
    <t>17-03-25</t>
  </si>
  <si>
    <t>03-08-24</t>
  </si>
  <si>
    <t>04-08-24</t>
  </si>
  <si>
    <t>29-10-24</t>
  </si>
  <si>
    <t>01-10-24</t>
  </si>
  <si>
    <t>03-10-24</t>
  </si>
  <si>
    <t>30-07-24</t>
  </si>
  <si>
    <t>08-05-24</t>
  </si>
  <si>
    <t>02-08-24</t>
  </si>
  <si>
    <t>27-03-24</t>
  </si>
  <si>
    <t>02-03-25</t>
  </si>
  <si>
    <t>03-08-25</t>
  </si>
  <si>
    <t>13-01-24</t>
  </si>
  <si>
    <t>09-06-24</t>
  </si>
  <si>
    <t>09-09-24</t>
  </si>
  <si>
    <t>05-09-25</t>
  </si>
  <si>
    <t>09-10-25</t>
  </si>
  <si>
    <t>05-06-24</t>
  </si>
  <si>
    <t>07-06-24</t>
  </si>
  <si>
    <t>08-08-25</t>
  </si>
  <si>
    <t>11-08-25</t>
  </si>
  <si>
    <t>26-01-24</t>
  </si>
  <si>
    <t>02-01-24</t>
  </si>
  <si>
    <t>11-01-25</t>
  </si>
  <si>
    <t>12-09-25</t>
  </si>
  <si>
    <t>18-09-25</t>
  </si>
  <si>
    <t>26-06-24</t>
  </si>
  <si>
    <t>16-07-25</t>
  </si>
  <si>
    <t>01-02-25</t>
  </si>
  <si>
    <t>02-08-25</t>
  </si>
  <si>
    <t>29-06-24</t>
  </si>
  <si>
    <t>20-02-24</t>
  </si>
  <si>
    <t>28-02-24</t>
  </si>
  <si>
    <t>04-11-24</t>
  </si>
  <si>
    <t>15-08-24</t>
  </si>
  <si>
    <t>23-08-25</t>
  </si>
  <si>
    <t>24-10-24</t>
  </si>
  <si>
    <t>30-06-25</t>
  </si>
  <si>
    <t>10-01-24</t>
  </si>
  <si>
    <t>14-01-24</t>
  </si>
  <si>
    <t>12-02-24</t>
  </si>
  <si>
    <t>25-09-24</t>
  </si>
  <si>
    <t>30-09-24</t>
  </si>
  <si>
    <t>01-01-25</t>
  </si>
  <si>
    <t>15-02-25</t>
  </si>
  <si>
    <t>19-02-25</t>
  </si>
  <si>
    <t>17-02-24</t>
  </si>
  <si>
    <t>06-10-24</t>
  </si>
  <si>
    <t>18-06-24</t>
  </si>
  <si>
    <t>12-06-24</t>
  </si>
  <si>
    <t>19-06-24</t>
  </si>
  <si>
    <t>18-08-24</t>
  </si>
  <si>
    <t>04-12-24</t>
  </si>
  <si>
    <t>25-05-24</t>
  </si>
  <si>
    <t>18-07-25</t>
  </si>
  <si>
    <t>24-09-25</t>
  </si>
  <si>
    <t>26-09-25</t>
  </si>
  <si>
    <t>26-01-25</t>
  </si>
  <si>
    <t>13-12-24</t>
  </si>
  <si>
    <t>16-12-24</t>
  </si>
  <si>
    <t>27-01-24</t>
  </si>
  <si>
    <t>02-02-24</t>
  </si>
  <si>
    <t>14-07-25</t>
  </si>
  <si>
    <t>24-08-25</t>
  </si>
  <si>
    <t>09-02-25</t>
  </si>
  <si>
    <t>09-01-25</t>
  </si>
  <si>
    <t>20-01-24</t>
  </si>
  <si>
    <t>07-03-25</t>
  </si>
  <si>
    <t>31-05-24</t>
  </si>
  <si>
    <t>01-06-24</t>
  </si>
  <si>
    <t>29-03-24</t>
  </si>
  <si>
    <t>30-03-24</t>
  </si>
  <si>
    <t>26-03-24</t>
  </si>
  <si>
    <t>11-04-25</t>
  </si>
  <si>
    <t>30-07-25</t>
  </si>
  <si>
    <t>08-01-25</t>
  </si>
  <si>
    <t>30-12-24</t>
  </si>
  <si>
    <t>13-02-25</t>
  </si>
  <si>
    <t>30-01-24</t>
  </si>
  <si>
    <t>12-03-24</t>
  </si>
  <si>
    <t>27-06-24</t>
  </si>
  <si>
    <t>14-06-24</t>
  </si>
  <si>
    <t>23-09-25</t>
  </si>
  <si>
    <t>25-09-25</t>
  </si>
  <si>
    <t>27-03-25</t>
  </si>
  <si>
    <t>09-11-24</t>
  </si>
  <si>
    <t>04-02-25</t>
  </si>
  <si>
    <t>08-10-25</t>
  </si>
  <si>
    <t>10-06-25</t>
  </si>
  <si>
    <t>24-07-25</t>
  </si>
  <si>
    <t>09-03-24</t>
  </si>
  <si>
    <t>14-03-24</t>
  </si>
  <si>
    <t>09-09-25</t>
  </si>
  <si>
    <t>29-11-24</t>
  </si>
  <si>
    <t>20-02-25</t>
  </si>
  <si>
    <t>18-08-25</t>
  </si>
  <si>
    <t>13-09-25</t>
  </si>
  <si>
    <t>10-08-25</t>
  </si>
  <si>
    <t>02-05-24</t>
  </si>
  <si>
    <t>28-09-25</t>
  </si>
  <si>
    <t>03-02-24</t>
  </si>
  <si>
    <t>18-03-25</t>
  </si>
  <si>
    <t>06-03-24</t>
  </si>
  <si>
    <t>15-03-24</t>
  </si>
  <si>
    <t>26-08-24</t>
  </si>
  <si>
    <t>10-09-25</t>
  </si>
  <si>
    <t>24-06-25</t>
  </si>
  <si>
    <t>27-06-25</t>
  </si>
  <si>
    <t>02-04-24</t>
  </si>
  <si>
    <t>01-05-25</t>
  </si>
  <si>
    <t>02-05-25</t>
  </si>
  <si>
    <t>21-05-25</t>
  </si>
  <si>
    <t>28-05-25</t>
  </si>
  <si>
    <t>06-05-25</t>
  </si>
  <si>
    <t>07-05-25</t>
  </si>
  <si>
    <t>20-04-25</t>
  </si>
  <si>
    <t>09-12-24</t>
  </si>
  <si>
    <t>23-06-24</t>
  </si>
  <si>
    <t>28-06-24</t>
  </si>
  <si>
    <t>28-01-25</t>
  </si>
  <si>
    <t>22-07-25</t>
  </si>
  <si>
    <t>22-01-24</t>
  </si>
  <si>
    <t>07-04-25</t>
  </si>
  <si>
    <t>06-06-24</t>
  </si>
  <si>
    <t>05-07-25</t>
  </si>
  <si>
    <t>26-07-25</t>
  </si>
  <si>
    <t>08-03-25</t>
  </si>
  <si>
    <t>28-03-25</t>
  </si>
  <si>
    <t>28-03-24</t>
  </si>
  <si>
    <t>20-07-25</t>
  </si>
  <si>
    <t>23-07-25</t>
  </si>
  <si>
    <t>21-04-25</t>
  </si>
  <si>
    <t>10-07-24</t>
  </si>
  <si>
    <t>16-07-24</t>
  </si>
  <si>
    <t>18-03-24</t>
  </si>
  <si>
    <t>21-09-24</t>
  </si>
  <si>
    <t>21-05-24</t>
  </si>
  <si>
    <t>23-03-24</t>
  </si>
  <si>
    <t>01-03-24</t>
  </si>
  <si>
    <t>15-04-25</t>
  </si>
  <si>
    <t>01-04-25</t>
  </si>
  <si>
    <t>04-08-25</t>
  </si>
  <si>
    <t>27-02-25</t>
  </si>
  <si>
    <t>12-01-25</t>
  </si>
  <si>
    <t>15-01-25</t>
  </si>
  <si>
    <t>10-02-25</t>
  </si>
  <si>
    <t>02-09-24</t>
  </si>
  <si>
    <t>10-09-24</t>
  </si>
  <si>
    <t>10-04-25</t>
  </si>
  <si>
    <t>05-07-24</t>
  </si>
  <si>
    <t>12-07-24</t>
  </si>
  <si>
    <t>28-04-24</t>
  </si>
  <si>
    <t>28-06-25</t>
  </si>
  <si>
    <t>03-06-24</t>
  </si>
  <si>
    <t>05-02-24</t>
  </si>
  <si>
    <t>04-06-25</t>
  </si>
  <si>
    <t>14-10-24</t>
  </si>
  <si>
    <t>03-09-24</t>
  </si>
  <si>
    <t>11-03-24</t>
  </si>
  <si>
    <t>21-10-24</t>
  </si>
  <si>
    <t>27-08-24</t>
  </si>
  <si>
    <t>01-12-24</t>
  </si>
  <si>
    <t>17-12-24</t>
  </si>
  <si>
    <t>07-06-25</t>
  </si>
  <si>
    <t>06-07-25</t>
  </si>
  <si>
    <t>24-08-24</t>
  </si>
  <si>
    <t>04-05-24</t>
  </si>
  <si>
    <t>09-05-24</t>
  </si>
  <si>
    <t>01-08-24</t>
  </si>
  <si>
    <t>06-02-24</t>
  </si>
  <si>
    <t>08-02-25</t>
  </si>
  <si>
    <t>06-04-25</t>
  </si>
  <si>
    <t>25-06-25</t>
  </si>
  <si>
    <t>12-09-24</t>
  </si>
  <si>
    <t>03-01-25</t>
  </si>
  <si>
    <t>02-10-25</t>
  </si>
  <si>
    <t>05-11-24</t>
  </si>
  <si>
    <t>09-08-25</t>
  </si>
  <si>
    <t>12-08-25</t>
  </si>
  <si>
    <t>04-01-25</t>
  </si>
  <si>
    <t>26-05-25</t>
  </si>
  <si>
    <t>01-06-25</t>
  </si>
  <si>
    <t>06-08-25</t>
  </si>
  <si>
    <t>16-05-24</t>
  </si>
  <si>
    <t>14-11-24</t>
  </si>
  <si>
    <t>03-05-25</t>
  </si>
  <si>
    <t>10-05-25</t>
  </si>
  <si>
    <t>02-12-25</t>
  </si>
  <si>
    <t>21-12-24</t>
  </si>
  <si>
    <t>25-12-24</t>
  </si>
  <si>
    <t>07-04-24</t>
  </si>
  <si>
    <t>14-04-24</t>
  </si>
  <si>
    <t>23-01-24</t>
  </si>
  <si>
    <t>14-03-25</t>
  </si>
  <si>
    <t>04-09-24</t>
  </si>
  <si>
    <t>10-04-24</t>
  </si>
  <si>
    <t>26-12-24</t>
  </si>
  <si>
    <t>25-07-25</t>
  </si>
  <si>
    <t>10-02-24</t>
  </si>
  <si>
    <t>20-03-25</t>
  </si>
  <si>
    <t>15-08-25</t>
  </si>
  <si>
    <t>20-08-25</t>
  </si>
  <si>
    <t>24-06-24</t>
  </si>
  <si>
    <t>26-08-25</t>
  </si>
  <si>
    <t>28-02-25</t>
  </si>
  <si>
    <t>03-03-25</t>
  </si>
  <si>
    <t>03-07-24</t>
  </si>
  <si>
    <t>24-05-25</t>
  </si>
  <si>
    <t>06-11-24</t>
  </si>
  <si>
    <t>15-04-24</t>
  </si>
  <si>
    <t>12-06-25</t>
  </si>
  <si>
    <t>13-03-24</t>
  </si>
  <si>
    <t>01-05-24</t>
  </si>
  <si>
    <t>19-07-25</t>
  </si>
  <si>
    <t>13-06-25</t>
  </si>
  <si>
    <t>04-07-24</t>
  </si>
  <si>
    <t>08-07-24</t>
  </si>
  <si>
    <t>31-05-25</t>
  </si>
  <si>
    <t>02-07-24</t>
  </si>
  <si>
    <t>16-02-24</t>
  </si>
  <si>
    <t>04-09-25</t>
  </si>
  <si>
    <t>25-04-24</t>
  </si>
  <si>
    <t>30-04-24</t>
  </si>
  <si>
    <t>21-08-24</t>
  </si>
  <si>
    <t>12-04-24</t>
  </si>
  <si>
    <t>30-06-24</t>
  </si>
  <si>
    <t>25-02-24</t>
  </si>
  <si>
    <t>29-02-24</t>
  </si>
  <si>
    <t>31-07-25</t>
  </si>
  <si>
    <t>22-09-25</t>
  </si>
  <si>
    <t>24-07-24</t>
  </si>
  <si>
    <t>29-05-25</t>
  </si>
  <si>
    <t>12-05-25</t>
  </si>
  <si>
    <t>18-05-25</t>
  </si>
  <si>
    <t>06-12-24</t>
  </si>
  <si>
    <t>27-05-25</t>
  </si>
  <si>
    <t>22-06-25</t>
  </si>
  <si>
    <t>17-09-24</t>
  </si>
  <si>
    <t>18-06-25</t>
  </si>
  <si>
    <t>08-12-24</t>
  </si>
  <si>
    <t>22-02-25</t>
  </si>
  <si>
    <t>21-01-24</t>
  </si>
  <si>
    <t>08-09-25</t>
  </si>
  <si>
    <t>01-08-25</t>
  </si>
  <si>
    <t>10-03-25</t>
  </si>
  <si>
    <t>14-09-24</t>
  </si>
  <si>
    <t>22-09-24</t>
  </si>
  <si>
    <t>28-07-25</t>
  </si>
  <si>
    <t>06-07-24</t>
  </si>
  <si>
    <t>07-01-24</t>
  </si>
  <si>
    <t>23-05-25</t>
  </si>
  <si>
    <t>21-02-25</t>
  </si>
  <si>
    <t>31-12-24</t>
  </si>
  <si>
    <t>12-05-24</t>
  </si>
  <si>
    <t>29-06-25</t>
  </si>
  <si>
    <t>22-08-24</t>
  </si>
  <si>
    <t>20-06-24</t>
  </si>
  <si>
    <t>02-04-25</t>
  </si>
  <si>
    <t>23-08-24</t>
  </si>
  <si>
    <t>25-08-24</t>
  </si>
  <si>
    <t>07-07-25</t>
  </si>
  <si>
    <t>07-12-25</t>
  </si>
  <si>
    <t>24-03-25</t>
  </si>
  <si>
    <t>21-06-24</t>
  </si>
  <si>
    <t>16-01-25</t>
  </si>
  <si>
    <t>22-01-25</t>
  </si>
  <si>
    <t>16-08-25</t>
  </si>
  <si>
    <t>13-04-25</t>
  </si>
  <si>
    <t>29-12-24</t>
  </si>
  <si>
    <t>22-05-25</t>
  </si>
  <si>
    <t>23-09-24</t>
  </si>
  <si>
    <t>19-09-25</t>
  </si>
  <si>
    <t>20-03-24</t>
  </si>
  <si>
    <t>14-02-25</t>
  </si>
  <si>
    <t>13-05-24</t>
  </si>
  <si>
    <t>18-05-24</t>
  </si>
  <si>
    <t>05-04-24</t>
  </si>
  <si>
    <t>22-02-24</t>
  </si>
  <si>
    <t>03-04-24</t>
  </si>
  <si>
    <t>04-04-24</t>
  </si>
  <si>
    <t>14-04-25</t>
  </si>
  <si>
    <t>22-04-25</t>
  </si>
  <si>
    <t>09-06-25</t>
  </si>
  <si>
    <t>26-07-24</t>
  </si>
  <si>
    <t>29-04-25</t>
  </si>
  <si>
    <t>06-06-25</t>
  </si>
  <si>
    <t>11-06-25</t>
  </si>
  <si>
    <t>09-03-25</t>
  </si>
  <si>
    <t>22-03-24</t>
  </si>
  <si>
    <t>04-10-24</t>
  </si>
  <si>
    <t>02-03-24</t>
  </si>
  <si>
    <t>24-09-24</t>
  </si>
  <si>
    <t>25-02-25</t>
  </si>
  <si>
    <t>20-04-24</t>
  </si>
  <si>
    <t>28-08-25</t>
  </si>
  <si>
    <t>17-08-25</t>
  </si>
  <si>
    <t>29-08-24</t>
  </si>
  <si>
    <t>11-09-24</t>
  </si>
  <si>
    <t>19-03-25</t>
  </si>
  <si>
    <t>06-09-25</t>
  </si>
  <si>
    <t>27-02-24</t>
  </si>
  <si>
    <t>26-09-24</t>
  </si>
  <si>
    <t>24-04-25</t>
  </si>
  <si>
    <t>15-03-25</t>
  </si>
  <si>
    <t>22-03-25</t>
  </si>
  <si>
    <t>30-08-24</t>
  </si>
  <si>
    <t>04-11-25</t>
  </si>
  <si>
    <t>12-04-25</t>
  </si>
  <si>
    <t>16-06-24</t>
  </si>
  <si>
    <t>18-02-24</t>
  </si>
  <si>
    <t>05-05-25</t>
  </si>
  <si>
    <t>04-02-24</t>
  </si>
  <si>
    <t>05-05-24</t>
  </si>
  <si>
    <t>13-06-24</t>
  </si>
  <si>
    <t>06-12-25</t>
  </si>
  <si>
    <t>24-03-24</t>
  </si>
  <si>
    <t>10-05-24</t>
  </si>
  <si>
    <t>05-03-25</t>
  </si>
  <si>
    <t>11-05-25</t>
  </si>
  <si>
    <t>23-03-25</t>
  </si>
  <si>
    <t>18-07-24</t>
  </si>
  <si>
    <t>30-09-25</t>
  </si>
  <si>
    <t>06-10-25</t>
  </si>
  <si>
    <t>11-03-25</t>
  </si>
  <si>
    <t>29-01-24</t>
  </si>
  <si>
    <t>04-01-24</t>
  </si>
  <si>
    <t>20-08-24</t>
  </si>
  <si>
    <t>07-01-25</t>
  </si>
  <si>
    <t>19-01-24</t>
  </si>
  <si>
    <t>28-07-24</t>
  </si>
  <si>
    <t>10-06-24</t>
  </si>
  <si>
    <t>06-09-24</t>
  </si>
  <si>
    <t>23-02-24</t>
  </si>
  <si>
    <t>05-06-25</t>
  </si>
  <si>
    <t>28-12-24</t>
  </si>
  <si>
    <t>20-10-24</t>
  </si>
  <si>
    <t>16-09-24</t>
  </si>
  <si>
    <t>30-04-25</t>
  </si>
  <si>
    <t>04-07-25</t>
  </si>
  <si>
    <t>22-12-24</t>
  </si>
  <si>
    <t>11-08-24</t>
  </si>
  <si>
    <t>28-09-24</t>
  </si>
  <si>
    <t>05-10-24</t>
  </si>
  <si>
    <t>12-02-25</t>
  </si>
  <si>
    <t>17-02-25</t>
  </si>
  <si>
    <t>15-12-24</t>
  </si>
  <si>
    <t>31-03-24</t>
  </si>
  <si>
    <t>18-11-24</t>
  </si>
  <si>
    <t>25-05-25</t>
  </si>
  <si>
    <t>26-04-25</t>
  </si>
  <si>
    <t>25-03-25</t>
  </si>
  <si>
    <t>30-11-24</t>
  </si>
  <si>
    <t>17-10-24</t>
  </si>
  <si>
    <t>01-10-25</t>
  </si>
  <si>
    <t>07-10-24</t>
  </si>
  <si>
    <t>09-10-24</t>
  </si>
  <si>
    <t>08-02-24</t>
  </si>
  <si>
    <t>08-08-24</t>
  </si>
  <si>
    <t>19-05-24</t>
  </si>
  <si>
    <t>17-04-25</t>
  </si>
  <si>
    <t>26-02-24</t>
  </si>
  <si>
    <t>08-07-25</t>
  </si>
  <si>
    <t>09-07-25</t>
  </si>
  <si>
    <t>14-07-24</t>
  </si>
  <si>
    <t>29-01-25</t>
  </si>
  <si>
    <t>30-05-24</t>
  </si>
  <si>
    <t>14-08-25</t>
  </si>
  <si>
    <t>23-05-24</t>
  </si>
  <si>
    <t>10-11-25</t>
  </si>
  <si>
    <t>13-10-25</t>
  </si>
  <si>
    <t>08-10-24</t>
  </si>
  <si>
    <t>28-04-25</t>
  </si>
  <si>
    <t>12-10-24</t>
  </si>
  <si>
    <t>14-05-24</t>
  </si>
  <si>
    <t>09-04-25</t>
  </si>
  <si>
    <t>07-10-25</t>
  </si>
  <si>
    <t>16-01-24</t>
  </si>
  <si>
    <t>19-08-24</t>
  </si>
  <si>
    <t>09-01-24</t>
  </si>
  <si>
    <t>03-09-25</t>
  </si>
  <si>
    <t>21-02-24</t>
  </si>
  <si>
    <t>06-03-25</t>
  </si>
  <si>
    <t>15-10-24</t>
  </si>
  <si>
    <t>08-04-24</t>
  </si>
  <si>
    <t>12-12-24</t>
  </si>
  <si>
    <t>24-02-24</t>
  </si>
  <si>
    <t>19-09-24</t>
  </si>
  <si>
    <t>02-11-25</t>
  </si>
  <si>
    <t>16-02-25</t>
  </si>
  <si>
    <t>12-03-25</t>
  </si>
  <si>
    <t>23-10-24</t>
  </si>
  <si>
    <t>13-07-25</t>
  </si>
  <si>
    <t>20-05-24</t>
  </si>
  <si>
    <t>15-07-25</t>
  </si>
  <si>
    <t>19-02-24</t>
  </si>
  <si>
    <t>16-08-24</t>
  </si>
  <si>
    <t>27-11-24</t>
  </si>
  <si>
    <t>06-02-25</t>
  </si>
  <si>
    <t>14-09-25</t>
  </si>
  <si>
    <t>16-04-25</t>
  </si>
  <si>
    <t>01-11-25</t>
  </si>
  <si>
    <t>02-10-24</t>
  </si>
  <si>
    <t>26-05-24</t>
  </si>
  <si>
    <t>31-01-24</t>
  </si>
  <si>
    <t>14-01-25</t>
  </si>
  <si>
    <t>17-01-25</t>
  </si>
  <si>
    <t>13-02-24</t>
  </si>
  <si>
    <t>21-04-24</t>
  </si>
  <si>
    <t>19-08-25</t>
  </si>
  <si>
    <t>21-03-25</t>
  </si>
  <si>
    <t>04-04-25</t>
  </si>
  <si>
    <t>10-12-25</t>
  </si>
  <si>
    <t>07-05-24</t>
  </si>
  <si>
    <t>17-05-24</t>
  </si>
  <si>
    <t>22-05-24</t>
  </si>
  <si>
    <t>07-12-24</t>
  </si>
  <si>
    <t>10-12-24</t>
  </si>
  <si>
    <t>13-01-25</t>
  </si>
  <si>
    <t>01-04-24</t>
  </si>
  <si>
    <t>02-02-25</t>
  </si>
  <si>
    <t>09-11-25</t>
  </si>
  <si>
    <t>24-11-24</t>
  </si>
  <si>
    <t>12-01-24</t>
  </si>
  <si>
    <t>25-03-24</t>
  </si>
  <si>
    <t>15-09-24</t>
  </si>
  <si>
    <t>03-04-25</t>
  </si>
  <si>
    <t>11-06-24</t>
  </si>
  <si>
    <t>18-09-24</t>
  </si>
  <si>
    <t>08-09-24</t>
  </si>
  <si>
    <t>26-03-25</t>
  </si>
  <si>
    <t>23-06-25</t>
  </si>
  <si>
    <t>17-01-24</t>
  </si>
  <si>
    <t>13-10-24</t>
  </si>
  <si>
    <t>17-05-25</t>
  </si>
  <si>
    <t>19-03-24</t>
  </si>
  <si>
    <t>25-04-25</t>
  </si>
  <si>
    <t>22-10-24</t>
  </si>
  <si>
    <t>10-01-25</t>
  </si>
  <si>
    <t>21-03-24</t>
  </si>
  <si>
    <t>11-01-24</t>
  </si>
  <si>
    <t>28-08-24</t>
  </si>
  <si>
    <t>01-01-24</t>
  </si>
  <si>
    <t>05-01-24</t>
  </si>
  <si>
    <t>25-08-25</t>
  </si>
  <si>
    <t>03-05-24</t>
  </si>
  <si>
    <t>08-06-25</t>
  </si>
  <si>
    <t>02-06-24</t>
  </si>
  <si>
    <t>18-04-24</t>
  </si>
  <si>
    <t>11-07-25</t>
  </si>
  <si>
    <t>07-03-24</t>
  </si>
  <si>
    <t>15-11-24</t>
  </si>
  <si>
    <t>19-12-24</t>
  </si>
  <si>
    <t>05-04-25</t>
  </si>
  <si>
    <t>04-05-25</t>
  </si>
  <si>
    <t>29-09-24</t>
  </si>
  <si>
    <t>11-10-25</t>
  </si>
  <si>
    <t>04-06-24</t>
  </si>
  <si>
    <t>18-12-24</t>
  </si>
  <si>
    <t>20-01-25</t>
  </si>
  <si>
    <t>25-01-25</t>
  </si>
  <si>
    <t>16-05-25</t>
  </si>
  <si>
    <t>01-11-24</t>
  </si>
  <si>
    <t>02-09-25</t>
  </si>
  <si>
    <t>21-11-24</t>
  </si>
  <si>
    <t>03-06-25</t>
  </si>
  <si>
    <t>08-11-24</t>
  </si>
  <si>
    <t>20-11-24</t>
  </si>
  <si>
    <t>08-03-24</t>
  </si>
  <si>
    <t>05-12-24</t>
  </si>
  <si>
    <t>18-01-25</t>
  </si>
  <si>
    <t>03-11-25</t>
  </si>
  <si>
    <t>04-12-25</t>
  </si>
  <si>
    <t>08-06-24</t>
  </si>
  <si>
    <t>Row Labels</t>
  </si>
  <si>
    <t>Grand Total</t>
  </si>
  <si>
    <t>Sum of calculated_sales</t>
  </si>
  <si>
    <t>Sum of calculated_profit</t>
  </si>
  <si>
    <t>Furniture Total</t>
  </si>
  <si>
    <t>Office Supplies Total</t>
  </si>
  <si>
    <t>Technology Total</t>
  </si>
  <si>
    <t>(blank)</t>
  </si>
  <si>
    <t>(All)</t>
  </si>
  <si>
    <t>(Multiple Items)</t>
  </si>
  <si>
    <t>Count of order_id_1</t>
  </si>
  <si>
    <t>Total</t>
  </si>
  <si>
    <t>Count of Order_id Ship mode</t>
  </si>
  <si>
    <t>Average of profit_margin</t>
  </si>
  <si>
    <t>Region</t>
  </si>
  <si>
    <t>Cancelled Total</t>
  </si>
  <si>
    <t>order_date_22</t>
  </si>
  <si>
    <t>Order_Month</t>
  </si>
  <si>
    <t>Order_Year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</si>
</sst>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rgb="FFC00000"/>
      <name val="Carlito"/>
    </font>
    <font>
      <sz val="11"/>
      <color theme="5" tint="-0.499984740745262"/>
      <name val="Carlito"/>
    </font>
    <font>
      <b/>
      <sz val="10"/>
      <color rgb="FFFF0000"/>
      <name val="Carlito"/>
    </font>
    <font>
      <b/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45B0E1"/>
      </top>
      <bottom style="medium">
        <color rgb="FF45B0E1"/>
      </bottom>
      <diagonal/>
    </border>
    <border>
      <left style="medium">
        <color rgb="FFCCCCCC"/>
      </left>
      <right style="thin">
        <color theme="1" tint="0.34998626667073579"/>
      </right>
      <top/>
      <bottom style="thin">
        <color indexed="64"/>
      </bottom>
      <diagonal/>
    </border>
    <border>
      <left style="medium">
        <color rgb="FFCCCCCC"/>
      </left>
      <right style="medium">
        <color rgb="FF45B0E1"/>
      </right>
      <top style="medium">
        <color rgb="FF45B0E1"/>
      </top>
      <bottom style="medium">
        <color rgb="FFCCCCCC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0" fillId="3" borderId="0" xfId="0" applyFill="1"/>
    <xf numFmtId="2" fontId="0" fillId="4" borderId="0" xfId="0" applyNumberFormat="1" applyFill="1"/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9" fontId="0" fillId="0" borderId="0" xfId="0" applyNumberFormat="1"/>
    <xf numFmtId="164" fontId="0" fillId="0" borderId="0" xfId="0" applyNumberFormat="1"/>
    <xf numFmtId="0" fontId="0" fillId="0" borderId="4" xfId="0" applyBorder="1"/>
    <xf numFmtId="10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kha Srivastava" refreshedDate="46200.722024305556" createdVersion="8" refreshedVersion="8" minRefreshableVersion="3" recordCount="933" xr:uid="{3D073D80-98B0-49A7-9623-D35FC49DA710}">
  <cacheSource type="worksheet">
    <worksheetSource ref="A1:AV1048576" sheet="Cleaned_orders"/>
  </cacheSource>
  <cacheFields count="48">
    <cacheField name="order_id" numFmtId="0">
      <sharedItems containsBlank="1"/>
    </cacheField>
    <cacheField name="order_date" numFmtId="0">
      <sharedItems containsBlank="1"/>
    </cacheField>
    <cacheField name="ship_date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/>
    </cacheField>
    <cacheField name="region" numFmtId="0">
      <sharedItems containsBlank="1" count="5">
        <s v="North"/>
        <s v="East"/>
        <s v="South"/>
        <s v="West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/>
    </cacheField>
    <cacheField name="sub_category" numFmtId="0">
      <sharedItems containsBlank="1"/>
    </cacheField>
    <cacheField name="product_name" numFmtId="0">
      <sharedItems containsBlank="1"/>
    </cacheField>
    <cacheField name="ship_mode" numFmtId="0">
      <sharedItems containsBlank="1"/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ntainsMixedTypes="1" containsNumber="1" minValue="0" maxValue="0.65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 count="5">
        <s v="Paid"/>
        <s v="Refunded"/>
        <s v="Pending"/>
        <s v="Failed"/>
        <m/>
      </sharedItems>
    </cacheField>
    <cacheField name="order_status" numFmtId="0">
      <sharedItems containsBlank="1" count="4">
        <s v="Completed"/>
        <s v="Cancelled"/>
        <s v="Returned"/>
        <m/>
      </sharedItems>
    </cacheField>
    <cacheField name="Field22" caption="Field22" numFmtId="0">
      <sharedItems containsNonDate="0" containsString="0" containsBlank="1"/>
    </cacheField>
    <cacheField name="order_id_1" numFmtId="0">
      <sharedItems containsBlank="1"/>
    </cacheField>
    <cacheField name="order_date_2" numFmtId="0">
      <sharedItems containsBlank="1"/>
    </cacheField>
    <cacheField name="ship_date_3" numFmtId="0">
      <sharedItems containsBlank="1"/>
    </cacheField>
    <cacheField name="customer_id_4" numFmtId="0">
      <sharedItems containsBlank="1"/>
    </cacheField>
    <cacheField name="customer_name_5" numFmtId="0">
      <sharedItems containsBlank="1"/>
    </cacheField>
    <cacheField name="segment_6" numFmtId="0">
      <sharedItems containsBlank="1"/>
    </cacheField>
    <cacheField name="region_7" numFmtId="0">
      <sharedItems containsBlank="1"/>
    </cacheField>
    <cacheField name="state2" numFmtId="0">
      <sharedItems containsBlank="1"/>
    </cacheField>
    <cacheField name="city2" numFmtId="0">
      <sharedItems containsBlank="1"/>
    </cacheField>
    <cacheField name="category2" numFmtId="0">
      <sharedItems containsBlank="1"/>
    </cacheField>
    <cacheField name="sub_category2" numFmtId="0">
      <sharedItems containsBlank="1"/>
    </cacheField>
    <cacheField name="product_name2" numFmtId="0">
      <sharedItems containsBlank="1"/>
    </cacheField>
    <cacheField name="ship_mode2" numFmtId="0">
      <sharedItems containsBlank="1"/>
    </cacheField>
    <cacheField name="Ship dates_earlier than_Order dates" numFmtId="0">
      <sharedItems containsBlank="1"/>
    </cacheField>
    <cacheField name="shipping_delay_days" numFmtId="0">
      <sharedItems containsBlank="1" containsMixedTypes="1" containsNumber="1" containsInteger="1" minValue="-323" maxValue="297"/>
    </cacheField>
    <cacheField name="cleaned_discount" numFmtId="0">
      <sharedItems containsBlank="1" containsMixedTypes="1" containsNumber="1" minValue="0" maxValue="0.25"/>
    </cacheField>
    <cacheField name="calculated_sales" numFmtId="0">
      <sharedItems containsBlank="1" containsMixedTypes="1" containsNumber="1" minValue="217.47750000000002" maxValue="36782.271000000008" count="872">
        <n v="19049.28"/>
        <n v="7312.5"/>
        <s v="NA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6398.975000000002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6321.0800000000008"/>
        <n v="1884.3000000000002"/>
        <n v="1458.9360000000001"/>
        <n v="17414.599999999999"/>
        <n v="511.04999999999995"/>
        <n v="634.13"/>
        <n v="14558.715"/>
        <n v="4303.4220000000005"/>
        <n v="5774.67"/>
        <n v="4386.3874999999998"/>
        <n v="18229.5785"/>
        <n v="873.68"/>
        <n v="2692.152"/>
        <n v="1066.1600000000001"/>
        <n v="22930.62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3136.096"/>
        <n v="20835.899999999998"/>
        <n v="1212.9000000000001"/>
        <n v="5697.8339999999998"/>
        <n v="4049.5140000000001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3784.7239999999997"/>
        <n v="6635.5560000000005"/>
        <n v="2485.5040000000004"/>
        <n v="850.34500000000003"/>
        <n v="9997.8299999999981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71.529"/>
        <n v="10206.912"/>
        <n v="8027.6295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2033"/>
        <n v="19966.940000000002"/>
        <n v="710.89600000000007"/>
        <n v="15994.476000000001"/>
        <n v="1627.5"/>
        <n v="9637.92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20296.699499999999"/>
        <n v="18364.36"/>
        <n v="21141.6165"/>
        <n v="14800.96"/>
        <n v="6001.35"/>
        <n v="7772.34"/>
        <n v="7902.9600000000009"/>
        <n v="24621.239999999998"/>
        <n v="4698.26"/>
        <n v="688.2"/>
        <n v="15492.065999999999"/>
        <n v="3745.2870000000003"/>
        <n v="3462.52"/>
        <n v="8767.1699999999983"/>
        <n v="8516.4480000000003"/>
        <n v="11826.844500000001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79999999994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515.15"/>
        <n v="24409.552499999998"/>
        <n v="7955.04"/>
        <n v="336.12800000000004"/>
        <n v="1308.2624999999998"/>
        <n v="1631.1120000000001"/>
        <n v="7266.0599999999995"/>
        <n v="1858.08"/>
        <n v="25021.832500000004"/>
        <n v="3710.72"/>
        <n v="8487.8319999999985"/>
        <n v="3110.2950000000001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  <m/>
      </sharedItems>
    </cacheField>
    <cacheField name="calculated_profit" numFmtId="0">
      <sharedItems containsBlank="1" containsMixedTypes="1" containsNumber="1" minValue="41.370000000000346" maxValue="15225.999000000003" count="872">
        <n v="3207.3899999999994"/>
        <n v="2407.7700000000004"/>
        <s v="NA"/>
        <n v="1521.1649999999991"/>
        <n v="3110.9500000000007"/>
        <n v="993.88400000000001"/>
        <n v="1120.3079999999991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842.4550000000017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4999999991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80000000019"/>
        <n v="1787.9589999999998"/>
        <n v="767.24999999999955"/>
        <n v="1437.2604999999994"/>
        <n v="2421.7689999999993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600000000026"/>
        <n v="7925.6499999999978"/>
        <n v="895.14499999999953"/>
        <n v="9004.9740000000038"/>
        <n v="3858.8180000000002"/>
        <n v="888.77"/>
        <n v="6917.4060000000027"/>
        <n v="5103.1100000000042"/>
        <n v="1683.7300000000014"/>
        <n v="1324.4179999999997"/>
        <n v="5599.4700000000012"/>
        <n v="3913.5559999999987"/>
        <n v="1794.9799999999996"/>
        <n v="3979.1699999999983"/>
        <n v="4432.8100000000013"/>
        <n v="2483.0599999999995"/>
        <n v="1151.3380000000006"/>
        <n v="2302.0750000000007"/>
        <n v="226.10000000000002"/>
        <n v="2298.6899999999996"/>
        <n v="3337.6665000000012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1913.8600000000006"/>
        <n v="366.61000000000013"/>
        <n v="565.7360000000001"/>
        <n v="5653.6899999999987"/>
        <n v="143.86999999999995"/>
        <n v="180.77999999999997"/>
        <n v="4967.2350000000006"/>
        <n v="1734.8520000000003"/>
        <n v="2256.31"/>
        <n v="1019.5074999999997"/>
        <n v="3090.4285"/>
        <n v="211.95999999999992"/>
        <n v="647.66200000000003"/>
        <n v="409.86000000000013"/>
        <n v="6055.07"/>
        <n v="524.10500000000002"/>
        <n v="1473.3300000000002"/>
        <n v="9757.2860000000037"/>
        <n v="3676.2840000000015"/>
        <n v="9947.5200000000023"/>
        <n v="3736.9800000000005"/>
        <n v="2139.8900000000012"/>
        <n v="1136.5169999999998"/>
        <n v="1087.7849999999994"/>
        <n v="1152.3900000000001"/>
        <n v="4368.1874999999982"/>
        <n v="5246.91"/>
        <n v="4004.9029999999984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5000000011"/>
        <n v="869.24199999999973"/>
        <n v="1608.1829999999995"/>
        <n v="8142.9749999999985"/>
        <n v="751.95600000000059"/>
        <n v="736.0100000000001"/>
        <n v="9358.3100000000013"/>
        <n v="3201.5120000000006"/>
        <n v="817.82500000000005"/>
        <n v="3798.0499999999993"/>
        <n v="596.74"/>
        <n v="5280.0744999999988"/>
        <n v="531.38999999999987"/>
        <n v="2036.3499999999995"/>
        <n v="1203.96"/>
        <n v="4631.7125000000015"/>
        <n v="7862.5919999999987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1544.0700000000006"/>
        <n v="3378.6040000000003"/>
        <n v="1905.1144999999997"/>
        <n v="2037.3099999999995"/>
        <n v="755.04100000000017"/>
        <n v="3333.6199999999953"/>
        <n v="448.38099999999986"/>
        <n v="4397.47"/>
        <n v="3710.9000000000015"/>
        <n v="1941.0840000000007"/>
        <n v="151.24899999999997"/>
        <n v="406.15599999999995"/>
        <n v="863.24200000000019"/>
        <n v="143.88"/>
        <n v="756.31000000000029"/>
        <n v="364.92000000000007"/>
        <n v="2365.4579999999996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3486.1079999999993"/>
        <n v="1348.2059999999997"/>
        <n v="8119.4500000000007"/>
        <n v="522.39"/>
        <n v="5151"/>
        <n v="972.48700000000008"/>
        <n v="877.21299999999997"/>
        <n v="573.40250000000003"/>
        <n v="1163.6645000000001"/>
        <n v="3122.7500000000009"/>
        <n v="2249.4259999999995"/>
        <n v="4299.204999999999"/>
        <n v="110.53999999999996"/>
        <n v="4859.0200000000004"/>
        <n v="1701.7710000000006"/>
        <n v="4081.0729999999985"/>
        <n v="5843.2900000000009"/>
        <n v="7467.8200000000015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29999999992"/>
        <n v="2470.56"/>
        <n v="3475.8799999999992"/>
        <n v="7288.7155000000021"/>
        <n v="1378.63"/>
        <n v="1273.0950000000003"/>
        <n v="7827.9480000000003"/>
        <n v="4318.7300000000014"/>
        <n v="660.26600000000042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811.1004999999999"/>
        <n v="1632.348"/>
        <n v="1386.9939999999997"/>
        <n v="3777.6499999999987"/>
        <n v="5241.5139999999992"/>
        <n v="1375.67"/>
        <n v="780.54"/>
        <n v="1591.0300000000002"/>
        <n v="5915.09"/>
        <n v="1931.3599999999992"/>
        <n v="2005.3929999999991"/>
        <n v="2507.1999999999989"/>
        <n v="1239.7409999999991"/>
        <n v="687.24700000000018"/>
        <n v="1955.9399999999996"/>
        <n v="9118.6599999999962"/>
        <n v="6434.5550000000003"/>
        <n v="3556.795000000001"/>
        <n v="6971.241"/>
        <n v="1971.8720000000008"/>
        <n v="341.59400000000028"/>
        <n v="3774.7050000000008"/>
        <n v="9439.1539999999986"/>
        <n v="2580.2379999999994"/>
        <n v="1630.0900000000001"/>
        <n v="487.55200000000013"/>
        <n v="2956.4900000000016"/>
        <n v="4610.25"/>
        <n v="10534.378000000004"/>
        <n v="775.53400000000033"/>
        <n v="5736.2390000000005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939.52000000000021"/>
        <n v="2960.7180000000008"/>
        <n v="3706.3589999999995"/>
        <n v="300.89800000000014"/>
        <n v="3694.08"/>
        <n v="3902.7674999999999"/>
        <n v="1408.98"/>
        <n v="2769.7799999999988"/>
        <n v="6751.0939999999991"/>
        <n v="279.20000000000005"/>
        <n v="4265.2699999999995"/>
        <n v="1789.29"/>
        <n v="1013"/>
        <n v="3571.4625000000015"/>
        <n v="4751.8690000000006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55"/>
        <n v="4343.5125000000007"/>
        <n v="2143.1040000000012"/>
        <n v="1119.1400000000003"/>
        <n v="4259.0200000000004"/>
        <n v="4485.714000000000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4999999992"/>
        <n v="2228.73"/>
        <n v="3531.59"/>
        <n v="2968.8099999999995"/>
        <n v="4936.8989999999994"/>
        <n v="567.10449999999992"/>
        <n v="2205.3304999999982"/>
        <n v="4300.746000000001"/>
        <n v="3174.4199999999996"/>
        <n v="2480.0199999999995"/>
        <n v="1472.75"/>
        <n v="6241.79"/>
        <n v="370.99249999999984"/>
        <n v="1420.9940000000015"/>
        <n v="810.15999999999985"/>
        <n v="2826.76"/>
        <n v="3157.2200000000003"/>
        <n v="3618.4775"/>
        <n v="5837.9799999999977"/>
        <n v="2068.5700000000015"/>
        <n v="1353.6399999999999"/>
        <n v="1197.5300000000004"/>
        <n v="859.75400000000013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1275.135"/>
        <n v="2314.7799999999988"/>
        <n v="1288.0099999999998"/>
        <n v="6382.0275000000001"/>
        <n v="152.4799999999999"/>
        <n v="6229.1029999999992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58"/>
        <n v="1420.5974999999994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400000000005"/>
        <n v="1222.1800000000003"/>
        <n v="1195.4599999999996"/>
        <n v="407.63349999999991"/>
        <n v="2234.2559999999994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4999999991"/>
        <n v="1912.1320000000014"/>
        <n v="4035.0540000000001"/>
        <n v="2461.7400000000007"/>
        <n v="5059.2700000000004"/>
        <n v="1386.48"/>
        <n v="4447.2574999999988"/>
        <n v="3356.9700000000012"/>
        <n v="3217.884"/>
        <n v="1374.8000000000002"/>
        <n v="4232.9040000000023"/>
        <n v="1562.2025000000012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"/>
        <n v="2186.81"/>
        <n v="4399.5400000000027"/>
        <n v="440.24599999999998"/>
        <n v="2486.5620000000017"/>
        <n v="11130.693000000003"/>
        <n v="1167.9800000000002"/>
        <n v="1811.29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64"/>
        <n v="1365.4839999999999"/>
        <n v="2982.6460000000006"/>
        <n v="457.0740000000003"/>
        <n v="249.36500000000001"/>
        <n v="3938.7599999999984"/>
        <n v="4210.4339999999975"/>
        <n v="1088.3220000000006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5000000001"/>
        <n v="2678.3849999999993"/>
        <n v="1848.786000000001"/>
        <n v="9229.1959999999999"/>
        <n v="647.3599999999999"/>
        <n v="2655.8380000000016"/>
        <n v="1887.2124999999987"/>
        <n v="5111.0920000000006"/>
        <n v="715.96449999999993"/>
        <n v="3310.5069999999996"/>
        <n v="8495.0299999999988"/>
        <n v="1150.9000000000005"/>
        <n v="12208.226000000002"/>
        <n v="4297.3600000000015"/>
        <n v="564.08000000000004"/>
        <n v="3726.1999999999989"/>
        <n v="8255.9894999999997"/>
        <n v="4253.2900000000009"/>
        <n v="6310.6805000000004"/>
        <n v="87.013000000000034"/>
        <n v="7969.9369999999981"/>
        <n v="41.370000000000346"/>
        <n v="2562.9040000000005"/>
        <n v="2214.7820000000011"/>
        <n v="7595.9649999999983"/>
        <n v="467.05450000000019"/>
        <n v="5250.1200000000026"/>
        <n v="587.9050000000002"/>
        <n v="4453.5220000000045"/>
        <n v="2894.59"/>
        <n v="1394.0480000000007"/>
        <n v="105.04949999999997"/>
        <n v="3397.380000000001"/>
        <n v="3746.6069999999982"/>
        <n v="3944.8824999999988"/>
        <n v="4993.8590000000004"/>
        <n v="219.39"/>
        <n v="1999.2890000000007"/>
        <n v="3442.3820000000005"/>
        <n v="2531.5394999999999"/>
        <n v="2115.1725000000006"/>
        <n v="1239.0160000000001"/>
        <n v="2339.8199999999993"/>
        <n v="1391.46"/>
        <n v="7257.5229999999974"/>
        <n v="5249.880000000001"/>
        <n v="5267.6100000000024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97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5"/>
        <n v="2244.9700000000012"/>
        <n v="3380.0319999999992"/>
        <n v="5273.8050000000039"/>
        <n v="592.70000000000005"/>
        <n v="681.38249999999971"/>
        <n v="861.24500000000012"/>
        <n v="1985.5300000000007"/>
        <n v="2856.0899999999997"/>
        <n v="5396.6730000000025"/>
        <n v="8410.0139999999992"/>
        <n v="1375.6699999999996"/>
        <n v="2515.4225000000006"/>
        <n v="1195.3174999999992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4999999992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2694.340000000002"/>
        <n v="572.13799999999992"/>
        <n v="4119.47"/>
        <n v="5990.7925000000014"/>
        <n v="2789.3080000000009"/>
        <n v="1974.8720000000003"/>
        <n v="3111.5180000000009"/>
        <n v="468.79499999999985"/>
        <n v="343.76600000000008"/>
        <n v="2843.87"/>
        <n v="3270.0274999999992"/>
        <n v="10046.063999999998"/>
        <n v="3335.155999999999"/>
        <n v="5478.6040000000003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741.58999999999992"/>
        <n v="7276.1100000000024"/>
        <n v="197.01600000000008"/>
        <n v="6770.1959999999999"/>
        <n v="687.6"/>
        <n v="2308.63"/>
        <n v="471.17399999999998"/>
        <n v="2057.5139999999997"/>
        <n v="42.348499999999945"/>
        <n v="719.60999999999967"/>
        <n v="528.73000000000025"/>
        <n v="1875.71"/>
        <n v="2615.6320000000005"/>
        <n v="13465.180500000002"/>
        <n v="4145.9075000000003"/>
        <n v="5376.08"/>
        <n v="402.89"/>
        <n v="1078.5499999999997"/>
        <n v="5375.829499999998"/>
        <n v="2918.5500000000011"/>
        <n v="9465.2865000000002"/>
        <n v="2752.5699999999997"/>
        <n v="1818.3600000000006"/>
        <n v="3658.6800000000003"/>
        <n v="2390.9300000000012"/>
        <n v="7465.7599999999984"/>
        <n v="2043.3400000000001"/>
        <n v="190.52000000000004"/>
        <n v="2910.8359999999993"/>
        <n v="1442.6370000000002"/>
        <n v="665.23"/>
        <n v="3668.9699999999984"/>
        <n v="2612.6379999999999"/>
        <n v="3790.884500000001"/>
        <n v="2001.8099999999995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3325.3179999999993"/>
        <n v="1692.7679999999991"/>
        <n v="1464.2700000000004"/>
        <n v="1716.2724999999996"/>
        <n v="2803.3599999999988"/>
        <n v="85.347500000000025"/>
        <n v="4700.4799999999996"/>
        <n v="4409.6000000000004"/>
        <n v="1054.9369999999999"/>
        <n v="6860.003999999999"/>
        <n v="1061.1279999999992"/>
        <n v="1530.9359999999997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3717.6929999999993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5000000001"/>
        <n v="2750.3000000000011"/>
        <n v="3257.0200000000004"/>
        <n v="3130.4199999999992"/>
        <n v="475.65999999999963"/>
        <n v="1898.4349999999995"/>
        <n v="677.096"/>
        <n v="2029.8880000000008"/>
        <n v="4445.0640000000003"/>
        <n v="821.19999999999982"/>
        <n v="403.40499999999997"/>
        <n v="3971.8039999999964"/>
        <n v="1507.6624999999985"/>
        <n v="3337.5049999999974"/>
        <n v="745.43099999999959"/>
        <n v="466.44999999999982"/>
        <n v="1931.9799999999996"/>
        <n v="1734.2700000000004"/>
        <n v="1899.4250000000002"/>
        <n v="754.27999999999975"/>
        <n v="5509.0775000000031"/>
        <n v="5861.4900000000007"/>
        <n v="2456.75"/>
        <n v="1135.152000000001"/>
        <n v="4373.34"/>
        <n v="3552.9699999999975"/>
        <n v="609.55000000000018"/>
        <n v="7421.5820000000022"/>
        <n v="350.34499999999991"/>
        <n v="3387.24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88"/>
        <n v="9168.3499999999985"/>
        <n v="3357.873999999998"/>
        <n v="3164.49"/>
        <n v="5697.9499999999989"/>
        <n v="707.78750000000036"/>
        <n v="4498.8819999999978"/>
        <n v="2040.8740000000007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98.81"/>
        <n v="7251.9724999999962"/>
        <n v="2374.3599999999997"/>
        <n v="93.938000000000045"/>
        <n v="224.70249999999987"/>
        <n v="732.38200000000006"/>
        <n v="1049.1699999999992"/>
        <n v="267.32999999999993"/>
        <n v="9477.3925000000036"/>
        <n v="595.42999999999984"/>
        <n v="3242.1119999999983"/>
        <n v="1009.2649999999999"/>
        <n v="2013.375"/>
        <n v="4435.1200000000008"/>
        <n v="8792.6999999999953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20000000024"/>
        <n v="6352.75"/>
        <n v="951.17399999999998"/>
        <n v="2512.4359999999997"/>
        <n v="1594.723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97"/>
        <n v="157.65200000000004"/>
        <n v="281.52650000000006"/>
        <n v="8812.3700000000026"/>
        <n v="976.12199999999962"/>
        <n v="680.31849999999986"/>
        <n v="1162.8400000000001"/>
        <n v="1070.6700000000005"/>
        <n v="1024.6400000000003"/>
        <m/>
      </sharedItems>
    </cacheField>
    <cacheField name="profit_margin" numFmtId="0">
      <sharedItems containsBlank="1" containsMixedTypes="1" containsNumber="1" minValue="1.91010457787937E-2" maxValue="0.58704683753946907"/>
    </cacheField>
    <cacheField name="order_date_22" numFmtId="0">
      <sharedItems containsBlank="1"/>
    </cacheField>
    <cacheField name="ship_date_32" numFmtId="0">
      <sharedItems containsBlank="1"/>
    </cacheField>
    <cacheField name="order_month" numFmtId="0">
      <sharedItems containsBlank="1"/>
    </cacheField>
    <cacheField name="order_year" numFmtId="0">
      <sharedItems containsBlank="1"/>
    </cacheField>
    <cacheField name="Ship dates_earlier than_Order dates2" numFmtId="0">
      <sharedItems containsBlank="1"/>
    </cacheField>
    <cacheField name="shipping_delay_days2" numFmtId="0">
      <sharedItems containsBlank="1" containsMixedTypes="1" containsNumber="1" containsInteger="1" minValue="-323" maxValue="297"/>
    </cacheField>
    <cacheField name="Duplicate_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kha Srivastava" refreshedDate="46200.728047916666" createdVersion="8" refreshedVersion="8" minRefreshableVersion="3" recordCount="933" xr:uid="{907CAECA-5F0A-4747-B52C-EF0481CAB06B}">
  <cacheSource type="worksheet">
    <worksheetSource ref="S1:AV1048576" sheet="Cleaned_orders"/>
  </cacheSource>
  <cacheFields count="30">
    <cacheField name="profit" numFmtId="0">
      <sharedItems containsString="0" containsBlank="1" containsNumber="1" minValue="42.35" maxValue="15226"/>
    </cacheField>
    <cacheField name="payment_status" numFmtId="0">
      <sharedItems containsBlank="1" count="5">
        <s v="Paid"/>
        <s v="Refunded"/>
        <s v="Pending"/>
        <s v="Failed"/>
        <m/>
      </sharedItems>
    </cacheField>
    <cacheField name="order_status" numFmtId="0">
      <sharedItems containsBlank="1" count="4">
        <s v="Completed"/>
        <s v="Cancelled"/>
        <s v="Returned"/>
        <m/>
      </sharedItems>
    </cacheField>
    <cacheField name="Field4" caption="Field4" numFmtId="0">
      <sharedItems containsNonDate="0" containsString="0" containsBlank="1"/>
    </cacheField>
    <cacheField name="order_id_1" numFmtId="0">
      <sharedItems containsBlank="1" count="901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  <m/>
      </sharedItems>
    </cacheField>
    <cacheField name="order_date_2" numFmtId="0">
      <sharedItems containsBlank="1"/>
    </cacheField>
    <cacheField name="ship_date_3" numFmtId="0">
      <sharedItems containsBlank="1"/>
    </cacheField>
    <cacheField name="customer_id_4" numFmtId="0">
      <sharedItems containsBlank="1"/>
    </cacheField>
    <cacheField name="customer_name_5" numFmtId="0">
      <sharedItems containsBlank="1"/>
    </cacheField>
    <cacheField name="segment_6" numFmtId="0">
      <sharedItems containsBlank="1" count="5">
        <s v="Consumer"/>
        <s v="Small Business"/>
        <s v="Corporate"/>
        <s v="Home Office"/>
        <m/>
      </sharedItems>
    </cacheField>
    <cacheField name="region_7" numFmtId="0">
      <sharedItems containsBlank="1" count="6">
        <s v="North"/>
        <s v="East"/>
        <s v="South"/>
        <s v="West"/>
        <s v="unknown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_category" numFmtId="0">
      <sharedItems containsBlank="1" count="14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  <m/>
      </sharedItems>
    </cacheField>
    <cacheField name="product_name" numFmtId="0">
      <sharedItems containsBlank="1"/>
    </cacheField>
    <cacheField name="ship_mode" numFmtId="0">
      <sharedItems containsBlank="1" count="6">
        <s v="Second Class"/>
        <s v="Same Day"/>
        <s v="First Class"/>
        <s v="Standard Class"/>
        <s v="unknown"/>
        <m/>
      </sharedItems>
    </cacheField>
    <cacheField name="Ship dates_earlier than_Order dates" numFmtId="0">
      <sharedItems containsBlank="1"/>
    </cacheField>
    <cacheField name="shipping_delay_days" numFmtId="0">
      <sharedItems containsBlank="1" containsMixedTypes="1" containsNumber="1" containsInteger="1" minValue="-323" maxValue="297"/>
    </cacheField>
    <cacheField name="cleaned_discount" numFmtId="0">
      <sharedItems containsBlank="1" containsMixedTypes="1" containsNumber="1" minValue="0" maxValue="0.25"/>
    </cacheField>
    <cacheField name="calculated_sales" numFmtId="0">
      <sharedItems containsBlank="1" containsMixedTypes="1" containsNumber="1" minValue="217.47750000000002" maxValue="36782.271000000008" count="872">
        <n v="19049.28"/>
        <n v="7312.5"/>
        <s v="NA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6398.975000000002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6321.0800000000008"/>
        <n v="1884.3000000000002"/>
        <n v="1458.9360000000001"/>
        <n v="17414.599999999999"/>
        <n v="511.04999999999995"/>
        <n v="634.13"/>
        <n v="14558.715"/>
        <n v="4303.4220000000005"/>
        <n v="5774.67"/>
        <n v="4386.3874999999998"/>
        <n v="18229.5785"/>
        <n v="873.68"/>
        <n v="2692.152"/>
        <n v="1066.1600000000001"/>
        <n v="22930.62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3136.096"/>
        <n v="20835.899999999998"/>
        <n v="1212.9000000000001"/>
        <n v="5697.8339999999998"/>
        <n v="4049.5140000000001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3784.7239999999997"/>
        <n v="6635.5560000000005"/>
        <n v="2485.5040000000004"/>
        <n v="850.34500000000003"/>
        <n v="9997.8299999999981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71.529"/>
        <n v="10206.912"/>
        <n v="8027.6295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2033"/>
        <n v="19966.940000000002"/>
        <n v="710.89600000000007"/>
        <n v="15994.476000000001"/>
        <n v="1627.5"/>
        <n v="9637.92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20296.699499999999"/>
        <n v="18364.36"/>
        <n v="21141.6165"/>
        <n v="14800.96"/>
        <n v="6001.35"/>
        <n v="7772.34"/>
        <n v="7902.9600000000009"/>
        <n v="24621.239999999998"/>
        <n v="4698.26"/>
        <n v="688.2"/>
        <n v="15492.065999999999"/>
        <n v="3745.2870000000003"/>
        <n v="3462.52"/>
        <n v="8767.1699999999983"/>
        <n v="8516.4480000000003"/>
        <n v="11826.844500000001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79999999994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515.15"/>
        <n v="24409.552499999998"/>
        <n v="7955.04"/>
        <n v="336.12800000000004"/>
        <n v="1308.2624999999998"/>
        <n v="1631.1120000000001"/>
        <n v="7266.0599999999995"/>
        <n v="1858.08"/>
        <n v="25021.832500000004"/>
        <n v="3710.72"/>
        <n v="8487.8319999999985"/>
        <n v="3110.2950000000001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  <m/>
      </sharedItems>
    </cacheField>
    <cacheField name="calculated_profit" numFmtId="0">
      <sharedItems containsBlank="1" containsMixedTypes="1" containsNumber="1" minValue="41.370000000000346" maxValue="15225.999000000003" count="872">
        <n v="3207.3899999999994"/>
        <n v="2407.7700000000004"/>
        <s v="NA"/>
        <n v="1521.1649999999991"/>
        <n v="3110.9500000000007"/>
        <n v="993.88400000000001"/>
        <n v="1120.3079999999991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842.4550000000017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4999999991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80000000019"/>
        <n v="1787.9589999999998"/>
        <n v="767.24999999999955"/>
        <n v="1437.2604999999994"/>
        <n v="2421.7689999999993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600000000026"/>
        <n v="7925.6499999999978"/>
        <n v="895.14499999999953"/>
        <n v="9004.9740000000038"/>
        <n v="3858.8180000000002"/>
        <n v="888.77"/>
        <n v="6917.4060000000027"/>
        <n v="5103.1100000000042"/>
        <n v="1683.7300000000014"/>
        <n v="1324.4179999999997"/>
        <n v="5599.4700000000012"/>
        <n v="3913.5559999999987"/>
        <n v="1794.9799999999996"/>
        <n v="3979.1699999999983"/>
        <n v="4432.8100000000013"/>
        <n v="2483.0599999999995"/>
        <n v="1151.3380000000006"/>
        <n v="2302.0750000000007"/>
        <n v="226.10000000000002"/>
        <n v="2298.6899999999996"/>
        <n v="3337.6665000000012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1913.8600000000006"/>
        <n v="366.61000000000013"/>
        <n v="565.7360000000001"/>
        <n v="5653.6899999999987"/>
        <n v="143.86999999999995"/>
        <n v="180.77999999999997"/>
        <n v="4967.2350000000006"/>
        <n v="1734.8520000000003"/>
        <n v="2256.31"/>
        <n v="1019.5074999999997"/>
        <n v="3090.4285"/>
        <n v="211.95999999999992"/>
        <n v="647.66200000000003"/>
        <n v="409.86000000000013"/>
        <n v="6055.07"/>
        <n v="524.10500000000002"/>
        <n v="1473.3300000000002"/>
        <n v="9757.2860000000037"/>
        <n v="3676.2840000000015"/>
        <n v="9947.5200000000023"/>
        <n v="3736.9800000000005"/>
        <n v="2139.8900000000012"/>
        <n v="1136.5169999999998"/>
        <n v="1087.7849999999994"/>
        <n v="1152.3900000000001"/>
        <n v="4368.1874999999982"/>
        <n v="5246.91"/>
        <n v="4004.9029999999984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5000000011"/>
        <n v="869.24199999999973"/>
        <n v="1608.1829999999995"/>
        <n v="8142.9749999999985"/>
        <n v="751.95600000000059"/>
        <n v="736.0100000000001"/>
        <n v="9358.3100000000013"/>
        <n v="3201.5120000000006"/>
        <n v="817.82500000000005"/>
        <n v="3798.0499999999993"/>
        <n v="596.74"/>
        <n v="5280.0744999999988"/>
        <n v="531.38999999999987"/>
        <n v="2036.3499999999995"/>
        <n v="1203.96"/>
        <n v="4631.7125000000015"/>
        <n v="7862.5919999999987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1544.0700000000006"/>
        <n v="3378.6040000000003"/>
        <n v="1905.1144999999997"/>
        <n v="2037.3099999999995"/>
        <n v="755.04100000000017"/>
        <n v="3333.6199999999953"/>
        <n v="448.38099999999986"/>
        <n v="4397.47"/>
        <n v="3710.9000000000015"/>
        <n v="1941.0840000000007"/>
        <n v="151.24899999999997"/>
        <n v="406.15599999999995"/>
        <n v="863.24200000000019"/>
        <n v="143.88"/>
        <n v="756.31000000000029"/>
        <n v="364.92000000000007"/>
        <n v="2365.4579999999996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3486.1079999999993"/>
        <n v="1348.2059999999997"/>
        <n v="8119.4500000000007"/>
        <n v="522.39"/>
        <n v="5151"/>
        <n v="972.48700000000008"/>
        <n v="877.21299999999997"/>
        <n v="573.40250000000003"/>
        <n v="1163.6645000000001"/>
        <n v="3122.7500000000009"/>
        <n v="2249.4259999999995"/>
        <n v="4299.204999999999"/>
        <n v="110.53999999999996"/>
        <n v="4859.0200000000004"/>
        <n v="1701.7710000000006"/>
        <n v="4081.0729999999985"/>
        <n v="5843.2900000000009"/>
        <n v="7467.8200000000015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29999999992"/>
        <n v="2470.56"/>
        <n v="3475.8799999999992"/>
        <n v="7288.7155000000021"/>
        <n v="1378.63"/>
        <n v="1273.0950000000003"/>
        <n v="7827.9480000000003"/>
        <n v="4318.7300000000014"/>
        <n v="660.26600000000042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811.1004999999999"/>
        <n v="1632.348"/>
        <n v="1386.9939999999997"/>
        <n v="3777.6499999999987"/>
        <n v="5241.5139999999992"/>
        <n v="1375.67"/>
        <n v="780.54"/>
        <n v="1591.0300000000002"/>
        <n v="5915.09"/>
        <n v="1931.3599999999992"/>
        <n v="2005.3929999999991"/>
        <n v="2507.1999999999989"/>
        <n v="1239.7409999999991"/>
        <n v="687.24700000000018"/>
        <n v="1955.9399999999996"/>
        <n v="9118.6599999999962"/>
        <n v="6434.5550000000003"/>
        <n v="3556.795000000001"/>
        <n v="6971.241"/>
        <n v="1971.8720000000008"/>
        <n v="341.59400000000028"/>
        <n v="3774.7050000000008"/>
        <n v="9439.1539999999986"/>
        <n v="2580.2379999999994"/>
        <n v="1630.0900000000001"/>
        <n v="487.55200000000013"/>
        <n v="2956.4900000000016"/>
        <n v="4610.25"/>
        <n v="10534.378000000004"/>
        <n v="775.53400000000033"/>
        <n v="5736.2390000000005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939.52000000000021"/>
        <n v="2960.7180000000008"/>
        <n v="3706.3589999999995"/>
        <n v="300.89800000000014"/>
        <n v="3694.08"/>
        <n v="3902.7674999999999"/>
        <n v="1408.98"/>
        <n v="2769.7799999999988"/>
        <n v="6751.0939999999991"/>
        <n v="279.20000000000005"/>
        <n v="4265.2699999999995"/>
        <n v="1789.29"/>
        <n v="1013"/>
        <n v="3571.4625000000015"/>
        <n v="4751.8690000000006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55"/>
        <n v="4343.5125000000007"/>
        <n v="2143.1040000000012"/>
        <n v="1119.1400000000003"/>
        <n v="4259.0200000000004"/>
        <n v="4485.714000000000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4999999992"/>
        <n v="2228.73"/>
        <n v="3531.59"/>
        <n v="2968.8099999999995"/>
        <n v="4936.8989999999994"/>
        <n v="567.10449999999992"/>
        <n v="2205.3304999999982"/>
        <n v="4300.746000000001"/>
        <n v="3174.4199999999996"/>
        <n v="2480.0199999999995"/>
        <n v="1472.75"/>
        <n v="6241.79"/>
        <n v="370.99249999999984"/>
        <n v="1420.9940000000015"/>
        <n v="810.15999999999985"/>
        <n v="2826.76"/>
        <n v="3157.2200000000003"/>
        <n v="3618.4775"/>
        <n v="5837.9799999999977"/>
        <n v="2068.5700000000015"/>
        <n v="1353.6399999999999"/>
        <n v="1197.5300000000004"/>
        <n v="859.75400000000013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1275.135"/>
        <n v="2314.7799999999988"/>
        <n v="1288.0099999999998"/>
        <n v="6382.0275000000001"/>
        <n v="152.4799999999999"/>
        <n v="6229.1029999999992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58"/>
        <n v="1420.5974999999994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400000000005"/>
        <n v="1222.1800000000003"/>
        <n v="1195.4599999999996"/>
        <n v="407.63349999999991"/>
        <n v="2234.2559999999994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4999999991"/>
        <n v="1912.1320000000014"/>
        <n v="4035.0540000000001"/>
        <n v="2461.7400000000007"/>
        <n v="5059.2700000000004"/>
        <n v="1386.48"/>
        <n v="4447.2574999999988"/>
        <n v="3356.9700000000012"/>
        <n v="3217.884"/>
        <n v="1374.8000000000002"/>
        <n v="4232.9040000000023"/>
        <n v="1562.2025000000012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"/>
        <n v="2186.81"/>
        <n v="4399.5400000000027"/>
        <n v="440.24599999999998"/>
        <n v="2486.5620000000017"/>
        <n v="11130.693000000003"/>
        <n v="1167.9800000000002"/>
        <n v="1811.29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64"/>
        <n v="1365.4839999999999"/>
        <n v="2982.6460000000006"/>
        <n v="457.0740000000003"/>
        <n v="249.36500000000001"/>
        <n v="3938.7599999999984"/>
        <n v="4210.4339999999975"/>
        <n v="1088.3220000000006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5000000001"/>
        <n v="2678.3849999999993"/>
        <n v="1848.786000000001"/>
        <n v="9229.1959999999999"/>
        <n v="647.3599999999999"/>
        <n v="2655.8380000000016"/>
        <n v="1887.2124999999987"/>
        <n v="5111.0920000000006"/>
        <n v="715.96449999999993"/>
        <n v="3310.5069999999996"/>
        <n v="8495.0299999999988"/>
        <n v="1150.9000000000005"/>
        <n v="12208.226000000002"/>
        <n v="4297.3600000000015"/>
        <n v="564.08000000000004"/>
        <n v="3726.1999999999989"/>
        <n v="8255.9894999999997"/>
        <n v="4253.2900000000009"/>
        <n v="6310.6805000000004"/>
        <n v="87.013000000000034"/>
        <n v="7969.9369999999981"/>
        <n v="41.370000000000346"/>
        <n v="2562.9040000000005"/>
        <n v="2214.7820000000011"/>
        <n v="7595.9649999999983"/>
        <n v="467.05450000000019"/>
        <n v="5250.1200000000026"/>
        <n v="587.9050000000002"/>
        <n v="4453.5220000000045"/>
        <n v="2894.59"/>
        <n v="1394.0480000000007"/>
        <n v="105.04949999999997"/>
        <n v="3397.380000000001"/>
        <n v="3746.6069999999982"/>
        <n v="3944.8824999999988"/>
        <n v="4993.8590000000004"/>
        <n v="219.39"/>
        <n v="1999.2890000000007"/>
        <n v="3442.3820000000005"/>
        <n v="2531.5394999999999"/>
        <n v="2115.1725000000006"/>
        <n v="1239.0160000000001"/>
        <n v="2339.8199999999993"/>
        <n v="1391.46"/>
        <n v="7257.5229999999974"/>
        <n v="5249.880000000001"/>
        <n v="5267.6100000000024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97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5"/>
        <n v="2244.9700000000012"/>
        <n v="3380.0319999999992"/>
        <n v="5273.8050000000039"/>
        <n v="592.70000000000005"/>
        <n v="681.38249999999971"/>
        <n v="861.24500000000012"/>
        <n v="1985.5300000000007"/>
        <n v="2856.0899999999997"/>
        <n v="5396.6730000000025"/>
        <n v="8410.0139999999992"/>
        <n v="1375.6699999999996"/>
        <n v="2515.4225000000006"/>
        <n v="1195.3174999999992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4999999992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2694.340000000002"/>
        <n v="572.13799999999992"/>
        <n v="4119.47"/>
        <n v="5990.7925000000014"/>
        <n v="2789.3080000000009"/>
        <n v="1974.8720000000003"/>
        <n v="3111.5180000000009"/>
        <n v="468.79499999999985"/>
        <n v="343.76600000000008"/>
        <n v="2843.87"/>
        <n v="3270.0274999999992"/>
        <n v="10046.063999999998"/>
        <n v="3335.155999999999"/>
        <n v="5478.6040000000003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741.58999999999992"/>
        <n v="7276.1100000000024"/>
        <n v="197.01600000000008"/>
        <n v="6770.1959999999999"/>
        <n v="687.6"/>
        <n v="2308.63"/>
        <n v="471.17399999999998"/>
        <n v="2057.5139999999997"/>
        <n v="42.348499999999945"/>
        <n v="719.60999999999967"/>
        <n v="528.73000000000025"/>
        <n v="1875.71"/>
        <n v="2615.6320000000005"/>
        <n v="13465.180500000002"/>
        <n v="4145.9075000000003"/>
        <n v="5376.08"/>
        <n v="402.89"/>
        <n v="1078.5499999999997"/>
        <n v="5375.829499999998"/>
        <n v="2918.5500000000011"/>
        <n v="9465.2865000000002"/>
        <n v="2752.5699999999997"/>
        <n v="1818.3600000000006"/>
        <n v="3658.6800000000003"/>
        <n v="2390.9300000000012"/>
        <n v="7465.7599999999984"/>
        <n v="2043.3400000000001"/>
        <n v="190.52000000000004"/>
        <n v="2910.8359999999993"/>
        <n v="1442.6370000000002"/>
        <n v="665.23"/>
        <n v="3668.9699999999984"/>
        <n v="2612.6379999999999"/>
        <n v="3790.884500000001"/>
        <n v="2001.8099999999995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3325.3179999999993"/>
        <n v="1692.7679999999991"/>
        <n v="1464.2700000000004"/>
        <n v="1716.2724999999996"/>
        <n v="2803.3599999999988"/>
        <n v="85.347500000000025"/>
        <n v="4700.4799999999996"/>
        <n v="4409.6000000000004"/>
        <n v="1054.9369999999999"/>
        <n v="6860.003999999999"/>
        <n v="1061.1279999999992"/>
        <n v="1530.9359999999997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3717.6929999999993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5000000001"/>
        <n v="2750.3000000000011"/>
        <n v="3257.0200000000004"/>
        <n v="3130.4199999999992"/>
        <n v="475.65999999999963"/>
        <n v="1898.4349999999995"/>
        <n v="677.096"/>
        <n v="2029.8880000000008"/>
        <n v="4445.0640000000003"/>
        <n v="821.19999999999982"/>
        <n v="403.40499999999997"/>
        <n v="3971.8039999999964"/>
        <n v="1507.6624999999985"/>
        <n v="3337.5049999999974"/>
        <n v="745.43099999999959"/>
        <n v="466.44999999999982"/>
        <n v="1931.9799999999996"/>
        <n v="1734.2700000000004"/>
        <n v="1899.4250000000002"/>
        <n v="754.27999999999975"/>
        <n v="5509.0775000000031"/>
        <n v="5861.4900000000007"/>
        <n v="2456.75"/>
        <n v="1135.152000000001"/>
        <n v="4373.34"/>
        <n v="3552.9699999999975"/>
        <n v="609.55000000000018"/>
        <n v="7421.5820000000022"/>
        <n v="350.34499999999991"/>
        <n v="3387.24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88"/>
        <n v="9168.3499999999985"/>
        <n v="3357.873999999998"/>
        <n v="3164.49"/>
        <n v="5697.9499999999989"/>
        <n v="707.78750000000036"/>
        <n v="4498.8819999999978"/>
        <n v="2040.8740000000007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98.81"/>
        <n v="7251.9724999999962"/>
        <n v="2374.3599999999997"/>
        <n v="93.938000000000045"/>
        <n v="224.70249999999987"/>
        <n v="732.38200000000006"/>
        <n v="1049.1699999999992"/>
        <n v="267.32999999999993"/>
        <n v="9477.3925000000036"/>
        <n v="595.42999999999984"/>
        <n v="3242.1119999999983"/>
        <n v="1009.2649999999999"/>
        <n v="2013.375"/>
        <n v="4435.1200000000008"/>
        <n v="8792.6999999999953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20000000024"/>
        <n v="6352.75"/>
        <n v="951.17399999999998"/>
        <n v="2512.4359999999997"/>
        <n v="1594.723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97"/>
        <n v="157.65200000000004"/>
        <n v="281.52650000000006"/>
        <n v="8812.3700000000026"/>
        <n v="976.12199999999962"/>
        <n v="680.31849999999986"/>
        <n v="1162.8400000000001"/>
        <n v="1070.6700000000005"/>
        <n v="1024.6400000000003"/>
        <m/>
      </sharedItems>
    </cacheField>
    <cacheField name="profit_margin" numFmtId="0">
      <sharedItems containsBlank="1" containsMixedTypes="1" containsNumber="1" minValue="1.91010457787937E-2" maxValue="0.58704683753946907" count="872">
        <n v="0.16837329284886357"/>
        <n v="0.32926769230769237"/>
        <s v="NA"/>
        <n v="0.18287772145370204"/>
        <n v="0.14944764492475138"/>
        <n v="0.39323369195367375"/>
        <n v="0.19158561573908275"/>
        <n v="0.20917499521925992"/>
        <n v="0.30814761342607361"/>
        <n v="0.38054062407085737"/>
        <n v="0.39963166545491574"/>
        <n v="0.16513061143099289"/>
        <n v="0.36287216057129545"/>
        <n v="0.15395745361304733"/>
        <n v="0.35075102057712365"/>
        <n v="0.34024962008122872"/>
        <n v="0.43150765305354882"/>
        <n v="0.38342000812166782"/>
        <n v="0.34103774293164635"/>
        <n v="0.4172489439126531"/>
        <n v="0.19375018693816029"/>
        <n v="0.31022760353624351"/>
        <n v="0.18855285551702591"/>
        <n v="0.32272105171323251"/>
        <n v="0.40748265755596835"/>
        <n v="0.30468361647596748"/>
        <n v="0.27151060813570727"/>
        <n v="0.44960789675035673"/>
        <n v="0.34994981479695525"/>
        <n v="0.36155707533696574"/>
        <n v="0.37270269707383108"/>
        <n v="0.19899116203009304"/>
        <n v="0.34787658455317583"/>
        <n v="0.19629789097492437"/>
        <n v="0.28877722585962223"/>
        <n v="0.21822270892025844"/>
        <n v="0.24573448778670692"/>
        <n v="0.31619925954022776"/>
        <n v="0.14670900301681361"/>
        <n v="0.38071972750961069"/>
        <n v="0.39623838393170302"/>
        <n v="0.43211611877163292"/>
        <n v="0.35574833200394929"/>
        <n v="0.41418287739094062"/>
        <n v="0.33709012243780695"/>
        <n v="0.29349107747756592"/>
        <n v="0.26390811660986818"/>
        <n v="0.15017710119267641"/>
        <n v="0.43682173221815163"/>
        <n v="0.18854924698532355"/>
        <n v="0.15824658421630483"/>
        <n v="0.44683950252813498"/>
        <n v="0.4164101861416194"/>
        <n v="0.17833881472883209"/>
        <n v="0.30728343067320318"/>
        <n v="0.14680110993864068"/>
        <n v="0.41553230500654476"/>
        <n v="0.21440001451431487"/>
        <n v="0.27251051639106472"/>
        <n v="0.20886909087079689"/>
        <n v="0.38046714445003244"/>
        <n v="0.37127637903369992"/>
        <n v="0.24474621038125849"/>
        <n v="0.35346696980126674"/>
        <n v="0.34438729547565311"/>
        <n v="0.2205864725815159"/>
        <n v="0.44911477742803041"/>
        <n v="0.15050804158202555"/>
        <n v="0.30505545854846072"/>
        <n v="0.41106704636882413"/>
        <n v="0.26240112695788487"/>
        <n v="0.38528062620113068"/>
        <n v="0.19298818069755644"/>
        <n v="0.31822527482533197"/>
        <n v="0.2546128169522674"/>
        <n v="0.44271414707932583"/>
        <n v="0.25099035486484472"/>
        <n v="0.25949412932411942"/>
        <n v="0.41373974708858663"/>
        <n v="0.44017894468242208"/>
        <n v="0.37394141468592673"/>
        <n v="0.28877165460587362"/>
        <n v="0.23815201889130486"/>
        <n v="0.43482189800210302"/>
        <n v="0.37415071858411825"/>
        <n v="0.33846375254414185"/>
        <n v="0.14342916427990587"/>
        <n v="0.42754389589947911"/>
        <n v="0.40855245758170006"/>
        <n v="0.36618296581957216"/>
        <n v="0.19155471882320479"/>
        <n v="0.19278326875251944"/>
        <n v="0.15997769074507984"/>
        <n v="0.34483694152224009"/>
        <n v="0.38859733619071951"/>
        <n v="0.25773707256497103"/>
        <n v="0.27632634273777024"/>
        <n v="0.41707491934520241"/>
        <n v="0.26886780150361356"/>
        <n v="0.21661822026653077"/>
        <n v="0.14743565445798543"/>
        <n v="0.29059173633004193"/>
        <n v="0.18337388483373887"/>
        <n v="0.28704633320346445"/>
        <n v="0.27216848504878799"/>
        <n v="0.38175143555208291"/>
        <n v="0.37019266399389905"/>
        <n v="0.42062546934640316"/>
        <n v="0.3361379849145234"/>
        <n v="0.39996983695647198"/>
        <n v="0.33081761006289306"/>
        <n v="0.19314303365438173"/>
        <n v="0.35324956706704719"/>
        <n v="0.14746657031286442"/>
        <n v="0.30277420947053357"/>
        <n v="0.19456031417502526"/>
        <n v="0.38777300717783375"/>
        <n v="0.3246523032398102"/>
        <n v="0.28151844242246349"/>
        <n v="0.28508350022865969"/>
        <n v="0.34118636157105903"/>
        <n v="0.40313313451481175"/>
        <n v="0.39072535746631409"/>
        <n v="0.2324253158208206"/>
        <n v="0.16952824773211295"/>
        <n v="0.24260598846259493"/>
        <n v="0.24057408348414205"/>
        <n v="0.38442635251744589"/>
        <n v="0.26406045715292475"/>
        <n v="0.36481684503610895"/>
        <n v="0.43019697615613267"/>
        <n v="0.31295042435821552"/>
        <n v="0.19144416906942829"/>
        <n v="0.41416419979765434"/>
        <n v="0.3627769623261341"/>
        <n v="0.24473646589239059"/>
        <n v="0.28441174196270441"/>
        <n v="0.28202548842442843"/>
        <n v="0.3755487119323459"/>
        <n v="0.38735548782150481"/>
        <n v="0.34849897779850075"/>
        <n v="0.1561975684617263"/>
        <n v="0.37262583095916435"/>
        <n v="0.252736227474888"/>
        <n v="0.32350172315989822"/>
        <n v="0.24435979489643286"/>
        <n v="0.30606668376905555"/>
        <n v="0.25442726098032886"/>
        <n v="0.31554813852523517"/>
        <n v="0.31027334138432372"/>
        <n v="0.23822861794127695"/>
        <n v="0.44495057812225997"/>
        <n v="0.3722038955344541"/>
        <n v="0.40309753223598666"/>
        <n v="0.24025305867748292"/>
        <n v="0.1569977927157114"/>
        <n v="0.44785537388722235"/>
        <n v="0.2615315437171909"/>
        <n v="0.20418675999717339"/>
        <n v="0.34568425679945392"/>
        <n v="0.36985695741637181"/>
        <n v="0.29162186992982386"/>
        <n v="0.22772080417345961"/>
        <n v="0.2078112534609789"/>
        <n v="0.36509168752375548"/>
        <n v="0.23450903396208775"/>
        <n v="0.29087253832971849"/>
        <n v="0.32764592501582057"/>
        <n v="0.20073809781237614"/>
        <n v="0.42299801940856191"/>
        <n v="0.30756493633654297"/>
        <n v="0.42586845885420338"/>
        <n v="0.32773875952009685"/>
        <n v="0.18241237879905162"/>
        <n v="0.42286664783604816"/>
        <n v="0.42838800154183954"/>
        <n v="0.41344039663720622"/>
        <n v="0.31723872502711586"/>
        <n v="0.3547880503433119"/>
        <n v="0.42565637022205227"/>
        <n v="0.16684111366966722"/>
        <n v="0.15955867670689838"/>
        <n v="0.28693321953558582"/>
        <n v="0.23163471992403581"/>
        <n v="0.43502881045373448"/>
        <n v="0.35311192990468659"/>
        <n v="0.17618083732308554"/>
        <n v="0.35973885370935399"/>
        <n v="0.25957945614082772"/>
        <n v="0.21190744891644084"/>
        <n v="0.23072433422837293"/>
        <n v="0.19147874165631312"/>
        <n v="0.39843657667696558"/>
        <n v="0.44711955433136996"/>
        <n v="0.28748882474252369"/>
        <n v="0.14670568168557463"/>
        <n v="0.3119893396921134"/>
        <n v="0.25007357712914968"/>
        <n v="0.2058655471483572"/>
        <n v="0.33440245432994004"/>
        <n v="0.43150645853302305"/>
        <n v="0.3649820469479812"/>
        <n v="0.33761688345609359"/>
        <n v="0.28907914100925591"/>
        <n v="0.15304095264036752"/>
        <n v="0.23011106540518297"/>
        <n v="0.18541110339208763"/>
        <n v="0.19554709159876885"/>
        <n v="0.43188389957531853"/>
        <n v="0.30765851210502188"/>
        <n v="0.26088394520166414"/>
        <n v="0.41386866966083319"/>
        <n v="0.36486258210462036"/>
        <n v="0.27509377877024932"/>
        <n v="0.31411638723115504"/>
        <n v="0.44393738527432181"/>
        <n v="0.43527419485681834"/>
        <n v="0.18468694053114967"/>
        <n v="0.44137768982556985"/>
        <n v="0.38920592901808065"/>
        <n v="0.42857184948003191"/>
        <n v="0.36064924370776652"/>
        <n v="0.20282684734944958"/>
        <n v="0.37505894094302888"/>
        <n v="0.16495799197146732"/>
        <n v="0.15555474454424154"/>
        <n v="0.15521101734265058"/>
        <n v="0.26802695300706603"/>
        <n v="0.23970819652224998"/>
        <n v="0.35607337157352181"/>
        <n v="0.273144061916472"/>
        <n v="0.33152923559817421"/>
        <n v="0.4306867837414462"/>
        <n v="0.25383926593860051"/>
        <n v="0.38037008885510715"/>
        <n v="0.33768474754295147"/>
        <n v="0.44257254174132737"/>
        <n v="0.14824555100476627"/>
        <n v="0.16440469506162944"/>
        <n v="0.18974522072666306"/>
        <n v="0.36897464062875185"/>
        <n v="0.17025393501107647"/>
        <n v="0.20412003339333692"/>
        <n v="0.31159507390515973"/>
        <n v="0.40479508428969363"/>
        <n v="0.44092891766671188"/>
        <n v="0.27134113973458229"/>
        <n v="0.3771023507058891"/>
        <n v="0.21293095725719513"/>
        <n v="0.22814893268137429"/>
        <n v="0.42857433810338064"/>
        <n v="0.28394241111698454"/>
        <n v="0.40060406170214846"/>
        <n v="0.3595739821962709"/>
        <n v="0.314312353970647"/>
        <n v="0.34673035853286938"/>
        <n v="0.42399667080459258"/>
        <n v="0.21871341525244051"/>
        <n v="0.29052711993888469"/>
        <n v="0.35987707325891449"/>
        <n v="0.31361054282242729"/>
        <n v="0.38758500112797706"/>
        <n v="0.17586226095894808"/>
        <n v="0.37571625983535323"/>
        <n v="0.32119039404406413"/>
        <n v="0.28476627881856043"/>
        <n v="0.32594262169687205"/>
        <n v="0.4472149158295291"/>
        <n v="0.43176293650470365"/>
        <n v="0.33492853700070796"/>
        <n v="0.42241276167026154"/>
        <n v="0.31758621308096641"/>
        <n v="0.29931897302001742"/>
        <n v="0.43028428729720342"/>
        <n v="0.33631594077907145"/>
        <n v="0.16101647624001897"/>
        <n v="0.43682684435035524"/>
        <n v="0.30772036477895343"/>
        <n v="0.3382700358750807"/>
        <n v="0.15011313508851432"/>
        <n v="0.41441188832146331"/>
        <n v="0.20193516815025425"/>
        <n v="0.2702581908119458"/>
        <n v="0.34378159730319813"/>
        <n v="0.37897368607513748"/>
        <n v="0.39105855965394615"/>
        <n v="0.33048547646629778"/>
        <n v="0.17503781621116421"/>
        <n v="0.34854106850267524"/>
        <n v="0.29928234918638313"/>
        <n v="0.41049869718458865"/>
        <n v="0.40200299882611745"/>
        <n v="0.20627063544041174"/>
        <n v="0.22783468847845378"/>
        <n v="0.31378382351740075"/>
        <n v="0.3574624375905332"/>
        <n v="0.33127981601213835"/>
        <n v="0.441840574448922"/>
        <n v="0.42090143787636719"/>
        <n v="0.29246985777200196"/>
        <n v="0.5196783427797792"/>
        <n v="0.14182397037933847"/>
        <n v="0.17103033846673826"/>
        <n v="0.39019935649464493"/>
        <n v="0.37207963420332424"/>
        <n v="0.36224955396671765"/>
        <n v="0.24551271374713468"/>
        <n v="0.42156282373834536"/>
        <n v="0.34806318722029583"/>
        <n v="0.42390757161584736"/>
        <n v="0.36387978050337189"/>
        <n v="0.1817348332848141"/>
        <n v="0.236760539910015"/>
        <n v="0.25780432160082045"/>
        <n v="0.32001035676323897"/>
        <n v="0.1488802456235406"/>
        <n v="0.43833963336331738"/>
        <n v="0.3565362857398256"/>
        <n v="0.39704113700170535"/>
        <n v="0.22869482305545047"/>
        <n v="0.34501549674738602"/>
        <n v="0.27536498386941027"/>
        <n v="0.41030535521101735"/>
        <n v="0.2254255810335396"/>
        <n v="0.20001156486762456"/>
        <n v="0.17383214154832097"/>
        <n v="0.40130991714026759"/>
        <n v="0.3757343374206521"/>
        <n v="0.17210514222166751"/>
        <n v="0.28324405462679547"/>
        <n v="0.4286222196481948"/>
        <n v="0.3523519468988428"/>
        <n v="0.19482334647235391"/>
        <n v="0.4480915025360922"/>
        <n v="0.15281369382422874"/>
        <n v="0.25195197225012717"/>
        <n v="0.22440178317146461"/>
        <n v="0.17987595456367561"/>
        <n v="0.34568244437031276"/>
        <n v="0.39675073942103917"/>
        <n v="0.4351672056642476"/>
        <n v="0.40328642601171227"/>
        <n v="0.1427818883705968"/>
        <n v="0.14926848918755603"/>
        <n v="0.26475960860425907"/>
        <n v="0.40540995914656014"/>
        <n v="0.2235859734908939"/>
        <n v="0.42750795723314122"/>
        <n v="0.15533473924243782"/>
        <n v="0.24204502640100028"/>
        <n v="0.35971916232901585"/>
        <n v="0.2587017991092358"/>
        <n v="0.33596897435201023"/>
        <n v="0.25373435797443988"/>
        <n v="0.27274152595051782"/>
        <n v="0.24652462157574245"/>
        <n v="0.32907149988339124"/>
        <n v="0.51563261407714944"/>
        <n v="0.32410935988917638"/>
        <n v="0.14627855051389932"/>
        <n v="0.43468017688638183"/>
        <n v="0.14133734114704613"/>
        <n v="0.1604746455765278"/>
        <n v="0.31588387126960232"/>
        <n v="0.36142187535959863"/>
        <n v="0.39679718880549369"/>
        <n v="0.43157069272685256"/>
        <n v="0.35018418023450054"/>
        <n v="0.19760059760575607"/>
        <n v="0.30178129528480657"/>
        <n v="0.42434003047376079"/>
        <n v="0.4352955591199249"/>
        <n v="0.2841200975759911"/>
        <n v="0.24474862551720236"/>
        <n v="0.26778090662779941"/>
        <n v="0.29881447608823564"/>
        <n v="0.43933823529411764"/>
        <n v="0.20854387413742412"/>
        <n v="0.32764702447481425"/>
        <n v="0.19365326595888346"/>
        <n v="0.23142747787823725"/>
        <n v="0.28196539893084088"/>
        <n v="0.21207132245154239"/>
        <n v="0.38109453310852959"/>
        <n v="0.32970957147944452"/>
        <n v="0.39008374440747962"/>
        <n v="0.29384516759652418"/>
        <n v="0.31447245701673426"/>
        <n v="0.38254245479168775"/>
        <n v="0.14133830167867034"/>
        <n v="0.25496234097810677"/>
        <n v="0.38471365713606159"/>
        <n v="0.2817404347305465"/>
        <n v="0.35331357910525191"/>
        <n v="0.29769798091309541"/>
        <n v="0.27768096360384154"/>
        <n v="0.16959686262089696"/>
        <n v="0.35954355503562424"/>
        <n v="0.30044037993358463"/>
        <n v="0.41528813378330037"/>
        <n v="0.23067544584384245"/>
        <n v="0.24711114589039318"/>
        <n v="0.39631601087237905"/>
        <n v="0.3018982442720286"/>
        <n v="0.35588721378813964"/>
        <n v="0.38288195219244242"/>
        <n v="0.31421594615001541"/>
        <n v="0.34660068571233377"/>
        <n v="0.34069277490100347"/>
        <n v="0.33751957689056827"/>
        <n v="0.2839693844676533"/>
        <n v="0.31856837072174626"/>
        <n v="0.33357487594008833"/>
        <n v="0.40599116994220275"/>
        <n v="0.2161054670245659"/>
        <n v="0.26097430946161337"/>
        <n v="0.26821174632851347"/>
        <n v="0.14272430294576857"/>
        <n v="0.19837750451234243"/>
        <n v="0.3662673488771101"/>
        <n v="0.17517152055163318"/>
        <n v="0.33884985636171544"/>
        <n v="0.44979824238073984"/>
        <n v="0.24792739370033567"/>
        <n v="0.19147388199924836"/>
        <n v="0.31930327384469931"/>
        <n v="0.17913458795002077"/>
        <n v="0.44679777019068451"/>
        <n v="0.29188100893564084"/>
        <n v="0.39006961877157481"/>
        <n v="0.26100839321154029"/>
        <n v="0.30011390662603044"/>
        <n v="0.36771826738483288"/>
        <n v="0.28500220723446684"/>
        <n v="0.27269627808559299"/>
        <n v="0.35584225258889624"/>
        <n v="0.1466364293365498"/>
        <n v="0.41753525254180884"/>
        <n v="0.3318782355478862"/>
        <n v="0.20052834556098567"/>
        <n v="0.42857672762342819"/>
        <n v="0.40170813172499803"/>
        <n v="0.1681800670020947"/>
        <n v="0.37434475672762962"/>
        <n v="0.39817421425178701"/>
        <n v="0.36405895463428417"/>
        <n v="0.18135027496486225"/>
        <n v="0.31590354784572677"/>
        <n v="0.25085370994940986"/>
        <n v="0.30969121746181905"/>
        <n v="0.41276511239971408"/>
        <n v="0.38008981241851425"/>
        <n v="0.1992915138941681"/>
        <n v="0.17635213458055535"/>
        <n v="0.18857436243147527"/>
        <n v="0.36919038912669105"/>
        <n v="0.26613097327936652"/>
        <n v="0.40668141544934977"/>
        <n v="0.39694872464525116"/>
        <n v="0.44622309828575857"/>
        <n v="0.21701560505344086"/>
        <n v="0.42508492120046426"/>
        <n v="0.20995264721184953"/>
        <n v="0.43306427826160854"/>
        <n v="0.53028535107035035"/>
        <n v="0.40021432674886204"/>
        <n v="0.35866164247001114"/>
        <n v="0.37845552607659261"/>
        <n v="0.16516137143289572"/>
        <n v="0.27003471366121495"/>
        <n v="0.3220715281560117"/>
        <n v="0.3043473316546178"/>
        <n v="0.31144075619392242"/>
        <n v="0.27428182843495003"/>
        <n v="0.33263556886757462"/>
        <n v="0.37795715321969076"/>
        <n v="0.21586239286133616"/>
        <n v="0.27396581757873573"/>
        <n v="0.36078826355633858"/>
        <n v="0.44949451108543131"/>
        <n v="0.18389590199814615"/>
        <n v="0.29325156260106194"/>
        <n v="0.3939614896432525"/>
        <n v="0.23604456106796395"/>
        <n v="0.24372209390288319"/>
        <n v="0.32412158488514337"/>
        <n v="0.16683109525613893"/>
        <n v="0.24279811762432785"/>
        <n v="0.30155767890912699"/>
        <n v="0.24042442198754688"/>
        <n v="0.42932413981430911"/>
        <n v="0.25903618812371948"/>
        <n v="0.18780892341884298"/>
        <n v="0.43161380278987349"/>
        <n v="0.44291508018206843"/>
        <n v="0.31138780505304997"/>
        <n v="0.44129533903710627"/>
        <n v="0.28988258895386843"/>
        <n v="0.22336045444514427"/>
        <n v="0.22408972316398759"/>
        <n v="0.36589677243477409"/>
        <n v="0.44439082386757739"/>
        <n v="0.26494596610315446"/>
        <n v="0.25715350390466307"/>
        <n v="0.19825124111581574"/>
        <n v="0.35822663025311091"/>
        <n v="0.37829539252451638"/>
        <n v="0.49647936910294327"/>
        <n v="0.26997282303528508"/>
        <n v="0.27931376013281223"/>
        <n v="0.25934299782015524"/>
        <n v="0.37006146198801093"/>
        <n v="0.21825656615822997"/>
        <n v="0.44619143488182017"/>
        <n v="1.91010457787937E-2"/>
        <n v="0.17962344805274724"/>
        <n v="0.23064994909580494"/>
        <n v="0.38186557475533162"/>
        <n v="0.24229160360427668"/>
        <n v="0.17558465846554563"/>
        <n v="0.30870148520960183"/>
        <n v="0.20645309813017063"/>
        <n v="0.33495686024013849"/>
        <n v="0.14279931098119628"/>
        <n v="0.25085279610859906"/>
        <n v="0.1554031430280875"/>
        <n v="0.21706730029697935"/>
        <n v="0.36154027158486052"/>
        <n v="0.16563968159532302"/>
        <n v="0.20465294167032022"/>
        <n v="0.19464375751652949"/>
        <n v="0.33725988820125036"/>
        <n v="0.31535330572991688"/>
        <n v="0.24214239043735769"/>
        <n v="0.30437897173807732"/>
        <n v="0.39364665980255581"/>
        <n v="0.31433631677156143"/>
        <n v="0.22518692317074712"/>
        <n v="0.26633346320557155"/>
        <n v="0.35712150148574368"/>
        <n v="0.249088592361873"/>
        <n v="0.17547433882132324"/>
        <n v="0.31902195632243363"/>
        <n v="0.1890530333360024"/>
        <n v="0.34303568715132315"/>
        <n v="0.24062279944081949"/>
        <n v="0.18256687637754077"/>
        <n v="0.4393181328939133"/>
        <n v="0.31057457373302172"/>
        <n v="0.18618288868998606"/>
        <n v="0.28548035979543873"/>
        <n v="0.38076182859441249"/>
        <n v="0.43243279787982042"/>
        <n v="0.43751416368866031"/>
        <n v="0.24907065938929043"/>
        <n v="0.2029696060474607"/>
        <n v="0.16966962372514566"/>
        <n v="0.39605672777585599"/>
        <n v="0.35648244831317749"/>
        <n v="0.18547593843386695"/>
        <n v="0.37322449136018926"/>
        <n v="0.38949325524693995"/>
        <n v="0.34279244383528995"/>
        <n v="0.42048716328364127"/>
        <n v="0.30267961712417901"/>
        <n v="0.20278487170132553"/>
        <n v="0.17228087457438387"/>
        <n v="0.18370778623826114"/>
        <n v="0.34725383359771933"/>
        <n v="0.15761791329204389"/>
        <n v="0.22759825285077806"/>
        <n v="0.43284025560307055"/>
        <n v="0.25037290857461858"/>
        <n v="0.4373744444254748"/>
        <n v="0.18793782983739193"/>
        <n v="0.25715336055176974"/>
        <n v="0.28690042245119629"/>
        <n v="0.3194390548872505"/>
        <n v="0.20315200790685289"/>
        <n v="0.34686151435884116"/>
        <n v="0.17971443441268986"/>
        <n v="0.44211098245853014"/>
        <n v="0.20604104508426041"/>
        <n v="0.42985863654587642"/>
        <n v="0.42604911889497965"/>
        <n v="0.28733491369549163"/>
        <n v="0.29460565061286947"/>
        <n v="0.39808189849745274"/>
        <n v="0.17445811195177174"/>
        <n v="0.37158358840219735"/>
        <n v="0.17163697622051297"/>
        <n v="0.42877619985379856"/>
        <n v="0.35331854628555315"/>
        <n v="0.18287663708342161"/>
        <n v="0.23359029973052453"/>
        <n v="0.37160716332743193"/>
        <n v="0.17531736798233513"/>
        <n v="0.16496890557239943"/>
        <n v="0.14215432601158254"/>
        <n v="0.25151534408826681"/>
        <n v="0.39275831777753373"/>
        <n v="0.36283876806306775"/>
        <n v="0.27276539703794161"/>
        <n v="0.35404070282017502"/>
        <n v="0.22306239379410109"/>
        <n v="0.22153762211236086"/>
        <n v="0.21662677833737193"/>
        <n v="0.18139467080434915"/>
        <n v="0.44637963892082555"/>
        <n v="0.15633700354988173"/>
        <n v="0.2829148914277097"/>
        <n v="0.18904133617257154"/>
        <n v="0.4139424440444287"/>
        <n v="0.44664361602355807"/>
        <n v="0.36540446493854445"/>
        <n v="0.2147255434673831"/>
        <n v="0.38662696908663202"/>
        <n v="0.40208969126306743"/>
        <n v="0.3094427924077453"/>
        <n v="0.27125943741635739"/>
        <n v="0.44395651400150488"/>
        <n v="0.37989705108846261"/>
        <n v="0.3816310150758106"/>
        <n v="0.23404478684885605"/>
        <n v="0.41861367806548755"/>
        <n v="0.30695827352162214"/>
        <n v="0.24712925743606731"/>
        <n v="0.30569768378364304"/>
        <n v="0.43392239496641527"/>
        <n v="0.36983165485647884"/>
        <n v="0.44492523598696843"/>
        <n v="0.39365742941153326"/>
        <n v="0.22433381721595294"/>
        <n v="0.19146342886936496"/>
        <n v="0.40468882155570635"/>
        <n v="0.36477619281849477"/>
        <n v="0.36440786620283339"/>
        <n v="0.27713758411919615"/>
        <n v="0.42328338858991066"/>
        <n v="0.4224884792626728"/>
        <n v="0.2395361239769577"/>
        <n v="0.30854895407134209"/>
        <n v="0.36106846759197836"/>
        <n v="0.15930160605028976"/>
        <n v="0.18175916992074029"/>
        <n v="0.22013539619624964"/>
        <n v="0.36763057214983458"/>
        <n v="0.42347495188285067"/>
        <n v="0.43153051020019179"/>
        <n v="0.34518974723612039"/>
        <n v="0.38822460654570451"/>
        <n v="0.38975147768716562"/>
        <n v="0.37322910394562903"/>
        <n v="0.26486225014071862"/>
        <n v="0.15892467801763857"/>
        <n v="0.44770874071999178"/>
        <n v="0.18597239638509933"/>
        <n v="0.30299182683896131"/>
        <n v="0.47073082237781677"/>
        <n v="0.30253601182341816"/>
        <n v="0.3032243705028666"/>
        <n v="0.43491420227914163"/>
        <n v="0.27683812845103173"/>
        <n v="0.18789204745190213"/>
        <n v="0.38518730340291679"/>
        <n v="0.19212307798944123"/>
        <n v="0.41848966085977563"/>
        <n v="0.30677554774009069"/>
        <n v="0.32053220112938835"/>
        <n v="0.17213918283741877"/>
        <n v="0.39165274486188267"/>
        <n v="0.40551446054313278"/>
        <n v="0.53418722686112274"/>
        <n v="0.14423838801456493"/>
        <n v="0.17482039109625511"/>
        <n v="0.39792070498149201"/>
        <n v="0.22027551203674112"/>
        <n v="0.32409839803506968"/>
        <n v="0.1745625959516032"/>
        <n v="0.24208885431276025"/>
        <n v="0.29117676671102394"/>
        <n v="0.28777396494826391"/>
        <n v="0.20081504390212318"/>
        <n v="0.2087237524426368"/>
        <n v="0.19771374869869207"/>
        <n v="0.41754264322619683"/>
        <n v="0.28960270743242256"/>
        <n v="0.39244289639158081"/>
        <n v="0.25169663692665878"/>
        <n v="0.22156979101711771"/>
        <n v="0.3663208460815392"/>
        <n v="0.3666054874075898"/>
        <n v="0.22417654107534282"/>
        <n v="0.40331772332775528"/>
        <n v="0.1825313582280356"/>
        <n v="0.24628436418249414"/>
        <n v="0.41536001329152039"/>
        <n v="0.29662539998346776"/>
        <n v="0.34528929750489945"/>
        <n v="0.42973718322357263"/>
        <n v="0.33359514370664023"/>
        <n v="0.3207830165228277"/>
        <n v="0.40513311231340554"/>
        <n v="0.40259987505161504"/>
        <n v="0.16242608602116568"/>
        <n v="0.3497455707167178"/>
        <n v="0.41866527632950995"/>
        <n v="0.39090940860086953"/>
        <n v="0.30331484036120587"/>
        <n v="0.15433673749881804"/>
        <n v="0.42675710964618968"/>
        <n v="0.2669958327791816"/>
        <n v="0.40643179979800664"/>
        <n v="0.34309309738466881"/>
        <n v="0.29576934658235482"/>
        <n v="0.36788518709280998"/>
        <n v="0.34613989694597397"/>
        <n v="0.21510423732645942"/>
        <n v="0.15614049589155901"/>
        <n v="0.38989390861307277"/>
        <n v="0.24556459261610653"/>
        <n v="0.44352868536597928"/>
        <n v="0.28454312671732446"/>
        <n v="0.27645722470266137"/>
        <n v="0.14877718745097629"/>
        <n v="0.17852168597482893"/>
        <n v="0.28501822619439521"/>
        <n v="0.28737724617382776"/>
        <n v="0.17443773793763689"/>
        <n v="0.19461950083409219"/>
        <n v="0.14224935530226976"/>
        <n v="0.44319495631458172"/>
        <n v="0.18101662862888801"/>
        <n v="0.36856087499362367"/>
        <n v="0.43540616188237813"/>
        <n v="0.32899846799940008"/>
        <n v="0.19205385856442145"/>
        <n v="0.26577769026574488"/>
        <n v="0.14121614639226057"/>
        <n v="0.33410618169061956"/>
        <n v="0.44661747940942564"/>
        <n v="0.3753287588316272"/>
        <n v="0.23273473830018798"/>
        <n v="0.3760788565189645"/>
        <n v="0.3115237543453071"/>
        <n v="0.58704683753946907"/>
        <n v="0.25559706574248142"/>
        <n v="0.3443576892909167"/>
        <n v="0.39513195573098059"/>
        <n v="0.41479277676106896"/>
        <n v="0.34014668937785347"/>
        <n v="0.30305248685321323"/>
        <n v="0.15429696817899918"/>
        <n v="0.2846051371507976"/>
        <n v="0.28317660577351506"/>
        <n v="0.30014490233582553"/>
        <n v="0.29957808131092578"/>
        <n v="0.22265412634000625"/>
        <n v="0.31743067075120002"/>
        <n v="0.22464215461752751"/>
        <n v="0.24043020403058799"/>
        <n v="0.30434412170521002"/>
        <n v="0.35536570582738836"/>
        <n v="0.33098491016203624"/>
        <n v="0.22086347908147214"/>
        <n v="0.43658461479243243"/>
        <n v="0.38020547710446945"/>
        <n v="0.28371343833094703"/>
        <n v="0.33093133562955235"/>
        <n v="0.3519258066769691"/>
        <n v="0.34754685641491223"/>
        <n v="0.23073271814135804"/>
        <n v="0.37109437329243311"/>
        <n v="0.15402765604742785"/>
        <n v="0.21186192286950029"/>
        <n v="0.25216821214179036"/>
        <n v="0.39263199506210522"/>
        <n v="0.40352245945224235"/>
        <n v="0.22638031424642296"/>
        <n v="0.14580849827098705"/>
        <n v="0.35203029484692999"/>
        <n v="0.14966419781502532"/>
        <n v="0.18188931085695575"/>
        <n v="0.31067646888981615"/>
        <n v="0.37750421710000998"/>
        <n v="0.42733586838429316"/>
        <n v="0.20785729671029896"/>
        <n v="0.40348890234512258"/>
        <n v="0.25932473042248544"/>
        <n v="0.26502255950507486"/>
        <n v="0.36647730883119195"/>
        <n v="0.42749378917254349"/>
        <n v="0.20800822419165294"/>
        <n v="0.14645069937728825"/>
        <n v="0.16251269541376584"/>
        <n v="0.15733212264681268"/>
        <n v="0.43813714194848563"/>
        <n v="0.14219763776295669"/>
        <n v="0.3256928794891496"/>
        <n v="0.32189418636860345"/>
        <n v="0.17863863934950111"/>
        <n v="0.4362056260388521"/>
        <n v="0.30826012032418892"/>
        <n v="0.21749373929089236"/>
        <n v="0.40284386489744772"/>
        <n v="0.29578002402298664"/>
        <n v="0.23575859624246723"/>
        <n v="0.23933087265234729"/>
        <n v="0.43488116352062323"/>
        <n v="0.20792761259332354"/>
        <n v="0.30419134506619516"/>
        <n v="0.43285936745615644"/>
        <n v="0.42656814841298218"/>
        <n v="0.26130761121386764"/>
        <n v="0.2402975081495759"/>
        <n v="0.31118604516365866"/>
        <n v="0.36948921098672882"/>
        <n v="0.29709567596538267"/>
        <n v="0.29847241497214339"/>
        <n v="0.27947091584158423"/>
        <n v="0.17175643267310645"/>
        <n v="0.44900779345624336"/>
        <n v="0.14439324750965438"/>
        <n v="0.14387432188065097"/>
        <n v="0.37876492459135447"/>
        <n v="0.16046212055881334"/>
        <n v="0.38197174496384928"/>
        <n v="0.32449172827657824"/>
        <n v="0.16516117441930575"/>
        <n v="0.3816982574031107"/>
        <n v="0.35064987892535471"/>
        <n v="0.44954510570313877"/>
        <n v="0.42821532704188298"/>
        <n v="0.3122009260719355"/>
        <n v="0.23216658779416893"/>
        <n v="0.14106731398615141"/>
        <n v="0.29133350367230787"/>
        <n v="0.25303108797885965"/>
        <n v="0.17548270174553127"/>
        <n v="0.43134413491420964"/>
        <n v="0.44805911792668834"/>
        <n v="0.22205303617203109"/>
        <n v="0.36681359641432454"/>
        <n v="0.35674632236598219"/>
        <n v="0.41312865543986482"/>
        <n v="0.30570522303598419"/>
        <n v="0.31990484026825539"/>
        <n v="0.27934834037777928"/>
        <n v="0.26120074342092253"/>
        <n v="0.21229229468763125"/>
        <n v="0.26453709661660491"/>
        <n v="0.15688967067210344"/>
        <n v="0.30064414182747856"/>
        <n v="0.36017542942299152"/>
        <n v="0.31912491439782342"/>
        <n v="0.32395575859743381"/>
        <n v="0.28758821394072509"/>
        <n v="0.25372405660427028"/>
        <n v="0.39188435225914897"/>
        <n v="0.15021902855506741"/>
        <n v="0.20995832143488491"/>
        <n v="0.16610243473239938"/>
        <n v="0.40753045557507406"/>
        <n v="0.27110704508247468"/>
        <n v="0.24976921810962466"/>
        <n v="0.34525413037771857"/>
        <n v="0.40368782288921634"/>
        <n v="0.19391251542557336"/>
        <n v="0.17127614603631908"/>
        <n v="0.21772914361944434"/>
        <n v="0.31011637233092726"/>
        <m/>
      </sharedItems>
    </cacheField>
    <cacheField name="order_date_22" numFmtId="0">
      <sharedItems containsBlank="1" count="464">
        <s v="21-07-24"/>
        <s v="invalid date"/>
        <s v="06-08-24"/>
        <s v="28-11-24"/>
        <s v="29-08-25"/>
        <s v="24-05-24"/>
        <s v="04-10-25"/>
        <s v="23-02-25"/>
        <s v="11-05-24"/>
        <s v="07-09-25"/>
        <s v="20-05-25"/>
        <s v="22-07-24"/>
        <s v="20-12-24"/>
        <s v="12-10-25"/>
        <s v="27-12-24"/>
        <s v="07-09-24"/>
        <s v="05-08-24"/>
        <s v="01-07-24"/>
        <s v="21-01-25"/>
        <s v="24-01-25"/>
        <s v="19-01-25"/>
        <s v="04-03-24"/>
        <s v="11-10-24"/>
        <s v="23-11-24"/>
        <s v="29-09-25"/>
        <s v="13-08-25"/>
        <s v="09-02-24"/>
        <s v="15-06-25"/>
        <s v="22-11-24"/>
        <s v="31-01-25"/>
        <s v="29-05-24"/>
        <s v="25-10-24"/>
        <s v="29-07-25"/>
        <s v="17-06-24"/>
        <s v="12-11-24"/>
        <s v="10-10-24"/>
        <s v="03-12-24"/>
        <s v="10-10-25"/>
        <s v="07-08-24"/>
        <s v="18-01-24"/>
        <s v="19-07-24"/>
        <s v="12-08-24"/>
        <s v="30-01-25"/>
        <s v="06-04-24"/>
        <s v="05-11-25"/>
        <s v="24-04-24"/>
        <s v="26-10-24"/>
        <s v="31-03-25"/>
        <s v="30-05-25"/>
        <s v="01-07-25"/>
        <s v="05-01-25"/>
        <s v="07-02-24"/>
        <s v="01-09-24"/>
        <s v="20-07-24"/>
        <s v="16-04-24"/>
        <s v="30-10-24"/>
        <s v="25-01-24"/>
        <s v="23-12-24"/>
        <s v="22-04-24"/>
        <s v="03-02-25"/>
        <s v="09-04-24"/>
        <s v="22-08-25"/>
        <s v="11-02-24"/>
        <s v="29-03-25"/>
        <s v="03-11-24"/>
        <s v="07-08-25"/>
        <s v="27-09-25"/>
        <s v="10-08-24"/>
        <s v="16-03-25"/>
        <s v="03-08-24"/>
        <s v="01-10-24"/>
        <s v="30-07-24"/>
        <s v="02-08-24"/>
        <s v="05-09-24"/>
        <s v="02-03-25"/>
        <s v="23-01-25"/>
        <s v="09-06-24"/>
        <s v="05-09-25"/>
        <s v="05-06-24"/>
        <s v="08-08-25"/>
        <s v="26-01-24"/>
        <s v="11-01-25"/>
        <s v="12-09-25"/>
        <s v="12-07-25"/>
        <s v="05-02-25"/>
        <s v="01-02-25"/>
        <s v="20-02-24"/>
        <s v="29-10-24"/>
        <s v="15-08-24"/>
        <s v="23-08-25"/>
        <s v="10-01-24"/>
        <s v="12-02-24"/>
        <s v="25-09-24"/>
        <s v="15-02-25"/>
        <s v="15-02-24"/>
        <s v="06-10-24"/>
        <s v="12-06-24"/>
        <s v="17-07-25"/>
        <s v="24-09-25"/>
        <s v="13-12-24"/>
        <s v="27-01-24"/>
        <s v="04-11-24"/>
        <s v="24-08-25"/>
        <s v="09-02-25"/>
        <s v="01-09-25"/>
        <s v="20-01-24"/>
        <s v="31-05-24"/>
        <s v="30-03-24"/>
        <s v="07-06-24"/>
        <s v="11-04-25"/>
        <s v="30-07-25"/>
        <s v="30-01-24"/>
        <s v="27-06-24"/>
        <s v="14-06-24"/>
        <s v="23-09-25"/>
        <s v="27-03-25"/>
        <s v="09-09-24"/>
        <s v="08-10-25"/>
        <s v="24-07-25"/>
        <s v="09-03-24"/>
        <s v="09-09-25"/>
        <s v="20-02-25"/>
        <s v="18-08-25"/>
        <s v="13-09-25"/>
        <s v="02-08-25"/>
        <s v="02-05-24"/>
        <s v="28-09-25"/>
        <s v="18-03-25"/>
        <s v="01-06-24"/>
        <s v="30-09-24"/>
        <s v="15-03-24"/>
        <s v="26-08-24"/>
        <s v="16-10-24"/>
        <s v="24-06-25"/>
        <s v="02-04-24"/>
        <s v="01-05-25"/>
        <s v="21-05-25"/>
        <s v="06-05-25"/>
        <s v="20-04-25"/>
        <s v="19-10-24"/>
        <s v="09-12-24"/>
        <s v="23-06-24"/>
        <s v="28-01-25"/>
        <s v="22-07-25"/>
        <s v="22-01-24"/>
        <s v="27-06-25"/>
        <s v="26-07-25"/>
        <s v="28-03-25"/>
        <s v="28-03-24"/>
        <s v="20-07-25"/>
        <s v="21-04-25"/>
        <s v="10-07-24"/>
        <s v="15-05-24"/>
        <s v="17-03-24"/>
        <s v="01-03-24"/>
        <s v="01-04-25"/>
        <s v="26-02-25"/>
        <s v="18-06-24"/>
        <s v="12-01-25"/>
        <s v="19-02-25"/>
        <s v="10-02-25"/>
        <s v="02-09-24"/>
        <s v="10-04-25"/>
        <s v="05-07-24"/>
        <s v="28-06-25"/>
        <s v="28-05-24"/>
        <s v="04-06-25"/>
        <s v="14-10-24"/>
        <s v="27-08-24"/>
        <s v="01-12-24"/>
        <s v="21-09-24"/>
        <s v="17-12-24"/>
        <s v="07-06-25"/>
        <s v="07-02-25"/>
        <s v="04-05-24"/>
        <s v="06-02-24"/>
        <s v="08-01-25"/>
        <s v="06-04-25"/>
        <s v="25-06-25"/>
        <s v="12-09-24"/>
        <s v="01-01-25"/>
        <s v="04-02-25"/>
        <s v="05-11-24"/>
        <s v="09-08-25"/>
        <s v="30-12-24"/>
        <s v="26-05-25"/>
        <s v="06-08-25"/>
        <s v="16-05-24"/>
        <s v="14-11-24"/>
        <s v="03-05-25"/>
        <s v="28-05-25"/>
        <s v="02-10-25"/>
        <s v="21-12-24"/>
        <s v="07-04-24"/>
        <s v="07-03-25"/>
        <s v="04-09-24"/>
        <s v="25-07-25"/>
        <s v="15-08-25"/>
        <s v="28-02-24"/>
        <s v="09-05-24"/>
        <s v="24-06-24"/>
        <s v="19-06-25"/>
        <s v="28-02-25"/>
        <s v="03-07-24"/>
        <s v="16-07-25"/>
        <s v="24-05-25"/>
        <s v="06-11-24"/>
        <s v="15-04-24"/>
        <s v="03-06-24"/>
        <s v="01-05-24"/>
        <s v="13-06-25"/>
        <s v="04-07-24"/>
        <s v="27-04-24"/>
        <s v="02-07-24"/>
        <s v="16-02-24"/>
        <s v="25-04-24"/>
        <s v="21-08-24"/>
        <s v="12-04-24"/>
        <s v="25-02-24"/>
        <s v="31-07-25"/>
        <s v="24-07-24"/>
        <s v="29-05-25"/>
        <s v="12-05-25"/>
        <s v="04-12-24"/>
        <s v="27-05-25"/>
        <s v="22-06-25"/>
        <s v="08-12-24"/>
        <s v="21-01-24"/>
        <s v="08-09-25"/>
        <s v="10-03-25"/>
        <s v="11-03-24"/>
        <s v="14-09-24"/>
        <s v="07-01-24"/>
        <s v="23-05-25"/>
        <s v="21-02-25"/>
        <s v="12-05-24"/>
        <s v="23-08-24"/>
        <s v="07-07-25"/>
        <s v="15-06-24"/>
        <s v="16-01-25"/>
        <s v="06-07-25"/>
        <s v="16-08-25"/>
        <s v="13-04-25"/>
        <s v="27-02-25"/>
        <s v="31-12-24"/>
        <s v="29-12-24"/>
        <s v="22-05-25"/>
        <s v="19-09-25"/>
        <s v="04-03-25"/>
        <s v="02-12-25"/>
        <s v="10-08-25"/>
        <s v="13-05-24"/>
        <s v="05-04-24"/>
        <s v="14-02-25"/>
        <s v="03-04-24"/>
        <s v="06-06-24"/>
        <s v="14-04-25"/>
        <s v="09-06-25"/>
        <s v="06-06-25"/>
        <s v="09-03-25"/>
        <s v="22-03-24"/>
        <s v="25-02-25"/>
        <s v="13-02-25"/>
        <s v="29-08-24"/>
        <s v="11-09-24"/>
        <s v="26-09-25"/>
        <s v="26-09-24"/>
        <s v="30-06-24"/>
        <s v="22-04-25"/>
        <s v="15-03-25"/>
        <s v="01-03-25"/>
        <s v="30-08-24"/>
        <s v="10-02-24"/>
        <s v="04-11-25"/>
        <s v="12-04-25"/>
        <s v="16-06-24"/>
        <s v="07-05-25"/>
        <s v="30-06-25"/>
        <s v="04-02-24"/>
        <s v="03-10-24"/>
        <s v="04-04-24"/>
        <s v="12-08-25"/>
        <s v="18-09-25"/>
        <s v="06-12-25"/>
        <s v="24-03-24"/>
        <s v="10-05-24"/>
        <s v="05-03-25"/>
        <s v="23-03-25"/>
        <s v="18-07-24"/>
        <s v="30-09-25"/>
        <s v="11-03-25"/>
        <s v="29-01-24"/>
        <s v="04-01-24"/>
        <s v="20-08-24"/>
        <s v="09-01-25"/>
        <s v="19-01-24"/>
        <s v="28-07-24"/>
        <s v="02-03-24"/>
        <s v="13-11-24"/>
        <s v="03-01-25"/>
        <s v="06-09-24"/>
        <s v="23-02-24"/>
        <s v="05-06-25"/>
        <s v="25-12-24"/>
        <s v="28-12-24"/>
        <s v="22-01-25"/>
        <s v="10-06-25"/>
        <s v="16-09-24"/>
        <s v="29-04-25"/>
        <s v="04-07-25"/>
        <s v="22-12-24"/>
        <s v="11-08-24"/>
        <s v="28-09-24"/>
        <s v="12-02-25"/>
        <s v="09-11-24"/>
        <s v="15-12-24"/>
        <s v="15-04-25"/>
        <s v="31-03-24"/>
        <s v="18-11-24"/>
        <s v="25-05-25"/>
        <s v="30-04-25"/>
        <s v="03-07-25"/>
        <s v="16-07-24"/>
        <s v="25-03-25"/>
        <s v="30-11-24"/>
        <s v="18-07-25"/>
        <s v="01-10-25"/>
        <s v="07-10-24"/>
        <s v="01-08-24"/>
        <s v="05-10-25"/>
        <s v="25-08-24"/>
        <s v="19-05-24"/>
        <s v="07-04-25"/>
        <s v="26-02-24"/>
        <s v="08-07-25"/>
        <s v="14-07-24"/>
        <s v="29-01-25"/>
        <s v="14-08-25"/>
        <s v="10-11-25"/>
        <s v="27-02-24"/>
        <s v="12-10-24"/>
        <s v="08-05-24"/>
        <s v="04-09-25"/>
        <s v="16-01-24"/>
        <s v="14-07-25"/>
        <s v="01-02-24"/>
        <s v="17-02-24"/>
        <s v="21-02-24"/>
        <s v="19-06-24"/>
        <s v="06-03-25"/>
        <s v="15-10-24"/>
        <s v="08-04-24"/>
        <s v="23-07-25"/>
        <s v="06-12-24"/>
        <s v="22-02-24"/>
        <s v="19-09-24"/>
        <s v="02-11-25"/>
        <s v="10-04-24"/>
        <s v="19-08-24"/>
        <s v="23-10-24"/>
        <s v="09-07-25"/>
        <s v="22-02-25"/>
        <s v="16-02-25"/>
        <s v="21-06-24"/>
        <s v="20-05-24"/>
        <s v="05-10-24"/>
        <s v="04-10-24"/>
        <s v="16-08-24"/>
        <s v="23-07-24"/>
        <s v="18-08-24"/>
        <s v="08-08-24"/>
        <s v="09-10-25"/>
        <s v="01-11-25"/>
        <s v="02-10-24"/>
        <s v="26-05-24"/>
        <s v="14-01-25"/>
        <s v="09-04-25"/>
        <s v="05-02-24"/>
        <s v="21-04-24"/>
        <s v="11-08-25"/>
        <s v="04-04-25"/>
        <s v="10-12-25"/>
        <s v="07-05-24"/>
        <s v="17-05-24"/>
        <s v="14-01-24"/>
        <s v="07-12-24"/>
        <s v="13-01-25"/>
        <s v="02-02-25"/>
        <s v="18-05-24"/>
        <s v="09-11-25"/>
        <s v="22-06-24"/>
        <s v="24-11-24"/>
        <s v="21-07-25"/>
        <s v="25-03-24"/>
        <s v="03-04-25"/>
        <s v="01-08-25"/>
        <s v="22-09-25"/>
        <s v="11-06-24"/>
        <s v="18-09-24"/>
        <s v="30-04-24"/>
        <s v="13-03-24"/>
        <s v="08-09-24"/>
        <s v="22-03-25"/>
        <s v="26-08-25"/>
        <s v="10-05-25"/>
        <s v="17-01-24"/>
        <s v="13-10-24"/>
        <s v="17-05-25"/>
        <s v="24-08-24"/>
        <s v="17-08-25"/>
        <s v="24-10-24"/>
        <s v="04-01-25"/>
        <s v="30-05-24"/>
        <s v="21-03-24"/>
        <s v="06-02-25"/>
        <s v="28-08-24"/>
        <s v="27-08-25"/>
        <s v="01-01-24"/>
        <s v="29-06-25"/>
        <s v="17-09-24"/>
        <s v="03-05-24"/>
        <s v="02-04-25"/>
        <s v="12-07-24"/>
        <s v="14-04-24"/>
        <s v="08-06-25"/>
        <s v="04-08-24"/>
        <s v="02-02-24"/>
        <s v="14-03-25"/>
        <s v="23-05-24"/>
        <s v="18-04-24"/>
        <s v="11-07-25"/>
        <s v="10-09-25"/>
        <s v="31-08-25"/>
        <s v="12-12-24"/>
        <s v="05-04-25"/>
        <s v="29-09-24"/>
        <s v="10-12-24"/>
        <s v="06-01-25"/>
        <s v="21-03-25"/>
        <s v="16-04-25"/>
        <s v="15-07-25"/>
        <s v="04-06-24"/>
        <s v="18-10-24"/>
        <s v="20-01-25"/>
        <s v="06-03-24"/>
        <s v="26-03-24"/>
        <s v="01-04-24"/>
        <s v="16-05-25"/>
        <s v="25-07-24"/>
        <s v="08-03-25"/>
        <s v="26-03-25"/>
        <s v="02-09-25"/>
        <s v="21-11-24"/>
        <s v="03-06-25"/>
        <s v="11-01-24"/>
        <s v="08-03-24"/>
        <s v="28-04-25"/>
        <s v="18-01-25"/>
        <s v="05-01-24"/>
        <s v="26-04-25"/>
        <s v="08-10-24"/>
        <s v="04-12-25"/>
        <s v="02-06-24"/>
        <m/>
      </sharedItems>
    </cacheField>
    <cacheField name="ship_date_32" numFmtId="0">
      <sharedItems containsBlank="1"/>
    </cacheField>
    <cacheField name="order_month" numFmtId="0">
      <sharedItems containsBlank="1" count="14">
        <s v="July"/>
        <s v="invalid date"/>
        <s v="August"/>
        <s v="November"/>
        <s v="May"/>
        <s v="October"/>
        <s v="February"/>
        <s v="September"/>
        <s v="December"/>
        <s v="January"/>
        <s v="March"/>
        <s v="June"/>
        <s v="April"/>
        <m/>
      </sharedItems>
    </cacheField>
    <cacheField name="order_year" numFmtId="0">
      <sharedItems containsBlank="1" count="4">
        <s v="2024"/>
        <s v="invalid date"/>
        <s v="2025"/>
        <m/>
      </sharedItems>
    </cacheField>
    <cacheField name="Ship dates_earlier than_Order dates2" numFmtId="0">
      <sharedItems containsBlank="1"/>
    </cacheField>
    <cacheField name="shipping_delay_days2" numFmtId="0">
      <sharedItems containsBlank="1" containsMixedTypes="1" containsNumber="1" containsInteger="1" minValue="-323" maxValue="297"/>
    </cacheField>
    <cacheField name="Duplicate_Check" numFmtId="0">
      <sharedItems containsBlank="1" count="2">
        <s v="Uniqu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s v="ORD-2024-10001"/>
    <s v="21 Jul 2024"/>
    <s v="07/27/2024"/>
    <s v="CUST-4655"/>
    <s v="Karan Malhotra"/>
    <s v="Consumer"/>
    <x v="0"/>
    <s v="Rajasthan"/>
    <s v="Jaipur"/>
    <s v="Office Supplies"/>
    <s v="Paper"/>
    <s v="Pro Paper 122"/>
    <s v="Second Class"/>
    <n v="8"/>
    <n v="2976.45"/>
    <n v="0.2"/>
    <n v="19049.28"/>
    <n v="15841.89"/>
    <n v="3207.39"/>
    <x v="0"/>
    <x v="0"/>
    <m/>
    <s v="ORD-2024-10001"/>
    <s v="21-07-24"/>
    <s v="invalid date"/>
    <s v="CUST-4655"/>
    <s v="Karan Malhotra"/>
    <s v="Consumer"/>
    <s v="North"/>
    <s v="Rajasthan"/>
    <s v="Jaipur"/>
    <s v="Office Supplies"/>
    <s v="Paper"/>
    <s v="Pro Paper 122"/>
    <s v="Second Class"/>
    <s v="Invalid"/>
    <s v="invalid date"/>
    <n v="0.2"/>
    <x v="0"/>
    <x v="0"/>
    <n v="0.16837329284886357"/>
    <s v="21-07-24"/>
    <s v="invalid date"/>
    <s v="July"/>
    <s v="2024"/>
    <s v="Invalid"/>
    <s v="invalid date"/>
    <s v="Unique"/>
  </r>
  <r>
    <s v="ORD-2024-10002"/>
    <s v="08/31/2024"/>
    <s v="05 Sep 2024"/>
    <s v="CUST-2054"/>
    <s v="Mira Das"/>
    <s v="Small Business"/>
    <x v="1"/>
    <s v="Odisha"/>
    <s v="Bhubaneswar"/>
    <s v="Furniture"/>
    <s v="Tables"/>
    <s v="Pro Tables 258"/>
    <s v="Same Day"/>
    <n v="3"/>
    <n v="2437.5"/>
    <n v="0"/>
    <n v="7312.5"/>
    <n v="4904.7299999999996"/>
    <n v="2407.77"/>
    <x v="0"/>
    <x v="0"/>
    <m/>
    <s v="ORD-2024-10002"/>
    <s v="invalid date"/>
    <s v="05-09-24"/>
    <s v="CUST-2054"/>
    <s v="Mira Das"/>
    <s v="Small Business"/>
    <s v="East"/>
    <s v="Odisha"/>
    <s v="Bhubaneswar"/>
    <s v="Furniture"/>
    <s v="Tables"/>
    <s v="Pro Tables 258"/>
    <s v="Same Day"/>
    <s v="Invalid"/>
    <s v="invalid date"/>
    <n v="0"/>
    <x v="1"/>
    <x v="1"/>
    <n v="0.32926769230769237"/>
    <s v="invalid date"/>
    <s v="05-09-24"/>
    <s v="invalid date"/>
    <s v="invalid date"/>
    <s v="Invalid"/>
    <s v="invalid date"/>
    <s v="Unique"/>
  </r>
  <r>
    <s v="ORD-2024-10003"/>
    <s v="06/08/2024"/>
    <s v="15 Jun 2024"/>
    <s v="CUST-6843"/>
    <s v="Isha Nair"/>
    <s v="Consumer"/>
    <x v="1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x v="0"/>
    <x v="0"/>
    <m/>
    <s v="ORD-2024-10003"/>
    <s v="06-08-24"/>
    <s v="15-06-24"/>
    <s v="CUST-6843"/>
    <s v="Isha Nair"/>
    <s v="Consumer"/>
    <s v="East"/>
    <s v="Odisha"/>
    <s v="Bhubaneswar"/>
    <s v="Office Supplies"/>
    <s v="Art"/>
    <s v="Elite Art 525"/>
    <s v="First Class"/>
    <s v="anomaly"/>
    <n v="-52"/>
    <s v="invalid"/>
    <x v="2"/>
    <x v="2"/>
    <s v="NA"/>
    <s v="06-08-24"/>
    <s v="15-06-24"/>
    <s v="August"/>
    <s v="2024"/>
    <s v=" "/>
    <n v="-52"/>
    <s v="Unique"/>
  </r>
  <r>
    <s v="ORD-2024-10004"/>
    <s v="28-11-2024"/>
    <s v="11/29/2024"/>
    <s v="CUST-3722"/>
    <s v="Arjun Bose"/>
    <s v="Small Business"/>
    <x v="2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x v="0"/>
    <x v="0"/>
    <m/>
    <s v="ORD-2024-10004"/>
    <s v="28-11-24"/>
    <s v="invalid date"/>
    <s v="CUST-3722"/>
    <s v="Arjun Bose"/>
    <s v="Small Business"/>
    <s v="South"/>
    <s v="Telangana"/>
    <s v="Hyderabad"/>
    <s v="Furniture"/>
    <s v="Furnishings"/>
    <s v="Smart Furnishings 294"/>
    <s v="Standard Class"/>
    <s v="Invalid"/>
    <s v="invalid date"/>
    <n v="0.25"/>
    <x v="3"/>
    <x v="3"/>
    <n v="0.18287772145370204"/>
    <s v="28-11-24"/>
    <s v="invalid date"/>
    <s v="November"/>
    <s v="2024"/>
    <s v="Invalid"/>
    <s v="invalid date"/>
    <s v="Unique"/>
  </r>
  <r>
    <s v="ORD-2025-10005"/>
    <s v="29 Aug 2025"/>
    <s v="2025-09-01"/>
    <s v="CUST-8130"/>
    <s v="Ananya Rao"/>
    <s v="Small Business"/>
    <x v="3"/>
    <s v="Maharashtra"/>
    <s v="Mumbai"/>
    <s v="Furniture"/>
    <s v="Chairs"/>
    <s v="Elite Chairs 543"/>
    <s v="First Class"/>
    <n v="7"/>
    <n v="2973.76"/>
    <n v="0"/>
    <n v="20816.32"/>
    <n v="17705.37"/>
    <n v="3110.95"/>
    <x v="0"/>
    <x v="1"/>
    <m/>
    <s v="ORD-2025-10005"/>
    <s v="29-08-25"/>
    <s v="01-09-25"/>
    <s v="CUST-8130"/>
    <s v="Ananya Rao"/>
    <s v="Small Business"/>
    <s v="West"/>
    <s v="Maharashtra"/>
    <s v="Mumbai"/>
    <s v="Furniture"/>
    <s v="Chairs"/>
    <s v="Elite Chairs 543"/>
    <s v="First Class"/>
    <s v="  "/>
    <n v="3"/>
    <n v="0"/>
    <x v="4"/>
    <x v="4"/>
    <n v="0.14944764492475138"/>
    <s v="29-08-25"/>
    <s v="01-09-25"/>
    <s v="August"/>
    <s v="2025"/>
    <s v="anomaly"/>
    <n v="3"/>
    <s v="Unique"/>
  </r>
  <r>
    <s v="ORD-2024-10006"/>
    <s v="2024-05-24"/>
    <s v="28-05-2024"/>
    <s v="CUST-6056"/>
    <s v="Vikram Iyer"/>
    <s v="Small Business"/>
    <x v="3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x v="0"/>
    <x v="0"/>
    <m/>
    <s v="ORD-2024-10006"/>
    <s v="24-05-24"/>
    <s v="28-05-24"/>
    <s v="CUST-6056"/>
    <s v="Vikram Iyer"/>
    <s v="Small Business"/>
    <s v="West"/>
    <s v="Madhya Pradesh"/>
    <s v="Indore"/>
    <s v="Technology"/>
    <s v="Accessories"/>
    <s v="Pro Accessories 821"/>
    <s v="Same Day"/>
    <s v="anomaly"/>
    <n v="4"/>
    <n v="0.2"/>
    <x v="5"/>
    <x v="5"/>
    <n v="0.39323369195367375"/>
    <s v="24-05-24"/>
    <s v="28-05-24"/>
    <s v="May"/>
    <s v="2024"/>
    <s v=" "/>
    <n v="4"/>
    <s v="Unique"/>
  </r>
  <r>
    <s v="ORD-2025-10007"/>
    <s v="04/10/2025"/>
    <s v="04/16/2025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n v="5847.56"/>
    <n v="4727.25"/>
    <n v="1120.31"/>
    <x v="0"/>
    <x v="0"/>
    <m/>
    <s v="ORD-2025-10007"/>
    <s v="04-10-25"/>
    <s v="invalid date"/>
    <s v="CUST-3656"/>
    <s v="Neha Gupta"/>
    <s v="Consumer"/>
    <s v="East"/>
    <s v="Odisha"/>
    <s v="Bhubaneswar"/>
    <s v="Technology"/>
    <s v="Copiers"/>
    <s v="Eco Copiers 790"/>
    <s v="Standard Class"/>
    <s v="Invalid"/>
    <s v="invalid date"/>
    <n v="0.15"/>
    <x v="6"/>
    <x v="6"/>
    <n v="0.19158561573908275"/>
    <s v="04-10-25"/>
    <s v="invalid date"/>
    <s v="October"/>
    <s v="2025"/>
    <s v="Invalid"/>
    <s v="invalid date"/>
    <s v="Unique"/>
  </r>
  <r>
    <s v="ORD-2025-10008"/>
    <s v="2025-02-23"/>
    <s v="26-02-2025"/>
    <s v="CUST-4683"/>
    <s v="Isha Nair"/>
    <s v="Small Business"/>
    <x v="2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x v="0"/>
    <x v="0"/>
    <m/>
    <s v="ORD-2025-10008"/>
    <s v="23-02-25"/>
    <s v="26-02-25"/>
    <s v="CUST-4683"/>
    <s v="Isha Nair"/>
    <s v="Small Business"/>
    <s v="South"/>
    <s v="Andhra Pradesh"/>
    <s v="Vijayawada"/>
    <s v="Office Supplies"/>
    <s v="Art"/>
    <s v="Eco Art 848"/>
    <s v="First Class"/>
    <s v="anomaly"/>
    <n v="3"/>
    <n v="0"/>
    <x v="7"/>
    <x v="7"/>
    <n v="0.20917499521925992"/>
    <s v="23-02-25"/>
    <s v="26-02-25"/>
    <s v="February"/>
    <s v="2025"/>
    <s v=" "/>
    <n v="3"/>
    <s v="Unique"/>
  </r>
  <r>
    <s v="ORD-2024-10009"/>
    <s v="11/05/2024"/>
    <s v="11/10/2024"/>
    <s v="CUST-2598"/>
    <s v="Aditi Sen"/>
    <s v="Corporate"/>
    <x v="2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x v="0"/>
    <x v="0"/>
    <m/>
    <s v="ORD-2024-10009"/>
    <s v="11-05-24"/>
    <s v="11-10-24"/>
    <s v="CUST-2598"/>
    <s v="Aditi Sen"/>
    <s v="Corporate"/>
    <s v="South"/>
    <s v="Telangana"/>
    <s v="Hyderabad"/>
    <s v="Office Supplies"/>
    <s v="Labels"/>
    <s v="Classic Labels 815"/>
    <s v="First Class"/>
    <s v="anomaly"/>
    <n v="153"/>
    <n v="0"/>
    <x v="8"/>
    <x v="8"/>
    <n v="0.30814761342607361"/>
    <s v="11-05-24"/>
    <s v="11-10-24"/>
    <s v="May"/>
    <s v="2024"/>
    <s v=" "/>
    <n v="153"/>
    <s v="Unique"/>
  </r>
  <r>
    <s v="ORD-2025-10010"/>
    <s v="07-09-2025"/>
    <s v="09/12/2025"/>
    <s v="CUST-2483"/>
    <s v="Mira Das"/>
    <s v="Home Office"/>
    <x v="2"/>
    <s v="Telangana"/>
    <s v="Hyderabad"/>
    <s v="Office Supplies"/>
    <s v="Paper"/>
    <s v="Pro Paper 622"/>
    <s v="Second Class"/>
    <n v="9"/>
    <n v="852.04"/>
    <n v="0.2"/>
    <n v="6134.69"/>
    <n v="3800.19"/>
    <n v="2334.5"/>
    <x v="0"/>
    <x v="0"/>
    <m/>
    <s v="ORD-2025-10010"/>
    <s v="07-09-25"/>
    <s v="09-12-25"/>
    <s v="CUST-2483"/>
    <s v="Mira Das"/>
    <s v="Home Office"/>
    <s v="South"/>
    <s v="Telangana"/>
    <s v="Hyderabad"/>
    <s v="Office Supplies"/>
    <s v="Paper"/>
    <s v="Pro Paper 622"/>
    <s v="Second Class"/>
    <s v="anomaly"/>
    <n v="93"/>
    <n v="0.2"/>
    <x v="9"/>
    <x v="9"/>
    <n v="0.38054062407085737"/>
    <s v="07-09-25"/>
    <s v="09-12-25"/>
    <s v="September"/>
    <s v="2025"/>
    <s v=" "/>
    <n v="93"/>
    <s v="Unique"/>
  </r>
  <r>
    <s v="ORD-2025-10011"/>
    <s v="20 May 2025"/>
    <s v="05/20/2025"/>
    <s v="CUST-8092"/>
    <s v="Ananya Rao"/>
    <s v="Corporate"/>
    <x v="1"/>
    <s v="West Bengal"/>
    <s v="Kolkata"/>
    <s v="Office Supplies"/>
    <s v="Labels"/>
    <s v="Prime Labels 644"/>
    <s v="Second Class"/>
    <n v="3"/>
    <n v="3534.83"/>
    <n v="0.05"/>
    <n v="10074.27"/>
    <n v="6048.27"/>
    <n v="4026"/>
    <x v="1"/>
    <x v="2"/>
    <m/>
    <s v="ORD-2025-10011"/>
    <s v="20-05-25"/>
    <s v="invalid date"/>
    <s v="CUST-8092"/>
    <s v="Ananya Rao"/>
    <s v="Corporate"/>
    <s v="East"/>
    <s v="West Bengal"/>
    <s v="Kolkata"/>
    <s v="Office Supplies"/>
    <s v="Labels"/>
    <s v="Prime Labels 644"/>
    <s v="Second Class"/>
    <s v="Invalid"/>
    <s v="invalid date"/>
    <n v="0.05"/>
    <x v="10"/>
    <x v="10"/>
    <n v="0.39963166545491574"/>
    <s v="20-05-25"/>
    <s v="invalid date"/>
    <s v="May"/>
    <s v="2025"/>
    <s v="Invalid"/>
    <s v="invalid date"/>
    <s v="Unique"/>
  </r>
  <r>
    <s v="ORD-2024-10012"/>
    <s v="2024-07-22"/>
    <s v="23-07-2024"/>
    <s v="CUST-6528"/>
    <s v="Vikram Iyer"/>
    <s v="Small Business"/>
    <x v="1"/>
    <s v="Odisha"/>
    <s v="Bhubaneswar"/>
    <s v="Technology"/>
    <s v="Accessories"/>
    <s v="Smart Accessories 603"/>
    <s v="Same Day"/>
    <n v="6"/>
    <n v="2005.95"/>
    <n v="0.2"/>
    <n v="9628.56"/>
    <n v="8038.59"/>
    <n v="1589.97"/>
    <x v="0"/>
    <x v="0"/>
    <m/>
    <s v="ORD-2024-10012"/>
    <s v="22-07-24"/>
    <s v="23-07-24"/>
    <s v="CUST-6528"/>
    <s v="Vikram Iyer"/>
    <s v="Small Business"/>
    <s v="East"/>
    <s v="Odisha"/>
    <s v="Bhubaneswar"/>
    <s v="Technology"/>
    <s v="Accessories"/>
    <s v="Smart Accessories 603"/>
    <s v="Same Day"/>
    <s v="anomaly"/>
    <n v="1"/>
    <n v="0.2"/>
    <x v="11"/>
    <x v="11"/>
    <n v="0.16513061143099289"/>
    <s v="22-07-24"/>
    <s v="23-07-24"/>
    <s v="July"/>
    <s v="2024"/>
    <s v=" "/>
    <n v="1"/>
    <s v="Unique"/>
  </r>
  <r>
    <s v="ORD-2024-10013"/>
    <s v="20 Dec 2024"/>
    <s v="12/21/2024"/>
    <s v="CUST-2648"/>
    <s v="Ananya Rao"/>
    <s v="Corporate"/>
    <x v="3"/>
    <s v="Rajasthan"/>
    <s v="Udaipur"/>
    <s v="Office Supplies"/>
    <s v="Paper"/>
    <s v="Pro Paper 481"/>
    <s v="First Class"/>
    <n v="1"/>
    <n v="702.14"/>
    <n v="0.15"/>
    <n v="596.82000000000005"/>
    <n v="380.25"/>
    <n v="216.57"/>
    <x v="2"/>
    <x v="2"/>
    <m/>
    <s v="ORD-2024-10013"/>
    <s v="20-12-24"/>
    <s v="invalid date"/>
    <s v="CUST-2648"/>
    <s v="Ananya Rao"/>
    <s v="Corporate"/>
    <s v="West"/>
    <s v="Rajasthan"/>
    <s v="Udaipur"/>
    <s v="Office Supplies"/>
    <s v="Paper"/>
    <s v="Pro Paper 481"/>
    <s v="First Class"/>
    <s v="Invalid"/>
    <s v="invalid date"/>
    <n v="0.15"/>
    <x v="12"/>
    <x v="12"/>
    <n v="0.36287216057129545"/>
    <s v="20-12-24"/>
    <s v="invalid date"/>
    <s v="December"/>
    <s v="2024"/>
    <s v="Invalid"/>
    <s v="invalid date"/>
    <s v="Unique"/>
  </r>
  <r>
    <s v="ORD-2025-10014"/>
    <s v="2025-10-12"/>
    <s v="16-10-2025"/>
    <s v="CUST-7482"/>
    <s v="Priya Menon"/>
    <s v="Small Business"/>
    <x v="3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x v="0"/>
    <x v="0"/>
    <m/>
    <s v="ORD-2025-10014"/>
    <s v="12-10-25"/>
    <s v="16-10-25"/>
    <s v="CUST-7482"/>
    <s v="Priya Menon"/>
    <s v="Small Business"/>
    <s v="West"/>
    <s v="Maharashtra"/>
    <s v="Mumbai"/>
    <s v="Office Supplies"/>
    <s v="Art"/>
    <s v="Smart Art 795"/>
    <s v="Second Class"/>
    <s v="anomaly"/>
    <n v="4"/>
    <n v="0.05"/>
    <x v="13"/>
    <x v="13"/>
    <n v="0.15395745361304733"/>
    <s v="12-10-25"/>
    <s v="16-10-25"/>
    <s v="October"/>
    <s v="2025"/>
    <s v=" "/>
    <n v="4"/>
    <s v="Unique"/>
  </r>
  <r>
    <s v="ORD-2024-10015"/>
    <s v="27 Dec 2024"/>
    <s v="12/28/2024"/>
    <s v="CUST-4912"/>
    <s v="Rahul Verma"/>
    <s v="Consumer"/>
    <x v="3"/>
    <s v="Rajasthan"/>
    <s v="Udaipur"/>
    <s v="Technology"/>
    <s v="Copiers"/>
    <s v="Max Copiers 983"/>
    <s v="Standard Class"/>
    <n v="2"/>
    <n v="2737.83"/>
    <n v="0.25"/>
    <n v="4106.74"/>
    <n v="2666.3"/>
    <n v="1440.44"/>
    <x v="0"/>
    <x v="0"/>
    <m/>
    <s v="ORD-2024-10015"/>
    <s v="27-12-24"/>
    <s v="invalid date"/>
    <s v="CUST-4912"/>
    <s v="Rahul Verma"/>
    <s v="Consumer"/>
    <s v="West"/>
    <s v="Rajasthan"/>
    <s v="Udaipur"/>
    <s v="Technology"/>
    <s v="Copiers"/>
    <s v="Max Copiers 983"/>
    <s v="Standard Class"/>
    <s v="Invalid"/>
    <s v="invalid date"/>
    <n v="0.25"/>
    <x v="14"/>
    <x v="14"/>
    <n v="0.35075102057712365"/>
    <s v="27-12-24"/>
    <s v="invalid date"/>
    <s v="December"/>
    <s v="2024"/>
    <s v="Invalid"/>
    <s v="invalid date"/>
    <s v="Unique"/>
  </r>
  <r>
    <s v="ORD-2024-10016"/>
    <s v="07/09/2024"/>
    <s v="09 Jul 2024"/>
    <s v="CUST-7656"/>
    <s v="Karan Malhotra"/>
    <s v="Small Business"/>
    <x v="0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x v="0"/>
    <x v="0"/>
    <m/>
    <s v="ORD-2024-10016"/>
    <s v="07-09-24"/>
    <s v="09-07-24"/>
    <s v="CUST-7656"/>
    <s v="Karan Malhotra"/>
    <s v="Small Business"/>
    <s v="North"/>
    <s v="Punjab"/>
    <s v="Ludhiana"/>
    <s v="Office Supplies"/>
    <s v="Storage"/>
    <s v="Classic Storage 198"/>
    <s v="Second Class"/>
    <s v="anomaly"/>
    <n v="-60"/>
    <n v="0"/>
    <x v="15"/>
    <x v="15"/>
    <n v="0.34024962008122872"/>
    <s v="07-09-24"/>
    <s v="09-07-24"/>
    <s v="September"/>
    <s v="2024"/>
    <s v=" "/>
    <n v="-60"/>
    <s v="Unique"/>
  </r>
  <r>
    <s v="ORD-2024-10017"/>
    <s v="05/08/2024"/>
    <s v="15-05-2024"/>
    <s v="CUST-6214"/>
    <s v="Aarav Sharma"/>
    <s v="Consumer"/>
    <x v="2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x v="0"/>
    <x v="0"/>
    <m/>
    <s v="ORD-2024-10017"/>
    <s v="05-08-24"/>
    <s v="15-05-24"/>
    <s v="CUST-6214"/>
    <s v="Aarav Sharma"/>
    <s v="Consumer"/>
    <s v="South"/>
    <s v="Telangana"/>
    <s v="Hyderabad"/>
    <s v="Office Supplies"/>
    <s v="Art"/>
    <s v="Basic Art 204"/>
    <s v="First Class"/>
    <s v="anomaly"/>
    <n v="-82"/>
    <n v="0.25"/>
    <x v="16"/>
    <x v="16"/>
    <n v="0.43150765305354882"/>
    <s v="05-08-24"/>
    <s v="15-05-24"/>
    <s v="August"/>
    <s v="2024"/>
    <s v=" "/>
    <n v="-82"/>
    <s v="Unique"/>
  </r>
  <r>
    <s v="ORD-2024-10018"/>
    <s v="01/07/2024"/>
    <s v="2024-01-08"/>
    <s v="CUST-1626"/>
    <s v="Sneha Kapoor"/>
    <s v="Small Business"/>
    <x v="0"/>
    <s v="Rajasthan"/>
    <s v="Jaipur"/>
    <s v="Furniture"/>
    <s v="Furnishings"/>
    <s v="Basic Furnishings 434"/>
    <s v="Same Day"/>
    <n v="5"/>
    <n v="1526.78"/>
    <n v="0"/>
    <n v="7633.9"/>
    <n v="4706.91"/>
    <n v="2926.99"/>
    <x v="0"/>
    <x v="0"/>
    <m/>
    <s v="ORD-2024-10018"/>
    <s v="01-07-24"/>
    <s v="08-01-24"/>
    <s v="CUST-1626"/>
    <s v="Sneha Kapoor"/>
    <s v="Small Business"/>
    <s v="North"/>
    <s v="Rajasthan"/>
    <s v="Jaipur"/>
    <s v="Furniture"/>
    <s v="Furnishings"/>
    <s v="Basic Furnishings 434"/>
    <s v="Same Day"/>
    <s v="anomaly"/>
    <n v="-175"/>
    <n v="0"/>
    <x v="17"/>
    <x v="17"/>
    <n v="0.38342000812166782"/>
    <s v="01-07-24"/>
    <s v="08-01-24"/>
    <s v="July"/>
    <s v="2024"/>
    <s v=" "/>
    <n v="-175"/>
    <s v="Unique"/>
  </r>
  <r>
    <s v="ORD-2025-10019"/>
    <s v="07/15/2025"/>
    <s v="17-07-2025"/>
    <s v="CUST-2110"/>
    <s v="Aarav Sharma"/>
    <s v="Home Office"/>
    <x v="0"/>
    <s v="Uttar Pradesh"/>
    <s v="Noida"/>
    <s v="Technology"/>
    <s v="Copiers"/>
    <s v="Eco Copiers 755"/>
    <s v="First Class"/>
    <n v="2"/>
    <n v="1997.99"/>
    <n v="0"/>
    <n v="3995.98"/>
    <n v="2633.2"/>
    <n v="1362.78"/>
    <x v="1"/>
    <x v="1"/>
    <m/>
    <s v="ORD-2025-10019"/>
    <s v="invalid date"/>
    <s v="17-07-25"/>
    <s v="CUST-2110"/>
    <s v="Aarav Sharma"/>
    <s v="Home Office"/>
    <s v="North"/>
    <s v="Uttar Pradesh"/>
    <s v="Noida"/>
    <s v="Technology"/>
    <s v="Copiers"/>
    <s v="Eco Copiers 755"/>
    <s v="First Class"/>
    <s v="Invalid"/>
    <s v="invalid date"/>
    <n v="0"/>
    <x v="18"/>
    <x v="18"/>
    <n v="0.34103774293164635"/>
    <s v="invalid date"/>
    <s v="17-07-25"/>
    <s v="invalid date"/>
    <s v="invalid date"/>
    <s v="Invalid"/>
    <s v="invalid date"/>
    <s v="Unique"/>
  </r>
  <r>
    <s v="ORD-2024-10020"/>
    <s v="07/27/2024"/>
    <s v="31 Jul 2024"/>
    <s v="CUST-3186"/>
    <s v="Rohan Mehta"/>
    <s v="Home Office"/>
    <x v="3"/>
    <s v="Madhya Pradesh"/>
    <s v="Indore"/>
    <s v="Office Supplies"/>
    <s v="Storage"/>
    <s v="Prime Storage 121"/>
    <s v="Second Class"/>
    <n v="3"/>
    <n v="3887.94"/>
    <s v="invalid"/>
    <n v="9331.06"/>
    <n v="7529.31"/>
    <n v="1801.75"/>
    <x v="0"/>
    <x v="0"/>
    <m/>
    <s v="ORD-2024-10020"/>
    <s v="invalid date"/>
    <s v="31-07-24"/>
    <s v="CUST-3186"/>
    <s v="Rohan Mehta"/>
    <s v="Home Office"/>
    <s v="West"/>
    <s v="Madhya Pradesh"/>
    <s v="Indore"/>
    <s v="Office Supplies"/>
    <s v="Storage"/>
    <s v="Prime Storage 121"/>
    <s v="Second Class"/>
    <s v="Invalid"/>
    <s v="invalid date"/>
    <s v="invalid"/>
    <x v="2"/>
    <x v="2"/>
    <s v="NA"/>
    <s v="invalid date"/>
    <s v="31-07-24"/>
    <s v="invalid date"/>
    <s v="invalid date"/>
    <s v="Invalid"/>
    <s v="invalid date"/>
    <s v="Unique"/>
  </r>
  <r>
    <s v="ORD-2025-10021"/>
    <s v="21-01-2025"/>
    <s v="23 Jan 2025"/>
    <s v="CUST-3190"/>
    <s v="Aditi Sen"/>
    <s v="Home Office"/>
    <x v="1"/>
    <s v="Bihar"/>
    <s v="Patna"/>
    <s v="Technology"/>
    <s v="Copiers"/>
    <s v="Elite Copiers 233"/>
    <s v="First Class"/>
    <n v="5"/>
    <n v="4373.0600000000004"/>
    <n v="0.25"/>
    <n v="16398.98"/>
    <n v="9556.52"/>
    <n v="6842.46"/>
    <x v="0"/>
    <x v="0"/>
    <m/>
    <s v="ORD-2025-10021"/>
    <s v="21-01-25"/>
    <s v="23-01-25"/>
    <s v="CUST-3190"/>
    <s v="Aditi Sen"/>
    <s v="Home Office"/>
    <s v="East"/>
    <s v="Bihar"/>
    <s v="Patna"/>
    <s v="Technology"/>
    <s v="Copiers"/>
    <s v="Elite Copiers 233"/>
    <s v="First Class"/>
    <s v="anomaly"/>
    <n v="2"/>
    <n v="0.25"/>
    <x v="19"/>
    <x v="19"/>
    <n v="0.4172489439126531"/>
    <s v="21-01-25"/>
    <s v="23-01-25"/>
    <s v="January"/>
    <s v="2025"/>
    <s v=" "/>
    <n v="2"/>
    <s v="Unique"/>
  </r>
  <r>
    <s v="ORD-2025-10022"/>
    <s v="24-01-2025"/>
    <s v="01/30/2025"/>
    <s v="CUST-3036"/>
    <s v="Sneha Kapoor"/>
    <s v="Consumer"/>
    <x v="3"/>
    <s v="Madhya Pradesh"/>
    <s v="Indore"/>
    <s v="Furniture"/>
    <s v="Furnishings"/>
    <s v="Eco Furnishings 897"/>
    <s v="Second Class"/>
    <n v="4"/>
    <n v="697.69"/>
    <s v="invalid"/>
    <n v="2790.76"/>
    <n v="2037.71"/>
    <n v="753.05"/>
    <x v="0"/>
    <x v="0"/>
    <m/>
    <s v="ORD-2025-10022"/>
    <s v="24-01-25"/>
    <s v="invalid date"/>
    <s v="CUST-3036"/>
    <s v="Sneha Kapoor"/>
    <s v="Consumer"/>
    <s v="West"/>
    <s v="Madhya Pradesh"/>
    <s v="Indore"/>
    <s v="Furniture"/>
    <s v="Furnishings"/>
    <s v="Eco Furnishings 897"/>
    <s v="Second Class"/>
    <s v="Invalid"/>
    <s v="invalid date"/>
    <s v="invalid"/>
    <x v="2"/>
    <x v="2"/>
    <s v="NA"/>
    <s v="24-01-25"/>
    <s v="invalid date"/>
    <s v="January"/>
    <s v="2025"/>
    <s v="Invalid"/>
    <s v="invalid date"/>
    <s v="Unique"/>
  </r>
  <r>
    <s v="ORD-2025-10023"/>
    <s v="19 Jan 2025"/>
    <s v="2025-01-21"/>
    <s v="CUST-3588"/>
    <s v="Mira Das"/>
    <s v="Consumer"/>
    <x v="2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x v="3"/>
    <x v="2"/>
    <m/>
    <s v="ORD-2025-10023"/>
    <s v="19-01-25"/>
    <s v="21-01-25"/>
    <s v="CUST-3588"/>
    <s v="Mira Das"/>
    <s v="Consumer"/>
    <s v="South"/>
    <s v="Telangana"/>
    <s v="Hyderabad"/>
    <s v="Office Supplies"/>
    <s v="Binders"/>
    <s v="Max Binders 355"/>
    <s v="Standard Class"/>
    <s v="anomaly"/>
    <n v="2"/>
    <n v="0.15"/>
    <x v="20"/>
    <x v="20"/>
    <n v="0.19375018693816029"/>
    <s v="19-01-25"/>
    <s v="21-01-25"/>
    <s v="January"/>
    <s v="2025"/>
    <s v=" "/>
    <n v="2"/>
    <s v="Unique"/>
  </r>
  <r>
    <s v="ORD-2025-10024"/>
    <s v="29 Aug 2025"/>
    <s v="31-08-2025"/>
    <s v="CUST-7098"/>
    <s v="Rahul Verma"/>
    <s v="Home Office"/>
    <x v="1"/>
    <s v="Bihar"/>
    <s v="Patna"/>
    <s v="Furniture"/>
    <s v="Bookcases"/>
    <s v="Pro Bookcases 394"/>
    <s v="First Class"/>
    <n v="4"/>
    <n v="1958.01"/>
    <n v="0.2"/>
    <n v="6265.63"/>
    <n v="4321.8599999999997"/>
    <n v="1943.77"/>
    <x v="0"/>
    <x v="0"/>
    <m/>
    <s v="ORD-2025-10024"/>
    <s v="29-08-25"/>
    <s v="31-08-25"/>
    <s v="CUST-7098"/>
    <s v="Rahul Verma"/>
    <s v="Home Office"/>
    <s v="East"/>
    <s v="Bihar"/>
    <s v="Patna"/>
    <s v="Furniture"/>
    <s v="Bookcases"/>
    <s v="Pro Bookcases 394"/>
    <s v="First Class"/>
    <s v="anomaly"/>
    <n v="2"/>
    <n v="0.2"/>
    <x v="21"/>
    <x v="21"/>
    <n v="0.31022760353624351"/>
    <s v="29-08-25"/>
    <s v="31-08-25"/>
    <s v="August"/>
    <s v="2025"/>
    <s v=" "/>
    <n v="2"/>
    <s v="Unique"/>
  </r>
  <r>
    <s v="ORD-2024-10025"/>
    <s v="2024-03-04"/>
    <s v="03/01/2024"/>
    <s v="CUST-1747"/>
    <s v="Diya Patel"/>
    <s v="Consumer"/>
    <x v="0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x v="2"/>
    <x v="1"/>
    <m/>
    <s v="ORD-2024-10025"/>
    <s v="04-03-24"/>
    <s v="03-01-24"/>
    <s v="CUST-1747"/>
    <s v="Diya Patel"/>
    <s v="Consumer"/>
    <s v="North"/>
    <s v="Punjab"/>
    <s v="Ludhiana"/>
    <s v="Office Supplies"/>
    <s v="Art"/>
    <s v="Max Art 215"/>
    <s v="Standard Class"/>
    <s v="  "/>
    <n v="-61"/>
    <n v="0.25"/>
    <x v="22"/>
    <x v="22"/>
    <n v="0.18855285551702591"/>
    <s v="04-03-24"/>
    <s v="03-01-24"/>
    <s v="March"/>
    <s v="2024"/>
    <s v="anomaly"/>
    <n v="-61"/>
    <s v="Unique"/>
  </r>
  <r>
    <s v="ORD-2024-10026"/>
    <s v="11-10-2024"/>
    <s v="2024-10-19"/>
    <s v="CUST-1731"/>
    <s v="Arjun Bose"/>
    <s v="Corporate"/>
    <x v="1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x v="0"/>
    <x v="0"/>
    <m/>
    <s v="ORD-2024-10026"/>
    <s v="11-10-24"/>
    <s v="19-10-24"/>
    <s v="CUST-1731"/>
    <s v="Arjun Bose"/>
    <s v="Corporate"/>
    <s v="East"/>
    <s v="Assam"/>
    <s v="Guwahati"/>
    <s v="Technology"/>
    <s v="Accessories"/>
    <s v="Classic Accessories 478"/>
    <s v="First Class"/>
    <s v="anomaly"/>
    <n v="8"/>
    <n v="0.15"/>
    <x v="23"/>
    <x v="23"/>
    <n v="0.32272105171323251"/>
    <s v="11-10-24"/>
    <s v="19-10-24"/>
    <s v="October"/>
    <s v="2024"/>
    <s v=" "/>
    <n v="8"/>
    <s v="Unique"/>
  </r>
  <r>
    <s v="ORD-2024-10027"/>
    <s v="23-11-2024"/>
    <s v="23 Nov 2024"/>
    <s v="CUST-4401"/>
    <s v="Diya Patel"/>
    <s v="Corporate"/>
    <x v="0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x v="0"/>
    <x v="2"/>
    <m/>
    <s v="ORD-2024-10027"/>
    <s v="23-11-24"/>
    <s v="23-11-24"/>
    <s v="CUST-4401"/>
    <s v="Diya Patel"/>
    <s v="Corporate"/>
    <s v="North"/>
    <s v="Uttar Pradesh"/>
    <s v="Noida"/>
    <s v="Technology"/>
    <s v="Phones"/>
    <s v="Pro Phones 243"/>
    <s v="Standard Class"/>
    <s v="  "/>
    <n v="0"/>
    <n v="0.1"/>
    <x v="24"/>
    <x v="24"/>
    <n v="0.40748265755596835"/>
    <s v="23-11-24"/>
    <s v="23-11-24"/>
    <s v="November"/>
    <s v="2024"/>
    <s v=" "/>
    <n v="0"/>
    <s v="Unique"/>
  </r>
  <r>
    <s v="ORD-2025-10028"/>
    <s v="29 Sep 2025"/>
    <s v="05-10-2025"/>
    <s v="CUST-9875"/>
    <s v="Arjun Bose"/>
    <s v="Small Business"/>
    <x v="2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x v="3"/>
    <x v="2"/>
    <m/>
    <s v="ORD-2025-10028"/>
    <s v="29-09-25"/>
    <s v="05-10-25"/>
    <s v="CUST-9875"/>
    <s v="Arjun Bose"/>
    <s v="Small Business"/>
    <s v="South"/>
    <s v="Karnataka"/>
    <s v="Bengaluru"/>
    <s v="Office Supplies"/>
    <s v="Paper"/>
    <s v="Basic Paper 613"/>
    <s v="Second Class"/>
    <s v="  "/>
    <n v="6"/>
    <n v="0.25"/>
    <x v="25"/>
    <x v="25"/>
    <n v="0.30468361647596748"/>
    <s v="29-09-25"/>
    <s v="05-10-25"/>
    <s v="September"/>
    <s v="2025"/>
    <s v="anomaly"/>
    <n v="6"/>
    <s v="Unique"/>
  </r>
  <r>
    <s v="ORD-2024-10029"/>
    <s v="11-10-2024"/>
    <s v="18-10-2024"/>
    <s v="CUST-1569"/>
    <s v="Ananya Rao"/>
    <s v="Home Office"/>
    <x v="3"/>
    <s v="Gujarat"/>
    <s v="Ahmedabad"/>
    <s v="Technology"/>
    <s v="Phones"/>
    <s v="Prime Phones 698"/>
    <s v="Second Class"/>
    <n v="2"/>
    <n v="1942.22"/>
    <n v="0.25"/>
    <n v="2913.33"/>
    <n v="2122.33"/>
    <n v="791"/>
    <x v="1"/>
    <x v="1"/>
    <m/>
    <s v="ORD-2024-10029"/>
    <s v="11-10-24"/>
    <s v="18-10-24"/>
    <s v="CUST-1569"/>
    <s v="Ananya Rao"/>
    <s v="Home Office"/>
    <s v="West"/>
    <s v="Gujarat"/>
    <s v="Ahmedabad"/>
    <s v="Technology"/>
    <s v="Phones"/>
    <s v="Prime Phones 698"/>
    <s v="Second Class"/>
    <s v="anomaly"/>
    <n v="7"/>
    <n v="0.25"/>
    <x v="26"/>
    <x v="26"/>
    <n v="0.27151060813570727"/>
    <s v="11-10-24"/>
    <s v="18-10-24"/>
    <s v="October"/>
    <s v="2024"/>
    <s v=" "/>
    <n v="7"/>
    <s v="Unique"/>
  </r>
  <r>
    <s v="ORD-2025-10030"/>
    <s v="13 Aug 2025"/>
    <s v="13-08-2025"/>
    <s v="CUST-5936"/>
    <s v="Rohan Mehta"/>
    <s v="Home Office"/>
    <x v="2"/>
    <s v="Kerala"/>
    <s v="Kochi"/>
    <s v="Technology"/>
    <s v="Phones"/>
    <s v="Pro Phones 442"/>
    <s v="Standard Class"/>
    <n v="1"/>
    <n v="256.01"/>
    <n v="0.15"/>
    <n v="217.61"/>
    <n v="119.77"/>
    <n v="97.84"/>
    <x v="0"/>
    <x v="0"/>
    <m/>
    <s v="ORD-2025-10030"/>
    <s v="13-08-25"/>
    <s v="13-08-25"/>
    <s v="CUST-5936"/>
    <s v="Rohan Mehta"/>
    <s v="Home Office"/>
    <s v="South"/>
    <s v="Kerala"/>
    <s v="Kochi"/>
    <s v="Technology"/>
    <s v="Phones"/>
    <s v="Pro Phones 442"/>
    <s v="Standard Class"/>
    <s v="  "/>
    <n v="0"/>
    <n v="0.15"/>
    <x v="27"/>
    <x v="27"/>
    <n v="0.44960789675035673"/>
    <s v="13-08-25"/>
    <s v="13-08-25"/>
    <s v="August"/>
    <s v="2025"/>
    <s v=" "/>
    <n v="0"/>
    <s v="Unique"/>
  </r>
  <r>
    <s v="ORD-2024-10031"/>
    <s v="09 Feb 2024"/>
    <s v="02/12/2024"/>
    <s v="CUST-8759"/>
    <s v="Ananya Rao"/>
    <s v="Corporate"/>
    <x v="3"/>
    <s v="Goa"/>
    <s v="Panaji"/>
    <s v="Office Supplies"/>
    <s v="Labels"/>
    <s v="Pro Labels 355"/>
    <s v="First Class"/>
    <n v="1"/>
    <n v="3421.77"/>
    <n v="0.1"/>
    <n v="3079.59"/>
    <n v="2001.89"/>
    <n v="1077.7"/>
    <x v="0"/>
    <x v="0"/>
    <m/>
    <s v="ORD-2024-10031"/>
    <s v="09-02-24"/>
    <s v="02-12-24"/>
    <s v="CUST-8759"/>
    <s v="Ananya Rao"/>
    <s v="Corporate"/>
    <s v="West"/>
    <s v="Goa"/>
    <s v="Panaji"/>
    <s v="Office Supplies"/>
    <s v="Labels"/>
    <s v="Pro Labels 355"/>
    <s v="First Class"/>
    <s v="  "/>
    <n v="297"/>
    <n v="0.1"/>
    <x v="28"/>
    <x v="28"/>
    <n v="0.34994981479695525"/>
    <s v="09-02-24"/>
    <s v="02-12-24"/>
    <s v="February"/>
    <s v="2024"/>
    <s v="anomaly"/>
    <n v="297"/>
    <s v="Unique"/>
  </r>
  <r>
    <s v="ORD-2025-10032"/>
    <s v="15-06-2025"/>
    <s v="19-06-2025"/>
    <s v="CUST-7867"/>
    <s v="Karan Malhotra"/>
    <s v="Small Business"/>
    <x v="3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x v="3"/>
    <x v="2"/>
    <m/>
    <s v="ORD-2025-10032"/>
    <s v="15-06-25"/>
    <s v="19-06-25"/>
    <s v="CUST-7867"/>
    <s v="Karan Malhotra"/>
    <s v="Small Business"/>
    <s v="West"/>
    <s v="Madhya Pradesh"/>
    <s v="Indore"/>
    <s v="Office Supplies"/>
    <s v="Paper"/>
    <s v="Pro Paper 959"/>
    <s v="Second Class"/>
    <s v="anomaly"/>
    <n v="4"/>
    <n v="0"/>
    <x v="29"/>
    <x v="29"/>
    <n v="0.36155707533696574"/>
    <s v="15-06-25"/>
    <s v="19-06-25"/>
    <s v="June"/>
    <s v="2025"/>
    <s v=" "/>
    <n v="4"/>
    <s v="Unique"/>
  </r>
  <r>
    <s v="ORD-2024-10033"/>
    <s v="22-11-2024"/>
    <s v="2024-11-26"/>
    <s v="CUST-6509"/>
    <s v="Aarav Sharma"/>
    <s v="Corporate"/>
    <x v="2"/>
    <s v="Andhra Pradesh"/>
    <s v="Vijayawada"/>
    <s v="Technology"/>
    <s v="Phones"/>
    <s v="Basic Phones 242"/>
    <s v="Second Class"/>
    <n v="3"/>
    <n v="4001.25"/>
    <m/>
    <n v="9002.81"/>
    <n v="7529.92"/>
    <n v="1472.89"/>
    <x v="0"/>
    <x v="0"/>
    <m/>
    <s v="ORD-2024-10033"/>
    <s v="22-11-24"/>
    <s v="26-11-24"/>
    <s v="CUST-6509"/>
    <s v="Aarav Sharma"/>
    <s v="Corporate"/>
    <s v="South"/>
    <s v="Andhra Pradesh"/>
    <s v="Vijayawada"/>
    <s v="Technology"/>
    <s v="Phones"/>
    <s v="Basic Phones 242"/>
    <s v="Second Class"/>
    <s v="anomaly"/>
    <n v="4"/>
    <n v="0"/>
    <x v="30"/>
    <x v="30"/>
    <n v="0.37270269707383108"/>
    <s v="22-11-24"/>
    <s v="26-11-24"/>
    <s v="November"/>
    <s v="2024"/>
    <s v=" "/>
    <n v="4"/>
    <s v="Unique"/>
  </r>
  <r>
    <s v="ORD-2024-10034"/>
    <s v="07/22/2024"/>
    <s v="27-07-2024"/>
    <s v="CUST-6660"/>
    <s v="Priya Menon"/>
    <s v="Home Office"/>
    <x v="3"/>
    <s v="Goa"/>
    <s v="Panaji"/>
    <s v="Furniture"/>
    <s v="Tables"/>
    <s v="Max Tables 836"/>
    <s v="Same Day"/>
    <n v="7"/>
    <n v="492.41"/>
    <n v="0.25"/>
    <n v="2585.15"/>
    <n v="2070.73"/>
    <n v="514.41999999999996"/>
    <x v="0"/>
    <x v="0"/>
    <m/>
    <s v="ORD-2024-10034"/>
    <s v="invalid date"/>
    <s v="27-07-24"/>
    <s v="CUST-6660"/>
    <s v="Priya Menon"/>
    <s v="Home Office"/>
    <s v="West"/>
    <s v="Goa"/>
    <s v="Panaji"/>
    <s v="Furniture"/>
    <s v="Tables"/>
    <s v="Max Tables 836"/>
    <s v="Same Day"/>
    <s v="Invalid"/>
    <s v="invalid date"/>
    <n v="0.25"/>
    <x v="31"/>
    <x v="31"/>
    <n v="0.19899116203009304"/>
    <s v="invalid date"/>
    <s v="27-07-24"/>
    <s v="invalid date"/>
    <s v="invalid date"/>
    <s v="Invalid"/>
    <s v="invalid date"/>
    <s v="Unique"/>
  </r>
  <r>
    <s v="ORD-2025-10035"/>
    <s v="2025-01-31"/>
    <s v="2025-02-05"/>
    <s v="CUST-2392"/>
    <s v="Priya Menon"/>
    <s v="Home Office"/>
    <x v="1"/>
    <s v="West Bengal"/>
    <s v="Kolkata"/>
    <s v="Furniture"/>
    <s v="Chairs"/>
    <s v="Elite Chairs 862"/>
    <m/>
    <n v="2"/>
    <n v="4159.6899999999996"/>
    <n v="0.2"/>
    <n v="6655.5"/>
    <n v="4340.21"/>
    <n v="2607.3200000000002"/>
    <x v="0"/>
    <x v="0"/>
    <m/>
    <s v="ORD-2025-10035"/>
    <s v="31-01-25"/>
    <s v="05-02-25"/>
    <s v="CUST-2392"/>
    <s v="Priya Menon"/>
    <s v="Home Office"/>
    <s v="East"/>
    <s v="West Bengal"/>
    <s v="Kolkata"/>
    <s v="Furniture"/>
    <s v="Chairs"/>
    <s v="Elite Chairs 862"/>
    <s v="unknown"/>
    <s v="  "/>
    <n v="5"/>
    <n v="0.2"/>
    <x v="32"/>
    <x v="32"/>
    <n v="0.34787658455317583"/>
    <s v="31-01-25"/>
    <s v="05-02-25"/>
    <s v="January"/>
    <s v="2025"/>
    <s v="anomaly"/>
    <n v="5"/>
    <s v="Unique"/>
  </r>
  <r>
    <s v="ORD-2024-10036"/>
    <s v="29-05-2024"/>
    <s v="29 May 2024"/>
    <s v="CUST-1611"/>
    <s v="Sneha Kapoor"/>
    <s v="Small Business"/>
    <x v="3"/>
    <s v="Gujarat"/>
    <s v="Ahmedabad"/>
    <s v="Furniture"/>
    <s v="Bookcases"/>
    <s v="Prime Bookcases 414"/>
    <s v="Second Class"/>
    <n v="8"/>
    <n v="2507.12"/>
    <n v="0.05"/>
    <n v="19054.11"/>
    <n v="15313.83"/>
    <n v="3740.28"/>
    <x v="2"/>
    <x v="2"/>
    <m/>
    <s v="ORD-2024-10036"/>
    <s v="29-05-24"/>
    <s v="29-05-24"/>
    <s v="CUST-1611"/>
    <s v="Sneha Kapoor"/>
    <s v="Small Business"/>
    <s v="West"/>
    <s v="Gujarat"/>
    <s v="Ahmedabad"/>
    <s v="Furniture"/>
    <s v="Bookcases"/>
    <s v="Prime Bookcases 414"/>
    <s v="Second Class"/>
    <s v="  "/>
    <n v="0"/>
    <n v="0.05"/>
    <x v="33"/>
    <x v="33"/>
    <n v="0.19629789097492437"/>
    <s v="29-05-24"/>
    <s v="29-05-24"/>
    <s v="May"/>
    <s v="2024"/>
    <s v=" "/>
    <n v="0"/>
    <s v="Unique"/>
  </r>
  <r>
    <s v="ORD-2024-10037"/>
    <s v="2024-10-25"/>
    <s v="28 Oct 2024"/>
    <s v="CUST-8296"/>
    <s v="Rohan Mehta"/>
    <s v="Corporate"/>
    <x v="3"/>
    <s v="Maharashtra"/>
    <s v="Mumbai"/>
    <s v="Furniture"/>
    <s v="Bookcases"/>
    <s v="Eco Bookcases 220"/>
    <s v="Second Class"/>
    <n v="3"/>
    <n v="3126.47"/>
    <n v="0"/>
    <n v="9379.41"/>
    <n v="6670.85"/>
    <n v="2708.56"/>
    <x v="0"/>
    <x v="2"/>
    <m/>
    <s v="ORD-2024-10037"/>
    <s v="25-10-24"/>
    <s v="28-10-24"/>
    <s v="CUST-8296"/>
    <s v="Rohan Mehta"/>
    <s v="Corporate"/>
    <s v="West"/>
    <s v="Maharashtra"/>
    <s v="Mumbai"/>
    <s v="Furniture"/>
    <s v="Bookcases"/>
    <s v="Eco Bookcases 220"/>
    <s v="Second Class"/>
    <s v="anomaly"/>
    <n v="3"/>
    <n v="0"/>
    <x v="34"/>
    <x v="34"/>
    <n v="0.28877722585962223"/>
    <s v="25-10-24"/>
    <s v="28-10-24"/>
    <s v="October"/>
    <s v="2024"/>
    <s v=" "/>
    <n v="3"/>
    <s v="Unique"/>
  </r>
  <r>
    <s v="ORD-2025-10038"/>
    <s v="29-07-2025"/>
    <s v="29-07-2025"/>
    <s v="CUST-4646"/>
    <s v="Diya Patel"/>
    <s v="Consumer"/>
    <x v="3"/>
    <s v="Maharashtra"/>
    <s v="Mumbai"/>
    <s v="Technology"/>
    <s v="Copiers"/>
    <s v="Pro Copiers 830"/>
    <s v="Standard Class"/>
    <n v="4"/>
    <n v="1327.54"/>
    <n v="0.2"/>
    <n v="4248.13"/>
    <n v="3321.09"/>
    <n v="927.04"/>
    <x v="0"/>
    <x v="0"/>
    <m/>
    <s v="ORD-2025-10038"/>
    <s v="29-07-25"/>
    <s v="29-07-25"/>
    <s v="CUST-4646"/>
    <s v="Diya Patel"/>
    <s v="Consumer"/>
    <s v="West"/>
    <s v="Maharashtra"/>
    <s v="Mumbai"/>
    <s v="Technology"/>
    <s v="Copiers"/>
    <s v="Pro Copiers 830"/>
    <s v="Standard Class"/>
    <s v="  "/>
    <n v="0"/>
    <n v="0.2"/>
    <x v="35"/>
    <x v="35"/>
    <n v="0.21822270892025844"/>
    <s v="29-07-25"/>
    <s v="29-07-25"/>
    <s v="July"/>
    <s v="2025"/>
    <s v=" "/>
    <n v="0"/>
    <s v="Unique"/>
  </r>
  <r>
    <s v="ORD-2024-10039"/>
    <s v="2024-06-17"/>
    <s v="22-06-2024"/>
    <s v="CUST-8235"/>
    <s v="Aarav Sharma"/>
    <s v="Corporate"/>
    <x v="3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x v="0"/>
    <x v="0"/>
    <m/>
    <s v="ORD-2024-10039"/>
    <s v="17-06-24"/>
    <s v="22-06-24"/>
    <s v="CUST-8235"/>
    <s v="Aarav Sharma"/>
    <s v="Corporate"/>
    <s v="West"/>
    <s v="Gujarat"/>
    <s v="Ahmedabad"/>
    <s v="Technology"/>
    <s v="Phones"/>
    <s v="Prime Phones 507"/>
    <s v="First Class"/>
    <s v="anomaly"/>
    <n v="5"/>
    <n v="0.1"/>
    <x v="36"/>
    <x v="36"/>
    <n v="0.24573448778670692"/>
    <s v="17-06-24"/>
    <s v="22-06-24"/>
    <s v="June"/>
    <s v="2024"/>
    <s v=" "/>
    <n v="5"/>
    <s v="Unique"/>
  </r>
  <r>
    <s v="ORD-2024-10040"/>
    <s v="12/11/2024"/>
    <s v="2024-12-11"/>
    <s v="CUST-5830"/>
    <s v="Mira Das"/>
    <s v="Small Business"/>
    <x v="3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x v="2"/>
    <x v="2"/>
    <m/>
    <s v="ORD-2024-10040"/>
    <s v="12-11-24"/>
    <s v="11-12-24"/>
    <s v="CUST-5830"/>
    <s v="Mira Das"/>
    <s v="Small Business"/>
    <s v="West"/>
    <s v="Madhya Pradesh"/>
    <s v="Indore"/>
    <s v="Technology"/>
    <s v="Copiers"/>
    <s v="Classic Copiers 590"/>
    <s v="First Class"/>
    <s v="  "/>
    <n v="29"/>
    <n v="0.1"/>
    <x v="37"/>
    <x v="37"/>
    <n v="0.31619925954022776"/>
    <s v="12-11-24"/>
    <s v="11-12-24"/>
    <s v="November"/>
    <s v="2024"/>
    <s v="anomaly"/>
    <n v="29"/>
    <s v="Unique"/>
  </r>
  <r>
    <s v="ORD-2024-10041"/>
    <s v="10-10-2024"/>
    <s v="16 Oct 2024"/>
    <s v="CUST-7178"/>
    <s v="Isha Nair"/>
    <s v="Home Office"/>
    <x v="3"/>
    <s v="Rajasthan"/>
    <s v="Udaipur"/>
    <s v="Technology"/>
    <s v="Copiers"/>
    <s v="Eco Copiers 865"/>
    <s v="Standard Class"/>
    <n v="7"/>
    <n v="2509.27"/>
    <n v="0.2"/>
    <n v="14051.91"/>
    <n v="11990.37"/>
    <n v="2061.54"/>
    <x v="0"/>
    <x v="0"/>
    <m/>
    <s v="ORD-2024-10041"/>
    <s v="10-10-24"/>
    <s v="16-10-24"/>
    <s v="CUST-7178"/>
    <s v="Isha Nair"/>
    <s v="Home Office"/>
    <s v="West"/>
    <s v="Rajasthan"/>
    <s v="Udaipur"/>
    <s v="Technology"/>
    <s v="Copiers"/>
    <s v="Eco Copiers 865"/>
    <s v="Standard Class"/>
    <s v="anomaly"/>
    <n v="6"/>
    <n v="0.2"/>
    <x v="38"/>
    <x v="38"/>
    <n v="0.14670900301681361"/>
    <s v="10-10-24"/>
    <s v="16-10-24"/>
    <s v="October"/>
    <s v="2024"/>
    <s v=" "/>
    <n v="6"/>
    <s v="Unique"/>
  </r>
  <r>
    <s v="ORD-2024-10042"/>
    <s v="03/12/2024"/>
    <s v="17-03-2024"/>
    <s v="CUST-3829"/>
    <s v="Aarav Sharma"/>
    <s v="Small Business"/>
    <x v="1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x v="2"/>
    <x v="1"/>
    <m/>
    <s v="ORD-2024-10042"/>
    <s v="03-12-24"/>
    <s v="17-03-24"/>
    <s v="CUST-3829"/>
    <s v="Aarav Sharma"/>
    <s v="Small Business"/>
    <s v="East"/>
    <s v="Odisha"/>
    <s v="Bhubaneswar"/>
    <s v="Furniture"/>
    <s v="Bookcases"/>
    <s v="Classic Bookcases 835"/>
    <s v="Same Day"/>
    <s v="anomaly"/>
    <n v="-261"/>
    <n v="0"/>
    <x v="39"/>
    <x v="39"/>
    <n v="0.38071972750961069"/>
    <s v="03-12-24"/>
    <s v="17-03-24"/>
    <s v="December"/>
    <s v="2024"/>
    <s v=" "/>
    <n v="-261"/>
    <s v="Unique"/>
  </r>
  <r>
    <s v="ORD-2025-10043"/>
    <s v="2025-10-10"/>
    <s v="15 Oct 2025"/>
    <s v="CUST-6708"/>
    <s v="Arjun Bose"/>
    <s v="Corporate"/>
    <x v="1"/>
    <s v="Jharkhand"/>
    <s v="Ranchi"/>
    <s v="Technology"/>
    <s v="Phones"/>
    <s v="Eco Phones 702"/>
    <s v="Standard Class"/>
    <n v="8"/>
    <n v="979.87"/>
    <n v="0.05"/>
    <n v="7447.01"/>
    <n v="4496.22"/>
    <n v="2950.79"/>
    <x v="0"/>
    <x v="0"/>
    <m/>
    <s v="ORD-2025-10043"/>
    <s v="10-10-25"/>
    <s v="15-10-25"/>
    <s v="CUST-6708"/>
    <s v="Arjun Bose"/>
    <s v="Corporate"/>
    <s v="East"/>
    <s v="Jharkhand"/>
    <s v="Ranchi"/>
    <s v="Technology"/>
    <s v="Phones"/>
    <s v="Eco Phones 702"/>
    <s v="Standard Class"/>
    <s v="anomaly"/>
    <n v="5"/>
    <n v="0.05"/>
    <x v="40"/>
    <x v="40"/>
    <n v="0.39623838393170302"/>
    <s v="10-10-25"/>
    <s v="15-10-25"/>
    <s v="October"/>
    <s v="2025"/>
    <s v=" "/>
    <n v="5"/>
    <s v="Unique"/>
  </r>
  <r>
    <s v="ORD-2024-10044"/>
    <s v="07/08/2024"/>
    <s v="07/14/2024"/>
    <s v="CUST-7119"/>
    <s v="Priya Menon"/>
    <s v="Small Business"/>
    <x v="1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x v="0"/>
    <x v="0"/>
    <m/>
    <s v="ORD-2024-10044"/>
    <s v="07-08-24"/>
    <s v="invalid date"/>
    <s v="CUST-7119"/>
    <s v="Priya Menon"/>
    <s v="Small Business"/>
    <s v="East"/>
    <s v="Odisha"/>
    <s v="Bhubaneswar"/>
    <s v="Furniture"/>
    <s v="Furnishings"/>
    <s v="Smart Furnishings 956"/>
    <s v="Same Day"/>
    <s v="Invalid"/>
    <s v="invalid date"/>
    <n v="0"/>
    <x v="41"/>
    <x v="41"/>
    <n v="0.43211611877163292"/>
    <s v="07-08-24"/>
    <s v="invalid date"/>
    <s v="August"/>
    <s v="2024"/>
    <s v="Invalid"/>
    <s v="invalid date"/>
    <s v="Unique"/>
  </r>
  <r>
    <s v="ORD-2024-10045"/>
    <s v="06/22/2024"/>
    <s v="25-06-2024"/>
    <s v="CUST-3373"/>
    <s v="Rohan Mehta"/>
    <s v="Small Business"/>
    <x v="0"/>
    <s v="Haryana"/>
    <s v="Gurugram"/>
    <s v="Furniture"/>
    <s v="Chairs"/>
    <s v="Max Chairs 393"/>
    <s v="Standard Class"/>
    <n v="9"/>
    <n v="3329.77"/>
    <n v="0.1"/>
    <n v="26971.14"/>
    <n v="17376.2"/>
    <n v="9594.94"/>
    <x v="0"/>
    <x v="0"/>
    <m/>
    <s v="ORD-2024-10045"/>
    <s v="invalid date"/>
    <s v="25-06-24"/>
    <s v="CUST-3373"/>
    <s v="Rohan Mehta"/>
    <s v="Small Business"/>
    <s v="North"/>
    <s v="Haryana"/>
    <s v="Gurugram"/>
    <s v="Furniture"/>
    <s v="Chairs"/>
    <s v="Max Chairs 393"/>
    <s v="Standard Class"/>
    <s v="Invalid"/>
    <s v="invalid date"/>
    <n v="0.1"/>
    <x v="42"/>
    <x v="42"/>
    <n v="0.35574833200394929"/>
    <s v="invalid date"/>
    <s v="25-06-24"/>
    <s v="invalid date"/>
    <s v="invalid date"/>
    <s v="Invalid"/>
    <s v="invalid date"/>
    <s v="Unique"/>
  </r>
  <r>
    <s v="ORD-2024-10046"/>
    <s v="18 Jan 2024"/>
    <s v="24-01-2024"/>
    <s v="CUST-8896"/>
    <s v="Isha Nair"/>
    <s v="Home Office"/>
    <x v="1"/>
    <s v="Bihar"/>
    <s v="Patna"/>
    <s v="Office Supplies"/>
    <s v="Art"/>
    <s v="Prime Art 221"/>
    <s v="Second Class"/>
    <n v="8"/>
    <n v="3927.82"/>
    <n v="0.05"/>
    <n v="29851.43"/>
    <n v="17487.48"/>
    <n v="12363.95"/>
    <x v="2"/>
    <x v="2"/>
    <m/>
    <s v="ORD-2024-10046"/>
    <s v="18-01-24"/>
    <s v="24-01-24"/>
    <s v="CUST-8896"/>
    <s v="Isha Nair"/>
    <s v="Home Office"/>
    <s v="East"/>
    <s v="Bihar"/>
    <s v="Patna"/>
    <s v="Office Supplies"/>
    <s v="Art"/>
    <s v="Prime Art 221"/>
    <s v="Second Class"/>
    <s v="anomaly"/>
    <n v="6"/>
    <n v="0.05"/>
    <x v="43"/>
    <x v="43"/>
    <n v="0.41418287739094062"/>
    <s v="18-01-24"/>
    <s v="24-01-24"/>
    <s v="January"/>
    <s v="2024"/>
    <s v=" "/>
    <n v="6"/>
    <s v="Unique"/>
  </r>
  <r>
    <s v="ORD-2024-10047"/>
    <s v="19-07-2024"/>
    <s v="19-07-2024"/>
    <s v="CUST-8517"/>
    <s v="Ananya Rao"/>
    <s v="Small Business"/>
    <x v="2"/>
    <s v="Kerala"/>
    <s v="Kochi"/>
    <s v="Furniture"/>
    <s v="Bookcases"/>
    <s v="Elite Bookcases 671"/>
    <s v="Standard Class"/>
    <n v="9"/>
    <n v="2386.79"/>
    <n v="0.25"/>
    <n v="16110.83"/>
    <n v="10680.03"/>
    <n v="5430.8"/>
    <x v="1"/>
    <x v="2"/>
    <m/>
    <s v="ORD-2024-10047"/>
    <s v="19-07-24"/>
    <s v="19-07-24"/>
    <s v="CUST-8517"/>
    <s v="Ananya Rao"/>
    <s v="Small Business"/>
    <s v="South"/>
    <s v="Kerala"/>
    <s v="Kochi"/>
    <s v="Furniture"/>
    <s v="Bookcases"/>
    <s v="Elite Bookcases 671"/>
    <s v="Standard Class"/>
    <s v="  "/>
    <n v="0"/>
    <n v="0.25"/>
    <x v="44"/>
    <x v="44"/>
    <n v="0.33709012243780695"/>
    <s v="19-07-24"/>
    <s v="19-07-24"/>
    <s v="July"/>
    <s v="2024"/>
    <s v=" "/>
    <n v="0"/>
    <s v="Unique"/>
  </r>
  <r>
    <s v="ORD-2024-10048"/>
    <s v="12-08-2024"/>
    <s v="2024-08-12"/>
    <s v="CUST-1987"/>
    <s v="Rahul Verma"/>
    <s v="Corporate"/>
    <x v="2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x v="0"/>
    <x v="0"/>
    <m/>
    <s v="ORD-2024-10048"/>
    <s v="12-08-24"/>
    <s v="12-08-24"/>
    <s v="CUST-1987"/>
    <s v="Rahul Verma"/>
    <s v="Corporate"/>
    <s v="South"/>
    <s v="Tamil Nadu"/>
    <s v="Chennai"/>
    <s v="Office Supplies"/>
    <s v="Storage"/>
    <s v="Max Storage 432"/>
    <s v="Standard Class"/>
    <s v="  "/>
    <n v="0"/>
    <n v="0.1"/>
    <x v="45"/>
    <x v="45"/>
    <n v="0.29349107747756592"/>
    <s v="12-08-24"/>
    <s v="12-08-24"/>
    <s v="August"/>
    <s v="2024"/>
    <s v=" "/>
    <n v="0"/>
    <s v="Unique"/>
  </r>
  <r>
    <s v="ORD-2025-10049"/>
    <s v="30 Jan 2025"/>
    <s v="05 Feb 2025"/>
    <s v="CUST-8183"/>
    <s v="Neha Gupta"/>
    <s v="Corporate"/>
    <x v="3"/>
    <s v="Maharashtra"/>
    <s v="Mumbai"/>
    <s v="Furniture"/>
    <s v="Chairs"/>
    <s v="Basic Chairs 837"/>
    <s v="Second Class"/>
    <n v="7"/>
    <n v="4063.66"/>
    <n v="0"/>
    <n v="28445.62"/>
    <n v="20938.59"/>
    <n v="7507.03"/>
    <x v="0"/>
    <x v="0"/>
    <m/>
    <s v="ORD-2025-10049"/>
    <s v="30-01-25"/>
    <s v="05-02-25"/>
    <s v="CUST-8183"/>
    <s v="Neha Gupta"/>
    <s v="Corporate"/>
    <s v="West"/>
    <s v="Maharashtra"/>
    <s v="Mumbai"/>
    <s v="Furniture"/>
    <s v="Chairs"/>
    <s v="Basic Chairs 837"/>
    <s v="Second Class"/>
    <s v="  "/>
    <n v="6"/>
    <n v="0"/>
    <x v="46"/>
    <x v="46"/>
    <n v="0.26390811660986818"/>
    <s v="30-01-25"/>
    <s v="05-02-25"/>
    <s v="January"/>
    <s v="2025"/>
    <s v="anomaly"/>
    <n v="6"/>
    <s v="Unique"/>
  </r>
  <r>
    <s v="ORD-2024-10050"/>
    <s v="2024-04-06"/>
    <s v="13 Apr 2024"/>
    <s v="CUST-2380"/>
    <s v="Aarav Sharma"/>
    <s v="Home Office"/>
    <x v="0"/>
    <s v="Uttar Pradesh"/>
    <s v="Noida"/>
    <s v="Technology"/>
    <s v="Copiers"/>
    <s v="Classic Copiers 295"/>
    <s v="Second Class"/>
    <n v="9"/>
    <n v="792.11"/>
    <n v="0.05"/>
    <n v="6772.54"/>
    <n v="5755.46"/>
    <n v="1017.08"/>
    <x v="0"/>
    <x v="0"/>
    <m/>
    <s v="ORD-2024-10050"/>
    <s v="06-04-24"/>
    <s v="13-04-24"/>
    <s v="CUST-2380"/>
    <s v="Aarav Sharma"/>
    <s v="Home Office"/>
    <s v="North"/>
    <s v="Uttar Pradesh"/>
    <s v="Noida"/>
    <s v="Technology"/>
    <s v="Copiers"/>
    <s v="Classic Copiers 295"/>
    <s v="Second Class"/>
    <s v="anomaly"/>
    <n v="7"/>
    <n v="0.05"/>
    <x v="47"/>
    <x v="47"/>
    <n v="0.15017710119267641"/>
    <s v="06-04-24"/>
    <s v="13-04-24"/>
    <s v="April"/>
    <s v="2024"/>
    <s v=" "/>
    <n v="7"/>
    <s v="Unique"/>
  </r>
  <r>
    <s v="ORD-2025-10051"/>
    <s v="05/11/2025"/>
    <s v="19 May 2025"/>
    <s v="CUST-8787"/>
    <s v="Sneha Kapoor"/>
    <s v="Consumer"/>
    <x v="1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x v="0"/>
    <x v="0"/>
    <m/>
    <s v="ORD-2025-10051"/>
    <s v="05-11-25"/>
    <s v="19-05-25"/>
    <s v="CUST-8787"/>
    <s v="Sneha Kapoor"/>
    <s v="Consumer"/>
    <s v="East"/>
    <s v="West Bengal"/>
    <s v="Kolkata"/>
    <s v="Technology"/>
    <s v="Copiers"/>
    <s v="Pro Copiers 963"/>
    <s v="Standard Class"/>
    <s v="anomaly"/>
    <n v="-170"/>
    <n v="0.15"/>
    <x v="48"/>
    <x v="48"/>
    <n v="0.43682173221815163"/>
    <s v="05-11-25"/>
    <s v="19-05-25"/>
    <s v="November"/>
    <s v="2025"/>
    <s v=" "/>
    <n v="-170"/>
    <s v="Unique"/>
  </r>
  <r>
    <s v="ORD-2024-10052"/>
    <s v="24 Apr 2024"/>
    <s v="29 Apr 2024"/>
    <s v="CUST-3557"/>
    <s v="Ananya Rao"/>
    <s v="Corporate"/>
    <x v="2"/>
    <s v="Telangana"/>
    <s v="Hyderabad"/>
    <s v="Office Supplies"/>
    <s v="Art"/>
    <s v="Pro Art 907"/>
    <s v="Standard Class"/>
    <n v="6"/>
    <n v="1528.08"/>
    <n v="0"/>
    <n v="9168.48"/>
    <n v="7439.77"/>
    <n v="1728.71"/>
    <x v="0"/>
    <x v="0"/>
    <m/>
    <s v="ORD-2024-10052"/>
    <s v="24-04-24"/>
    <s v="29-04-24"/>
    <s v="CUST-3557"/>
    <s v="Ananya Rao"/>
    <s v="Corporate"/>
    <s v="South"/>
    <s v="Telangana"/>
    <s v="Hyderabad"/>
    <s v="Office Supplies"/>
    <s v="Art"/>
    <s v="Pro Art 907"/>
    <s v="Standard Class"/>
    <s v="anomaly"/>
    <n v="5"/>
    <n v="0"/>
    <x v="49"/>
    <x v="49"/>
    <n v="0.18854924698532355"/>
    <s v="24-04-24"/>
    <s v="29-04-24"/>
    <s v="April"/>
    <s v="2024"/>
    <s v=" "/>
    <n v="5"/>
    <s v="Unique"/>
  </r>
  <r>
    <s v="ORD-2024-10053"/>
    <s v="26-10-2024"/>
    <s v="2024-10-28"/>
    <s v="CUST-2778"/>
    <s v="Kabir Singh"/>
    <s v="Small Business"/>
    <x v="0"/>
    <s v="Rajasthan"/>
    <s v="Jaipur"/>
    <s v="Furniture"/>
    <s v="Chairs"/>
    <s v="Pro Chairs 526"/>
    <s v="First Class"/>
    <n v="9"/>
    <n v="1399.63"/>
    <n v="0"/>
    <n v="12596.67"/>
    <n v="10603.29"/>
    <n v="1993.38"/>
    <x v="3"/>
    <x v="1"/>
    <m/>
    <s v="ORD-2024-10053"/>
    <s v="26-10-24"/>
    <s v="28-10-24"/>
    <s v="CUST-2778"/>
    <s v="Kabir Singh"/>
    <s v="Small Business"/>
    <s v="North"/>
    <s v="Rajasthan"/>
    <s v="Jaipur"/>
    <s v="Furniture"/>
    <s v="Chairs"/>
    <s v="Pro Chairs 526"/>
    <s v="First Class"/>
    <s v="anomaly"/>
    <n v="2"/>
    <n v="0"/>
    <x v="50"/>
    <x v="50"/>
    <n v="0.15824658421630483"/>
    <s v="26-10-24"/>
    <s v="28-10-24"/>
    <s v="October"/>
    <s v="2024"/>
    <s v=" "/>
    <n v="2"/>
    <s v="Unique"/>
  </r>
  <r>
    <s v="ORD-2025-10054"/>
    <s v="31 Mar 2025"/>
    <s v="2025-03-31"/>
    <s v="CUST-7195"/>
    <s v="Kabir Singh"/>
    <s v="Home Office"/>
    <x v="3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x v="0"/>
    <x v="0"/>
    <m/>
    <s v="ORD-2025-10054"/>
    <s v="31-03-25"/>
    <s v="31-03-25"/>
    <s v="CUST-7195"/>
    <s v="Kabir Singh"/>
    <s v="Home Office"/>
    <s v="West"/>
    <s v="Gujarat"/>
    <s v="Ahmedabad"/>
    <s v="Office Supplies"/>
    <s v="Storage"/>
    <s v="Elite Storage 924"/>
    <s v="First Class"/>
    <s v="  "/>
    <n v="0"/>
    <n v="0.15"/>
    <x v="51"/>
    <x v="51"/>
    <n v="0.44683950252813498"/>
    <s v="31-03-25"/>
    <s v="31-03-25"/>
    <s v="March"/>
    <s v="2025"/>
    <s v=" "/>
    <n v="0"/>
    <s v="Unique"/>
  </r>
  <r>
    <s v="ORD-2025-10055"/>
    <s v="30 May 2025"/>
    <s v="2025-06-02"/>
    <s v="CUST-9039"/>
    <s v="Arjun Bose"/>
    <s v="Corporate"/>
    <x v="2"/>
    <s v="Tamil Nadu"/>
    <s v="Chennai"/>
    <s v="Office Supplies"/>
    <s v="Labels"/>
    <s v="Pro Labels 957"/>
    <s v="Same Day"/>
    <n v="8"/>
    <n v="474.37"/>
    <n v="0.1"/>
    <n v="3415.46"/>
    <n v="1993.23"/>
    <n v="1422.23"/>
    <x v="3"/>
    <x v="1"/>
    <m/>
    <s v="ORD-2025-10055"/>
    <s v="30-05-25"/>
    <s v="02-06-25"/>
    <s v="CUST-9039"/>
    <s v="Arjun Bose"/>
    <s v="Corporate"/>
    <s v="South"/>
    <s v="Tamil Nadu"/>
    <s v="Chennai"/>
    <s v="Office Supplies"/>
    <s v="Labels"/>
    <s v="Pro Labels 957"/>
    <s v="Same Day"/>
    <s v="  "/>
    <n v="3"/>
    <n v="0.1"/>
    <x v="52"/>
    <x v="52"/>
    <n v="0.4164101861416194"/>
    <s v="30-05-25"/>
    <s v="02-06-25"/>
    <s v="May"/>
    <s v="2025"/>
    <s v="anomaly"/>
    <n v="3"/>
    <s v="Unique"/>
  </r>
  <r>
    <s v="ORD-2025-10056"/>
    <s v="01-07-2025"/>
    <s v="03-07-2025"/>
    <s v="CUST-9821"/>
    <s v="Mira Das"/>
    <s v="Small Business"/>
    <x v="2"/>
    <s v="Andhra Pradesh"/>
    <s v="Vijayawada"/>
    <s v="Technology"/>
    <s v="Machines"/>
    <s v="Classic Machines 310"/>
    <s v="Same Day"/>
    <n v="3"/>
    <n v="1516.24"/>
    <n v="0.25"/>
    <n v="3411.54"/>
    <n v="2803.13"/>
    <n v="608.41"/>
    <x v="0"/>
    <x v="0"/>
    <m/>
    <s v="ORD-2025-10056"/>
    <s v="01-07-25"/>
    <s v="03-07-25"/>
    <s v="CUST-9821"/>
    <s v="Mira Das"/>
    <s v="Small Business"/>
    <s v="South"/>
    <s v="Andhra Pradesh"/>
    <s v="Vijayawada"/>
    <s v="Technology"/>
    <s v="Machines"/>
    <s v="Classic Machines 310"/>
    <s v="Same Day"/>
    <s v="anomaly"/>
    <n v="2"/>
    <n v="0.25"/>
    <x v="53"/>
    <x v="53"/>
    <n v="0.17833881472883209"/>
    <s v="01-07-25"/>
    <s v="03-07-25"/>
    <s v="July"/>
    <s v="2025"/>
    <s v=" "/>
    <n v="2"/>
    <s v="Unique"/>
  </r>
  <r>
    <s v="ORD-2025-10057"/>
    <s v="2025-01-05"/>
    <s v="06-01-2025"/>
    <s v="CUST-8701"/>
    <s v="Karan Malhotra"/>
    <s v="Consumer"/>
    <x v="2"/>
    <s v="Karnataka"/>
    <s v="Bengaluru"/>
    <s v="Office Supplies"/>
    <s v="Binders"/>
    <s v="Smart Binders 393"/>
    <s v="Second Class"/>
    <n v="3"/>
    <n v="3155.61"/>
    <n v="0"/>
    <n v="9466.83"/>
    <n v="6557.83"/>
    <n v="2909"/>
    <x v="1"/>
    <x v="1"/>
    <m/>
    <s v="ORD-2025-10057"/>
    <s v="05-01-25"/>
    <s v="06-01-25"/>
    <s v="CUST-8701"/>
    <s v="Karan Malhotra"/>
    <s v="Consumer"/>
    <s v="South"/>
    <s v="Karnataka"/>
    <s v="Bengaluru"/>
    <s v="Office Supplies"/>
    <s v="Binders"/>
    <s v="Smart Binders 393"/>
    <s v="Second Class"/>
    <s v="anomaly"/>
    <n v="1"/>
    <n v="0"/>
    <x v="54"/>
    <x v="54"/>
    <n v="0.30728343067320318"/>
    <s v="05-01-25"/>
    <s v="06-01-25"/>
    <s v="January"/>
    <s v="2025"/>
    <s v=" "/>
    <n v="1"/>
    <s v="Unique"/>
  </r>
  <r>
    <s v="ORD-2024-10058"/>
    <s v="2024-02-07"/>
    <s v="15 Feb 2024"/>
    <s v="CUST-9941"/>
    <s v="Priya Menon"/>
    <s v="Consumer"/>
    <x v="3"/>
    <s v="Goa"/>
    <s v="Panaji"/>
    <s v="Furniture"/>
    <s v="Chairs"/>
    <s v="Max Chairs 813"/>
    <s v="Same Day"/>
    <n v="5"/>
    <n v="255.87"/>
    <n v="0"/>
    <n v="1279.3499999999999"/>
    <n v="1091.54"/>
    <n v="187.81"/>
    <x v="0"/>
    <x v="0"/>
    <m/>
    <s v="ORD-2024-10058"/>
    <s v="07-02-24"/>
    <s v="15-02-24"/>
    <s v="CUST-9941"/>
    <s v="Priya Menon"/>
    <s v="Consumer"/>
    <s v="West"/>
    <s v="Goa"/>
    <s v="Panaji"/>
    <s v="Furniture"/>
    <s v="Chairs"/>
    <s v="Max Chairs 813"/>
    <s v="Same Day"/>
    <s v="anomaly"/>
    <n v="8"/>
    <n v="0"/>
    <x v="55"/>
    <x v="55"/>
    <n v="0.14680110993864068"/>
    <s v="07-02-24"/>
    <s v="15-02-24"/>
    <s v="February"/>
    <s v="2024"/>
    <s v=" "/>
    <n v="8"/>
    <s v="Unique"/>
  </r>
  <r>
    <s v="ORD-2024-10059"/>
    <s v="2024-09-01"/>
    <s v="2024-09-07"/>
    <s v="CUST-3983"/>
    <s v="Isha Nair"/>
    <s v="Home Office"/>
    <x v="0"/>
    <s v="Rajasthan"/>
    <s v="Jaipur"/>
    <s v="Office Supplies"/>
    <s v="Storage"/>
    <s v="Basic Storage 872"/>
    <m/>
    <n v="9"/>
    <n v="1389.48"/>
    <n v="0.1"/>
    <n v="11254.79"/>
    <n v="6578.06"/>
    <n v="4676.7299999999996"/>
    <x v="2"/>
    <x v="2"/>
    <m/>
    <s v="ORD-2024-10059"/>
    <s v="01-09-24"/>
    <s v="07-09-24"/>
    <s v="CUST-3983"/>
    <s v="Isha Nair"/>
    <s v="Home Office"/>
    <s v="North"/>
    <s v="Rajasthan"/>
    <s v="Jaipur"/>
    <s v="Office Supplies"/>
    <s v="Storage"/>
    <s v="Basic Storage 872"/>
    <s v="unknown"/>
    <s v="anomaly"/>
    <n v="6"/>
    <n v="0.1"/>
    <x v="56"/>
    <x v="56"/>
    <n v="0.41553230500654476"/>
    <s v="01-09-24"/>
    <s v="07-09-24"/>
    <s v="September"/>
    <s v="2024"/>
    <s v=" "/>
    <n v="6"/>
    <s v="Unique"/>
  </r>
  <r>
    <s v="ORD-2024-10060"/>
    <s v="20-07-2024"/>
    <s v="25 Jul 2024"/>
    <s v="CUST-2418"/>
    <s v="Priya Menon"/>
    <s v="Corporate"/>
    <x v="1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x v="0"/>
    <x v="1"/>
    <m/>
    <s v="ORD-2024-10060"/>
    <s v="20-07-24"/>
    <s v="25-07-24"/>
    <s v="CUST-2418"/>
    <s v="Priya Menon"/>
    <s v="Corporate"/>
    <s v="East"/>
    <s v="Assam"/>
    <s v="Guwahati"/>
    <s v="Office Supplies"/>
    <s v="Labels"/>
    <s v="Smart Labels 655"/>
    <s v="Same Day"/>
    <s v="anomaly"/>
    <n v="5"/>
    <n v="0.2"/>
    <x v="57"/>
    <x v="57"/>
    <n v="0.21440001451431487"/>
    <s v="20-07-24"/>
    <s v="25-07-24"/>
    <s v="July"/>
    <s v="2024"/>
    <s v=" "/>
    <n v="5"/>
    <s v="Unique"/>
  </r>
  <r>
    <s v="ORD-2024-10061"/>
    <s v="07/13/2024"/>
    <s v="2024-07-19"/>
    <s v="CUST-2892"/>
    <s v="Ananya Rao"/>
    <s v="Corporate"/>
    <x v="1"/>
    <s v="Assam"/>
    <s v="Guwahati"/>
    <s v="Office Supplies"/>
    <s v="Labels"/>
    <s v="Eco Labels 210"/>
    <s v="Same Day"/>
    <n v="3"/>
    <n v="275.76"/>
    <n v="0.2"/>
    <n v="661.82"/>
    <n v="481.47"/>
    <n v="180.35"/>
    <x v="1"/>
    <x v="1"/>
    <m/>
    <s v="ORD-2024-10061"/>
    <s v="invalid date"/>
    <s v="19-07-24"/>
    <s v="CUST-2892"/>
    <s v="Ananya Rao"/>
    <s v="Corporate"/>
    <s v="East"/>
    <s v="Assam"/>
    <s v="Guwahati"/>
    <s v="Office Supplies"/>
    <s v="Labels"/>
    <s v="Eco Labels 210"/>
    <s v="Same Day"/>
    <s v="Invalid"/>
    <s v="invalid date"/>
    <n v="0.2"/>
    <x v="58"/>
    <x v="58"/>
    <n v="0.27251051639106472"/>
    <s v="invalid date"/>
    <s v="19-07-24"/>
    <s v="invalid date"/>
    <s v="invalid date"/>
    <s v="Invalid"/>
    <s v="invalid date"/>
    <s v="Unique"/>
  </r>
  <r>
    <s v="ORD-2024-10062"/>
    <s v="16 Apr 2024"/>
    <s v="04/16/2024"/>
    <s v="CUST-7008"/>
    <s v="Vikram Iyer"/>
    <s v="Home Office"/>
    <x v="1"/>
    <s v="Bihar"/>
    <s v="Patna"/>
    <s v="Furniture"/>
    <s v="Bookcases"/>
    <s v="Classic Bookcases 296"/>
    <s v="Standard Class"/>
    <n v="1"/>
    <n v="949.59"/>
    <n v="0"/>
    <n v="949.59"/>
    <n v="751.25"/>
    <n v="198.34"/>
    <x v="0"/>
    <x v="0"/>
    <m/>
    <s v="ORD-2024-10062"/>
    <s v="16-04-24"/>
    <s v="invalid date"/>
    <s v="CUST-7008"/>
    <s v="Vikram Iyer"/>
    <s v="Home Office"/>
    <s v="East"/>
    <s v="Bihar"/>
    <s v="Patna"/>
    <s v="Furniture"/>
    <s v="Bookcases"/>
    <s v="Classic Bookcases 296"/>
    <s v="Standard Class"/>
    <s v="Invalid"/>
    <s v="invalid date"/>
    <n v="0"/>
    <x v="59"/>
    <x v="59"/>
    <n v="0.20886909087079689"/>
    <s v="16-04-24"/>
    <s v="invalid date"/>
    <s v="April"/>
    <s v="2024"/>
    <s v="Invalid"/>
    <s v="invalid date"/>
    <s v="Unique"/>
  </r>
  <r>
    <s v="ORD-2024-10063"/>
    <s v="30 Oct 2024"/>
    <s v="02-11-2024"/>
    <s v="CUST-4900"/>
    <s v="Sneha Kapoor"/>
    <s v="Home Office"/>
    <x v="0"/>
    <s v="Rajasthan"/>
    <s v="Jaipur"/>
    <s v="Technology"/>
    <s v="Phones"/>
    <s v="Basic Phones 230"/>
    <s v="Standard Class"/>
    <n v="9"/>
    <n v="3042.29"/>
    <n v="0.2"/>
    <n v="21904.49"/>
    <n v="13570.55"/>
    <n v="8333.94"/>
    <x v="0"/>
    <x v="0"/>
    <m/>
    <s v="ORD-2024-10063"/>
    <s v="30-10-24"/>
    <s v="02-11-24"/>
    <s v="CUST-4900"/>
    <s v="Sneha Kapoor"/>
    <s v="Home Office"/>
    <s v="North"/>
    <s v="Rajasthan"/>
    <s v="Jaipur"/>
    <s v="Technology"/>
    <s v="Phones"/>
    <s v="Basic Phones 230"/>
    <s v="Standard Class"/>
    <s v="  "/>
    <n v="3"/>
    <n v="0.2"/>
    <x v="60"/>
    <x v="60"/>
    <n v="0.38046714445003244"/>
    <s v="30-10-24"/>
    <s v="02-11-24"/>
    <s v="October"/>
    <s v="2024"/>
    <s v="anomaly"/>
    <n v="3"/>
    <s v="Unique"/>
  </r>
  <r>
    <s v="ORD-2024-10064"/>
    <s v="2024-01-25"/>
    <s v="01-02-2024"/>
    <s v="CUST-5382"/>
    <s v="Sneha Kapoor"/>
    <s v="Home Office"/>
    <x v="0"/>
    <s v="Haryana"/>
    <s v="Gurugram"/>
    <s v="Office Supplies"/>
    <s v="Binders"/>
    <s v="Pro Binders 690"/>
    <s v="Same Day"/>
    <n v="2"/>
    <n v="2832.77"/>
    <n v="0.15"/>
    <n v="4815.71"/>
    <n v="3027.75"/>
    <n v="1917.47"/>
    <x v="0"/>
    <x v="0"/>
    <m/>
    <s v="ORD-2024-10064"/>
    <s v="25-01-24"/>
    <s v="01-02-24"/>
    <s v="CUST-5382"/>
    <s v="Sneha Kapoor"/>
    <s v="Home Office"/>
    <s v="North"/>
    <s v="Haryana"/>
    <s v="Gurugram"/>
    <s v="Office Supplies"/>
    <s v="Binders"/>
    <s v="Pro Binders 690"/>
    <s v="Same Day"/>
    <s v="  "/>
    <n v="7"/>
    <n v="0.15"/>
    <x v="61"/>
    <x v="61"/>
    <n v="0.37127637903369992"/>
    <s v="25-01-24"/>
    <s v="01-02-24"/>
    <s v="January"/>
    <s v="2024"/>
    <s v="anomaly"/>
    <n v="7"/>
    <s v="Unique"/>
  </r>
  <r>
    <s v="ORD-2024-10065"/>
    <s v="2024-12-23"/>
    <s v="12/29/2024"/>
    <s v="CUST-2749"/>
    <s v="Aarav Sharma"/>
    <s v="Corporate"/>
    <x v="1"/>
    <s v="Jharkhand"/>
    <s v="Ranchi"/>
    <s v="Office Supplies"/>
    <s v="Paper"/>
    <s v="Classic Paper 458"/>
    <s v="First Class"/>
    <n v="7"/>
    <n v="447.84"/>
    <n v="0"/>
    <n v="3134.88"/>
    <n v="2367.63"/>
    <n v="767.25"/>
    <x v="1"/>
    <x v="2"/>
    <m/>
    <s v="ORD-2024-10065"/>
    <s v="23-12-24"/>
    <s v="invalid date"/>
    <s v="CUST-2749"/>
    <s v="Aarav Sharma"/>
    <s v="Corporate"/>
    <s v="East"/>
    <s v="Jharkhand"/>
    <s v="Ranchi"/>
    <s v="Office Supplies"/>
    <s v="Paper"/>
    <s v="Classic Paper 458"/>
    <s v="First Class"/>
    <s v="Invalid"/>
    <s v="invalid date"/>
    <n v="0"/>
    <x v="62"/>
    <x v="62"/>
    <n v="0.24474621038125849"/>
    <s v="23-12-24"/>
    <s v="invalid date"/>
    <s v="December"/>
    <s v="2024"/>
    <s v="Invalid"/>
    <s v="invalid date"/>
    <s v="Unique"/>
  </r>
  <r>
    <s v="ORD-2024-10066"/>
    <s v="22 Apr 2024"/>
    <s v="2024-04-27"/>
    <s v="CUST-2463"/>
    <s v="Mira Das"/>
    <s v="Home Office"/>
    <x v="3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x v="0"/>
    <x v="0"/>
    <m/>
    <s v="ORD-2024-10066"/>
    <s v="22-04-24"/>
    <s v="27-04-24"/>
    <s v="CUST-2463"/>
    <s v="Mira Das"/>
    <s v="Home Office"/>
    <s v="West"/>
    <s v="Maharashtra"/>
    <s v="Mumbai"/>
    <s v="Office Supplies"/>
    <s v="Paper"/>
    <s v="Pro Paper 552"/>
    <s v="Second Class"/>
    <s v="anomaly"/>
    <n v="5"/>
    <n v="0.05"/>
    <x v="63"/>
    <x v="63"/>
    <n v="0.35346696980126674"/>
    <s v="22-04-24"/>
    <s v="27-04-24"/>
    <s v="April"/>
    <s v="2024"/>
    <s v=" "/>
    <n v="5"/>
    <s v="Unique"/>
  </r>
  <r>
    <s v="ORD-2025-10067"/>
    <s v="08/28/2025"/>
    <s v="01 Sep 2025"/>
    <s v="CUST-1504"/>
    <s v="Karan Malhotra"/>
    <s v="Small Business"/>
    <x v="2"/>
    <s v="Tamil Nadu"/>
    <s v="Chennai"/>
    <s v="Technology"/>
    <s v="Accessories"/>
    <s v="Elite Accessories 187"/>
    <s v="Same Day"/>
    <n v="7"/>
    <n v="1057.46"/>
    <n v="0.05"/>
    <n v="7032.11"/>
    <n v="4610.34"/>
    <n v="2421.77"/>
    <x v="0"/>
    <x v="0"/>
    <m/>
    <s v="ORD-2025-10067"/>
    <s v="invalid date"/>
    <s v="01-09-25"/>
    <s v="CUST-1504"/>
    <s v="Karan Malhotra"/>
    <s v="Small Business"/>
    <s v="South"/>
    <s v="Tamil Nadu"/>
    <s v="Chennai"/>
    <s v="Technology"/>
    <s v="Accessories"/>
    <s v="Elite Accessories 187"/>
    <s v="Same Day"/>
    <s v="Invalid"/>
    <s v="invalid date"/>
    <n v="0.05"/>
    <x v="64"/>
    <x v="64"/>
    <n v="0.34438729547565311"/>
    <s v="invalid date"/>
    <s v="01-09-25"/>
    <s v="invalid date"/>
    <s v="invalid date"/>
    <s v="Invalid"/>
    <s v="invalid date"/>
    <s v="Unique"/>
  </r>
  <r>
    <s v="ORD-2025-10068"/>
    <s v="03 Feb 2025"/>
    <s v="07-02-2025"/>
    <s v="CUST-8282"/>
    <s v="Kabir Singh"/>
    <s v="Consumer"/>
    <x v="0"/>
    <s v="Haryana"/>
    <s v="Gurugram"/>
    <s v="Office Supplies"/>
    <s v="Paper"/>
    <s v="Eco Paper 922"/>
    <s v="First Class"/>
    <n v="7"/>
    <n v="3609.34"/>
    <n v="0.05"/>
    <n v="24002.11"/>
    <n v="18707.57"/>
    <n v="5294.54"/>
    <x v="0"/>
    <x v="0"/>
    <m/>
    <s v="ORD-2025-10068"/>
    <s v="03-02-25"/>
    <s v="07-02-25"/>
    <s v="CUST-8282"/>
    <s v="Kabir Singh"/>
    <s v="Consumer"/>
    <s v="North"/>
    <s v="Haryana"/>
    <s v="Gurugram"/>
    <s v="Office Supplies"/>
    <s v="Paper"/>
    <s v="Eco Paper 922"/>
    <s v="First Class"/>
    <s v="anomaly"/>
    <n v="4"/>
    <n v="0.05"/>
    <x v="65"/>
    <x v="65"/>
    <n v="0.2205864725815159"/>
    <s v="03-02-25"/>
    <s v="07-02-25"/>
    <s v="February"/>
    <s v="2025"/>
    <s v=" "/>
    <n v="4"/>
    <s v="Unique"/>
  </r>
  <r>
    <s v="ORD-2024-10069"/>
    <s v="11/10/2024"/>
    <s v="13 Nov 2024"/>
    <s v="CUST-6054"/>
    <s v="Isha Nair"/>
    <s v="Corporate"/>
    <x v="1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x v="3"/>
    <x v="2"/>
    <m/>
    <s v="ORD-2024-10069"/>
    <s v="11-10-24"/>
    <s v="13-11-24"/>
    <s v="CUST-6054"/>
    <s v="Isha Nair"/>
    <s v="Corporate"/>
    <s v="East"/>
    <s v="Jharkhand"/>
    <s v="Ranchi"/>
    <s v="Office Supplies"/>
    <s v="Storage"/>
    <s v="Pro Storage 975"/>
    <s v="Second Class"/>
    <s v="anomaly"/>
    <n v="33"/>
    <n v="0"/>
    <x v="66"/>
    <x v="66"/>
    <n v="0.44911477742803041"/>
    <s v="11-10-24"/>
    <s v="13-11-24"/>
    <s v="October"/>
    <s v="2024"/>
    <s v=" "/>
    <n v="33"/>
    <s v="Unique"/>
  </r>
  <r>
    <s v="ORD-2024-10070"/>
    <s v="09 Apr 2024"/>
    <s v="04/14/2024"/>
    <s v="CUST-5979"/>
    <s v="Neha Gupta"/>
    <s v="Small Business"/>
    <x v="3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x v="1"/>
    <x v="2"/>
    <m/>
    <s v="ORD-2024-10070"/>
    <s v="09-04-24"/>
    <s v="invalid date"/>
    <s v="CUST-5979"/>
    <s v="Neha Gupta"/>
    <s v="Small Business"/>
    <s v="West"/>
    <s v="Gujarat"/>
    <s v="Ahmedabad"/>
    <s v="Technology"/>
    <s v="Machines"/>
    <s v="Prime Machines 782"/>
    <s v="Same Day"/>
    <s v="Invalid"/>
    <s v="invalid date"/>
    <n v="0.1"/>
    <x v="67"/>
    <x v="67"/>
    <n v="0.15050804158202555"/>
    <s v="09-04-24"/>
    <s v="invalid date"/>
    <s v="April"/>
    <s v="2024"/>
    <s v="Invalid"/>
    <s v="invalid date"/>
    <s v="Unique"/>
  </r>
  <r>
    <s v="ORD-2025-10071"/>
    <s v="2025-08-22"/>
    <s v="27 Aug 2025"/>
    <s v="CUST-5582"/>
    <s v="Karan Malhotra"/>
    <s v="Corporate"/>
    <x v="2"/>
    <s v="Andhra Pradesh"/>
    <s v="Vijayawada"/>
    <s v="Technology"/>
    <s v="Phones"/>
    <s v="Max Phones 661"/>
    <s v="First Class"/>
    <n v="2"/>
    <n v="905.87"/>
    <n v="0.15"/>
    <n v="1539.98"/>
    <n v="1070.2"/>
    <n v="469.78"/>
    <x v="0"/>
    <x v="0"/>
    <m/>
    <s v="ORD-2025-10071"/>
    <s v="22-08-25"/>
    <s v="27-08-25"/>
    <s v="CUST-5582"/>
    <s v="Karan Malhotra"/>
    <s v="Corporate"/>
    <s v="South"/>
    <s v="Andhra Pradesh"/>
    <s v="Vijayawada"/>
    <s v="Technology"/>
    <s v="Phones"/>
    <s v="Max Phones 661"/>
    <s v="First Class"/>
    <s v="anomaly"/>
    <n v="5"/>
    <n v="0.15"/>
    <x v="68"/>
    <x v="68"/>
    <n v="0.30505545854846072"/>
    <s v="22-08-25"/>
    <s v="27-08-25"/>
    <s v="August"/>
    <s v="2025"/>
    <s v=" "/>
    <n v="5"/>
    <s v="Unique"/>
  </r>
  <r>
    <s v="ORD-2025-10072"/>
    <s v="04/16/2025"/>
    <s v="2025-04-23"/>
    <s v="CUST-3308"/>
    <s v="Mira Das"/>
    <s v="Small Business"/>
    <x v="3"/>
    <s v="Goa"/>
    <s v="Panaji"/>
    <s v="Technology"/>
    <s v="Machines"/>
    <s v="Elite Machines 836"/>
    <s v="Standard Class"/>
    <n v="6"/>
    <n v="2027.32"/>
    <n v="0.1"/>
    <n v="10947.53"/>
    <n v="6447.36"/>
    <n v="4500.17"/>
    <x v="0"/>
    <x v="0"/>
    <m/>
    <s v="ORD-2025-10072"/>
    <s v="invalid date"/>
    <s v="23-04-25"/>
    <s v="CUST-3308"/>
    <s v="Mira Das"/>
    <s v="Small Business"/>
    <s v="West"/>
    <s v="Goa"/>
    <s v="Panaji"/>
    <s v="Technology"/>
    <s v="Machines"/>
    <s v="Elite Machines 836"/>
    <s v="Standard Class"/>
    <s v="Invalid"/>
    <s v="invalid date"/>
    <n v="0.1"/>
    <x v="69"/>
    <x v="69"/>
    <n v="0.41106704636882413"/>
    <s v="invalid date"/>
    <s v="23-04-25"/>
    <s v="invalid date"/>
    <s v="invalid date"/>
    <s v="Invalid"/>
    <s v="invalid date"/>
    <s v="Unique"/>
  </r>
  <r>
    <s v="ORD-2024-10073"/>
    <s v="2024-02-11"/>
    <s v="07 Feb 2024"/>
    <s v="CUST-5018"/>
    <s v="Karan Malhotra"/>
    <s v="Home Office"/>
    <x v="2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x v="0"/>
    <x v="0"/>
    <m/>
    <s v="ORD-2024-10073"/>
    <s v="11-02-24"/>
    <s v="07-02-24"/>
    <s v="CUST-5018"/>
    <s v="Karan Malhotra"/>
    <s v="Home Office"/>
    <s v="South"/>
    <s v="Tamil Nadu"/>
    <s v="Chennai"/>
    <s v="Furniture"/>
    <s v="Tables"/>
    <s v="Prime Tables 902"/>
    <s v="First Class"/>
    <s v="  "/>
    <n v="-4"/>
    <n v="0.15"/>
    <x v="70"/>
    <x v="70"/>
    <n v="0.26240112695788487"/>
    <s v="11-02-24"/>
    <s v="07-02-24"/>
    <s v="February"/>
    <s v="2024"/>
    <s v="anomaly"/>
    <n v="-4"/>
    <s v="Unique"/>
  </r>
  <r>
    <s v="ORD-2025-10074"/>
    <s v="29-03-2025"/>
    <s v="04/03/2025"/>
    <s v="CUST-2342"/>
    <s v="Sneha Kapoor"/>
    <s v="Corporate"/>
    <x v="1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x v="0"/>
    <x v="0"/>
    <m/>
    <s v="ORD-2025-10074"/>
    <s v="29-03-25"/>
    <s v="04-03-25"/>
    <s v="CUST-2342"/>
    <s v="Sneha Kapoor"/>
    <s v="Corporate"/>
    <s v="East"/>
    <s v="West Bengal"/>
    <s v="Kolkata"/>
    <s v="Furniture"/>
    <s v="Bookcases"/>
    <s v="Smart Bookcases 167"/>
    <s v="First Class"/>
    <s v="  "/>
    <n v="-25"/>
    <n v="0"/>
    <x v="71"/>
    <x v="71"/>
    <n v="0.38528062620113068"/>
    <s v="29-03-25"/>
    <s v="04-03-25"/>
    <s v="March"/>
    <s v="2025"/>
    <s v="anomaly"/>
    <n v="-25"/>
    <s v="Unique"/>
  </r>
  <r>
    <s v="ORD-2025-10075"/>
    <s v="02/27/2025"/>
    <s v="2025-03-01"/>
    <s v="CUST-6201"/>
    <s v="Vikram Iyer"/>
    <s v="Small Business"/>
    <x v="1"/>
    <s v="West Bengal"/>
    <s v="Kolkata"/>
    <s v="Furniture"/>
    <s v="Chairs"/>
    <s v="Max Chairs 244"/>
    <s v="Standard Class"/>
    <n v="6"/>
    <n v="551.64"/>
    <n v="0"/>
    <n v="3309.84"/>
    <n v="2671.08"/>
    <n v="638.76"/>
    <x v="0"/>
    <x v="0"/>
    <m/>
    <s v="ORD-2025-10075"/>
    <s v="invalid date"/>
    <s v="01-03-25"/>
    <s v="CUST-6201"/>
    <s v="Vikram Iyer"/>
    <s v="Small Business"/>
    <s v="East"/>
    <s v="West Bengal"/>
    <s v="Kolkata"/>
    <s v="Furniture"/>
    <s v="Chairs"/>
    <s v="Max Chairs 244"/>
    <s v="Standard Class"/>
    <s v="Invalid"/>
    <s v="invalid date"/>
    <n v="0"/>
    <x v="72"/>
    <x v="72"/>
    <n v="0.19298818069755644"/>
    <s v="invalid date"/>
    <s v="01-03-25"/>
    <s v="invalid date"/>
    <s v="invalid date"/>
    <s v="Invalid"/>
    <s v="invalid date"/>
    <s v="Unique"/>
  </r>
  <r>
    <s v="ORD-2025-10076"/>
    <s v="22-08-2025"/>
    <s v="08/27/2025"/>
    <s v="CUST-5808"/>
    <s v="Priya Menon"/>
    <s v="Small Business"/>
    <x v="1"/>
    <s v="Odisha"/>
    <s v="Bhubaneswar"/>
    <s v="Office Supplies"/>
    <s v="Labels"/>
    <s v="Eco Labels 653"/>
    <s v="First Class"/>
    <n v="3"/>
    <n v="3294.82"/>
    <n v="0.2"/>
    <n v="7907.57"/>
    <n v="5391.18"/>
    <n v="2516.39"/>
    <x v="0"/>
    <x v="0"/>
    <m/>
    <s v="ORD-2025-10076"/>
    <s v="22-08-25"/>
    <s v="invalid date"/>
    <s v="CUST-5808"/>
    <s v="Priya Menon"/>
    <s v="Small Business"/>
    <s v="East"/>
    <s v="Odisha"/>
    <s v="Bhubaneswar"/>
    <s v="Office Supplies"/>
    <s v="Labels"/>
    <s v="Eco Labels 653"/>
    <s v="First Class"/>
    <s v="Invalid"/>
    <s v="invalid date"/>
    <n v="0.2"/>
    <x v="73"/>
    <x v="73"/>
    <n v="0.31822527482533197"/>
    <s v="22-08-25"/>
    <s v="invalid date"/>
    <s v="August"/>
    <s v="2025"/>
    <s v="Invalid"/>
    <s v="invalid date"/>
    <s v="Unique"/>
  </r>
  <r>
    <s v="ORD-2024-10077"/>
    <s v="03 Nov 2024"/>
    <s v="11-11-2024"/>
    <s v="CUST-2642"/>
    <s v="Ananya Rao"/>
    <s v="Corporate"/>
    <x v="1"/>
    <s v="Jharkhand"/>
    <s v="Ranchi"/>
    <s v="Office Supplies"/>
    <s v="Labels"/>
    <s v="Max Labels 617"/>
    <s v="Second Class"/>
    <n v="3"/>
    <n v="3406.27"/>
    <n v="0"/>
    <n v="10218.81"/>
    <n v="7616.97"/>
    <n v="2601.84"/>
    <x v="0"/>
    <x v="0"/>
    <m/>
    <s v="ORD-2024-10077"/>
    <s v="03-11-24"/>
    <s v="11-11-24"/>
    <s v="CUST-2642"/>
    <s v="Ananya Rao"/>
    <s v="Corporate"/>
    <s v="East"/>
    <s v="Jharkhand"/>
    <s v="Ranchi"/>
    <s v="Office Supplies"/>
    <s v="Labels"/>
    <s v="Max Labels 617"/>
    <s v="Second Class"/>
    <s v="anomaly"/>
    <n v="8"/>
    <n v="0"/>
    <x v="74"/>
    <x v="74"/>
    <n v="0.2546128169522674"/>
    <s v="03-11-24"/>
    <s v="11-11-24"/>
    <s v="November"/>
    <s v="2024"/>
    <s v=" "/>
    <n v="8"/>
    <s v="Unique"/>
  </r>
  <r>
    <s v="ORD-2025-10078"/>
    <s v="07/08/2025"/>
    <s v="12-07-2025"/>
    <s v="CUST-4385"/>
    <s v="Rohan Mehta"/>
    <s v="Home Office"/>
    <x v="0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x v="1"/>
    <x v="1"/>
    <m/>
    <s v="ORD-2025-10078"/>
    <s v="07-08-25"/>
    <s v="12-07-25"/>
    <s v="CUST-4385"/>
    <s v="Rohan Mehta"/>
    <s v="Home Office"/>
    <s v="North"/>
    <s v="Uttar Pradesh"/>
    <s v="Noida"/>
    <s v="Furniture"/>
    <s v="Furnishings"/>
    <s v="Pro Furnishings 529"/>
    <s v="Standard Class"/>
    <s v="anomaly"/>
    <n v="-26"/>
    <n v="0.15"/>
    <x v="75"/>
    <x v="75"/>
    <n v="0.44271414707932583"/>
    <s v="07-08-25"/>
    <s v="12-07-25"/>
    <s v="August"/>
    <s v="2025"/>
    <s v=" "/>
    <n v="-26"/>
    <s v="Unique"/>
  </r>
  <r>
    <s v="ORD-2025-10079"/>
    <s v="07/16/2025"/>
    <s v="21-07-2025"/>
    <s v="CUST-8043"/>
    <s v="Sneha Kapoor"/>
    <s v="Corporate"/>
    <x v="1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x v="0"/>
    <x v="0"/>
    <m/>
    <s v="ORD-2025-10079"/>
    <s v="invalid date"/>
    <s v="21-07-25"/>
    <s v="CUST-8043"/>
    <s v="Sneha Kapoor"/>
    <s v="Corporate"/>
    <s v="East"/>
    <s v="West Bengal"/>
    <s v="Kolkata"/>
    <s v="Furniture"/>
    <s v="Tables"/>
    <s v="Smart Tables 561"/>
    <s v="First Class"/>
    <s v="Invalid"/>
    <s v="invalid date"/>
    <n v="0.15"/>
    <x v="76"/>
    <x v="76"/>
    <n v="0.25099035486484472"/>
    <s v="invalid date"/>
    <s v="21-07-25"/>
    <s v="invalid date"/>
    <s v="invalid date"/>
    <s v="Invalid"/>
    <s v="invalid date"/>
    <s v="Unique"/>
  </r>
  <r>
    <s v="ORD-2025-10080"/>
    <s v="2025-09-27"/>
    <s v="2025-10-03"/>
    <s v="CUST-9978"/>
    <s v="Diya Patel"/>
    <s v="Home Office"/>
    <x v="2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x v="0"/>
    <x v="0"/>
    <m/>
    <s v="ORD-2025-10080"/>
    <s v="27-09-25"/>
    <s v="03-10-25"/>
    <s v="CUST-9978"/>
    <s v="Diya Patel"/>
    <s v="Home Office"/>
    <s v="South"/>
    <s v="Tamil Nadu"/>
    <s v="Chennai"/>
    <s v="Furniture"/>
    <s v="Chairs"/>
    <s v="Prime Chairs 838"/>
    <s v="Same Day"/>
    <s v="  "/>
    <n v="6"/>
    <n v="0.1"/>
    <x v="77"/>
    <x v="77"/>
    <n v="0.25949412932411942"/>
    <s v="27-09-25"/>
    <s v="03-10-25"/>
    <s v="September"/>
    <s v="2025"/>
    <s v="anomaly"/>
    <n v="6"/>
    <s v="Unique"/>
  </r>
  <r>
    <s v="ORD-2024-10081"/>
    <s v="2024-08-10"/>
    <s v="2024-08-14"/>
    <s v="CUST-2094"/>
    <s v="Aarav Sharma"/>
    <s v="Small Business"/>
    <x v="0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x v="2"/>
    <x v="2"/>
    <m/>
    <s v="ORD-2024-10081"/>
    <s v="10-08-24"/>
    <s v="14-08-24"/>
    <s v="CUST-2094"/>
    <s v="Aarav Sharma"/>
    <s v="Small Business"/>
    <s v="North"/>
    <s v="Delhi"/>
    <s v="New Delhi"/>
    <s v="Office Supplies"/>
    <s v="Storage"/>
    <s v="Elite Storage 371"/>
    <s v="Second Class"/>
    <s v="anomaly"/>
    <n v="4"/>
    <n v="0.1"/>
    <x v="78"/>
    <x v="78"/>
    <n v="0.41373974708858663"/>
    <s v="10-08-24"/>
    <s v="14-08-24"/>
    <s v="August"/>
    <s v="2024"/>
    <s v=" "/>
    <n v="4"/>
    <s v="Unique"/>
  </r>
  <r>
    <s v="ORD-2025-10082"/>
    <s v="2025-03-16"/>
    <s v="17-03-2025"/>
    <s v="CUST-7907"/>
    <s v="Karan Malhotra"/>
    <s v="Home Office"/>
    <x v="3"/>
    <s v="Goa"/>
    <s v="Panaji"/>
    <s v="Office Supplies"/>
    <s v="Labels"/>
    <s v="Eco Labels 662"/>
    <s v="Same Day"/>
    <n v="3"/>
    <n v="1841.91"/>
    <n v="0"/>
    <n v="5525.73"/>
    <n v="3093.42"/>
    <n v="2432.31"/>
    <x v="0"/>
    <x v="0"/>
    <m/>
    <s v="ORD-2025-10082"/>
    <s v="16-03-25"/>
    <s v="17-03-25"/>
    <s v="CUST-7907"/>
    <s v="Karan Malhotra"/>
    <s v="Home Office"/>
    <s v="West"/>
    <s v="Goa"/>
    <s v="Panaji"/>
    <s v="Office Supplies"/>
    <s v="Labels"/>
    <s v="Eco Labels 662"/>
    <s v="Same Day"/>
    <s v="anomaly"/>
    <n v="1"/>
    <n v="0"/>
    <x v="79"/>
    <x v="79"/>
    <n v="0.44017894468242208"/>
    <s v="16-03-25"/>
    <s v="17-03-25"/>
    <s v="March"/>
    <s v="2025"/>
    <s v=" "/>
    <n v="1"/>
    <s v="Unique"/>
  </r>
  <r>
    <s v="ORD-2024-10083"/>
    <s v="2024-08-03"/>
    <s v="04-08-2024"/>
    <s v="CUST-6516"/>
    <s v="Arjun Bose"/>
    <s v="Consumer"/>
    <x v="0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x v="3"/>
    <x v="2"/>
    <m/>
    <s v="ORD-2024-10083"/>
    <s v="03-08-24"/>
    <s v="04-08-24"/>
    <s v="CUST-6516"/>
    <s v="Arjun Bose"/>
    <s v="Consumer"/>
    <s v="North"/>
    <s v="Uttar Pradesh"/>
    <s v="Noida"/>
    <s v="Technology"/>
    <s v="Copiers"/>
    <s v="Smart Copiers 702"/>
    <s v="Second Class"/>
    <s v="anomaly"/>
    <n v="1"/>
    <n v="0"/>
    <x v="80"/>
    <x v="80"/>
    <n v="0.37394141468592673"/>
    <s v="03-08-24"/>
    <s v="04-08-24"/>
    <s v="August"/>
    <s v="2024"/>
    <s v=" "/>
    <n v="1"/>
    <s v="Unique"/>
  </r>
  <r>
    <s v="ORD-2024-10084"/>
    <s v="26-10-2024"/>
    <s v="29-10-2024"/>
    <s v="CUST-4989"/>
    <s v="Aditi Sen"/>
    <s v="Home Office"/>
    <x v="3"/>
    <s v="Maharashtra"/>
    <s v="Mumbai"/>
    <s v="Furniture"/>
    <s v="Tables"/>
    <s v="Elite Tables 362"/>
    <s v="Second Class"/>
    <n v="9"/>
    <n v="131.74"/>
    <n v="0.2"/>
    <n v="948.53"/>
    <n v="674.62"/>
    <n v="273.91000000000003"/>
    <x v="0"/>
    <x v="0"/>
    <m/>
    <s v="ORD-2024-10084"/>
    <s v="26-10-24"/>
    <s v="29-10-24"/>
    <s v="CUST-4989"/>
    <s v="Aditi Sen"/>
    <s v="Home Office"/>
    <s v="West"/>
    <s v="Maharashtra"/>
    <s v="Mumbai"/>
    <s v="Furniture"/>
    <s v="Tables"/>
    <s v="Elite Tables 362"/>
    <s v="Second Class"/>
    <s v="anomaly"/>
    <n v="3"/>
    <n v="0.2"/>
    <x v="81"/>
    <x v="81"/>
    <n v="0.28877165460587362"/>
    <s v="26-10-24"/>
    <s v="29-10-24"/>
    <s v="October"/>
    <s v="2024"/>
    <s v=" "/>
    <n v="3"/>
    <s v="Unique"/>
  </r>
  <r>
    <s v="ORD-2024-10085"/>
    <s v="01 Oct 2024"/>
    <s v="2024-10-03"/>
    <s v="CUST-3758"/>
    <s v="Rohan Mehta"/>
    <s v="Corporate"/>
    <x v="2"/>
    <s v="Tamil Nadu"/>
    <s v="Chennai"/>
    <s v="Technology"/>
    <s v="Phones"/>
    <s v="Elite Phones 781"/>
    <s v="Second Class"/>
    <n v="6"/>
    <n v="570.28"/>
    <n v="0.2"/>
    <n v="2737.34"/>
    <n v="2085.44"/>
    <n v="651.9"/>
    <x v="0"/>
    <x v="0"/>
    <m/>
    <s v="ORD-2024-10085"/>
    <s v="01-10-24"/>
    <s v="03-10-24"/>
    <s v="CUST-3758"/>
    <s v="Rohan Mehta"/>
    <s v="Corporate"/>
    <s v="South"/>
    <s v="Tamil Nadu"/>
    <s v="Chennai"/>
    <s v="Technology"/>
    <s v="Phones"/>
    <s v="Elite Phones 781"/>
    <s v="Second Class"/>
    <s v="anomaly"/>
    <n v="2"/>
    <n v="0.2"/>
    <x v="82"/>
    <x v="82"/>
    <n v="0.23815201889130486"/>
    <s v="01-10-24"/>
    <s v="03-10-24"/>
    <s v="October"/>
    <s v="2024"/>
    <s v=" "/>
    <n v="2"/>
    <s v="Unique"/>
  </r>
  <r>
    <s v="ORD-2024-10086"/>
    <s v="2024-07-30"/>
    <s v="08/05/2024"/>
    <s v="CUST-6702"/>
    <s v="Kabir Singh"/>
    <s v="Corporate"/>
    <x v="0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x v="0"/>
    <x v="1"/>
    <m/>
    <s v="ORD-2024-10086"/>
    <s v="30-07-24"/>
    <s v="08-05-24"/>
    <s v="CUST-6702"/>
    <s v="Kabir Singh"/>
    <s v="Corporate"/>
    <s v="North"/>
    <s v="Delhi"/>
    <s v="New Delhi"/>
    <s v="Office Supplies"/>
    <s v="Binders"/>
    <s v="Eco Binders 456"/>
    <s v="Standard Class"/>
    <s v="  "/>
    <n v="-83"/>
    <n v="0"/>
    <x v="83"/>
    <x v="83"/>
    <n v="0.43482189800210302"/>
    <s v="30-07-24"/>
    <s v="08-05-24"/>
    <s v="July"/>
    <s v="2024"/>
    <s v="anomaly"/>
    <n v="-83"/>
    <s v="Unique"/>
  </r>
  <r>
    <s v="ORD-2024-10087"/>
    <s v="01 Jul 2024"/>
    <s v="01 Jul 2024"/>
    <s v="CUST-9148"/>
    <s v="Ananya Rao"/>
    <s v="Small Business"/>
    <x v="0"/>
    <s v="Delhi"/>
    <s v="New Delhi"/>
    <s v="Technology"/>
    <s v="Copiers"/>
    <s v="Basic Copiers 525"/>
    <s v="Second Class"/>
    <n v="3"/>
    <n v="885.28"/>
    <n v="0.1"/>
    <n v="2390.2600000000002"/>
    <n v="1495.94"/>
    <n v="894.32"/>
    <x v="1"/>
    <x v="1"/>
    <m/>
    <s v="ORD-2024-10087"/>
    <s v="01-07-24"/>
    <s v="01-07-24"/>
    <s v="CUST-9148"/>
    <s v="Ananya Rao"/>
    <s v="Small Business"/>
    <s v="North"/>
    <s v="Delhi"/>
    <s v="New Delhi"/>
    <s v="Technology"/>
    <s v="Copiers"/>
    <s v="Basic Copiers 525"/>
    <s v="Second Class"/>
    <s v="  "/>
    <n v="0"/>
    <n v="0.1"/>
    <x v="84"/>
    <x v="84"/>
    <n v="0.37415071858411825"/>
    <s v="01-07-24"/>
    <s v="01-07-24"/>
    <s v="July"/>
    <s v="2024"/>
    <s v=" "/>
    <n v="0"/>
    <s v="Unique"/>
  </r>
  <r>
    <s v="ORD-2024-10088"/>
    <s v="02-08-2024"/>
    <s v="2024-08-03"/>
    <s v="CUST-5829"/>
    <s v="Vikram Iyer"/>
    <s v="Consumer"/>
    <x v="1"/>
    <s v="Assam"/>
    <s v="Guwahati"/>
    <s v="Office Supplies"/>
    <s v="Binders"/>
    <s v="Eco Binders 258"/>
    <s v="Standard Class"/>
    <n v="7"/>
    <n v="3345.22"/>
    <n v="0"/>
    <n v="23416.54"/>
    <n v="15490.89"/>
    <n v="7925.65"/>
    <x v="0"/>
    <x v="0"/>
    <m/>
    <s v="ORD-2024-10088"/>
    <s v="02-08-24"/>
    <s v="03-08-24"/>
    <s v="CUST-5829"/>
    <s v="Vikram Iyer"/>
    <s v="Consumer"/>
    <s v="East"/>
    <s v="Assam"/>
    <s v="Guwahati"/>
    <s v="Office Supplies"/>
    <s v="Binders"/>
    <s v="Eco Binders 258"/>
    <s v="Standard Class"/>
    <s v="anomaly"/>
    <n v="1"/>
    <n v="0"/>
    <x v="85"/>
    <x v="85"/>
    <n v="0.33846375254414185"/>
    <s v="02-08-24"/>
    <s v="03-08-24"/>
    <s v="August"/>
    <s v="2024"/>
    <s v=" "/>
    <n v="1"/>
    <s v="Unique"/>
  </r>
  <r>
    <s v="ORD-2024-10089"/>
    <s v="03/24/2024"/>
    <s v="27 Mar 2024"/>
    <s v="CUST-6059"/>
    <s v="Rohan Mehta"/>
    <s v="Small Business"/>
    <x v="3"/>
    <s v="Maharashtra"/>
    <s v="Mumbai"/>
    <s v="Furniture"/>
    <s v="Bookcases"/>
    <s v="Max Bookcases 398"/>
    <s v="Standard Class"/>
    <n v="2"/>
    <n v="3284.75"/>
    <n v="0.05"/>
    <n v="6241.02"/>
    <n v="5345.88"/>
    <n v="895.14"/>
    <x v="0"/>
    <x v="0"/>
    <m/>
    <s v="ORD-2024-10089"/>
    <s v="invalid date"/>
    <s v="27-03-24"/>
    <s v="CUST-6059"/>
    <s v="Rohan Mehta"/>
    <s v="Small Business"/>
    <s v="West"/>
    <s v="Maharashtra"/>
    <s v="Mumbai"/>
    <s v="Furniture"/>
    <s v="Bookcases"/>
    <s v="Max Bookcases 398"/>
    <s v="Standard Class"/>
    <s v="Invalid"/>
    <s v="invalid date"/>
    <n v="0.05"/>
    <x v="86"/>
    <x v="86"/>
    <n v="0.14342916427990587"/>
    <s v="invalid date"/>
    <s v="27-03-24"/>
    <s v="invalid date"/>
    <s v="invalid date"/>
    <s v="Invalid"/>
    <s v="invalid date"/>
    <s v="Unique"/>
  </r>
  <r>
    <s v="ORD-2024-10090"/>
    <s v="05 Sep 2024"/>
    <s v="05 Sep 2024"/>
    <s v="CUST-7744"/>
    <s v="Kabir Singh"/>
    <s v="Consumer"/>
    <x v="2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x v="2"/>
    <x v="1"/>
    <m/>
    <s v="ORD-2024-10090"/>
    <s v="05-09-24"/>
    <s v="05-09-24"/>
    <s v="CUST-7744"/>
    <s v="Kabir Singh"/>
    <s v="Consumer"/>
    <s v="South"/>
    <s v="Andhra Pradesh"/>
    <s v="Vijayawada"/>
    <s v="Furniture"/>
    <s v="Bookcases"/>
    <s v="Smart Bookcases 857"/>
    <s v="Standard Class"/>
    <s v="  "/>
    <n v="0"/>
    <n v="0.2"/>
    <x v="87"/>
    <x v="87"/>
    <n v="0.42754389589947911"/>
    <s v="05-09-24"/>
    <s v="05-09-24"/>
    <s v="September"/>
    <s v="2024"/>
    <s v=" "/>
    <n v="0"/>
    <s v="Unique"/>
  </r>
  <r>
    <s v="ORD-2025-10091"/>
    <s v="08/24/2025"/>
    <s v="29 Aug 2025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9445.1"/>
    <n v="5586.28"/>
    <n v="3858.82"/>
    <x v="0"/>
    <x v="0"/>
    <m/>
    <s v="ORD-2025-10091"/>
    <s v="invalid date"/>
    <s v="29-08-25"/>
    <s v="CUST-5909"/>
    <s v="Aarav Sharma"/>
    <s v="Small Business"/>
    <s v="East"/>
    <s v="Bihar"/>
    <s v="Patna"/>
    <s v="Technology"/>
    <s v="Copiers"/>
    <s v="Smart Copiers 556"/>
    <s v="First Class"/>
    <s v="Invalid"/>
    <s v="invalid date"/>
    <n v="0.15"/>
    <x v="88"/>
    <x v="88"/>
    <n v="0.40855245758170006"/>
    <s v="invalid date"/>
    <s v="29-08-25"/>
    <s v="invalid date"/>
    <s v="invalid date"/>
    <s v="Invalid"/>
    <s v="invalid date"/>
    <s v="Unique"/>
  </r>
  <r>
    <s v="ORD-2025-10092"/>
    <s v="02-03-2025"/>
    <s v="03/08/2025"/>
    <s v="CUST-6409"/>
    <s v="Sneha Kapoor"/>
    <s v="Corporate"/>
    <x v="3"/>
    <s v="Madhya Pradesh"/>
    <s v="Indore"/>
    <s v="Technology"/>
    <s v="Copiers"/>
    <s v="Prime Copiers 575"/>
    <s v="Second Class"/>
    <n v="9"/>
    <n v="269.68"/>
    <n v="0"/>
    <n v="2427.12"/>
    <n v="1538.35"/>
    <n v="804.53"/>
    <x v="0"/>
    <x v="0"/>
    <m/>
    <s v="ORD-2025-10092"/>
    <s v="02-03-25"/>
    <s v="03-08-25"/>
    <s v="CUST-6409"/>
    <s v="Sneha Kapoor"/>
    <s v="Corporate"/>
    <s v="West"/>
    <s v="Madhya Pradesh"/>
    <s v="Indore"/>
    <s v="Technology"/>
    <s v="Copiers"/>
    <s v="Prime Copiers 575"/>
    <s v="Second Class"/>
    <s v="anomaly"/>
    <n v="154"/>
    <n v="0"/>
    <x v="89"/>
    <x v="89"/>
    <n v="0.36618296581957216"/>
    <s v="02-03-25"/>
    <s v="03-08-25"/>
    <s v="March"/>
    <s v="2025"/>
    <s v=" "/>
    <n v="154"/>
    <s v="Unique"/>
  </r>
  <r>
    <s v="ORD-2025-10093"/>
    <s v="23 Jan 2025"/>
    <s v="01/26/2025"/>
    <s v="CUST-3014"/>
    <s v="Aarav Sharma"/>
    <s v="Consumer"/>
    <x v="3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x v="0"/>
    <x v="0"/>
    <m/>
    <s v="ORD-2025-10093"/>
    <s v="23-01-25"/>
    <s v="invalid date"/>
    <s v="CUST-3014"/>
    <s v="Aarav Sharma"/>
    <s v="Consumer"/>
    <s v="West"/>
    <s v="Madhya Pradesh"/>
    <s v="Indore"/>
    <s v="Office Supplies"/>
    <s v="Paper"/>
    <s v="Elite Paper 669"/>
    <s v="Standard Class"/>
    <s v="Invalid"/>
    <s v="invalid date"/>
    <n v="0.1"/>
    <x v="90"/>
    <x v="90"/>
    <n v="0.19155471882320479"/>
    <s v="23-01-25"/>
    <s v="invalid date"/>
    <s v="January"/>
    <s v="2025"/>
    <s v="Invalid"/>
    <s v="invalid date"/>
    <s v="Unique"/>
  </r>
  <r>
    <s v="ORD-2024-10094"/>
    <s v="01/07/2024"/>
    <s v="13-01-2024"/>
    <s v="CUST-6106"/>
    <s v="Rohan Mehta"/>
    <s v="Corporate"/>
    <x v="0"/>
    <s v="Uttar Pradesh"/>
    <s v="Noida"/>
    <s v="Office Supplies"/>
    <s v="Binders"/>
    <s v="Eco Binders 780"/>
    <s v="Standard Class"/>
    <n v="7"/>
    <n v="2788.97"/>
    <s v="invalid"/>
    <n v="19522.79"/>
    <n v="12455.78"/>
    <n v="7067.01"/>
    <x v="0"/>
    <x v="0"/>
    <m/>
    <s v="ORD-2024-10094"/>
    <s v="01-07-24"/>
    <s v="13-01-24"/>
    <s v="CUST-6106"/>
    <s v="Rohan Mehta"/>
    <s v="Corporate"/>
    <s v="North"/>
    <s v="Uttar Pradesh"/>
    <s v="Noida"/>
    <s v="Office Supplies"/>
    <s v="Binders"/>
    <s v="Eco Binders 780"/>
    <s v="Standard Class"/>
    <s v="anomaly"/>
    <n v="-170"/>
    <s v="invalid"/>
    <x v="2"/>
    <x v="2"/>
    <s v="NA"/>
    <s v="01-07-24"/>
    <s v="13-01-24"/>
    <s v="July"/>
    <s v="2024"/>
    <s v=" "/>
    <n v="-170"/>
    <s v="Unique"/>
  </r>
  <r>
    <s v="ORD-2024-10095"/>
    <s v="09/06/2024"/>
    <s v="09 Sep 2024"/>
    <s v="CUST-1926"/>
    <s v="Diya Patel"/>
    <s v="Consumer"/>
    <x v="0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x v="2"/>
    <x v="1"/>
    <m/>
    <s v="ORD-2024-10095"/>
    <s v="09-06-24"/>
    <s v="09-09-24"/>
    <s v="CUST-1926"/>
    <s v="Diya Patel"/>
    <s v="Consumer"/>
    <s v="North"/>
    <s v="Haryana"/>
    <s v="Gurugram"/>
    <s v="Technology"/>
    <s v="Phones"/>
    <s v="Elite Phones 723"/>
    <s v="Second Class"/>
    <s v="anomaly"/>
    <n v="92"/>
    <n v="0"/>
    <x v="91"/>
    <x v="91"/>
    <n v="0.19278326875251944"/>
    <s v="09-06-24"/>
    <s v="09-09-24"/>
    <s v="June"/>
    <s v="2024"/>
    <s v=" "/>
    <n v="92"/>
    <s v="Unique"/>
  </r>
  <r>
    <s v="ORD-2025-10096"/>
    <s v="05-09-2025"/>
    <s v="09/10/2025"/>
    <s v="CUST-2687"/>
    <s v="Sneha Kapoor"/>
    <s v="Corporate"/>
    <x v="3"/>
    <s v="Goa"/>
    <s v="Panaji"/>
    <s v="Furniture"/>
    <s v="Bookcases"/>
    <s v="Classic Bookcases 988"/>
    <s v="Same Day"/>
    <n v="6"/>
    <n v="1754.13"/>
    <n v="0"/>
    <n v="10524.78"/>
    <n v="8841.0499999999993"/>
    <n v="1683.73"/>
    <x v="0"/>
    <x v="0"/>
    <m/>
    <s v="ORD-2025-10096"/>
    <s v="05-09-25"/>
    <s v="09-10-25"/>
    <s v="CUST-2687"/>
    <s v="Sneha Kapoor"/>
    <s v="Corporate"/>
    <s v="West"/>
    <s v="Goa"/>
    <s v="Panaji"/>
    <s v="Furniture"/>
    <s v="Bookcases"/>
    <s v="Classic Bookcases 988"/>
    <s v="Same Day"/>
    <s v="anomaly"/>
    <n v="34"/>
    <n v="0"/>
    <x v="92"/>
    <x v="92"/>
    <n v="0.15997769074507984"/>
    <s v="05-09-25"/>
    <s v="09-10-25"/>
    <s v="September"/>
    <s v="2025"/>
    <s v=" "/>
    <n v="34"/>
    <s v="Unique"/>
  </r>
  <r>
    <s v="ORD-2024-10097"/>
    <s v="05 Jun 2024"/>
    <s v="07-06-2024"/>
    <s v="CUST-7283"/>
    <s v="Rahul Verma"/>
    <s v="Home Office"/>
    <x v="1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x v="0"/>
    <x v="0"/>
    <m/>
    <s v="ORD-2024-10097"/>
    <s v="05-06-24"/>
    <s v="07-06-24"/>
    <s v="CUST-7283"/>
    <s v="Rahul Verma"/>
    <s v="Home Office"/>
    <s v="East"/>
    <s v="Odisha"/>
    <s v="Bhubaneswar"/>
    <s v="Technology"/>
    <s v="Copiers"/>
    <s v="Smart Copiers 547"/>
    <s v="Second Class"/>
    <s v="anomaly"/>
    <n v="2"/>
    <n v="0.15"/>
    <x v="93"/>
    <x v="93"/>
    <n v="0.34483694152224009"/>
    <s v="05-06-24"/>
    <s v="07-06-24"/>
    <s v="June"/>
    <s v="2024"/>
    <s v=" "/>
    <n v="2"/>
    <s v="Unique"/>
  </r>
  <r>
    <s v="ORD-2025-10098"/>
    <s v="08 Aug 2025"/>
    <s v="2025-08-11"/>
    <s v="CUST-8111"/>
    <s v="Diya Patel"/>
    <s v="Small Business"/>
    <x v="3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x v="2"/>
    <x v="2"/>
    <m/>
    <s v="ORD-2025-10098"/>
    <s v="08-08-25"/>
    <s v="11-08-25"/>
    <s v="CUST-8111"/>
    <s v="Diya Patel"/>
    <s v="Small Business"/>
    <s v="West"/>
    <s v="Gujarat"/>
    <s v="Ahmedabad"/>
    <s v="Office Supplies"/>
    <s v="Storage"/>
    <s v="Basic Storage 656"/>
    <s v="Same Day"/>
    <s v="anomaly"/>
    <n v="3"/>
    <n v="0.2"/>
    <x v="94"/>
    <x v="94"/>
    <n v="0.38859733619071951"/>
    <s v="08-08-25"/>
    <s v="11-08-25"/>
    <s v="August"/>
    <s v="2025"/>
    <s v=" "/>
    <n v="3"/>
    <s v="Unique"/>
  </r>
  <r>
    <s v="ORD-2024-10099"/>
    <s v="2024-01-26"/>
    <s v="02/01/2024"/>
    <s v="CUST-5434"/>
    <s v="Rohan Mehta"/>
    <s v="Home Office"/>
    <x v="2"/>
    <s v="Kerala"/>
    <s v="Kochi"/>
    <s v="Technology"/>
    <s v="Copiers"/>
    <s v="Elite Copiers 785"/>
    <m/>
    <n v="8"/>
    <n v="2108.9299999999998"/>
    <n v="0.1"/>
    <n v="15184.3"/>
    <n v="11270.74"/>
    <n v="3913.56"/>
    <x v="0"/>
    <x v="0"/>
    <m/>
    <s v="ORD-2024-10099"/>
    <s v="26-01-24"/>
    <s v="02-01-24"/>
    <s v="CUST-5434"/>
    <s v="Rohan Mehta"/>
    <s v="Home Office"/>
    <s v="South"/>
    <s v="Kerala"/>
    <s v="Kochi"/>
    <s v="Technology"/>
    <s v="Copiers"/>
    <s v="Elite Copiers 785"/>
    <s v="unknown"/>
    <s v="  "/>
    <n v="-24"/>
    <n v="0.1"/>
    <x v="95"/>
    <x v="95"/>
    <n v="0.25773707256497103"/>
    <s v="26-01-24"/>
    <s v="02-01-24"/>
    <s v="January"/>
    <s v="2024"/>
    <s v="anomaly"/>
    <n v="-24"/>
    <s v="Unique"/>
  </r>
  <r>
    <s v="ORD-2025-10100"/>
    <s v="11-01-2025"/>
    <s v="11-01-2025"/>
    <s v="CUST-3865"/>
    <s v="Aditi Sen"/>
    <s v="Small Business"/>
    <x v="3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x v="0"/>
    <x v="0"/>
    <m/>
    <s v="ORD-2025-10100"/>
    <s v="11-01-25"/>
    <s v="11-01-25"/>
    <s v="CUST-3865"/>
    <s v="Aditi Sen"/>
    <s v="Small Business"/>
    <s v="West"/>
    <s v="Rajasthan"/>
    <s v="Udaipur"/>
    <s v="Technology"/>
    <s v="Accessories"/>
    <s v="Smart Accessories 542"/>
    <s v="Same Day"/>
    <s v="  "/>
    <n v="0"/>
    <n v="0"/>
    <x v="96"/>
    <x v="96"/>
    <n v="0.27632634273777024"/>
    <s v="11-01-25"/>
    <s v="11-01-25"/>
    <s v="January"/>
    <s v="2025"/>
    <s v=" "/>
    <n v="0"/>
    <s v="Unique"/>
  </r>
  <r>
    <s v="ORD-2025-10101"/>
    <s v="12 Sep 2025"/>
    <s v="18 Sep 2025"/>
    <s v="CUST-6015"/>
    <s v="Aarav Sharma"/>
    <s v="Home Office"/>
    <x v="2"/>
    <s v="Kerala"/>
    <s v="Kochi"/>
    <s v="Office Supplies"/>
    <s v="Storage"/>
    <s v="Eco Storage 936"/>
    <s v="Standard Class"/>
    <n v="6"/>
    <n v="1673.8"/>
    <n v="0.05"/>
    <n v="9540.66"/>
    <n v="5561.49"/>
    <n v="3979.17"/>
    <x v="0"/>
    <x v="0"/>
    <m/>
    <s v="ORD-2025-10101"/>
    <s v="12-09-25"/>
    <s v="18-09-25"/>
    <s v="CUST-6015"/>
    <s v="Aarav Sharma"/>
    <s v="Home Office"/>
    <s v="South"/>
    <s v="Kerala"/>
    <s v="Kochi"/>
    <s v="Office Supplies"/>
    <s v="Storage"/>
    <s v="Eco Storage 936"/>
    <s v="Standard Class"/>
    <s v="anomaly"/>
    <n v="6"/>
    <n v="0.05"/>
    <x v="97"/>
    <x v="97"/>
    <n v="0.41707491934520241"/>
    <s v="12-09-25"/>
    <s v="18-09-25"/>
    <s v="September"/>
    <s v="2025"/>
    <s v=" "/>
    <n v="6"/>
    <s v="Unique"/>
  </r>
  <r>
    <s v="ORD-2024-10102"/>
    <s v="06/22/2024"/>
    <s v="26-06-2024"/>
    <s v="CUST-7909"/>
    <s v="Rohan Mehta"/>
    <s v="Home Office"/>
    <x v="1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x v="0"/>
    <x v="0"/>
    <m/>
    <s v="ORD-2024-10102"/>
    <s v="invalid date"/>
    <s v="26-06-24"/>
    <s v="CUST-7909"/>
    <s v="Rohan Mehta"/>
    <s v="Home Office"/>
    <s v="East"/>
    <s v="Bihar"/>
    <s v="Patna"/>
    <s v="Furniture"/>
    <s v="Furnishings"/>
    <s v="Classic Furnishings 682"/>
    <s v="First Class"/>
    <s v="Invalid"/>
    <s v="invalid date"/>
    <n v="0.25"/>
    <x v="98"/>
    <x v="98"/>
    <n v="0.26886780150361356"/>
    <s v="invalid date"/>
    <s v="26-06-24"/>
    <s v="invalid date"/>
    <s v="invalid date"/>
    <s v="Invalid"/>
    <s v="invalid date"/>
    <s v="Unique"/>
  </r>
  <r>
    <s v="ORD-2025-10103"/>
    <s v="12 Jul 2025"/>
    <s v="2025-07-16"/>
    <s v="CUST-9603"/>
    <s v="Vikram Iyer"/>
    <s v="Consumer"/>
    <x v="2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x v="1"/>
    <x v="1"/>
    <m/>
    <s v="ORD-2025-10103"/>
    <s v="12-07-25"/>
    <s v="16-07-25"/>
    <s v="CUST-9603"/>
    <s v="Vikram Iyer"/>
    <s v="Consumer"/>
    <s v="South"/>
    <s v="Karnataka"/>
    <s v="Bengaluru"/>
    <s v="Furniture"/>
    <s v="Chairs"/>
    <s v="Classic Chairs 604"/>
    <s v="First Class"/>
    <s v="anomaly"/>
    <n v="4"/>
    <n v="0"/>
    <x v="99"/>
    <x v="99"/>
    <n v="0.21661822026653077"/>
    <s v="12-07-25"/>
    <s v="16-07-25"/>
    <s v="July"/>
    <s v="2025"/>
    <s v=" "/>
    <n v="4"/>
    <s v="Unique"/>
  </r>
  <r>
    <s v="ORD-2025-10104"/>
    <s v="05/02/2025"/>
    <s v="05/10/2025"/>
    <s v="CUST-6263"/>
    <s v="Kabir Singh"/>
    <s v="Corporate"/>
    <x v="3"/>
    <s v="Maharashtra"/>
    <s v="Mumbai"/>
    <s v="Furniture"/>
    <s v="Tables"/>
    <s v="Prime Tables 377"/>
    <s v="First Class"/>
    <n v="4"/>
    <n v="2440.34"/>
    <n v="0.2"/>
    <n v="7809.09"/>
    <n v="6657.75"/>
    <n v="1151.3399999999999"/>
    <x v="0"/>
    <x v="0"/>
    <m/>
    <s v="ORD-2025-10104"/>
    <s v="05-02-25"/>
    <s v="05-10-25"/>
    <s v="CUST-6263"/>
    <s v="Kabir Singh"/>
    <s v="Corporate"/>
    <s v="West"/>
    <s v="Maharashtra"/>
    <s v="Mumbai"/>
    <s v="Furniture"/>
    <s v="Tables"/>
    <s v="Prime Tables 377"/>
    <s v="First Class"/>
    <s v="anomaly"/>
    <n v="242"/>
    <n v="0.2"/>
    <x v="100"/>
    <x v="100"/>
    <n v="0.14743565445798543"/>
    <s v="05-02-25"/>
    <s v="05-10-25"/>
    <s v="February"/>
    <s v="2025"/>
    <s v=" "/>
    <n v="242"/>
    <s v="Unique"/>
  </r>
  <r>
    <s v="ORD-2025-10105"/>
    <s v="2025-02-01"/>
    <s v="02/08/2025"/>
    <s v="CUST-1576"/>
    <s v="Ananya Rao"/>
    <s v="Consumer"/>
    <x v="2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x v="0"/>
    <x v="1"/>
    <m/>
    <s v="ORD-2025-10105"/>
    <s v="01-02-25"/>
    <s v="02-08-25"/>
    <s v="CUST-1576"/>
    <s v="Ananya Rao"/>
    <s v="Consumer"/>
    <s v="South"/>
    <s v="Karnataka"/>
    <s v="Bengaluru"/>
    <s v="Office Supplies"/>
    <s v="Labels"/>
    <s v="Prime Labels 807"/>
    <s v="Same Day"/>
    <s v="anomaly"/>
    <n v="182"/>
    <n v="0.25"/>
    <x v="101"/>
    <x v="101"/>
    <n v="0.29059173633004193"/>
    <s v="01-02-25"/>
    <s v="02-08-25"/>
    <s v="February"/>
    <s v="2025"/>
    <s v=" "/>
    <n v="182"/>
    <s v="Unique"/>
  </r>
  <r>
    <s v="ORD-2024-10106"/>
    <s v="06/24/2024"/>
    <s v="29-06-2024"/>
    <s v="CUST-6540"/>
    <s v="Mira Das"/>
    <s v="Home Office"/>
    <x v="1"/>
    <s v="West Bengal"/>
    <s v="Kolkata"/>
    <s v="Furniture"/>
    <s v="Tables"/>
    <s v="Eco Tables 575"/>
    <s v="Second Class"/>
    <n v="2"/>
    <n v="685"/>
    <n v="0.1"/>
    <n v="1233"/>
    <n v="1006.9"/>
    <n v="226.1"/>
    <x v="0"/>
    <x v="0"/>
    <m/>
    <s v="ORD-2024-10106"/>
    <s v="invalid date"/>
    <s v="29-06-24"/>
    <s v="CUST-6540"/>
    <s v="Mira Das"/>
    <s v="Home Office"/>
    <s v="East"/>
    <s v="West Bengal"/>
    <s v="Kolkata"/>
    <s v="Furniture"/>
    <s v="Tables"/>
    <s v="Eco Tables 575"/>
    <s v="Second Class"/>
    <s v="Invalid"/>
    <s v="invalid date"/>
    <n v="0.1"/>
    <x v="102"/>
    <x v="102"/>
    <n v="0.18337388483373887"/>
    <s v="invalid date"/>
    <s v="29-06-24"/>
    <s v="invalid date"/>
    <s v="invalid date"/>
    <s v="Invalid"/>
    <s v="invalid date"/>
    <s v="Unique"/>
  </r>
  <r>
    <s v="ORD-2024-10107"/>
    <s v="20-02-2024"/>
    <s v="28 Feb 2024"/>
    <s v="CUST-4008"/>
    <s v="Arjun Bose"/>
    <s v="Home Office"/>
    <x v="1"/>
    <s v="West Bengal"/>
    <s v="Kolkata"/>
    <s v="Office Supplies"/>
    <s v="Paper"/>
    <s v="Eco Paper 918"/>
    <s v="Standard Class"/>
    <n v="2"/>
    <n v="4004.04"/>
    <m/>
    <n v="7207.27"/>
    <n v="5709.39"/>
    <n v="1497.88"/>
    <x v="0"/>
    <x v="1"/>
    <m/>
    <s v="ORD-2024-10107"/>
    <s v="20-02-24"/>
    <s v="28-02-24"/>
    <s v="CUST-4008"/>
    <s v="Arjun Bose"/>
    <s v="Home Office"/>
    <s v="East"/>
    <s v="West Bengal"/>
    <s v="Kolkata"/>
    <s v="Office Supplies"/>
    <s v="Paper"/>
    <s v="Eco Paper 918"/>
    <s v="Standard Class"/>
    <s v="anomaly"/>
    <n v="8"/>
    <n v="0"/>
    <x v="103"/>
    <x v="103"/>
    <n v="0.28704633320346445"/>
    <s v="20-02-24"/>
    <s v="28-02-24"/>
    <s v="February"/>
    <s v="2024"/>
    <s v=" "/>
    <n v="8"/>
    <s v="Unique"/>
  </r>
  <r>
    <s v="ORD-2024-10108"/>
    <s v="29 Oct 2024"/>
    <s v="2024-11-04"/>
    <s v="CUST-6604"/>
    <s v="Rohan Mehta"/>
    <s v="Home Office"/>
    <x v="1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x v="0"/>
    <x v="0"/>
    <m/>
    <s v="ORD-2024-10108"/>
    <s v="29-10-24"/>
    <s v="04-11-24"/>
    <s v="CUST-6604"/>
    <s v="Rohan Mehta"/>
    <s v="Home Office"/>
    <s v="East"/>
    <s v="West Bengal"/>
    <s v="Kolkata"/>
    <s v="Furniture"/>
    <s v="Furnishings"/>
    <s v="Prime Furnishings 952"/>
    <s v="First Class"/>
    <s v="  "/>
    <n v="6"/>
    <n v="0.05"/>
    <x v="104"/>
    <x v="104"/>
    <n v="0.27216848504878799"/>
    <s v="29-10-24"/>
    <s v="04-11-24"/>
    <s v="October"/>
    <s v="2024"/>
    <s v="anomaly"/>
    <n v="6"/>
    <s v="Unique"/>
  </r>
  <r>
    <s v="ORD-2024-10109"/>
    <s v="15 Aug 2024"/>
    <s v="08/23/2024"/>
    <s v="CUST-4337"/>
    <s v="Aditi Sen"/>
    <s v="Small Business"/>
    <x v="1"/>
    <s v="Odisha"/>
    <s v="Bhubaneswar"/>
    <s v="Furniture"/>
    <s v="Bookcases"/>
    <s v="Prime Bookcases 631"/>
    <s v="Same Day"/>
    <n v="2"/>
    <n v="537.54"/>
    <n v="0.25"/>
    <n v="806.31"/>
    <n v="498.5"/>
    <n v="307.81"/>
    <x v="0"/>
    <x v="0"/>
    <m/>
    <s v="ORD-2024-10109"/>
    <s v="15-08-24"/>
    <s v="invalid date"/>
    <s v="CUST-4337"/>
    <s v="Aditi Sen"/>
    <s v="Small Business"/>
    <s v="East"/>
    <s v="Odisha"/>
    <s v="Bhubaneswar"/>
    <s v="Furniture"/>
    <s v="Bookcases"/>
    <s v="Prime Bookcases 631"/>
    <s v="Same Day"/>
    <s v="Invalid"/>
    <s v="invalid date"/>
    <n v="0.25"/>
    <x v="105"/>
    <x v="105"/>
    <n v="0.38175143555208291"/>
    <s v="15-08-24"/>
    <s v="invalid date"/>
    <s v="August"/>
    <s v="2024"/>
    <s v="Invalid"/>
    <s v="invalid date"/>
    <s v="Unique"/>
  </r>
  <r>
    <s v="ORD-2025-10110"/>
    <s v="23-08-2025"/>
    <s v="08/27/2025"/>
    <s v="CUST-3740"/>
    <s v="Sneha Kapoor"/>
    <s v="Consumer"/>
    <x v="0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x v="0"/>
    <x v="0"/>
    <m/>
    <s v="ORD-2025-10110"/>
    <s v="23-08-25"/>
    <s v="invalid date"/>
    <s v="CUST-3740"/>
    <s v="Sneha Kapoor"/>
    <s v="Consumer"/>
    <s v="North"/>
    <s v="Delhi"/>
    <s v="New Delhi"/>
    <s v="Office Supplies"/>
    <s v="Binders"/>
    <s v="Classic Binders 660"/>
    <s v="Second Class"/>
    <s v="Invalid"/>
    <s v="invalid date"/>
    <n v="0.25"/>
    <x v="106"/>
    <x v="106"/>
    <n v="0.37019266399389905"/>
    <s v="23-08-25"/>
    <s v="invalid date"/>
    <s v="August"/>
    <s v="2025"/>
    <s v="Invalid"/>
    <s v="invalid date"/>
    <s v="Unique"/>
  </r>
  <r>
    <s v="ORD-2024-10111"/>
    <s v="10/18/2024"/>
    <s v="2024-10-24"/>
    <s v="CUST-7128"/>
    <s v="Vikram Iyer"/>
    <s v="Corporate"/>
    <x v="2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x v="1"/>
    <x v="1"/>
    <m/>
    <s v="ORD-2024-10111"/>
    <s v="invalid date"/>
    <s v="24-10-24"/>
    <s v="CUST-7128"/>
    <s v="Vikram Iyer"/>
    <s v="Corporate"/>
    <s v="South"/>
    <s v="Kerala"/>
    <s v="Kochi"/>
    <s v="Office Supplies"/>
    <s v="Labels"/>
    <s v="Pro Labels 255"/>
    <s v="First Class"/>
    <s v="Invalid"/>
    <s v="invalid date"/>
    <n v="0"/>
    <x v="107"/>
    <x v="107"/>
    <n v="0.42062546934640316"/>
    <s v="invalid date"/>
    <s v="24-10-24"/>
    <s v="invalid date"/>
    <s v="invalid date"/>
    <s v="Invalid"/>
    <s v="invalid date"/>
    <s v="Unique"/>
  </r>
  <r>
    <s v="ORD-2025-10112"/>
    <s v="06/27/2025"/>
    <s v="2025-06-30"/>
    <s v="CUST-4743"/>
    <s v="Neha Gupta"/>
    <s v="Corporate"/>
    <x v="1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x v="2"/>
    <x v="1"/>
    <m/>
    <s v="ORD-2025-10112"/>
    <s v="invalid date"/>
    <s v="30-06-25"/>
    <s v="CUST-4743"/>
    <s v="Neha Gupta"/>
    <s v="Corporate"/>
    <s v="East"/>
    <s v="Bihar"/>
    <s v="Patna"/>
    <s v="Technology"/>
    <s v="Accessories"/>
    <s v="Basic Accessories 187"/>
    <s v="First Class"/>
    <s v="Invalid"/>
    <s v="invalid date"/>
    <n v="0.05"/>
    <x v="108"/>
    <x v="108"/>
    <n v="0.3361379849145234"/>
    <s v="invalid date"/>
    <s v="30-06-25"/>
    <s v="invalid date"/>
    <s v="invalid date"/>
    <s v="Invalid"/>
    <s v="invalid date"/>
    <s v="Unique"/>
  </r>
  <r>
    <s v="ORD-2024-10113"/>
    <s v="10 Jan 2024"/>
    <s v="14-01-2024"/>
    <s v="CUST-5213"/>
    <s v="Sneha Kapoor"/>
    <s v="Consumer"/>
    <x v="4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x v="0"/>
    <x v="0"/>
    <m/>
    <s v="ORD-2024-10113"/>
    <s v="10-01-24"/>
    <s v="14-01-24"/>
    <s v="CUST-5213"/>
    <s v="Sneha Kapoor"/>
    <s v="Consumer"/>
    <s v="unknown"/>
    <s v="Gujarat"/>
    <s v="Ahmedabad"/>
    <s v="Technology"/>
    <s v="Accessories"/>
    <s v="Max Accessories 451"/>
    <s v="Standard Class"/>
    <s v="anomaly"/>
    <n v="4"/>
    <n v="0.05"/>
    <x v="109"/>
    <x v="109"/>
    <n v="0.39996983695647198"/>
    <s v="10-01-24"/>
    <s v="14-01-24"/>
    <s v="January"/>
    <s v="2024"/>
    <s v=" "/>
    <n v="4"/>
    <s v="Unique"/>
  </r>
  <r>
    <s v="ORD-2024-10114"/>
    <s v="12-02-2024"/>
    <s v="12-02-2024"/>
    <s v="CUST-4989"/>
    <s v="Isha Nair"/>
    <s v="Home Office"/>
    <x v="2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x v="0"/>
    <x v="0"/>
    <m/>
    <s v="ORD-2024-10114"/>
    <s v="12-02-24"/>
    <s v="12-02-24"/>
    <s v="CUST-4989"/>
    <s v="Isha Nair"/>
    <s v="Home Office"/>
    <s v="South"/>
    <s v="Tamil Nadu"/>
    <s v="Chennai"/>
    <s v="Furniture"/>
    <s v="Tables"/>
    <s v="Classic Tables 752"/>
    <s v="Standard Class"/>
    <s v="  "/>
    <n v="0"/>
    <n v="0.25"/>
    <x v="110"/>
    <x v="110"/>
    <n v="0.33081761006289306"/>
    <s v="12-02-24"/>
    <s v="12-02-24"/>
    <s v="February"/>
    <s v="2024"/>
    <s v=" "/>
    <n v="0"/>
    <s v="Unique"/>
  </r>
  <r>
    <s v="ORD-2024-10115"/>
    <s v="2024-09-25"/>
    <s v="30 Sep 2024"/>
    <s v="CUST-2927"/>
    <s v="Neha Gupta"/>
    <s v="Small Business"/>
    <x v="0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x v="2"/>
    <x v="1"/>
    <m/>
    <s v="ORD-2024-10115"/>
    <s v="25-09-24"/>
    <s v="30-09-24"/>
    <s v="CUST-2927"/>
    <s v="Neha Gupta"/>
    <s v="Small Business"/>
    <s v="North"/>
    <s v="Rajasthan"/>
    <s v="Jaipur"/>
    <s v="Technology"/>
    <s v="Accessories"/>
    <s v="Eco Accessories 452"/>
    <s v="Second Class"/>
    <s v="anomaly"/>
    <n v="5"/>
    <n v="0.1"/>
    <x v="111"/>
    <x v="111"/>
    <n v="0.19314303365438173"/>
    <s v="25-09-24"/>
    <s v="30-09-24"/>
    <s v="September"/>
    <s v="2024"/>
    <s v=" "/>
    <n v="5"/>
    <s v="Unique"/>
  </r>
  <r>
    <s v="ORD-2024-10116"/>
    <s v="2024-12-27"/>
    <s v="01-01-2025"/>
    <s v="CUST-7764"/>
    <s v="Kabir Singh"/>
    <s v="Corporate"/>
    <x v="2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x v="0"/>
    <x v="1"/>
    <m/>
    <s v="ORD-2024-10116"/>
    <s v="27-12-24"/>
    <s v="01-01-25"/>
    <s v="CUST-7764"/>
    <s v="Kabir Singh"/>
    <s v="Corporate"/>
    <s v="South"/>
    <s v="Tamil Nadu"/>
    <s v="Chennai"/>
    <s v="Office Supplies"/>
    <s v="Binders"/>
    <s v="Classic Binders 203"/>
    <s v="Same Day"/>
    <s v="  "/>
    <n v="5"/>
    <n v="0.15"/>
    <x v="112"/>
    <x v="112"/>
    <n v="0.35324956706704719"/>
    <s v="27-12-24"/>
    <s v="01-01-25"/>
    <s v="December"/>
    <s v="2024"/>
    <s v="anomaly"/>
    <n v="5"/>
    <s v="Unique"/>
  </r>
  <r>
    <s v="ORD-2025-10117"/>
    <s v="2025-02-15"/>
    <s v="19 Feb 2025"/>
    <s v="CUST-3632"/>
    <s v="Ananya Rao"/>
    <s v="Small Business"/>
    <x v="4"/>
    <s v="Madhya Pradesh"/>
    <s v="Indore"/>
    <s v="Office Supplies"/>
    <s v="Binders"/>
    <s v="Basic Binders 859"/>
    <s v="First Class"/>
    <n v="9"/>
    <n v="531.99"/>
    <n v="0.25"/>
    <n v="3590.93"/>
    <n v="3061.39"/>
    <n v="529.54"/>
    <x v="3"/>
    <x v="1"/>
    <m/>
    <s v="ORD-2025-10117"/>
    <s v="15-02-25"/>
    <s v="19-02-25"/>
    <s v="CUST-3632"/>
    <s v="Ananya Rao"/>
    <s v="Small Business"/>
    <s v="unknown"/>
    <s v="Madhya Pradesh"/>
    <s v="Indore"/>
    <s v="Office Supplies"/>
    <s v="Binders"/>
    <s v="Basic Binders 859"/>
    <s v="First Class"/>
    <s v="anomaly"/>
    <n v="4"/>
    <n v="0.25"/>
    <x v="113"/>
    <x v="113"/>
    <n v="0.14746657031286442"/>
    <s v="15-02-25"/>
    <s v="19-02-25"/>
    <s v="February"/>
    <s v="2025"/>
    <s v=" "/>
    <n v="4"/>
    <s v="Unique"/>
  </r>
  <r>
    <s v="ORD-2024-10118"/>
    <s v="2024-02-15"/>
    <s v="17 Feb 2024"/>
    <s v="CUST-9608"/>
    <s v="Mira Das"/>
    <s v="Home Office"/>
    <x v="2"/>
    <s v="Tamil Nadu"/>
    <s v="Chennai"/>
    <s v="Technology"/>
    <s v="Machines"/>
    <s v="Elite Machines 705"/>
    <s v="Standard Class"/>
    <n v="9"/>
    <n v="3324.55"/>
    <s v="invalid"/>
    <n v="25432.81"/>
    <n v="20370.16"/>
    <n v="5062.6499999999996"/>
    <x v="0"/>
    <x v="0"/>
    <m/>
    <s v="ORD-2024-10118"/>
    <s v="15-02-24"/>
    <s v="17-02-24"/>
    <s v="CUST-9608"/>
    <s v="Mira Das"/>
    <s v="Home Office"/>
    <s v="South"/>
    <s v="Tamil Nadu"/>
    <s v="Chennai"/>
    <s v="Technology"/>
    <s v="Machines"/>
    <s v="Elite Machines 705"/>
    <s v="Standard Class"/>
    <s v="anomaly"/>
    <n v="2"/>
    <s v="invalid"/>
    <x v="2"/>
    <x v="2"/>
    <s v="NA"/>
    <s v="15-02-24"/>
    <s v="17-02-24"/>
    <s v="February"/>
    <s v="2024"/>
    <s v=" "/>
    <n v="2"/>
    <s v="Unique"/>
  </r>
  <r>
    <s v="ORD-2024-10119"/>
    <s v="06/10/2024"/>
    <s v="2024-06-18"/>
    <s v="CUST-9135"/>
    <s v="Vikram  Iyer"/>
    <s v="Home Office"/>
    <x v="2"/>
    <s v="Andhra Pradesh"/>
    <s v="Vijayawada"/>
    <s v="Technology"/>
    <s v="Copiers"/>
    <s v="Pro Copiers 208"/>
    <s v="Same Day"/>
    <n v="5"/>
    <n v="1580.27"/>
    <n v="0.2"/>
    <n v="6321.08"/>
    <n v="4407.22"/>
    <n v="1913.86"/>
    <x v="0"/>
    <x v="0"/>
    <m/>
    <s v="ORD-2024-10119"/>
    <s v="06-10-24"/>
    <s v="18-06-24"/>
    <s v="CUST-9135"/>
    <s v="Vikram Iyer"/>
    <s v="Home Office"/>
    <s v="South"/>
    <s v="Andhra Pradesh"/>
    <s v="Vijayawada"/>
    <s v="Technology"/>
    <s v="Copiers"/>
    <s v="Pro Copiers 208"/>
    <s v="Same Day"/>
    <s v="anomaly"/>
    <n v="-110"/>
    <n v="0.2"/>
    <x v="114"/>
    <x v="114"/>
    <n v="0.30277420947053357"/>
    <s v="06-10-24"/>
    <s v="18-06-24"/>
    <s v="October"/>
    <s v="2024"/>
    <s v=" "/>
    <n v="-110"/>
    <s v="Unique"/>
  </r>
  <r>
    <s v="ORD-2024-10120"/>
    <s v="12 Jun 2024"/>
    <s v="19 Jun 2024"/>
    <s v="CUST-7861"/>
    <s v="Aditi Sen"/>
    <s v="Small Business"/>
    <x v="2"/>
    <s v="Kerala"/>
    <s v="Kochi"/>
    <s v="Furniture"/>
    <s v="Chairs"/>
    <s v="Elite Chairs 921"/>
    <s v="Standard Class"/>
    <n v="8"/>
    <n v="314.05"/>
    <n v="0.25"/>
    <n v="1884.3"/>
    <n v="1517.69"/>
    <n v="366.61"/>
    <x v="1"/>
    <x v="2"/>
    <m/>
    <s v="ORD-2024-10120"/>
    <s v="12-06-24"/>
    <s v="19-06-24"/>
    <s v="CUST-7861"/>
    <s v="Aditi Sen"/>
    <s v="Small Business"/>
    <s v="South"/>
    <s v="Kerala"/>
    <s v="Kochi"/>
    <s v="Furniture"/>
    <s v="Chairs"/>
    <s v="Elite Chairs 921"/>
    <s v="Standard Class"/>
    <s v="anomaly"/>
    <n v="7"/>
    <n v="0.25"/>
    <x v="115"/>
    <x v="115"/>
    <n v="0.19456031417502526"/>
    <s v="12-06-24"/>
    <s v="19-06-24"/>
    <s v="June"/>
    <s v="2024"/>
    <s v=" "/>
    <n v="7"/>
    <s v="Unique"/>
  </r>
  <r>
    <s v="ORD-2024-10121"/>
    <s v="2024-08-10"/>
    <s v="2024-08-18"/>
    <s v="CUST-6096"/>
    <s v="Sneha Kapoor"/>
    <s v="Small Business"/>
    <x v="1"/>
    <s v="Bihar"/>
    <s v="Patna"/>
    <s v="Technology"/>
    <s v="Phones"/>
    <s v="Prime Phones 540"/>
    <s v="Standard Class"/>
    <n v="1"/>
    <n v="1823.67"/>
    <n v="0.2"/>
    <n v="1458.94"/>
    <n v="893.2"/>
    <n v="565.74"/>
    <x v="0"/>
    <x v="2"/>
    <m/>
    <s v="ORD-2024-10121"/>
    <s v="10-08-24"/>
    <s v="18-08-24"/>
    <s v="CUST-6096"/>
    <s v="Sneha Kapoor"/>
    <s v="Small Business"/>
    <s v="East"/>
    <s v="Bihar"/>
    <s v="Patna"/>
    <s v="Technology"/>
    <s v="Phones"/>
    <s v="Prime Phones 540"/>
    <s v="Standard Class"/>
    <s v="anomaly"/>
    <n v="8"/>
    <n v="0.2"/>
    <x v="116"/>
    <x v="116"/>
    <n v="0.38777300717783375"/>
    <s v="10-08-24"/>
    <s v="18-08-24"/>
    <s v="August"/>
    <s v="2024"/>
    <s v=" "/>
    <n v="8"/>
    <s v="Unique"/>
  </r>
  <r>
    <s v="ORD-2025-10122"/>
    <s v="08/22/2025"/>
    <s v="08/26/2025"/>
    <s v="CUST-2044"/>
    <s v="Kabir Singh"/>
    <s v="Small  Business"/>
    <x v="2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x v="1"/>
    <x v="1"/>
    <m/>
    <s v="ORD-2025-10122"/>
    <s v="invalid date"/>
    <s v="invalid date"/>
    <s v="CUST-2044"/>
    <s v="Kabir Singh"/>
    <s v="Small Business"/>
    <s v="South"/>
    <s v="Andhra Pradesh"/>
    <s v="Vijayawada"/>
    <s v="Technology"/>
    <s v="Machines"/>
    <s v="Max Machines 948"/>
    <s v="Second Class"/>
    <s v="Invalid"/>
    <s v="invalid date"/>
    <n v="0"/>
    <x v="117"/>
    <x v="117"/>
    <n v="0.3246523032398102"/>
    <s v="invalid date"/>
    <s v="invalid date"/>
    <s v="invalid date"/>
    <s v="invalid date"/>
    <s v="Invalid"/>
    <s v="invalid date"/>
    <s v="Unique"/>
  </r>
  <r>
    <s v="ORD-2024-10123"/>
    <s v="11/30/2024"/>
    <s v="04-12-2024"/>
    <s v="CUST-1721"/>
    <s v="Ananya Rao"/>
    <s v="Small Business"/>
    <x v="1"/>
    <s v="Assam"/>
    <s v="Guwahati"/>
    <s v="Furniture"/>
    <s v="Chairs"/>
    <s v="Max Chairs 786"/>
    <s v="Second Class"/>
    <n v="3"/>
    <n v="170.35"/>
    <n v="0"/>
    <n v="511.05"/>
    <n v="367.18"/>
    <n v="143.87"/>
    <x v="0"/>
    <x v="0"/>
    <m/>
    <s v="ORD-2024-10123"/>
    <s v="invalid date"/>
    <s v="04-12-24"/>
    <s v="CUST-1721"/>
    <s v="Ananya Rao"/>
    <s v="Small Business"/>
    <s v="East"/>
    <s v="Assam"/>
    <s v="Guwahati"/>
    <s v="Furniture"/>
    <s v="Chairs"/>
    <s v="Max Chairs 786"/>
    <s v="Second Class"/>
    <s v="Invalid"/>
    <s v="invalid date"/>
    <n v="0"/>
    <x v="118"/>
    <x v="118"/>
    <n v="0.28151844242246349"/>
    <s v="invalid date"/>
    <s v="04-12-24"/>
    <s v="invalid date"/>
    <s v="invalid date"/>
    <s v="Invalid"/>
    <s v="invalid date"/>
    <s v="Unique"/>
  </r>
  <r>
    <s v="ORD-2024-10124"/>
    <s v="05/24/2024"/>
    <s v="25 May 2024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634.13"/>
    <n v="453.35"/>
    <n v="180.78"/>
    <x v="1"/>
    <x v="1"/>
    <m/>
    <s v="ORD-2024-10124"/>
    <s v="invalid date"/>
    <s v="25-05-24"/>
    <s v="CUST-1007"/>
    <s v="Sneha Kapoor"/>
    <s v="Small Business"/>
    <s v="North"/>
    <s v="Punjab"/>
    <s v="Ludhiana"/>
    <s v="Technology"/>
    <s v="Copiers"/>
    <s v="Max Copiers 970"/>
    <s v="Same Day"/>
    <s v="Invalid"/>
    <s v="invalid date"/>
    <n v="0"/>
    <x v="119"/>
    <x v="119"/>
    <n v="0.28508350022865969"/>
    <s v="invalid date"/>
    <s v="25-05-24"/>
    <s v="invalid date"/>
    <s v="invalid date"/>
    <s v="Invalid"/>
    <s v="invalid date"/>
    <s v="Unique"/>
  </r>
  <r>
    <s v="ORD-2024-10125"/>
    <s v="21 Jul 2024"/>
    <s v="07/24/2024"/>
    <s v="CUST-4450"/>
    <s v="Isha Nair"/>
    <s v="Corporate"/>
    <x v="2"/>
    <s v="Karnataka"/>
    <s v="Bengaluru"/>
    <s v="Technology"/>
    <s v="Copiers"/>
    <s v="Pro Copiers 769"/>
    <s v="Standard Class"/>
    <n v="9"/>
    <n v="465.06"/>
    <s v="invalid"/>
    <n v="4185.54"/>
    <n v="3443.74"/>
    <n v="741.8"/>
    <x v="0"/>
    <x v="0"/>
    <m/>
    <s v="ORD-2024-10125"/>
    <s v="21-07-24"/>
    <s v="invalid date"/>
    <s v="CUST-4450"/>
    <s v="Isha Nair"/>
    <s v="Corporate"/>
    <s v="South"/>
    <s v="Karnataka"/>
    <s v="Bengaluru"/>
    <s v="Technology"/>
    <s v="Copiers"/>
    <s v="Pro Copiers 769"/>
    <s v="Standard Class"/>
    <s v="Invalid"/>
    <s v="invalid date"/>
    <s v="invalid"/>
    <x v="2"/>
    <x v="2"/>
    <s v="NA"/>
    <s v="21-07-24"/>
    <s v="invalid date"/>
    <s v="July"/>
    <s v="2024"/>
    <s v="Invalid"/>
    <s v="invalid date"/>
    <s v="Unique"/>
  </r>
  <r>
    <s v="ORD-2025-10126"/>
    <s v="2025-07-17"/>
    <s v="18-07-2025"/>
    <s v="CUST-7924"/>
    <s v="Neha Gupta"/>
    <s v="Small Business"/>
    <x v="3"/>
    <s v="Rajasthan"/>
    <s v="Udaipur"/>
    <s v="Furniture"/>
    <s v="Tables"/>
    <s v="Basic Tables 753"/>
    <s v="Same Day"/>
    <n v="6"/>
    <n v="3235.27"/>
    <n v="0.25"/>
    <n v="14558.72"/>
    <n v="9591.48"/>
    <n v="4967.24"/>
    <x v="1"/>
    <x v="2"/>
    <m/>
    <s v="ORD-2025-10126"/>
    <s v="17-07-25"/>
    <s v="18-07-25"/>
    <s v="CUST-7924"/>
    <s v="Neha Gupta"/>
    <s v="Small Business"/>
    <s v="West"/>
    <s v="Rajasthan"/>
    <s v="Udaipur"/>
    <s v="Furniture"/>
    <s v="Tables"/>
    <s v="Basic Tables 753"/>
    <s v="Same Day"/>
    <s v="anomaly"/>
    <n v="1"/>
    <n v="0.25"/>
    <x v="120"/>
    <x v="120"/>
    <n v="0.34118636157105903"/>
    <s v="17-07-25"/>
    <s v="18-07-25"/>
    <s v="July"/>
    <s v="2025"/>
    <s v=" "/>
    <n v="1"/>
    <s v="Unique"/>
  </r>
  <r>
    <s v="ORD-2025-10127"/>
    <s v="24-09-2025"/>
    <s v="26 Sep 2025"/>
    <s v="CUST-1715"/>
    <s v="Priya Menon"/>
    <s v="Corporate"/>
    <x v="0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x v="0"/>
    <x v="0"/>
    <m/>
    <s v="ORD-2025-10127"/>
    <s v="24-09-25"/>
    <s v="26-09-25"/>
    <s v="CUST-1715"/>
    <s v="Priya Menon"/>
    <s v="Corporate"/>
    <s v="North"/>
    <s v="Delhi"/>
    <s v="New Delhi"/>
    <s v="Technology"/>
    <s v="Copiers"/>
    <s v="Prime Copiers 651"/>
    <s v="Standard Class"/>
    <s v="anomaly"/>
    <n v="2"/>
    <n v="0.1"/>
    <x v="121"/>
    <x v="121"/>
    <n v="0.40313313451481175"/>
    <s v="24-09-25"/>
    <s v="26-09-25"/>
    <s v="September"/>
    <s v="2025"/>
    <s v=" "/>
    <n v="2"/>
    <s v="Unique"/>
  </r>
  <r>
    <s v="ORD-2025-10128"/>
    <s v="01/30/2025"/>
    <s v="26-01-2025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x v="0"/>
    <x v="0"/>
    <m/>
    <s v="ORD-2025-10128"/>
    <s v="invalid date"/>
    <s v="26-01-25"/>
    <s v="CUST-6802"/>
    <s v="Priya Menon"/>
    <s v="Corporate"/>
    <s v="West"/>
    <s v="Madhya Pradesh"/>
    <s v="Indore"/>
    <s v="Office Supplies"/>
    <s v="Storage"/>
    <s v="Basic Storage 321"/>
    <s v="Second Class"/>
    <s v="Invalid"/>
    <s v="invalid date"/>
    <n v="0.05"/>
    <x v="122"/>
    <x v="122"/>
    <n v="0.39072535746631409"/>
    <s v="invalid date"/>
    <s v="26-01-25"/>
    <s v="invalid date"/>
    <s v="invalid date"/>
    <s v="Invalid"/>
    <s v="invalid date"/>
    <s v="Unique"/>
  </r>
  <r>
    <s v="ORD-2024-10129"/>
    <s v="13 Dec 2024"/>
    <s v="16 Dec 2024"/>
    <s v="CUST-9328"/>
    <s v="Neha Gupta"/>
    <s v="Small Business"/>
    <x v="1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x v="0"/>
    <x v="2"/>
    <m/>
    <s v="ORD-2024-10129"/>
    <s v="13-12-24"/>
    <s v="16-12-24"/>
    <s v="CUST-9328"/>
    <s v="Neha Gupta"/>
    <s v="Small Business"/>
    <s v="East"/>
    <s v="Odisha"/>
    <s v="Bhubaneswar"/>
    <s v="Furniture"/>
    <s v="Furnishings"/>
    <s v="Prime Furnishings 710"/>
    <s v="Standard Class"/>
    <s v="anomaly"/>
    <n v="3"/>
    <n v="0.05"/>
    <x v="123"/>
    <x v="123"/>
    <n v="0.2324253158208206"/>
    <s v="13-12-24"/>
    <s v="16-12-24"/>
    <s v="December"/>
    <s v="2024"/>
    <s v=" "/>
    <n v="3"/>
    <s v="Unique"/>
  </r>
  <r>
    <s v="ORD-2024-10130"/>
    <s v="2024-07-19"/>
    <s v="25-07-2024"/>
    <s v="CUST-2588"/>
    <s v="Isha Nair"/>
    <s v="Small Business"/>
    <x v="3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x v="0"/>
    <x v="0"/>
    <m/>
    <s v="ORD-2024-10130"/>
    <s v="19-07-24"/>
    <s v="25-07-24"/>
    <s v="CUST-2588"/>
    <s v="Isha Nair"/>
    <s v="Small Business"/>
    <s v="West"/>
    <s v="Goa"/>
    <s v="Panaji"/>
    <s v="Office Supplies"/>
    <s v="Binders"/>
    <s v="Elite Binders 723"/>
    <s v="Standard Class"/>
    <s v="anomaly"/>
    <n v="6"/>
    <n v="0.05"/>
    <x v="124"/>
    <x v="124"/>
    <n v="0.16952824773211295"/>
    <s v="19-07-24"/>
    <s v="25-07-24"/>
    <s v="July"/>
    <s v="2024"/>
    <s v=" "/>
    <n v="6"/>
    <s v="Unique"/>
  </r>
  <r>
    <s v="ORD-2024-10131"/>
    <s v="2024-01-27"/>
    <s v="02 Feb 2024"/>
    <s v="CUST-5435"/>
    <s v="Arjun Bose"/>
    <s v="Consumer"/>
    <x v="3"/>
    <s v="Gujarat"/>
    <s v="Ahmedabad"/>
    <s v="Office Supplies"/>
    <s v="Labels"/>
    <s v="Smart Labels 878"/>
    <s v="Same Day"/>
    <n v="5"/>
    <n v="218.42"/>
    <n v="0.2"/>
    <n v="873.68"/>
    <n v="661.72"/>
    <n v="211.96"/>
    <x v="2"/>
    <x v="1"/>
    <m/>
    <s v="ORD-2024-10131"/>
    <s v="27-01-24"/>
    <s v="02-02-24"/>
    <s v="CUST-5435"/>
    <s v="Arjun Bose"/>
    <s v="Consumer"/>
    <s v="West"/>
    <s v="Gujarat"/>
    <s v="Ahmedabad"/>
    <s v="Office Supplies"/>
    <s v="Labels"/>
    <s v="Smart Labels 878"/>
    <s v="Same Day"/>
    <s v="  "/>
    <n v="6"/>
    <n v="0.2"/>
    <x v="125"/>
    <x v="125"/>
    <n v="0.24260598846259493"/>
    <s v="27-01-24"/>
    <s v="02-02-24"/>
    <s v="January"/>
    <s v="2024"/>
    <s v="anomaly"/>
    <n v="6"/>
    <s v="Unique"/>
  </r>
  <r>
    <s v="ORD-2025-10132"/>
    <s v="09/29/2025"/>
    <s v="2025-10-04"/>
    <s v="CUST-7637"/>
    <s v="Ananya Rao"/>
    <s v="Home Office"/>
    <x v="1"/>
    <s v="Jharkhand"/>
    <s v="Ranchi"/>
    <s v="Office Supplies"/>
    <s v="Paper"/>
    <s v="Pro Paper 934"/>
    <s v="Same Day"/>
    <n v="9"/>
    <n v="373.91"/>
    <n v="0.2"/>
    <n v="2692.15"/>
    <n v="2044.49"/>
    <n v="647.66"/>
    <x v="0"/>
    <x v="0"/>
    <m/>
    <s v="ORD-2025-10132"/>
    <s v="invalid date"/>
    <s v="04-10-25"/>
    <s v="CUST-7637"/>
    <s v="Ananya Rao"/>
    <s v="Home Office"/>
    <s v="East"/>
    <s v="Jharkhand"/>
    <s v="Ranchi"/>
    <s v="Office Supplies"/>
    <s v="Paper"/>
    <s v="Pro Paper 934"/>
    <s v="Same Day"/>
    <s v="Invalid"/>
    <s v="invalid date"/>
    <n v="0.2"/>
    <x v="126"/>
    <x v="126"/>
    <n v="0.24057408348414205"/>
    <s v="invalid date"/>
    <s v="04-10-25"/>
    <s v="invalid date"/>
    <s v="invalid date"/>
    <s v="Invalid"/>
    <s v="invalid date"/>
    <s v="Unique"/>
  </r>
  <r>
    <s v="ORD-2024-10133"/>
    <s v="04 Nov 2024"/>
    <s v="04 Nov 2024"/>
    <s v="CUST-3602"/>
    <s v="Kabir Singh"/>
    <s v="Corporate"/>
    <x v="1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x v="3"/>
    <x v="1"/>
    <m/>
    <s v="ORD-2024-10133"/>
    <s v="04-11-24"/>
    <s v="04-11-24"/>
    <s v="CUST-3602"/>
    <s v="Kabir Singh"/>
    <s v="Corporate"/>
    <s v="East"/>
    <s v="Assam"/>
    <s v="Guwahati"/>
    <s v="Technology"/>
    <s v="Machines"/>
    <s v="Classic Machines 886"/>
    <s v="First Class"/>
    <s v="  "/>
    <n v="0"/>
    <n v="0"/>
    <x v="127"/>
    <x v="127"/>
    <n v="0.38442635251744589"/>
    <s v="04-11-24"/>
    <s v="04-11-24"/>
    <s v="November"/>
    <s v="2024"/>
    <s v=" "/>
    <n v="0"/>
    <s v="Unique"/>
  </r>
  <r>
    <s v="ORD-2024-10134"/>
    <s v="2024-12-13"/>
    <s v="12/18/2024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x v="0"/>
    <x v="0"/>
    <m/>
    <s v="ORD-2024-10134"/>
    <s v="13-12-24"/>
    <s v="invalid date"/>
    <s v="CUST-9441"/>
    <s v="Karan Malhotra"/>
    <s v="Consumer"/>
    <s v="West"/>
    <s v="Goa"/>
    <s v="Panaji"/>
    <s v="Technology"/>
    <s v="Phones"/>
    <s v="Prime Phones 419"/>
    <s v="Second Class"/>
    <s v="Invalid"/>
    <s v="invalid date"/>
    <n v="0.15"/>
    <x v="128"/>
    <x v="128"/>
    <n v="0.26406045715292475"/>
    <s v="13-12-24"/>
    <s v="invalid date"/>
    <s v="December"/>
    <s v="2024"/>
    <s v="Invalid"/>
    <s v="invalid date"/>
    <s v="Unique"/>
  </r>
  <r>
    <s v="ORD-2025-10135"/>
    <s v="07/14/2025"/>
    <s v="2025-07-14"/>
    <s v="CUST-7361"/>
    <s v="Vikram Iyer"/>
    <s v="Home Office"/>
    <x v="1"/>
    <s v="West Bengal"/>
    <s v="Kolkata"/>
    <s v="Furniture"/>
    <s v="Bookcases"/>
    <s v="Elite Bookcases 266"/>
    <m/>
    <n v="5"/>
    <n v="383.1"/>
    <n v="0.25"/>
    <n v="1436.62"/>
    <n v="912.52"/>
    <n v="524.1"/>
    <x v="2"/>
    <x v="1"/>
    <m/>
    <s v="ORD-2025-10135"/>
    <s v="invalid date"/>
    <s v="14-07-25"/>
    <s v="CUST-7361"/>
    <s v="Vikram Iyer"/>
    <s v="Home Office"/>
    <s v="East"/>
    <s v="West Bengal"/>
    <s v="Kolkata"/>
    <s v="Furniture"/>
    <s v="Bookcases"/>
    <s v="Elite Bookcases 266"/>
    <s v="unknown"/>
    <s v="Invalid"/>
    <s v="invalid date"/>
    <n v="0.25"/>
    <x v="129"/>
    <x v="129"/>
    <n v="0.36481684503610895"/>
    <s v="invalid date"/>
    <s v="14-07-25"/>
    <s v="invalid date"/>
    <s v="invalid date"/>
    <s v="Invalid"/>
    <s v="invalid date"/>
    <s v="Unique"/>
  </r>
  <r>
    <s v="ORD-2025-10136"/>
    <s v="2025-08-24"/>
    <s v="2025-08-24"/>
    <s v="CUST-1148"/>
    <s v="Diya Patel"/>
    <s v="Small Business"/>
    <x v="2"/>
    <s v="Kerala"/>
    <s v="Kochi"/>
    <s v="Furniture"/>
    <s v="Bookcases"/>
    <s v="Prime Bookcases 954"/>
    <s v="Standard Class"/>
    <n v="1"/>
    <n v="3424.78"/>
    <n v="0"/>
    <n v="3424.78"/>
    <n v="1951.45"/>
    <n v="1473.33"/>
    <x v="0"/>
    <x v="0"/>
    <m/>
    <s v="ORD-2025-10136"/>
    <s v="24-08-25"/>
    <s v="24-08-25"/>
    <s v="CUST-1148"/>
    <s v="Diya Patel"/>
    <s v="Small Business"/>
    <s v="South"/>
    <s v="Kerala"/>
    <s v="Kochi"/>
    <s v="Furniture"/>
    <s v="Bookcases"/>
    <s v="Prime Bookcases 954"/>
    <s v="Standard Class"/>
    <s v="  "/>
    <n v="0"/>
    <n v="0"/>
    <x v="130"/>
    <x v="130"/>
    <n v="0.43019697615613267"/>
    <s v="24-08-25"/>
    <s v="24-08-25"/>
    <s v="August"/>
    <s v="2025"/>
    <s v=" "/>
    <n v="0"/>
    <s v="Unique"/>
  </r>
  <r>
    <s v="ORD-2025-10137"/>
    <s v="09-02-2025"/>
    <s v="15-02-2025"/>
    <s v="CUST-3350"/>
    <s v="Mira Das"/>
    <s v="Home Office"/>
    <x v="1"/>
    <s v="Jharkhand"/>
    <s v="Ranchi"/>
    <s v="Office Supplies"/>
    <s v="Binders"/>
    <s v="Max Binders 362"/>
    <s v="Standard  Class"/>
    <n v="9"/>
    <n v="4330.33"/>
    <n v="0.2"/>
    <n v="31178.38"/>
    <n v="21421.09"/>
    <n v="9757.2900000000009"/>
    <x v="0"/>
    <x v="0"/>
    <m/>
    <s v="ORD-2025-10137"/>
    <s v="09-02-25"/>
    <s v="15-02-25"/>
    <s v="CUST-3350"/>
    <s v="Mira Das"/>
    <s v="Home Office"/>
    <s v="East"/>
    <s v="Jharkhand"/>
    <s v="Ranchi"/>
    <s v="Office Supplies"/>
    <s v="Binders"/>
    <s v="Max Binders 362"/>
    <s v="Standard Class"/>
    <s v="anomaly"/>
    <n v="6"/>
    <n v="0.2"/>
    <x v="131"/>
    <x v="131"/>
    <n v="0.31295042435821552"/>
    <s v="09-02-25"/>
    <s v="15-02-25"/>
    <s v="February"/>
    <s v="2025"/>
    <s v=" "/>
    <n v="6"/>
    <s v="Unique"/>
  </r>
  <r>
    <s v="ORD-2025-10138"/>
    <s v="01/09/2025"/>
    <s v="2025-01-09"/>
    <s v="CUST-7932"/>
    <s v="Sneha Kapoor"/>
    <s v="Small Business"/>
    <x v="0"/>
    <s v="Rajasthan"/>
    <s v="Jaipur"/>
    <s v="Furniture"/>
    <s v="Chairs"/>
    <s v="Prime Chairs 261"/>
    <s v="Same Day"/>
    <n v="8"/>
    <n v="2667.07"/>
    <n v="0.1"/>
    <n v="19202.900000000001"/>
    <n v="15526.62"/>
    <n v="3676.28"/>
    <x v="0"/>
    <x v="0"/>
    <m/>
    <s v="ORD-2025-10138"/>
    <s v="01-09-25"/>
    <s v="09-01-25"/>
    <s v="CUST-7932"/>
    <s v="Sneha Kapoor"/>
    <s v="Small Business"/>
    <s v="North"/>
    <s v="Rajasthan"/>
    <s v="Jaipur"/>
    <s v="Furniture"/>
    <s v="Chairs"/>
    <s v="Prime Chairs 261"/>
    <s v="Same Day"/>
    <s v="anomaly"/>
    <n v="-235"/>
    <n v="0.1"/>
    <x v="132"/>
    <x v="132"/>
    <n v="0.19144416906942829"/>
    <s v="01-09-25"/>
    <s v="09-01-25"/>
    <s v="September"/>
    <s v="2025"/>
    <s v=" "/>
    <n v="-235"/>
    <s v="Unique"/>
  </r>
  <r>
    <s v="ORD-2024-10139"/>
    <s v="2024-01-20"/>
    <s v="26-01-2024"/>
    <s v="CUST-7173"/>
    <s v="Diya Patel"/>
    <s v="Home Office"/>
    <x v="1"/>
    <s v="Jharkhand"/>
    <s v="Ranchi"/>
    <s v="Technology"/>
    <s v="Machines"/>
    <s v="Basic Machines 185"/>
    <s v="Standard Class"/>
    <n v="8"/>
    <n v="4003.05"/>
    <n v="0.25"/>
    <n v="24018.3"/>
    <n v="14070.78"/>
    <n v="9947.52"/>
    <x v="0"/>
    <x v="0"/>
    <m/>
    <s v="ORD-2024-10139"/>
    <s v="20-01-24"/>
    <s v="26-01-24"/>
    <s v="CUST-7173"/>
    <s v="Diya Patel"/>
    <s v="Home Office"/>
    <s v="East"/>
    <s v="Jharkhand"/>
    <s v="Ranchi"/>
    <s v="Technology"/>
    <s v="Machines"/>
    <s v="Basic Machines 185"/>
    <s v="Standard Class"/>
    <s v="anomaly"/>
    <n v="6"/>
    <n v="0.25"/>
    <x v="133"/>
    <x v="133"/>
    <n v="0.41416419979765434"/>
    <s v="20-01-24"/>
    <s v="26-01-24"/>
    <s v="January"/>
    <s v="2024"/>
    <s v=" "/>
    <n v="6"/>
    <s v="Unique"/>
  </r>
  <r>
    <s v="ORD-2025-10140"/>
    <s v="03/02/2025"/>
    <s v="07-03-2025"/>
    <s v="CUST-4225"/>
    <s v="Neha Gupta"/>
    <s v="Home Office"/>
    <x v="2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x v="0"/>
    <x v="0"/>
    <m/>
    <s v="ORD-2025-10140"/>
    <s v="03-02-25"/>
    <s v="07-03-25"/>
    <s v="CUST-4225"/>
    <s v="Neha Gupta"/>
    <s v="Home Office"/>
    <s v="South"/>
    <s v="Karnataka"/>
    <s v="Bengaluru"/>
    <s v="Office Supplies"/>
    <s v="Labels"/>
    <s v="Basic Labels 509"/>
    <s v="Standard Class"/>
    <s v="anomaly"/>
    <n v="32"/>
    <n v="0"/>
    <x v="134"/>
    <x v="134"/>
    <n v="0.3627769623261341"/>
    <s v="03-02-25"/>
    <s v="07-03-25"/>
    <s v="February"/>
    <s v="2025"/>
    <s v=" "/>
    <n v="32"/>
    <s v="Unique"/>
  </r>
  <r>
    <s v="ORD-2024-10141"/>
    <s v="31-05-2024"/>
    <s v="01 Jun 2024"/>
    <s v="CUST-2149"/>
    <s v="Mira Das"/>
    <s v="Corporate"/>
    <x v="2"/>
    <s v="Karnataka"/>
    <s v="Bengaluru"/>
    <s v="Furniture"/>
    <s v="Bookcases"/>
    <s v="Elite Bookcases 696"/>
    <s v="Same Day"/>
    <n v="3"/>
    <n v="2914.55"/>
    <n v="0"/>
    <n v="8743.65"/>
    <n v="6603.76"/>
    <n v="2139.89"/>
    <x v="0"/>
    <x v="0"/>
    <m/>
    <s v="ORD-2024-10141"/>
    <s v="31-05-24"/>
    <s v="01-06-24"/>
    <s v="CUST-2149"/>
    <s v="Mira Das"/>
    <s v="Corporate"/>
    <s v="South"/>
    <s v="Karnataka"/>
    <s v="Bengaluru"/>
    <s v="Furniture"/>
    <s v="Bookcases"/>
    <s v="Elite Bookcases 696"/>
    <s v="Same Day"/>
    <s v="  "/>
    <n v="1"/>
    <n v="0"/>
    <x v="135"/>
    <x v="135"/>
    <n v="0.24473646589239059"/>
    <s v="31-05-24"/>
    <s v="01-06-24"/>
    <s v="May"/>
    <s v="2024"/>
    <s v="anomaly"/>
    <n v="1"/>
    <s v="Unique"/>
  </r>
  <r>
    <s v="ORD-2024-10142"/>
    <s v="03/23/2024"/>
    <s v="2024-03-29"/>
    <s v="CUST-3314"/>
    <s v="Priya Menon"/>
    <s v="Corporate"/>
    <x v="0"/>
    <s v="Delhi"/>
    <s v="New Delhi"/>
    <s v="Furniture"/>
    <s v="Bookcases"/>
    <s v="Elite Bookcases 772"/>
    <s v="Same Day"/>
    <n v="7"/>
    <n v="634.29"/>
    <n v="0.1"/>
    <n v="3996.03"/>
    <n v="2859.51"/>
    <n v="1136.52"/>
    <x v="0"/>
    <x v="2"/>
    <m/>
    <s v="ORD-2024-10142"/>
    <s v="invalid date"/>
    <s v="29-03-24"/>
    <s v="CUST-3314"/>
    <s v="Priya Menon"/>
    <s v="Corporate"/>
    <s v="North"/>
    <s v="Delhi"/>
    <s v="New Delhi"/>
    <s v="Furniture"/>
    <s v="Bookcases"/>
    <s v="Elite Bookcases 772"/>
    <s v="Same Day"/>
    <s v="Invalid"/>
    <s v="invalid date"/>
    <n v="0.1"/>
    <x v="136"/>
    <x v="136"/>
    <n v="0.28441174196270441"/>
    <s v="invalid date"/>
    <s v="29-03-24"/>
    <s v="invalid date"/>
    <s v="invalid date"/>
    <s v="Invalid"/>
    <s v="invalid date"/>
    <s v="Unique"/>
  </r>
  <r>
    <s v="ORD-2024-10143"/>
    <s v="30 Mar 2024"/>
    <s v="26 Mar 2024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3857.04"/>
    <n v="2769.26"/>
    <n v="1087.78"/>
    <x v="0"/>
    <x v="0"/>
    <m/>
    <s v="ORD-2024-10143"/>
    <s v="30-03-24"/>
    <s v="26-03-24"/>
    <s v="CUST-8944"/>
    <s v="Aditi Sen"/>
    <s v="Home Office"/>
    <s v="North"/>
    <s v="Rajasthan"/>
    <s v="Jaipur"/>
    <s v="Technology"/>
    <s v="Phones"/>
    <s v="Classic Phones 142"/>
    <s v="Second Class"/>
    <s v="  "/>
    <n v="-4"/>
    <n v="0.15"/>
    <x v="137"/>
    <x v="137"/>
    <n v="0.28202548842442843"/>
    <s v="30-03-24"/>
    <s v="26-03-24"/>
    <s v="March"/>
    <s v="2024"/>
    <s v="anomaly"/>
    <n v="-4"/>
    <s v="Unique"/>
  </r>
  <r>
    <s v="ORD-2024-10144"/>
    <s v="03/24/2024"/>
    <s v="2024-03-26"/>
    <s v="CUST-3144"/>
    <s v="Priya Menon"/>
    <s v="Consumer"/>
    <x v="3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x v="0"/>
    <x v="2"/>
    <m/>
    <s v="ORD-2024-10144"/>
    <s v="invalid date"/>
    <s v="26-03-24"/>
    <s v="CUST-3144"/>
    <s v="Priya Menon"/>
    <s v="Consumer"/>
    <s v="West"/>
    <s v="Gujarat"/>
    <s v="Ahmedabad"/>
    <s v="Office Supplies"/>
    <s v="Paper"/>
    <s v="Pro Paper 575"/>
    <s v="Second Class"/>
    <s v="Invalid"/>
    <s v="invalid date"/>
    <n v="0.1"/>
    <x v="138"/>
    <x v="138"/>
    <n v="0.3755487119323459"/>
    <s v="invalid date"/>
    <s v="26-03-24"/>
    <s v="invalid date"/>
    <s v="invalid date"/>
    <s v="Invalid"/>
    <s v="invalid date"/>
    <s v="Unique"/>
  </r>
  <r>
    <s v="ORD-2024-10145"/>
    <s v="07-06-2024"/>
    <s v="2024-06-15"/>
    <s v="CUST-6747"/>
    <s v="Kabir Singh"/>
    <s v="Small Business"/>
    <x v="2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x v="1"/>
    <x v="2"/>
    <m/>
    <s v="ORD-2024-10145"/>
    <s v="07-06-24"/>
    <s v="15-06-24"/>
    <s v="CUST-6747"/>
    <s v="Kabir Singh"/>
    <s v="Small Business"/>
    <s v="South"/>
    <s v="Telangana"/>
    <s v="Hyderabad"/>
    <s v="Technology"/>
    <s v="Accessories"/>
    <s v="Elite Accessories 905"/>
    <s v="First Class"/>
    <s v="anomaly"/>
    <n v="8"/>
    <n v="0.25"/>
    <x v="139"/>
    <x v="139"/>
    <n v="0.38735548782150481"/>
    <s v="07-06-24"/>
    <s v="15-06-24"/>
    <s v="June"/>
    <s v="2024"/>
    <s v=" "/>
    <n v="8"/>
    <s v="Unique"/>
  </r>
  <r>
    <s v="ORD-2025-10146"/>
    <s v="11-04-2025"/>
    <s v="04/13/2025"/>
    <s v="CUST-6161"/>
    <s v="Mira Das"/>
    <s v="Small Business"/>
    <x v="3"/>
    <s v="Goa"/>
    <s v="Panaji"/>
    <s v="Office Supplies"/>
    <s v="Paper"/>
    <s v="Smart Paper 899"/>
    <s v="Standard Class"/>
    <n v="4"/>
    <n v="4182.1499999999996"/>
    <n v="0.1"/>
    <n v="15055.74"/>
    <n v="9808.83"/>
    <n v="5246.91"/>
    <x v="0"/>
    <x v="0"/>
    <m/>
    <s v="ORD-2025-10146"/>
    <s v="11-04-25"/>
    <s v="invalid date"/>
    <s v="CUST-6161"/>
    <s v="Mira Das"/>
    <s v="Small Business"/>
    <s v="West"/>
    <s v="Goa"/>
    <s v="Panaji"/>
    <s v="Office Supplies"/>
    <s v="Paper"/>
    <s v="Smart Paper 899"/>
    <s v="Standard Class"/>
    <s v="Invalid"/>
    <s v="invalid date"/>
    <n v="0.1"/>
    <x v="140"/>
    <x v="140"/>
    <n v="0.34849897779850075"/>
    <s v="11-04-25"/>
    <s v="invalid date"/>
    <s v="April"/>
    <s v="2025"/>
    <s v="Invalid"/>
    <s v="invalid date"/>
    <s v="Unique"/>
  </r>
  <r>
    <s v="ORD-2025-10147"/>
    <s v="30 Jul 2025"/>
    <s v="08/01/2025"/>
    <s v="CUST-1460"/>
    <s v="Sneha Kapoor"/>
    <s v="Small Business"/>
    <x v="2"/>
    <s v="Tamil Nadu"/>
    <s v="Chennai"/>
    <s v="Office Supplies"/>
    <s v="Storage"/>
    <s v="Classic Storage 423"/>
    <s v="Same Day"/>
    <n v="9"/>
    <n v="3165.43"/>
    <n v="0.1"/>
    <n v="25639.98"/>
    <n v="21635.08"/>
    <n v="4004.9"/>
    <x v="0"/>
    <x v="0"/>
    <m/>
    <s v="ORD-2025-10147"/>
    <s v="30-07-25"/>
    <s v="08-01-25"/>
    <s v="CUST-1460"/>
    <s v="Sneha Kapoor"/>
    <s v="Small Business"/>
    <s v="South"/>
    <s v="Tamil Nadu"/>
    <s v="Chennai"/>
    <s v="Office Supplies"/>
    <s v="Storage"/>
    <s v="Classic Storage 423"/>
    <s v="Same Day"/>
    <s v="  "/>
    <n v="-203"/>
    <n v="0.1"/>
    <x v="141"/>
    <x v="141"/>
    <n v="0.1561975684617263"/>
    <s v="30-07-25"/>
    <s v="08-01-25"/>
    <s v="July"/>
    <s v="2025"/>
    <s v="anomaly"/>
    <n v="-203"/>
    <s v="Unique"/>
  </r>
  <r>
    <s v="ORD-2024-10148"/>
    <s v="23-12-2024"/>
    <s v="2024-12-30"/>
    <s v="CUST-2692"/>
    <s v="Priya Menon"/>
    <s v="Home Office"/>
    <x v="3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x v="0"/>
    <x v="0"/>
    <m/>
    <s v="ORD-2024-10148"/>
    <s v="23-12-24"/>
    <s v="30-12-24"/>
    <s v="CUST-2692"/>
    <s v="Priya Menon"/>
    <s v="Home Office"/>
    <s v="West"/>
    <s v="Goa"/>
    <s v="Panaji"/>
    <s v="Furniture"/>
    <s v="Furnishings"/>
    <s v="Classic Furnishings 743"/>
    <s v="First Class"/>
    <s v="anomaly"/>
    <n v="7"/>
    <n v="0.1"/>
    <x v="142"/>
    <x v="142"/>
    <n v="0.37262583095916435"/>
    <s v="23-12-24"/>
    <s v="30-12-24"/>
    <s v="December"/>
    <s v="2024"/>
    <s v=" "/>
    <n v="7"/>
    <s v="Unique"/>
  </r>
  <r>
    <s v="ORD-2025-10149"/>
    <s v="09 Feb 2025"/>
    <s v="13-02-2025"/>
    <s v="CUST-2822"/>
    <s v="Mira Das"/>
    <s v="Home Office"/>
    <x v="3"/>
    <s v="Madhya Pradesh"/>
    <s v="Indore"/>
    <s v="Technology"/>
    <s v="Phones"/>
    <s v="Smart Phones 336"/>
    <m/>
    <n v="8"/>
    <n v="1696.07"/>
    <n v="0.25"/>
    <n v="10176.42"/>
    <n v="7604.47"/>
    <n v="2571.9499999999998"/>
    <x v="0"/>
    <x v="0"/>
    <m/>
    <s v="ORD-2025-10149"/>
    <s v="09-02-25"/>
    <s v="13-02-25"/>
    <s v="CUST-2822"/>
    <s v="Mira Das"/>
    <s v="Home Office"/>
    <s v="West"/>
    <s v="Madhya Pradesh"/>
    <s v="Indore"/>
    <s v="Technology"/>
    <s v="Phones"/>
    <s v="Smart Phones 336"/>
    <s v="unknown"/>
    <s v="anomaly"/>
    <n v="4"/>
    <n v="0.25"/>
    <x v="143"/>
    <x v="143"/>
    <n v="0.252736227474888"/>
    <s v="09-02-25"/>
    <s v="13-02-25"/>
    <s v="February"/>
    <s v="2025"/>
    <s v=" "/>
    <n v="4"/>
    <s v="Unique"/>
  </r>
  <r>
    <s v="ORD-2024-10150"/>
    <s v="30-01-2024"/>
    <s v="30-01-2024"/>
    <s v="CUST-5876"/>
    <s v="Aarav Sharma"/>
    <s v="Small Business"/>
    <x v="3"/>
    <s v="Rajasthan"/>
    <s v="Udaipur"/>
    <s v="Technology"/>
    <s v="Copiers"/>
    <s v="Eco Copiers 381"/>
    <s v="Same Day"/>
    <n v="7"/>
    <n v="2527.61"/>
    <n v="0.25"/>
    <n v="13269.95"/>
    <n v="8977.1"/>
    <n v="4292.8500000000004"/>
    <x v="0"/>
    <x v="0"/>
    <m/>
    <s v="ORD-2024-10150"/>
    <s v="30-01-24"/>
    <s v="30-01-24"/>
    <s v="CUST-5876"/>
    <s v="Aarav Sharma"/>
    <s v="Small Business"/>
    <s v="West"/>
    <s v="Rajasthan"/>
    <s v="Udaipur"/>
    <s v="Technology"/>
    <s v="Copiers"/>
    <s v="Eco Copiers 381"/>
    <s v="Same Day"/>
    <s v="  "/>
    <n v="0"/>
    <n v="0.25"/>
    <x v="144"/>
    <x v="144"/>
    <n v="0.32350172315989822"/>
    <s v="30-01-24"/>
    <s v="30-01-24"/>
    <s v="January"/>
    <s v="2024"/>
    <s v=" "/>
    <n v="0"/>
    <s v="Unique"/>
  </r>
  <r>
    <s v="ORD-2024-10151"/>
    <s v="04-03-2024"/>
    <s v="2024-03-12"/>
    <s v="CUST-4661"/>
    <s v="Arjun Bose"/>
    <s v="Consumer"/>
    <x v="4"/>
    <s v="Gujarat"/>
    <s v="Ahmedabad"/>
    <s v="Furniture"/>
    <s v="Bookcases"/>
    <s v="Max Bookcases 595"/>
    <s v="First Class"/>
    <n v="1"/>
    <n v="1554.12"/>
    <n v="0.1"/>
    <n v="1398.71"/>
    <n v="1056.92"/>
    <n v="341.79"/>
    <x v="0"/>
    <x v="0"/>
    <m/>
    <s v="ORD-2024-10151"/>
    <s v="04-03-24"/>
    <s v="12-03-24"/>
    <s v="CUST-4661"/>
    <s v="Arjun Bose"/>
    <s v="Consumer"/>
    <s v="unknown"/>
    <s v="Gujarat"/>
    <s v="Ahmedabad"/>
    <s v="Furniture"/>
    <s v="Bookcases"/>
    <s v="Max Bookcases 595"/>
    <s v="First Class"/>
    <s v="anomaly"/>
    <n v="8"/>
    <n v="0.1"/>
    <x v="145"/>
    <x v="145"/>
    <n v="0.24435979489643286"/>
    <s v="04-03-24"/>
    <s v="12-03-24"/>
    <s v="March"/>
    <s v="2024"/>
    <s v=" "/>
    <n v="8"/>
    <s v="Unique"/>
  </r>
  <r>
    <s v="ORD-2024-10152"/>
    <s v="27 Jun 2024"/>
    <s v="06/27/2024"/>
    <s v="CUST-6011"/>
    <s v="Neha Gupta"/>
    <s v="Home Office"/>
    <x v="4"/>
    <s v="Madhya Pradesh"/>
    <s v="Indore"/>
    <s v="Technology"/>
    <s v="Copiers"/>
    <s v="Max Copiers 992"/>
    <s v="Standard Class"/>
    <n v="2"/>
    <n v="3859.11"/>
    <n v="0"/>
    <n v="7718.22"/>
    <n v="5355.93"/>
    <n v="2362.29"/>
    <x v="2"/>
    <x v="2"/>
    <m/>
    <s v="ORD-2024-10152"/>
    <s v="27-06-24"/>
    <s v="invalid date"/>
    <s v="CUST-6011"/>
    <s v="Neha Gupta"/>
    <s v="Home Office"/>
    <s v="unknown"/>
    <s v="Madhya Pradesh"/>
    <s v="Indore"/>
    <s v="Technology"/>
    <s v="Copiers"/>
    <s v="Max Copiers 992"/>
    <s v="Standard Class"/>
    <s v="Invalid"/>
    <s v="invalid date"/>
    <n v="0"/>
    <x v="146"/>
    <x v="146"/>
    <n v="0.30606668376905555"/>
    <s v="27-06-24"/>
    <s v="invalid date"/>
    <s v="June"/>
    <s v="2024"/>
    <s v="Invalid"/>
    <s v="invalid date"/>
    <s v="Unique"/>
  </r>
  <r>
    <s v="ORD-2024-10153"/>
    <s v="14 Jun 2024"/>
    <s v="06/17/2024"/>
    <s v="CUST-6160"/>
    <s v="Kabir Singh"/>
    <s v="Small Business"/>
    <x v="2"/>
    <s v="Kerala"/>
    <s v="Kochi"/>
    <s v="Furniture"/>
    <s v="Tables"/>
    <s v="Pro Tables 407"/>
    <s v="Second Class"/>
    <n v="6"/>
    <n v="1088.04"/>
    <n v="0.1"/>
    <n v="5875.42"/>
    <n v="4380.55"/>
    <n v="1494.87"/>
    <x v="2"/>
    <x v="2"/>
    <m/>
    <s v="ORD-2024-10153"/>
    <s v="14-06-24"/>
    <s v="invalid date"/>
    <s v="CUST-6160"/>
    <s v="Kabir Singh"/>
    <s v="Small Business"/>
    <s v="South"/>
    <s v="Kerala"/>
    <s v="Kochi"/>
    <s v="Furniture"/>
    <s v="Tables"/>
    <s v="Pro Tables 407"/>
    <s v="Second Class"/>
    <s v="Invalid"/>
    <s v="invalid date"/>
    <n v="0.1"/>
    <x v="147"/>
    <x v="147"/>
    <n v="0.25442726098032886"/>
    <s v="14-06-24"/>
    <s v="invalid date"/>
    <s v="June"/>
    <s v="2024"/>
    <s v="Invalid"/>
    <s v="invalid date"/>
    <s v="Unique"/>
  </r>
  <r>
    <s v="ORD-2025-10154"/>
    <s v="23 Sep 2025"/>
    <s v="2025-09-25"/>
    <s v="CUST-6971"/>
    <s v="Aditi Sen"/>
    <s v="Consumer"/>
    <x v="1"/>
    <s v="Odisha"/>
    <s v="Bhubaneswar"/>
    <s v="Office Supplies"/>
    <s v="Labels"/>
    <s v="Prime Labels 559"/>
    <s v="Standard Class"/>
    <n v="7"/>
    <n v="3280.31"/>
    <n v="0"/>
    <n v="22962.17"/>
    <n v="15716.5"/>
    <n v="7245.67"/>
    <x v="1"/>
    <x v="2"/>
    <m/>
    <s v="ORD-2025-10154"/>
    <s v="23-09-25"/>
    <s v="25-09-25"/>
    <s v="CUST-6971"/>
    <s v="Aditi Sen"/>
    <s v="Consumer"/>
    <s v="East"/>
    <s v="Odisha"/>
    <s v="Bhubaneswar"/>
    <s v="Office Supplies"/>
    <s v="Labels"/>
    <s v="Prime Labels 559"/>
    <s v="Standard Class"/>
    <s v="anomaly"/>
    <n v="2"/>
    <n v="0"/>
    <x v="148"/>
    <x v="148"/>
    <n v="0.31554813852523517"/>
    <s v="23-09-25"/>
    <s v="25-09-25"/>
    <s v="September"/>
    <s v="2025"/>
    <s v=" "/>
    <n v="2"/>
    <s v="Unique"/>
  </r>
  <r>
    <s v="ORD-2024-10155"/>
    <s v="12 Feb 2024"/>
    <s v="02/11/2024"/>
    <s v="CUST-7764"/>
    <s v="Priya Menon"/>
    <s v="Consumer"/>
    <x v="2"/>
    <s v="Tamil Nadu"/>
    <s v="Chennai"/>
    <s v="Furniture"/>
    <s v="Bookcases"/>
    <s v="Classic Bookcases 847"/>
    <s v="Same Day"/>
    <n v="1"/>
    <n v="2599.12"/>
    <n v="0.15"/>
    <n v="2209.25"/>
    <n v="1523.78"/>
    <n v="685.47"/>
    <x v="0"/>
    <x v="0"/>
    <m/>
    <s v="ORD-2024-10155"/>
    <s v="12-02-24"/>
    <s v="02-11-24"/>
    <s v="CUST-7764"/>
    <s v="Priya Menon"/>
    <s v="Consumer"/>
    <s v="South"/>
    <s v="Tamil Nadu"/>
    <s v="Chennai"/>
    <s v="Furniture"/>
    <s v="Bookcases"/>
    <s v="Classic Bookcases 847"/>
    <s v="Same Day"/>
    <s v="  "/>
    <n v="264"/>
    <n v="0.15"/>
    <x v="149"/>
    <x v="149"/>
    <n v="0.31027334138432372"/>
    <s v="12-02-24"/>
    <s v="02-11-24"/>
    <s v="February"/>
    <s v="2024"/>
    <s v="anomaly"/>
    <n v="264"/>
    <s v="Unique"/>
  </r>
  <r>
    <s v="ORD-2025-10156"/>
    <s v="01/26/2025"/>
    <s v="03 Feb 2025"/>
    <s v="CUST-8327"/>
    <s v="Karan Malhotra"/>
    <s v="Corporate"/>
    <x v="3"/>
    <s v="Rajasthan"/>
    <s v="Udaipur"/>
    <s v="Furniture"/>
    <s v="Furnishings"/>
    <s v="Classic Furnishings 655"/>
    <s v="Same Day"/>
    <n v="3"/>
    <n v="2859.32"/>
    <n v="0.1"/>
    <n v="7720.16"/>
    <n v="5881"/>
    <n v="1839.16"/>
    <x v="1"/>
    <x v="2"/>
    <m/>
    <s v="ORD-2025-10156"/>
    <s v="invalid date"/>
    <s v="03-02-25"/>
    <s v="CUST-8327"/>
    <s v="Karan Malhotra"/>
    <s v="Corporate"/>
    <s v="West"/>
    <s v="Rajasthan"/>
    <s v="Udaipur"/>
    <s v="Furniture"/>
    <s v="Furnishings"/>
    <s v="Classic Furnishings 655"/>
    <s v="Same Day"/>
    <s v="Invalid"/>
    <s v="invalid date"/>
    <n v="0.1"/>
    <x v="150"/>
    <x v="150"/>
    <n v="0.23822861794127695"/>
    <s v="invalid date"/>
    <s v="03-02-25"/>
    <s v="invalid date"/>
    <s v="invalid date"/>
    <s v="Invalid"/>
    <s v="invalid date"/>
    <s v="Unique"/>
  </r>
  <r>
    <s v="ORD-2025-10157"/>
    <s v="27-03-2025"/>
    <s v="27 Mar 2025"/>
    <s v="CUST-4058"/>
    <s v="Vikram Iyer"/>
    <s v="Small Business"/>
    <x v="1"/>
    <s v="Bihar"/>
    <s v="Patna"/>
    <s v="Technology"/>
    <s v="Machines"/>
    <s v="Eco Machines 657"/>
    <s v="Second Class"/>
    <n v="7"/>
    <n v="2305.37"/>
    <n v="0.25"/>
    <n v="12103.19"/>
    <n v="6717.87"/>
    <n v="5385.32"/>
    <x v="0"/>
    <x v="0"/>
    <m/>
    <s v="ORD-2025-10157"/>
    <s v="27-03-25"/>
    <s v="27-03-25"/>
    <s v="CUST-4058"/>
    <s v="Vikram Iyer"/>
    <s v="Small Business"/>
    <s v="East"/>
    <s v="Bihar"/>
    <s v="Patna"/>
    <s v="Technology"/>
    <s v="Machines"/>
    <s v="Eco Machines 657"/>
    <s v="Second Class"/>
    <s v="  "/>
    <n v="0"/>
    <n v="0.25"/>
    <x v="151"/>
    <x v="151"/>
    <n v="0.44495057812225997"/>
    <s v="27-03-25"/>
    <s v="27-03-25"/>
    <s v="March"/>
    <s v="2025"/>
    <s v=" "/>
    <n v="0"/>
    <s v="Unique"/>
  </r>
  <r>
    <s v="ORD-2024-10158"/>
    <s v="10/22/2024"/>
    <s v="24-10-2024"/>
    <s v="CUST-1142"/>
    <s v="Rohan Mehta"/>
    <s v="Small Business"/>
    <x v="2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x v="0"/>
    <x v="0"/>
    <m/>
    <s v="ORD-2024-10158"/>
    <s v="invalid date"/>
    <s v="24-10-24"/>
    <s v="CUST-1142"/>
    <s v="Rohan Mehta"/>
    <s v="Small Business"/>
    <s v="South"/>
    <s v="Andhra Pradesh"/>
    <s v="Vijayawada"/>
    <s v="Furniture"/>
    <s v="Bookcases"/>
    <s v="Pro Bookcases 430"/>
    <s v="Standard Class"/>
    <s v="Invalid"/>
    <s v="invalid date"/>
    <n v="0.15"/>
    <x v="152"/>
    <x v="152"/>
    <n v="0.3722038955344541"/>
    <s v="invalid date"/>
    <s v="24-10-24"/>
    <s v="invalid date"/>
    <s v="invalid date"/>
    <s v="Invalid"/>
    <s v="invalid date"/>
    <s v="Unique"/>
  </r>
  <r>
    <s v="ORD-2024-10159"/>
    <s v="2024-09-09"/>
    <s v="09/11/2024"/>
    <s v="CUST-2324"/>
    <s v="Neha Gupta"/>
    <s v="Home Office"/>
    <x v="2"/>
    <s v="Telangana"/>
    <s v="Hyderabad"/>
    <s v="Furniture"/>
    <s v="Bookcases"/>
    <s v="Max Bookcases 881"/>
    <s v="First Class"/>
    <n v="1"/>
    <n v="4199.54"/>
    <n v="0.05"/>
    <n v="3989.56"/>
    <n v="2381.38"/>
    <n v="1608.18"/>
    <x v="0"/>
    <x v="0"/>
    <m/>
    <s v="ORD-2024-10159"/>
    <s v="09-09-24"/>
    <s v="09-11-24"/>
    <s v="CUST-2324"/>
    <s v="Neha Gupta"/>
    <s v="Home Office"/>
    <s v="South"/>
    <s v="Telangana"/>
    <s v="Hyderabad"/>
    <s v="Furniture"/>
    <s v="Bookcases"/>
    <s v="Max Bookcases 881"/>
    <s v="First Class"/>
    <s v="anomaly"/>
    <n v="61"/>
    <n v="0.05"/>
    <x v="153"/>
    <x v="153"/>
    <n v="0.40309753223598666"/>
    <s v="09-09-24"/>
    <s v="09-11-24"/>
    <s v="September"/>
    <s v="2024"/>
    <s v=" "/>
    <n v="61"/>
    <s v="Unique"/>
  </r>
  <r>
    <s v="ORD-2025-10160"/>
    <s v="2025-01-30"/>
    <s v="04-02-2025"/>
    <s v="CUST-7717"/>
    <s v="Priya Menon"/>
    <s v="Corporate"/>
    <x v="0"/>
    <s v="Haryana"/>
    <s v="Gurugram"/>
    <s v="Furniture"/>
    <s v="Chairs"/>
    <s v="Elite Chairs 998"/>
    <s v="Same Day"/>
    <n v="9"/>
    <n v="4430.5"/>
    <n v="0.15"/>
    <n v="33893.32"/>
    <n v="25750.35"/>
    <n v="8142.97"/>
    <x v="2"/>
    <x v="1"/>
    <m/>
    <s v="ORD-2025-10160"/>
    <s v="30-01-25"/>
    <s v="04-02-25"/>
    <s v="CUST-7717"/>
    <s v="Priya Menon"/>
    <s v="Corporate"/>
    <s v="North"/>
    <s v="Haryana"/>
    <s v="Gurugram"/>
    <s v="Furniture"/>
    <s v="Chairs"/>
    <s v="Elite Chairs 998"/>
    <s v="Same Day"/>
    <s v="  "/>
    <n v="5"/>
    <n v="0.15"/>
    <x v="154"/>
    <x v="154"/>
    <n v="0.24025305867748292"/>
    <s v="30-01-25"/>
    <s v="04-02-25"/>
    <s v="January"/>
    <s v="2025"/>
    <s v="anomaly"/>
    <n v="5"/>
    <s v="Unique"/>
  </r>
  <r>
    <s v="ORD-2025-10161"/>
    <s v="08-10-2025"/>
    <s v="10/06/2025"/>
    <s v="CUST-4932"/>
    <s v="Vikram Iyer"/>
    <s v="Small Business"/>
    <x v="3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x v="2"/>
    <x v="1"/>
    <m/>
    <s v="ORD-2025-10161"/>
    <s v="08-10-25"/>
    <s v="10-06-25"/>
    <s v="CUST-4932"/>
    <s v="Vikram Iyer"/>
    <s v="Small Business"/>
    <s v="West"/>
    <s v="Maharashtra"/>
    <s v="Mumbai"/>
    <s v="Office Supplies"/>
    <s v="Paper"/>
    <s v="Max Paper 113"/>
    <s v="Second Class"/>
    <s v="anomaly"/>
    <n v="-120"/>
    <n v="0.05"/>
    <x v="155"/>
    <x v="155"/>
    <n v="0.1569977927157114"/>
    <s v="08-10-25"/>
    <s v="10-06-25"/>
    <s v="October"/>
    <s v="2025"/>
    <s v=" "/>
    <n v="-120"/>
    <s v="Unique"/>
  </r>
  <r>
    <s v="ORD-2025-10162"/>
    <s v="2025-07-24"/>
    <s v="30-07-2025"/>
    <s v="CUST-2367"/>
    <s v="Arjun Bose"/>
    <s v="Consumer"/>
    <x v="3"/>
    <s v="Rajasthan"/>
    <s v="Udaipur"/>
    <s v="Office Supplies"/>
    <s v="Binders"/>
    <s v="Smart Binders 267"/>
    <s v="Standard Class"/>
    <n v="1"/>
    <n v="1643.41"/>
    <n v="0"/>
    <n v="1643.41"/>
    <n v="907.4"/>
    <n v="736.01"/>
    <x v="2"/>
    <x v="1"/>
    <m/>
    <s v="ORD-2025-10162"/>
    <s v="24-07-25"/>
    <s v="30-07-25"/>
    <s v="CUST-2367"/>
    <s v="Arjun Bose"/>
    <s v="Consumer"/>
    <s v="West"/>
    <s v="Rajasthan"/>
    <s v="Udaipur"/>
    <s v="Office Supplies"/>
    <s v="Binders"/>
    <s v="Smart Binders 267"/>
    <s v="Standard Class"/>
    <s v="anomaly"/>
    <n v="6"/>
    <n v="0"/>
    <x v="156"/>
    <x v="156"/>
    <n v="0.44785537388722235"/>
    <s v="24-07-25"/>
    <s v="30-07-25"/>
    <s v="July"/>
    <s v="2025"/>
    <s v=" "/>
    <n v="6"/>
    <s v="Unique"/>
  </r>
  <r>
    <s v="ORD-2024-10163"/>
    <s v="2024-03-09"/>
    <s v="14 Mar 2024"/>
    <s v="CUST-4830"/>
    <s v="Neha Gupta"/>
    <s v="Small Business"/>
    <x v="3"/>
    <s v="Goa"/>
    <s v="Panaji"/>
    <s v="Furniture"/>
    <s v="Furnishings"/>
    <s v="Pro Furnishings 108"/>
    <s v="Second Class"/>
    <n v="8"/>
    <n v="4472.84"/>
    <n v="0"/>
    <n v="35997.620000000003"/>
    <n v="26424.41"/>
    <n v="9358.31"/>
    <x v="2"/>
    <x v="2"/>
    <m/>
    <s v="ORD-2024-10163"/>
    <s v="09-03-24"/>
    <s v="14-03-24"/>
    <s v="CUST-4830"/>
    <s v="Neha Gupta"/>
    <s v="Small Business"/>
    <s v="West"/>
    <s v="Goa"/>
    <s v="Panaji"/>
    <s v="Furniture"/>
    <s v="Furnishings"/>
    <s v="Pro Furnishings 108"/>
    <s v="Second Class"/>
    <s v="anomaly"/>
    <n v="5"/>
    <n v="0"/>
    <x v="157"/>
    <x v="157"/>
    <n v="0.2615315437171909"/>
    <s v="09-03-24"/>
    <s v="14-03-24"/>
    <s v="March"/>
    <s v="2024"/>
    <s v=" "/>
    <n v="5"/>
    <s v="Unique"/>
  </r>
  <r>
    <s v="ORD-2025-10164"/>
    <s v="09/21/2025"/>
    <s v="26 Sep 2025"/>
    <s v="CUST-2548"/>
    <s v="Rohan Mehta"/>
    <s v="Home Office"/>
    <x v="3"/>
    <s v="Gujarat"/>
    <s v="Ahmedabad"/>
    <s v="Furniture"/>
    <s v="Tables"/>
    <s v="Elite Tables 389"/>
    <m/>
    <n v="6"/>
    <n v="2903.58"/>
    <n v="0.1"/>
    <n v="15679.33"/>
    <n v="12477.82"/>
    <n v="3201.51"/>
    <x v="2"/>
    <x v="2"/>
    <m/>
    <s v="ORD-2025-10164"/>
    <s v="invalid date"/>
    <s v="26-09-25"/>
    <s v="CUST-2548"/>
    <s v="Rohan Mehta"/>
    <s v="Home Office"/>
    <s v="West"/>
    <s v="Gujarat"/>
    <s v="Ahmedabad"/>
    <s v="Furniture"/>
    <s v="Tables"/>
    <s v="Elite Tables 389"/>
    <s v="unknown"/>
    <s v="Invalid"/>
    <s v="invalid date"/>
    <n v="0.1"/>
    <x v="158"/>
    <x v="158"/>
    <n v="0.20418675999717339"/>
    <s v="invalid date"/>
    <s v="26-09-25"/>
    <s v="invalid date"/>
    <s v="invalid date"/>
    <s v="Invalid"/>
    <s v="invalid date"/>
    <s v="Unique"/>
  </r>
  <r>
    <s v="ORD-2025-10165"/>
    <s v="09 Sep 2025"/>
    <s v="09/14/2025"/>
    <s v="CUST-3833"/>
    <s v="Rahul Verma"/>
    <s v="Small Business"/>
    <x v="1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x v="0"/>
    <x v="0"/>
    <m/>
    <s v="ORD-2025-10165"/>
    <s v="09-09-25"/>
    <s v="invalid date"/>
    <s v="CUST-3833"/>
    <s v="Rahul Verma"/>
    <s v="Small Business"/>
    <s v="East"/>
    <s v="West Bengal"/>
    <s v="Kolkata"/>
    <s v="Furniture"/>
    <s v="Bookcases"/>
    <s v="Pro Bookcases 595"/>
    <s v="Second Class"/>
    <s v="Invalid"/>
    <s v="invalid date"/>
    <n v="0.25"/>
    <x v="159"/>
    <x v="159"/>
    <n v="0.34568425679945392"/>
    <s v="09-09-25"/>
    <s v="invalid date"/>
    <s v="September"/>
    <s v="2025"/>
    <s v="Invalid"/>
    <s v="invalid date"/>
    <s v="Unique"/>
  </r>
  <r>
    <s v="ORD-2024-10166"/>
    <s v="11/22/2024"/>
    <s v="29-11-2024"/>
    <s v="CUST-4598"/>
    <s v="Mira Das"/>
    <s v="Home Office"/>
    <x v="1"/>
    <s v="Bihar"/>
    <s v="Patna"/>
    <s v="Furniture"/>
    <s v="Chairs"/>
    <s v="Max Chairs 148"/>
    <s v="Standard Class"/>
    <n v="4"/>
    <n v="3422.99"/>
    <n v="0.25"/>
    <n v="10268.969999999999"/>
    <n v="6470.92"/>
    <n v="3798.05"/>
    <x v="0"/>
    <x v="0"/>
    <m/>
    <s v="ORD-2024-10166"/>
    <s v="invalid date"/>
    <s v="29-11-24"/>
    <s v="CUST-4598"/>
    <s v="Mira Das"/>
    <s v="Home Office"/>
    <s v="East"/>
    <s v="Bihar"/>
    <s v="Patna"/>
    <s v="Furniture"/>
    <s v="Chairs"/>
    <s v="Max Chairs 148"/>
    <s v="Standard Class"/>
    <s v="Invalid"/>
    <s v="invalid date"/>
    <n v="0.25"/>
    <x v="160"/>
    <x v="160"/>
    <n v="0.36985695741637181"/>
    <s v="invalid date"/>
    <s v="29-11-24"/>
    <s v="invalid date"/>
    <s v="invalid date"/>
    <s v="Invalid"/>
    <s v="invalid date"/>
    <s v="Unique"/>
  </r>
  <r>
    <s v="ORD-2025-10167"/>
    <s v="20-02-2025"/>
    <s v="26-02-2025"/>
    <s v="CUST-7215"/>
    <s v="Karan Malhotra"/>
    <s v="Small Business"/>
    <x v="3"/>
    <s v="Gujarat"/>
    <s v="Ahmedabad"/>
    <s v="Office Supplies"/>
    <s v="Labels"/>
    <s v="Basic Labels 671"/>
    <s v="First Class"/>
    <n v="1"/>
    <n v="2557.85"/>
    <n v="0.2"/>
    <n v="2046.28"/>
    <n v="1449.54"/>
    <n v="596.74"/>
    <x v="0"/>
    <x v="0"/>
    <m/>
    <s v="ORD-2025-10167"/>
    <s v="20-02-25"/>
    <s v="26-02-25"/>
    <s v="CUST-7215"/>
    <s v="Karan Malhotra"/>
    <s v="Small Business"/>
    <s v="West"/>
    <s v="Gujarat"/>
    <s v="Ahmedabad"/>
    <s v="Office Supplies"/>
    <s v="Labels"/>
    <s v="Basic Labels 671"/>
    <s v="First Class"/>
    <s v="anomaly"/>
    <n v="6"/>
    <n v="0.2"/>
    <x v="161"/>
    <x v="161"/>
    <n v="0.29162186992982386"/>
    <s v="20-02-25"/>
    <s v="26-02-25"/>
    <s v="February"/>
    <s v="2025"/>
    <s v=" "/>
    <n v="6"/>
    <s v="Unique"/>
  </r>
  <r>
    <s v="ORD-2025-10168"/>
    <s v="2025-08-18"/>
    <s v="08/18/2025"/>
    <s v="CUST-7770"/>
    <s v="Arjun Bose"/>
    <s v="Home Office"/>
    <x v="2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x v="0"/>
    <x v="2"/>
    <m/>
    <s v="ORD-2025-10168"/>
    <s v="18-08-25"/>
    <s v="invalid date"/>
    <s v="CUST-7770"/>
    <s v="Arjun Bose"/>
    <s v="Home Office"/>
    <s v="South"/>
    <s v="Karnataka"/>
    <s v="Bengaluru"/>
    <s v="Office Supplies"/>
    <s v="Storage"/>
    <s v="Elite Storage 628"/>
    <s v="First Class"/>
    <s v="Invalid"/>
    <s v="invalid date"/>
    <n v="0.15"/>
    <x v="162"/>
    <x v="162"/>
    <n v="0.22772080417345961"/>
    <s v="18-08-25"/>
    <s v="invalid date"/>
    <s v="August"/>
    <s v="2025"/>
    <s v="Invalid"/>
    <s v="invalid date"/>
    <s v="Unique"/>
  </r>
  <r>
    <s v="ORD-2025-10169"/>
    <s v="01/20/2025"/>
    <s v="23 Jan 2025"/>
    <s v="CUST-9756"/>
    <s v="Kabir Singh"/>
    <s v="Consumer"/>
    <x v="3"/>
    <s v="Maharashtra"/>
    <s v="Mumbai"/>
    <s v="Technology"/>
    <s v="Accessories"/>
    <s v="Eco Accessories 590"/>
    <s v="Same Day"/>
    <n v="5"/>
    <n v="639.27"/>
    <n v="0.2"/>
    <n v="2557.08"/>
    <n v="2025.69"/>
    <n v="531.39"/>
    <x v="0"/>
    <x v="1"/>
    <m/>
    <s v="ORD-2025-10169"/>
    <s v="invalid date"/>
    <s v="23-01-25"/>
    <s v="CUST-9756"/>
    <s v="Kabir Singh"/>
    <s v="Consumer"/>
    <s v="West"/>
    <s v="Maharashtra"/>
    <s v="Mumbai"/>
    <s v="Technology"/>
    <s v="Accessories"/>
    <s v="Eco Accessories 590"/>
    <s v="Same Day"/>
    <s v="Invalid"/>
    <s v="invalid date"/>
    <n v="0.2"/>
    <x v="163"/>
    <x v="163"/>
    <n v="0.2078112534609789"/>
    <s v="invalid date"/>
    <s v="23-01-25"/>
    <s v="invalid date"/>
    <s v="invalid date"/>
    <s v="Invalid"/>
    <s v="invalid date"/>
    <s v="Unique"/>
  </r>
  <r>
    <s v="ORD-2025-10170"/>
    <s v="2025-09-13"/>
    <s v="09/13/2025"/>
    <s v="CUST-2261"/>
    <s v="Diya Patel"/>
    <s v="Consumer"/>
    <x v="1"/>
    <s v="Assam"/>
    <s v="Guwahati"/>
    <s v="Office Supplies"/>
    <s v="Art"/>
    <s v="Pro Art 734"/>
    <s v="Standard Class"/>
    <n v="8"/>
    <n v="733.9"/>
    <n v="0.05"/>
    <n v="5577.64"/>
    <n v="3541.29"/>
    <n v="2036.35"/>
    <x v="2"/>
    <x v="2"/>
    <m/>
    <s v="ORD-2025-10170"/>
    <s v="13-09-25"/>
    <s v="invalid date"/>
    <s v="CUST-2261"/>
    <s v="Diya Patel"/>
    <s v="Consumer"/>
    <s v="East"/>
    <s v="Assam"/>
    <s v="Guwahati"/>
    <s v="Office Supplies"/>
    <s v="Art"/>
    <s v="Pro Art 734"/>
    <s v="Standard Class"/>
    <s v="Invalid"/>
    <s v="invalid date"/>
    <n v="0.05"/>
    <x v="164"/>
    <x v="164"/>
    <n v="0.36509168752375548"/>
    <s v="13-09-25"/>
    <s v="invalid date"/>
    <s v="September"/>
    <s v="2025"/>
    <s v="Invalid"/>
    <s v="invalid date"/>
    <s v="Unique"/>
  </r>
  <r>
    <s v="ORD-2025-10171"/>
    <s v="07-09-2025"/>
    <s v="09/15/2025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5133.96"/>
    <n v="3930"/>
    <n v="1203.96"/>
    <x v="0"/>
    <x v="0"/>
    <m/>
    <s v="ORD-2025-10171"/>
    <s v="07-09-25"/>
    <s v="invalid date"/>
    <s v="CUST-3734"/>
    <s v="Rohan Mehta"/>
    <s v="Corporate"/>
    <s v="East"/>
    <s v="Bihar"/>
    <s v="Patna"/>
    <s v="Technology"/>
    <s v="Copiers"/>
    <s v="Eco Copiers 102"/>
    <s v="Standard Class"/>
    <s v="Invalid"/>
    <s v="invalid date"/>
    <n v="0"/>
    <x v="165"/>
    <x v="165"/>
    <n v="0.23450903396208775"/>
    <s v="07-09-25"/>
    <s v="invalid date"/>
    <s v="September"/>
    <s v="2025"/>
    <s v="Invalid"/>
    <s v="invalid date"/>
    <s v="Unique"/>
  </r>
  <r>
    <s v="ORD-2025-10172"/>
    <s v="2025-02-23"/>
    <s v="02/25/2025"/>
    <s v="CUST-3436"/>
    <s v="Karan Malhotra"/>
    <s v="Corporate"/>
    <x v="1"/>
    <s v="Bihar"/>
    <s v="Patna"/>
    <s v="Office Supplies"/>
    <s v="Labels"/>
    <s v="Basic Labels 876"/>
    <s v="Same Day"/>
    <n v="5"/>
    <n v="4246.2700000000004"/>
    <n v="0.25"/>
    <n v="15923.51"/>
    <n v="11291.8"/>
    <n v="4631.71"/>
    <x v="0"/>
    <x v="0"/>
    <m/>
    <s v="ORD-2025-10172"/>
    <s v="23-02-25"/>
    <s v="invalid date"/>
    <s v="CUST-3436"/>
    <s v="Karan Malhotra"/>
    <s v="Corporate"/>
    <s v="East"/>
    <s v="Bihar"/>
    <s v="Patna"/>
    <s v="Office Supplies"/>
    <s v="Labels"/>
    <s v="Basic Labels 876"/>
    <s v="Same Day"/>
    <s v="Invalid"/>
    <s v="invalid date"/>
    <n v="0.25"/>
    <x v="166"/>
    <x v="166"/>
    <n v="0.29087253832971849"/>
    <s v="23-02-25"/>
    <s v="invalid date"/>
    <s v="February"/>
    <s v="2025"/>
    <s v="Invalid"/>
    <s v="invalid date"/>
    <s v="Unique"/>
  </r>
  <r>
    <s v="ORD-2025-10173"/>
    <s v="02-08-2025"/>
    <s v="10-08-2025"/>
    <s v="CUST-4845"/>
    <s v="Karan Malhotra"/>
    <s v="Corporate"/>
    <x v="0"/>
    <s v="Delhi"/>
    <s v="New Delhi"/>
    <s v="Furniture"/>
    <s v="Furnishings"/>
    <s v="Prime Furnishings 381"/>
    <s v="Same Day"/>
    <n v="9"/>
    <n v="2962.62"/>
    <n v="0.1"/>
    <n v="23997.22"/>
    <n v="16134.63"/>
    <n v="7862.59"/>
    <x v="1"/>
    <x v="2"/>
    <m/>
    <s v="ORD-2025-10173"/>
    <s v="02-08-25"/>
    <s v="10-08-25"/>
    <s v="CUST-4845"/>
    <s v="Karan Malhotra"/>
    <s v="Corporate"/>
    <s v="North"/>
    <s v="Delhi"/>
    <s v="New Delhi"/>
    <s v="Furniture"/>
    <s v="Furnishings"/>
    <s v="Prime Furnishings 381"/>
    <s v="Same Day"/>
    <s v="anomaly"/>
    <n v="8"/>
    <n v="0.1"/>
    <x v="167"/>
    <x v="167"/>
    <n v="0.32764592501582057"/>
    <s v="02-08-25"/>
    <s v="10-08-25"/>
    <s v="August"/>
    <s v="2025"/>
    <s v=" "/>
    <n v="8"/>
    <s v="Unique"/>
  </r>
  <r>
    <s v="ORD-2024-10174"/>
    <s v="02-05-2024"/>
    <s v="08 May 2024"/>
    <s v="CUST-6153"/>
    <s v="Priya Menon"/>
    <s v="Home Office"/>
    <x v="0"/>
    <s v="Punjab"/>
    <s v="Ludhiana"/>
    <s v="Technology"/>
    <s v="Copiers"/>
    <s v="Prime Copiers 440"/>
    <s v="Second Class"/>
    <n v="1"/>
    <n v="2312.25"/>
    <n v="0.25"/>
    <n v="1734.19"/>
    <n v="1386.07"/>
    <n v="348.12"/>
    <x v="0"/>
    <x v="0"/>
    <m/>
    <s v="ORD-2024-10174"/>
    <s v="02-05-24"/>
    <s v="08-05-24"/>
    <s v="CUST-6153"/>
    <s v="Priya Menon"/>
    <s v="Home Office"/>
    <s v="North"/>
    <s v="Punjab"/>
    <s v="Ludhiana"/>
    <s v="Technology"/>
    <s v="Copiers"/>
    <s v="Prime Copiers 440"/>
    <s v="Second Class"/>
    <s v="anomaly"/>
    <n v="6"/>
    <n v="0.25"/>
    <x v="168"/>
    <x v="168"/>
    <n v="0.20073809781237614"/>
    <s v="02-05-24"/>
    <s v="08-05-24"/>
    <s v="May"/>
    <s v="2024"/>
    <s v=" "/>
    <n v="6"/>
    <s v="Unique"/>
  </r>
  <r>
    <s v="ORD-2025-10175"/>
    <s v="28 Sep 2025"/>
    <s v="04-10-2025"/>
    <s v="CUST-5475"/>
    <s v="Karan Malhotra"/>
    <s v="Small Business"/>
    <x v="2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x v="2"/>
    <x v="2"/>
    <m/>
    <s v="ORD-2025-10175"/>
    <s v="28-09-25"/>
    <s v="04-10-25"/>
    <s v="CUST-5475"/>
    <s v="Karan Malhotra"/>
    <s v="Small Business"/>
    <s v="South"/>
    <s v="Karnataka"/>
    <s v="Bengaluru"/>
    <s v="Furniture"/>
    <s v="Bookcases"/>
    <s v="Pro Bookcases 319"/>
    <s v="First Class"/>
    <s v="  "/>
    <n v="6"/>
    <n v="0.15"/>
    <x v="169"/>
    <x v="169"/>
    <n v="0.42299801940856191"/>
    <s v="28-09-25"/>
    <s v="04-10-25"/>
    <s v="September"/>
    <s v="2025"/>
    <s v="anomaly"/>
    <n v="6"/>
    <s v="Unique"/>
  </r>
  <r>
    <s v="ORD-2024-10176"/>
    <s v="2024-01-27"/>
    <s v="2024-02-03"/>
    <s v="CUST-5580"/>
    <s v="Arjun Bose"/>
    <s v="Small Business"/>
    <x v="1"/>
    <s v="Bihar"/>
    <s v="Patna"/>
    <s v="Technology"/>
    <s v="Machines"/>
    <s v="Basic Machines 584"/>
    <s v="Same Day"/>
    <n v="7"/>
    <n v="2673.42"/>
    <n v="0.15"/>
    <n v="15906.85"/>
    <n v="11014.46"/>
    <n v="4892.3900000000003"/>
    <x v="0"/>
    <x v="2"/>
    <m/>
    <s v="ORD-2024-10176"/>
    <s v="27-01-24"/>
    <s v="03-02-24"/>
    <s v="CUST-5580"/>
    <s v="Arjun Bose"/>
    <s v="Small Business"/>
    <s v="East"/>
    <s v="Bihar"/>
    <s v="Patna"/>
    <s v="Technology"/>
    <s v="Machines"/>
    <s v="Basic Machines 584"/>
    <s v="Same Day"/>
    <s v="  "/>
    <n v="7"/>
    <n v="0.15"/>
    <x v="170"/>
    <x v="170"/>
    <n v="0.30756493633654297"/>
    <s v="27-01-24"/>
    <s v="03-02-24"/>
    <s v="January"/>
    <s v="2024"/>
    <s v="anomaly"/>
    <n v="7"/>
    <s v="Unique"/>
  </r>
  <r>
    <s v="ORD-2025-10177"/>
    <s v="18-03-2025"/>
    <s v="03/26/2025"/>
    <s v="CUST-3027"/>
    <s v="Vikram Iyer"/>
    <s v="Corporate"/>
    <x v="1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x v="0"/>
    <x v="0"/>
    <m/>
    <s v="ORD-2025-10177"/>
    <s v="18-03-25"/>
    <s v="invalid date"/>
    <s v="CUST-3027"/>
    <s v="Vikram Iyer"/>
    <s v="Corporate"/>
    <s v="East"/>
    <s v="Jharkhand"/>
    <s v="Ranchi"/>
    <s v="Furniture"/>
    <s v="Bookcases"/>
    <s v="Pro Bookcases 612"/>
    <s v="Standard Class"/>
    <s v="Invalid"/>
    <s v="invalid date"/>
    <n v="0.15"/>
    <x v="171"/>
    <x v="171"/>
    <n v="0.42586845885420338"/>
    <s v="18-03-25"/>
    <s v="invalid date"/>
    <s v="March"/>
    <s v="2025"/>
    <s v="Invalid"/>
    <s v="invalid date"/>
    <s v="Unique"/>
  </r>
  <r>
    <s v="ORD-2024-10178"/>
    <s v="01-06-2024"/>
    <s v="06/03/2024"/>
    <s v="CUST-4399"/>
    <s v="Sneha Kapoor"/>
    <s v="Home Office"/>
    <x v="4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x v="0"/>
    <x v="0"/>
    <m/>
    <s v="ORD-2024-10178"/>
    <s v="01-06-24"/>
    <s v="06-03-24"/>
    <s v="CUST-4399"/>
    <s v="Sneha Kapoor"/>
    <s v="Home Office"/>
    <s v="unknown"/>
    <s v="Bihar"/>
    <s v="Patna"/>
    <s v="Office Supplies"/>
    <s v="Art"/>
    <s v="Classic Art 573"/>
    <s v="Same Day"/>
    <s v="anomaly"/>
    <n v="-87"/>
    <n v="0"/>
    <x v="172"/>
    <x v="172"/>
    <n v="0.32773875952009685"/>
    <s v="01-06-24"/>
    <s v="06-03-24"/>
    <s v="June"/>
    <s v="2024"/>
    <s v=" "/>
    <n v="-87"/>
    <s v="Unique"/>
  </r>
  <r>
    <s v="ORD-2024-10179"/>
    <s v="30-09-2024"/>
    <s v="2024-09-30"/>
    <s v="CUST-3092"/>
    <s v="Isha Nair"/>
    <s v="Corporate"/>
    <x v="2"/>
    <s v="Telangana"/>
    <s v="Hyderabad"/>
    <s v="Office Supplies"/>
    <s v="Art"/>
    <s v="Eco Art 854"/>
    <s v="Standard Class"/>
    <n v="4"/>
    <n v="3281.74"/>
    <n v="0"/>
    <n v="13126.96"/>
    <n v="10732.44"/>
    <n v="2394.52"/>
    <x v="0"/>
    <x v="0"/>
    <m/>
    <s v="ORD-2024-10179"/>
    <s v="30-09-24"/>
    <s v="30-09-24"/>
    <s v="CUST-3092"/>
    <s v="Isha Nair"/>
    <s v="Corporate"/>
    <s v="South"/>
    <s v="Telangana"/>
    <s v="Hyderabad"/>
    <s v="Office Supplies"/>
    <s v="Art"/>
    <s v="Eco Art 854"/>
    <s v="Standard Class"/>
    <s v="  "/>
    <n v="0"/>
    <n v="0"/>
    <x v="173"/>
    <x v="173"/>
    <n v="0.18241237879905162"/>
    <s v="30-09-24"/>
    <s v="30-09-24"/>
    <s v="September"/>
    <s v="2024"/>
    <s v=" "/>
    <n v="0"/>
    <s v="Unique"/>
  </r>
  <r>
    <s v="ORD-2024-10180"/>
    <s v="2024-03-15"/>
    <s v="03/19/2024"/>
    <s v="CUST-1778"/>
    <s v="Ananya Rao"/>
    <s v="Small Business"/>
    <x v="2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x v="1"/>
    <x v="2"/>
    <m/>
    <s v="ORD-2024-10180"/>
    <s v="15-03-24"/>
    <s v="invalid date"/>
    <s v="CUST-1778"/>
    <s v="Ananya Rao"/>
    <s v="Small Business"/>
    <s v="South"/>
    <s v="Tamil Nadu"/>
    <s v="Chennai"/>
    <s v="Furniture"/>
    <s v="Furnishings"/>
    <s v="Classic Furnishings 996"/>
    <s v="Standard Class"/>
    <s v="Invalid"/>
    <s v="invalid date"/>
    <n v="0.25"/>
    <x v="174"/>
    <x v="174"/>
    <n v="0.42286664783604816"/>
    <s v="15-03-24"/>
    <s v="invalid date"/>
    <s v="March"/>
    <s v="2024"/>
    <s v="Invalid"/>
    <s v="invalid date"/>
    <s v="Unique"/>
  </r>
  <r>
    <s v="ORD-2024-10181"/>
    <s v="2024-08-26"/>
    <s v="26-08-2024"/>
    <s v="CUST-3787"/>
    <s v="Mira Das"/>
    <s v="Home Office"/>
    <x v="0"/>
    <s v="Uttar Pradesh"/>
    <s v="Noida"/>
    <s v="Office Supplies"/>
    <s v="Binders"/>
    <s v="Prime Binders 735"/>
    <s v="First Class"/>
    <n v="7"/>
    <n v="844.59"/>
    <n v="0.1"/>
    <n v="5320.92"/>
    <n v="3041.5"/>
    <n v="2279.42"/>
    <x v="0"/>
    <x v="0"/>
    <m/>
    <s v="ORD-2024-10181"/>
    <s v="26-08-24"/>
    <s v="26-08-24"/>
    <s v="CUST-3787"/>
    <s v="Mira Das"/>
    <s v="Home Office"/>
    <s v="North"/>
    <s v="Uttar Pradesh"/>
    <s v="Noida"/>
    <s v="Office Supplies"/>
    <s v="Binders"/>
    <s v="Prime Binders 735"/>
    <s v="First Class"/>
    <s v="  "/>
    <n v="0"/>
    <n v="0.1"/>
    <x v="175"/>
    <x v="175"/>
    <n v="0.42838800154183954"/>
    <s v="26-08-24"/>
    <s v="26-08-24"/>
    <s v="August"/>
    <s v="2024"/>
    <s v=" "/>
    <n v="0"/>
    <s v="Unique"/>
  </r>
  <r>
    <s v="ORD-2025-10182"/>
    <s v="09/09/2025"/>
    <s v="10-09-2025"/>
    <s v="CUST-5119"/>
    <s v="Priya Menon"/>
    <s v="Home Office"/>
    <x v="2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x v="0"/>
    <x v="0"/>
    <m/>
    <s v="ORD-2025-10182"/>
    <s v="09-09-25"/>
    <s v="10-09-25"/>
    <s v="CUST-5119"/>
    <s v="Priya Menon"/>
    <s v="Home Office"/>
    <s v="South"/>
    <s v="Tamil Nadu"/>
    <s v="Chennai"/>
    <s v="Office Supplies"/>
    <s v="Art"/>
    <s v="Pro Art 587"/>
    <s v="Second Class"/>
    <s v="anomaly"/>
    <n v="1"/>
    <n v="0"/>
    <x v="176"/>
    <x v="176"/>
    <n v="0.41344039663720622"/>
    <s v="09-09-25"/>
    <s v="10-09-25"/>
    <s v="September"/>
    <s v="2025"/>
    <s v=" "/>
    <n v="1"/>
    <s v="Unique"/>
  </r>
  <r>
    <s v="ORD-2024-10183"/>
    <s v="16 Oct 2024"/>
    <s v="16 Oct 2024"/>
    <s v="CUST-4121"/>
    <s v="Ananya Rao"/>
    <s v="Home Office"/>
    <x v="1"/>
    <s v="Bihar"/>
    <s v="Patna"/>
    <s v="Technology"/>
    <s v="Machines"/>
    <s v="Basic Machines 575"/>
    <s v="Standard Class"/>
    <n v="7"/>
    <n v="775.77"/>
    <n v="0"/>
    <n v="5430.39"/>
    <n v="3707.66"/>
    <n v="1722.73"/>
    <x v="0"/>
    <x v="0"/>
    <m/>
    <s v="ORD-2024-10183"/>
    <s v="16-10-24"/>
    <s v="16-10-24"/>
    <s v="CUST-4121"/>
    <s v="Ananya Rao"/>
    <s v="Home Office"/>
    <s v="East"/>
    <s v="Bihar"/>
    <s v="Patna"/>
    <s v="Technology"/>
    <s v="Machines"/>
    <s v="Basic Machines 575"/>
    <s v="Standard Class"/>
    <s v="  "/>
    <n v="0"/>
    <n v="0"/>
    <x v="177"/>
    <x v="177"/>
    <n v="0.31723872502711586"/>
    <s v="16-10-24"/>
    <s v="16-10-24"/>
    <s v="October"/>
    <s v="2024"/>
    <s v=" "/>
    <n v="0"/>
    <s v="Unique"/>
  </r>
  <r>
    <s v="ORD-2025-10184"/>
    <s v="2025-06-24"/>
    <s v="27-06-2025"/>
    <s v="CUST-3366"/>
    <s v="Vikram Iyer"/>
    <s v="Home Office"/>
    <x v="2"/>
    <s v="Telangana"/>
    <s v="Hyderabad"/>
    <s v="Technology"/>
    <s v="Copiers"/>
    <s v="Elite Copiers 788"/>
    <s v="Standard Class"/>
    <n v="7"/>
    <n v="2304.86"/>
    <n v="0.2"/>
    <n v="12907.22"/>
    <n v="8327.89"/>
    <n v="4579.33"/>
    <x v="0"/>
    <x v="2"/>
    <m/>
    <s v="ORD-2025-10184"/>
    <s v="24-06-25"/>
    <s v="27-06-25"/>
    <s v="CUST-3366"/>
    <s v="Vikram Iyer"/>
    <s v="Home Office"/>
    <s v="South"/>
    <s v="Telangana"/>
    <s v="Hyderabad"/>
    <s v="Technology"/>
    <s v="Copiers"/>
    <s v="Elite Copiers 788"/>
    <s v="Standard Class"/>
    <s v="anomaly"/>
    <n v="3"/>
    <n v="0.2"/>
    <x v="178"/>
    <x v="178"/>
    <n v="0.3547880503433119"/>
    <s v="24-06-25"/>
    <s v="27-06-25"/>
    <s v="June"/>
    <s v="2025"/>
    <s v=" "/>
    <n v="3"/>
    <s v="Unique"/>
  </r>
  <r>
    <s v="ORD-2024-10185"/>
    <s v="2024-04-02"/>
    <s v="2024-04-06"/>
    <s v="CUST-1358"/>
    <s v="Vikram Iyer"/>
    <s v="Corporate"/>
    <x v="3"/>
    <s v="Madhya Pradesh"/>
    <s v="Indore"/>
    <s v="Furniture"/>
    <s v="Bookcases"/>
    <s v="Max Bookcases 472"/>
    <s v="Standard Class"/>
    <n v="2"/>
    <n v="888.98"/>
    <n v="0"/>
    <n v="1777.96"/>
    <n v="1021.16"/>
    <n v="756.8"/>
    <x v="1"/>
    <x v="2"/>
    <m/>
    <s v="ORD-2024-10185"/>
    <s v="02-04-24"/>
    <s v="06-04-24"/>
    <s v="CUST-1358"/>
    <s v="Vikram Iyer"/>
    <s v="Corporate"/>
    <s v="West"/>
    <s v="Madhya Pradesh"/>
    <s v="Indore"/>
    <s v="Furniture"/>
    <s v="Bookcases"/>
    <s v="Max Bookcases 472"/>
    <s v="Standard Class"/>
    <s v="anomaly"/>
    <n v="4"/>
    <n v="0"/>
    <x v="179"/>
    <x v="179"/>
    <n v="0.42565637022205227"/>
    <s v="02-04-24"/>
    <s v="06-04-24"/>
    <s v="April"/>
    <s v="2024"/>
    <s v=" "/>
    <n v="4"/>
    <s v="Unique"/>
  </r>
  <r>
    <s v="ORD-2024-10186"/>
    <s v="11/05/2024"/>
    <s v="2024-11-13"/>
    <s v="CUST-4968"/>
    <s v="Arjun Bose"/>
    <s v="Consumer"/>
    <x v="4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x v="0"/>
    <x v="0"/>
    <m/>
    <s v="ORD-2024-10186"/>
    <s v="11-05-24"/>
    <s v="13-11-24"/>
    <s v="CUST-4968"/>
    <s v="Arjun Bose"/>
    <s v="Consumer"/>
    <s v="unknown"/>
    <s v="Punjab"/>
    <s v="Ludhiana"/>
    <s v="Office Supplies"/>
    <s v="Labels"/>
    <s v="Smart Labels 475"/>
    <s v="Second Class"/>
    <s v="anomaly"/>
    <n v="186"/>
    <n v="0.2"/>
    <x v="180"/>
    <x v="180"/>
    <n v="0.16684111366966722"/>
    <s v="11-05-24"/>
    <s v="13-11-24"/>
    <s v="May"/>
    <s v="2024"/>
    <s v=" "/>
    <n v="186"/>
    <s v="Unique"/>
  </r>
  <r>
    <s v="ORD-2024-10187"/>
    <s v="19-07-2024"/>
    <s v="20 Jul 2024"/>
    <s v="CUST-2778"/>
    <s v="Vikram Iyer"/>
    <s v="Consumer"/>
    <x v="2"/>
    <s v="Tamil Nadu"/>
    <s v="Chennai"/>
    <s v="Furniture"/>
    <s v="Tables"/>
    <s v="Basic Tables 417"/>
    <s v="First Class"/>
    <n v="7"/>
    <n v="3608.43"/>
    <n v="0.05"/>
    <n v="23996.06"/>
    <n v="20167.28"/>
    <n v="3828.78"/>
    <x v="0"/>
    <x v="0"/>
    <m/>
    <s v="ORD-2024-10187"/>
    <s v="19-07-24"/>
    <s v="20-07-24"/>
    <s v="CUST-2778"/>
    <s v="Vikram Iyer"/>
    <s v="Consumer"/>
    <s v="South"/>
    <s v="Tamil Nadu"/>
    <s v="Chennai"/>
    <s v="Furniture"/>
    <s v="Tables"/>
    <s v="Basic Tables 417"/>
    <s v="First Class"/>
    <s v="anomaly"/>
    <n v="1"/>
    <n v="0.05"/>
    <x v="181"/>
    <x v="181"/>
    <n v="0.15955867670689838"/>
    <s v="19-07-24"/>
    <s v="20-07-24"/>
    <s v="July"/>
    <s v="2024"/>
    <s v=" "/>
    <n v="1"/>
    <s v="Unique"/>
  </r>
  <r>
    <s v="ORD-2025-10188"/>
    <s v="2025-05-01"/>
    <s v="02 May 2025"/>
    <s v="CUST-3109"/>
    <s v="Mira Das"/>
    <s v="Consumer"/>
    <x v="3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x v="0"/>
    <x v="2"/>
    <m/>
    <s v="ORD-2025-10188"/>
    <s v="01-05-25"/>
    <s v="02-05-25"/>
    <s v="CUST-3109"/>
    <s v="Mira Das"/>
    <s v="Consumer"/>
    <s v="West"/>
    <s v="Madhya Pradesh"/>
    <s v="Indore"/>
    <s v="Furniture"/>
    <s v="Chairs"/>
    <s v="Pro Chairs 844"/>
    <s v="Same Day"/>
    <s v="anomaly"/>
    <n v="1"/>
    <n v="0"/>
    <x v="182"/>
    <x v="182"/>
    <n v="0.28693321953558582"/>
    <s v="01-05-25"/>
    <s v="02-05-25"/>
    <s v="May"/>
    <s v="2025"/>
    <s v=" "/>
    <n v="1"/>
    <s v="Unique"/>
  </r>
  <r>
    <s v="ORD-2025-10189"/>
    <s v="2025-05-21"/>
    <s v="28 May 2025"/>
    <s v="CUST-3422"/>
    <s v="Priya Menon"/>
    <s v="Corporate"/>
    <x v="1"/>
    <s v="West Bengal"/>
    <s v="Kolkata"/>
    <s v="Furniture"/>
    <s v="Bookcases"/>
    <s v="Elite Bookcases 883"/>
    <s v="Same Day"/>
    <n v="2"/>
    <n v="3559.57"/>
    <n v="0.1"/>
    <n v="6553.95"/>
    <n v="4923.09"/>
    <n v="1484.14"/>
    <x v="0"/>
    <x v="0"/>
    <m/>
    <s v="ORD-2025-10189"/>
    <s v="21-05-25"/>
    <s v="28-05-25"/>
    <s v="CUST-3422"/>
    <s v="Priya Menon"/>
    <s v="Corporate"/>
    <s v="East"/>
    <s v="West Bengal"/>
    <s v="Kolkata"/>
    <s v="Furniture"/>
    <s v="Bookcases"/>
    <s v="Elite Bookcases 883"/>
    <s v="Same Day"/>
    <s v="anomaly"/>
    <n v="7"/>
    <n v="0.1"/>
    <x v="183"/>
    <x v="183"/>
    <n v="0.23163471992403581"/>
    <s v="21-05-25"/>
    <s v="28-05-25"/>
    <s v="May"/>
    <s v="2025"/>
    <s v=" "/>
    <n v="7"/>
    <s v="Unique"/>
  </r>
  <r>
    <s v="ORD-2025-10190"/>
    <s v="2025-05-06"/>
    <s v="07 May 2025"/>
    <s v="CUST-3375"/>
    <s v="Arjun Bose"/>
    <s v="Consumer"/>
    <x v="3"/>
    <s v="Rajasthan"/>
    <s v="Udaipur"/>
    <s v="Furniture"/>
    <s v="Bookcases"/>
    <s v="Basic Bookcases 754"/>
    <s v="First Class"/>
    <n v="9"/>
    <n v="3318.24"/>
    <m/>
    <n v="25384.54"/>
    <n v="16872.39"/>
    <n v="8512.15"/>
    <x v="0"/>
    <x v="0"/>
    <m/>
    <s v="ORD-2025-10190"/>
    <s v="06-05-25"/>
    <s v="07-05-25"/>
    <s v="CUST-3375"/>
    <s v="Arjun Bose"/>
    <s v="Consumer"/>
    <s v="West"/>
    <s v="Rajasthan"/>
    <s v="Udaipur"/>
    <s v="Furniture"/>
    <s v="Bookcases"/>
    <s v="Basic Bookcases 754"/>
    <s v="First Class"/>
    <s v="anomaly"/>
    <n v="1"/>
    <n v="0"/>
    <x v="184"/>
    <x v="184"/>
    <n v="0.43502881045373448"/>
    <s v="06-05-25"/>
    <s v="07-05-25"/>
    <s v="May"/>
    <s v="2025"/>
    <s v=" "/>
    <n v="1"/>
    <s v="Unique"/>
  </r>
  <r>
    <s v="ORD-2025-10191"/>
    <s v="20-04-2025"/>
    <s v="04/21/2025"/>
    <s v="CUST-5138"/>
    <s v="Aditi Sen"/>
    <s v="Consumer"/>
    <x v="2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x v="0"/>
    <x v="0"/>
    <m/>
    <s v="ORD-2025-10191"/>
    <s v="20-04-25"/>
    <s v="invalid date"/>
    <s v="CUST-5138"/>
    <s v="Aditi Sen"/>
    <s v="Consumer"/>
    <s v="South"/>
    <s v="Tamil Nadu"/>
    <s v="Chennai"/>
    <s v="Office Supplies"/>
    <s v="Storage"/>
    <s v="Eco Storage 158"/>
    <s v="First Class"/>
    <s v="Invalid"/>
    <s v="invalid date"/>
    <n v="0.1"/>
    <x v="185"/>
    <x v="185"/>
    <n v="0.35311192990468659"/>
    <s v="20-04-25"/>
    <s v="invalid date"/>
    <s v="April"/>
    <s v="2025"/>
    <s v="Invalid"/>
    <s v="invalid date"/>
    <s v="Unique"/>
  </r>
  <r>
    <s v="ORD-2024-10192"/>
    <s v="19-10-2024"/>
    <s v="2024-10-24"/>
    <s v="CUST-7410"/>
    <s v="Sneha Kapoor"/>
    <s v="Small Business"/>
    <x v="2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x v="0"/>
    <x v="0"/>
    <m/>
    <s v="ORD-2024-10192"/>
    <s v="19-10-24"/>
    <s v="24-10-24"/>
    <s v="CUST-7410"/>
    <s v="Sneha Kapoor"/>
    <s v="Small Business"/>
    <s v="South"/>
    <s v="Tamil Nadu"/>
    <s v="Chennai"/>
    <s v="Furniture"/>
    <s v="Bookcases"/>
    <s v="Prime Bookcases 602"/>
    <s v="Second Class"/>
    <s v="anomaly"/>
    <n v="5"/>
    <s v="invalid"/>
    <x v="2"/>
    <x v="2"/>
    <s v="NA"/>
    <s v="19-10-24"/>
    <s v="24-10-24"/>
    <s v="October"/>
    <s v="2024"/>
    <s v=" "/>
    <n v="5"/>
    <s v="Unique"/>
  </r>
  <r>
    <s v="ORD-2024-10193"/>
    <s v="2024-12-09"/>
    <s v="12/16/2024"/>
    <s v="CUST-7115"/>
    <s v="Isha Nair"/>
    <s v="Home Office"/>
    <x v="3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x v="0"/>
    <x v="0"/>
    <m/>
    <s v="ORD-2024-10193"/>
    <s v="09-12-24"/>
    <s v="invalid date"/>
    <s v="CUST-7115"/>
    <s v="Isha Nair"/>
    <s v="Home Office"/>
    <s v="West"/>
    <s v="Gujarat"/>
    <s v="Ahmedabad"/>
    <s v="Furniture"/>
    <s v="Chairs"/>
    <s v="Eco Chairs 438"/>
    <s v="First Class"/>
    <s v="Invalid"/>
    <s v="invalid date"/>
    <n v="0"/>
    <x v="186"/>
    <x v="186"/>
    <n v="0.17618083732308554"/>
    <s v="09-12-24"/>
    <s v="invalid date"/>
    <s v="December"/>
    <s v="2024"/>
    <s v="Invalid"/>
    <s v="invalid date"/>
    <s v="Unique"/>
  </r>
  <r>
    <s v="ORD-2024-10194"/>
    <s v="2024-06-23"/>
    <s v="28-06-2024"/>
    <s v="CUST-9853"/>
    <s v="Priya Menon"/>
    <s v="Small Business"/>
    <x v="0"/>
    <s v="Punjab"/>
    <s v="Ludhiana"/>
    <s v="Technology"/>
    <s v="Copiers"/>
    <s v="Prime Copiers 142"/>
    <s v="Same Day"/>
    <n v="6"/>
    <n v="1956.63"/>
    <n v="0.2"/>
    <n v="9391.82"/>
    <n v="6013.22"/>
    <n v="3378.6"/>
    <x v="1"/>
    <x v="2"/>
    <m/>
    <s v="ORD-2024-10194"/>
    <s v="23-06-24"/>
    <s v="28-06-24"/>
    <s v="CUST-9853"/>
    <s v="Priya Menon"/>
    <s v="Small Business"/>
    <s v="North"/>
    <s v="Punjab"/>
    <s v="Ludhiana"/>
    <s v="Technology"/>
    <s v="Copiers"/>
    <s v="Prime Copiers 142"/>
    <s v="Same Day"/>
    <s v="anomaly"/>
    <n v="5"/>
    <n v="0.2"/>
    <x v="187"/>
    <x v="187"/>
    <n v="0.35973885370935399"/>
    <s v="23-06-24"/>
    <s v="28-06-24"/>
    <s v="June"/>
    <s v="2024"/>
    <s v=" "/>
    <n v="5"/>
    <s v="Unique"/>
  </r>
  <r>
    <s v="ORD-2025-10195"/>
    <s v="2025-01-28"/>
    <s v="01/31/2025"/>
    <s v="CUST-3637"/>
    <s v="Priya Menon"/>
    <s v="Consumer"/>
    <x v="3"/>
    <s v="Maharashtra"/>
    <s v="Mumbai"/>
    <s v="Furniture"/>
    <s v="Furnishings"/>
    <s v="Prime Furnishings 433"/>
    <s v="First Class"/>
    <n v="9"/>
    <n v="858.39"/>
    <n v="0.05"/>
    <n v="7339.23"/>
    <n v="5434.12"/>
    <n v="1905.11"/>
    <x v="2"/>
    <x v="2"/>
    <m/>
    <s v="ORD-2025-10195"/>
    <s v="28-01-25"/>
    <s v="invalid date"/>
    <s v="CUST-3637"/>
    <s v="Priya Menon"/>
    <s v="Consumer"/>
    <s v="West"/>
    <s v="Maharashtra"/>
    <s v="Mumbai"/>
    <s v="Furniture"/>
    <s v="Furnishings"/>
    <s v="Prime Furnishings 433"/>
    <s v="First Class"/>
    <s v="Invalid"/>
    <s v="invalid date"/>
    <n v="0.05"/>
    <x v="188"/>
    <x v="188"/>
    <n v="0.25957945614082772"/>
    <s v="28-01-25"/>
    <s v="invalid date"/>
    <s v="January"/>
    <s v="2025"/>
    <s v="Invalid"/>
    <s v="invalid date"/>
    <s v="Unique"/>
  </r>
  <r>
    <s v="ORD-2025-10196"/>
    <s v="22 Jul 2025"/>
    <s v="07/24/2025"/>
    <s v="CUST-4328"/>
    <s v="Neha Gupta"/>
    <s v="Home Office"/>
    <x v="2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x v="0"/>
    <x v="0"/>
    <m/>
    <s v="ORD-2025-10196"/>
    <s v="22-07-25"/>
    <s v="invalid date"/>
    <s v="CUST-4328"/>
    <s v="Neha Gupta"/>
    <s v="Home Office"/>
    <s v="South"/>
    <s v="Andhra Pradesh"/>
    <s v="Vijayawada"/>
    <s v="Furniture"/>
    <s v="Furnishings"/>
    <s v="Smart Furnishings 685"/>
    <s v="Same Day"/>
    <s v="Invalid"/>
    <s v="invalid date"/>
    <n v="0"/>
    <x v="189"/>
    <x v="189"/>
    <n v="0.21190744891644084"/>
    <s v="22-07-25"/>
    <s v="invalid date"/>
    <s v="July"/>
    <s v="2025"/>
    <s v="Invalid"/>
    <s v="invalid date"/>
    <s v="Unique"/>
  </r>
  <r>
    <s v="ORD-2024-10197"/>
    <s v="22-01-2024"/>
    <s v="25 Jan 2024"/>
    <s v="CUST-8028"/>
    <s v="Kabir Singh"/>
    <s v="Home Office"/>
    <x v="0"/>
    <s v="Uttar Pradesh"/>
    <s v="Noida"/>
    <s v="Office Supplies"/>
    <s v="Storage"/>
    <s v="Elite Storage 915"/>
    <s v="First Class"/>
    <n v="3"/>
    <n v="1212.03"/>
    <n v="0.1"/>
    <n v="3272.48"/>
    <n v="2517.44"/>
    <n v="755.04"/>
    <x v="0"/>
    <x v="0"/>
    <m/>
    <s v="ORD-2024-10197"/>
    <s v="22-01-24"/>
    <s v="25-01-24"/>
    <s v="CUST-8028"/>
    <s v="Kabir Singh"/>
    <s v="Home Office"/>
    <s v="North"/>
    <s v="Uttar Pradesh"/>
    <s v="Noida"/>
    <s v="Office Supplies"/>
    <s v="Storage"/>
    <s v="Elite Storage 915"/>
    <s v="First Class"/>
    <s v="anomaly"/>
    <n v="3"/>
    <n v="0.1"/>
    <x v="190"/>
    <x v="190"/>
    <n v="0.23072433422837293"/>
    <s v="22-01-24"/>
    <s v="25-01-24"/>
    <s v="January"/>
    <s v="2024"/>
    <s v=" "/>
    <n v="3"/>
    <s v="Unique"/>
  </r>
  <r>
    <s v="ORD-2025-10198"/>
    <s v="31 Mar 2025"/>
    <s v="07-04-2025"/>
    <s v="CUST-6106"/>
    <s v="Rahul Verma"/>
    <s v="Small  Business"/>
    <x v="1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x v="0"/>
    <x v="0"/>
    <m/>
    <s v="ORD-2025-10198"/>
    <s v="31-03-25"/>
    <s v="07-04-25"/>
    <s v="CUST-6106"/>
    <s v="Rahul Verma"/>
    <s v="Small Business"/>
    <s v="East"/>
    <s v="Bihar"/>
    <s v="Patna"/>
    <s v="Office Supplies"/>
    <s v="Storage"/>
    <s v="Basic Storage 961"/>
    <s v="Second Class"/>
    <s v="  "/>
    <n v="7"/>
    <n v="0.15"/>
    <x v="191"/>
    <x v="191"/>
    <n v="0.19147874165631312"/>
    <s v="31-03-25"/>
    <s v="07-04-25"/>
    <s v="March"/>
    <s v="2025"/>
    <s v="anomaly"/>
    <n v="7"/>
    <s v="Unique"/>
  </r>
  <r>
    <s v="ORD-2024-10199"/>
    <s v="05-06-2024"/>
    <s v="06/06/2024"/>
    <s v="CUST-7820"/>
    <s v="Sneha Kapoor"/>
    <s v="Consumer"/>
    <x v="3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x v="3"/>
    <x v="1"/>
    <m/>
    <s v="ORD-2024-10199"/>
    <s v="05-06-24"/>
    <s v="06-06-24"/>
    <s v="CUST-7820"/>
    <s v="Sneha Kapoor"/>
    <s v="Consumer"/>
    <s v="West"/>
    <s v="Gujarat"/>
    <s v="Ahmedabad"/>
    <s v="Office Supplies"/>
    <s v="Art"/>
    <s v="Classic Art 968"/>
    <s v="Second Class"/>
    <s v="anomaly"/>
    <n v="1"/>
    <n v="0.05"/>
    <x v="192"/>
    <x v="192"/>
    <n v="0.39843657667696558"/>
    <s v="05-06-24"/>
    <s v="06-06-24"/>
    <s v="June"/>
    <s v="2024"/>
    <s v=" "/>
    <n v="1"/>
    <s v="Unique"/>
  </r>
  <r>
    <s v="ORD-2024-10200"/>
    <s v="03/12/2024"/>
    <s v="12-03-2024"/>
    <s v="CUST-4536"/>
    <s v="Rahul Verma"/>
    <s v="Home Office"/>
    <x v="1"/>
    <s v="Bihar"/>
    <s v="Patna"/>
    <s v="Technology"/>
    <s v="Machines"/>
    <s v="Prime Machines 806"/>
    <m/>
    <n v="6"/>
    <n v="2185.58"/>
    <n v="0.25"/>
    <n v="9835.11"/>
    <n v="5437.64"/>
    <n v="4397.47"/>
    <x v="0"/>
    <x v="0"/>
    <m/>
    <s v="ORD-2024-10200"/>
    <s v="03-12-24"/>
    <s v="12-03-24"/>
    <s v="CUST-4536"/>
    <s v="Rahul Verma"/>
    <s v="Home Office"/>
    <s v="East"/>
    <s v="Bihar"/>
    <s v="Patna"/>
    <s v="Technology"/>
    <s v="Machines"/>
    <s v="Prime Machines 806"/>
    <s v="unknown"/>
    <s v="anomaly"/>
    <n v="-266"/>
    <n v="0.25"/>
    <x v="193"/>
    <x v="193"/>
    <n v="0.44711955433136996"/>
    <s v="03-12-24"/>
    <s v="12-03-24"/>
    <s v="December"/>
    <s v="2024"/>
    <s v=" "/>
    <n v="-266"/>
    <s v="Unique"/>
  </r>
  <r>
    <s v="ORD-2025-10201"/>
    <s v="27-06-2025"/>
    <s v="05 Jul 2025"/>
    <s v="CUST-7047"/>
    <s v="Priya Menon"/>
    <s v="Small Business"/>
    <x v="0"/>
    <s v="Rajasthan"/>
    <s v="Jaipur"/>
    <s v="Technology"/>
    <s v="Copiers"/>
    <s v="Classic Copiers 479"/>
    <s v="First Class"/>
    <n v="5"/>
    <n v="2868.44"/>
    <n v="0.1"/>
    <n v="12907.98"/>
    <n v="9197.08"/>
    <n v="3710.9"/>
    <x v="2"/>
    <x v="1"/>
    <m/>
    <s v="ORD-2025-10201"/>
    <s v="27-06-25"/>
    <s v="05-07-25"/>
    <s v="CUST-7047"/>
    <s v="Priya Menon"/>
    <s v="Small Business"/>
    <s v="North"/>
    <s v="Rajasthan"/>
    <s v="Jaipur"/>
    <s v="Technology"/>
    <s v="Copiers"/>
    <s v="Classic Copiers 479"/>
    <s v="First Class"/>
    <s v="  "/>
    <n v="8"/>
    <n v="0.1"/>
    <x v="194"/>
    <x v="194"/>
    <n v="0.28748882474252369"/>
    <s v="27-06-25"/>
    <s v="05-07-25"/>
    <s v="June"/>
    <s v="2025"/>
    <s v="anomaly"/>
    <n v="8"/>
    <s v="Unique"/>
  </r>
  <r>
    <s v="ORD-2025-10202"/>
    <s v="26-07-2025"/>
    <s v="08/03/2025"/>
    <s v="CUST-8005"/>
    <s v="Vikram Iyer"/>
    <s v="Consumer"/>
    <x v="3"/>
    <s v="Madhya Pradesh"/>
    <s v="Indore"/>
    <s v="Office Supplies"/>
    <s v="Labels"/>
    <s v="Basic Labels 511"/>
    <s v="Second Class"/>
    <n v="2"/>
    <n v="2503.5300000000002"/>
    <s v="invalid"/>
    <n v="4756.71"/>
    <n v="2954.86"/>
    <n v="1801.85"/>
    <x v="1"/>
    <x v="1"/>
    <m/>
    <s v="ORD-2025-10202"/>
    <s v="26-07-25"/>
    <s v="08-03-25"/>
    <s v="CUST-8005"/>
    <s v="Vikram Iyer"/>
    <s v="Consumer"/>
    <s v="West"/>
    <s v="Madhya Pradesh"/>
    <s v="Indore"/>
    <s v="Office Supplies"/>
    <s v="Labels"/>
    <s v="Basic Labels 511"/>
    <s v="Second Class"/>
    <s v="  "/>
    <n v="-140"/>
    <s v="invalid"/>
    <x v="2"/>
    <x v="2"/>
    <s v="NA"/>
    <s v="26-07-25"/>
    <s v="08-03-25"/>
    <s v="July"/>
    <s v="2025"/>
    <s v="anomaly"/>
    <n v="-140"/>
    <s v="Unique"/>
  </r>
  <r>
    <s v="ORD-2025-10203"/>
    <s v="2025-03-28"/>
    <s v="28 Mar 2025"/>
    <s v="CUST-9378"/>
    <s v="Sneha Kapoor"/>
    <s v="Corporate"/>
    <x v="3"/>
    <s v="Goa"/>
    <s v="Panaji"/>
    <s v="Technology"/>
    <s v="Accessories"/>
    <s v="Prime Accessories 733"/>
    <s v="Standard Class"/>
    <n v="8"/>
    <n v="1740.94"/>
    <n v="0.05"/>
    <n v="13231.14"/>
    <n v="11290.06"/>
    <n v="1941.08"/>
    <x v="0"/>
    <x v="0"/>
    <m/>
    <s v="ORD-2025-10203"/>
    <s v="28-03-25"/>
    <s v="28-03-25"/>
    <s v="CUST-9378"/>
    <s v="Sneha Kapoor"/>
    <s v="Corporate"/>
    <s v="West"/>
    <s v="Goa"/>
    <s v="Panaji"/>
    <s v="Technology"/>
    <s v="Accessories"/>
    <s v="Prime Accessories 733"/>
    <s v="Standard Class"/>
    <s v="  "/>
    <n v="0"/>
    <n v="0.05"/>
    <x v="195"/>
    <x v="195"/>
    <n v="0.14670568168557463"/>
    <s v="28-03-25"/>
    <s v="28-03-25"/>
    <s v="March"/>
    <s v="2025"/>
    <s v=" "/>
    <n v="0"/>
    <s v="Unique"/>
  </r>
  <r>
    <s v="ORD-2024-10204"/>
    <s v="28 Mar 2024"/>
    <s v="2024-03-30"/>
    <s v="CUST-3384"/>
    <s v="Sneha Kapoor"/>
    <s v="Corporate"/>
    <x v="3"/>
    <s v="Rajasthan"/>
    <s v="Udaipur"/>
    <s v="Technology"/>
    <s v="Accessories"/>
    <s v="Max Accessories 186"/>
    <s v="Second Class"/>
    <n v="1"/>
    <n v="570.34"/>
    <n v="0.15"/>
    <n v="484.79"/>
    <n v="333.54"/>
    <n v="151.25"/>
    <x v="0"/>
    <x v="0"/>
    <m/>
    <s v="ORD-2024-10204"/>
    <s v="28-03-24"/>
    <s v="30-03-24"/>
    <s v="CUST-3384"/>
    <s v="Sneha Kapoor"/>
    <s v="Corporate"/>
    <s v="West"/>
    <s v="Rajasthan"/>
    <s v="Udaipur"/>
    <s v="Technology"/>
    <s v="Accessories"/>
    <s v="Max Accessories 186"/>
    <s v="Second Class"/>
    <s v="anomaly"/>
    <n v="2"/>
    <n v="0.15"/>
    <x v="196"/>
    <x v="196"/>
    <n v="0.3119893396921134"/>
    <s v="28-03-24"/>
    <s v="30-03-24"/>
    <s v="March"/>
    <s v="2024"/>
    <s v=" "/>
    <n v="2"/>
    <s v="Unique"/>
  </r>
  <r>
    <s v="ORD-2025-10205"/>
    <s v="20-07-2025"/>
    <s v="2025-07-23"/>
    <s v="CUST-1986"/>
    <s v="Mira Das"/>
    <s v="Home Office"/>
    <x v="1"/>
    <s v="West Bengal"/>
    <s v="Kolkata"/>
    <s v="Furniture"/>
    <s v="Tables"/>
    <s v="Elite Tables 318"/>
    <s v="Second Class"/>
    <n v="4"/>
    <n v="477.69"/>
    <n v="0.15"/>
    <n v="1624.15"/>
    <n v="1217.99"/>
    <n v="406.16"/>
    <x v="0"/>
    <x v="0"/>
    <m/>
    <s v="ORD-2025-10205"/>
    <s v="20-07-25"/>
    <s v="23-07-25"/>
    <s v="CUST-1986"/>
    <s v="Mira Das"/>
    <s v="Home Office"/>
    <s v="East"/>
    <s v="West Bengal"/>
    <s v="Kolkata"/>
    <s v="Furniture"/>
    <s v="Tables"/>
    <s v="Elite Tables 318"/>
    <s v="Second Class"/>
    <s v="anomaly"/>
    <n v="3"/>
    <n v="0.15"/>
    <x v="197"/>
    <x v="197"/>
    <n v="0.25007357712914968"/>
    <s v="20-07-25"/>
    <s v="23-07-25"/>
    <s v="July"/>
    <s v="2025"/>
    <s v=" "/>
    <n v="3"/>
    <s v="Unique"/>
  </r>
  <r>
    <s v="ORD-2025-10206"/>
    <s v="21-04-2025"/>
    <s v="04/26/2025"/>
    <s v="CUST-3338"/>
    <s v="Ananya Rao"/>
    <s v="Consumer"/>
    <x v="3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x v="0"/>
    <x v="0"/>
    <m/>
    <s v="ORD-2025-10206"/>
    <s v="21-04-25"/>
    <s v="invalid date"/>
    <s v="CUST-3338"/>
    <s v="Ananya Rao"/>
    <s v="Consumer"/>
    <s v="West"/>
    <s v="Maharashtra"/>
    <s v="Mumbai"/>
    <s v="Office Supplies"/>
    <s v="Labels"/>
    <s v="Smart Labels 354"/>
    <s v="Same Day"/>
    <s v="Invalid"/>
    <s v="invalid date"/>
    <n v="0.2"/>
    <x v="198"/>
    <x v="198"/>
    <n v="0.2058655471483572"/>
    <s v="21-04-25"/>
    <s v="invalid date"/>
    <s v="April"/>
    <s v="2025"/>
    <s v="Invalid"/>
    <s v="invalid date"/>
    <s v="Unique"/>
  </r>
  <r>
    <s v="ORD-2025-10207"/>
    <s v="05/18/2025"/>
    <s v="20 May 2025"/>
    <s v="CUST-2343"/>
    <s v="Diya Patel"/>
    <s v="Small Business"/>
    <x v="0"/>
    <s v="Uttar Pradesh"/>
    <s v="Noida"/>
    <s v="Furniture"/>
    <s v="Furnishings"/>
    <s v="Pro Furnishings 981"/>
    <s v="First Class"/>
    <n v="2"/>
    <n v="215.13"/>
    <n v="0"/>
    <n v="430.26"/>
    <n v="286.38"/>
    <n v="143.88"/>
    <x v="0"/>
    <x v="0"/>
    <m/>
    <s v="ORD-2025-10207"/>
    <s v="invalid date"/>
    <s v="20-05-25"/>
    <s v="CUST-2343"/>
    <s v="Diya Patel"/>
    <s v="Small Business"/>
    <s v="North"/>
    <s v="Uttar Pradesh"/>
    <s v="Noida"/>
    <s v="Furniture"/>
    <s v="Furnishings"/>
    <s v="Pro Furnishings 981"/>
    <s v="First Class"/>
    <s v="Invalid"/>
    <s v="invalid date"/>
    <n v="0"/>
    <x v="199"/>
    <x v="199"/>
    <n v="0.33440245432994004"/>
    <s v="invalid date"/>
    <s v="20-05-25"/>
    <s v="invalid date"/>
    <s v="invalid date"/>
    <s v="Invalid"/>
    <s v="invalid date"/>
    <s v="Unique"/>
  </r>
  <r>
    <s v="ORD-2024-10208"/>
    <s v="10 Jul 2024"/>
    <s v="2024-07-16"/>
    <s v="CUST-3362"/>
    <s v="Aarav Sharma"/>
    <s v="Home Office"/>
    <x v="3"/>
    <s v="Goa"/>
    <s v="Panaji"/>
    <s v="Furniture"/>
    <s v="Bookcases"/>
    <s v="Eco Bookcases 671"/>
    <s v="Second Class"/>
    <n v="2"/>
    <n v="1095.45"/>
    <n v="0.2"/>
    <n v="1752.72"/>
    <n v="996.41"/>
    <n v="756.31"/>
    <x v="0"/>
    <x v="0"/>
    <m/>
    <s v="ORD-2024-10208"/>
    <s v="10-07-24"/>
    <s v="16-07-24"/>
    <s v="CUST-3362"/>
    <s v="Aarav Sharma"/>
    <s v="Home Office"/>
    <s v="West"/>
    <s v="Goa"/>
    <s v="Panaji"/>
    <s v="Furniture"/>
    <s v="Bookcases"/>
    <s v="Eco Bookcases 671"/>
    <s v="Second Class"/>
    <s v="anomaly"/>
    <n v="6"/>
    <n v="0.2"/>
    <x v="200"/>
    <x v="200"/>
    <n v="0.43150645853302305"/>
    <s v="10-07-24"/>
    <s v="16-07-24"/>
    <s v="July"/>
    <s v="2024"/>
    <s v=" "/>
    <n v="6"/>
    <s v="Unique"/>
  </r>
  <r>
    <s v="ORD-2025-10209"/>
    <s v="06/29/2025"/>
    <s v="05-07-2025"/>
    <s v="CUST-3662"/>
    <s v="Diya Patel"/>
    <s v="Consumer"/>
    <x v="0"/>
    <s v="Punjab"/>
    <s v="Ludhiana"/>
    <s v="Furniture"/>
    <s v="Chairs"/>
    <s v="Max Chairs 151"/>
    <s v="Same Day"/>
    <n v="1"/>
    <n v="999.83"/>
    <n v="0"/>
    <n v="999.83"/>
    <n v="634.91"/>
    <n v="364.92"/>
    <x v="0"/>
    <x v="0"/>
    <m/>
    <s v="ORD-2025-10209"/>
    <s v="invalid date"/>
    <s v="05-07-25"/>
    <s v="CUST-3662"/>
    <s v="Diya Patel"/>
    <s v="Consumer"/>
    <s v="North"/>
    <s v="Punjab"/>
    <s v="Ludhiana"/>
    <s v="Furniture"/>
    <s v="Chairs"/>
    <s v="Max Chairs 151"/>
    <s v="Same Day"/>
    <s v="Invalid"/>
    <s v="invalid date"/>
    <n v="0"/>
    <x v="201"/>
    <x v="201"/>
    <n v="0.3649820469479812"/>
    <s v="invalid date"/>
    <s v="05-07-25"/>
    <s v="invalid date"/>
    <s v="invalid date"/>
    <s v="Invalid"/>
    <s v="invalid date"/>
    <s v="Unique"/>
  </r>
  <r>
    <s v="ORD-2025-10210"/>
    <s v="08/13/2025"/>
    <s v="08/14/2025"/>
    <s v="CUST-4947"/>
    <s v="Rohan Mehta"/>
    <s v="Small Business"/>
    <x v="2"/>
    <s v="Andhra Pradesh"/>
    <s v="Vijayawada"/>
    <s v="Office Supplies"/>
    <s v="Paper"/>
    <s v="Prime Paper 903"/>
    <s v="First Class"/>
    <n v="9"/>
    <n v="864.98"/>
    <n v="0.1"/>
    <n v="7006.34"/>
    <n v="4640.88"/>
    <n v="2365.46"/>
    <x v="0"/>
    <x v="0"/>
    <m/>
    <s v="ORD-2025-10210"/>
    <s v="invalid date"/>
    <s v="invalid date"/>
    <s v="CUST-4947"/>
    <s v="Rohan Mehta"/>
    <s v="Small Business"/>
    <s v="South"/>
    <s v="Andhra Pradesh"/>
    <s v="Vijayawada"/>
    <s v="Office Supplies"/>
    <s v="Paper"/>
    <s v="Prime Paper 903"/>
    <s v="First Class"/>
    <s v="Invalid"/>
    <s v="invalid date"/>
    <n v="0.1"/>
    <x v="202"/>
    <x v="202"/>
    <n v="0.33761688345609359"/>
    <s v="invalid date"/>
    <s v="invalid date"/>
    <s v="invalid date"/>
    <s v="invalid date"/>
    <s v="Invalid"/>
    <s v="invalid date"/>
    <s v="Unique"/>
  </r>
  <r>
    <s v="ORD-2024-10211"/>
    <s v="03/15/2024"/>
    <s v="18-03-2024"/>
    <s v="CUST-3076"/>
    <s v="Kabir Singh"/>
    <s v="Home Office"/>
    <x v="2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x v="3"/>
    <x v="2"/>
    <m/>
    <s v="ORD-2024-10211"/>
    <s v="invalid date"/>
    <s v="18-03-24"/>
    <s v="CUST-3076"/>
    <s v="Kabir Singh"/>
    <s v="Home Office"/>
    <s v="South"/>
    <s v="Karnataka"/>
    <s v="Bengaluru"/>
    <s v="Technology"/>
    <s v="Machines"/>
    <s v="Classic Machines 944"/>
    <s v="Second Class"/>
    <s v="Invalid"/>
    <s v="invalid date"/>
    <n v="0"/>
    <x v="203"/>
    <x v="203"/>
    <n v="0.28907914100925591"/>
    <s v="invalid date"/>
    <s v="18-03-24"/>
    <s v="invalid date"/>
    <s v="invalid date"/>
    <s v="Invalid"/>
    <s v="invalid date"/>
    <s v="Unique"/>
  </r>
  <r>
    <s v="ORD-2024-10212"/>
    <s v="05/16/2024"/>
    <s v="05/17/2024"/>
    <s v="CUST-2222"/>
    <s v="Rohan Mehta"/>
    <s v="Corporate"/>
    <x v="1"/>
    <s v="West Bengal"/>
    <s v="Kolkata"/>
    <s v="Technology"/>
    <s v="Copiers"/>
    <s v="Basic Copiers 222"/>
    <s v="Second Class"/>
    <n v="8"/>
    <n v="4221.95"/>
    <n v="0.2"/>
    <n v="27020.48"/>
    <n v="22885.24"/>
    <n v="4135.24"/>
    <x v="0"/>
    <x v="0"/>
    <m/>
    <s v="ORD-2024-10212"/>
    <s v="invalid date"/>
    <s v="invalid date"/>
    <s v="CUST-2222"/>
    <s v="Rohan Mehta"/>
    <s v="Corporate"/>
    <s v="East"/>
    <s v="West Bengal"/>
    <s v="Kolkata"/>
    <s v="Technology"/>
    <s v="Copiers"/>
    <s v="Basic Copiers 222"/>
    <s v="Second Class"/>
    <s v="Invalid"/>
    <s v="invalid date"/>
    <n v="0.2"/>
    <x v="204"/>
    <x v="204"/>
    <n v="0.15304095264036752"/>
    <s v="invalid date"/>
    <s v="invalid date"/>
    <s v="invalid date"/>
    <s v="invalid date"/>
    <s v="Invalid"/>
    <s v="invalid date"/>
    <s v="Unique"/>
  </r>
  <r>
    <s v="ORD-2024-10213"/>
    <s v="09/21/2024"/>
    <s v="2024-09-21"/>
    <s v="CUST-3610"/>
    <s v="Ananya Rao"/>
    <s v="Small Business"/>
    <x v="1"/>
    <s v="Odisha"/>
    <s v="Bhubaneswar"/>
    <s v="Technology"/>
    <s v="Phones"/>
    <s v="Max Phones 329"/>
    <s v="Same Day"/>
    <n v="2"/>
    <n v="214.5"/>
    <n v="0.15"/>
    <n v="364.65"/>
    <n v="280.74"/>
    <n v="83.91"/>
    <x v="0"/>
    <x v="0"/>
    <m/>
    <s v="ORD-2024-10213"/>
    <s v="invalid date"/>
    <s v="21-09-24"/>
    <s v="CUST-3610"/>
    <s v="Ananya Rao"/>
    <s v="Small Business"/>
    <s v="East"/>
    <s v="Odisha"/>
    <s v="Bhubaneswar"/>
    <s v="Technology"/>
    <s v="Phones"/>
    <s v="Max Phones 329"/>
    <s v="Same Day"/>
    <s v="Invalid"/>
    <s v="invalid date"/>
    <n v="0.15"/>
    <x v="205"/>
    <x v="205"/>
    <n v="0.23011106540518297"/>
    <s v="invalid date"/>
    <s v="21-09-24"/>
    <s v="invalid date"/>
    <s v="invalid date"/>
    <s v="Invalid"/>
    <s v="invalid date"/>
    <s v="Unique"/>
  </r>
  <r>
    <s v="ORD-2024-10214"/>
    <s v="15 May 2024"/>
    <s v="21-05-2024"/>
    <s v="CUST-9136"/>
    <s v="Isha Nair"/>
    <s v="Small Business"/>
    <x v="1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x v="0"/>
    <x v="0"/>
    <m/>
    <s v="ORD-2024-10214"/>
    <s v="15-05-24"/>
    <s v="21-05-24"/>
    <s v="CUST-9136"/>
    <s v="Isha Nair"/>
    <s v="Small Business"/>
    <s v="East"/>
    <s v="Bihar"/>
    <s v="Patna"/>
    <s v="Technology"/>
    <s v="Accessories"/>
    <s v="Classic Accessories 840"/>
    <s v="Second Class"/>
    <s v="anomaly"/>
    <n v="6"/>
    <n v="0.2"/>
    <x v="206"/>
    <x v="206"/>
    <n v="0.18541110339208763"/>
    <s v="15-05-24"/>
    <s v="21-05-24"/>
    <s v="May"/>
    <s v="2024"/>
    <s v=" "/>
    <n v="6"/>
    <s v="Unique"/>
  </r>
  <r>
    <s v="ORD-2024-10215"/>
    <s v="17 Mar 2024"/>
    <s v="23-03-2024"/>
    <s v="CUST-1301"/>
    <s v="Rahul Verma"/>
    <s v="Consumer"/>
    <x v="0"/>
    <s v="Haryana"/>
    <s v="Gurugram"/>
    <s v="Technology"/>
    <s v="Accessories"/>
    <s v="Classic Accessories 757"/>
    <s v="First Class"/>
    <n v="3"/>
    <n v="248.18"/>
    <n v="0.05"/>
    <n v="707.31"/>
    <n v="569"/>
    <n v="138.31"/>
    <x v="0"/>
    <x v="0"/>
    <m/>
    <s v="ORD-2024-10215"/>
    <s v="17-03-24"/>
    <s v="23-03-24"/>
    <s v="CUST-1301"/>
    <s v="Rahul Verma"/>
    <s v="Consumer"/>
    <s v="North"/>
    <s v="Haryana"/>
    <s v="Gurugram"/>
    <s v="Technology"/>
    <s v="Accessories"/>
    <s v="Classic Accessories 757"/>
    <s v="First Class"/>
    <s v="anomaly"/>
    <n v="6"/>
    <n v="0.05"/>
    <x v="207"/>
    <x v="207"/>
    <n v="0.19554709159876885"/>
    <s v="17-03-24"/>
    <s v="23-03-24"/>
    <s v="March"/>
    <s v="2024"/>
    <s v=" "/>
    <n v="6"/>
    <s v="Unique"/>
  </r>
  <r>
    <s v="ORD-2024-10216"/>
    <s v="01-03-2024"/>
    <s v="2024-03-04"/>
    <s v="CUST-8603"/>
    <s v="Mira Das"/>
    <s v="Consumer"/>
    <x v="3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x v="0"/>
    <x v="0"/>
    <m/>
    <s v="ORD-2024-10216"/>
    <s v="01-03-24"/>
    <s v="04-03-24"/>
    <s v="CUST-8603"/>
    <s v="Mira Das"/>
    <s v="Consumer"/>
    <s v="West"/>
    <s v="Madhya Pradesh"/>
    <s v="Indore"/>
    <s v="Office Supplies"/>
    <s v="Paper"/>
    <s v="Prime Paper 286"/>
    <s v="First Class"/>
    <s v="anomaly"/>
    <n v="3"/>
    <n v="0.25"/>
    <x v="208"/>
    <x v="208"/>
    <n v="0.43188389957531853"/>
    <s v="01-03-24"/>
    <s v="04-03-24"/>
    <s v="March"/>
    <s v="2024"/>
    <s v=" "/>
    <n v="3"/>
    <s v="Unique"/>
  </r>
  <r>
    <s v="ORD-2025-10217"/>
    <s v="04/10/2025"/>
    <s v="15 Apr 2025"/>
    <s v="CUST-4330"/>
    <s v="Isha Nair"/>
    <s v="Consumer"/>
    <x v="3"/>
    <s v="Gujarat"/>
    <s v="Ahmedabad"/>
    <s v="Furniture"/>
    <s v="Tables"/>
    <s v="Basic Tables 400"/>
    <s v="Standard Class"/>
    <n v="8"/>
    <n v="1839.87"/>
    <n v="0.25"/>
    <n v="11039.22"/>
    <n v="7642.91"/>
    <n v="3396.31"/>
    <x v="3"/>
    <x v="2"/>
    <m/>
    <s v="ORD-2025-10217"/>
    <s v="04-10-25"/>
    <s v="15-04-25"/>
    <s v="CUST-4330"/>
    <s v="Isha Nair"/>
    <s v="Consumer"/>
    <s v="West"/>
    <s v="Gujarat"/>
    <s v="Ahmedabad"/>
    <s v="Furniture"/>
    <s v="Tables"/>
    <s v="Basic Tables 400"/>
    <s v="Standard Class"/>
    <s v="anomaly"/>
    <n v="-172"/>
    <n v="0.25"/>
    <x v="209"/>
    <x v="209"/>
    <n v="0.30765851210502188"/>
    <s v="04-10-25"/>
    <s v="15-04-25"/>
    <s v="October"/>
    <s v="2025"/>
    <s v=" "/>
    <n v="-172"/>
    <s v="Unique"/>
  </r>
  <r>
    <s v="ORD-2025-10218"/>
    <s v="01-04-2025"/>
    <s v="04/08/2025"/>
    <s v="CUST-4533"/>
    <s v="Aditi Sen"/>
    <s v="Consumer"/>
    <x v="1"/>
    <s v="Odisha"/>
    <s v="Bhubaneswar"/>
    <s v="Furniture"/>
    <s v="Bookcases"/>
    <s v="Basic Bookcases 405"/>
    <s v="Second Class"/>
    <n v="5"/>
    <n v="1021.28"/>
    <n v="0.1"/>
    <n v="4595.76"/>
    <n v="3396.8"/>
    <n v="1198.96"/>
    <x v="1"/>
    <x v="1"/>
    <m/>
    <s v="ORD-2025-10218"/>
    <s v="01-04-25"/>
    <s v="04-08-25"/>
    <s v="CUST-4533"/>
    <s v="Aditi Sen"/>
    <s v="Consumer"/>
    <s v="East"/>
    <s v="Odisha"/>
    <s v="Bhubaneswar"/>
    <s v="Furniture"/>
    <s v="Bookcases"/>
    <s v="Basic Bookcases 405"/>
    <s v="Second Class"/>
    <s v="anomaly"/>
    <n v="125"/>
    <n v="0.1"/>
    <x v="210"/>
    <x v="210"/>
    <n v="0.26088394520166414"/>
    <s v="01-04-25"/>
    <s v="04-08-25"/>
    <s v="April"/>
    <s v="2025"/>
    <s v=" "/>
    <n v="125"/>
    <s v="Unique"/>
  </r>
  <r>
    <s v="ORD-2025-10219"/>
    <s v="26 Feb 2025"/>
    <s v="27-02-2025"/>
    <s v="CUST-8270"/>
    <s v="Priya Menon"/>
    <s v="Corporate"/>
    <x v="3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x v="0"/>
    <x v="0"/>
    <m/>
    <s v="ORD-2025-10219"/>
    <s v="26-02-25"/>
    <s v="27-02-25"/>
    <s v="CUST-8270"/>
    <s v="Priya Menon"/>
    <s v="Corporate"/>
    <s v="West"/>
    <s v="Gujarat"/>
    <s v="Ahmedabad"/>
    <s v="Furniture"/>
    <s v="Bookcases"/>
    <s v="Classic Bookcases 139"/>
    <s v="Standard Class"/>
    <s v="anomaly"/>
    <n v="1"/>
    <n v="0"/>
    <x v="211"/>
    <x v="211"/>
    <n v="0.41386866966083319"/>
    <s v="26-02-25"/>
    <s v="27-02-25"/>
    <s v="February"/>
    <s v="2025"/>
    <s v=" "/>
    <n v="1"/>
    <s v="Unique"/>
  </r>
  <r>
    <s v="ORD-2024-10220"/>
    <s v="2024-06-18"/>
    <s v="06/19/2024"/>
    <s v="CUST-1472"/>
    <s v="Rahul Verma"/>
    <s v="Consumer"/>
    <x v="1"/>
    <s v="Bihar"/>
    <s v="Patna"/>
    <s v="Technology"/>
    <s v="Machines"/>
    <s v="Elite Machines 290"/>
    <s v="First Class"/>
    <n v="2"/>
    <n v="121.49"/>
    <s v="invalid"/>
    <n v="242.98"/>
    <n v="161.41999999999999"/>
    <n v="81.56"/>
    <x v="0"/>
    <x v="0"/>
    <m/>
    <s v="ORD-2024-10220"/>
    <s v="18-06-24"/>
    <s v="invalid date"/>
    <s v="CUST-1472"/>
    <s v="Rahul Verma"/>
    <s v="Consumer"/>
    <s v="East"/>
    <s v="Bihar"/>
    <s v="Patna"/>
    <s v="Technology"/>
    <s v="Machines"/>
    <s v="Elite Machines 290"/>
    <s v="First Class"/>
    <s v="Invalid"/>
    <s v="invalid date"/>
    <s v="invalid"/>
    <x v="2"/>
    <x v="2"/>
    <s v="NA"/>
    <s v="18-06-24"/>
    <s v="invalid date"/>
    <s v="June"/>
    <s v="2024"/>
    <s v="Invalid"/>
    <s v="invalid date"/>
    <s v="Unique"/>
  </r>
  <r>
    <s v="ORD-2024-10221"/>
    <s v="09/03/2024"/>
    <s v="09/03/2024"/>
    <s v="CUST-1031"/>
    <s v="Sneha Kapoor"/>
    <s v="Consumer"/>
    <x v="2"/>
    <s v="Kerala"/>
    <s v="Kochi"/>
    <s v="Office Supplies"/>
    <s v="Storage"/>
    <s v="Elite Storage 925"/>
    <s v="First Class"/>
    <n v="4"/>
    <n v="2810.17"/>
    <n v="0.15"/>
    <n v="9554.58"/>
    <n v="6068.47"/>
    <n v="3486.11"/>
    <x v="1"/>
    <x v="1"/>
    <m/>
    <s v="ORD-2024-10221"/>
    <s v="09-03-24"/>
    <s v="09-03-24"/>
    <s v="CUST-1031"/>
    <s v="Sneha Kapoor"/>
    <s v="Consumer"/>
    <s v="South"/>
    <s v="Kerala"/>
    <s v="Kochi"/>
    <s v="Office Supplies"/>
    <s v="Storage"/>
    <s v="Elite Storage 925"/>
    <s v="First Class"/>
    <s v="  "/>
    <n v="0"/>
    <n v="0.15"/>
    <x v="212"/>
    <x v="212"/>
    <n v="0.36486258210462036"/>
    <s v="09-03-24"/>
    <s v="09-03-24"/>
    <s v="March"/>
    <s v="2024"/>
    <s v=" "/>
    <n v="0"/>
    <s v="Unique"/>
  </r>
  <r>
    <s v="ORD-2025-10222"/>
    <s v="12-01-2025"/>
    <s v="2025-01-15"/>
    <s v="CUST-2495"/>
    <s v="Mira Das"/>
    <s v="Corporate"/>
    <x v="2"/>
    <s v="Karnataka"/>
    <s v="Bengaluru"/>
    <s v="Furniture"/>
    <s v="Chairs"/>
    <s v="Classic Chairs 231"/>
    <s v="Same Day"/>
    <n v="4"/>
    <n v="1531.53"/>
    <n v="0.2"/>
    <n v="4900.8999999999996"/>
    <n v="3552.69"/>
    <n v="1348.21"/>
    <x v="0"/>
    <x v="0"/>
    <m/>
    <s v="ORD-2025-10222"/>
    <s v="12-01-25"/>
    <s v="15-01-25"/>
    <s v="CUST-2495"/>
    <s v="Mira Das"/>
    <s v="Corporate"/>
    <s v="South"/>
    <s v="Karnataka"/>
    <s v="Bengaluru"/>
    <s v="Furniture"/>
    <s v="Chairs"/>
    <s v="Classic Chairs 231"/>
    <s v="Same Day"/>
    <s v="anomaly"/>
    <n v="3"/>
    <n v="0.2"/>
    <x v="213"/>
    <x v="213"/>
    <n v="0.27509377877024932"/>
    <s v="12-01-25"/>
    <s v="15-01-25"/>
    <s v="January"/>
    <s v="2025"/>
    <s v=" "/>
    <n v="3"/>
    <s v="Unique"/>
  </r>
  <r>
    <s v="ORD-2025-10223"/>
    <s v="04/29/2025"/>
    <s v="02 May 2025"/>
    <s v="CUST-4583"/>
    <s v="Vikram Iyer"/>
    <s v="Small Business"/>
    <x v="3"/>
    <s v="Goa"/>
    <s v="Panaji"/>
    <s v="Office Supplies"/>
    <s v="Storage"/>
    <s v="Prime Storage 818"/>
    <s v="First Class"/>
    <n v="6"/>
    <n v="4308.09"/>
    <n v="0"/>
    <n v="25848.54"/>
    <n v="17729.09"/>
    <n v="8119.45"/>
    <x v="0"/>
    <x v="0"/>
    <m/>
    <s v="ORD-2025-10223"/>
    <s v="invalid date"/>
    <s v="02-05-25"/>
    <s v="CUST-4583"/>
    <s v="Vikram Iyer"/>
    <s v="Small Business"/>
    <s v="West"/>
    <s v="Goa"/>
    <s v="Panaji"/>
    <s v="Office Supplies"/>
    <s v="Storage"/>
    <s v="Prime Storage 818"/>
    <s v="First Class"/>
    <s v="Invalid"/>
    <s v="invalid date"/>
    <n v="0"/>
    <x v="214"/>
    <x v="214"/>
    <n v="0.31411638723115504"/>
    <s v="invalid date"/>
    <s v="02-05-25"/>
    <s v="invalid date"/>
    <s v="invalid date"/>
    <s v="Invalid"/>
    <s v="invalid date"/>
    <s v="Unique"/>
  </r>
  <r>
    <s v="ORD-2025-10224"/>
    <s v="19-02-2025"/>
    <s v="02/26/2025"/>
    <s v="CUST-5319"/>
    <s v="Mira Das"/>
    <s v="Corporate"/>
    <x v="3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x v="2"/>
    <x v="2"/>
    <m/>
    <s v="ORD-2025-10224"/>
    <s v="19-02-25"/>
    <s v="invalid date"/>
    <s v="CUST-5319"/>
    <s v="Mira Das"/>
    <s v="Corporate"/>
    <s v="West"/>
    <s v="Maharashtra"/>
    <s v="Mumbai"/>
    <s v="Furniture"/>
    <s v="Furnishings"/>
    <s v="Elite Furnishings 449"/>
    <s v="First Class"/>
    <s v="Invalid"/>
    <s v="invalid date"/>
    <n v="0.2"/>
    <x v="215"/>
    <x v="215"/>
    <n v="0.44393738527432181"/>
    <s v="19-02-25"/>
    <s v="invalid date"/>
    <s v="February"/>
    <s v="2025"/>
    <s v="Invalid"/>
    <s v="invalid date"/>
    <s v="Unique"/>
  </r>
  <r>
    <s v="ORD-2025-10225"/>
    <s v="10/02/2025"/>
    <s v="08 Oct 2025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11833.92"/>
    <n v="6682.92"/>
    <n v="5151"/>
    <x v="0"/>
    <x v="1"/>
    <m/>
    <s v="ORD-2025-10225"/>
    <s v="10-02-25"/>
    <s v="08-10-25"/>
    <s v="CUST-9871"/>
    <s v="Isha Nair"/>
    <s v="Small Business"/>
    <s v="North"/>
    <s v="Punjab"/>
    <s v="Ludhiana"/>
    <s v="Furniture"/>
    <s v="Furnishings"/>
    <s v="Classic Furnishings 109"/>
    <s v="Standard Class"/>
    <s v="  "/>
    <n v="240"/>
    <n v="0.25"/>
    <x v="216"/>
    <x v="216"/>
    <n v="0.43527419485681834"/>
    <s v="10-02-25"/>
    <s v="08-10-25"/>
    <s v="February"/>
    <s v="2025"/>
    <s v="anomaly"/>
    <n v="240"/>
    <s v="Unique"/>
  </r>
  <r>
    <s v="ORD-2024-10226"/>
    <s v="02 Sep 2024"/>
    <s v="2024-09-10"/>
    <s v="CUST-1266"/>
    <s v="Mira Das"/>
    <s v="Corporate"/>
    <x v="3"/>
    <s v="Goa"/>
    <s v="Panaji"/>
    <s v="Technology"/>
    <s v="Phones"/>
    <s v="Classic Phones 548"/>
    <s v="Standard Class"/>
    <n v="6"/>
    <n v="1032.47"/>
    <n v="0.15"/>
    <n v="5265.6"/>
    <n v="4293.1099999999997"/>
    <n v="787.57"/>
    <x v="0"/>
    <x v="0"/>
    <m/>
    <s v="ORD-2024-10226"/>
    <s v="02-09-24"/>
    <s v="10-09-24"/>
    <s v="CUST-1266"/>
    <s v="Mira Das"/>
    <s v="Corporate"/>
    <s v="West"/>
    <s v="Goa"/>
    <s v="Panaji"/>
    <s v="Technology"/>
    <s v="Phones"/>
    <s v="Classic Phones 548"/>
    <s v="Standard Class"/>
    <s v="anomaly"/>
    <n v="8"/>
    <n v="0.15"/>
    <x v="217"/>
    <x v="217"/>
    <n v="0.18468694053114967"/>
    <s v="02-09-24"/>
    <s v="10-09-24"/>
    <s v="September"/>
    <s v="2024"/>
    <s v=" "/>
    <n v="8"/>
    <s v="Unique"/>
  </r>
  <r>
    <s v="ORD-2025-10227"/>
    <s v="10-04-2025"/>
    <s v="15 Apr 2025"/>
    <s v="CUST-2545"/>
    <s v="Diya Patel"/>
    <s v="Home Office"/>
    <x v="4"/>
    <s v="Kerala"/>
    <s v="Kochi"/>
    <s v="Technology"/>
    <s v="Copiers"/>
    <s v="Max Copiers 363"/>
    <s v="Same Day"/>
    <n v="1"/>
    <n v="2208.27"/>
    <n v="0.1"/>
    <n v="1987.44"/>
    <n v="1110.23"/>
    <n v="877.21"/>
    <x v="0"/>
    <x v="0"/>
    <m/>
    <s v="ORD-2025-10227"/>
    <s v="10-04-25"/>
    <s v="15-04-25"/>
    <s v="CUST-2545"/>
    <s v="Diya Patel"/>
    <s v="Home Office"/>
    <s v="unknown"/>
    <s v="Kerala"/>
    <s v="Kochi"/>
    <s v="Technology"/>
    <s v="Copiers"/>
    <s v="Max Copiers 363"/>
    <s v="Same Day"/>
    <s v="anomaly"/>
    <n v="5"/>
    <n v="0.1"/>
    <x v="218"/>
    <x v="218"/>
    <n v="0.44137768982556985"/>
    <s v="10-04-25"/>
    <s v="15-04-25"/>
    <s v="April"/>
    <s v="2025"/>
    <s v=" "/>
    <n v="5"/>
    <s v="Unique"/>
  </r>
  <r>
    <s v="ORD-2024-10228"/>
    <s v="2024-07-05"/>
    <s v="12 Jul 2024"/>
    <s v="CUST-2819"/>
    <s v="Ananya Rao"/>
    <s v="Small Business"/>
    <x v="3"/>
    <s v="Goa"/>
    <s v="Panaji"/>
    <s v="Office Supplies"/>
    <s v="Binders"/>
    <s v="Prime Binders 507"/>
    <s v="First Class"/>
    <n v="3"/>
    <n v="577.75"/>
    <n v="0.15"/>
    <n v="1473.26"/>
    <n v="899.86"/>
    <n v="573.4"/>
    <x v="0"/>
    <x v="0"/>
    <m/>
    <s v="ORD-2024-10228"/>
    <s v="05-07-24"/>
    <s v="12-07-24"/>
    <s v="CUST-2819"/>
    <s v="Ananya Rao"/>
    <s v="Small Business"/>
    <s v="West"/>
    <s v="Goa"/>
    <s v="Panaji"/>
    <s v="Office Supplies"/>
    <s v="Binders"/>
    <s v="Prime Binders 507"/>
    <s v="First Class"/>
    <s v="anomaly"/>
    <n v="7"/>
    <n v="0.15"/>
    <x v="219"/>
    <x v="219"/>
    <n v="0.38920592901808065"/>
    <s v="05-07-24"/>
    <s v="12-07-24"/>
    <s v="July"/>
    <s v="2024"/>
    <s v=" "/>
    <n v="7"/>
    <s v="Unique"/>
  </r>
  <r>
    <s v="ORD-2024-10229"/>
    <s v="24-04-2024"/>
    <s v="28 Apr 2024"/>
    <s v="CUST-1076"/>
    <s v="Karan Malhotra"/>
    <s v="Small Business"/>
    <x v="2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x v="0"/>
    <x v="0"/>
    <m/>
    <s v="ORD-2024-10229"/>
    <s v="24-04-24"/>
    <s v="28-04-24"/>
    <s v="CUST-1076"/>
    <s v="Karan Malhotra"/>
    <s v="Small Business"/>
    <s v="South"/>
    <s v="Telangana"/>
    <s v="Hyderabad"/>
    <s v="Office Supplies"/>
    <s v="Labels"/>
    <s v="Smart Labels 914"/>
    <s v="Second Class"/>
    <s v="anomaly"/>
    <n v="4"/>
    <n v="0.15"/>
    <x v="220"/>
    <x v="220"/>
    <n v="0.42857184948003191"/>
    <s v="24-04-24"/>
    <s v="28-04-24"/>
    <s v="April"/>
    <s v="2024"/>
    <s v=" "/>
    <n v="4"/>
    <s v="Unique"/>
  </r>
  <r>
    <s v="ORD-2025-10230"/>
    <s v="2025-06-28"/>
    <s v="07/04/2025"/>
    <s v="CUST-1943"/>
    <s v="Rohan Mehta"/>
    <s v="Consumer"/>
    <x v="2"/>
    <s v="Telangana"/>
    <s v="Hyderabad"/>
    <s v="Furniture"/>
    <s v="Bookcases"/>
    <s v="Smart Bookcases 662"/>
    <s v="First Class"/>
    <n v="3"/>
    <n v="2886.23"/>
    <n v="0"/>
    <n v="8658.69"/>
    <n v="5535.94"/>
    <n v="3122.75"/>
    <x v="1"/>
    <x v="2"/>
    <m/>
    <s v="ORD-2025-10230"/>
    <s v="28-06-25"/>
    <s v="07-04-25"/>
    <s v="CUST-1943"/>
    <s v="Rohan Mehta"/>
    <s v="Consumer"/>
    <s v="South"/>
    <s v="Telangana"/>
    <s v="Hyderabad"/>
    <s v="Furniture"/>
    <s v="Bookcases"/>
    <s v="Smart Bookcases 662"/>
    <s v="First Class"/>
    <s v="  "/>
    <n v="-82"/>
    <n v="0"/>
    <x v="221"/>
    <x v="221"/>
    <n v="0.36064924370776652"/>
    <s v="28-06-25"/>
    <s v="07-04-25"/>
    <s v="June"/>
    <s v="2025"/>
    <s v="anomaly"/>
    <n v="-82"/>
    <s v="Unique"/>
  </r>
  <r>
    <s v="ORD-2024-10231"/>
    <s v="28-05-2024"/>
    <s v="03-06-2024"/>
    <s v="CUST-3434"/>
    <s v="Neha Gupta"/>
    <s v="Small Business"/>
    <x v="0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x v="0"/>
    <x v="0"/>
    <m/>
    <s v="ORD-2024-10231"/>
    <s v="28-05-24"/>
    <s v="03-06-24"/>
    <s v="CUST-3434"/>
    <s v="Neha Gupta"/>
    <s v="Small Business"/>
    <s v="North"/>
    <s v="Rajasthan"/>
    <s v="Jaipur"/>
    <s v="Office Supplies"/>
    <s v="Paper"/>
    <s v="Eco Paper 937"/>
    <s v="Standard Class"/>
    <s v="  "/>
    <n v="6"/>
    <n v="0.1"/>
    <x v="222"/>
    <x v="222"/>
    <n v="0.20282684734944958"/>
    <s v="28-05-24"/>
    <s v="03-06-24"/>
    <s v="May"/>
    <s v="2024"/>
    <s v="anomaly"/>
    <n v="6"/>
    <s v="Unique"/>
  </r>
  <r>
    <s v="ORD-2024-10232"/>
    <s v="2024-05-02"/>
    <s v="05/02/2024"/>
    <s v="CUST-9139"/>
    <s v="Ananya Rao"/>
    <s v="Corporate"/>
    <x v="0"/>
    <s v="Rajasthan"/>
    <s v="Jaipur"/>
    <s v="Office  Supplies"/>
    <s v="Labels"/>
    <s v="Max Labels 370"/>
    <s v="First Class"/>
    <n v="7"/>
    <n v="2183.38"/>
    <n v="0.25"/>
    <n v="11462.74"/>
    <n v="7163.54"/>
    <n v="4299.2"/>
    <x v="1"/>
    <x v="1"/>
    <m/>
    <s v="ORD-2024-10232"/>
    <s v="02-05-24"/>
    <s v="05-02-24"/>
    <s v="CUST-9139"/>
    <s v="Ananya Rao"/>
    <s v="Corporate"/>
    <s v="North"/>
    <s v="Rajasthan"/>
    <s v="Jaipur"/>
    <s v="Office Supplies"/>
    <s v="Labels"/>
    <s v="Max Labels 370"/>
    <s v="First Class"/>
    <s v="anomaly"/>
    <n v="-87"/>
    <n v="0.25"/>
    <x v="223"/>
    <x v="223"/>
    <n v="0.37505894094302888"/>
    <s v="02-05-24"/>
    <s v="05-02-24"/>
    <s v="May"/>
    <s v="2024"/>
    <s v=" "/>
    <n v="-87"/>
    <s v="Unique"/>
  </r>
  <r>
    <s v="ORD-2025-10233"/>
    <s v="2025-06-04"/>
    <s v="2025-06-10"/>
    <s v="CUST-5341"/>
    <s v="Rahul Verma"/>
    <s v="Consumer"/>
    <x v="2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x v="0"/>
    <x v="0"/>
    <m/>
    <s v="ORD-2025-10233"/>
    <s v="04-06-25"/>
    <s v="10-06-25"/>
    <s v="CUST-5341"/>
    <s v="Rahul Verma"/>
    <s v="Consumer"/>
    <s v="South"/>
    <s v="Andhra Pradesh"/>
    <s v="Vijayawada"/>
    <s v="Technology"/>
    <s v="Phones"/>
    <s v="Classic Phones 530"/>
    <s v="Standard Class"/>
    <s v="anomaly"/>
    <n v="6"/>
    <n v="0.25"/>
    <x v="224"/>
    <x v="224"/>
    <n v="0.16495799197146732"/>
    <s v="04-06-25"/>
    <s v="10-06-25"/>
    <s v="June"/>
    <s v="2025"/>
    <s v=" "/>
    <n v="6"/>
    <s v="Unique"/>
  </r>
  <r>
    <s v="ORD-2024-10234"/>
    <s v="14-10-2024"/>
    <s v="10/14/2024"/>
    <s v="CUST-3710"/>
    <s v="Vikram Iyer"/>
    <s v="Corporate"/>
    <x v="2"/>
    <s v="Karnataka"/>
    <s v="Bengaluru"/>
    <s v="Furniture"/>
    <s v="Bookcases"/>
    <s v="Smart Bookcases 328"/>
    <m/>
    <n v="8"/>
    <n v="3904.59"/>
    <n v="0"/>
    <n v="31236.720000000001"/>
    <n v="26377.7"/>
    <n v="4859.0200000000004"/>
    <x v="0"/>
    <x v="0"/>
    <m/>
    <s v="ORD-2024-10234"/>
    <s v="14-10-24"/>
    <s v="invalid date"/>
    <s v="CUST-3710"/>
    <s v="Vikram Iyer"/>
    <s v="Corporate"/>
    <s v="South"/>
    <s v="Karnataka"/>
    <s v="Bengaluru"/>
    <s v="Furniture"/>
    <s v="Bookcases"/>
    <s v="Smart Bookcases 328"/>
    <s v="unknown"/>
    <s v="Invalid"/>
    <s v="invalid date"/>
    <n v="0"/>
    <x v="225"/>
    <x v="225"/>
    <n v="0.15555474454424154"/>
    <s v="14-10-24"/>
    <s v="invalid date"/>
    <s v="October"/>
    <s v="2024"/>
    <s v="Invalid"/>
    <s v="invalid date"/>
    <s v="Unique"/>
  </r>
  <r>
    <s v="ORD-2024-10235"/>
    <s v="09/02/2024"/>
    <s v="03 Sep 2024"/>
    <s v="CUST-9754"/>
    <s v="Kabir Singh"/>
    <s v="Home Office"/>
    <x v="0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x v="0"/>
    <x v="0"/>
    <m/>
    <s v="ORD-2024-10235"/>
    <s v="09-02-24"/>
    <s v="03-09-24"/>
    <s v="CUST-9754"/>
    <s v="Kabir Singh"/>
    <s v="Home Office"/>
    <s v="North"/>
    <s v="Delhi"/>
    <s v="New Delhi"/>
    <s v="Furniture"/>
    <s v="Furnishings"/>
    <s v="Eco Furnishings 981"/>
    <s v="First Class"/>
    <s v="  "/>
    <n v="207"/>
    <n v="0.1"/>
    <x v="226"/>
    <x v="226"/>
    <n v="0.15521101734265058"/>
    <s v="09-02-24"/>
    <s v="03-09-24"/>
    <s v="February"/>
    <s v="2024"/>
    <s v="anomaly"/>
    <n v="207"/>
    <s v="Unique"/>
  </r>
  <r>
    <s v="ORD-2024-10236"/>
    <s v="11/02/2024"/>
    <s v="11/03/2024"/>
    <s v="CUST-6256"/>
    <s v="Rahul Verma"/>
    <s v="Small Business"/>
    <x v="3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x v="0"/>
    <x v="0"/>
    <m/>
    <s v="ORD-2024-10236"/>
    <s v="11-02-24"/>
    <s v="11-03-24"/>
    <s v="CUST-6256"/>
    <s v="Rahul Verma"/>
    <s v="Small Business"/>
    <s v="West"/>
    <s v="Rajasthan"/>
    <s v="Udaipur"/>
    <s v="Office Supplies"/>
    <s v="Storage"/>
    <s v="Basic Storage 195"/>
    <s v="Standard Class"/>
    <s v="anomaly"/>
    <n v="29"/>
    <n v="0.05"/>
    <x v="227"/>
    <x v="227"/>
    <n v="0.26802695300706603"/>
    <s v="11-02-24"/>
    <s v="11-03-24"/>
    <s v="February"/>
    <s v="2024"/>
    <s v=" "/>
    <n v="29"/>
    <s v="Unique"/>
  </r>
  <r>
    <s v="ORD-2024-10237"/>
    <s v="10/14/2024"/>
    <s v="21 Oct 2024"/>
    <s v="CUST-7113"/>
    <s v="Priya Menon"/>
    <s v="Corporate"/>
    <x v="0"/>
    <s v="Uttar Pradesh"/>
    <s v="Noida"/>
    <s v="Furniture"/>
    <s v="Bookcases"/>
    <s v="Elite Bookcases 907"/>
    <s v="First Class"/>
    <n v="6"/>
    <n v="4062.78"/>
    <n v="0"/>
    <n v="24376.68"/>
    <n v="18533.39"/>
    <n v="5843.29"/>
    <x v="0"/>
    <x v="0"/>
    <m/>
    <s v="ORD-2024-10237"/>
    <s v="invalid date"/>
    <s v="21-10-24"/>
    <s v="CUST-7113"/>
    <s v="Priya Menon"/>
    <s v="Corporate"/>
    <s v="North"/>
    <s v="Uttar Pradesh"/>
    <s v="Noida"/>
    <s v="Furniture"/>
    <s v="Bookcases"/>
    <s v="Elite Bookcases 907"/>
    <s v="First Class"/>
    <s v="Invalid"/>
    <s v="invalid date"/>
    <n v="0"/>
    <x v="228"/>
    <x v="228"/>
    <n v="0.23970819652224998"/>
    <s v="invalid date"/>
    <s v="21-10-24"/>
    <s v="invalid date"/>
    <s v="invalid date"/>
    <s v="Invalid"/>
    <s v="invalid date"/>
    <s v="Unique"/>
  </r>
  <r>
    <s v="ORD-2024-10238"/>
    <s v="2024-08-27"/>
    <s v="2024-08-27"/>
    <s v="CUST-3827"/>
    <s v="Mira Das"/>
    <s v="Consumer"/>
    <x v="0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x v="0"/>
    <x v="0"/>
    <m/>
    <s v="ORD-2024-10238"/>
    <s v="27-08-24"/>
    <s v="27-08-24"/>
    <s v="CUST-3827"/>
    <s v="Mira Das"/>
    <s v="Consumer"/>
    <s v="North"/>
    <s v="Haryana"/>
    <s v="Gurugram"/>
    <s v="Technology"/>
    <s v="Copiers"/>
    <s v="Smart Copiers 471"/>
    <s v="Standard Class"/>
    <s v="  "/>
    <n v="0"/>
    <n v="0"/>
    <x v="229"/>
    <x v="229"/>
    <n v="0.35607337157352181"/>
    <s v="27-08-24"/>
    <s v="27-08-24"/>
    <s v="August"/>
    <s v="2024"/>
    <s v=" "/>
    <n v="0"/>
    <s v="Unique"/>
  </r>
  <r>
    <s v="ORD-2024-10239"/>
    <s v="01/12/2024"/>
    <s v="01/17/2024"/>
    <s v="CUST-2375"/>
    <s v="Arjun Bose"/>
    <s v="Consumer"/>
    <x v="2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x v="0"/>
    <x v="0"/>
    <m/>
    <s v="ORD-2024-10239"/>
    <s v="01-12-24"/>
    <s v="invalid date"/>
    <s v="CUST-2375"/>
    <s v="Arjun Bose"/>
    <s v="Consumer"/>
    <s v="South"/>
    <s v="Andhra Pradesh"/>
    <s v="Vijayawada"/>
    <s v="Office Supplies"/>
    <s v="Storage"/>
    <s v="Prime Storage 625"/>
    <s v="First Class"/>
    <s v="Invalid"/>
    <s v="invalid date"/>
    <s v="invalid"/>
    <x v="2"/>
    <x v="2"/>
    <s v="NA"/>
    <s v="01-12-24"/>
    <s v="invalid date"/>
    <s v="December"/>
    <s v="2024"/>
    <s v="Invalid"/>
    <s v="invalid date"/>
    <s v="Unique"/>
  </r>
  <r>
    <s v="ORD-2024-10240"/>
    <s v="21-09-2024"/>
    <s v="09/21/2024"/>
    <s v="CUST-2233"/>
    <s v="Kabir Singh"/>
    <s v="Corporate"/>
    <x v="2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x v="0"/>
    <x v="0"/>
    <m/>
    <s v="ORD-2024-10240"/>
    <s v="21-09-24"/>
    <s v="invalid date"/>
    <s v="CUST-2233"/>
    <s v="Kabir Singh"/>
    <s v="Corporate"/>
    <s v="South"/>
    <s v="Karnataka"/>
    <s v="Bengaluru"/>
    <s v="Technology"/>
    <s v="Machines"/>
    <s v="Smart Machines 801"/>
    <s v="First Class"/>
    <s v="Invalid"/>
    <s v="invalid date"/>
    <n v="0.2"/>
    <x v="230"/>
    <x v="230"/>
    <n v="0.273144061916472"/>
    <s v="21-09-24"/>
    <s v="invalid date"/>
    <s v="September"/>
    <s v="2024"/>
    <s v="Invalid"/>
    <s v="invalid date"/>
    <s v="Unique"/>
  </r>
  <r>
    <s v="ORD-2024-10241"/>
    <s v="17 Dec 2024"/>
    <s v="23-12-2024"/>
    <s v="CUST-9778"/>
    <s v="Aarav Sharma"/>
    <s v="Corporate"/>
    <x v="2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x v="0"/>
    <x v="0"/>
    <m/>
    <s v="ORD-2024-10241"/>
    <s v="17-12-24"/>
    <s v="23-12-24"/>
    <s v="CUST-9778"/>
    <s v="Aarav Sharma"/>
    <s v="Corporate"/>
    <s v="South"/>
    <s v="Telangana"/>
    <s v="Hyderabad"/>
    <s v="Office Supplies"/>
    <s v="Binders"/>
    <s v="Max Binders 170"/>
    <s v="First Class"/>
    <s v="anomaly"/>
    <n v="6"/>
    <n v="0"/>
    <x v="231"/>
    <x v="231"/>
    <n v="0.33152923559817421"/>
    <s v="17-12-24"/>
    <s v="23-12-24"/>
    <s v="December"/>
    <s v="2024"/>
    <s v=" "/>
    <n v="6"/>
    <s v="Unique"/>
  </r>
  <r>
    <s v="ORD-2025-10242"/>
    <s v="07/06/2025"/>
    <s v="06-07-2025"/>
    <s v="CUST-6949"/>
    <s v="Sneha Kapoor"/>
    <s v="Corporate"/>
    <x v="0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x v="2"/>
    <x v="2"/>
    <m/>
    <s v="ORD-2025-10242"/>
    <s v="07-06-25"/>
    <s v="06-07-25"/>
    <s v="CUST-6949"/>
    <s v="Sneha Kapoor"/>
    <s v="Corporate"/>
    <s v="North"/>
    <s v="Haryana"/>
    <s v="Gurugram"/>
    <s v="Office Supplies"/>
    <s v="Storage"/>
    <s v="Basic Storage 737"/>
    <s v="Standard Class"/>
    <s v="  "/>
    <n v="29"/>
    <n v="0.25"/>
    <x v="232"/>
    <x v="232"/>
    <n v="0.4306867837414462"/>
    <s v="07-06-25"/>
    <s v="06-07-25"/>
    <s v="June"/>
    <s v="2025"/>
    <s v="anomaly"/>
    <n v="29"/>
    <s v="Unique"/>
  </r>
  <r>
    <s v="ORD-2025-10243"/>
    <s v="07 Feb 2025"/>
    <s v="2025-02-07"/>
    <s v="CUST-3430"/>
    <s v="Arjun Bose"/>
    <s v="Consumer"/>
    <x v="0"/>
    <s v="Uttar Pradesh"/>
    <s v="Noida"/>
    <s v="Office Supplies"/>
    <s v="Art"/>
    <s v="Classic Art 126"/>
    <s v="Second Class"/>
    <n v="3"/>
    <n v="1999.24"/>
    <n v="0.05"/>
    <n v="5697.83"/>
    <n v="4251.5"/>
    <n v="1446.33"/>
    <x v="0"/>
    <x v="0"/>
    <m/>
    <s v="ORD-2025-10243"/>
    <s v="07-02-25"/>
    <s v="07-02-25"/>
    <s v="CUST-3430"/>
    <s v="Arjun Bose"/>
    <s v="Consumer"/>
    <s v="North"/>
    <s v="Uttar Pradesh"/>
    <s v="Noida"/>
    <s v="Office Supplies"/>
    <s v="Art"/>
    <s v="Classic Art 126"/>
    <s v="Second Class"/>
    <s v="  "/>
    <n v="0"/>
    <n v="0.05"/>
    <x v="233"/>
    <x v="233"/>
    <n v="0.25383926593860051"/>
    <s v="07-02-25"/>
    <s v="07-02-25"/>
    <s v="February"/>
    <s v="2025"/>
    <s v=" "/>
    <n v="0"/>
    <s v="Unique"/>
  </r>
  <r>
    <s v="ORD-2025-10244"/>
    <s v="29-07-2025"/>
    <s v="02 Aug 2025"/>
    <s v="CUST-6310"/>
    <s v="Sneha Kapoor"/>
    <s v="Small Business"/>
    <x v="4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x v="0"/>
    <x v="0"/>
    <m/>
    <s v="ORD-2025-10244"/>
    <s v="29-07-25"/>
    <s v="02-08-25"/>
    <s v="CUST-6310"/>
    <s v="Sneha Kapoor"/>
    <s v="Small Business"/>
    <s v="unknown"/>
    <s v="Madhya Pradesh"/>
    <s v="Indore"/>
    <s v="Technology"/>
    <s v="Accessories"/>
    <s v="Prime Accessories 243"/>
    <s v="First Class"/>
    <s v="  "/>
    <n v="4"/>
    <n v="0.1"/>
    <x v="234"/>
    <x v="234"/>
    <n v="0.38037008885510715"/>
    <s v="29-07-25"/>
    <s v="02-08-25"/>
    <s v="July"/>
    <s v="2025"/>
    <s v="anomaly"/>
    <n v="4"/>
    <s v="Unique"/>
  </r>
  <r>
    <s v="ORD-2024-10245"/>
    <s v="08/23/2024"/>
    <s v="2024-08-24"/>
    <s v="CUST-6008"/>
    <s v="Neha Gupta"/>
    <s v="Consumer"/>
    <x v="2"/>
    <s v="Telangana"/>
    <s v="Hyderabad"/>
    <s v="Furniture"/>
    <s v="Bookcases"/>
    <s v="Eco Bookcases 768"/>
    <s v="Same Day"/>
    <n v="6"/>
    <n v="1021.89"/>
    <n v="0"/>
    <n v="6131.34"/>
    <n v="4060.88"/>
    <n v="2070.46"/>
    <x v="0"/>
    <x v="0"/>
    <m/>
    <s v="ORD-2024-10245"/>
    <s v="invalid date"/>
    <s v="24-08-24"/>
    <s v="CUST-6008"/>
    <s v="Neha Gupta"/>
    <s v="Consumer"/>
    <s v="South"/>
    <s v="Telangana"/>
    <s v="Hyderabad"/>
    <s v="Furniture"/>
    <s v="Bookcases"/>
    <s v="Eco Bookcases 768"/>
    <s v="Same Day"/>
    <s v="Invalid"/>
    <s v="invalid date"/>
    <n v="0"/>
    <x v="235"/>
    <x v="235"/>
    <n v="0.33768474754295147"/>
    <s v="invalid date"/>
    <s v="24-08-24"/>
    <s v="invalid date"/>
    <s v="invalid date"/>
    <s v="Invalid"/>
    <s v="invalid date"/>
    <s v="Unique"/>
  </r>
  <r>
    <s v="ORD-2024-10246"/>
    <s v="10/18/2024"/>
    <s v="24-10-2024"/>
    <s v="CUST-1704"/>
    <s v="Neha Gupta"/>
    <s v="Home Office"/>
    <x v="2"/>
    <s v="Kerala"/>
    <s v="Kochi"/>
    <s v="Furniture"/>
    <s v="Chairs"/>
    <s v="Pro Chairs 316"/>
    <s v="Second Class"/>
    <n v="3"/>
    <n v="3275.93"/>
    <n v="0"/>
    <n v="9827.7900000000009"/>
    <n v="5478.28"/>
    <n v="4349.51"/>
    <x v="0"/>
    <x v="0"/>
    <m/>
    <s v="ORD-2024-10246"/>
    <s v="invalid date"/>
    <s v="24-10-24"/>
    <s v="CUST-1704"/>
    <s v="Neha Gupta"/>
    <s v="Home Office"/>
    <s v="South"/>
    <s v="Kerala"/>
    <s v="Kochi"/>
    <s v="Furniture"/>
    <s v="Chairs"/>
    <s v="Pro Chairs 316"/>
    <s v="Second Class"/>
    <s v="Invalid"/>
    <s v="invalid date"/>
    <n v="0"/>
    <x v="236"/>
    <x v="236"/>
    <n v="0.44257254174132737"/>
    <s v="invalid date"/>
    <s v="24-10-24"/>
    <s v="invalid date"/>
    <s v="invalid date"/>
    <s v="Invalid"/>
    <s v="invalid date"/>
    <s v="Unique"/>
  </r>
  <r>
    <s v="ORD-2024-10247"/>
    <s v="04 May 2024"/>
    <s v="09 May 2024"/>
    <s v="CUST-1827"/>
    <s v="Ananya Rao"/>
    <s v="Corporate"/>
    <x v="0"/>
    <s v="Punjab"/>
    <s v="Ludhiana"/>
    <s v="Technology"/>
    <s v="Machines"/>
    <s v="Classic Machines 819"/>
    <s v="Same Day"/>
    <n v="3"/>
    <n v="231.95"/>
    <n v="0.25"/>
    <n v="521.89"/>
    <n v="444.52"/>
    <n v="77.37"/>
    <x v="1"/>
    <x v="1"/>
    <m/>
    <s v="ORD-2024-10247"/>
    <s v="04-05-24"/>
    <s v="09-05-24"/>
    <s v="CUST-1827"/>
    <s v="Ananya Rao"/>
    <s v="Corporate"/>
    <s v="North"/>
    <s v="Punjab"/>
    <s v="Ludhiana"/>
    <s v="Technology"/>
    <s v="Machines"/>
    <s v="Classic Machines 819"/>
    <s v="Same Day"/>
    <s v="anomaly"/>
    <n v="5"/>
    <n v="0.25"/>
    <x v="237"/>
    <x v="237"/>
    <n v="0.14824555100476627"/>
    <s v="04-05-24"/>
    <s v="09-05-24"/>
    <s v="May"/>
    <s v="2024"/>
    <s v=" "/>
    <n v="5"/>
    <s v="Unique"/>
  </r>
  <r>
    <s v="ORD-2024-10248"/>
    <s v="07/25/2024"/>
    <s v="01 Aug 2024"/>
    <s v="CUST-6663"/>
    <s v="Rahul Verma"/>
    <s v="Corporate"/>
    <x v="0"/>
    <s v="Rajasthan"/>
    <s v="Jaipur"/>
    <s v="Technology"/>
    <s v="Accessories"/>
    <s v="Smart Accessories 572"/>
    <s v="Second Class"/>
    <n v="8"/>
    <n v="2493.4"/>
    <n v="0.25"/>
    <n v="14960.4"/>
    <n v="12500.84"/>
    <n v="2459.56"/>
    <x v="0"/>
    <x v="0"/>
    <m/>
    <s v="ORD-2024-10248"/>
    <s v="invalid date"/>
    <s v="01-08-24"/>
    <s v="CUST-6663"/>
    <s v="Rahul Verma"/>
    <s v="Corporate"/>
    <s v="North"/>
    <s v="Rajasthan"/>
    <s v="Jaipur"/>
    <s v="Technology"/>
    <s v="Accessories"/>
    <s v="Smart Accessories 572"/>
    <s v="Second Class"/>
    <s v="Invalid"/>
    <s v="invalid date"/>
    <n v="0.25"/>
    <x v="238"/>
    <x v="238"/>
    <n v="0.16440469506162944"/>
    <s v="invalid date"/>
    <s v="01-08-24"/>
    <s v="invalid date"/>
    <s v="invalid date"/>
    <s v="Invalid"/>
    <s v="invalid date"/>
    <s v="Unique"/>
  </r>
  <r>
    <s v="ORD-2024-10249"/>
    <s v="06/02/2024"/>
    <s v="07-06-2024"/>
    <s v="CUST-6278"/>
    <s v="Rohan Mehta"/>
    <s v="Home Office"/>
    <x v="1"/>
    <s v="Odisha"/>
    <s v="Bhubaneswar"/>
    <s v="Office Supplies"/>
    <s v="Labels"/>
    <s v="Basic Labels 432"/>
    <s v="Second Class"/>
    <n v="9"/>
    <n v="787.91"/>
    <n v="0.15"/>
    <n v="6027.51"/>
    <n v="4883.82"/>
    <n v="1143.69"/>
    <x v="0"/>
    <x v="0"/>
    <m/>
    <s v="ORD-2024-10249"/>
    <s v="06-02-24"/>
    <s v="07-06-24"/>
    <s v="CUST-6278"/>
    <s v="Rohan Mehta"/>
    <s v="Home Office"/>
    <s v="East"/>
    <s v="Odisha"/>
    <s v="Bhubaneswar"/>
    <s v="Office Supplies"/>
    <s v="Labels"/>
    <s v="Basic Labels 432"/>
    <s v="Second Class"/>
    <s v="anomaly"/>
    <n v="122"/>
    <n v="0.15"/>
    <x v="239"/>
    <x v="239"/>
    <n v="0.18974522072666306"/>
    <s v="06-02-24"/>
    <s v="07-06-24"/>
    <s v="February"/>
    <s v="2024"/>
    <s v=" "/>
    <n v="122"/>
    <s v="Unique"/>
  </r>
  <r>
    <s v="ORD-2025-10250"/>
    <s v="08/01/2025"/>
    <s v="08/02/2025"/>
    <s v="CUST-2305"/>
    <s v="Mira Das"/>
    <s v="Corporate"/>
    <x v="0"/>
    <s v="Rajasthan"/>
    <s v="Jaipur"/>
    <s v="Furniture"/>
    <s v="Furnishings"/>
    <s v="Classic Furnishings 378"/>
    <s v="First Class"/>
    <n v="4"/>
    <n v="2790.29"/>
    <n v="0.2"/>
    <n v="8928.93"/>
    <n v="5634.38"/>
    <n v="3294.55"/>
    <x v="0"/>
    <x v="0"/>
    <m/>
    <s v="ORD-2025-10250"/>
    <s v="08-01-25"/>
    <s v="08-02-25"/>
    <s v="CUST-2305"/>
    <s v="Mira Das"/>
    <s v="Corporate"/>
    <s v="North"/>
    <s v="Rajasthan"/>
    <s v="Jaipur"/>
    <s v="Furniture"/>
    <s v="Furnishings"/>
    <s v="Classic Furnishings 378"/>
    <s v="First Class"/>
    <s v="anomaly"/>
    <n v="31"/>
    <n v="0.2"/>
    <x v="240"/>
    <x v="240"/>
    <n v="0.36897464062875185"/>
    <s v="08-01-25"/>
    <s v="08-02-25"/>
    <s v="January"/>
    <s v="2025"/>
    <s v=" "/>
    <n v="31"/>
    <s v="Unique"/>
  </r>
  <r>
    <s v="ORD-2024-10251"/>
    <s v="02/21/2024"/>
    <s v="02/27/2024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x v="2"/>
    <x v="2"/>
    <m/>
    <s v="ORD-2024-10251"/>
    <s v="invalid date"/>
    <s v="invalid date"/>
    <s v="CUST-5351"/>
    <s v="Arjun Bose"/>
    <s v="Small Business"/>
    <s v="East"/>
    <s v="West Bengal"/>
    <s v="Kolkata"/>
    <s v="Furniture"/>
    <s v="Furnishings"/>
    <s v="Prime Furnishings 781"/>
    <s v="Standard Class"/>
    <s v="Invalid"/>
    <s v="invalid date"/>
    <n v="0.15"/>
    <x v="241"/>
    <x v="241"/>
    <n v="0.17025393501107647"/>
    <s v="invalid date"/>
    <s v="invalid date"/>
    <s v="invalid date"/>
    <s v="invalid date"/>
    <s v="Invalid"/>
    <s v="invalid date"/>
    <s v="Unique"/>
  </r>
  <r>
    <s v="ORD-2025-10252"/>
    <s v="2025-04-06"/>
    <s v="04/10/2025"/>
    <s v="CUST-6268"/>
    <s v="Ananya Rao"/>
    <s v="Corporate"/>
    <x v="3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x v="0"/>
    <x v="0"/>
    <m/>
    <s v="ORD-2025-10252"/>
    <s v="06-04-25"/>
    <s v="04-10-25"/>
    <s v="CUST-6268"/>
    <s v="Ananya Rao"/>
    <s v="Corporate"/>
    <s v="West"/>
    <s v="Gujarat"/>
    <s v="Ahmedabad"/>
    <s v="Furniture"/>
    <s v="Tables"/>
    <s v="Prime Tables 263"/>
    <s v="Second Class"/>
    <s v="  "/>
    <n v="181"/>
    <n v="0"/>
    <x v="242"/>
    <x v="242"/>
    <n v="0.20412003339333692"/>
    <s v="06-04-25"/>
    <s v="04-10-25"/>
    <s v="April"/>
    <s v="2025"/>
    <s v="anomaly"/>
    <n v="181"/>
    <s v="Unique"/>
  </r>
  <r>
    <s v="ORD-2025-10253"/>
    <s v="25-06-2025"/>
    <s v="2025-06-28"/>
    <s v="CUST-2103"/>
    <s v="Arjun Bose"/>
    <s v="Corporate"/>
    <x v="0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x v="2"/>
    <x v="2"/>
    <m/>
    <s v="ORD-2025-10253"/>
    <s v="25-06-25"/>
    <s v="28-06-25"/>
    <s v="CUST-2103"/>
    <s v="Arjun Bose"/>
    <s v="Corporate"/>
    <s v="North"/>
    <s v="Haryana"/>
    <s v="Gurugram"/>
    <s v="Office Supplies"/>
    <s v="Storage"/>
    <s v="Basic Storage 269"/>
    <s v="First Class"/>
    <s v="anomaly"/>
    <n v="3"/>
    <n v="0.2"/>
    <x v="243"/>
    <x v="243"/>
    <n v="0.31159507390515973"/>
    <s v="25-06-25"/>
    <s v="28-06-25"/>
    <s v="June"/>
    <s v="2025"/>
    <s v=" "/>
    <n v="3"/>
    <s v="Unique"/>
  </r>
  <r>
    <s v="ORD-2024-10254"/>
    <s v="2024-09-12"/>
    <s v="09/13/2024"/>
    <s v="CUST-5394"/>
    <s v="Priya Menon"/>
    <s v="Small Business"/>
    <x v="0"/>
    <s v="Rajasthan"/>
    <s v="Jaipur"/>
    <s v="Technology"/>
    <s v="Phones"/>
    <s v="Classic Phones 442"/>
    <s v="Same Day"/>
    <n v="6"/>
    <n v="832.79"/>
    <n v="0.05"/>
    <n v="4746.8999999999996"/>
    <n v="2825.38"/>
    <n v="1472.89"/>
    <x v="1"/>
    <x v="1"/>
    <m/>
    <s v="ORD-2024-10254"/>
    <s v="12-09-24"/>
    <s v="invalid date"/>
    <s v="CUST-5394"/>
    <s v="Priya Menon"/>
    <s v="Small Business"/>
    <s v="North"/>
    <s v="Rajasthan"/>
    <s v="Jaipur"/>
    <s v="Technology"/>
    <s v="Phones"/>
    <s v="Classic Phones 442"/>
    <s v="Same Day"/>
    <s v="Invalid"/>
    <s v="invalid date"/>
    <n v="0.05"/>
    <x v="244"/>
    <x v="244"/>
    <n v="0.40479508428969363"/>
    <s v="12-09-24"/>
    <s v="invalid date"/>
    <s v="September"/>
    <s v="2024"/>
    <s v="Invalid"/>
    <s v="invalid date"/>
    <s v="Unique"/>
  </r>
  <r>
    <s v="ORD-2025-10255"/>
    <s v="01/01/2025"/>
    <s v="03-01-2025"/>
    <s v="CUST-6853"/>
    <s v="Ananya Rao"/>
    <s v="Consumer"/>
    <x v="3"/>
    <s v="Madhya Pradesh"/>
    <s v="Indore"/>
    <s v="Technology"/>
    <s v="Accessories"/>
    <s v="Elite Accessories 978"/>
    <s v="Same Day"/>
    <n v="7"/>
    <n v="1000.55"/>
    <n v="0.2"/>
    <n v="5603.08"/>
    <n v="3132.52"/>
    <n v="2470.56"/>
    <x v="0"/>
    <x v="2"/>
    <m/>
    <s v="ORD-2025-10255"/>
    <s v="01-01-25"/>
    <s v="03-01-25"/>
    <s v="CUST-6853"/>
    <s v="Ananya Rao"/>
    <s v="Consumer"/>
    <s v="West"/>
    <s v="Madhya Pradesh"/>
    <s v="Indore"/>
    <s v="Technology"/>
    <s v="Accessories"/>
    <s v="Elite Accessories 978"/>
    <s v="Same Day"/>
    <s v="anomaly"/>
    <n v="2"/>
    <n v="0.2"/>
    <x v="245"/>
    <x v="245"/>
    <n v="0.44092891766671188"/>
    <s v="01-01-25"/>
    <s v="03-01-25"/>
    <s v="January"/>
    <s v="2025"/>
    <s v=" "/>
    <n v="2"/>
    <s v="Unique"/>
  </r>
  <r>
    <s v="ORD-2025-10256"/>
    <s v="2025-02-04"/>
    <s v="02/10/2025"/>
    <s v="CUST-1549"/>
    <s v="Isha Nair"/>
    <s v="Corporate"/>
    <x v="3"/>
    <s v="Maharashtra"/>
    <s v="Mumbai"/>
    <s v="Technology"/>
    <s v="Phones"/>
    <s v="Eco Phones 132"/>
    <s v="First Class"/>
    <n v="7"/>
    <n v="1830"/>
    <n v="0"/>
    <n v="12810"/>
    <n v="9334.1200000000008"/>
    <n v="3475.88"/>
    <x v="0"/>
    <x v="0"/>
    <m/>
    <s v="ORD-2025-10256"/>
    <s v="04-02-25"/>
    <s v="02-10-25"/>
    <s v="CUST-1549"/>
    <s v="Isha Nair"/>
    <s v="Corporate"/>
    <s v="West"/>
    <s v="Maharashtra"/>
    <s v="Mumbai"/>
    <s v="Technology"/>
    <s v="Phones"/>
    <s v="Eco Phones 132"/>
    <s v="First Class"/>
    <s v="  "/>
    <n v="240"/>
    <n v="0"/>
    <x v="246"/>
    <x v="246"/>
    <n v="0.27134113973458229"/>
    <s v="04-02-25"/>
    <s v="02-10-25"/>
    <s v="February"/>
    <s v="2025"/>
    <s v="anomaly"/>
    <n v="240"/>
    <s v="Unique"/>
  </r>
  <r>
    <s v="ORD-2024-10257"/>
    <s v="2024-11-05"/>
    <s v="03 Nov 2024"/>
    <s v="CUST-8411"/>
    <s v="Ananya Rao"/>
    <s v="Consumer"/>
    <x v="1"/>
    <s v="West Bengal"/>
    <s v="Kolkata"/>
    <s v="Furniture"/>
    <s v="Tables"/>
    <s v="Prime Tables 481"/>
    <s v="First Class"/>
    <n v="9"/>
    <n v="2260.61"/>
    <n v="0.05"/>
    <n v="19328.22"/>
    <n v="12039.5"/>
    <n v="7288.72"/>
    <x v="0"/>
    <x v="0"/>
    <m/>
    <s v="ORD-2024-10257"/>
    <s v="05-11-24"/>
    <s v="03-11-24"/>
    <s v="CUST-8411"/>
    <s v="Ananya Rao"/>
    <s v="Consumer"/>
    <s v="East"/>
    <s v="West Bengal"/>
    <s v="Kolkata"/>
    <s v="Furniture"/>
    <s v="Tables"/>
    <s v="Prime Tables 481"/>
    <s v="First Class"/>
    <s v="  "/>
    <n v="-2"/>
    <n v="0.05"/>
    <x v="247"/>
    <x v="247"/>
    <n v="0.3771023507058891"/>
    <s v="05-11-24"/>
    <s v="03-11-24"/>
    <s v="November"/>
    <s v="2024"/>
    <s v="anomaly"/>
    <n v="-2"/>
    <s v="Unique"/>
  </r>
  <r>
    <s v="ORD-2025-10258"/>
    <s v="2025-08-09"/>
    <s v="2025-08-12"/>
    <s v="CUST-5615"/>
    <s v="Diya Patel"/>
    <s v="Corporate"/>
    <x v="2"/>
    <s v="Karnataka"/>
    <s v="Bengaluru"/>
    <s v="Technology"/>
    <s v="Accessories"/>
    <s v="Smart Accessories 180"/>
    <s v="Second Class"/>
    <n v="2"/>
    <n v="3237.27"/>
    <n v="0"/>
    <n v="6474.54"/>
    <n v="5095.91"/>
    <n v="1378.63"/>
    <x v="0"/>
    <x v="1"/>
    <m/>
    <s v="ORD-2025-10258"/>
    <s v="09-08-25"/>
    <s v="12-08-25"/>
    <s v="CUST-5615"/>
    <s v="Diya Patel"/>
    <s v="Corporate"/>
    <s v="South"/>
    <s v="Karnataka"/>
    <s v="Bengaluru"/>
    <s v="Technology"/>
    <s v="Accessories"/>
    <s v="Smart Accessories 180"/>
    <s v="Second Class"/>
    <s v="anomaly"/>
    <n v="3"/>
    <n v="0"/>
    <x v="248"/>
    <x v="248"/>
    <n v="0.21293095725719513"/>
    <s v="09-08-25"/>
    <s v="12-08-25"/>
    <s v="August"/>
    <s v="2025"/>
    <s v=" "/>
    <n v="3"/>
    <s v="Unique"/>
  </r>
  <r>
    <s v="ORD-2024-10259"/>
    <s v="2024-12-30"/>
    <s v="2025-01-04"/>
    <s v="CUST-8467"/>
    <s v="Sneha Kapoor"/>
    <s v="Corporate"/>
    <x v="2"/>
    <s v="Tamil Nadu"/>
    <s v="Chennai"/>
    <s v="Furniture"/>
    <s v="Tables"/>
    <s v="Smart Tables 774"/>
    <s v="Same Day"/>
    <n v="2"/>
    <n v="3720.07"/>
    <n v="0.25"/>
    <n v="5580.11"/>
    <n v="4307.01"/>
    <n v="1273.0999999999999"/>
    <x v="0"/>
    <x v="0"/>
    <m/>
    <s v="ORD-2024-10259"/>
    <s v="30-12-24"/>
    <s v="04-01-25"/>
    <s v="CUST-8467"/>
    <s v="Sneha Kapoor"/>
    <s v="Corporate"/>
    <s v="South"/>
    <s v="Tamil Nadu"/>
    <s v="Chennai"/>
    <s v="Furniture"/>
    <s v="Tables"/>
    <s v="Smart Tables 774"/>
    <s v="Same Day"/>
    <s v="  "/>
    <n v="5"/>
    <n v="0.25"/>
    <x v="249"/>
    <x v="249"/>
    <n v="0.22814893268137429"/>
    <s v="30-12-24"/>
    <s v="04-01-25"/>
    <s v="December"/>
    <s v="2024"/>
    <s v="anomaly"/>
    <n v="5"/>
    <s v="Unique"/>
  </r>
  <r>
    <s v="ORD-2024-10260"/>
    <s v="06/21/2024"/>
    <s v="29 Jun 2024"/>
    <s v="CUST-5174"/>
    <s v="Neha Gupta"/>
    <s v="Consumer"/>
    <x v="2"/>
    <s v="Tamil Nadu"/>
    <s v="Chennai"/>
    <s v="Technology"/>
    <s v="Machines"/>
    <s v="Prime Machines 793"/>
    <s v="Standard Class"/>
    <n v="8"/>
    <n v="2853.92"/>
    <n v="0.2"/>
    <n v="18265.09"/>
    <n v="10437.14"/>
    <n v="7827.95"/>
    <x v="0"/>
    <x v="0"/>
    <m/>
    <s v="ORD-2024-10260"/>
    <s v="invalid date"/>
    <s v="29-06-24"/>
    <s v="CUST-5174"/>
    <s v="Neha Gupta"/>
    <s v="Consumer"/>
    <s v="South"/>
    <s v="Tamil Nadu"/>
    <s v="Chennai"/>
    <s v="Technology"/>
    <s v="Machines"/>
    <s v="Prime Machines 793"/>
    <s v="Standard Class"/>
    <s v="Invalid"/>
    <s v="invalid date"/>
    <n v="0.2"/>
    <x v="250"/>
    <x v="250"/>
    <n v="0.42857433810338064"/>
    <s v="invalid date"/>
    <s v="29-06-24"/>
    <s v="invalid date"/>
    <s v="invalid date"/>
    <s v="Invalid"/>
    <s v="invalid date"/>
    <s v="Unique"/>
  </r>
  <r>
    <s v="ORD-2025-10261"/>
    <s v="2025-09-23"/>
    <s v="09/27/2025"/>
    <s v="CUST-3543"/>
    <s v="Aditi Sen"/>
    <s v="Corporate"/>
    <x v="1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x v="3"/>
    <x v="2"/>
    <m/>
    <s v="ORD-2025-10261"/>
    <s v="23-09-25"/>
    <s v="invalid date"/>
    <s v="CUST-3543"/>
    <s v="Aditi Sen"/>
    <s v="Corporate"/>
    <s v="East"/>
    <s v="West Bengal"/>
    <s v="Kolkata"/>
    <s v="Office Supplies"/>
    <s v="Binders"/>
    <s v="Elite Binders 827"/>
    <s v="Same Day"/>
    <s v="Invalid"/>
    <s v="invalid date"/>
    <n v="0.25"/>
    <x v="251"/>
    <x v="251"/>
    <n v="0.28394241111698454"/>
    <s v="23-09-25"/>
    <s v="invalid date"/>
    <s v="September"/>
    <s v="2025"/>
    <s v="Invalid"/>
    <s v="invalid date"/>
    <s v="Unique"/>
  </r>
  <r>
    <s v="ORD-2025-10262"/>
    <s v="06/18/2025"/>
    <s v="06/24/2025"/>
    <s v="CUST-7623"/>
    <s v="Sneha Kapoor"/>
    <s v="Corporate"/>
    <x v="0"/>
    <s v="Rajasthan"/>
    <s v="Jaipur"/>
    <s v="Office Supplies"/>
    <s v="Labels"/>
    <s v="Prime Labels 326"/>
    <s v="Standard Class"/>
    <n v="3"/>
    <n v="686.74"/>
    <n v="0.2"/>
    <n v="1648.18"/>
    <n v="987.91"/>
    <n v="660.27"/>
    <x v="3"/>
    <x v="1"/>
    <m/>
    <s v="ORD-2025-10262"/>
    <s v="invalid date"/>
    <s v="invalid date"/>
    <s v="CUST-7623"/>
    <s v="Sneha Kapoor"/>
    <s v="Corporate"/>
    <s v="North"/>
    <s v="Rajasthan"/>
    <s v="Jaipur"/>
    <s v="Office Supplies"/>
    <s v="Labels"/>
    <s v="Prime Labels 326"/>
    <s v="Standard Class"/>
    <s v="Invalid"/>
    <s v="invalid date"/>
    <n v="0.2"/>
    <x v="252"/>
    <x v="252"/>
    <n v="0.40060406170214846"/>
    <s v="invalid date"/>
    <s v="invalid date"/>
    <s v="invalid date"/>
    <s v="invalid date"/>
    <s v="Invalid"/>
    <s v="invalid date"/>
    <s v="Unique"/>
  </r>
  <r>
    <s v="ORD-2025-10263"/>
    <s v="2025-05-26"/>
    <s v="01 Jun 2025"/>
    <s v="CUST-6153"/>
    <s v="Arjun Bose"/>
    <s v="Small Business"/>
    <x v="0"/>
    <s v="Delhi"/>
    <s v="New Delhi"/>
    <s v="Technology"/>
    <s v="Phones"/>
    <s v="Eco Phones 245"/>
    <s v="Same Day"/>
    <n v="4"/>
    <n v="3349.86"/>
    <n v="0"/>
    <n v="13399.44"/>
    <n v="8581.35"/>
    <n v="4818.09"/>
    <x v="2"/>
    <x v="2"/>
    <m/>
    <s v="ORD-2025-10263"/>
    <s v="26-05-25"/>
    <s v="01-06-25"/>
    <s v="CUST-6153"/>
    <s v="Arjun Bose"/>
    <s v="Small Business"/>
    <s v="North"/>
    <s v="Delhi"/>
    <s v="New Delhi"/>
    <s v="Technology"/>
    <s v="Phones"/>
    <s v="Eco Phones 245"/>
    <s v="Same Day"/>
    <s v="  "/>
    <n v="6"/>
    <n v="0"/>
    <x v="253"/>
    <x v="253"/>
    <n v="0.3595739821962709"/>
    <s v="26-05-25"/>
    <s v="01-06-25"/>
    <s v="May"/>
    <s v="2025"/>
    <s v="anomaly"/>
    <n v="6"/>
    <s v="Unique"/>
  </r>
  <r>
    <s v="ORD-2025-10264"/>
    <s v="06 Aug 2025"/>
    <s v="10-08-2025"/>
    <s v="CUST-8265"/>
    <s v="Rohan Mehta"/>
    <s v="Small Business"/>
    <x v="0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x v="2"/>
    <x v="2"/>
    <m/>
    <s v="ORD-2025-10264"/>
    <s v="06-08-25"/>
    <s v="10-08-25"/>
    <s v="CUST-8265"/>
    <s v="Rohan Mehta"/>
    <s v="Small Business"/>
    <s v="North"/>
    <s v="Delhi"/>
    <s v="New Delhi"/>
    <s v="Office Supplies"/>
    <s v="Binders"/>
    <s v="Smart Binders 905"/>
    <s v="Second Class"/>
    <s v="anomaly"/>
    <n v="4"/>
    <n v="0.1"/>
    <x v="254"/>
    <x v="254"/>
    <n v="0.314312353970647"/>
    <s v="06-08-25"/>
    <s v="10-08-25"/>
    <s v="August"/>
    <s v="2025"/>
    <s v=" "/>
    <n v="4"/>
    <s v="Unique"/>
  </r>
  <r>
    <s v="ORD-2024-10265"/>
    <s v="16-05-2024"/>
    <s v="05/21/2024"/>
    <s v="CUST-4750"/>
    <s v="Diya Patel"/>
    <s v="Small Business"/>
    <x v="1"/>
    <s v="Bihar"/>
    <s v="Patna"/>
    <s v="Technology"/>
    <s v="Copiers"/>
    <s v="Pro Copiers 599"/>
    <s v="Standard Class"/>
    <n v="4"/>
    <n v="1503.07"/>
    <n v="0"/>
    <n v="6012.28"/>
    <n v="3927.64"/>
    <n v="2084.64"/>
    <x v="0"/>
    <x v="0"/>
    <m/>
    <s v="ORD-2024-10265"/>
    <s v="16-05-24"/>
    <s v="invalid date"/>
    <s v="CUST-4750"/>
    <s v="Diya Patel"/>
    <s v="Small Business"/>
    <s v="East"/>
    <s v="Bihar"/>
    <s v="Patna"/>
    <s v="Technology"/>
    <s v="Copiers"/>
    <s v="Pro Copiers 599"/>
    <s v="Standard Class"/>
    <s v="Invalid"/>
    <s v="invalid date"/>
    <n v="0"/>
    <x v="255"/>
    <x v="255"/>
    <n v="0.34673035853286938"/>
    <s v="16-05-24"/>
    <s v="invalid date"/>
    <s v="May"/>
    <s v="2024"/>
    <s v="Invalid"/>
    <s v="invalid date"/>
    <s v="Unique"/>
  </r>
  <r>
    <s v="ORD-2024-10266"/>
    <s v="14 Nov 2024"/>
    <s v="11/22/2024"/>
    <s v="CUST-3974"/>
    <s v="Priya Menon"/>
    <s v="Corporate"/>
    <x v="1"/>
    <s v="Bihar"/>
    <s v="Patna"/>
    <s v="Furniture"/>
    <s v="Bookcases"/>
    <s v="Basic Bookcases 570"/>
    <s v="Same Day"/>
    <n v="1"/>
    <n v="582.37"/>
    <n v="0.15"/>
    <n v="495.01"/>
    <n v="285.13"/>
    <n v="209.88"/>
    <x v="1"/>
    <x v="1"/>
    <m/>
    <s v="ORD-2024-10266"/>
    <s v="14-11-24"/>
    <s v="invalid date"/>
    <s v="CUST-3974"/>
    <s v="Priya Menon"/>
    <s v="Corporate"/>
    <s v="East"/>
    <s v="Bihar"/>
    <s v="Patna"/>
    <s v="Furniture"/>
    <s v="Bookcases"/>
    <s v="Basic Bookcases 570"/>
    <s v="Same Day"/>
    <s v="Invalid"/>
    <s v="invalid date"/>
    <n v="0.15"/>
    <x v="256"/>
    <x v="256"/>
    <n v="0.42399667080459258"/>
    <s v="14-11-24"/>
    <s v="invalid date"/>
    <s v="November"/>
    <s v="2024"/>
    <s v="Invalid"/>
    <s v="invalid date"/>
    <s v="Unique"/>
  </r>
  <r>
    <s v="ORD-2025-10267"/>
    <s v="2025-05-03"/>
    <s v="2025-05-10"/>
    <s v="CUST-7114"/>
    <s v="Neha Gupta"/>
    <s v="Home Office"/>
    <x v="3"/>
    <s v="Maharashtra"/>
    <s v="Mumbai"/>
    <s v="Office Supplies"/>
    <s v="Storage"/>
    <s v="Classic Storage 926"/>
    <s v="Second Class"/>
    <n v="3"/>
    <n v="4339.24"/>
    <n v="0"/>
    <n v="13017.72"/>
    <n v="10170.57"/>
    <n v="2847.15"/>
    <x v="0"/>
    <x v="0"/>
    <m/>
    <s v="ORD-2025-10267"/>
    <s v="03-05-25"/>
    <s v="10-05-25"/>
    <s v="CUST-7114"/>
    <s v="Neha Gupta"/>
    <s v="Home Office"/>
    <s v="West"/>
    <s v="Maharashtra"/>
    <s v="Mumbai"/>
    <s v="Office Supplies"/>
    <s v="Storage"/>
    <s v="Classic Storage 926"/>
    <s v="Second Class"/>
    <s v="anomaly"/>
    <n v="7"/>
    <n v="0"/>
    <x v="257"/>
    <x v="257"/>
    <n v="0.21871341525244051"/>
    <s v="03-05-25"/>
    <s v="10-05-25"/>
    <s v="May"/>
    <s v="2025"/>
    <s v=" "/>
    <n v="7"/>
    <s v="Unique"/>
  </r>
  <r>
    <s v="ORD-2025-10268"/>
    <s v="28 May 2025"/>
    <s v="04-06-2025"/>
    <s v="CUST-4431"/>
    <s v="Diya Patel"/>
    <s v="Corporate"/>
    <x v="1"/>
    <s v="Jharkhand"/>
    <s v="Ranchi"/>
    <s v="Furniture"/>
    <s v="Furnishings"/>
    <s v="Basic Furnishings 372"/>
    <s v="First Class"/>
    <n v="4"/>
    <n v="261.8"/>
    <n v="0.25"/>
    <n v="785.4"/>
    <n v="557.22"/>
    <n v="228.18"/>
    <x v="0"/>
    <x v="0"/>
    <m/>
    <s v="ORD-2025-10268"/>
    <s v="28-05-25"/>
    <s v="04-06-25"/>
    <s v="CUST-4431"/>
    <s v="Diya Patel"/>
    <s v="Corporate"/>
    <s v="East"/>
    <s v="Jharkhand"/>
    <s v="Ranchi"/>
    <s v="Furniture"/>
    <s v="Furnishings"/>
    <s v="Basic Furnishings 372"/>
    <s v="First Class"/>
    <s v="  "/>
    <n v="7"/>
    <n v="0.25"/>
    <x v="258"/>
    <x v="258"/>
    <n v="0.29052711993888469"/>
    <s v="28-05-25"/>
    <s v="04-06-25"/>
    <s v="May"/>
    <s v="2025"/>
    <s v="anomaly"/>
    <n v="7"/>
    <s v="Unique"/>
  </r>
  <r>
    <s v="ORD-2025-10269"/>
    <s v="08/17/2025"/>
    <s v="08/17/2025"/>
    <s v="CUST-1488"/>
    <s v="Aarav Sharma"/>
    <s v="Home Office"/>
    <x v="0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x v="0"/>
    <x v="0"/>
    <m/>
    <s v="ORD-2025-10269"/>
    <s v="invalid date"/>
    <s v="invalid date"/>
    <s v="CUST-1488"/>
    <s v="Aarav Sharma"/>
    <s v="Home Office"/>
    <s v="North"/>
    <s v="Punjab"/>
    <s v="Ludhiana"/>
    <s v="Technology"/>
    <s v="Accessories"/>
    <s v="Prime Accessories 367"/>
    <s v="First Class"/>
    <s v="Invalid"/>
    <s v="invalid date"/>
    <n v="0.25"/>
    <x v="259"/>
    <x v="259"/>
    <n v="0.35987707325891449"/>
    <s v="invalid date"/>
    <s v="invalid date"/>
    <s v="invalid date"/>
    <s v="invalid date"/>
    <s v="Invalid"/>
    <s v="invalid date"/>
    <s v="Unique"/>
  </r>
  <r>
    <s v="ORD-2025-10270"/>
    <s v="02/10/2025"/>
    <s v="02/12/2025"/>
    <s v="CUST-1586"/>
    <s v="Rahul Verma"/>
    <s v="Small Business"/>
    <x v="3"/>
    <s v="Rajasthan"/>
    <s v="Udaipur"/>
    <s v="Furniture"/>
    <s v="Tables"/>
    <s v="Max Tables 526"/>
    <s v="Same Day"/>
    <n v="1"/>
    <n v="1925.86"/>
    <n v="0"/>
    <n v="1925.86"/>
    <n v="1321.89"/>
    <n v="603.97"/>
    <x v="0"/>
    <x v="0"/>
    <m/>
    <s v="ORD-2025-10270"/>
    <s v="02-10-25"/>
    <s v="02-12-25"/>
    <s v="CUST-1586"/>
    <s v="Rahul Verma"/>
    <s v="Small Business"/>
    <s v="West"/>
    <s v="Rajasthan"/>
    <s v="Udaipur"/>
    <s v="Furniture"/>
    <s v="Tables"/>
    <s v="Max Tables 526"/>
    <s v="Same Day"/>
    <s v="anomaly"/>
    <n v="61"/>
    <n v="0"/>
    <x v="260"/>
    <x v="260"/>
    <n v="0.31361054282242729"/>
    <s v="02-10-25"/>
    <s v="02-12-25"/>
    <s v="October"/>
    <s v="2025"/>
    <s v=" "/>
    <n v="61"/>
    <s v="Unique"/>
  </r>
  <r>
    <s v="ORD-2024-10271"/>
    <s v="01/12/2024"/>
    <s v="13-01-2024"/>
    <s v="CUST-2487"/>
    <s v="Aditi Sen"/>
    <s v="Corporate"/>
    <x v="0"/>
    <s v="Uttar Pradesh"/>
    <s v="Noida"/>
    <s v="Technology"/>
    <s v="Machines"/>
    <s v="Prime Machines 794"/>
    <s v="Same Day"/>
    <n v="3"/>
    <n v="827.44"/>
    <n v="0"/>
    <n v="2482.3200000000002"/>
    <n v="1520.21"/>
    <n v="962.11"/>
    <x v="0"/>
    <x v="0"/>
    <m/>
    <s v="ORD-2024-10271"/>
    <s v="01-12-24"/>
    <s v="13-01-24"/>
    <s v="CUST-2487"/>
    <s v="Aditi Sen"/>
    <s v="Corporate"/>
    <s v="North"/>
    <s v="Uttar Pradesh"/>
    <s v="Noida"/>
    <s v="Technology"/>
    <s v="Machines"/>
    <s v="Prime Machines 794"/>
    <s v="Same Day"/>
    <s v="anomaly"/>
    <n v="-323"/>
    <n v="0"/>
    <x v="261"/>
    <x v="261"/>
    <n v="0.38758500112797706"/>
    <s v="01-12-24"/>
    <s v="13-01-24"/>
    <s v="December"/>
    <s v="2024"/>
    <s v=" "/>
    <n v="-323"/>
    <s v="Unique"/>
  </r>
  <r>
    <s v="ORD-2024-10272"/>
    <s v="21 Dec 2024"/>
    <s v="25 Dec 2024"/>
    <s v="CUST-8009"/>
    <s v="Aditi Sen"/>
    <s v="Consumer"/>
    <x v="2"/>
    <s v="Telangana"/>
    <s v="Hyderabad"/>
    <s v="Office Supplies"/>
    <s v="Binders"/>
    <s v="Max Binders 927"/>
    <s v="Standard Class"/>
    <n v="7"/>
    <n v="1667.75"/>
    <n v="0"/>
    <n v="11674.25"/>
    <n v="9621.19"/>
    <n v="2053.06"/>
    <x v="3"/>
    <x v="1"/>
    <m/>
    <s v="ORD-2024-10272"/>
    <s v="21-12-24"/>
    <s v="25-12-24"/>
    <s v="CUST-8009"/>
    <s v="Aditi Sen"/>
    <s v="Consumer"/>
    <s v="South"/>
    <s v="Telangana"/>
    <s v="Hyderabad"/>
    <s v="Office Supplies"/>
    <s v="Binders"/>
    <s v="Max Binders 927"/>
    <s v="Standard Class"/>
    <s v="anomaly"/>
    <n v="4"/>
    <n v="0"/>
    <x v="262"/>
    <x v="262"/>
    <n v="0.17586226095894808"/>
    <s v="21-12-24"/>
    <s v="25-12-24"/>
    <s v="December"/>
    <s v="2024"/>
    <s v=" "/>
    <n v="4"/>
    <s v="Unique"/>
  </r>
  <r>
    <s v="ORD-2024-10273"/>
    <s v="08/18/2024"/>
    <s v="24 Aug 2024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510.42"/>
    <n v="2191.5"/>
    <n v="1213.48"/>
    <x v="0"/>
    <x v="0"/>
    <m/>
    <s v="ORD-2024-10273"/>
    <s v="invalid date"/>
    <s v="24-08-24"/>
    <s v="CUST-7389"/>
    <s v="Arjun Bose"/>
    <s v="Consumer"/>
    <s v="South"/>
    <s v="Andhra Pradesh"/>
    <s v="Vijayawada"/>
    <s v="Furniture"/>
    <s v="Chairs"/>
    <s v="Eco Chairs 314"/>
    <s v="First Class"/>
    <s v="Invalid"/>
    <s v="invalid date"/>
    <n v="0.1"/>
    <x v="263"/>
    <x v="263"/>
    <n v="0.37571625983535323"/>
    <s v="invalid date"/>
    <s v="24-08-24"/>
    <s v="invalid date"/>
    <s v="invalid date"/>
    <s v="Invalid"/>
    <s v="invalid date"/>
    <s v="Unique"/>
  </r>
  <r>
    <s v="ORD-2025-10274"/>
    <s v="02/13/2025"/>
    <s v="13 Feb 2025"/>
    <s v="CUST-8249"/>
    <s v="Isha Nair"/>
    <s v="Consumer"/>
    <x v="1"/>
    <s v="Bihar"/>
    <s v="Patna"/>
    <s v="Office Supplies"/>
    <s v="Paper"/>
    <s v="Basic Paper 657"/>
    <s v="Second Class"/>
    <n v="9"/>
    <n v="2521.63"/>
    <n v="0"/>
    <n v="22694.67"/>
    <n v="15405.36"/>
    <n v="7289.31"/>
    <x v="0"/>
    <x v="2"/>
    <m/>
    <s v="ORD-2025-10274"/>
    <s v="invalid date"/>
    <s v="13-02-25"/>
    <s v="CUST-8249"/>
    <s v="Isha Nair"/>
    <s v="Consumer"/>
    <s v="East"/>
    <s v="Bihar"/>
    <s v="Patna"/>
    <s v="Office Supplies"/>
    <s v="Paper"/>
    <s v="Basic Paper 657"/>
    <s v="Second Class"/>
    <s v="Invalid"/>
    <s v="invalid date"/>
    <n v="0"/>
    <x v="264"/>
    <x v="264"/>
    <n v="0.32119039404406413"/>
    <s v="invalid date"/>
    <s v="13-02-25"/>
    <s v="invalid date"/>
    <s v="invalid date"/>
    <s v="Invalid"/>
    <s v="invalid date"/>
    <s v="Unique"/>
  </r>
  <r>
    <s v="ORD-2024-10275"/>
    <s v="07-04-2024"/>
    <s v="14-04-2024"/>
    <s v="CUST-4202"/>
    <s v="Rohan Mehta"/>
    <s v="Consumer"/>
    <x v="2"/>
    <s v="Kerala"/>
    <s v="Kochi"/>
    <s v="Technology"/>
    <s v="Copiers"/>
    <s v="Pro Copiers 406"/>
    <s v="Standard Class"/>
    <n v="6"/>
    <n v="4246.71"/>
    <n v="0.15"/>
    <n v="21658.22"/>
    <n v="15490.69"/>
    <n v="6167.53"/>
    <x v="3"/>
    <x v="2"/>
    <m/>
    <s v="ORD-2024-10275"/>
    <s v="07-04-24"/>
    <s v="14-04-24"/>
    <s v="CUST-4202"/>
    <s v="Rohan Mehta"/>
    <s v="Consumer"/>
    <s v="South"/>
    <s v="Kerala"/>
    <s v="Kochi"/>
    <s v="Technology"/>
    <s v="Copiers"/>
    <s v="Pro Copiers 406"/>
    <s v="Standard Class"/>
    <s v="anomaly"/>
    <n v="7"/>
    <n v="0.15"/>
    <x v="265"/>
    <x v="265"/>
    <n v="0.28476627881856043"/>
    <s v="07-04-24"/>
    <s v="14-04-24"/>
    <s v="April"/>
    <s v="2024"/>
    <s v=" "/>
    <n v="7"/>
    <s v="Unique"/>
  </r>
  <r>
    <s v="ORD-2024-10276"/>
    <s v="2024-02-15"/>
    <s v="02/22/2024"/>
    <s v="CUST-2875"/>
    <s v="Priya Menon"/>
    <s v="Small Business"/>
    <x v="1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x v="0"/>
    <x v="0"/>
    <m/>
    <s v="ORD-2024-10276"/>
    <s v="15-02-24"/>
    <s v="invalid date"/>
    <s v="CUST-2875"/>
    <s v="Priya Menon"/>
    <s v="Small Business"/>
    <s v="East"/>
    <s v="West Bengal"/>
    <s v="Kolkata"/>
    <s v="Furniture"/>
    <s v="Furnishings"/>
    <s v="Eco Furnishings 678"/>
    <s v="Same Day"/>
    <s v="Invalid"/>
    <s v="invalid date"/>
    <n v="0"/>
    <x v="266"/>
    <x v="266"/>
    <n v="0.32594262169687205"/>
    <s v="15-02-24"/>
    <s v="invalid date"/>
    <s v="February"/>
    <s v="2024"/>
    <s v="Invalid"/>
    <s v="invalid date"/>
    <s v="Unique"/>
  </r>
  <r>
    <s v="ORD-2024-10277"/>
    <s v="22-01-2024"/>
    <s v="23-01-2024"/>
    <s v="CUST-7039"/>
    <s v="Aarav Sharma"/>
    <s v="Small Business"/>
    <x v="4"/>
    <s v="Assam"/>
    <s v="Guwahati"/>
    <s v="Furniture"/>
    <s v="Chairs"/>
    <s v="Basic Chairs 141"/>
    <s v="Second Class"/>
    <n v="6"/>
    <n v="3391.53"/>
    <s v="invalid"/>
    <n v="15261.89"/>
    <n v="8413.5300000000007"/>
    <n v="6848.36"/>
    <x v="0"/>
    <x v="0"/>
    <m/>
    <s v="ORD-2024-10277"/>
    <s v="22-01-24"/>
    <s v="23-01-24"/>
    <s v="CUST-7039"/>
    <s v="Aarav Sharma"/>
    <s v="Small Business"/>
    <s v="unknown"/>
    <s v="Assam"/>
    <s v="Guwahati"/>
    <s v="Furniture"/>
    <s v="Chairs"/>
    <s v="Basic Chairs 141"/>
    <s v="Second Class"/>
    <s v="anomaly"/>
    <n v="1"/>
    <s v="invalid"/>
    <x v="2"/>
    <x v="2"/>
    <s v="NA"/>
    <s v="22-01-24"/>
    <s v="23-01-24"/>
    <s v="January"/>
    <s v="2024"/>
    <s v=" "/>
    <n v="1"/>
    <s v="Unique"/>
  </r>
  <r>
    <s v="ORD-2025-10278"/>
    <s v="04 Jun 2025"/>
    <s v="04 Jun 2025"/>
    <s v="CUST-2819"/>
    <s v="Isha Nair"/>
    <s v="Corporate"/>
    <x v="0"/>
    <s v="Haryana"/>
    <s v="Gurugram"/>
    <s v="Technology"/>
    <s v="Accessories"/>
    <s v="Elite Accessories 291"/>
    <s v="Second Class"/>
    <n v="1"/>
    <n v="2133.73"/>
    <n v="0.15"/>
    <n v="2008.39"/>
    <n v="1002.57"/>
    <n v="811.1"/>
    <x v="2"/>
    <x v="1"/>
    <m/>
    <s v="ORD-2025-10278"/>
    <s v="04-06-25"/>
    <s v="04-06-25"/>
    <s v="CUST-2819"/>
    <s v="Isha Nair"/>
    <s v="Corporate"/>
    <s v="North"/>
    <s v="Haryana"/>
    <s v="Gurugram"/>
    <s v="Technology"/>
    <s v="Accessories"/>
    <s v="Elite Accessories 291"/>
    <s v="Second Class"/>
    <s v="  "/>
    <n v="0"/>
    <n v="0.15"/>
    <x v="267"/>
    <x v="267"/>
    <n v="0.4472149158295291"/>
    <s v="04-06-25"/>
    <s v="04-06-25"/>
    <s v="June"/>
    <s v="2025"/>
    <s v=" "/>
    <n v="0"/>
    <s v="Unique"/>
  </r>
  <r>
    <s v="ORD-2025-10279"/>
    <s v="07-03-2025"/>
    <s v="2025-03-14"/>
    <s v="CUST-8242"/>
    <s v="Priya Menon"/>
    <s v="Small Business"/>
    <x v="0"/>
    <s v="Delhi"/>
    <s v="New Delhi"/>
    <s v="Technology"/>
    <s v="Accessories"/>
    <s v="Pro Accessories 207"/>
    <s v="Same Day"/>
    <n v="1"/>
    <n v="3979.64"/>
    <n v="0.05"/>
    <n v="3780.66"/>
    <n v="2148.31"/>
    <n v="1632.35"/>
    <x v="0"/>
    <x v="2"/>
    <m/>
    <s v="ORD-2025-10279"/>
    <s v="07-03-25"/>
    <s v="14-03-25"/>
    <s v="CUST-8242"/>
    <s v="Priya Menon"/>
    <s v="Small Business"/>
    <s v="North"/>
    <s v="Delhi"/>
    <s v="New Delhi"/>
    <s v="Technology"/>
    <s v="Accessories"/>
    <s v="Pro Accessories 207"/>
    <s v="Same Day"/>
    <s v="anomaly"/>
    <n v="7"/>
    <n v="0.05"/>
    <x v="268"/>
    <x v="268"/>
    <n v="0.43176293650470365"/>
    <s v="07-03-25"/>
    <s v="14-03-25"/>
    <s v="March"/>
    <s v="2025"/>
    <s v=" "/>
    <n v="7"/>
    <s v="Unique"/>
  </r>
  <r>
    <s v="ORD-2024-10280"/>
    <s v="04/09/2024"/>
    <s v="10 Apr 2024"/>
    <s v="CUST-4571"/>
    <s v="Rohan Mehta"/>
    <s v="Small Business"/>
    <x v="3"/>
    <s v="Maharashtra"/>
    <s v="Mumbai"/>
    <s v="Office Supplies"/>
    <s v="Storage"/>
    <s v="Max Storage 564"/>
    <s v="First Class"/>
    <n v="1"/>
    <n v="4359.12"/>
    <n v="0.05"/>
    <n v="4141.16"/>
    <n v="2754.17"/>
    <n v="1386.99"/>
    <x v="0"/>
    <x v="0"/>
    <m/>
    <s v="ORD-2024-10280"/>
    <s v="04-09-24"/>
    <s v="10-04-24"/>
    <s v="CUST-4571"/>
    <s v="Rohan Mehta"/>
    <s v="Small Business"/>
    <s v="West"/>
    <s v="Maharashtra"/>
    <s v="Mumbai"/>
    <s v="Office Supplies"/>
    <s v="Storage"/>
    <s v="Max Storage 564"/>
    <s v="First Class"/>
    <s v="anomaly"/>
    <n v="-147"/>
    <n v="0.05"/>
    <x v="269"/>
    <x v="269"/>
    <n v="0.33492853700070796"/>
    <s v="04-09-24"/>
    <s v="10-04-24"/>
    <s v="September"/>
    <s v="2024"/>
    <s v=" "/>
    <n v="-147"/>
    <s v="Unique"/>
  </r>
  <r>
    <s v="ORD-2024-10281"/>
    <s v="12/23/2024"/>
    <s v="26-12-2024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x v="0"/>
    <x v="0"/>
    <m/>
    <s v="ORD-2024-10281"/>
    <s v="invalid date"/>
    <s v="26-12-24"/>
    <s v="CUST-4098"/>
    <s v="Aditi Sen"/>
    <s v="Consumer"/>
    <s v="South"/>
    <s v="Karnataka"/>
    <s v="Bengaluru"/>
    <s v="Technology"/>
    <s v="Copiers"/>
    <s v="Prime Copiers 961"/>
    <s v="Standard Class"/>
    <s v="Invalid"/>
    <s v="invalid date"/>
    <n v="0"/>
    <x v="270"/>
    <x v="270"/>
    <n v="0.42241276167026154"/>
    <s v="invalid date"/>
    <s v="26-12-24"/>
    <s v="invalid date"/>
    <s v="invalid date"/>
    <s v="Invalid"/>
    <s v="invalid date"/>
    <s v="Unique"/>
  </r>
  <r>
    <s v="ORD-2025-10282"/>
    <s v="25-07-2025"/>
    <s v="07/27/2025"/>
    <s v="CUST-2052"/>
    <s v="Kabir Singh"/>
    <s v="Consumer"/>
    <x v="1"/>
    <s v="Jharkhand"/>
    <s v="Ranchi"/>
    <s v="Office Supplies"/>
    <s v="Binders"/>
    <s v="Basic Binders 637"/>
    <s v="Second Class"/>
    <n v="6"/>
    <n v="3438.38"/>
    <n v="0.2"/>
    <n v="16504.22"/>
    <n v="11262.71"/>
    <n v="5241.51"/>
    <x v="0"/>
    <x v="0"/>
    <m/>
    <s v="ORD-2025-10282"/>
    <s v="25-07-25"/>
    <s v="invalid date"/>
    <s v="CUST-2052"/>
    <s v="Kabir Singh"/>
    <s v="Consumer"/>
    <s v="East"/>
    <s v="Jharkhand"/>
    <s v="Ranchi"/>
    <s v="Office Supplies"/>
    <s v="Binders"/>
    <s v="Basic Binders 637"/>
    <s v="Second Class"/>
    <s v="Invalid"/>
    <s v="invalid date"/>
    <n v="0.2"/>
    <x v="271"/>
    <x v="271"/>
    <n v="0.31758621308096641"/>
    <s v="25-07-25"/>
    <s v="invalid date"/>
    <s v="July"/>
    <s v="2025"/>
    <s v="Invalid"/>
    <s v="invalid date"/>
    <s v="Unique"/>
  </r>
  <r>
    <s v="ORD-2024-10283"/>
    <s v="2024-10-01"/>
    <s v="10/02/2024"/>
    <s v="CUST-9445"/>
    <s v="Karan Malhotra"/>
    <s v="Home Office"/>
    <x v="1"/>
    <s v="Assam"/>
    <s v="Guwahati"/>
    <s v="Furniture"/>
    <s v="Tables"/>
    <s v="Classic Tables 811"/>
    <s v="Second Class"/>
    <n v="2"/>
    <n v="2298"/>
    <n v="0"/>
    <n v="4596"/>
    <n v="3220.33"/>
    <n v="1375.67"/>
    <x v="0"/>
    <x v="0"/>
    <m/>
    <s v="ORD-2024-10283"/>
    <s v="01-10-24"/>
    <s v="10-02-24"/>
    <s v="CUST-9445"/>
    <s v="Karan Malhotra"/>
    <s v="Home Office"/>
    <s v="East"/>
    <s v="Assam"/>
    <s v="Guwahati"/>
    <s v="Furniture"/>
    <s v="Tables"/>
    <s v="Classic Tables 811"/>
    <s v="Second Class"/>
    <s v="anomaly"/>
    <n v="-234"/>
    <n v="0"/>
    <x v="272"/>
    <x v="272"/>
    <n v="0.29931897302001742"/>
    <s v="01-10-24"/>
    <s v="10-02-24"/>
    <s v="October"/>
    <s v="2024"/>
    <s v=" "/>
    <n v="-234"/>
    <s v="Unique"/>
  </r>
  <r>
    <s v="ORD-2025-10284"/>
    <s v="03/13/2025"/>
    <s v="20-03-2025"/>
    <s v="CUST-6568"/>
    <s v="Vikram Iyer"/>
    <s v="Consumer"/>
    <x v="3"/>
    <s v="Maharashtra"/>
    <s v="Mumbai"/>
    <s v="Furniture"/>
    <s v="Furnishings"/>
    <s v="Classic Furnishings 819"/>
    <s v="First Class"/>
    <n v="1"/>
    <n v="1814.01"/>
    <n v="0"/>
    <n v="1814.01"/>
    <n v="1033.47"/>
    <n v="780.54"/>
    <x v="0"/>
    <x v="0"/>
    <m/>
    <s v="ORD-2025-10284"/>
    <s v="invalid date"/>
    <s v="20-03-25"/>
    <s v="CUST-6568"/>
    <s v="Vikram Iyer"/>
    <s v="Consumer"/>
    <s v="West"/>
    <s v="Maharashtra"/>
    <s v="Mumbai"/>
    <s v="Furniture"/>
    <s v="Furnishings"/>
    <s v="Classic Furnishings 819"/>
    <s v="First Class"/>
    <s v="Invalid"/>
    <s v="invalid date"/>
    <n v="0"/>
    <x v="273"/>
    <x v="273"/>
    <n v="0.43028428729720342"/>
    <s v="invalid date"/>
    <s v="20-03-25"/>
    <s v="invalid date"/>
    <s v="invalid date"/>
    <s v="Invalid"/>
    <s v="invalid date"/>
    <s v="Unique"/>
  </r>
  <r>
    <s v="ORD-2024-10285"/>
    <s v="12/08/2024"/>
    <s v="12/14/2024"/>
    <s v="CUST-2076"/>
    <s v="Karan Malhotra"/>
    <s v="Consumer"/>
    <x v="1"/>
    <s v="Odisha"/>
    <s v="Bhubaneswar"/>
    <s v="Furniture"/>
    <s v="Tables"/>
    <s v="Prime Tables 542"/>
    <s v="Same Day"/>
    <n v="3"/>
    <n v="1576.92"/>
    <n v="0"/>
    <n v="4730.76"/>
    <n v="3139.73"/>
    <n v="1591.03"/>
    <x v="0"/>
    <x v="2"/>
    <m/>
    <s v="ORD-2024-10285"/>
    <s v="12-08-24"/>
    <s v="invalid date"/>
    <s v="CUST-2076"/>
    <s v="Karan Malhotra"/>
    <s v="Consumer"/>
    <s v="East"/>
    <s v="Odisha"/>
    <s v="Bhubaneswar"/>
    <s v="Furniture"/>
    <s v="Tables"/>
    <s v="Prime Tables 542"/>
    <s v="Same Day"/>
    <s v="Invalid"/>
    <s v="invalid date"/>
    <n v="0"/>
    <x v="274"/>
    <x v="274"/>
    <n v="0.33631594077907145"/>
    <s v="12-08-24"/>
    <s v="invalid date"/>
    <s v="August"/>
    <s v="2024"/>
    <s v="Invalid"/>
    <s v="invalid date"/>
    <s v="Unique"/>
  </r>
  <r>
    <s v="ORD-2025-10286"/>
    <s v="2025-08-15"/>
    <s v="2025-08-20"/>
    <s v="CUST-5610"/>
    <s v="Neha Gupta"/>
    <s v="Home Office"/>
    <x v="0"/>
    <s v="Rajasthan"/>
    <s v="Jaipur"/>
    <s v="Office Supplies"/>
    <s v="Storage"/>
    <s v="Basic Storage 771"/>
    <s v="Standard Class"/>
    <n v="9"/>
    <n v="4081.77"/>
    <n v="0"/>
    <n v="36735.93"/>
    <n v="30820.84"/>
    <n v="5915.09"/>
    <x v="0"/>
    <x v="0"/>
    <m/>
    <s v="ORD-2025-10286"/>
    <s v="15-08-25"/>
    <s v="20-08-25"/>
    <s v="CUST-5610"/>
    <s v="Neha Gupta"/>
    <s v="Home Office"/>
    <s v="North"/>
    <s v="Rajasthan"/>
    <s v="Jaipur"/>
    <s v="Office Supplies"/>
    <s v="Storage"/>
    <s v="Basic Storage 771"/>
    <s v="Standard Class"/>
    <s v="anomaly"/>
    <n v="5"/>
    <n v="0"/>
    <x v="275"/>
    <x v="275"/>
    <n v="0.16101647624001897"/>
    <s v="15-08-25"/>
    <s v="20-08-25"/>
    <s v="August"/>
    <s v="2025"/>
    <s v=" "/>
    <n v="5"/>
    <s v="Unique"/>
  </r>
  <r>
    <s v="ORD-2024-10287"/>
    <s v="28-02-2024"/>
    <s v="03/02/2024"/>
    <s v="CUST-5823"/>
    <s v="Priya Menon"/>
    <s v="Small Business"/>
    <x v="0"/>
    <s v="Delhi"/>
    <s v="New Delhi"/>
    <s v="Furniture"/>
    <s v="Furnishings"/>
    <s v="Pro Furnishings 848"/>
    <s v="First Class"/>
    <n v="7"/>
    <n v="701.8"/>
    <n v="0.1"/>
    <n v="4421.34"/>
    <n v="2489.98"/>
    <n v="1931.36"/>
    <x v="2"/>
    <x v="2"/>
    <m/>
    <s v="ORD-2024-10287"/>
    <s v="28-02-24"/>
    <s v="03-02-24"/>
    <s v="CUST-5823"/>
    <s v="Priya Menon"/>
    <s v="Small Business"/>
    <s v="North"/>
    <s v="Delhi"/>
    <s v="New Delhi"/>
    <s v="Furniture"/>
    <s v="Furnishings"/>
    <s v="Pro Furnishings 848"/>
    <s v="First Class"/>
    <s v="  "/>
    <n v="-25"/>
    <n v="0.1"/>
    <x v="276"/>
    <x v="276"/>
    <n v="0.43682684435035524"/>
    <s v="28-02-24"/>
    <s v="03-02-24"/>
    <s v="February"/>
    <s v="2024"/>
    <s v="anomaly"/>
    <n v="-25"/>
    <s v="Unique"/>
  </r>
  <r>
    <s v="ORD-2024-10288"/>
    <s v="09/05/2024"/>
    <s v="07-09-2024"/>
    <s v="CUST-7095"/>
    <s v="Neha Gupta"/>
    <s v="Small Business"/>
    <x v="2"/>
    <s v="Tamil Nadu"/>
    <s v="Chennai"/>
    <s v="Technology"/>
    <s v="Copiers"/>
    <s v="Prime Copiers 924"/>
    <s v="Standard Class"/>
    <n v="3"/>
    <n v="2555.66"/>
    <n v="0.15"/>
    <n v="6516.93"/>
    <n v="4511.54"/>
    <n v="2005.39"/>
    <x v="0"/>
    <x v="1"/>
    <m/>
    <s v="ORD-2024-10288"/>
    <s v="09-05-24"/>
    <s v="07-09-24"/>
    <s v="CUST-7095"/>
    <s v="Neha Gupta"/>
    <s v="Small Business"/>
    <s v="South"/>
    <s v="Tamil Nadu"/>
    <s v="Chennai"/>
    <s v="Technology"/>
    <s v="Copiers"/>
    <s v="Prime Copiers 924"/>
    <s v="Standard Class"/>
    <s v="  "/>
    <n v="121"/>
    <n v="0.15"/>
    <x v="277"/>
    <x v="277"/>
    <n v="0.30772036477895343"/>
    <s v="09-05-24"/>
    <s v="07-09-24"/>
    <s v="May"/>
    <s v="2024"/>
    <s v="anomaly"/>
    <n v="121"/>
    <s v="Unique"/>
  </r>
  <r>
    <s v="ORD-2024-10289"/>
    <s v="2024-06-24"/>
    <s v="2024-06-24"/>
    <s v="CUST-4805"/>
    <s v="Rohan Mehta"/>
    <s v="Small Business"/>
    <x v="1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x v="0"/>
    <x v="0"/>
    <m/>
    <s v="ORD-2024-10289"/>
    <s v="24-06-24"/>
    <s v="24-06-24"/>
    <s v="CUST-4805"/>
    <s v="Rohan Mehta"/>
    <s v="Small Business"/>
    <s v="East"/>
    <s v="Bihar"/>
    <s v="Patna"/>
    <s v="Office Supplies"/>
    <s v="Binders"/>
    <s v="Classic Binders 721"/>
    <s v="Same Day"/>
    <s v="  "/>
    <n v="0"/>
    <n v="0.15"/>
    <x v="278"/>
    <x v="278"/>
    <n v="0.3382700358750807"/>
    <s v="24-06-24"/>
    <s v="24-06-24"/>
    <s v="June"/>
    <s v="2024"/>
    <s v=" "/>
    <n v="0"/>
    <s v="Unique"/>
  </r>
  <r>
    <s v="ORD-2025-10290"/>
    <s v="19-06-2025"/>
    <s v="06/27/2025"/>
    <s v="CUST-9114"/>
    <s v="Karan Malhotra"/>
    <s v="Home Office"/>
    <x v="2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x v="0"/>
    <x v="0"/>
    <m/>
    <s v="ORD-2025-10290"/>
    <s v="19-06-25"/>
    <s v="invalid date"/>
    <s v="CUST-9114"/>
    <s v="Karan Malhotra"/>
    <s v="Home Office"/>
    <s v="South"/>
    <s v="Tamil Nadu"/>
    <s v="Chennai"/>
    <s v="Furniture"/>
    <s v="Bookcases"/>
    <s v="Basic Bookcases 823"/>
    <s v="First Class"/>
    <s v="Invalid"/>
    <s v="invalid date"/>
    <n v="0.05"/>
    <x v="279"/>
    <x v="279"/>
    <n v="0.15011313508851432"/>
    <s v="19-06-25"/>
    <s v="invalid date"/>
    <s v="June"/>
    <s v="2025"/>
    <s v="Invalid"/>
    <s v="invalid date"/>
    <s v="Unique"/>
  </r>
  <r>
    <s v="ORD-2025-10291"/>
    <s v="22 Aug 2025"/>
    <s v="2025-08-26"/>
    <s v="CUST-8557"/>
    <s v="Diya Patel"/>
    <s v="Home Office"/>
    <x v="1"/>
    <s v="Jharkhand"/>
    <s v="Ranchi"/>
    <s v="Furniture"/>
    <s v="Tables"/>
    <s v="Classic Tables 178"/>
    <s v="Standard Class"/>
    <n v="1"/>
    <n v="1842.63"/>
    <n v="0.1"/>
    <n v="1658.37"/>
    <n v="971.12"/>
    <n v="687.25"/>
    <x v="0"/>
    <x v="0"/>
    <m/>
    <s v="ORD-2025-10291"/>
    <s v="22-08-25"/>
    <s v="26-08-25"/>
    <s v="CUST-8557"/>
    <s v="Diya Patel"/>
    <s v="Home Office"/>
    <s v="East"/>
    <s v="Jharkhand"/>
    <s v="Ranchi"/>
    <s v="Furniture"/>
    <s v="Tables"/>
    <s v="Classic Tables 178"/>
    <s v="Standard Class"/>
    <s v="anomaly"/>
    <n v="4"/>
    <n v="0.1"/>
    <x v="280"/>
    <x v="280"/>
    <n v="0.41441188832146331"/>
    <s v="22-08-25"/>
    <s v="26-08-25"/>
    <s v="August"/>
    <s v="2025"/>
    <s v=" "/>
    <n v="4"/>
    <s v="Unique"/>
  </r>
  <r>
    <s v="ORD-2024-10292"/>
    <s v="04/05/2024"/>
    <s v="2024-04-10"/>
    <s v="CUST-2860"/>
    <s v="Priya Menon"/>
    <s v="Home Office"/>
    <x v="0"/>
    <s v="Rajasthan"/>
    <s v="Jaipur"/>
    <s v="Office Supplies"/>
    <s v="Binders"/>
    <s v="Eco Binders 153"/>
    <s v="Standard Class"/>
    <n v="4"/>
    <n v="3228.66"/>
    <n v="0.25"/>
    <n v="9685.98"/>
    <n v="7730.04"/>
    <n v="1955.94"/>
    <x v="0"/>
    <x v="0"/>
    <m/>
    <s v="ORD-2024-10292"/>
    <s v="04-05-24"/>
    <s v="10-04-24"/>
    <s v="CUST-2860"/>
    <s v="Priya Menon"/>
    <s v="Home Office"/>
    <s v="North"/>
    <s v="Rajasthan"/>
    <s v="Jaipur"/>
    <s v="Office Supplies"/>
    <s v="Binders"/>
    <s v="Eco Binders 153"/>
    <s v="Standard Class"/>
    <s v="anomaly"/>
    <n v="-24"/>
    <n v="0.25"/>
    <x v="281"/>
    <x v="281"/>
    <n v="0.20193516815025425"/>
    <s v="04-05-24"/>
    <s v="10-04-24"/>
    <s v="May"/>
    <s v="2024"/>
    <s v=" "/>
    <n v="-24"/>
    <s v="Unique"/>
  </r>
  <r>
    <s v="ORD-2025-10293"/>
    <s v="28 Feb 2025"/>
    <s v="03-03-2025"/>
    <s v="CUST-7837"/>
    <s v="Kabir Singh"/>
    <s v="Home Office"/>
    <x v="0"/>
    <s v="Haryana"/>
    <s v="Gurugram"/>
    <s v="Office Supplies"/>
    <s v="Art"/>
    <s v="Classic Art 183"/>
    <s v="Same Day"/>
    <n v="9"/>
    <n v="3748.95"/>
    <n v="0"/>
    <n v="33740.550000000003"/>
    <n v="24621.89"/>
    <n v="9118.66"/>
    <x v="2"/>
    <x v="1"/>
    <m/>
    <s v="ORD-2025-10293"/>
    <s v="28-02-25"/>
    <s v="03-03-25"/>
    <s v="CUST-7837"/>
    <s v="Kabir Singh"/>
    <s v="Home Office"/>
    <s v="North"/>
    <s v="Haryana"/>
    <s v="Gurugram"/>
    <s v="Office Supplies"/>
    <s v="Art"/>
    <s v="Classic Art 183"/>
    <s v="Same Day"/>
    <s v="  "/>
    <n v="3"/>
    <n v="0"/>
    <x v="282"/>
    <x v="282"/>
    <n v="0.2702581908119458"/>
    <s v="28-02-25"/>
    <s v="03-03-25"/>
    <s v="February"/>
    <s v="2025"/>
    <s v="anomaly"/>
    <n v="3"/>
    <s v="Unique"/>
  </r>
  <r>
    <s v="ORD-2024-10294"/>
    <s v="03/07/2024"/>
    <s v="11-03-2024"/>
    <s v="CUST-7010"/>
    <s v="Arjun Bose"/>
    <s v="Home Office"/>
    <x v="2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x v="0"/>
    <x v="0"/>
    <m/>
    <s v="ORD-2024-10294"/>
    <s v="03-07-24"/>
    <s v="11-03-24"/>
    <s v="CUST-7010"/>
    <s v="Arjun Bose"/>
    <s v="Home Office"/>
    <s v="South"/>
    <s v="Telangana"/>
    <s v="Hyderabad"/>
    <s v="Technology"/>
    <s v="Phones"/>
    <s v="Pro Phones 455"/>
    <s v="First Class"/>
    <s v="anomaly"/>
    <n v="-114"/>
    <s v="invalid"/>
    <x v="2"/>
    <x v="2"/>
    <s v="NA"/>
    <s v="03-07-24"/>
    <s v="11-03-24"/>
    <s v="July"/>
    <s v="2024"/>
    <s v=" "/>
    <n v="-114"/>
    <s v="Unique"/>
  </r>
  <r>
    <s v="ORD-2025-10295"/>
    <s v="16 Jul 2025"/>
    <s v="07/22/2025"/>
    <s v="CUST-4755"/>
    <s v="Priya Menon"/>
    <s v="Consumer"/>
    <x v="1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x v="0"/>
    <x v="2"/>
    <m/>
    <s v="ORD-2025-10295"/>
    <s v="16-07-25"/>
    <s v="invalid date"/>
    <s v="CUST-4755"/>
    <s v="Priya Menon"/>
    <s v="Consumer"/>
    <s v="East"/>
    <s v="Odisha"/>
    <s v="Bhubaneswar"/>
    <s v="Technology"/>
    <s v="Phones"/>
    <s v="Basic Phones 326"/>
    <s v="Second Class"/>
    <s v="Invalid"/>
    <s v="invalid date"/>
    <n v="0.25"/>
    <x v="283"/>
    <x v="283"/>
    <n v="0.34378159730319813"/>
    <s v="16-07-25"/>
    <s v="invalid date"/>
    <s v="July"/>
    <s v="2025"/>
    <s v="Invalid"/>
    <s v="invalid date"/>
    <s v="Unique"/>
  </r>
  <r>
    <s v="ORD-2025-10296"/>
    <s v="25 Jun 2025"/>
    <s v="28 Jun 2025"/>
    <s v="CUST-6778"/>
    <s v="Aditi Sen"/>
    <s v="Small Business"/>
    <x v="1"/>
    <s v="Assam"/>
    <s v="Guwahati"/>
    <s v="Office Supplies"/>
    <s v="Binders"/>
    <s v="Max Binders 587"/>
    <s v="Standard Class"/>
    <n v="3"/>
    <n v="3476.05"/>
    <n v="0.1"/>
    <n v="9385.34"/>
    <n v="5828.54"/>
    <n v="3556.8"/>
    <x v="0"/>
    <x v="0"/>
    <m/>
    <s v="ORD-2025-10296"/>
    <s v="25-06-25"/>
    <s v="28-06-25"/>
    <s v="CUST-6778"/>
    <s v="Aditi Sen"/>
    <s v="Small Business"/>
    <s v="East"/>
    <s v="Assam"/>
    <s v="Guwahati"/>
    <s v="Office Supplies"/>
    <s v="Binders"/>
    <s v="Max Binders 587"/>
    <s v="Standard Class"/>
    <s v="anomaly"/>
    <n v="3"/>
    <n v="0.1"/>
    <x v="284"/>
    <x v="284"/>
    <n v="0.37897368607513748"/>
    <s v="25-06-25"/>
    <s v="28-06-25"/>
    <s v="June"/>
    <s v="2025"/>
    <s v=" "/>
    <n v="3"/>
    <s v="Unique"/>
  </r>
  <r>
    <s v="ORD-2025-10297"/>
    <s v="24 May 2025"/>
    <s v="05/26/2025"/>
    <s v="CUST-7629"/>
    <s v="Aditi Sen"/>
    <s v="Home Office"/>
    <x v="0"/>
    <s v="Haryana"/>
    <s v="Gurugram"/>
    <s v="Furniture"/>
    <s v="Furnishings"/>
    <s v="Basic Furnishings 617"/>
    <s v="Same Day"/>
    <n v="6"/>
    <n v="3495.41"/>
    <n v="0.15"/>
    <n v="17826.59"/>
    <n v="10855.35"/>
    <n v="6971.24"/>
    <x v="0"/>
    <x v="0"/>
    <m/>
    <s v="ORD-2025-10297"/>
    <s v="24-05-25"/>
    <s v="invalid date"/>
    <s v="CUST-7629"/>
    <s v="Aditi Sen"/>
    <s v="Home Office"/>
    <s v="North"/>
    <s v="Haryana"/>
    <s v="Gurugram"/>
    <s v="Furniture"/>
    <s v="Furnishings"/>
    <s v="Basic Furnishings 617"/>
    <s v="Same Day"/>
    <s v="Invalid"/>
    <s v="invalid date"/>
    <n v="0.15"/>
    <x v="285"/>
    <x v="285"/>
    <n v="0.39105855965394615"/>
    <s v="24-05-25"/>
    <s v="invalid date"/>
    <s v="May"/>
    <s v="2025"/>
    <s v="Invalid"/>
    <s v="invalid date"/>
    <s v="Unique"/>
  </r>
  <r>
    <s v="ORD-2024-10298"/>
    <s v="2024-10-29"/>
    <s v="06-11-2024"/>
    <s v="CUST-6724"/>
    <s v="Sneha Kapoor"/>
    <s v="Corporate"/>
    <x v="2"/>
    <s v="Tamil Nadu"/>
    <s v="Chennai"/>
    <s v="Technology"/>
    <s v="Copiers"/>
    <s v="Prime Copiers 669"/>
    <s v="Same Day"/>
    <n v="6"/>
    <n v="1169.92"/>
    <n v="0.15"/>
    <n v="5966.59"/>
    <n v="3994.72"/>
    <n v="1971.87"/>
    <x v="0"/>
    <x v="0"/>
    <m/>
    <s v="ORD-2024-10298"/>
    <s v="29-10-24"/>
    <s v="06-11-24"/>
    <s v="CUST-6724"/>
    <s v="Sneha Kapoor"/>
    <s v="Corporate"/>
    <s v="South"/>
    <s v="Tamil Nadu"/>
    <s v="Chennai"/>
    <s v="Technology"/>
    <s v="Copiers"/>
    <s v="Prime Copiers 669"/>
    <s v="Same Day"/>
    <s v="  "/>
    <n v="8"/>
    <n v="0.15"/>
    <x v="286"/>
    <x v="286"/>
    <n v="0.33048547646629778"/>
    <s v="29-10-24"/>
    <s v="06-11-24"/>
    <s v="October"/>
    <s v="2024"/>
    <s v="anomaly"/>
    <n v="8"/>
    <s v="Unique"/>
  </r>
  <r>
    <s v="ORD-2025-10299"/>
    <s v="23-01-2025"/>
    <s v="2025-01-26"/>
    <s v="CUST-2141"/>
    <s v="Isha Nair"/>
    <s v="Consumer"/>
    <x v="2"/>
    <s v="Kerala"/>
    <s v="Kochi"/>
    <s v="Technology"/>
    <s v="Copiers"/>
    <s v="Eco Copiers 894"/>
    <s v="First Class"/>
    <n v="7"/>
    <n v="348.49"/>
    <n v="0.2"/>
    <n v="1951.54"/>
    <n v="1609.95"/>
    <n v="341.59"/>
    <x v="3"/>
    <x v="2"/>
    <m/>
    <s v="ORD-2025-10299"/>
    <s v="23-01-25"/>
    <s v="26-01-25"/>
    <s v="CUST-2141"/>
    <s v="Isha Nair"/>
    <s v="Consumer"/>
    <s v="South"/>
    <s v="Kerala"/>
    <s v="Kochi"/>
    <s v="Technology"/>
    <s v="Copiers"/>
    <s v="Eco Copiers 894"/>
    <s v="First Class"/>
    <s v="anomaly"/>
    <n v="3"/>
    <n v="0.2"/>
    <x v="287"/>
    <x v="287"/>
    <n v="0.17503781621116421"/>
    <s v="23-01-25"/>
    <s v="26-01-25"/>
    <s v="January"/>
    <s v="2025"/>
    <s v=" "/>
    <n v="3"/>
    <s v="Unique"/>
  </r>
  <r>
    <s v="ORD-2024-10300"/>
    <s v="06-11-2024"/>
    <s v="2024-11-12"/>
    <s v="CUST-7264"/>
    <s v="Rahul Verma"/>
    <s v="Small Business"/>
    <x v="3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x v="0"/>
    <x v="0"/>
    <m/>
    <s v="ORD-2024-10300"/>
    <s v="06-11-24"/>
    <s v="12-11-24"/>
    <s v="CUST-7264"/>
    <s v="Rahul Verma"/>
    <s v="Small Business"/>
    <s v="West"/>
    <s v="Gujarat"/>
    <s v="Ahmedabad"/>
    <s v="Technology"/>
    <s v="Accessories"/>
    <s v="Max Accessories 145"/>
    <s v="Standard Class"/>
    <s v="anomaly"/>
    <n v="6"/>
    <n v="0.1"/>
    <x v="288"/>
    <x v="288"/>
    <n v="0.34854106850267524"/>
    <s v="06-11-24"/>
    <s v="12-11-24"/>
    <s v="November"/>
    <s v="2024"/>
    <s v=" "/>
    <n v="6"/>
    <s v="Unique"/>
  </r>
  <r>
    <s v="ORD-2024-10301"/>
    <s v="15-04-2024"/>
    <s v="04/23/2024"/>
    <s v="CUST-2668"/>
    <s v="Diya Patel"/>
    <s v="Small Business"/>
    <x v="0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x v="0"/>
    <x v="0"/>
    <m/>
    <s v="ORD-2024-10301"/>
    <s v="15-04-24"/>
    <s v="invalid date"/>
    <s v="CUST-2668"/>
    <s v="Diya Patel"/>
    <s v="Small Business"/>
    <s v="North"/>
    <s v="Punjab"/>
    <s v="Ludhiana"/>
    <s v="Technology"/>
    <s v="Accessories"/>
    <s v="Classic Accessories 126"/>
    <s v="Second Class"/>
    <s v="Invalid"/>
    <s v="invalid date"/>
    <n v="0.1"/>
    <x v="289"/>
    <x v="289"/>
    <n v="0.29928234918638313"/>
    <s v="15-04-24"/>
    <s v="invalid date"/>
    <s v="April"/>
    <s v="2024"/>
    <s v="Invalid"/>
    <s v="invalid date"/>
    <s v="Unique"/>
  </r>
  <r>
    <s v="ORD-2025-10302"/>
    <s v="28 May 2025"/>
    <s v="01-06-2025"/>
    <s v="CUST-5599"/>
    <s v="Isha Nair"/>
    <s v="Home Office"/>
    <x v="1"/>
    <s v="Bihar"/>
    <s v="Patna"/>
    <s v="Technology"/>
    <s v="Phones"/>
    <s v="Elite Phones 202"/>
    <s v="Same Day"/>
    <n v="4"/>
    <n v="1654.11"/>
    <n v="0.05"/>
    <n v="6285.62"/>
    <n v="3705.38"/>
    <n v="2580.2399999999998"/>
    <x v="0"/>
    <x v="0"/>
    <m/>
    <s v="ORD-2025-10302"/>
    <s v="28-05-25"/>
    <s v="01-06-25"/>
    <s v="CUST-5599"/>
    <s v="Isha Nair"/>
    <s v="Home Office"/>
    <s v="East"/>
    <s v="Bihar"/>
    <s v="Patna"/>
    <s v="Technology"/>
    <s v="Phones"/>
    <s v="Elite Phones 202"/>
    <s v="Same Day"/>
    <s v="  "/>
    <n v="4"/>
    <n v="0.05"/>
    <x v="290"/>
    <x v="290"/>
    <n v="0.41049869718458865"/>
    <s v="28-05-25"/>
    <s v="01-06-25"/>
    <s v="May"/>
    <s v="2025"/>
    <s v="anomaly"/>
    <n v="4"/>
    <s v="Unique"/>
  </r>
  <r>
    <s v="ORD-2025-10303"/>
    <s v="04-06-2025"/>
    <s v="2025-06-12"/>
    <s v="CUST-1623"/>
    <s v="Neha Gupta"/>
    <s v="Consumer"/>
    <x v="3"/>
    <s v="Goa"/>
    <s v="Panaji"/>
    <s v="Office Supplies"/>
    <s v="Storage"/>
    <s v="Elite Storage 535"/>
    <s v="Same Day"/>
    <n v="2"/>
    <n v="2703.28"/>
    <n v="0.25"/>
    <n v="4054.92"/>
    <n v="2424.83"/>
    <n v="1630.09"/>
    <x v="0"/>
    <x v="0"/>
    <m/>
    <s v="ORD-2025-10303"/>
    <s v="04-06-25"/>
    <s v="12-06-25"/>
    <s v="CUST-1623"/>
    <s v="Neha Gupta"/>
    <s v="Consumer"/>
    <s v="West"/>
    <s v="Goa"/>
    <s v="Panaji"/>
    <s v="Office Supplies"/>
    <s v="Storage"/>
    <s v="Elite Storage 535"/>
    <s v="Same Day"/>
    <s v="anomaly"/>
    <n v="8"/>
    <n v="0.25"/>
    <x v="291"/>
    <x v="291"/>
    <n v="0.40200299882611745"/>
    <s v="04-06-25"/>
    <s v="12-06-25"/>
    <s v="June"/>
    <s v="2025"/>
    <s v=" "/>
    <n v="8"/>
    <s v="Unique"/>
  </r>
  <r>
    <s v="ORD-2024-10304"/>
    <s v="23 Jun 2024"/>
    <s v="28-06-2024"/>
    <s v="CUST-9035"/>
    <s v="Diya Patel"/>
    <s v="Home Office"/>
    <x v="3"/>
    <s v="Gujarat"/>
    <s v="Ahmedabad"/>
    <s v="Furniture"/>
    <s v="Chairs"/>
    <s v="Elite Chairs 107"/>
    <s v="Standard Class"/>
    <n v="2"/>
    <n v="1313.14"/>
    <n v="0.1"/>
    <n v="2363.65"/>
    <n v="1876.1"/>
    <n v="487.55"/>
    <x v="2"/>
    <x v="2"/>
    <m/>
    <s v="ORD-2024-10304"/>
    <s v="23-06-24"/>
    <s v="28-06-24"/>
    <s v="CUST-9035"/>
    <s v="Diya Patel"/>
    <s v="Home Office"/>
    <s v="West"/>
    <s v="Gujarat"/>
    <s v="Ahmedabad"/>
    <s v="Furniture"/>
    <s v="Chairs"/>
    <s v="Elite Chairs 107"/>
    <s v="Standard Class"/>
    <s v="anomaly"/>
    <n v="5"/>
    <n v="0.1"/>
    <x v="292"/>
    <x v="292"/>
    <n v="0.20627063544041174"/>
    <s v="23-06-24"/>
    <s v="28-06-24"/>
    <s v="June"/>
    <s v="2024"/>
    <s v=" "/>
    <n v="5"/>
    <s v="Unique"/>
  </r>
  <r>
    <s v="ORD-2024-10305"/>
    <s v="03/06/2024"/>
    <s v="2024-03-13"/>
    <s v="CUST-6286"/>
    <s v="Karan Malhotra"/>
    <s v="Consumer"/>
    <x v="0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x v="0"/>
    <x v="0"/>
    <m/>
    <s v="ORD-2024-10305"/>
    <s v="03-06-24"/>
    <s v="13-03-24"/>
    <s v="CUST-6286"/>
    <s v="Karan Malhotra"/>
    <s v="Consumer"/>
    <s v="North"/>
    <s v="Punjab"/>
    <s v="Ludhiana"/>
    <s v="Furniture"/>
    <s v="Furnishings"/>
    <s v="Pro Furnishings 991"/>
    <s v="Standard Class"/>
    <s v="anomaly"/>
    <n v="-82"/>
    <n v="0.1"/>
    <x v="293"/>
    <x v="293"/>
    <n v="0.22783468847845378"/>
    <s v="03-06-24"/>
    <s v="13-03-24"/>
    <s v="June"/>
    <s v="2024"/>
    <s v=" "/>
    <n v="-82"/>
    <s v="Unique"/>
  </r>
  <r>
    <s v="ORD-2024-10306"/>
    <s v="01 May 2024"/>
    <s v="05/02/2024"/>
    <s v="CUST-7246"/>
    <s v="Ananya Rao"/>
    <s v="Consumer"/>
    <x v="1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x v="0"/>
    <x v="1"/>
    <m/>
    <s v="ORD-2024-10306"/>
    <s v="01-05-24"/>
    <s v="05-02-24"/>
    <s v="CUST-7246"/>
    <s v="Ananya Rao"/>
    <s v="Consumer"/>
    <s v="East"/>
    <s v="Assam"/>
    <s v="Guwahati"/>
    <s v="Furniture"/>
    <s v="Chairs"/>
    <s v="Eco Chairs 105"/>
    <s v="First Class"/>
    <s v="anomaly"/>
    <n v="-86"/>
    <s v="invalid"/>
    <x v="2"/>
    <x v="2"/>
    <s v="NA"/>
    <s v="01-05-24"/>
    <s v="05-02-24"/>
    <s v="May"/>
    <s v="2024"/>
    <s v=" "/>
    <n v="-86"/>
    <s v="Unique"/>
  </r>
  <r>
    <s v="ORD-2025-10307"/>
    <s v="20 Feb 2025"/>
    <s v="2025-02-23"/>
    <s v="CUST-2589"/>
    <s v="Aarav Sharma"/>
    <s v="Consumer"/>
    <x v="0"/>
    <s v="Rajasthan"/>
    <s v="Jaipur"/>
    <s v="Technology"/>
    <s v="Phones"/>
    <s v="Pro Phones 530"/>
    <s v="Second Class"/>
    <n v="4"/>
    <n v="3673.11"/>
    <n v="0"/>
    <n v="14692.44"/>
    <n v="10082.19"/>
    <n v="4610.25"/>
    <x v="0"/>
    <x v="0"/>
    <m/>
    <s v="ORD-2025-10307"/>
    <s v="20-02-25"/>
    <s v="23-02-25"/>
    <s v="CUST-2589"/>
    <s v="Aarav Sharma"/>
    <s v="Consumer"/>
    <s v="North"/>
    <s v="Rajasthan"/>
    <s v="Jaipur"/>
    <s v="Technology"/>
    <s v="Phones"/>
    <s v="Pro Phones 530"/>
    <s v="Second Class"/>
    <s v="anomaly"/>
    <n v="3"/>
    <n v="0"/>
    <x v="294"/>
    <x v="294"/>
    <n v="0.31378382351740075"/>
    <s v="20-02-25"/>
    <s v="23-02-25"/>
    <s v="February"/>
    <s v="2025"/>
    <s v=" "/>
    <n v="3"/>
    <s v="Unique"/>
  </r>
  <r>
    <s v="ORD-2025-10308"/>
    <s v="2025-07-12"/>
    <s v="19 Jul 2025"/>
    <s v="CUST-4153"/>
    <s v="Ananya Rao"/>
    <s v="Corporate"/>
    <x v="0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x v="2"/>
    <x v="1"/>
    <m/>
    <s v="ORD-2025-10308"/>
    <s v="12-07-25"/>
    <s v="19-07-25"/>
    <s v="CUST-4153"/>
    <s v="Ananya Rao"/>
    <s v="Corporate"/>
    <s v="North"/>
    <s v="Uttar Pradesh"/>
    <s v="Noida"/>
    <s v="Furniture"/>
    <s v="Tables"/>
    <s v="Basic Tables 911"/>
    <s v="First Class"/>
    <s v="anomaly"/>
    <n v="7"/>
    <n v="0.2"/>
    <x v="295"/>
    <x v="295"/>
    <n v="0.3574624375905332"/>
    <s v="12-07-25"/>
    <s v="19-07-25"/>
    <s v="July"/>
    <s v="2025"/>
    <s v=" "/>
    <n v="7"/>
    <s v="Unique"/>
  </r>
  <r>
    <s v="ORD-2025-10309"/>
    <s v="2025-06-13"/>
    <s v="2025-06-19"/>
    <s v="CUST-6727"/>
    <s v="Rohan Mehta"/>
    <s v="Consumer"/>
    <x v="0"/>
    <s v="Rajasthan"/>
    <s v="Jaipur"/>
    <s v="Furniture"/>
    <s v="Tables"/>
    <s v="Classic Tables 224"/>
    <s v="First Class"/>
    <n v="4"/>
    <n v="731.57"/>
    <n v="0.2"/>
    <n v="2341.02"/>
    <n v="1565.49"/>
    <n v="775.53"/>
    <x v="0"/>
    <x v="0"/>
    <m/>
    <s v="ORD-2025-10309"/>
    <s v="13-06-25"/>
    <s v="19-06-25"/>
    <s v="CUST-6727"/>
    <s v="Rohan Mehta"/>
    <s v="Consumer"/>
    <s v="North"/>
    <s v="Rajasthan"/>
    <s v="Jaipur"/>
    <s v="Furniture"/>
    <s v="Tables"/>
    <s v="Classic Tables 224"/>
    <s v="First Class"/>
    <s v="anomaly"/>
    <n v="6"/>
    <n v="0.2"/>
    <x v="296"/>
    <x v="296"/>
    <n v="0.33127981601213835"/>
    <s v="13-06-25"/>
    <s v="19-06-25"/>
    <s v="June"/>
    <s v="2025"/>
    <s v=" "/>
    <n v="6"/>
    <s v="Unique"/>
  </r>
  <r>
    <s v="ORD-2024-10310"/>
    <s v="07/20/2024"/>
    <s v="2024-07-22"/>
    <s v="CUST-8860"/>
    <s v="Ananya Rao"/>
    <s v="Consumer"/>
    <x v="2"/>
    <s v="Tamil Nadu"/>
    <s v="Chennai"/>
    <s v="Furniture"/>
    <s v="Tables"/>
    <s v="Prime Tables 214"/>
    <s v="First Class"/>
    <n v="7"/>
    <n v="2060.73"/>
    <n v="0.1"/>
    <n v="12982.6"/>
    <n v="7246.36"/>
    <n v="5736.24"/>
    <x v="0"/>
    <x v="1"/>
    <m/>
    <s v="ORD-2024-10310"/>
    <s v="invalid date"/>
    <s v="22-07-24"/>
    <s v="CUST-8860"/>
    <s v="Ananya Rao"/>
    <s v="Consumer"/>
    <s v="South"/>
    <s v="Tamil Nadu"/>
    <s v="Chennai"/>
    <s v="Furniture"/>
    <s v="Tables"/>
    <s v="Prime Tables 214"/>
    <s v="First Class"/>
    <s v="Invalid"/>
    <s v="invalid date"/>
    <n v="0.1"/>
    <x v="297"/>
    <x v="297"/>
    <n v="0.441840574448922"/>
    <s v="invalid date"/>
    <s v="22-07-24"/>
    <s v="invalid date"/>
    <s v="invalid date"/>
    <s v="Invalid"/>
    <s v="invalid date"/>
    <s v="Unique"/>
  </r>
  <r>
    <s v="ORD-2024-10311"/>
    <s v="04-07-2024"/>
    <s v="08-07-2024"/>
    <s v="CUST-3784"/>
    <s v="Rohan Mehta"/>
    <s v="Small Business"/>
    <x v="2"/>
    <s v="Tamil Nadu"/>
    <s v="Chennai"/>
    <s v="Technology"/>
    <s v="Machines"/>
    <s v="Max Machines 988"/>
    <s v="First Class"/>
    <n v="8"/>
    <n v="2034.25"/>
    <n v="0"/>
    <n v="16274"/>
    <n v="9424.25"/>
    <n v="6849.75"/>
    <x v="0"/>
    <x v="0"/>
    <m/>
    <s v="ORD-2024-10311"/>
    <s v="04-07-24"/>
    <s v="08-07-24"/>
    <s v="CUST-3784"/>
    <s v="Rohan Mehta"/>
    <s v="Small Business"/>
    <s v="South"/>
    <s v="Tamil Nadu"/>
    <s v="Chennai"/>
    <s v="Technology"/>
    <s v="Machines"/>
    <s v="Max Machines 988"/>
    <s v="First Class"/>
    <s v="anomaly"/>
    <n v="4"/>
    <n v="0"/>
    <x v="298"/>
    <x v="298"/>
    <n v="0.42090143787636719"/>
    <s v="04-07-24"/>
    <s v="08-07-24"/>
    <s v="July"/>
    <s v="2024"/>
    <s v=" "/>
    <n v="4"/>
    <s v="Unique"/>
  </r>
  <r>
    <s v="ORD-2024-10312"/>
    <s v="27-04-2024"/>
    <s v="02-05-2024"/>
    <s v="CUST-3545"/>
    <s v="Mira Das"/>
    <s v="Corporate"/>
    <x v="2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x v="0"/>
    <x v="0"/>
    <m/>
    <s v="ORD-2024-10312"/>
    <s v="27-04-24"/>
    <s v="02-05-24"/>
    <s v="CUST-3545"/>
    <s v="Mira Das"/>
    <s v="Corporate"/>
    <s v="South"/>
    <s v="Karnataka"/>
    <s v="Bengaluru"/>
    <s v="Office Supplies"/>
    <s v="Binders"/>
    <s v="Max Binders 425"/>
    <s v="Second Class"/>
    <s v="  "/>
    <n v="5"/>
    <n v="0.1"/>
    <x v="299"/>
    <x v="299"/>
    <n v="0.29246985777200196"/>
    <s v="27-04-24"/>
    <s v="02-05-24"/>
    <s v="April"/>
    <s v="2024"/>
    <s v="anomaly"/>
    <n v="5"/>
    <s v="Unique"/>
  </r>
  <r>
    <s v="ORD-2024-10313"/>
    <s v="07/31/2024"/>
    <s v="04-08-2024"/>
    <s v="CUST-4851"/>
    <s v="Karan Malhotra"/>
    <s v="Small Business"/>
    <x v="1"/>
    <s v="Assam"/>
    <s v="Guwahati"/>
    <s v="Technology"/>
    <s v="Phones"/>
    <s v="Elite Phones 679"/>
    <s v="Standard Class"/>
    <n v="8"/>
    <n v="2614.7399999999998"/>
    <m/>
    <n v="15688.44"/>
    <n v="10047.33"/>
    <n v="5641.11"/>
    <x v="0"/>
    <x v="1"/>
    <m/>
    <s v="ORD-2024-10313"/>
    <s v="invalid date"/>
    <s v="04-08-24"/>
    <s v="CUST-4851"/>
    <s v="Karan Malhotra"/>
    <s v="Small Business"/>
    <s v="East"/>
    <s v="Assam"/>
    <s v="Guwahati"/>
    <s v="Technology"/>
    <s v="Phones"/>
    <s v="Elite Phones 679"/>
    <s v="Standard Class"/>
    <s v="Invalid"/>
    <s v="invalid date"/>
    <n v="0"/>
    <x v="300"/>
    <x v="300"/>
    <n v="0.5196783427797792"/>
    <s v="invalid date"/>
    <s v="04-08-24"/>
    <s v="invalid date"/>
    <s v="invalid date"/>
    <s v="Invalid"/>
    <s v="invalid date"/>
    <s v="Unique"/>
  </r>
  <r>
    <s v="ORD-2025-10314"/>
    <s v="2025-05-30"/>
    <s v="31-05-2025"/>
    <s v="CUST-4770"/>
    <s v="Rahul Verma"/>
    <s v="Corporate"/>
    <x v="0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x v="1"/>
    <x v="1"/>
    <m/>
    <s v="ORD-2025-10314"/>
    <s v="30-05-25"/>
    <s v="31-05-25"/>
    <s v="CUST-4770"/>
    <s v="Rahul Verma"/>
    <s v="Corporate"/>
    <s v="North"/>
    <s v="Uttar Pradesh"/>
    <s v="Noida"/>
    <s v="Technology"/>
    <s v="Phones"/>
    <s v="Pro Phones 764"/>
    <s v="First Class"/>
    <s v="anomaly"/>
    <n v="1"/>
    <n v="0.25"/>
    <x v="301"/>
    <x v="301"/>
    <n v="0.14182397037933847"/>
    <s v="30-05-25"/>
    <s v="31-05-25"/>
    <s v="May"/>
    <s v="2025"/>
    <s v=" "/>
    <n v="1"/>
    <s v="Unique"/>
  </r>
  <r>
    <s v="ORD-2025-10315"/>
    <s v="05/18/2025"/>
    <s v="20 May 2025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x v="3"/>
    <x v="2"/>
    <m/>
    <s v="ORD-2025-10315"/>
    <s v="invalid date"/>
    <s v="20-05-25"/>
    <s v="CUST-1945"/>
    <s v="Isha Nair"/>
    <s v="Corporate"/>
    <s v="West"/>
    <s v="Madhya Pradesh"/>
    <s v="Indore"/>
    <s v="Office Supplies"/>
    <s v="Labels"/>
    <s v="Elite Labels 544"/>
    <s v="Standard Class"/>
    <s v="Invalid"/>
    <s v="invalid date"/>
    <n v="0.15"/>
    <x v="302"/>
    <x v="302"/>
    <n v="0.17103033846673826"/>
    <s v="invalid date"/>
    <s v="20-05-25"/>
    <s v="invalid date"/>
    <s v="invalid date"/>
    <s v="Invalid"/>
    <s v="invalid date"/>
    <s v="Unique"/>
  </r>
  <r>
    <s v="ORD-2024-10316"/>
    <s v="2024-07-02"/>
    <s v="2024-07-08"/>
    <s v="CUST-7565"/>
    <s v="Rohan Mehta"/>
    <s v="Consumer"/>
    <x v="0"/>
    <s v="Delhi"/>
    <s v="New Delhi"/>
    <s v="Office Supplies"/>
    <s v="Paper"/>
    <s v="Smart Paper 817"/>
    <s v="Standard Class"/>
    <n v="9"/>
    <n v="3450.4"/>
    <n v="0.05"/>
    <n v="29500.92"/>
    <n v="17989.68"/>
    <n v="11511.24"/>
    <x v="2"/>
    <x v="2"/>
    <m/>
    <s v="ORD-2024-10316"/>
    <s v="02-07-24"/>
    <s v="08-07-24"/>
    <s v="CUST-7565"/>
    <s v="Rohan Mehta"/>
    <s v="Consumer"/>
    <s v="North"/>
    <s v="Delhi"/>
    <s v="New Delhi"/>
    <s v="Office Supplies"/>
    <s v="Paper"/>
    <s v="Smart Paper 817"/>
    <s v="Standard Class"/>
    <s v="anomaly"/>
    <n v="6"/>
    <n v="0.05"/>
    <x v="303"/>
    <x v="303"/>
    <n v="0.39019935649464493"/>
    <s v="02-07-24"/>
    <s v="08-07-24"/>
    <s v="July"/>
    <s v="2024"/>
    <s v=" "/>
    <n v="6"/>
    <s v="Unique"/>
  </r>
  <r>
    <s v="ORD-2024-10317"/>
    <s v="16-02-2024"/>
    <s v="02/18/2024"/>
    <s v="CUST-9913"/>
    <s v="Karan Malhotra"/>
    <s v="Corporate"/>
    <x v="0"/>
    <s v="Punjab"/>
    <s v="Ludhiana"/>
    <s v="Office Supplies"/>
    <s v="Labels"/>
    <s v="Classic Labels 466"/>
    <s v="Standard Class"/>
    <n v="2"/>
    <n v="1947.53"/>
    <n v="0.2"/>
    <n v="3116.05"/>
    <n v="1956.63"/>
    <n v="1159.42"/>
    <x v="0"/>
    <x v="1"/>
    <m/>
    <s v="ORD-2024-10317"/>
    <s v="16-02-24"/>
    <s v="invalid date"/>
    <s v="CUST-9913"/>
    <s v="Karan Malhotra"/>
    <s v="Corporate"/>
    <s v="North"/>
    <s v="Punjab"/>
    <s v="Ludhiana"/>
    <s v="Office Supplies"/>
    <s v="Labels"/>
    <s v="Classic Labels 466"/>
    <s v="Standard Class"/>
    <s v="Invalid"/>
    <s v="invalid date"/>
    <n v="0.2"/>
    <x v="304"/>
    <x v="304"/>
    <n v="0.37207963420332424"/>
    <s v="16-02-24"/>
    <s v="invalid date"/>
    <s v="February"/>
    <s v="2024"/>
    <s v="Invalid"/>
    <s v="invalid date"/>
    <s v="Unique"/>
  </r>
  <r>
    <s v="ORD-2025-10318"/>
    <s v="29-08-2025"/>
    <s v="04 Sep 2025"/>
    <s v="CUST-7992"/>
    <s v="Neha Gupta"/>
    <s v="Corporate"/>
    <x v="2"/>
    <s v="Kerala"/>
    <s v="Kochi"/>
    <s v="Furniture"/>
    <s v="Tables"/>
    <s v="Pro Tables 778"/>
    <s v="First Class"/>
    <n v="9"/>
    <n v="2996.97"/>
    <n v="0.15"/>
    <n v="22926.82"/>
    <n v="14621.59"/>
    <n v="8305.23"/>
    <x v="0"/>
    <x v="0"/>
    <m/>
    <s v="ORD-2025-10318"/>
    <s v="29-08-25"/>
    <s v="04-09-25"/>
    <s v="CUST-7992"/>
    <s v="Neha Gupta"/>
    <s v="Corporate"/>
    <s v="South"/>
    <s v="Kerala"/>
    <s v="Kochi"/>
    <s v="Furniture"/>
    <s v="Tables"/>
    <s v="Pro Tables 778"/>
    <s v="First Class"/>
    <s v="  "/>
    <n v="6"/>
    <n v="0.15"/>
    <x v="305"/>
    <x v="305"/>
    <n v="0.36224955396671765"/>
    <s v="29-08-25"/>
    <s v="04-09-25"/>
    <s v="August"/>
    <s v="2025"/>
    <s v="anomaly"/>
    <n v="6"/>
    <s v="Unique"/>
  </r>
  <r>
    <s v="ORD-2024-10319"/>
    <s v="25 Apr 2024"/>
    <s v="30-04-2024"/>
    <s v="CUST-8877"/>
    <s v="Mira Das"/>
    <s v="Small Business"/>
    <x v="2"/>
    <s v="Karnataka"/>
    <s v="Bengaluru"/>
    <s v="Technology"/>
    <s v="Phones"/>
    <s v="Basic Phones 789"/>
    <s v="Standard Class"/>
    <n v="3"/>
    <n v="4149.46"/>
    <n v="0.1"/>
    <n v="11203.54"/>
    <n v="8452.93"/>
    <n v="2750.61"/>
    <x v="0"/>
    <x v="0"/>
    <m/>
    <s v="ORD-2024-10319"/>
    <s v="25-04-24"/>
    <s v="30-04-24"/>
    <s v="CUST-8877"/>
    <s v="Mira Das"/>
    <s v="Small Business"/>
    <s v="South"/>
    <s v="Karnataka"/>
    <s v="Bengaluru"/>
    <s v="Technology"/>
    <s v="Phones"/>
    <s v="Basic Phones 789"/>
    <s v="Standard Class"/>
    <s v="anomaly"/>
    <n v="5"/>
    <n v="0.1"/>
    <x v="306"/>
    <x v="306"/>
    <n v="0.24551271374713468"/>
    <s v="25-04-24"/>
    <s v="30-04-24"/>
    <s v="April"/>
    <s v="2024"/>
    <s v=" "/>
    <n v="5"/>
    <s v="Unique"/>
  </r>
  <r>
    <s v="ORD-2024-10320"/>
    <s v="21 Aug 2024"/>
    <s v="08/25/2024"/>
    <s v="CUST-4589"/>
    <s v="Diya Patel"/>
    <s v="Consumer"/>
    <x v="3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x v="0"/>
    <x v="0"/>
    <m/>
    <s v="ORD-2024-10320"/>
    <s v="21-08-24"/>
    <s v="invalid date"/>
    <s v="CUST-4589"/>
    <s v="Diya Patel"/>
    <s v="Consumer"/>
    <s v="West"/>
    <s v="Gujarat"/>
    <s v="Ahmedabad"/>
    <s v="Office Supplies"/>
    <s v="Binders"/>
    <s v="Prime Binders 554"/>
    <s v="First Class"/>
    <s v="Invalid"/>
    <s v="invalid date"/>
    <n v="0"/>
    <x v="307"/>
    <x v="307"/>
    <n v="0.42156282373834536"/>
    <s v="21-08-24"/>
    <s v="invalid date"/>
    <s v="August"/>
    <s v="2024"/>
    <s v="Invalid"/>
    <s v="invalid date"/>
    <s v="Unique"/>
  </r>
  <r>
    <s v="ORD-2024-10321"/>
    <s v="12/04/2024"/>
    <s v="12/06/2024"/>
    <s v="CUST-4667"/>
    <s v="Aarav Sharma"/>
    <s v="Home Office"/>
    <x v="1"/>
    <s v="West Bengal"/>
    <s v="Kolkata"/>
    <s v="Office Supplies"/>
    <s v="Art"/>
    <s v="Classic Art 299"/>
    <s v="Second Class"/>
    <n v="3"/>
    <n v="876.14"/>
    <s v="invalid"/>
    <n v="2628.42"/>
    <n v="1541.54"/>
    <n v="1086.8800000000001"/>
    <x v="2"/>
    <x v="2"/>
    <m/>
    <s v="ORD-2024-10321"/>
    <s v="12-04-24"/>
    <s v="12-06-24"/>
    <s v="CUST-4667"/>
    <s v="Aarav Sharma"/>
    <s v="Home Office"/>
    <s v="East"/>
    <s v="West Bengal"/>
    <s v="Kolkata"/>
    <s v="Office Supplies"/>
    <s v="Art"/>
    <s v="Classic Art 299"/>
    <s v="Second Class"/>
    <s v="anomaly"/>
    <n v="61"/>
    <s v="invalid"/>
    <x v="2"/>
    <x v="2"/>
    <s v="NA"/>
    <s v="12-04-24"/>
    <s v="12-06-24"/>
    <s v="April"/>
    <s v="2024"/>
    <s v=" "/>
    <n v="61"/>
    <s v="Unique"/>
  </r>
  <r>
    <s v="ORD-2024-10322"/>
    <s v="06/23/2024"/>
    <s v="30 Jun 2024"/>
    <s v="CUST-7821"/>
    <s v="Neha Gupta"/>
    <s v="Small Business"/>
    <x v="3"/>
    <s v="Goa"/>
    <s v="Panaji"/>
    <s v="Technology"/>
    <s v="Accessories"/>
    <s v="Eco Accessories 220"/>
    <s v="Same Day"/>
    <n v="4"/>
    <n v="674.82"/>
    <n v="0"/>
    <n v="2699.28"/>
    <n v="1759.76"/>
    <n v="939.52"/>
    <x v="3"/>
    <x v="1"/>
    <m/>
    <s v="ORD-2024-10322"/>
    <s v="invalid date"/>
    <s v="30-06-24"/>
    <s v="CUST-7821"/>
    <s v="Neha Gupta"/>
    <s v="Small Business"/>
    <s v="West"/>
    <s v="Goa"/>
    <s v="Panaji"/>
    <s v="Technology"/>
    <s v="Accessories"/>
    <s v="Eco Accessories 220"/>
    <s v="Same Day"/>
    <s v="Invalid"/>
    <s v="invalid date"/>
    <n v="0"/>
    <x v="308"/>
    <x v="308"/>
    <n v="0.34806318722029583"/>
    <s v="invalid date"/>
    <s v="30-06-24"/>
    <s v="invalid date"/>
    <s v="invalid date"/>
    <s v="Invalid"/>
    <s v="invalid date"/>
    <s v="Unique"/>
  </r>
  <r>
    <s v="ORD-2024-10323"/>
    <s v="2024-11-12"/>
    <s v="12-11-2024"/>
    <s v="CUST-8579"/>
    <s v="Isha Nair"/>
    <s v="Consumer"/>
    <x v="0"/>
    <s v="Uttar Pradesh"/>
    <s v="Noida"/>
    <s v="Technology"/>
    <s v="Phones"/>
    <s v="Max Phones 422"/>
    <s v="Second Class"/>
    <n v="6"/>
    <n v="1369.48"/>
    <n v="0.15"/>
    <n v="6984.35"/>
    <n v="4023.63"/>
    <n v="2960.72"/>
    <x v="0"/>
    <x v="0"/>
    <m/>
    <s v="ORD-2024-10323"/>
    <s v="12-11-24"/>
    <s v="12-11-24"/>
    <s v="CUST-8579"/>
    <s v="Isha Nair"/>
    <s v="Consumer"/>
    <s v="North"/>
    <s v="Uttar Pradesh"/>
    <s v="Noida"/>
    <s v="Technology"/>
    <s v="Phones"/>
    <s v="Max Phones 422"/>
    <s v="Second Class"/>
    <s v="  "/>
    <n v="0"/>
    <n v="0.15"/>
    <x v="309"/>
    <x v="309"/>
    <n v="0.42390757161584736"/>
    <s v="12-11-24"/>
    <s v="12-11-24"/>
    <s v="November"/>
    <s v="2024"/>
    <s v=" "/>
    <n v="0"/>
    <s v="Unique"/>
  </r>
  <r>
    <s v="ORD-2024-10324"/>
    <s v="25-02-2024"/>
    <s v="29 Feb 2024"/>
    <s v="CUST-6909"/>
    <s v="Isha Nair"/>
    <s v="Small Business"/>
    <x v="3"/>
    <s v="Goa"/>
    <s v="Panaji"/>
    <s v="Furniture"/>
    <s v="Furnishings"/>
    <s v="Eco Furnishings 897"/>
    <s v="Standard Class"/>
    <n v="9"/>
    <n v="1331.46"/>
    <n v="0.15"/>
    <n v="10185.67"/>
    <n v="6479.31"/>
    <n v="3706.36"/>
    <x v="0"/>
    <x v="0"/>
    <m/>
    <s v="ORD-2024-10324"/>
    <s v="25-02-24"/>
    <s v="29-02-24"/>
    <s v="CUST-6909"/>
    <s v="Isha Nair"/>
    <s v="Small Business"/>
    <s v="West"/>
    <s v="Goa"/>
    <s v="Panaji"/>
    <s v="Furniture"/>
    <s v="Furnishings"/>
    <s v="Eco Furnishings 897"/>
    <s v="Standard Class"/>
    <s v="anomaly"/>
    <n v="4"/>
    <n v="0.15"/>
    <x v="310"/>
    <x v="310"/>
    <n v="0.36387978050337189"/>
    <s v="25-02-24"/>
    <s v="29-02-24"/>
    <s v="February"/>
    <s v="2024"/>
    <s v=" "/>
    <n v="4"/>
    <s v="Unique"/>
  </r>
  <r>
    <s v="ORD-2025-10325"/>
    <s v="31 Jul 2025"/>
    <s v="02-08-2025"/>
    <s v="CUST-7212"/>
    <s v="Rohan Mehta"/>
    <s v="Home Office"/>
    <x v="2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x v="0"/>
    <x v="2"/>
    <m/>
    <s v="ORD-2025-10325"/>
    <s v="31-07-25"/>
    <s v="02-08-25"/>
    <s v="CUST-7212"/>
    <s v="Rohan Mehta"/>
    <s v="Home Office"/>
    <s v="South"/>
    <s v="Andhra Pradesh"/>
    <s v="Vijayawada"/>
    <s v="Office Supplies"/>
    <s v="Labels"/>
    <s v="Basic Labels 102"/>
    <s v="Same Day"/>
    <s v="  "/>
    <n v="2"/>
    <n v="0.15"/>
    <x v="311"/>
    <x v="311"/>
    <n v="0.1817348332848141"/>
    <s v="31-07-25"/>
    <s v="02-08-25"/>
    <s v="July"/>
    <s v="2025"/>
    <s v="anomaly"/>
    <n v="2"/>
    <s v="Unique"/>
  </r>
  <r>
    <s v="ORD-2025-10326"/>
    <s v="09/16/2025"/>
    <s v="2025-09-22"/>
    <s v="CUST-7980"/>
    <s v="Sneha Kapoor"/>
    <s v="Home Office"/>
    <x v="1"/>
    <s v="West Bengal"/>
    <s v="Kolkata"/>
    <s v="Technology"/>
    <s v="Copiers"/>
    <s v="Prime Copiers 170"/>
    <s v="Second Class"/>
    <n v="5"/>
    <n v="3671.2"/>
    <n v="0.15"/>
    <n v="15602.6"/>
    <n v="11908.52"/>
    <n v="3694.08"/>
    <x v="0"/>
    <x v="0"/>
    <m/>
    <s v="ORD-2025-10326"/>
    <s v="invalid date"/>
    <s v="22-09-25"/>
    <s v="CUST-7980"/>
    <s v="Sneha Kapoor"/>
    <s v="Home Office"/>
    <s v="East"/>
    <s v="West Bengal"/>
    <s v="Kolkata"/>
    <s v="Technology"/>
    <s v="Copiers"/>
    <s v="Prime Copiers 170"/>
    <s v="Second Class"/>
    <s v="Invalid"/>
    <s v="invalid date"/>
    <n v="0.15"/>
    <x v="312"/>
    <x v="312"/>
    <n v="0.236760539910015"/>
    <s v="invalid date"/>
    <s v="22-09-25"/>
    <s v="invalid date"/>
    <s v="invalid date"/>
    <s v="Invalid"/>
    <s v="invalid date"/>
    <s v="Unique"/>
  </r>
  <r>
    <s v="ORD-2025-10327"/>
    <s v="2025-07-22"/>
    <s v="07/22/2025"/>
    <s v="CUST-1966"/>
    <s v="Sneha Kapoor"/>
    <s v="Corporate"/>
    <x v="1"/>
    <s v="Jharkhand"/>
    <s v="Ranchi"/>
    <s v="Furniture"/>
    <s v="Furnishings"/>
    <s v="Smart Furnishings 533"/>
    <s v="Same Day"/>
    <n v="5"/>
    <n v="3187.05"/>
    <n v="0.05"/>
    <n v="15138.49"/>
    <n v="11235.72"/>
    <n v="3902.77"/>
    <x v="0"/>
    <x v="0"/>
    <m/>
    <s v="ORD-2025-10327"/>
    <s v="22-07-25"/>
    <s v="invalid date"/>
    <s v="CUST-1966"/>
    <s v="Sneha Kapoor"/>
    <s v="Corporate"/>
    <s v="East"/>
    <s v="Jharkhand"/>
    <s v="Ranchi"/>
    <s v="Furniture"/>
    <s v="Furnishings"/>
    <s v="Smart Furnishings 533"/>
    <s v="Same Day"/>
    <s v="Invalid"/>
    <s v="invalid date"/>
    <n v="0.05"/>
    <x v="313"/>
    <x v="313"/>
    <n v="0.25780432160082045"/>
    <s v="22-07-25"/>
    <s v="invalid date"/>
    <s v="July"/>
    <s v="2025"/>
    <s v="Invalid"/>
    <s v="invalid date"/>
    <s v="Unique"/>
  </r>
  <r>
    <s v="ORD-2024-10328"/>
    <s v="2024-07-24"/>
    <s v="27-07-2024"/>
    <s v="CUST-6163"/>
    <s v="Isha Nair"/>
    <s v="Consumer"/>
    <x v="3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x v="2"/>
    <x v="1"/>
    <m/>
    <s v="ORD-2024-10328"/>
    <s v="24-07-24"/>
    <s v="27-07-24"/>
    <s v="CUST-6163"/>
    <s v="Isha Nair"/>
    <s v="Consumer"/>
    <s v="West"/>
    <s v="Rajasthan"/>
    <s v="Udaipur"/>
    <s v="Technology"/>
    <s v="Accessories"/>
    <s v="Classic Accessories 489"/>
    <s v="Second Class"/>
    <s v="anomaly"/>
    <n v="3"/>
    <n v="0.2"/>
    <x v="314"/>
    <x v="314"/>
    <n v="0.32001035676323897"/>
    <s v="24-07-24"/>
    <s v="27-07-24"/>
    <s v="July"/>
    <s v="2024"/>
    <s v=" "/>
    <n v="3"/>
    <s v="Unique"/>
  </r>
  <r>
    <s v="ORD-2025-10329"/>
    <s v="2025-05-29"/>
    <s v="04 Jun 2025"/>
    <s v="CUST-7239"/>
    <s v="Diya Patel"/>
    <s v="Consumer"/>
    <x v="3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x v="0"/>
    <x v="0"/>
    <m/>
    <s v="ORD-2025-10329"/>
    <s v="29-05-25"/>
    <s v="04-06-25"/>
    <s v="CUST-7239"/>
    <s v="Diya Patel"/>
    <s v="Consumer"/>
    <s v="West"/>
    <s v="Maharashtra"/>
    <s v="Mumbai"/>
    <s v="Office Supplies"/>
    <s v="Storage"/>
    <s v="Smart Storage 439"/>
    <s v="First Class"/>
    <s v="  "/>
    <n v="6"/>
    <n v="0"/>
    <x v="315"/>
    <x v="315"/>
    <n v="0.1488802456235406"/>
    <s v="29-05-25"/>
    <s v="04-06-25"/>
    <s v="May"/>
    <s v="2025"/>
    <s v="anomaly"/>
    <n v="6"/>
    <s v="Unique"/>
  </r>
  <r>
    <s v="ORD-2025-10330"/>
    <s v="12 May 2025"/>
    <s v="2025-05-18"/>
    <s v="CUST-9718"/>
    <s v="Neha Gupta"/>
    <s v="Small Business"/>
    <x v="3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x v="0"/>
    <x v="0"/>
    <m/>
    <s v="ORD-2025-10330"/>
    <s v="12-05-25"/>
    <s v="18-05-25"/>
    <s v="CUST-9718"/>
    <s v="Neha Gupta"/>
    <s v="Small Business"/>
    <s v="West"/>
    <s v="Maharashtra"/>
    <s v="Mumbai"/>
    <s v="Office Supplies"/>
    <s v="Storage"/>
    <s v="Prime Storage 232"/>
    <s v="Standard Class"/>
    <s v="anomaly"/>
    <n v="6"/>
    <n v="0.05"/>
    <x v="316"/>
    <x v="316"/>
    <n v="0.43833963336331738"/>
    <s v="12-05-25"/>
    <s v="18-05-25"/>
    <s v="May"/>
    <s v="2025"/>
    <s v=" "/>
    <n v="6"/>
    <s v="Unique"/>
  </r>
  <r>
    <s v="ORD-2024-10331"/>
    <s v="05/16/2024"/>
    <s v="05/24/2024"/>
    <s v="CUST-1116"/>
    <s v="Arjun Bose"/>
    <s v="Home Office"/>
    <x v="0"/>
    <s v="Punjab"/>
    <s v="Ludhiana"/>
    <s v="Technology"/>
    <s v="Accessories"/>
    <s v="Prime Accessories 335"/>
    <s v="Same Day"/>
    <n v="1"/>
    <n v="783.09"/>
    <n v="0"/>
    <n v="783.09"/>
    <n v="503.89"/>
    <n v="279.2"/>
    <x v="3"/>
    <x v="1"/>
    <m/>
    <s v="ORD-2024-10331"/>
    <s v="invalid date"/>
    <s v="invalid date"/>
    <s v="CUST-1116"/>
    <s v="Arjun Bose"/>
    <s v="Home Office"/>
    <s v="North"/>
    <s v="Punjab"/>
    <s v="Ludhiana"/>
    <s v="Technology"/>
    <s v="Accessories"/>
    <s v="Prime Accessories 335"/>
    <s v="Same Day"/>
    <s v="Invalid"/>
    <s v="invalid date"/>
    <n v="0"/>
    <x v="317"/>
    <x v="317"/>
    <n v="0.3565362857398256"/>
    <s v="invalid date"/>
    <s v="invalid date"/>
    <s v="invalid date"/>
    <s v="invalid date"/>
    <s v="Invalid"/>
    <s v="invalid date"/>
    <s v="Unique"/>
  </r>
  <r>
    <s v="ORD-2024-10332"/>
    <s v="04-12-2024"/>
    <s v="2024-12-06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x v="0"/>
    <x v="2"/>
    <m/>
    <s v="ORD-2024-10332"/>
    <s v="04-12-24"/>
    <s v="06-12-24"/>
    <s v="CUST-9346"/>
    <s v="Sneha Kapoor"/>
    <s v="Home Office"/>
    <s v="East"/>
    <s v="Odisha"/>
    <s v="Bhubaneswar"/>
    <s v="Office Supplies"/>
    <s v="Binders"/>
    <s v="Smart Binders 939"/>
    <s v="Second Class"/>
    <s v="anomaly"/>
    <n v="2"/>
    <n v="0"/>
    <x v="318"/>
    <x v="318"/>
    <n v="0.39704113700170535"/>
    <s v="04-12-24"/>
    <s v="06-12-24"/>
    <s v="December"/>
    <s v="2024"/>
    <s v=" "/>
    <n v="2"/>
    <s v="Unique"/>
  </r>
  <r>
    <s v="ORD-2025-10333"/>
    <s v="27 May 2025"/>
    <s v="2025-05-28"/>
    <s v="CUST-5332"/>
    <s v="Aarav Sharma"/>
    <s v="Consumer"/>
    <x v="2"/>
    <s v="Andhra Pradesh"/>
    <s v="Vijayawada"/>
    <s v="Technology"/>
    <s v="Machines"/>
    <s v="Basic Machines 601"/>
    <s v="Second Class"/>
    <n v="2"/>
    <n v="3911.96"/>
    <n v="0"/>
    <n v="7823.92"/>
    <n v="6034.63"/>
    <n v="1789.29"/>
    <x v="0"/>
    <x v="0"/>
    <m/>
    <s v="ORD-2025-10333"/>
    <s v="27-05-25"/>
    <s v="28-05-25"/>
    <s v="CUST-5332"/>
    <s v="Aarav Sharma"/>
    <s v="Consumer"/>
    <s v="South"/>
    <s v="Andhra Pradesh"/>
    <s v="Vijayawada"/>
    <s v="Technology"/>
    <s v="Machines"/>
    <s v="Basic Machines 601"/>
    <s v="Second Class"/>
    <s v="anomaly"/>
    <n v="1"/>
    <n v="0"/>
    <x v="319"/>
    <x v="319"/>
    <n v="0.22869482305545047"/>
    <s v="27-05-25"/>
    <s v="28-05-25"/>
    <s v="May"/>
    <s v="2025"/>
    <s v=" "/>
    <n v="1"/>
    <s v="Unique"/>
  </r>
  <r>
    <s v="ORD-2025-10334"/>
    <s v="22 Jun 2025"/>
    <s v="2025-06-27"/>
    <s v="CUST-8081"/>
    <s v="Rohan Mehta"/>
    <s v="Home Office"/>
    <x v="4"/>
    <s v="Delhi"/>
    <s v="New Delhi"/>
    <s v="Technology"/>
    <s v="Phones"/>
    <s v="Pro Phones 968"/>
    <s v="First Class"/>
    <n v="2"/>
    <n v="1468.05"/>
    <n v="0"/>
    <n v="2936.1"/>
    <n v="1923.1"/>
    <n v="1013"/>
    <x v="0"/>
    <x v="0"/>
    <m/>
    <s v="ORD-2025-10334"/>
    <s v="22-06-25"/>
    <s v="27-06-25"/>
    <s v="CUST-8081"/>
    <s v="Rohan Mehta"/>
    <s v="Home Office"/>
    <s v="unknown"/>
    <s v="Delhi"/>
    <s v="New Delhi"/>
    <s v="Technology"/>
    <s v="Phones"/>
    <s v="Pro Phones 968"/>
    <s v="First Class"/>
    <s v="anomaly"/>
    <n v="5"/>
    <n v="0"/>
    <x v="320"/>
    <x v="320"/>
    <n v="0.34501549674738602"/>
    <s v="22-06-25"/>
    <s v="27-06-25"/>
    <s v="June"/>
    <s v="2025"/>
    <s v=" "/>
    <n v="5"/>
    <s v="Unique"/>
  </r>
  <r>
    <s v="ORD-2024-10335"/>
    <s v="12 Sep 2024"/>
    <s v="17-09-2024"/>
    <s v="CUST-3062"/>
    <s v="Ananya Rao"/>
    <s v="Consumer"/>
    <x v="1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x v="0"/>
    <x v="0"/>
    <m/>
    <s v="ORD-2024-10335"/>
    <s v="12-09-24"/>
    <s v="17-09-24"/>
    <s v="CUST-3062"/>
    <s v="Ananya Rao"/>
    <s v="Consumer"/>
    <s v="East"/>
    <s v="Jharkhand"/>
    <s v="Ranchi"/>
    <s v="Office Supplies"/>
    <s v="Storage"/>
    <s v="Pro Storage 563"/>
    <s v="First Class"/>
    <s v="anomaly"/>
    <n v="5"/>
    <n v="0.25"/>
    <x v="321"/>
    <x v="321"/>
    <n v="0.27536498386941027"/>
    <s v="12-09-24"/>
    <s v="17-09-24"/>
    <s v="September"/>
    <s v="2024"/>
    <s v=" "/>
    <n v="5"/>
    <s v="Unique"/>
  </r>
  <r>
    <s v="ORD-2025-10336"/>
    <s v="06/16/2025"/>
    <s v="18 Jun 2025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581.3"/>
    <n v="6829.43"/>
    <n v="4751.87"/>
    <x v="0"/>
    <x v="0"/>
    <m/>
    <s v="ORD-2025-10336"/>
    <s v="invalid date"/>
    <s v="18-06-25"/>
    <s v="CUST-3621"/>
    <s v="Rahul Verma"/>
    <s v="Home Office"/>
    <s v="West"/>
    <s v="Madhya Pradesh"/>
    <s v="Indore"/>
    <s v="Office Supplies"/>
    <s v="Paper"/>
    <s v="Prime Paper 559"/>
    <s v="First Class"/>
    <s v="Invalid"/>
    <s v="invalid date"/>
    <n v="0.1"/>
    <x v="322"/>
    <x v="322"/>
    <n v="0.41030535521101735"/>
    <s v="invalid date"/>
    <s v="18-06-25"/>
    <s v="invalid date"/>
    <s v="invalid date"/>
    <s v="Invalid"/>
    <s v="invalid date"/>
    <s v="Unique"/>
  </r>
  <r>
    <s v="ORD-2024-10337"/>
    <s v="17-03-2024"/>
    <s v="03/21/2024"/>
    <s v="CUST-2103"/>
    <s v="Aarav Sharma"/>
    <s v="Consumer"/>
    <x v="0"/>
    <s v="Rajasthan"/>
    <s v="Jaipur"/>
    <s v="Technology"/>
    <s v="Copiers"/>
    <s v="Pro Copiers 999"/>
    <s v="First Class"/>
    <n v="8"/>
    <n v="1992.57"/>
    <n v="0"/>
    <n v="15940.56"/>
    <n v="12347.15"/>
    <n v="3593.41"/>
    <x v="0"/>
    <x v="0"/>
    <m/>
    <s v="ORD-2024-10337"/>
    <s v="17-03-24"/>
    <s v="invalid date"/>
    <s v="CUST-2103"/>
    <s v="Aarav Sharma"/>
    <s v="Consumer"/>
    <s v="North"/>
    <s v="Rajasthan"/>
    <s v="Jaipur"/>
    <s v="Technology"/>
    <s v="Copiers"/>
    <s v="Pro Copiers 999"/>
    <s v="First Class"/>
    <s v="Invalid"/>
    <s v="invalid date"/>
    <n v="0"/>
    <x v="323"/>
    <x v="323"/>
    <n v="0.2254255810335396"/>
    <s v="17-03-24"/>
    <s v="invalid date"/>
    <s v="March"/>
    <s v="2024"/>
    <s v="Invalid"/>
    <s v="invalid date"/>
    <s v="Unique"/>
  </r>
  <r>
    <s v="ORD-2024-10338"/>
    <s v="12 Aug 2024"/>
    <s v="18 Aug 2024"/>
    <s v="CUST-4599"/>
    <s v="Ananya Rao"/>
    <s v="Consumer"/>
    <x v="1"/>
    <s v="Assam"/>
    <s v="Guwahati"/>
    <s v="Office Supplies"/>
    <s v="Labels"/>
    <s v="Classic Labels 206"/>
    <s v="Same Day"/>
    <n v="6"/>
    <n v="1181.74"/>
    <n v="0"/>
    <n v="7090.44"/>
    <n v="5672.27"/>
    <n v="1262.8699999999999"/>
    <x v="0"/>
    <x v="0"/>
    <m/>
    <s v="ORD-2024-10338"/>
    <s v="12-08-24"/>
    <s v="18-08-24"/>
    <s v="CUST-4599"/>
    <s v="Ananya Rao"/>
    <s v="Consumer"/>
    <s v="East"/>
    <s v="Assam"/>
    <s v="Guwahati"/>
    <s v="Office Supplies"/>
    <s v="Labels"/>
    <s v="Classic Labels 206"/>
    <s v="Same Day"/>
    <s v="anomaly"/>
    <n v="6"/>
    <n v="0"/>
    <x v="324"/>
    <x v="324"/>
    <n v="0.20001156486762456"/>
    <s v="12-08-24"/>
    <s v="18-08-24"/>
    <s v="August"/>
    <s v="2024"/>
    <s v=" "/>
    <n v="6"/>
    <s v="Unique"/>
  </r>
  <r>
    <s v="ORD-2024-10339"/>
    <s v="08-12-2024"/>
    <s v="12/08/2024"/>
    <s v="CUST-3066"/>
    <s v="Arjun Bose"/>
    <s v="Small Business"/>
    <x v="2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x v="0"/>
    <x v="0"/>
    <m/>
    <s v="ORD-2024-10339"/>
    <s v="08-12-24"/>
    <s v="12-08-24"/>
    <s v="CUST-3066"/>
    <s v="Arjun Bose"/>
    <s v="Small Business"/>
    <s v="South"/>
    <s v="Andhra Pradesh"/>
    <s v="Vijayawada"/>
    <s v="Technology"/>
    <s v="Accessories"/>
    <s v="Eco Accessories 315"/>
    <s v="First Class"/>
    <s v="anomaly"/>
    <n v="-118"/>
    <n v="0.25"/>
    <x v="325"/>
    <x v="325"/>
    <n v="0.17383214154832097"/>
    <s v="08-12-24"/>
    <s v="12-08-24"/>
    <s v="December"/>
    <s v="2024"/>
    <s v=" "/>
    <n v="-118"/>
    <s v="Unique"/>
  </r>
  <r>
    <s v="ORD-2025-10340"/>
    <s v="20-02-2025"/>
    <s v="22-02-2025"/>
    <s v="CUST-2752"/>
    <s v="Neha Gupta"/>
    <s v="Corporate"/>
    <x v="1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x v="0"/>
    <x v="0"/>
    <m/>
    <s v="ORD-2025-10340"/>
    <s v="20-02-25"/>
    <s v="22-02-25"/>
    <s v="CUST-2752"/>
    <s v="Neha Gupta"/>
    <s v="Corporate"/>
    <s v="East"/>
    <s v="Jharkhand"/>
    <s v="Ranchi"/>
    <s v="Furniture"/>
    <s v="Bookcases"/>
    <s v="Elite Bookcases 988"/>
    <s v="Standard Class"/>
    <s v="anomaly"/>
    <n v="2"/>
    <n v="0.2"/>
    <x v="326"/>
    <x v="326"/>
    <n v="0.40130991714026759"/>
    <s v="20-02-25"/>
    <s v="22-02-25"/>
    <s v="February"/>
    <s v="2025"/>
    <s v=" "/>
    <n v="2"/>
    <s v="Unique"/>
  </r>
  <r>
    <s v="ORD-2024-10341"/>
    <s v="21 Jan 2024"/>
    <s v="01/29/2024"/>
    <s v="CUST-6291"/>
    <s v="Neha Gupta"/>
    <s v="Consumer"/>
    <x v="2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x v="0"/>
    <x v="0"/>
    <m/>
    <s v="ORD-2024-10341"/>
    <s v="21-01-24"/>
    <s v="invalid date"/>
    <s v="CUST-6291"/>
    <s v="Neha Gupta"/>
    <s v="Consumer"/>
    <s v="South"/>
    <s v="Karnataka"/>
    <s v="Bengaluru"/>
    <s v="Office Supplies"/>
    <s v="Binders"/>
    <s v="Smart Binders 414"/>
    <s v="Standard Class"/>
    <s v="Invalid"/>
    <s v="invalid date"/>
    <n v="0.1"/>
    <x v="327"/>
    <x v="327"/>
    <n v="0.3757343374206521"/>
    <s v="21-01-24"/>
    <s v="invalid date"/>
    <s v="January"/>
    <s v="2024"/>
    <s v="Invalid"/>
    <s v="invalid date"/>
    <s v="Unique"/>
  </r>
  <r>
    <s v="ORD-2025-10342"/>
    <s v="08 Sep 2025"/>
    <s v="2025-09-09"/>
    <s v="CUST-9969"/>
    <s v="Rohan Mehta"/>
    <s v="Home Office"/>
    <x v="3"/>
    <s v="Gujarat"/>
    <s v="Ahmedabad"/>
    <s v="Furniture"/>
    <s v="Chairs"/>
    <s v="Eco Chairs 552"/>
    <s v="Second Class"/>
    <n v="2"/>
    <n v="3960.33"/>
    <n v="0.05"/>
    <n v="7524.63"/>
    <n v="6229.6"/>
    <n v="1295.03"/>
    <x v="0"/>
    <x v="0"/>
    <m/>
    <s v="ORD-2025-10342"/>
    <s v="08-09-25"/>
    <s v="09-09-25"/>
    <s v="CUST-9969"/>
    <s v="Rohan Mehta"/>
    <s v="Home Office"/>
    <s v="West"/>
    <s v="Gujarat"/>
    <s v="Ahmedabad"/>
    <s v="Furniture"/>
    <s v="Chairs"/>
    <s v="Eco Chairs 552"/>
    <s v="Second Class"/>
    <s v="anomaly"/>
    <n v="1"/>
    <n v="0.05"/>
    <x v="328"/>
    <x v="328"/>
    <n v="0.17210514222166751"/>
    <s v="08-09-25"/>
    <s v="09-09-25"/>
    <s v="September"/>
    <s v="2025"/>
    <s v=" "/>
    <n v="1"/>
    <s v="Unique"/>
  </r>
  <r>
    <s v="ORD-2025-10343"/>
    <s v="24-07-2025"/>
    <s v="01-08-2025"/>
    <s v="CUST-3335"/>
    <s v="Kabir Singh"/>
    <s v="Small Business"/>
    <x v="1"/>
    <s v="Jharkhand"/>
    <s v="Ranchi"/>
    <s v="Office Supplies"/>
    <s v="Binders"/>
    <s v="Smart Binders 574"/>
    <s v="First Class"/>
    <n v="8"/>
    <n v="1528.92"/>
    <n v="0"/>
    <n v="12231.36"/>
    <n v="8766.9"/>
    <n v="3464.46"/>
    <x v="0"/>
    <x v="0"/>
    <m/>
    <s v="ORD-2025-10343"/>
    <s v="24-07-25"/>
    <s v="01-08-25"/>
    <s v="CUST-3335"/>
    <s v="Kabir Singh"/>
    <s v="Small Business"/>
    <s v="East"/>
    <s v="Jharkhand"/>
    <s v="Ranchi"/>
    <s v="Office Supplies"/>
    <s v="Binders"/>
    <s v="Smart Binders 574"/>
    <s v="First Class"/>
    <s v="  "/>
    <n v="8"/>
    <n v="0"/>
    <x v="329"/>
    <x v="329"/>
    <n v="0.28324405462679547"/>
    <s v="24-07-25"/>
    <s v="01-08-25"/>
    <s v="July"/>
    <s v="2025"/>
    <s v="anomaly"/>
    <n v="8"/>
    <s v="Unique"/>
  </r>
  <r>
    <s v="ORD-2025-10344"/>
    <s v="10/03/2025"/>
    <s v="08 Oct 2025"/>
    <s v="CUST-7358"/>
    <s v="Aarav Sharma"/>
    <s v="Corporate"/>
    <x v="3"/>
    <s v="Madhya Pradesh"/>
    <s v="Indore"/>
    <s v="Technology"/>
    <s v="Machines"/>
    <s v="Pro Machines 444"/>
    <s v="Same Day"/>
    <n v="9"/>
    <n v="3837"/>
    <n v="0.1"/>
    <n v="31079.7"/>
    <n v="17758.25"/>
    <n v="13321.45"/>
    <x v="0"/>
    <x v="0"/>
    <m/>
    <s v="ORD-2025-10344"/>
    <s v="10-03-25"/>
    <s v="08-10-25"/>
    <s v="CUST-7358"/>
    <s v="Aarav Sharma"/>
    <s v="Corporate"/>
    <s v="West"/>
    <s v="Madhya Pradesh"/>
    <s v="Indore"/>
    <s v="Technology"/>
    <s v="Machines"/>
    <s v="Pro Machines 444"/>
    <s v="Same Day"/>
    <s v="  "/>
    <n v="212"/>
    <n v="0.1"/>
    <x v="330"/>
    <x v="330"/>
    <n v="0.4286222196481948"/>
    <s v="10-03-25"/>
    <s v="08-10-25"/>
    <s v="March"/>
    <s v="2025"/>
    <s v="anomaly"/>
    <n v="212"/>
    <s v="Unique"/>
  </r>
  <r>
    <s v="ORD-2024-10345"/>
    <s v="11-03-2024"/>
    <s v="11-03-2024"/>
    <s v="CUST-8025"/>
    <s v="Priya Menon"/>
    <s v="Consumer"/>
    <x v="0"/>
    <s v="Punjab"/>
    <s v="Ludhiana"/>
    <s v="Furniture"/>
    <s v="Bookcases"/>
    <s v="Elite Bookcases 184"/>
    <s v="Same Day"/>
    <n v="9"/>
    <n v="3456.38"/>
    <n v="0"/>
    <n v="31107.42"/>
    <n v="20146.66"/>
    <n v="10960.76"/>
    <x v="2"/>
    <x v="2"/>
    <m/>
    <s v="ORD-2024-10345"/>
    <s v="11-03-24"/>
    <s v="11-03-24"/>
    <s v="CUST-8025"/>
    <s v="Priya Menon"/>
    <s v="Consumer"/>
    <s v="North"/>
    <s v="Punjab"/>
    <s v="Ludhiana"/>
    <s v="Furniture"/>
    <s v="Bookcases"/>
    <s v="Elite Bookcases 184"/>
    <s v="Same Day"/>
    <s v="  "/>
    <n v="0"/>
    <n v="0"/>
    <x v="331"/>
    <x v="331"/>
    <n v="0.3523519468988428"/>
    <s v="11-03-24"/>
    <s v="11-03-24"/>
    <s v="March"/>
    <s v="2024"/>
    <s v=" "/>
    <n v="0"/>
    <s v="Unique"/>
  </r>
  <r>
    <s v="ORD-2024-10346"/>
    <s v="2024-09-14"/>
    <s v="2024-09-22"/>
    <s v="CUST-4634"/>
    <s v="Karan Malhotra"/>
    <s v="Consumer"/>
    <x v="3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x v="0"/>
    <x v="0"/>
    <m/>
    <s v="ORD-2024-10346"/>
    <s v="14-09-24"/>
    <s v="22-09-24"/>
    <s v="CUST-4634"/>
    <s v="Karan Malhotra"/>
    <s v="Consumer"/>
    <s v="West"/>
    <s v="Madhya Pradesh"/>
    <s v="Indore"/>
    <s v="Furniture"/>
    <s v="Furnishings"/>
    <s v="Elite Furnishings 138"/>
    <s v="Second Class"/>
    <s v="anomaly"/>
    <n v="8"/>
    <n v="0"/>
    <x v="332"/>
    <x v="332"/>
    <n v="0.19482334647235391"/>
    <s v="14-09-24"/>
    <s v="22-09-24"/>
    <s v="September"/>
    <s v="2024"/>
    <s v=" "/>
    <n v="8"/>
    <s v="Unique"/>
  </r>
  <r>
    <s v="ORD-2025-10347"/>
    <s v="2025-07-22"/>
    <s v="28-07-2025"/>
    <s v="CUST-3400"/>
    <s v="Rahul Verma"/>
    <s v="Corporate"/>
    <x v="2"/>
    <s v="Kerala"/>
    <s v="Kochi"/>
    <s v="Furniture"/>
    <s v="Chairs"/>
    <s v="Eco Chairs 369"/>
    <s v="Second Class"/>
    <n v="6"/>
    <n v="1607.46"/>
    <n v="0.2"/>
    <n v="7715.81"/>
    <n v="4258.42"/>
    <n v="3457.39"/>
    <x v="0"/>
    <x v="0"/>
    <m/>
    <s v="ORD-2025-10347"/>
    <s v="22-07-25"/>
    <s v="28-07-25"/>
    <s v="CUST-3400"/>
    <s v="Rahul Verma"/>
    <s v="Corporate"/>
    <s v="South"/>
    <s v="Kerala"/>
    <s v="Kochi"/>
    <s v="Furniture"/>
    <s v="Chairs"/>
    <s v="Eco Chairs 369"/>
    <s v="Second Class"/>
    <s v="anomaly"/>
    <n v="6"/>
    <n v="0.2"/>
    <x v="333"/>
    <x v="333"/>
    <n v="0.4480915025360922"/>
    <s v="22-07-25"/>
    <s v="28-07-25"/>
    <s v="July"/>
    <s v="2025"/>
    <s v=" "/>
    <n v="6"/>
    <s v="Unique"/>
  </r>
  <r>
    <s v="ORD-2024-10348"/>
    <s v="01-12-2024"/>
    <s v="12/08/2024"/>
    <s v="CUST-1172"/>
    <s v="Aarav Sharma"/>
    <s v="Small Business"/>
    <x v="3"/>
    <s v="Goa"/>
    <s v="Panaji"/>
    <s v="Furniture"/>
    <s v="Chairs"/>
    <s v="Max Chairs 487"/>
    <s v="Second Class"/>
    <n v="5"/>
    <n v="2981.49"/>
    <n v="0.2"/>
    <n v="11925.96"/>
    <n v="10103.51"/>
    <n v="1822.45"/>
    <x v="1"/>
    <x v="2"/>
    <m/>
    <s v="ORD-2024-10348"/>
    <s v="01-12-24"/>
    <s v="12-08-24"/>
    <s v="CUST-1172"/>
    <s v="Aarav Sharma"/>
    <s v="Small Business"/>
    <s v="West"/>
    <s v="Goa"/>
    <s v="Panaji"/>
    <s v="Furniture"/>
    <s v="Chairs"/>
    <s v="Max Chairs 487"/>
    <s v="Second Class"/>
    <s v="anomaly"/>
    <n v="-111"/>
    <n v="0.2"/>
    <x v="334"/>
    <x v="334"/>
    <n v="0.15281369382422874"/>
    <s v="01-12-24"/>
    <s v="12-08-24"/>
    <s v="December"/>
    <s v="2024"/>
    <s v=" "/>
    <n v="-111"/>
    <s v="Unique"/>
  </r>
  <r>
    <s v="ORD-2024-10349"/>
    <s v="06/02/2024"/>
    <s v="06/07/2024"/>
    <s v="CUST-9517"/>
    <s v="Aarav Sharma"/>
    <s v="Corporate"/>
    <x v="2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x v="0"/>
    <x v="0"/>
    <m/>
    <s v="ORD-2024-10349"/>
    <s v="06-02-24"/>
    <s v="06-07-24"/>
    <s v="CUST-9517"/>
    <s v="Aarav Sharma"/>
    <s v="Corporate"/>
    <s v="South"/>
    <s v="Karnataka"/>
    <s v="Bengaluru"/>
    <s v="Technology"/>
    <s v="Phones"/>
    <s v="Classic Phones 989"/>
    <s v="Same Day"/>
    <s v="anomaly"/>
    <n v="151"/>
    <n v="0.25"/>
    <x v="335"/>
    <x v="335"/>
    <n v="0.25195197225012717"/>
    <s v="06-02-24"/>
    <s v="06-07-24"/>
    <s v="February"/>
    <s v="2024"/>
    <s v=" "/>
    <n v="151"/>
    <s v="Unique"/>
  </r>
  <r>
    <s v="ORD-2025-10350"/>
    <s v="27-09-2025"/>
    <s v="09/29/2025"/>
    <s v="CUST-6697"/>
    <s v="Kabir Singh"/>
    <s v="Home Office"/>
    <x v="1"/>
    <s v="Jharkhand"/>
    <s v="Ranchi"/>
    <s v="Furniture"/>
    <s v="Furnishings"/>
    <s v="Max Furnishings 628"/>
    <s v="Second Class"/>
    <n v="9"/>
    <n v="2867.55"/>
    <n v="0.25"/>
    <n v="19355.96"/>
    <n v="15012.45"/>
    <n v="4017.4"/>
    <x v="0"/>
    <x v="0"/>
    <m/>
    <s v="ORD-2025-10350"/>
    <s v="27-09-25"/>
    <s v="invalid date"/>
    <s v="CUST-6697"/>
    <s v="Kabir Singh"/>
    <s v="Home Office"/>
    <s v="East"/>
    <s v="Jharkhand"/>
    <s v="Ranchi"/>
    <s v="Furniture"/>
    <s v="Furnishings"/>
    <s v="Max Furnishings 628"/>
    <s v="Second Class"/>
    <s v="Invalid"/>
    <s v="invalid date"/>
    <n v="0.25"/>
    <x v="336"/>
    <x v="336"/>
    <n v="0.22440178317146461"/>
    <s v="27-09-25"/>
    <s v="invalid date"/>
    <s v="September"/>
    <s v="2025"/>
    <s v="Invalid"/>
    <s v="invalid date"/>
    <s v="Unique"/>
  </r>
  <r>
    <s v="ORD-2024-10351"/>
    <s v="07-01-2024"/>
    <s v="14 Jan 2024"/>
    <s v="CUST-7644"/>
    <s v="Sneha Kapoor"/>
    <s v="Small Business"/>
    <x v="1"/>
    <s v="Jharkhand"/>
    <s v="Ranchi"/>
    <s v="Furniture"/>
    <s v="Furnishings"/>
    <s v="Elite Furnishings 279"/>
    <s v="Second Class"/>
    <n v="4"/>
    <n v="3309.54"/>
    <n v="0.1"/>
    <n v="11914.34"/>
    <n v="9771.24"/>
    <n v="2143.1"/>
    <x v="1"/>
    <x v="2"/>
    <m/>
    <s v="ORD-2024-10351"/>
    <s v="07-01-24"/>
    <s v="14-01-24"/>
    <s v="CUST-7644"/>
    <s v="Sneha Kapoor"/>
    <s v="Small Business"/>
    <s v="East"/>
    <s v="Jharkhand"/>
    <s v="Ranchi"/>
    <s v="Furniture"/>
    <s v="Furnishings"/>
    <s v="Elite Furnishings 279"/>
    <s v="Second Class"/>
    <s v="anomaly"/>
    <n v="7"/>
    <n v="0.1"/>
    <x v="337"/>
    <x v="337"/>
    <n v="0.17987595456367561"/>
    <s v="07-01-24"/>
    <s v="14-01-24"/>
    <s v="January"/>
    <s v="2024"/>
    <s v=" "/>
    <n v="7"/>
    <s v="Unique"/>
  </r>
  <r>
    <s v="ORD-2025-10352"/>
    <s v="23-05-2025"/>
    <s v="27 May 2025"/>
    <s v="CUST-9963"/>
    <s v="Vikram Iyer"/>
    <s v="Small Business"/>
    <x v="2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x v="2"/>
    <x v="1"/>
    <m/>
    <s v="ORD-2025-10352"/>
    <s v="23-05-25"/>
    <s v="27-05-25"/>
    <s v="CUST-9963"/>
    <s v="Vikram Iyer"/>
    <s v="Small Business"/>
    <s v="South"/>
    <s v="Telangana"/>
    <s v="Hyderabad"/>
    <s v="Office Supplies"/>
    <s v="Storage"/>
    <s v="Pro Storage 847"/>
    <s v="First Class"/>
    <s v="anomaly"/>
    <n v="4"/>
    <n v="0.25"/>
    <x v="338"/>
    <x v="338"/>
    <n v="0.34568244437031276"/>
    <s v="23-05-25"/>
    <s v="27-05-25"/>
    <s v="May"/>
    <s v="2025"/>
    <s v=" "/>
    <n v="4"/>
    <s v="Unique"/>
  </r>
  <r>
    <s v="ORD-2025-10353"/>
    <s v="15 Aug 2025"/>
    <s v="08/17/2025"/>
    <s v="CUST-6382"/>
    <s v="Diya Patel"/>
    <s v="Small Business"/>
    <x v="1"/>
    <s v="Assam"/>
    <s v="Guwahati"/>
    <s v="Technology"/>
    <s v="Copiers"/>
    <s v="Elite Copiers 706"/>
    <s v="First Class"/>
    <n v="5"/>
    <n v="2862.6"/>
    <n v="0.25"/>
    <n v="10734.75"/>
    <n v="6475.73"/>
    <n v="4259.0200000000004"/>
    <x v="0"/>
    <x v="0"/>
    <m/>
    <s v="ORD-2025-10353"/>
    <s v="15-08-25"/>
    <s v="invalid date"/>
    <s v="CUST-6382"/>
    <s v="Diya Patel"/>
    <s v="Small Business"/>
    <s v="East"/>
    <s v="Assam"/>
    <s v="Guwahati"/>
    <s v="Technology"/>
    <s v="Copiers"/>
    <s v="Elite Copiers 706"/>
    <s v="First Class"/>
    <s v="Invalid"/>
    <s v="invalid date"/>
    <n v="0.25"/>
    <x v="339"/>
    <x v="339"/>
    <n v="0.39675073942103917"/>
    <s v="15-08-25"/>
    <s v="invalid date"/>
    <s v="August"/>
    <s v="2025"/>
    <s v="Invalid"/>
    <s v="invalid date"/>
    <s v="Unique"/>
  </r>
  <r>
    <s v="ORD-2025-10354"/>
    <s v="21-02-2025"/>
    <s v="27-02-2025"/>
    <s v="CUST-3253"/>
    <s v="Ananya Rao"/>
    <s v="Consumer"/>
    <x v="0"/>
    <s v="Rajasthan"/>
    <s v="Jaipur"/>
    <s v="Office Supplies"/>
    <s v="Art"/>
    <s v="Prime Art 978"/>
    <s v="Same Day"/>
    <n v="9"/>
    <n v="1431.67"/>
    <n v="0.2"/>
    <n v="10308.02"/>
    <n v="5822.31"/>
    <n v="4485.71"/>
    <x v="0"/>
    <x v="0"/>
    <m/>
    <s v="ORD-2025-10354"/>
    <s v="21-02-25"/>
    <s v="27-02-25"/>
    <s v="CUST-3253"/>
    <s v="Ananya Rao"/>
    <s v="Consumer"/>
    <s v="North"/>
    <s v="Rajasthan"/>
    <s v="Jaipur"/>
    <s v="Office Supplies"/>
    <s v="Art"/>
    <s v="Prime Art 978"/>
    <s v="Same Day"/>
    <s v="anomaly"/>
    <n v="6"/>
    <n v="0.2"/>
    <x v="340"/>
    <x v="340"/>
    <n v="0.4351672056642476"/>
    <s v="21-02-25"/>
    <s v="27-02-25"/>
    <s v="February"/>
    <s v="2025"/>
    <s v=" "/>
    <n v="6"/>
    <s v="Unique"/>
  </r>
  <r>
    <s v="ORD-2024-10355"/>
    <s v="27 Dec 2024"/>
    <s v="2024-12-31"/>
    <s v="CUST-1058"/>
    <s v="Kabir Singh"/>
    <s v="Corporate"/>
    <x v="0"/>
    <s v="Punjab"/>
    <s v="Ludhiana"/>
    <s v="Furniture"/>
    <s v="Furnishings"/>
    <s v="Classic Furnishings 498"/>
    <s v="Standard Class"/>
    <n v="6"/>
    <n v="3346.78"/>
    <s v="invalid"/>
    <n v="20080.68"/>
    <n v="12908.84"/>
    <n v="7171.84"/>
    <x v="2"/>
    <x v="1"/>
    <m/>
    <s v="ORD-2024-10355"/>
    <s v="27-12-24"/>
    <s v="31-12-24"/>
    <s v="CUST-1058"/>
    <s v="Kabir Singh"/>
    <s v="Corporate"/>
    <s v="North"/>
    <s v="Punjab"/>
    <s v="Ludhiana"/>
    <s v="Furniture"/>
    <s v="Furnishings"/>
    <s v="Classic Furnishings 498"/>
    <s v="Standard Class"/>
    <s v="anomaly"/>
    <n v="4"/>
    <s v="invalid"/>
    <x v="2"/>
    <x v="2"/>
    <s v="NA"/>
    <s v="27-12-24"/>
    <s v="31-12-24"/>
    <s v="December"/>
    <s v="2024"/>
    <s v=" "/>
    <n v="4"/>
    <s v="Unique"/>
  </r>
  <r>
    <s v="ORD-2024-10356"/>
    <s v="12-05-2024"/>
    <s v="2024-05-09"/>
    <s v="CUST-6414"/>
    <s v="Priya Menon"/>
    <s v="Corporate"/>
    <x v="3"/>
    <s v="Rajasthan"/>
    <s v="Udaipur"/>
    <s v="Furniture"/>
    <s v="Tables"/>
    <s v="Max Tables 829"/>
    <s v="Standard Class"/>
    <n v="5"/>
    <n v="3203.48"/>
    <n v="0"/>
    <n v="16017.4"/>
    <n v="9557.7999999999993"/>
    <n v="6459.6"/>
    <x v="2"/>
    <x v="1"/>
    <m/>
    <s v="ORD-2024-10356"/>
    <s v="12-05-24"/>
    <s v="09-05-24"/>
    <s v="CUST-6414"/>
    <s v="Priya Menon"/>
    <s v="Corporate"/>
    <s v="West"/>
    <s v="Rajasthan"/>
    <s v="Udaipur"/>
    <s v="Furniture"/>
    <s v="Tables"/>
    <s v="Max Tables 829"/>
    <s v="Standard Class"/>
    <s v="  "/>
    <n v="-3"/>
    <n v="0"/>
    <x v="341"/>
    <x v="341"/>
    <n v="0.40328642601171227"/>
    <s v="12-05-24"/>
    <s v="09-05-24"/>
    <s v="May"/>
    <s v="2024"/>
    <s v="anomaly"/>
    <n v="-3"/>
    <s v="Unique"/>
  </r>
  <r>
    <s v="ORD-2025-10357"/>
    <s v="27 Jun 2025"/>
    <s v="29 Jun 2025"/>
    <s v="CUST-9268"/>
    <s v="Rohan Mehta"/>
    <s v="Home Office"/>
    <x v="2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x v="2"/>
    <x v="2"/>
    <m/>
    <s v="ORD-2025-10357"/>
    <s v="27-06-25"/>
    <s v="29-06-25"/>
    <s v="CUST-9268"/>
    <s v="Rohan Mehta"/>
    <s v="Home Office"/>
    <s v="South"/>
    <s v="Telangana"/>
    <s v="Hyderabad"/>
    <s v="Furniture"/>
    <s v="Chairs"/>
    <s v="Eco Chairs 346"/>
    <s v="First Class"/>
    <s v="anomaly"/>
    <n v="2"/>
    <n v="0.2"/>
    <x v="342"/>
    <x v="342"/>
    <n v="0.1427818883705968"/>
    <s v="27-06-25"/>
    <s v="29-06-25"/>
    <s v="June"/>
    <s v="2025"/>
    <s v=" "/>
    <n v="2"/>
    <s v="Unique"/>
  </r>
  <r>
    <s v="ORD-2025-10358"/>
    <s v="2025-01-21"/>
    <s v="01/29/2025"/>
    <s v="CUST-1363"/>
    <s v="Mira Das"/>
    <s v="Home Office"/>
    <x v="2"/>
    <s v="Andhra Pradesh"/>
    <s v="Vijayawada"/>
    <s v="Technology"/>
    <s v="Machines"/>
    <s v="Max Machines 770"/>
    <s v="Second Class"/>
    <n v="8"/>
    <n v="546.13"/>
    <n v="0"/>
    <n v="4369.04"/>
    <n v="3716.88"/>
    <n v="652.16"/>
    <x v="0"/>
    <x v="1"/>
    <m/>
    <s v="ORD-2025-10358"/>
    <s v="21-01-25"/>
    <s v="invalid date"/>
    <s v="CUST-1363"/>
    <s v="Mira Das"/>
    <s v="Home Office"/>
    <s v="South"/>
    <s v="Andhra Pradesh"/>
    <s v="Vijayawada"/>
    <s v="Technology"/>
    <s v="Machines"/>
    <s v="Max Machines 770"/>
    <s v="Second Class"/>
    <s v="Invalid"/>
    <s v="invalid date"/>
    <n v="0"/>
    <x v="343"/>
    <x v="343"/>
    <n v="0.14926848918755603"/>
    <s v="21-01-25"/>
    <s v="invalid date"/>
    <s v="January"/>
    <s v="2025"/>
    <s v="Invalid"/>
    <s v="invalid date"/>
    <s v="Unique"/>
  </r>
  <r>
    <s v="ORD-2025-10359"/>
    <s v="08/09/2025"/>
    <s v="2025-08-07"/>
    <s v="CUST-2477"/>
    <s v="Vikram Iyer"/>
    <s v="Home Office"/>
    <x v="3"/>
    <s v="Gujarat"/>
    <s v="Ahmedabad"/>
    <s v="Furniture"/>
    <s v="Bookcases"/>
    <s v="Smart Bookcases 134"/>
    <s v="Second Class"/>
    <n v="5"/>
    <n v="1253.92"/>
    <n v="0.05"/>
    <n v="5956.12"/>
    <n v="4379.18"/>
    <n v="1576.94"/>
    <x v="2"/>
    <x v="2"/>
    <m/>
    <s v="ORD-2025-10359"/>
    <s v="08-09-25"/>
    <s v="07-08-25"/>
    <s v="CUST-2477"/>
    <s v="Vikram Iyer"/>
    <s v="Home Office"/>
    <s v="West"/>
    <s v="Gujarat"/>
    <s v="Ahmedabad"/>
    <s v="Furniture"/>
    <s v="Bookcases"/>
    <s v="Smart Bookcases 134"/>
    <s v="Second Class"/>
    <s v="  "/>
    <n v="-32"/>
    <n v="0.05"/>
    <x v="344"/>
    <x v="344"/>
    <n v="0.26475960860425907"/>
    <s v="08-09-25"/>
    <s v="07-08-25"/>
    <s v="September"/>
    <s v="2025"/>
    <s v="anomaly"/>
    <n v="-32"/>
    <s v="Unique"/>
  </r>
  <r>
    <s v="ORD-2024-10360"/>
    <s v="21 Aug 2024"/>
    <s v="22-08-2024"/>
    <s v="CUST-9571"/>
    <s v="Isha Nair"/>
    <s v="Consumer"/>
    <x v="2"/>
    <s v="Tamil Nadu"/>
    <s v="Chennai"/>
    <s v="Technology"/>
    <s v="Phones"/>
    <s v="Classic Phones 586"/>
    <s v="Same Day"/>
    <n v="9"/>
    <n v="616.96"/>
    <n v="0.1"/>
    <n v="4997.38"/>
    <n v="2971.39"/>
    <n v="2025.99"/>
    <x v="0"/>
    <x v="0"/>
    <m/>
    <s v="ORD-2024-10360"/>
    <s v="21-08-24"/>
    <s v="22-08-24"/>
    <s v="CUST-9571"/>
    <s v="Isha Nair"/>
    <s v="Consumer"/>
    <s v="South"/>
    <s v="Tamil Nadu"/>
    <s v="Chennai"/>
    <s v="Technology"/>
    <s v="Phones"/>
    <s v="Classic Phones 586"/>
    <s v="Same Day"/>
    <s v="anomaly"/>
    <n v="1"/>
    <n v="0.1"/>
    <x v="345"/>
    <x v="345"/>
    <n v="0.40540995914656014"/>
    <s v="21-08-24"/>
    <s v="22-08-24"/>
    <s v="August"/>
    <s v="2024"/>
    <s v=" "/>
    <n v="1"/>
    <s v="Unique"/>
  </r>
  <r>
    <s v="ORD-2024-10361"/>
    <s v="17 Jun 2024"/>
    <s v="2024-06-20"/>
    <s v="CUST-3690"/>
    <s v="Sneha Kapoor"/>
    <s v="Small Business"/>
    <x v="3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x v="1"/>
    <x v="1"/>
    <m/>
    <s v="ORD-2024-10361"/>
    <s v="17-06-24"/>
    <s v="20-06-24"/>
    <s v="CUST-3690"/>
    <s v="Sneha Kapoor"/>
    <s v="Small Business"/>
    <s v="West"/>
    <s v="Gujarat"/>
    <s v="Ahmedabad"/>
    <s v="Furniture"/>
    <s v="Furnishings"/>
    <s v="Elite Furnishings 634"/>
    <s v="Standard Class"/>
    <s v="anomaly"/>
    <n v="3"/>
    <n v="0.2"/>
    <x v="346"/>
    <x v="346"/>
    <n v="0.2235859734908939"/>
    <s v="17-06-24"/>
    <s v="20-06-24"/>
    <s v="June"/>
    <s v="2024"/>
    <s v=" "/>
    <n v="3"/>
    <s v="Unique"/>
  </r>
  <r>
    <s v="ORD-2025-10362"/>
    <s v="01-04-2025"/>
    <s v="2025-04-02"/>
    <s v="CUST-2909"/>
    <s v="Rohan Mehta"/>
    <s v="Corporate"/>
    <x v="1"/>
    <s v="Odisha"/>
    <s v="Bhubaneswar"/>
    <s v="Furniture"/>
    <s v="Chairs"/>
    <s v="Basic Chairs 113"/>
    <s v="Second Class"/>
    <n v="9"/>
    <n v="4165.58"/>
    <n v="0.05"/>
    <n v="35615.71"/>
    <n v="20389.71"/>
    <n v="15226"/>
    <x v="2"/>
    <x v="2"/>
    <m/>
    <s v="ORD-2025-10362"/>
    <s v="01-04-25"/>
    <s v="02-04-25"/>
    <s v="CUST-2909"/>
    <s v="Rohan Mehta"/>
    <s v="Corporate"/>
    <s v="East"/>
    <s v="Odisha"/>
    <s v="Bhubaneswar"/>
    <s v="Furniture"/>
    <s v="Chairs"/>
    <s v="Basic Chairs 113"/>
    <s v="Second Class"/>
    <s v="anomaly"/>
    <n v="1"/>
    <n v="0.05"/>
    <x v="347"/>
    <x v="347"/>
    <n v="0.42750795723314122"/>
    <s v="01-04-25"/>
    <s v="02-04-25"/>
    <s v="April"/>
    <s v="2025"/>
    <s v=" "/>
    <n v="1"/>
    <s v="Unique"/>
  </r>
  <r>
    <s v="ORD-2024-10363"/>
    <s v="23 Aug 2024"/>
    <s v="25-08-2024"/>
    <s v="CUST-6755"/>
    <s v="Vikram Iyer"/>
    <s v="Consumer"/>
    <x v="3"/>
    <s v="Goa"/>
    <s v="Panaji"/>
    <s v="Technology"/>
    <s v="Machines"/>
    <s v="Elite Machines 216"/>
    <s v="Same Day"/>
    <n v="4"/>
    <n v="491.16"/>
    <n v="0.05"/>
    <n v="1866.41"/>
    <n v="1576.49"/>
    <n v="289.92"/>
    <x v="0"/>
    <x v="0"/>
    <m/>
    <s v="ORD-2024-10363"/>
    <s v="23-08-24"/>
    <s v="25-08-24"/>
    <s v="CUST-6755"/>
    <s v="Vikram Iyer"/>
    <s v="Consumer"/>
    <s v="West"/>
    <s v="Goa"/>
    <s v="Panaji"/>
    <s v="Technology"/>
    <s v="Machines"/>
    <s v="Elite Machines 216"/>
    <s v="Same Day"/>
    <s v="anomaly"/>
    <n v="2"/>
    <n v="0.05"/>
    <x v="348"/>
    <x v="348"/>
    <n v="0.15533473924243782"/>
    <s v="23-08-24"/>
    <s v="25-08-24"/>
    <s v="August"/>
    <s v="2024"/>
    <s v=" "/>
    <n v="2"/>
    <s v="Unique"/>
  </r>
  <r>
    <s v="ORD-2025-10364"/>
    <s v="07/07/2025"/>
    <s v="07/12/2025"/>
    <s v="CUST-1832"/>
    <s v="Diya Patel"/>
    <s v="Corporate"/>
    <x v="1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x v="0"/>
    <x v="0"/>
    <m/>
    <s v="ORD-2025-10364"/>
    <s v="07-07-25"/>
    <s v="07-12-25"/>
    <s v="CUST-1832"/>
    <s v="Diya Patel"/>
    <s v="Corporate"/>
    <s v="East"/>
    <s v="West Bengal"/>
    <s v="Kolkata"/>
    <s v="Furniture"/>
    <s v="Tables"/>
    <s v="Smart Tables 943"/>
    <s v="Second Class"/>
    <s v="anomaly"/>
    <n v="153"/>
    <n v="0.25"/>
    <x v="349"/>
    <x v="349"/>
    <n v="0.24204502640100028"/>
    <s v="07-07-25"/>
    <s v="07-12-25"/>
    <s v="July"/>
    <s v="2025"/>
    <s v=" "/>
    <n v="153"/>
    <s v="Unique"/>
  </r>
  <r>
    <s v="ORD-2025-10365"/>
    <s v="03/21/2025"/>
    <s v="2025-03-24"/>
    <s v="CUST-4452"/>
    <s v="Aarav Sharma"/>
    <s v="Small Business"/>
    <x v="2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x v="0"/>
    <x v="0"/>
    <m/>
    <s v="ORD-2025-10365"/>
    <s v="invalid date"/>
    <s v="24-03-25"/>
    <s v="CUST-4452"/>
    <s v="Aarav Sharma"/>
    <s v="Small Business"/>
    <s v="South"/>
    <s v="Andhra Pradesh"/>
    <s v="Vijayawada"/>
    <s v="Furniture"/>
    <s v="Chairs"/>
    <s v="Prime Chairs 101"/>
    <s v="Second Class"/>
    <s v="Invalid"/>
    <s v="invalid date"/>
    <n v="0"/>
    <x v="350"/>
    <x v="350"/>
    <n v="0.35971916232901585"/>
    <s v="invalid date"/>
    <s v="24-03-25"/>
    <s v="invalid date"/>
    <s v="invalid date"/>
    <s v="Invalid"/>
    <s v="invalid date"/>
    <s v="Unique"/>
  </r>
  <r>
    <s v="ORD-2024-10366"/>
    <s v="15-06-2024"/>
    <s v="21-06-2024"/>
    <s v="CUST-2203"/>
    <s v="Aditi Sen"/>
    <s v="Corporate"/>
    <x v="3"/>
    <s v="Goa"/>
    <s v="Panaji"/>
    <s v="Technology"/>
    <s v="Accessories"/>
    <s v="Basic Accessories 774"/>
    <s v="First Class"/>
    <n v="8"/>
    <n v="1706.4"/>
    <m/>
    <n v="12968.64"/>
    <n v="10119.61"/>
    <n v="2849.03"/>
    <x v="0"/>
    <x v="0"/>
    <m/>
    <s v="ORD-2024-10366"/>
    <s v="15-06-24"/>
    <s v="21-06-24"/>
    <s v="CUST-2203"/>
    <s v="Aditi Sen"/>
    <s v="Corporate"/>
    <s v="West"/>
    <s v="Goa"/>
    <s v="Panaji"/>
    <s v="Technology"/>
    <s v="Accessories"/>
    <s v="Basic Accessories 774"/>
    <s v="First Class"/>
    <s v="anomaly"/>
    <n v="6"/>
    <n v="0"/>
    <x v="351"/>
    <x v="351"/>
    <n v="0.2587017991092358"/>
    <s v="15-06-24"/>
    <s v="21-06-24"/>
    <s v="June"/>
    <s v="2024"/>
    <s v=" "/>
    <n v="6"/>
    <s v="Unique"/>
  </r>
  <r>
    <s v="ORD-2025-10367"/>
    <s v="2025-01-16"/>
    <s v="2025-01-22"/>
    <s v="CUST-5397"/>
    <s v="Sneha Kapoor"/>
    <s v="Corporate"/>
    <x v="0"/>
    <s v="Rajasthan"/>
    <s v="Jaipur"/>
    <s v="Furniture"/>
    <s v="Tables"/>
    <s v="Max Tables 478"/>
    <s v="Same Day"/>
    <n v="2"/>
    <n v="4418.28"/>
    <n v="0"/>
    <n v="8836.56"/>
    <n v="5867.75"/>
    <n v="2968.81"/>
    <x v="0"/>
    <x v="0"/>
    <m/>
    <s v="ORD-2025-10367"/>
    <s v="16-01-25"/>
    <s v="22-01-25"/>
    <s v="CUST-5397"/>
    <s v="Sneha Kapoor"/>
    <s v="Corporate"/>
    <s v="North"/>
    <s v="Rajasthan"/>
    <s v="Jaipur"/>
    <s v="Furniture"/>
    <s v="Tables"/>
    <s v="Max Tables 478"/>
    <s v="Same Day"/>
    <s v="anomaly"/>
    <n v="6"/>
    <n v="0"/>
    <x v="352"/>
    <x v="352"/>
    <n v="0.33596897435201023"/>
    <s v="16-01-25"/>
    <s v="22-01-25"/>
    <s v="January"/>
    <s v="2025"/>
    <s v=" "/>
    <n v="6"/>
    <s v="Unique"/>
  </r>
  <r>
    <s v="ORD-2024-10368"/>
    <s v="2024-03-15"/>
    <s v="03/16/2024"/>
    <s v="CUST-4696"/>
    <s v="Rohan Mehta"/>
    <s v="Consumer"/>
    <x v="0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x v="3"/>
    <x v="1"/>
    <m/>
    <s v="ORD-2024-10368"/>
    <s v="15-03-24"/>
    <s v="invalid date"/>
    <s v="CUST-4696"/>
    <s v="Rohan Mehta"/>
    <s v="Consumer"/>
    <s v="North"/>
    <s v="Delhi"/>
    <s v="New Delhi"/>
    <s v="Office Supplies"/>
    <s v="Art"/>
    <s v="Eco Art 646"/>
    <s v="Standard Class"/>
    <s v="Invalid"/>
    <s v="invalid date"/>
    <n v="0.15"/>
    <x v="353"/>
    <x v="353"/>
    <n v="0.25373435797443988"/>
    <s v="15-03-24"/>
    <s v="invalid date"/>
    <s v="March"/>
    <s v="2024"/>
    <s v="Invalid"/>
    <s v="invalid date"/>
    <s v="Unique"/>
  </r>
  <r>
    <s v="ORD-2025-10369"/>
    <s v="06-07-2025"/>
    <s v="06-07-2025"/>
    <s v="CUST-8246"/>
    <s v="Aarav Sharma"/>
    <s v="Home Office"/>
    <x v="0"/>
    <s v="Rajasthan"/>
    <s v="Jaipur"/>
    <s v="Technology"/>
    <s v="Accessories"/>
    <s v="Prime Accessories 962"/>
    <s v="Same Day"/>
    <n v="9"/>
    <n v="243.19"/>
    <n v="0.05"/>
    <n v="2079.27"/>
    <n v="1512.17"/>
    <n v="567.1"/>
    <x v="1"/>
    <x v="2"/>
    <m/>
    <s v="ORD-2025-10369"/>
    <s v="06-07-25"/>
    <s v="06-07-25"/>
    <s v="CUST-8246"/>
    <s v="Aarav Sharma"/>
    <s v="Home Office"/>
    <s v="North"/>
    <s v="Rajasthan"/>
    <s v="Jaipur"/>
    <s v="Technology"/>
    <s v="Accessories"/>
    <s v="Prime Accessories 962"/>
    <s v="Same Day"/>
    <s v="  "/>
    <n v="0"/>
    <n v="0.05"/>
    <x v="354"/>
    <x v="354"/>
    <n v="0.27274152595051782"/>
    <s v="06-07-25"/>
    <s v="06-07-25"/>
    <s v="July"/>
    <s v="2025"/>
    <s v=" "/>
    <n v="0"/>
    <s v="Unique"/>
  </r>
  <r>
    <s v="ORD-2025-10370"/>
    <s v="23-01-2025"/>
    <s v="01/30/2025"/>
    <s v="CUST-5672"/>
    <s v="Priya Menon"/>
    <s v="Consumer"/>
    <x v="0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x v="0"/>
    <x v="0"/>
    <m/>
    <s v="ORD-2025-10370"/>
    <s v="23-01-25"/>
    <s v="invalid date"/>
    <s v="CUST-5672"/>
    <s v="Priya Menon"/>
    <s v="Consumer"/>
    <s v="North"/>
    <s v="Delhi"/>
    <s v="New Delhi"/>
    <s v="Office Supplies"/>
    <s v="Labels"/>
    <s v="Eco Labels 646"/>
    <s v="Standard Class"/>
    <s v="Invalid"/>
    <s v="invalid date"/>
    <n v="0.15"/>
    <x v="355"/>
    <x v="355"/>
    <n v="0.24652462157574245"/>
    <s v="23-01-25"/>
    <s v="invalid date"/>
    <s v="January"/>
    <s v="2025"/>
    <s v="Invalid"/>
    <s v="invalid date"/>
    <s v="Unique"/>
  </r>
  <r>
    <s v="ORD-2024-10371"/>
    <s v="08/15/2024"/>
    <s v="21 Aug 2024"/>
    <s v="CUST-8521"/>
    <s v="Ananya Rao"/>
    <s v="Small Business"/>
    <x v="3"/>
    <s v="Rajasthan"/>
    <s v="Udaipur"/>
    <s v="Technology"/>
    <s v="Copiers"/>
    <s v="Classic Copiers 505"/>
    <s v="First Class"/>
    <n v="7"/>
    <n v="2333.81"/>
    <n v="0.2"/>
    <n v="13069.34"/>
    <n v="8768.59"/>
    <n v="4300.75"/>
    <x v="0"/>
    <x v="0"/>
    <m/>
    <s v="ORD-2024-10371"/>
    <s v="invalid date"/>
    <s v="21-08-24"/>
    <s v="CUST-8521"/>
    <s v="Ananya Rao"/>
    <s v="Small Business"/>
    <s v="West"/>
    <s v="Rajasthan"/>
    <s v="Udaipur"/>
    <s v="Technology"/>
    <s v="Copiers"/>
    <s v="Classic Copiers 505"/>
    <s v="First Class"/>
    <s v="Invalid"/>
    <s v="invalid date"/>
    <n v="0.2"/>
    <x v="356"/>
    <x v="356"/>
    <n v="0.32907149988339124"/>
    <s v="invalid date"/>
    <s v="21-08-24"/>
    <s v="invalid date"/>
    <s v="invalid date"/>
    <s v="Invalid"/>
    <s v="invalid date"/>
    <s v="Unique"/>
  </r>
  <r>
    <s v="ORD-2024-10372"/>
    <s v="22-01-2024"/>
    <s v="2024-01-24"/>
    <s v="CUST-2204"/>
    <s v="Diya Patel"/>
    <s v="Home Office"/>
    <x v="3"/>
    <s v="Maharashtra"/>
    <s v="Mumbai"/>
    <s v="Office Supplies"/>
    <s v="Art"/>
    <s v="Pro Art 906"/>
    <s v="Standard Class"/>
    <n v="6"/>
    <n v="1026.06"/>
    <m/>
    <n v="4617.2700000000004"/>
    <n v="2981.94"/>
    <n v="1635.33"/>
    <x v="1"/>
    <x v="1"/>
    <m/>
    <s v="ORD-2024-10372"/>
    <s v="22-01-24"/>
    <s v="24-01-24"/>
    <s v="CUST-2204"/>
    <s v="Diya Patel"/>
    <s v="Home Office"/>
    <s v="West"/>
    <s v="Maharashtra"/>
    <s v="Mumbai"/>
    <s v="Office Supplies"/>
    <s v="Art"/>
    <s v="Pro Art 906"/>
    <s v="Standard Class"/>
    <s v="anomaly"/>
    <n v="2"/>
    <n v="0"/>
    <x v="357"/>
    <x v="357"/>
    <n v="0.51563261407714944"/>
    <s v="22-01-24"/>
    <s v="24-01-24"/>
    <s v="January"/>
    <s v="2024"/>
    <s v=" "/>
    <n v="2"/>
    <s v="Unique"/>
  </r>
  <r>
    <s v="ORD-2025-10373"/>
    <s v="2025-08-16"/>
    <s v="2025-08-18"/>
    <s v="CUST-4399"/>
    <s v="Kabir Singh"/>
    <s v="Consumer"/>
    <x v="1"/>
    <s v="Jharkhand"/>
    <s v="Ranchi"/>
    <s v="Furniture"/>
    <s v="Chairs"/>
    <s v="Max Chairs 181"/>
    <s v="Same Day"/>
    <n v="5"/>
    <n v="1530.36"/>
    <n v="0"/>
    <n v="7651.8"/>
    <n v="5171.78"/>
    <n v="2480.02"/>
    <x v="0"/>
    <x v="0"/>
    <m/>
    <s v="ORD-2025-10373"/>
    <s v="16-08-25"/>
    <s v="18-08-25"/>
    <s v="CUST-4399"/>
    <s v="Kabir Singh"/>
    <s v="Consumer"/>
    <s v="East"/>
    <s v="Jharkhand"/>
    <s v="Ranchi"/>
    <s v="Furniture"/>
    <s v="Chairs"/>
    <s v="Max Chairs 181"/>
    <s v="Same Day"/>
    <s v="anomaly"/>
    <n v="2"/>
    <n v="0"/>
    <x v="358"/>
    <x v="358"/>
    <n v="0.32410935988917638"/>
    <s v="16-08-25"/>
    <s v="18-08-25"/>
    <s v="August"/>
    <s v="2025"/>
    <s v=" "/>
    <n v="2"/>
    <s v="Unique"/>
  </r>
  <r>
    <s v="ORD-2025-10374"/>
    <s v="2025-04-13"/>
    <s v="2025-04-13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x v="0"/>
    <x v="0"/>
    <m/>
    <s v="ORD-2025-10374"/>
    <s v="13-04-25"/>
    <s v="13-04-25"/>
    <s v="CUST-8566"/>
    <s v="Sneha Kapoor"/>
    <s v="Small Business"/>
    <s v="North"/>
    <s v="Uttar Pradesh"/>
    <s v="Noida"/>
    <s v="Office Supplies"/>
    <s v="Storage"/>
    <s v="Prime Storage 951"/>
    <s v="Second Class"/>
    <s v="  "/>
    <n v="0"/>
    <n v="0"/>
    <x v="359"/>
    <x v="359"/>
    <n v="0.14627855051389932"/>
    <s v="13-04-25"/>
    <s v="13-04-25"/>
    <s v="April"/>
    <s v="2025"/>
    <s v=" "/>
    <n v="0"/>
    <s v="Unique"/>
  </r>
  <r>
    <s v="ORD-2025-10375"/>
    <s v="2025-02-27"/>
    <s v="28-02-2025"/>
    <s v="CUST-2358"/>
    <s v="Aditi Sen"/>
    <s v="Small Business"/>
    <x v="0"/>
    <s v="Uttar Pradesh"/>
    <s v="Noida"/>
    <s v="Office Supplies"/>
    <s v="Labels"/>
    <s v="Smart Labels 668"/>
    <s v="Standard Class"/>
    <n v="6"/>
    <n v="2393.25"/>
    <n v="0"/>
    <n v="14359.5"/>
    <n v="8117.71"/>
    <n v="6241.79"/>
    <x v="0"/>
    <x v="0"/>
    <m/>
    <s v="ORD-2025-10375"/>
    <s v="27-02-25"/>
    <s v="28-02-25"/>
    <s v="CUST-2358"/>
    <s v="Aditi Sen"/>
    <s v="Small Business"/>
    <s v="North"/>
    <s v="Uttar Pradesh"/>
    <s v="Noida"/>
    <s v="Office Supplies"/>
    <s v="Labels"/>
    <s v="Smart Labels 668"/>
    <s v="Standard Class"/>
    <s v="anomaly"/>
    <n v="1"/>
    <n v="0"/>
    <x v="360"/>
    <x v="360"/>
    <n v="0.43468017688638183"/>
    <s v="27-02-25"/>
    <s v="28-02-25"/>
    <s v="February"/>
    <s v="2025"/>
    <s v=" "/>
    <n v="1"/>
    <s v="Unique"/>
  </r>
  <r>
    <s v="ORD-2024-10376"/>
    <s v="31-12-2024"/>
    <s v="04 Jan 2025"/>
    <s v="CUST-2810"/>
    <s v="Vikram Iyer"/>
    <s v="Consumer"/>
    <x v="0"/>
    <s v="Delhi"/>
    <s v="New Delhi"/>
    <s v="Furniture"/>
    <s v="Chairs"/>
    <s v="Pro Chairs 364"/>
    <s v="Same Day"/>
    <n v="3"/>
    <n v="1166.6099999999999"/>
    <n v="0.25"/>
    <n v="2624.87"/>
    <n v="2253.88"/>
    <n v="370.99"/>
    <x v="0"/>
    <x v="0"/>
    <m/>
    <s v="ORD-2024-10376"/>
    <s v="31-12-24"/>
    <s v="04-01-25"/>
    <s v="CUST-2810"/>
    <s v="Vikram Iyer"/>
    <s v="Consumer"/>
    <s v="North"/>
    <s v="Delhi"/>
    <s v="New Delhi"/>
    <s v="Furniture"/>
    <s v="Chairs"/>
    <s v="Pro Chairs 364"/>
    <s v="Same Day"/>
    <s v="  "/>
    <n v="4"/>
    <n v="0.25"/>
    <x v="361"/>
    <x v="361"/>
    <n v="0.14133734114704613"/>
    <s v="31-12-24"/>
    <s v="04-01-25"/>
    <s v="December"/>
    <s v="2024"/>
    <s v="anomaly"/>
    <n v="4"/>
    <s v="Unique"/>
  </r>
  <r>
    <s v="ORD-2024-10377"/>
    <s v="29-12-2024"/>
    <s v="2024-12-31"/>
    <s v="CUST-5166"/>
    <s v="Isha Nair"/>
    <s v="Small Business"/>
    <x v="1"/>
    <s v="Bihar"/>
    <s v="Patna"/>
    <s v="Furniture"/>
    <s v="Chairs"/>
    <s v="Basic Chairs 248"/>
    <s v="First Class"/>
    <n v="6"/>
    <n v="1844.78"/>
    <n v="0.2"/>
    <n v="8854.94"/>
    <n v="7433.95"/>
    <n v="1420.99"/>
    <x v="0"/>
    <x v="0"/>
    <m/>
    <s v="ORD-2024-10377"/>
    <s v="29-12-24"/>
    <s v="31-12-24"/>
    <s v="CUST-5166"/>
    <s v="Isha Nair"/>
    <s v="Small Business"/>
    <s v="East"/>
    <s v="Bihar"/>
    <s v="Patna"/>
    <s v="Furniture"/>
    <s v="Chairs"/>
    <s v="Basic Chairs 248"/>
    <s v="First Class"/>
    <s v="anomaly"/>
    <n v="2"/>
    <n v="0.2"/>
    <x v="362"/>
    <x v="362"/>
    <n v="0.1604746455765278"/>
    <s v="29-12-24"/>
    <s v="31-12-24"/>
    <s v="December"/>
    <s v="2024"/>
    <s v=" "/>
    <n v="2"/>
    <s v="Unique"/>
  </r>
  <r>
    <s v="ORD-2025-10378"/>
    <s v="24 May 2025"/>
    <s v="30-05-2025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x v="0"/>
    <x v="0"/>
    <m/>
    <s v="ORD-2025-10378"/>
    <s v="24-05-25"/>
    <s v="30-05-25"/>
    <s v="CUST-4875"/>
    <s v="Kabir Singh"/>
    <s v="Small Business"/>
    <s v="East"/>
    <s v="Odisha"/>
    <s v="Bhubaneswar"/>
    <s v="Office Supplies"/>
    <s v="Storage"/>
    <s v="Basic Storage 360"/>
    <s v="Same Day"/>
    <s v="anomaly"/>
    <n v="6"/>
    <n v="0"/>
    <x v="363"/>
    <x v="363"/>
    <n v="0.31588387126960232"/>
    <s v="24-05-25"/>
    <s v="30-05-25"/>
    <s v="May"/>
    <s v="2025"/>
    <s v=" "/>
    <n v="6"/>
    <s v="Unique"/>
  </r>
  <r>
    <s v="ORD-2025-10379"/>
    <s v="22-05-2025"/>
    <s v="22-05-2025"/>
    <s v="CUST-3154"/>
    <s v="Mira Das"/>
    <s v="Consumer"/>
    <x v="3"/>
    <s v="Goa"/>
    <s v="Panaji"/>
    <s v="Technology"/>
    <s v="Accessories"/>
    <s v="Basic Accessories 988"/>
    <s v="Standard Class"/>
    <n v="2"/>
    <n v="3910.61"/>
    <n v="0"/>
    <n v="7821.22"/>
    <n v="4994.46"/>
    <n v="2826.76"/>
    <x v="0"/>
    <x v="0"/>
    <m/>
    <s v="ORD-2025-10379"/>
    <s v="22-05-25"/>
    <s v="22-05-25"/>
    <s v="CUST-3154"/>
    <s v="Mira Das"/>
    <s v="Consumer"/>
    <s v="West"/>
    <s v="Goa"/>
    <s v="Panaji"/>
    <s v="Technology"/>
    <s v="Accessories"/>
    <s v="Basic Accessories 988"/>
    <s v="Standard Class"/>
    <s v="  "/>
    <n v="0"/>
    <n v="0"/>
    <x v="364"/>
    <x v="364"/>
    <n v="0.36142187535959863"/>
    <s v="22-05-25"/>
    <s v="22-05-25"/>
    <s v="May"/>
    <s v="2025"/>
    <s v=" "/>
    <n v="0"/>
    <s v="Unique"/>
  </r>
  <r>
    <s v="ORD-2024-10380"/>
    <s v="09/19/2024"/>
    <s v="23 Sep 2024"/>
    <s v="CUST-6405"/>
    <s v="Mira Das"/>
    <s v="Small Business"/>
    <x v="2"/>
    <s v="Kerala"/>
    <s v="Kochi"/>
    <s v="Office Supplies"/>
    <s v="Paper"/>
    <s v="Max Paper 334"/>
    <s v="Standard Class"/>
    <n v="7"/>
    <n v="1136.68"/>
    <m/>
    <n v="7956.76"/>
    <n v="4799.54"/>
    <n v="3157.22"/>
    <x v="0"/>
    <x v="0"/>
    <m/>
    <s v="ORD-2024-10380"/>
    <s v="invalid date"/>
    <s v="23-09-24"/>
    <s v="CUST-6405"/>
    <s v="Mira Das"/>
    <s v="Small Business"/>
    <s v="South"/>
    <s v="Kerala"/>
    <s v="Kochi"/>
    <s v="Office Supplies"/>
    <s v="Paper"/>
    <s v="Max Paper 334"/>
    <s v="Standard Class"/>
    <s v="Invalid"/>
    <s v="invalid date"/>
    <n v="0"/>
    <x v="365"/>
    <x v="365"/>
    <n v="0.39679718880549369"/>
    <s v="invalid date"/>
    <s v="23-09-24"/>
    <s v="invalid date"/>
    <s v="invalid date"/>
    <s v="Invalid"/>
    <s v="invalid date"/>
    <s v="Unique"/>
  </r>
  <r>
    <s v="ORD-2024-10381"/>
    <s v="07 Apr 2024"/>
    <s v="14-04-2024"/>
    <s v="CUST-5779"/>
    <s v="Vikram Iyer"/>
    <s v="Consumer"/>
    <x v="3"/>
    <s v="Maharashtra"/>
    <s v="Mumbai"/>
    <s v="Furniture"/>
    <s v="Bookcases"/>
    <s v="Prime Bookcases 952"/>
    <s v="Same Day"/>
    <n v="5"/>
    <n v="2235.85"/>
    <n v="0.25"/>
    <n v="8384.44"/>
    <n v="4765.96"/>
    <n v="3618.48"/>
    <x v="0"/>
    <x v="2"/>
    <m/>
    <s v="ORD-2024-10381"/>
    <s v="07-04-24"/>
    <s v="14-04-24"/>
    <s v="CUST-5779"/>
    <s v="Vikram Iyer"/>
    <s v="Consumer"/>
    <s v="West"/>
    <s v="Maharashtra"/>
    <s v="Mumbai"/>
    <s v="Furniture"/>
    <s v="Bookcases"/>
    <s v="Prime Bookcases 952"/>
    <s v="Same Day"/>
    <s v="anomaly"/>
    <n v="7"/>
    <n v="0.25"/>
    <x v="366"/>
    <x v="366"/>
    <n v="0.43157069272685256"/>
    <s v="07-04-24"/>
    <s v="14-04-24"/>
    <s v="April"/>
    <s v="2024"/>
    <s v=" "/>
    <n v="7"/>
    <s v="Unique"/>
  </r>
  <r>
    <s v="ORD-2025-10382"/>
    <s v="2025-09-19"/>
    <s v="23-09-2025"/>
    <s v="CUST-9943"/>
    <s v="Arjun Bose"/>
    <s v="Home Office"/>
    <x v="0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x v="3"/>
    <x v="1"/>
    <m/>
    <s v="ORD-2025-10382"/>
    <s v="19-09-25"/>
    <s v="23-09-25"/>
    <s v="CUST-9943"/>
    <s v="Arjun Bose"/>
    <s v="Home Office"/>
    <s v="North"/>
    <s v="Delhi"/>
    <s v="New Delhi"/>
    <s v="Office Supplies"/>
    <s v="Binders"/>
    <s v="Prime Binders 523"/>
    <s v="Standard Class"/>
    <s v="anomaly"/>
    <n v="4"/>
    <n v="0.05"/>
    <x v="367"/>
    <x v="367"/>
    <n v="0.35018418023450054"/>
    <s v="19-09-25"/>
    <s v="23-09-25"/>
    <s v="September"/>
    <s v="2025"/>
    <s v=" "/>
    <n v="4"/>
    <s v="Unique"/>
  </r>
  <r>
    <s v="ORD-2025-10383"/>
    <s v="04 Mar 2025"/>
    <s v="03/08/2025"/>
    <s v="CUST-7098"/>
    <s v="Arjun Bose"/>
    <s v="Small Business"/>
    <x v="1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x v="0"/>
    <x v="0"/>
    <m/>
    <s v="ORD-2025-10383"/>
    <s v="04-03-25"/>
    <s v="03-08-25"/>
    <s v="CUST-7098"/>
    <s v="Arjun Bose"/>
    <s v="Small Business"/>
    <s v="East"/>
    <s v="Bihar"/>
    <s v="Patna"/>
    <s v="Technology"/>
    <s v="Phones"/>
    <s v="Pro Phones 538"/>
    <s v="First Class"/>
    <s v="  "/>
    <n v="152"/>
    <n v="0.2"/>
    <x v="368"/>
    <x v="368"/>
    <n v="0.19760059760575607"/>
    <s v="04-03-25"/>
    <s v="03-08-25"/>
    <s v="March"/>
    <s v="2025"/>
    <s v="anomaly"/>
    <n v="152"/>
    <s v="Unique"/>
  </r>
  <r>
    <s v="ORD-2025-10384"/>
    <s v="28 Jun 2025"/>
    <s v="05 Jul 2025"/>
    <s v="CUST-7438"/>
    <s v="Vikram Iyer"/>
    <s v="Corporate"/>
    <x v="1"/>
    <s v="West Bengal"/>
    <s v="Kolkata"/>
    <s v="Office Supplies"/>
    <s v="Art"/>
    <s v="Basic Art 608"/>
    <s v="First Class"/>
    <n v="2"/>
    <n v="2242.75"/>
    <n v="0"/>
    <n v="4485.5"/>
    <n v="3131.86"/>
    <n v="1353.64"/>
    <x v="0"/>
    <x v="1"/>
    <m/>
    <s v="ORD-2025-10384"/>
    <s v="28-06-25"/>
    <s v="05-07-25"/>
    <s v="CUST-7438"/>
    <s v="Vikram Iyer"/>
    <s v="Corporate"/>
    <s v="East"/>
    <s v="West Bengal"/>
    <s v="Kolkata"/>
    <s v="Office Supplies"/>
    <s v="Art"/>
    <s v="Basic Art 608"/>
    <s v="First Class"/>
    <s v="  "/>
    <n v="7"/>
    <n v="0"/>
    <x v="369"/>
    <x v="369"/>
    <n v="0.30178129528480657"/>
    <s v="28-06-25"/>
    <s v="05-07-25"/>
    <s v="June"/>
    <s v="2025"/>
    <s v="anomaly"/>
    <n v="7"/>
    <s v="Unique"/>
  </r>
  <r>
    <s v="ORD-2024-10385"/>
    <s v="15-03-2024"/>
    <s v="2024-03-20"/>
    <s v="CUST-8432"/>
    <s v="Rohan Mehta"/>
    <s v="Consumer"/>
    <x v="1"/>
    <s v="Jharkhand"/>
    <s v="Ranchi"/>
    <s v="Technology"/>
    <s v="Copiers"/>
    <s v="Prime Copiers 820"/>
    <s v="Standard Class"/>
    <n v="2"/>
    <n v="1881.4"/>
    <n v="0.25"/>
    <n v="2822.1"/>
    <n v="1624.57"/>
    <n v="1197.53"/>
    <x v="0"/>
    <x v="2"/>
    <m/>
    <s v="ORD-2024-10385"/>
    <s v="15-03-24"/>
    <s v="20-03-24"/>
    <s v="CUST-8432"/>
    <s v="Rohan Mehta"/>
    <s v="Consumer"/>
    <s v="East"/>
    <s v="Jharkhand"/>
    <s v="Ranchi"/>
    <s v="Technology"/>
    <s v="Copiers"/>
    <s v="Prime Copiers 820"/>
    <s v="Standard Class"/>
    <s v="anomaly"/>
    <n v="5"/>
    <n v="0.25"/>
    <x v="370"/>
    <x v="370"/>
    <n v="0.42434003047376079"/>
    <s v="15-03-24"/>
    <s v="20-03-24"/>
    <s v="March"/>
    <s v="2024"/>
    <s v=" "/>
    <n v="5"/>
    <s v="Unique"/>
  </r>
  <r>
    <s v="ORD-2025-10386"/>
    <s v="2025-06-24"/>
    <s v="30 Jun 2025"/>
    <s v="CUST-2834"/>
    <s v="Arjun Bose"/>
    <s v="Consumer"/>
    <x v="0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x v="0"/>
    <x v="0"/>
    <m/>
    <s v="ORD-2025-10386"/>
    <s v="24-06-25"/>
    <s v="30-06-25"/>
    <s v="CUST-2834"/>
    <s v="Arjun Bose"/>
    <s v="Consumer"/>
    <s v="North"/>
    <s v="Haryana"/>
    <s v="Gurugram"/>
    <s v="Office Supplies"/>
    <s v="Labels"/>
    <s v="Classic Labels 670"/>
    <s v="Standard Class"/>
    <s v="anomaly"/>
    <n v="6"/>
    <n v="0.1"/>
    <x v="371"/>
    <x v="371"/>
    <n v="0.4352955591199249"/>
    <s v="24-06-25"/>
    <s v="30-06-25"/>
    <s v="June"/>
    <s v="2025"/>
    <s v=" "/>
    <n v="6"/>
    <s v="Unique"/>
  </r>
  <r>
    <s v="ORD-2025-10387"/>
    <s v="02/12/2025"/>
    <s v="14-02-2025"/>
    <s v="CUST-4222"/>
    <s v="Sneha Kapoor"/>
    <s v="Consumer"/>
    <x v="3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x v="0"/>
    <x v="0"/>
    <m/>
    <s v="ORD-2025-10387"/>
    <s v="02-12-25"/>
    <s v="14-02-25"/>
    <s v="CUST-4222"/>
    <s v="Sneha Kapoor"/>
    <s v="Consumer"/>
    <s v="West"/>
    <s v="Maharashtra"/>
    <s v="Mumbai"/>
    <s v="Furniture"/>
    <s v="Furnishings"/>
    <s v="Prime Furnishings 597"/>
    <s v="Second Class"/>
    <s v="anomaly"/>
    <n v="-291"/>
    <n v="0.1"/>
    <x v="372"/>
    <x v="372"/>
    <n v="0.2841200975759911"/>
    <s v="02-12-25"/>
    <s v="14-02-25"/>
    <s v="December"/>
    <s v="2025"/>
    <s v=" "/>
    <n v="-291"/>
    <s v="Unique"/>
  </r>
  <r>
    <s v="ORD-2025-10388"/>
    <s v="10-08-2025"/>
    <s v="08/13/2025"/>
    <s v="CUST-1053"/>
    <s v="Priya Menon"/>
    <s v="Small Business"/>
    <x v="3"/>
    <s v="Madhya Pradesh"/>
    <s v="Indore"/>
    <s v="Furniture"/>
    <s v="Chairs"/>
    <s v="Prime Chairs 196"/>
    <s v="Standard Class"/>
    <n v="5"/>
    <n v="352.86"/>
    <n v="0"/>
    <n v="1764.3"/>
    <n v="1332.49"/>
    <n v="431.81"/>
    <x v="2"/>
    <x v="1"/>
    <m/>
    <s v="ORD-2025-10388"/>
    <s v="10-08-25"/>
    <s v="invalid date"/>
    <s v="CUST-1053"/>
    <s v="Priya Menon"/>
    <s v="Small Business"/>
    <s v="West"/>
    <s v="Madhya Pradesh"/>
    <s v="Indore"/>
    <s v="Furniture"/>
    <s v="Chairs"/>
    <s v="Prime Chairs 196"/>
    <s v="Standard Class"/>
    <s v="Invalid"/>
    <s v="invalid date"/>
    <n v="0"/>
    <x v="373"/>
    <x v="373"/>
    <n v="0.24474862551720236"/>
    <s v="10-08-25"/>
    <s v="invalid date"/>
    <s v="August"/>
    <s v="2025"/>
    <s v="Invalid"/>
    <s v="invalid date"/>
    <s v="Unique"/>
  </r>
  <r>
    <s v="ORD-2024-10389"/>
    <s v="2024-05-13"/>
    <s v="18 May 2024"/>
    <s v="CUST-1457"/>
    <s v="Isha Nair"/>
    <s v="Small Business"/>
    <x v="3"/>
    <s v="Gujarat"/>
    <s v="Ahmedabad"/>
    <s v="Furniture"/>
    <s v="Chairs"/>
    <s v="Elite Chairs 639"/>
    <s v="Standard Class"/>
    <n v="3"/>
    <n v="3128.59"/>
    <n v="0"/>
    <n v="9385.77"/>
    <n v="6872.44"/>
    <n v="2783.66"/>
    <x v="0"/>
    <x v="0"/>
    <m/>
    <s v="ORD-2024-10389"/>
    <s v="13-05-24"/>
    <s v="18-05-24"/>
    <s v="CUST-1457"/>
    <s v="Isha Nair"/>
    <s v="Small Business"/>
    <s v="West"/>
    <s v="Gujarat"/>
    <s v="Ahmedabad"/>
    <s v="Furniture"/>
    <s v="Chairs"/>
    <s v="Elite Chairs 639"/>
    <s v="Standard Class"/>
    <s v="anomaly"/>
    <n v="5"/>
    <n v="0"/>
    <x v="374"/>
    <x v="374"/>
    <n v="0.26778090662779941"/>
    <s v="13-05-24"/>
    <s v="18-05-24"/>
    <s v="May"/>
    <s v="2024"/>
    <s v=" "/>
    <n v="5"/>
    <s v="Unique"/>
  </r>
  <r>
    <s v="ORD-2024-10390"/>
    <s v="05 Apr 2024"/>
    <s v="13 Apr 2024"/>
    <s v="CUST-3930"/>
    <s v="Diya Patel"/>
    <s v="Corporate"/>
    <x v="3"/>
    <s v="Gujarat"/>
    <s v="Ahmedabad"/>
    <s v="Technology"/>
    <s v="Machines"/>
    <s v="Elite Machines 563"/>
    <s v="Second Class"/>
    <n v="5"/>
    <n v="1937.54"/>
    <n v="0.2"/>
    <n v="7750.16"/>
    <n v="5434.3"/>
    <n v="2315.86"/>
    <x v="2"/>
    <x v="1"/>
    <m/>
    <s v="ORD-2024-10390"/>
    <s v="05-04-24"/>
    <s v="13-04-24"/>
    <s v="CUST-3930"/>
    <s v="Diya Patel"/>
    <s v="Corporate"/>
    <s v="West"/>
    <s v="Gujarat"/>
    <s v="Ahmedabad"/>
    <s v="Technology"/>
    <s v="Machines"/>
    <s v="Elite Machines 563"/>
    <s v="Second Class"/>
    <s v="anomaly"/>
    <n v="8"/>
    <n v="0.2"/>
    <x v="375"/>
    <x v="375"/>
    <n v="0.29881447608823564"/>
    <s v="05-04-24"/>
    <s v="13-04-24"/>
    <s v="April"/>
    <s v="2024"/>
    <s v=" "/>
    <n v="8"/>
    <s v="Unique"/>
  </r>
  <r>
    <s v="ORD-2024-10391"/>
    <s v="06 Nov 2024"/>
    <s v="11-11-2024"/>
    <s v="CUST-7853"/>
    <s v="Isha Nair"/>
    <s v="Consumer"/>
    <x v="3"/>
    <s v="Gujarat"/>
    <s v="Ahmedabad"/>
    <s v="Furniture"/>
    <s v="Furnishings"/>
    <s v="Pro Furnishings 281"/>
    <s v="Standard Class"/>
    <n v="4"/>
    <n v="1917.26"/>
    <n v="0.2"/>
    <n v="6135.23"/>
    <n v="3439.79"/>
    <n v="2695.44"/>
    <x v="0"/>
    <x v="0"/>
    <m/>
    <s v="ORD-2024-10391"/>
    <s v="06-11-24"/>
    <s v="11-11-24"/>
    <s v="CUST-7853"/>
    <s v="Isha Nair"/>
    <s v="Consumer"/>
    <s v="West"/>
    <s v="Gujarat"/>
    <s v="Ahmedabad"/>
    <s v="Furniture"/>
    <s v="Furnishings"/>
    <s v="Pro Furnishings 281"/>
    <s v="Standard Class"/>
    <s v="anomaly"/>
    <n v="5"/>
    <n v="0.2"/>
    <x v="376"/>
    <x v="376"/>
    <n v="0.43933823529411764"/>
    <s v="06-11-24"/>
    <s v="11-11-24"/>
    <s v="November"/>
    <s v="2024"/>
    <s v=" "/>
    <n v="5"/>
    <s v="Unique"/>
  </r>
  <r>
    <s v="ORD-2025-10392"/>
    <s v="14-02-2025"/>
    <s v="14 Feb 2025"/>
    <s v="CUST-2267"/>
    <s v="Diya Patel"/>
    <s v="Consumer"/>
    <x v="2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x v="0"/>
    <x v="0"/>
    <m/>
    <s v="ORD-2025-10392"/>
    <s v="14-02-25"/>
    <s v="14-02-25"/>
    <s v="CUST-2267"/>
    <s v="Diya Patel"/>
    <s v="Consumer"/>
    <s v="South"/>
    <s v="Karnataka"/>
    <s v="Bengaluru"/>
    <s v="Office Supplies"/>
    <s v="Storage"/>
    <s v="Eco Storage 285"/>
    <s v="First Class"/>
    <s v="  "/>
    <n v="0"/>
    <n v="0"/>
    <x v="377"/>
    <x v="377"/>
    <n v="0.20854387413742412"/>
    <s v="14-02-25"/>
    <s v="14-02-25"/>
    <s v="February"/>
    <s v="2025"/>
    <s v=" "/>
    <n v="0"/>
    <s v="Unique"/>
  </r>
  <r>
    <s v="ORD-2024-10393"/>
    <s v="02/19/2024"/>
    <s v="22 Feb 2024"/>
    <s v="CUST-6866"/>
    <s v="Aditi Sen"/>
    <s v="Small Business"/>
    <x v="2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x v="0"/>
    <x v="0"/>
    <m/>
    <s v="ORD-2024-10393"/>
    <s v="invalid date"/>
    <s v="22-02-24"/>
    <s v="CUST-6866"/>
    <s v="Aditi Sen"/>
    <s v="Small Business"/>
    <s v="South"/>
    <s v="Kerala"/>
    <s v="Kochi"/>
    <s v="Furniture"/>
    <s v="Furnishings"/>
    <s v="Classic Furnishings 746"/>
    <s v="Same Day"/>
    <s v="Invalid"/>
    <s v="invalid date"/>
    <n v="0"/>
    <x v="378"/>
    <x v="378"/>
    <n v="0.32764702447481425"/>
    <s v="invalid date"/>
    <s v="22-02-24"/>
    <s v="invalid date"/>
    <s v="invalid date"/>
    <s v="Invalid"/>
    <s v="invalid date"/>
    <s v="Unique"/>
  </r>
  <r>
    <s v="ORD-2024-10394"/>
    <s v="2024-08-23"/>
    <s v="08/29/2024"/>
    <s v="CUST-3160"/>
    <s v="Mira Das"/>
    <s v="Corporate"/>
    <x v="0"/>
    <s v="Uttar Pradesh"/>
    <s v="Noida"/>
    <s v="Office Supplies"/>
    <s v="Labels"/>
    <s v="Eco Labels 815"/>
    <s v="Same Day"/>
    <n v="2"/>
    <n v="1936.91"/>
    <n v="0.05"/>
    <n v="3680.13"/>
    <n v="2967.46"/>
    <n v="712.67"/>
    <x v="0"/>
    <x v="0"/>
    <m/>
    <s v="ORD-2024-10394"/>
    <s v="23-08-24"/>
    <s v="invalid date"/>
    <s v="CUST-3160"/>
    <s v="Mira Das"/>
    <s v="Corporate"/>
    <s v="North"/>
    <s v="Uttar Pradesh"/>
    <s v="Noida"/>
    <s v="Office Supplies"/>
    <s v="Labels"/>
    <s v="Eco Labels 815"/>
    <s v="Same Day"/>
    <s v="Invalid"/>
    <s v="invalid date"/>
    <n v="0.05"/>
    <x v="379"/>
    <x v="379"/>
    <n v="0.19365326595888346"/>
    <s v="23-08-24"/>
    <s v="invalid date"/>
    <s v="August"/>
    <s v="2024"/>
    <s v="Invalid"/>
    <s v="invalid date"/>
    <s v="Unique"/>
  </r>
  <r>
    <s v="ORD-2024-10395"/>
    <s v="03-04-2024"/>
    <s v="04 Apr 2024"/>
    <s v="CUST-8444"/>
    <s v="Kabir Singh"/>
    <s v="Consumer"/>
    <x v="3"/>
    <s v="Maharashtra"/>
    <s v="Mumbai"/>
    <s v="Furniture"/>
    <s v="Furnishings"/>
    <s v="Prime Furnishings 879"/>
    <s v="First Class"/>
    <n v="7"/>
    <n v="3945.21"/>
    <n v="0"/>
    <n v="27616.47"/>
    <n v="21225.26"/>
    <n v="6391.21"/>
    <x v="0"/>
    <x v="0"/>
    <m/>
    <s v="ORD-2024-10395"/>
    <s v="03-04-24"/>
    <s v="04-04-24"/>
    <s v="CUST-8444"/>
    <s v="Kabir Singh"/>
    <s v="Consumer"/>
    <s v="West"/>
    <s v="Maharashtra"/>
    <s v="Mumbai"/>
    <s v="Furniture"/>
    <s v="Furnishings"/>
    <s v="Prime Furnishings 879"/>
    <s v="First Class"/>
    <s v="anomaly"/>
    <n v="1"/>
    <n v="0"/>
    <x v="380"/>
    <x v="380"/>
    <n v="0.23142747787823725"/>
    <s v="03-04-24"/>
    <s v="04-04-24"/>
    <s v="April"/>
    <s v="2024"/>
    <s v=" "/>
    <n v="1"/>
    <s v="Unique"/>
  </r>
  <r>
    <s v="ORD-2024-10396"/>
    <s v="06/06/2024"/>
    <s v="06/07/2024"/>
    <s v="CUST-4765"/>
    <s v="Rahul Verma"/>
    <s v="Home Office"/>
    <x v="2"/>
    <s v="Tamil Nadu"/>
    <s v="Chennai"/>
    <s v="Furniture"/>
    <s v="Tables"/>
    <s v="Pro Tables 142"/>
    <s v="Same Day"/>
    <n v="7"/>
    <n v="861.91"/>
    <n v="0.05"/>
    <n v="5731.7"/>
    <n v="4115.5600000000004"/>
    <n v="1616.14"/>
    <x v="0"/>
    <x v="0"/>
    <m/>
    <s v="ORD-2024-10396"/>
    <s v="06-06-24"/>
    <s v="06-07-24"/>
    <s v="CUST-4765"/>
    <s v="Rahul Verma"/>
    <s v="Home Office"/>
    <s v="South"/>
    <s v="Tamil Nadu"/>
    <s v="Chennai"/>
    <s v="Furniture"/>
    <s v="Tables"/>
    <s v="Pro Tables 142"/>
    <s v="Same Day"/>
    <s v="anomaly"/>
    <n v="30"/>
    <n v="0.05"/>
    <x v="381"/>
    <x v="381"/>
    <n v="0.28196539893084088"/>
    <s v="06-06-24"/>
    <s v="06-07-24"/>
    <s v="June"/>
    <s v="2024"/>
    <s v=" "/>
    <n v="30"/>
    <s v="Unique"/>
  </r>
  <r>
    <s v="ORD-2025-10397"/>
    <s v="2025-04-14"/>
    <s v="22 Apr 2025"/>
    <s v="CUST-2280"/>
    <s v="Aditi Sen"/>
    <s v="Small Business"/>
    <x v="2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x v="0"/>
    <x v="0"/>
    <m/>
    <s v="ORD-2025-10397"/>
    <s v="14-04-25"/>
    <s v="22-04-25"/>
    <s v="CUST-2280"/>
    <s v="Aditi Sen"/>
    <s v="Small Business"/>
    <s v="South"/>
    <s v="Karnataka"/>
    <s v="Bengaluru"/>
    <s v="Technology"/>
    <s v="Machines"/>
    <s v="Prime Machines 267"/>
    <s v="Standard Class"/>
    <s v="anomaly"/>
    <n v="8"/>
    <n v="0.05"/>
    <x v="382"/>
    <x v="382"/>
    <n v="0.21207132245154239"/>
    <s v="14-04-25"/>
    <s v="22-04-25"/>
    <s v="April"/>
    <s v="2025"/>
    <s v=" "/>
    <n v="8"/>
    <s v="Unique"/>
  </r>
  <r>
    <s v="ORD-2025-10398"/>
    <s v="09 Jun 2025"/>
    <s v="10 Jun 2025"/>
    <s v="CUST-3177"/>
    <s v="Sneha Kapoor"/>
    <s v="Small Business"/>
    <x v="0"/>
    <s v="Uttar Pradesh"/>
    <s v="Noida"/>
    <s v="Furniture"/>
    <s v="Tables"/>
    <s v="Eco Tables 378"/>
    <s v="Second Class"/>
    <n v="2"/>
    <n v="1731.88"/>
    <n v="0"/>
    <n v="3463.76"/>
    <n v="2143.7399999999998"/>
    <n v="1320.02"/>
    <x v="0"/>
    <x v="0"/>
    <m/>
    <s v="ORD-2025-10398"/>
    <s v="09-06-25"/>
    <s v="10-06-25"/>
    <s v="CUST-3177"/>
    <s v="Sneha Kapoor"/>
    <s v="Small Business"/>
    <s v="North"/>
    <s v="Uttar Pradesh"/>
    <s v="Noida"/>
    <s v="Furniture"/>
    <s v="Tables"/>
    <s v="Eco Tables 378"/>
    <s v="Second Class"/>
    <s v="anomaly"/>
    <n v="1"/>
    <n v="0"/>
    <x v="383"/>
    <x v="383"/>
    <n v="0.38109453310852959"/>
    <s v="09-06-25"/>
    <s v="10-06-25"/>
    <s v="June"/>
    <s v="2025"/>
    <s v=" "/>
    <n v="1"/>
    <s v="Unique"/>
  </r>
  <r>
    <s v="ORD-2024-10399"/>
    <s v="19 Jul 2024"/>
    <s v="2024-07-26"/>
    <s v="CUST-4718"/>
    <s v="Vikram Iyer"/>
    <s v="Corporate"/>
    <x v="0"/>
    <s v="Punjab"/>
    <s v="Ludhiana"/>
    <s v="Technology"/>
    <s v="Machines"/>
    <s v="Elite Machines 523"/>
    <s v="Same Day"/>
    <n v="2"/>
    <n v="1263.6500000000001"/>
    <n v="0.2"/>
    <n v="2021.84"/>
    <n v="1355.22"/>
    <n v="666.62"/>
    <x v="0"/>
    <x v="0"/>
    <m/>
    <s v="ORD-2024-10399"/>
    <s v="19-07-24"/>
    <s v="26-07-24"/>
    <s v="CUST-4718"/>
    <s v="Vikram Iyer"/>
    <s v="Corporate"/>
    <s v="North"/>
    <s v="Punjab"/>
    <s v="Ludhiana"/>
    <s v="Technology"/>
    <s v="Machines"/>
    <s v="Elite Machines 523"/>
    <s v="Same Day"/>
    <s v="anomaly"/>
    <n v="7"/>
    <n v="0.2"/>
    <x v="384"/>
    <x v="384"/>
    <n v="0.32970957147944452"/>
    <s v="19-07-24"/>
    <s v="26-07-24"/>
    <s v="July"/>
    <s v="2024"/>
    <s v=" "/>
    <n v="7"/>
    <s v="Unique"/>
  </r>
  <r>
    <s v="ORD-2025-10400"/>
    <s v="04/24/2025"/>
    <s v="2025-04-29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x v="0"/>
    <x v="0"/>
    <m/>
    <s v="ORD-2025-10400"/>
    <s v="invalid date"/>
    <s v="29-04-25"/>
    <s v="CUST-5647"/>
    <s v="Diya Patel"/>
    <s v="Small Business"/>
    <s v="South"/>
    <s v="Andhra Pradesh"/>
    <s v="Vijayawada"/>
    <s v="Office Supplies"/>
    <s v="Paper"/>
    <s v="Elite Paper 308"/>
    <s v="Same Day"/>
    <s v="Invalid"/>
    <s v="invalid date"/>
    <n v="0.25"/>
    <x v="385"/>
    <x v="385"/>
    <n v="0.39008374440747962"/>
    <s v="invalid date"/>
    <s v="29-04-25"/>
    <s v="invalid date"/>
    <s v="invalid date"/>
    <s v="Invalid"/>
    <s v="invalid date"/>
    <s v="Unique"/>
  </r>
  <r>
    <s v="ORD-2025-10401"/>
    <s v="06-06-2025"/>
    <s v="2025-06-11"/>
    <s v="CUST-7150"/>
    <s v="Sneha Kapoor"/>
    <s v="Small Business"/>
    <x v="0"/>
    <s v="Uttar Pradesh"/>
    <s v="Noida"/>
    <s v="Office Supplies"/>
    <s v="Paper"/>
    <s v="Prime Paper 851"/>
    <s v="Same Day"/>
    <n v="7"/>
    <n v="878.09"/>
    <s v="invalid"/>
    <n v="5839.3"/>
    <n v="4877.38"/>
    <n v="961.92"/>
    <x v="0"/>
    <x v="0"/>
    <m/>
    <s v="ORD-2025-10401"/>
    <s v="06-06-25"/>
    <s v="11-06-25"/>
    <s v="CUST-7150"/>
    <s v="Sneha Kapoor"/>
    <s v="Small Business"/>
    <s v="North"/>
    <s v="Uttar Pradesh"/>
    <s v="Noida"/>
    <s v="Office Supplies"/>
    <s v="Paper"/>
    <s v="Prime Paper 851"/>
    <s v="Same Day"/>
    <s v="anomaly"/>
    <n v="5"/>
    <s v="invalid"/>
    <x v="2"/>
    <x v="2"/>
    <s v="NA"/>
    <s v="06-06-25"/>
    <s v="11-06-25"/>
    <s v="June"/>
    <s v="2025"/>
    <s v=" "/>
    <n v="5"/>
    <s v="Unique"/>
  </r>
  <r>
    <s v="ORD-2025-10402"/>
    <s v="09 Mar 2025"/>
    <s v="16-03-2025"/>
    <s v="CUST-6694"/>
    <s v="Arjun Bose"/>
    <s v="Small Business"/>
    <x v="1"/>
    <s v="Jharkhand"/>
    <s v="Ranchi"/>
    <s v="Furniture"/>
    <s v="Tables"/>
    <s v="Classic Tables 151"/>
    <s v="Same Day"/>
    <n v="3"/>
    <n v="2625.85"/>
    <n v="0"/>
    <n v="7877.55"/>
    <n v="5562.77"/>
    <n v="2314.7800000000002"/>
    <x v="0"/>
    <x v="0"/>
    <m/>
    <s v="ORD-2025-10402"/>
    <s v="09-03-25"/>
    <s v="16-03-25"/>
    <s v="CUST-6694"/>
    <s v="Arjun Bose"/>
    <s v="Small Business"/>
    <s v="East"/>
    <s v="Jharkhand"/>
    <s v="Ranchi"/>
    <s v="Furniture"/>
    <s v="Tables"/>
    <s v="Classic Tables 151"/>
    <s v="Same Day"/>
    <s v="anomaly"/>
    <n v="7"/>
    <n v="0"/>
    <x v="386"/>
    <x v="386"/>
    <n v="0.29384516759652418"/>
    <s v="09-03-25"/>
    <s v="16-03-25"/>
    <s v="March"/>
    <s v="2025"/>
    <s v=" "/>
    <n v="7"/>
    <s v="Unique"/>
  </r>
  <r>
    <s v="ORD-2024-10403"/>
    <s v="22 Mar 2024"/>
    <s v="03/22/2024"/>
    <s v="CUST-7680"/>
    <s v="Priya Menon"/>
    <s v="Small Business"/>
    <x v="2"/>
    <s v="Karnataka"/>
    <s v="Bengaluru"/>
    <s v="Furniture"/>
    <s v="Tables"/>
    <s v="Smart Tables 829"/>
    <m/>
    <n v="3"/>
    <n v="1365.26"/>
    <n v="0"/>
    <n v="4095.78"/>
    <n v="2807.77"/>
    <n v="1288.01"/>
    <x v="0"/>
    <x v="0"/>
    <m/>
    <s v="ORD-2024-10403"/>
    <s v="22-03-24"/>
    <s v="invalid date"/>
    <s v="CUST-7680"/>
    <s v="Priya Menon"/>
    <s v="Small Business"/>
    <s v="South"/>
    <s v="Karnataka"/>
    <s v="Bengaluru"/>
    <s v="Furniture"/>
    <s v="Tables"/>
    <s v="Smart Tables 829"/>
    <s v="unknown"/>
    <s v="Invalid"/>
    <s v="invalid date"/>
    <n v="0"/>
    <x v="387"/>
    <x v="387"/>
    <n v="0.31447245701673426"/>
    <s v="22-03-24"/>
    <s v="invalid date"/>
    <s v="March"/>
    <s v="2024"/>
    <s v="Invalid"/>
    <s v="invalid date"/>
    <s v="Unique"/>
  </r>
  <r>
    <s v="ORD-2024-10404"/>
    <s v="09/30/2024"/>
    <s v="04-10-2024"/>
    <s v="CUST-2700"/>
    <s v="Arjun Bose"/>
    <s v="Small Business"/>
    <x v="2"/>
    <s v="Kerala"/>
    <s v="Kochi"/>
    <s v="Office Supplies"/>
    <s v="Paper"/>
    <s v="Classic Paper 237"/>
    <s v="Same Day"/>
    <n v="5"/>
    <n v="3512.25"/>
    <n v="0.05"/>
    <n v="16683.189999999999"/>
    <n v="10301.16"/>
    <n v="6382.03"/>
    <x v="0"/>
    <x v="2"/>
    <m/>
    <s v="ORD-2024-10404"/>
    <s v="invalid date"/>
    <s v="04-10-24"/>
    <s v="CUST-2700"/>
    <s v="Arjun Bose"/>
    <s v="Small Business"/>
    <s v="South"/>
    <s v="Kerala"/>
    <s v="Kochi"/>
    <s v="Office Supplies"/>
    <s v="Paper"/>
    <s v="Classic Paper 237"/>
    <s v="Same Day"/>
    <s v="Invalid"/>
    <s v="invalid date"/>
    <n v="0.05"/>
    <x v="388"/>
    <x v="388"/>
    <n v="0.38254245479168775"/>
    <s v="invalid date"/>
    <s v="04-10-24"/>
    <s v="invalid date"/>
    <s v="invalid date"/>
    <s v="Invalid"/>
    <s v="invalid date"/>
    <s v="Unique"/>
  </r>
  <r>
    <s v="ORD-2024-10405"/>
    <s v="27 Jan 2024"/>
    <s v="02/03/2024"/>
    <s v="CUST-2904"/>
    <s v="Aditi Sen"/>
    <s v="Corporate"/>
    <x v="3"/>
    <s v="Rajasthan"/>
    <s v="Udaipur"/>
    <s v="Furniture"/>
    <s v="Chairs"/>
    <s v="Prime Chairs 891"/>
    <s v="Same Day"/>
    <n v="3"/>
    <n v="359.61"/>
    <n v="0"/>
    <n v="1078.83"/>
    <n v="926.35"/>
    <n v="152.47999999999999"/>
    <x v="0"/>
    <x v="0"/>
    <m/>
    <s v="ORD-2024-10405"/>
    <s v="27-01-24"/>
    <s v="02-03-24"/>
    <s v="CUST-2904"/>
    <s v="Aditi Sen"/>
    <s v="Corporate"/>
    <s v="West"/>
    <s v="Rajasthan"/>
    <s v="Udaipur"/>
    <s v="Furniture"/>
    <s v="Chairs"/>
    <s v="Prime Chairs 891"/>
    <s v="Same Day"/>
    <s v="  "/>
    <n v="35"/>
    <n v="0"/>
    <x v="389"/>
    <x v="389"/>
    <n v="0.14133830167867034"/>
    <s v="27-01-24"/>
    <s v="02-03-24"/>
    <s v="January"/>
    <s v="2024"/>
    <s v="anomaly"/>
    <n v="35"/>
    <s v="Unique"/>
  </r>
  <r>
    <s v="ORD-2024-10406"/>
    <s v="09/23/2024"/>
    <s v="24 Sep 2024"/>
    <s v="CUST-9961"/>
    <s v="Aditi Sen"/>
    <s v="Home Office"/>
    <x v="3"/>
    <s v="Gujarat"/>
    <s v="Ahmedabad"/>
    <s v="Furniture"/>
    <s v="Bookcases"/>
    <s v="Max Bookcases 812"/>
    <m/>
    <n v="7"/>
    <n v="3878.01"/>
    <n v="0.1"/>
    <n v="24431.46"/>
    <n v="18202.36"/>
    <n v="6229.1"/>
    <x v="0"/>
    <x v="0"/>
    <m/>
    <s v="ORD-2024-10406"/>
    <s v="invalid date"/>
    <s v="24-09-24"/>
    <s v="CUST-9961"/>
    <s v="Aditi Sen"/>
    <s v="Home Office"/>
    <s v="West"/>
    <s v="Gujarat"/>
    <s v="Ahmedabad"/>
    <s v="Furniture"/>
    <s v="Bookcases"/>
    <s v="Max Bookcases 812"/>
    <s v="unknown"/>
    <s v="Invalid"/>
    <s v="invalid date"/>
    <n v="0.1"/>
    <x v="390"/>
    <x v="390"/>
    <n v="0.25496234097810677"/>
    <s v="invalid date"/>
    <s v="24-09-24"/>
    <s v="invalid date"/>
    <s v="invalid date"/>
    <s v="Invalid"/>
    <s v="invalid date"/>
    <s v="Unique"/>
  </r>
  <r>
    <s v="ORD-2025-10407"/>
    <s v="25 Feb 2025"/>
    <s v="25 Feb 2025"/>
    <s v="CUST-9909"/>
    <s v="Kabir Singh"/>
    <s v="Small Business"/>
    <x v="3"/>
    <s v="Goa"/>
    <s v="Panaji"/>
    <s v="Furniture"/>
    <s v="Furnishings"/>
    <s v="Basic Furnishings 164"/>
    <s v="Standard Class"/>
    <n v="2"/>
    <n v="3924.2"/>
    <n v="0.25"/>
    <n v="5886.3"/>
    <n v="3621.76"/>
    <n v="2264.54"/>
    <x v="2"/>
    <x v="2"/>
    <m/>
    <s v="ORD-2025-10407"/>
    <s v="25-02-25"/>
    <s v="25-02-25"/>
    <s v="CUST-9909"/>
    <s v="Kabir Singh"/>
    <s v="Small Business"/>
    <s v="West"/>
    <s v="Goa"/>
    <s v="Panaji"/>
    <s v="Furniture"/>
    <s v="Furnishings"/>
    <s v="Basic Furnishings 164"/>
    <s v="Standard Class"/>
    <s v="  "/>
    <n v="0"/>
    <n v="0.25"/>
    <x v="391"/>
    <x v="391"/>
    <n v="0.38471365713606159"/>
    <s v="25-02-25"/>
    <s v="25-02-25"/>
    <s v="February"/>
    <s v="2025"/>
    <s v=" "/>
    <n v="0"/>
    <s v="Unique"/>
  </r>
  <r>
    <s v="ORD-2024-10408"/>
    <s v="12 May 2024"/>
    <s v="13 May 2024"/>
    <s v="CUST-8520"/>
    <s v="Rahul Verma"/>
    <s v="Corporate"/>
    <x v="3"/>
    <s v="Goa"/>
    <s v="Panaji"/>
    <s v="Office Supplies"/>
    <s v="Labels"/>
    <s v="Smart Labels 261"/>
    <s v="Second Class"/>
    <n v="3"/>
    <n v="2644.55"/>
    <n v="0"/>
    <n v="7933.65"/>
    <n v="5698.42"/>
    <n v="2235.23"/>
    <x v="0"/>
    <x v="0"/>
    <m/>
    <s v="ORD-2024-10408"/>
    <s v="12-05-24"/>
    <s v="13-05-24"/>
    <s v="CUST-8520"/>
    <s v="Rahul Verma"/>
    <s v="Corporate"/>
    <s v="West"/>
    <s v="Goa"/>
    <s v="Panaji"/>
    <s v="Office Supplies"/>
    <s v="Labels"/>
    <s v="Smart Labels 261"/>
    <s v="Second Class"/>
    <s v="anomaly"/>
    <n v="1"/>
    <n v="0"/>
    <x v="392"/>
    <x v="392"/>
    <n v="0.2817404347305465"/>
    <s v="12-05-24"/>
    <s v="13-05-24"/>
    <s v="May"/>
    <s v="2024"/>
    <s v=" "/>
    <n v="1"/>
    <s v="Unique"/>
  </r>
  <r>
    <s v="ORD-2025-10409"/>
    <s v="08/01/2025"/>
    <s v="08/03/2025"/>
    <s v="CUST-5036"/>
    <s v="Sneha Kapoor"/>
    <s v="Consumer"/>
    <x v="3"/>
    <s v="Maharashtra"/>
    <s v="Mumbai"/>
    <s v="Furniture"/>
    <s v="Chairs"/>
    <s v="Max Chairs 765"/>
    <s v="First Class"/>
    <n v="4"/>
    <n v="1773.46"/>
    <n v="0"/>
    <n v="7093.84"/>
    <n v="4587.49"/>
    <n v="2506.35"/>
    <x v="3"/>
    <x v="2"/>
    <m/>
    <s v="ORD-2025-10409"/>
    <s v="08-01-25"/>
    <s v="08-03-25"/>
    <s v="CUST-5036"/>
    <s v="Sneha Kapoor"/>
    <s v="Consumer"/>
    <s v="West"/>
    <s v="Maharashtra"/>
    <s v="Mumbai"/>
    <s v="Furniture"/>
    <s v="Chairs"/>
    <s v="Max Chairs 765"/>
    <s v="First Class"/>
    <s v="anomaly"/>
    <n v="59"/>
    <n v="0"/>
    <x v="393"/>
    <x v="393"/>
    <n v="0.35331357910525191"/>
    <s v="08-01-25"/>
    <s v="08-03-25"/>
    <s v="January"/>
    <s v="2025"/>
    <s v=" "/>
    <n v="59"/>
    <s v="Unique"/>
  </r>
  <r>
    <s v="ORD-2025-10410"/>
    <s v="13-02-2025"/>
    <s v="15-02-2025"/>
    <s v="CUST-7721"/>
    <s v="Karan Malhotra"/>
    <s v="Consumer"/>
    <x v="1"/>
    <s v="Assam"/>
    <s v="Guwahati"/>
    <s v="Technology"/>
    <s v="Accessories"/>
    <s v="Pro Accessories 686"/>
    <s v="Same Day"/>
    <n v="1"/>
    <n v="3025.46"/>
    <n v="0.25"/>
    <n v="2269.1"/>
    <n v="1593.59"/>
    <n v="675.51"/>
    <x v="1"/>
    <x v="2"/>
    <m/>
    <s v="ORD-2025-10410"/>
    <s v="13-02-25"/>
    <s v="15-02-25"/>
    <s v="CUST-7721"/>
    <s v="Karan Malhotra"/>
    <s v="Consumer"/>
    <s v="East"/>
    <s v="Assam"/>
    <s v="Guwahati"/>
    <s v="Technology"/>
    <s v="Accessories"/>
    <s v="Pro Accessories 686"/>
    <s v="Same Day"/>
    <s v="anomaly"/>
    <n v="2"/>
    <n v="0.25"/>
    <x v="394"/>
    <x v="394"/>
    <n v="0.29769798091309541"/>
    <s v="13-02-25"/>
    <s v="15-02-25"/>
    <s v="February"/>
    <s v="2025"/>
    <s v=" "/>
    <n v="2"/>
    <s v="Unique"/>
  </r>
  <r>
    <s v="ORD-2024-10411"/>
    <s v="2024-04-12"/>
    <s v="20 Apr 2024"/>
    <s v="CUST-9495"/>
    <s v="Diya Patel"/>
    <s v="Consumer"/>
    <x v="3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x v="0"/>
    <x v="0"/>
    <m/>
    <s v="ORD-2024-10411"/>
    <s v="12-04-24"/>
    <s v="20-04-24"/>
    <s v="CUST-9495"/>
    <s v="Diya Patel"/>
    <s v="Consumer"/>
    <s v="West"/>
    <s v="Goa"/>
    <s v="Panaji"/>
    <s v="Furniture"/>
    <s v="Tables"/>
    <s v="Smart Tables 100"/>
    <s v="First Class"/>
    <s v="anomaly"/>
    <n v="8"/>
    <n v="0.2"/>
    <x v="395"/>
    <x v="395"/>
    <n v="0.27768096360384154"/>
    <s v="12-04-24"/>
    <s v="20-04-24"/>
    <s v="April"/>
    <s v="2024"/>
    <s v=" "/>
    <n v="8"/>
    <s v="Unique"/>
  </r>
  <r>
    <s v="ORD-2025-10412"/>
    <s v="2025-08-23"/>
    <s v="2025-08-28"/>
    <s v="CUST-2855"/>
    <s v="Arjun Bose"/>
    <s v="Home Office"/>
    <x v="3"/>
    <s v="Rajasthan"/>
    <s v="Udaipur"/>
    <s v="Furniture"/>
    <s v="Tables"/>
    <s v="Basic Tables 615"/>
    <s v="First Class"/>
    <n v="1"/>
    <n v="4167.8100000000004"/>
    <n v="0.2"/>
    <n v="3334.25"/>
    <n v="2768.77"/>
    <n v="565.48"/>
    <x v="3"/>
    <x v="2"/>
    <m/>
    <s v="ORD-2025-10412"/>
    <s v="23-08-25"/>
    <s v="28-08-25"/>
    <s v="CUST-2855"/>
    <s v="Arjun Bose"/>
    <s v="Home Office"/>
    <s v="West"/>
    <s v="Rajasthan"/>
    <s v="Udaipur"/>
    <s v="Furniture"/>
    <s v="Tables"/>
    <s v="Basic Tables 615"/>
    <s v="First Class"/>
    <s v="anomaly"/>
    <n v="5"/>
    <n v="0.2"/>
    <x v="396"/>
    <x v="396"/>
    <n v="0.16959686262089696"/>
    <s v="23-08-25"/>
    <s v="28-08-25"/>
    <s v="August"/>
    <s v="2025"/>
    <s v=" "/>
    <n v="5"/>
    <s v="Unique"/>
  </r>
  <r>
    <s v="ORD-2024-10413"/>
    <s v="2024-01-22"/>
    <s v="30-01-2024"/>
    <s v="CUST-4329"/>
    <s v="Isha Nair"/>
    <s v="Corporate"/>
    <x v="2"/>
    <s v="Karnataka"/>
    <s v="Bengaluru"/>
    <s v="Furniture"/>
    <s v="Chairs"/>
    <s v="Basic Chairs 790"/>
    <s v="Same Day"/>
    <n v="1"/>
    <n v="2111.39"/>
    <n v="0.25"/>
    <n v="1583.54"/>
    <n v="1014.19"/>
    <n v="569.35"/>
    <x v="0"/>
    <x v="0"/>
    <m/>
    <s v="ORD-2024-10413"/>
    <s v="22-01-24"/>
    <s v="30-01-24"/>
    <s v="CUST-4329"/>
    <s v="Isha Nair"/>
    <s v="Corporate"/>
    <s v="South"/>
    <s v="Karnataka"/>
    <s v="Bengaluru"/>
    <s v="Furniture"/>
    <s v="Chairs"/>
    <s v="Basic Chairs 790"/>
    <s v="Same Day"/>
    <s v="anomaly"/>
    <n v="8"/>
    <n v="0.25"/>
    <x v="397"/>
    <x v="397"/>
    <n v="0.35954355503562424"/>
    <s v="22-01-24"/>
    <s v="30-01-24"/>
    <s v="January"/>
    <s v="2024"/>
    <s v=" "/>
    <n v="8"/>
    <s v="Unique"/>
  </r>
  <r>
    <s v="ORD-2025-10414"/>
    <s v="13-08-2025"/>
    <s v="17-08-2025"/>
    <s v="CUST-5094"/>
    <s v="Neha Gupta"/>
    <s v="Home Office"/>
    <x v="3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x v="2"/>
    <x v="1"/>
    <m/>
    <s v="ORD-2025-10414"/>
    <s v="13-08-25"/>
    <s v="17-08-25"/>
    <s v="CUST-5094"/>
    <s v="Neha Gupta"/>
    <s v="Home Office"/>
    <s v="West"/>
    <s v="Madhya Pradesh"/>
    <s v="Indore"/>
    <s v="Technology"/>
    <s v="Accessories"/>
    <s v="Smart Accessories 226"/>
    <s v="Second Class"/>
    <s v="anomaly"/>
    <n v="4"/>
    <n v="0"/>
    <x v="398"/>
    <x v="398"/>
    <n v="0.30044037993358463"/>
    <s v="13-08-25"/>
    <s v="17-08-25"/>
    <s v="August"/>
    <s v="2025"/>
    <s v=" "/>
    <n v="4"/>
    <s v="Unique"/>
  </r>
  <r>
    <s v="ORD-2024-10415"/>
    <s v="2024-08-29"/>
    <s v="08/30/2024"/>
    <s v="CUST-4194"/>
    <s v="Arjun Bose"/>
    <s v="Home Office"/>
    <x v="1"/>
    <s v="Assam"/>
    <s v="Guwahati"/>
    <s v="Office Supplies"/>
    <s v="Storage"/>
    <s v="Max Storage 692"/>
    <s v="First Class"/>
    <n v="4"/>
    <n v="2484.08"/>
    <n v="0.05"/>
    <n v="9439.5"/>
    <n v="5519.39"/>
    <n v="3920.11"/>
    <x v="0"/>
    <x v="0"/>
    <m/>
    <s v="ORD-2024-10415"/>
    <s v="29-08-24"/>
    <s v="invalid date"/>
    <s v="CUST-4194"/>
    <s v="Arjun Bose"/>
    <s v="Home Office"/>
    <s v="East"/>
    <s v="Assam"/>
    <s v="Guwahati"/>
    <s v="Office Supplies"/>
    <s v="Storage"/>
    <s v="Max Storage 692"/>
    <s v="First Class"/>
    <s v="Invalid"/>
    <s v="invalid date"/>
    <n v="0.05"/>
    <x v="399"/>
    <x v="399"/>
    <n v="0.41528813378330037"/>
    <s v="29-08-24"/>
    <s v="invalid date"/>
    <s v="August"/>
    <s v="2024"/>
    <s v="Invalid"/>
    <s v="invalid date"/>
    <s v="Unique"/>
  </r>
  <r>
    <s v="ORD-2024-10416"/>
    <s v="01/25/2024"/>
    <s v="27 Jan 2024"/>
    <s v="CUST-7087"/>
    <s v="Aarav Sharma"/>
    <s v="Corporate"/>
    <x v="2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x v="0"/>
    <x v="2"/>
    <m/>
    <s v="ORD-2024-10416"/>
    <s v="invalid date"/>
    <s v="27-01-24"/>
    <s v="CUST-7087"/>
    <s v="Aarav Sharma"/>
    <s v="Corporate"/>
    <s v="South"/>
    <s v="Karnataka"/>
    <s v="Bengaluru"/>
    <s v="Office Supplies"/>
    <s v="Storage"/>
    <s v="Basic Storage 684"/>
    <s v="Same Day"/>
    <s v="Invalid"/>
    <s v="invalid date"/>
    <n v="0.15"/>
    <x v="400"/>
    <x v="400"/>
    <n v="0.23067544584384245"/>
    <s v="invalid date"/>
    <s v="27-01-24"/>
    <s v="invalid date"/>
    <s v="invalid date"/>
    <s v="Invalid"/>
    <s v="invalid date"/>
    <s v="Unique"/>
  </r>
  <r>
    <s v="ORD-2025-10417"/>
    <s v="2025-01-08"/>
    <s v="16-01-2025"/>
    <s v="CUST-7608"/>
    <s v="Neha Gupta"/>
    <s v="Consumer"/>
    <x v="2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x v="0"/>
    <x v="0"/>
    <m/>
    <s v="ORD-2025-10417"/>
    <s v="08-01-25"/>
    <s v="16-01-25"/>
    <s v="CUST-7608"/>
    <s v="Neha Gupta"/>
    <s v="Consumer"/>
    <s v="South"/>
    <s v="Telangana"/>
    <s v="Hyderabad"/>
    <s v="Furniture"/>
    <s v="Furnishings"/>
    <s v="Smart Furnishings 152"/>
    <s v="First Class"/>
    <s v="anomaly"/>
    <n v="8"/>
    <n v="0.25"/>
    <x v="401"/>
    <x v="401"/>
    <n v="0.24711114589039318"/>
    <s v="08-01-25"/>
    <s v="16-01-25"/>
    <s v="January"/>
    <s v="2025"/>
    <s v=" "/>
    <n v="8"/>
    <s v="Unique"/>
  </r>
  <r>
    <s v="ORD-2025-10418"/>
    <s v="01/29/2025"/>
    <s v="02/05/2025"/>
    <s v="CUST-5269"/>
    <s v="Mira Das"/>
    <s v="Consumer"/>
    <x v="3"/>
    <s v="Gujarat"/>
    <s v="Ahmedabad"/>
    <s v="Office Supplies"/>
    <s v="Art"/>
    <s v="Max Art 736"/>
    <s v="First Class"/>
    <n v="6"/>
    <n v="3863"/>
    <n v="0.2"/>
    <n v="18542.400000000001"/>
    <n v="11193.75"/>
    <n v="7348.65"/>
    <x v="0"/>
    <x v="0"/>
    <m/>
    <s v="ORD-2025-10418"/>
    <s v="invalid date"/>
    <s v="02-05-25"/>
    <s v="CUST-5269"/>
    <s v="Mira Das"/>
    <s v="Consumer"/>
    <s v="West"/>
    <s v="Gujarat"/>
    <s v="Ahmedabad"/>
    <s v="Office Supplies"/>
    <s v="Art"/>
    <s v="Max Art 736"/>
    <s v="First Class"/>
    <s v="Invalid"/>
    <s v="invalid date"/>
    <n v="0.2"/>
    <x v="402"/>
    <x v="402"/>
    <n v="0.39631601087237905"/>
    <s v="invalid date"/>
    <s v="02-05-25"/>
    <s v="invalid date"/>
    <s v="invalid date"/>
    <s v="Invalid"/>
    <s v="invalid date"/>
    <s v="Unique"/>
  </r>
  <r>
    <s v="ORD-2024-10419"/>
    <s v="11/09/2024"/>
    <s v="11/17/2024"/>
    <s v="CUST-7925"/>
    <s v="Sneha Kapoor"/>
    <s v="Corporate"/>
    <x v="1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x v="3"/>
    <x v="1"/>
    <m/>
    <s v="ORD-2024-10419"/>
    <s v="11-09-24"/>
    <s v="invalid date"/>
    <s v="CUST-7925"/>
    <s v="Sneha Kapoor"/>
    <s v="Corporate"/>
    <s v="East"/>
    <s v="Odisha"/>
    <s v="Bhubaneswar"/>
    <s v="Technology"/>
    <s v="Copiers"/>
    <s v="Elite Copiers 971"/>
    <s v="Standard Class"/>
    <s v="Invalid"/>
    <s v="invalid date"/>
    <n v="0"/>
    <x v="403"/>
    <x v="403"/>
    <n v="0.3018982442720286"/>
    <s v="11-09-24"/>
    <s v="invalid date"/>
    <s v="September"/>
    <s v="2024"/>
    <s v="Invalid"/>
    <s v="invalid date"/>
    <s v="Unique"/>
  </r>
  <r>
    <s v="ORD-2025-10420"/>
    <s v="26-09-2025"/>
    <s v="09/30/2025"/>
    <s v="CUST-6552"/>
    <s v="Sneha Kapoor"/>
    <s v="Home Office"/>
    <x v="0"/>
    <s v="Haryana"/>
    <s v="Gurugram"/>
    <s v="Technology"/>
    <s v="Phones"/>
    <s v="Classic Phones 940"/>
    <s v="Same Day"/>
    <n v="2"/>
    <n v="688.83"/>
    <n v="0.05"/>
    <n v="1308.78"/>
    <n v="843"/>
    <n v="465.78"/>
    <x v="0"/>
    <x v="0"/>
    <m/>
    <s v="ORD-2025-10420"/>
    <s v="26-09-25"/>
    <s v="invalid date"/>
    <s v="CUST-6552"/>
    <s v="Sneha Kapoor"/>
    <s v="Home Office"/>
    <s v="North"/>
    <s v="Haryana"/>
    <s v="Gurugram"/>
    <s v="Technology"/>
    <s v="Phones"/>
    <s v="Classic Phones 940"/>
    <s v="Same Day"/>
    <s v="Invalid"/>
    <s v="invalid date"/>
    <n v="0.05"/>
    <x v="404"/>
    <x v="404"/>
    <n v="0.35588721378813964"/>
    <s v="26-09-25"/>
    <s v="invalid date"/>
    <s v="September"/>
    <s v="2025"/>
    <s v="Invalid"/>
    <s v="invalid date"/>
    <s v="Unique"/>
  </r>
  <r>
    <s v="ORD-2025-10421"/>
    <s v="18-03-2025"/>
    <s v="2025-03-19"/>
    <s v="CUST-7131"/>
    <s v="Isha Nair"/>
    <s v="Corporate"/>
    <x v="2"/>
    <s v="Tamil Nadu"/>
    <s v="Chennai"/>
    <s v="Technology"/>
    <s v="Machines"/>
    <s v="Pro Machines 579"/>
    <s v="Standard Class"/>
    <n v="2"/>
    <n v="1209.99"/>
    <n v="0.25"/>
    <n v="1814.99"/>
    <n v="1120.06"/>
    <n v="694.93"/>
    <x v="2"/>
    <x v="1"/>
    <m/>
    <s v="ORD-2025-10421"/>
    <s v="18-03-25"/>
    <s v="19-03-25"/>
    <s v="CUST-7131"/>
    <s v="Isha Nair"/>
    <s v="Corporate"/>
    <s v="South"/>
    <s v="Tamil Nadu"/>
    <s v="Chennai"/>
    <s v="Technology"/>
    <s v="Machines"/>
    <s v="Pro Machines 579"/>
    <s v="Standard Class"/>
    <s v="anomaly"/>
    <n v="1"/>
    <n v="0.25"/>
    <x v="405"/>
    <x v="405"/>
    <n v="0.38288195219244242"/>
    <s v="18-03-25"/>
    <s v="19-03-25"/>
    <s v="March"/>
    <s v="2025"/>
    <s v=" "/>
    <n v="1"/>
    <s v="Unique"/>
  </r>
  <r>
    <s v="ORD-2025-10422"/>
    <s v="06/14/2025"/>
    <s v="19 Jun 2025"/>
    <s v="CUST-2779"/>
    <s v="Rohan Mehta"/>
    <s v="Small Business"/>
    <x v="0"/>
    <s v="Delhi"/>
    <s v="New Delhi"/>
    <s v="Office Supplies"/>
    <s v="Binders"/>
    <s v="Elite Binders 943"/>
    <s v="Same Day"/>
    <n v="3"/>
    <n v="1037.45"/>
    <n v="0.2"/>
    <n v="2489.88"/>
    <n v="1707.52"/>
    <n v="782.36"/>
    <x v="2"/>
    <x v="2"/>
    <m/>
    <s v="ORD-2025-10422"/>
    <s v="invalid date"/>
    <s v="19-06-25"/>
    <s v="CUST-2779"/>
    <s v="Rohan Mehta"/>
    <s v="Small Business"/>
    <s v="North"/>
    <s v="Delhi"/>
    <s v="New Delhi"/>
    <s v="Office Supplies"/>
    <s v="Binders"/>
    <s v="Elite Binders 943"/>
    <s v="Same Day"/>
    <s v="Invalid"/>
    <s v="invalid date"/>
    <n v="0.2"/>
    <x v="406"/>
    <x v="406"/>
    <n v="0.31421594615001541"/>
    <s v="invalid date"/>
    <s v="19-06-25"/>
    <s v="invalid date"/>
    <s v="invalid date"/>
    <s v="Invalid"/>
    <s v="invalid date"/>
    <s v="Unique"/>
  </r>
  <r>
    <s v="ORD-2025-10423"/>
    <s v="09/03/2025"/>
    <s v="06 Sep 2025"/>
    <s v="CUST-6077"/>
    <s v="Kabir Singh"/>
    <s v="Consumer"/>
    <x v="3"/>
    <s v="Madhya Pradesh"/>
    <s v="Indore"/>
    <s v="Technology"/>
    <s v="Copiers"/>
    <s v="Elite Copiers 474"/>
    <s v="Same Day"/>
    <n v="7"/>
    <n v="688.85"/>
    <n v="0.15"/>
    <n v="4098.66"/>
    <n v="2678.06"/>
    <n v="1420.6"/>
    <x v="0"/>
    <x v="0"/>
    <m/>
    <s v="ORD-2025-10423"/>
    <s v="09-03-25"/>
    <s v="06-09-25"/>
    <s v="CUST-6077"/>
    <s v="Kabir Singh"/>
    <s v="Consumer"/>
    <s v="West"/>
    <s v="Madhya Pradesh"/>
    <s v="Indore"/>
    <s v="Technology"/>
    <s v="Copiers"/>
    <s v="Elite Copiers 474"/>
    <s v="Same Day"/>
    <s v="  "/>
    <n v="181"/>
    <n v="0.15"/>
    <x v="407"/>
    <x v="407"/>
    <n v="0.34660068571233377"/>
    <s v="09-03-25"/>
    <s v="06-09-25"/>
    <s v="March"/>
    <s v="2025"/>
    <s v="anomaly"/>
    <n v="181"/>
    <s v="Unique"/>
  </r>
  <r>
    <s v="ORD-2024-10424"/>
    <s v="2024-02-20"/>
    <s v="27-02-2024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211.03"/>
    <n v="17940.43"/>
    <n v="9270.6"/>
    <x v="0"/>
    <x v="0"/>
    <m/>
    <s v="ORD-2024-10424"/>
    <s v="20-02-24"/>
    <s v="27-02-24"/>
    <s v="CUST-6169"/>
    <s v="Diya Patel"/>
    <s v="Consumer"/>
    <s v="South"/>
    <s v="Kerala"/>
    <s v="Kochi"/>
    <s v="Technology"/>
    <s v="Accessories"/>
    <s v="Prime Accessories 236"/>
    <s v="First Class"/>
    <s v="anomaly"/>
    <n v="7"/>
    <n v="0.2"/>
    <x v="408"/>
    <x v="408"/>
    <n v="0.34069277490100347"/>
    <s v="20-02-24"/>
    <s v="27-02-24"/>
    <s v="February"/>
    <s v="2024"/>
    <s v=" "/>
    <n v="7"/>
    <s v="Unique"/>
  </r>
  <r>
    <s v="ORD-2024-10425"/>
    <s v="06/26/2024"/>
    <s v="2024-06-29"/>
    <s v="CUST-8904"/>
    <s v="Neha Gupta"/>
    <s v="Corporate"/>
    <x v="0"/>
    <s v="Punjab"/>
    <s v="Ludhiana"/>
    <s v="Technology"/>
    <s v="Phones"/>
    <s v="Prime Phones 881"/>
    <s v="Standard Class"/>
    <n v="8"/>
    <n v="804.52"/>
    <n v="0"/>
    <n v="6436.16"/>
    <n v="4263.83"/>
    <n v="2172.33"/>
    <x v="0"/>
    <x v="0"/>
    <m/>
    <s v="ORD-2024-10425"/>
    <s v="invalid date"/>
    <s v="29-06-24"/>
    <s v="CUST-8904"/>
    <s v="Neha Gupta"/>
    <s v="Corporate"/>
    <s v="North"/>
    <s v="Punjab"/>
    <s v="Ludhiana"/>
    <s v="Technology"/>
    <s v="Phones"/>
    <s v="Prime Phones 881"/>
    <s v="Standard Class"/>
    <s v="Invalid"/>
    <s v="invalid date"/>
    <n v="0"/>
    <x v="409"/>
    <x v="409"/>
    <n v="0.33751957689056827"/>
    <s v="invalid date"/>
    <s v="29-06-24"/>
    <s v="invalid date"/>
    <s v="invalid date"/>
    <s v="Invalid"/>
    <s v="invalid date"/>
    <s v="Unique"/>
  </r>
  <r>
    <s v="ORD-2024-10426"/>
    <s v="26-09-2024"/>
    <s v="09/27/2024"/>
    <s v="CUST-9586"/>
    <s v="Isha Nair"/>
    <s v="Home Office"/>
    <x v="0"/>
    <s v="Delhi"/>
    <s v="New Delhi"/>
    <s v="Office Supplies"/>
    <s v="Labels"/>
    <s v="Pro Labels 903"/>
    <s v="First Class"/>
    <n v="2"/>
    <n v="1065.69"/>
    <n v="0.1"/>
    <n v="1918.24"/>
    <n v="1373.52"/>
    <n v="544.72"/>
    <x v="1"/>
    <x v="1"/>
    <m/>
    <s v="ORD-2024-10426"/>
    <s v="26-09-24"/>
    <s v="invalid date"/>
    <s v="CUST-9586"/>
    <s v="Isha Nair"/>
    <s v="Home Office"/>
    <s v="North"/>
    <s v="Delhi"/>
    <s v="New Delhi"/>
    <s v="Office Supplies"/>
    <s v="Labels"/>
    <s v="Pro Labels 903"/>
    <s v="First Class"/>
    <s v="Invalid"/>
    <s v="invalid date"/>
    <n v="0.1"/>
    <x v="410"/>
    <x v="410"/>
    <n v="0.2839693844676533"/>
    <s v="26-09-24"/>
    <s v="invalid date"/>
    <s v="September"/>
    <s v="2024"/>
    <s v="Invalid"/>
    <s v="invalid date"/>
    <s v="Unique"/>
  </r>
  <r>
    <s v="ORD-2024-10427"/>
    <s v="30-06-2024"/>
    <s v="01-07-2024"/>
    <s v="CUST-5431"/>
    <s v="Aditi Sen"/>
    <s v="Consumer"/>
    <x v="0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x v="0"/>
    <x v="0"/>
    <m/>
    <s v="ORD-2024-10427"/>
    <s v="30-06-24"/>
    <s v="01-07-24"/>
    <s v="CUST-5431"/>
    <s v="Aditi Sen"/>
    <s v="Consumer"/>
    <s v="North"/>
    <s v="Haryana"/>
    <s v="Gurugram"/>
    <s v="Technology"/>
    <s v="Copiers"/>
    <s v="Max Copiers 402"/>
    <s v="Same Day"/>
    <s v="  "/>
    <n v="1"/>
    <n v="0.1"/>
    <x v="411"/>
    <x v="411"/>
    <n v="0.31856837072174626"/>
    <s v="30-06-24"/>
    <s v="01-07-24"/>
    <s v="June"/>
    <s v="2024"/>
    <s v="anomaly"/>
    <n v="1"/>
    <s v="Unique"/>
  </r>
  <r>
    <s v="ORD-2025-10428"/>
    <s v="2025-04-22"/>
    <s v="24-04-2025"/>
    <s v="CUST-8843"/>
    <s v="Isha Nair"/>
    <s v="Corporate"/>
    <x v="4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x v="0"/>
    <x v="0"/>
    <m/>
    <s v="ORD-2025-10428"/>
    <s v="22-04-25"/>
    <s v="24-04-25"/>
    <s v="CUST-8843"/>
    <s v="Isha Nair"/>
    <s v="Corporate"/>
    <s v="unknown"/>
    <s v="Jharkhand"/>
    <s v="Ranchi"/>
    <s v="Technology"/>
    <s v="Accessories"/>
    <s v="Prime Accessories 419"/>
    <s v="Standard Class"/>
    <s v="anomaly"/>
    <n v="2"/>
    <n v="0"/>
    <x v="412"/>
    <x v="412"/>
    <n v="0.33357487594008833"/>
    <s v="22-04-25"/>
    <s v="24-04-25"/>
    <s v="April"/>
    <s v="2025"/>
    <s v=" "/>
    <n v="2"/>
    <s v="Unique"/>
  </r>
  <r>
    <s v="ORD-2025-10429"/>
    <s v="2025-03-15"/>
    <s v="22 Mar 2025"/>
    <s v="CUST-7626"/>
    <s v="Karan Malhotra"/>
    <s v="Small Business"/>
    <x v="1"/>
    <s v="West Bengal"/>
    <s v="Kolkata"/>
    <s v="Technology"/>
    <s v="Phones"/>
    <s v="Elite Phones 488"/>
    <s v="Same Day"/>
    <n v="2"/>
    <n v="1235.93"/>
    <n v="0.25"/>
    <n v="1853.89"/>
    <n v="1101.23"/>
    <n v="752.66"/>
    <x v="2"/>
    <x v="1"/>
    <m/>
    <s v="ORD-2025-10429"/>
    <s v="15-03-25"/>
    <s v="22-03-25"/>
    <s v="CUST-7626"/>
    <s v="Karan Malhotra"/>
    <s v="Small Business"/>
    <s v="East"/>
    <s v="West Bengal"/>
    <s v="Kolkata"/>
    <s v="Technology"/>
    <s v="Phones"/>
    <s v="Elite Phones 488"/>
    <s v="Same Day"/>
    <s v="anomaly"/>
    <n v="7"/>
    <n v="0.25"/>
    <x v="413"/>
    <x v="413"/>
    <n v="0.40599116994220275"/>
    <s v="15-03-25"/>
    <s v="22-03-25"/>
    <s v="March"/>
    <s v="2025"/>
    <s v=" "/>
    <n v="7"/>
    <s v="Unique"/>
  </r>
  <r>
    <s v="ORD-2025-10430"/>
    <s v="01 Mar 2025"/>
    <s v="08-03-2025"/>
    <s v="CUST-8562"/>
    <s v="Neha Gupta"/>
    <s v="Home Office"/>
    <x v="0"/>
    <s v="Rajasthan"/>
    <s v="Jaipur"/>
    <s v="Technology"/>
    <s v="Copiers"/>
    <s v="Prime Copiers 109"/>
    <s v="Same Day"/>
    <n v="8"/>
    <n v="2943.1"/>
    <n v="0.25"/>
    <n v="17658.599999999999"/>
    <n v="13842.48"/>
    <n v="3816.12"/>
    <x v="0"/>
    <x v="0"/>
    <m/>
    <s v="ORD-2025-10430"/>
    <s v="01-03-25"/>
    <s v="08-03-25"/>
    <s v="CUST-8562"/>
    <s v="Neha Gupta"/>
    <s v="Home Office"/>
    <s v="North"/>
    <s v="Rajasthan"/>
    <s v="Jaipur"/>
    <s v="Technology"/>
    <s v="Copiers"/>
    <s v="Prime Copiers 109"/>
    <s v="Same Day"/>
    <s v="anomaly"/>
    <n v="7"/>
    <n v="0.25"/>
    <x v="414"/>
    <x v="414"/>
    <n v="0.2161054670245659"/>
    <s v="01-03-25"/>
    <s v="08-03-25"/>
    <s v="March"/>
    <s v="2025"/>
    <s v=" "/>
    <n v="7"/>
    <s v="Unique"/>
  </r>
  <r>
    <s v="ORD-2024-10431"/>
    <s v="30 Aug 2024"/>
    <s v="02-09-2024"/>
    <s v="CUST-2732"/>
    <s v="Neha Gupta"/>
    <s v="Small Business"/>
    <x v="0"/>
    <s v="Haryana"/>
    <s v="Gurugram"/>
    <s v="Office Supplies"/>
    <s v="Paper"/>
    <s v="Max Paper 576"/>
    <s v="Second Class"/>
    <n v="1"/>
    <n v="4320.84"/>
    <n v="0.15"/>
    <n v="3672.71"/>
    <n v="2714.23"/>
    <n v="763.38"/>
    <x v="0"/>
    <x v="0"/>
    <m/>
    <s v="ORD-2024-10431"/>
    <s v="30-08-24"/>
    <s v="02-09-24"/>
    <s v="CUST-2732"/>
    <s v="Neha Gupta"/>
    <s v="Small Business"/>
    <s v="North"/>
    <s v="Haryana"/>
    <s v="Gurugram"/>
    <s v="Office Supplies"/>
    <s v="Paper"/>
    <s v="Max Paper 576"/>
    <s v="Second Class"/>
    <s v="  "/>
    <n v="3"/>
    <n v="0.15"/>
    <x v="415"/>
    <x v="415"/>
    <n v="0.26097430946161337"/>
    <s v="30-08-24"/>
    <s v="02-09-24"/>
    <s v="August"/>
    <s v="2024"/>
    <s v="anomaly"/>
    <n v="3"/>
    <s v="Unique"/>
  </r>
  <r>
    <s v="ORD-2024-10432"/>
    <s v="10 Feb 2024"/>
    <s v="02/13/2024"/>
    <s v="CUST-3989"/>
    <s v="Karan Malhotra"/>
    <s v="Home Office"/>
    <x v="3"/>
    <s v="Goa"/>
    <s v="Panaji"/>
    <s v="Technology"/>
    <s v="Machines"/>
    <s v="Max Machines 412"/>
    <s v="Same Day"/>
    <n v="2"/>
    <n v="4118.45"/>
    <n v="0.25"/>
    <n v="6177.67"/>
    <n v="4520.75"/>
    <n v="1656.92"/>
    <x v="0"/>
    <x v="0"/>
    <m/>
    <s v="ORD-2024-10432"/>
    <s v="10-02-24"/>
    <s v="invalid date"/>
    <s v="CUST-3989"/>
    <s v="Karan Malhotra"/>
    <s v="Home Office"/>
    <s v="West"/>
    <s v="Goa"/>
    <s v="Panaji"/>
    <s v="Technology"/>
    <s v="Machines"/>
    <s v="Max Machines 412"/>
    <s v="Same Day"/>
    <s v="Invalid"/>
    <s v="invalid date"/>
    <n v="0.25"/>
    <x v="416"/>
    <x v="416"/>
    <n v="0.26821174632851347"/>
    <s v="10-02-24"/>
    <s v="invalid date"/>
    <s v="February"/>
    <s v="2024"/>
    <s v="Invalid"/>
    <s v="invalid date"/>
    <s v="Unique"/>
  </r>
  <r>
    <s v="ORD-2024-10433"/>
    <s v="08/29/2024"/>
    <s v="02-09-2024"/>
    <s v="CUST-3522"/>
    <s v="Priya Menon"/>
    <s v="Small Business"/>
    <x v="3"/>
    <s v="Maharashtra"/>
    <s v="Mumbai"/>
    <s v="Furniture"/>
    <s v="Bookcases"/>
    <s v="Classic Bookcases 291"/>
    <s v="Standard Class"/>
    <n v="6"/>
    <n v="172.82"/>
    <n v="0.05"/>
    <n v="985.07"/>
    <n v="844.48"/>
    <n v="140.59"/>
    <x v="0"/>
    <x v="0"/>
    <m/>
    <s v="ORD-2024-10433"/>
    <s v="invalid date"/>
    <s v="02-09-24"/>
    <s v="CUST-3522"/>
    <s v="Priya Menon"/>
    <s v="Small Business"/>
    <s v="West"/>
    <s v="Maharashtra"/>
    <s v="Mumbai"/>
    <s v="Furniture"/>
    <s v="Bookcases"/>
    <s v="Classic Bookcases 291"/>
    <s v="Standard Class"/>
    <s v="Invalid"/>
    <s v="invalid date"/>
    <n v="0.05"/>
    <x v="417"/>
    <x v="417"/>
    <n v="0.14272430294576857"/>
    <s v="invalid date"/>
    <s v="02-09-24"/>
    <s v="invalid date"/>
    <s v="invalid date"/>
    <s v="Invalid"/>
    <s v="invalid date"/>
    <s v="Unique"/>
  </r>
  <r>
    <s v="ORD-2024-10434"/>
    <s v="04/19/2024"/>
    <s v="20-04-2024"/>
    <s v="CUST-7066"/>
    <s v="Priya Menon"/>
    <s v="Corporate"/>
    <x v="2"/>
    <s v="Kerala"/>
    <s v="Kochi"/>
    <s v="Office Supplies"/>
    <s v="Art"/>
    <s v="Elite Art 946"/>
    <s v="Second Class"/>
    <n v="4"/>
    <n v="1540.22"/>
    <n v="0"/>
    <n v="6160.88"/>
    <n v="4938.7"/>
    <n v="1222.18"/>
    <x v="1"/>
    <x v="2"/>
    <m/>
    <s v="ORD-2024-10434"/>
    <s v="invalid date"/>
    <s v="20-04-24"/>
    <s v="CUST-7066"/>
    <s v="Priya Menon"/>
    <s v="Corporate"/>
    <s v="South"/>
    <s v="Kerala"/>
    <s v="Kochi"/>
    <s v="Office Supplies"/>
    <s v="Art"/>
    <s v="Elite Art 946"/>
    <s v="Second Class"/>
    <s v="Invalid"/>
    <s v="invalid date"/>
    <n v="0"/>
    <x v="418"/>
    <x v="418"/>
    <n v="0.19837750451234243"/>
    <s v="invalid date"/>
    <s v="20-04-24"/>
    <s v="invalid date"/>
    <s v="invalid date"/>
    <s v="Invalid"/>
    <s v="invalid date"/>
    <s v="Unique"/>
  </r>
  <r>
    <s v="ORD-2025-10435"/>
    <s v="04/11/2025"/>
    <s v="2025-04-15"/>
    <s v="CUST-2351"/>
    <s v="Mira Das"/>
    <s v="Home Office"/>
    <x v="0"/>
    <s v="Uttar Pradesh"/>
    <s v="Noida"/>
    <s v="Technology"/>
    <s v="Accessories"/>
    <s v="Eco Accessories 705"/>
    <s v="Second Class"/>
    <n v="5"/>
    <n v="652.78"/>
    <n v="0"/>
    <n v="3263.9"/>
    <n v="2068.44"/>
    <n v="1195.46"/>
    <x v="0"/>
    <x v="0"/>
    <m/>
    <s v="ORD-2025-10435"/>
    <s v="04-11-25"/>
    <s v="15-04-25"/>
    <s v="CUST-2351"/>
    <s v="Mira Das"/>
    <s v="Home Office"/>
    <s v="North"/>
    <s v="Uttar Pradesh"/>
    <s v="Noida"/>
    <s v="Technology"/>
    <s v="Accessories"/>
    <s v="Eco Accessories 705"/>
    <s v="Second Class"/>
    <s v="anomaly"/>
    <n v="-203"/>
    <n v="0"/>
    <x v="419"/>
    <x v="419"/>
    <n v="0.3662673488771101"/>
    <s v="04-11-25"/>
    <s v="15-04-25"/>
    <s v="November"/>
    <s v="2025"/>
    <s v=" "/>
    <n v="-203"/>
    <s v="Unique"/>
  </r>
  <r>
    <s v="ORD-2025-10436"/>
    <s v="2025-04-12"/>
    <s v="20-04-2025"/>
    <s v="CUST-7291"/>
    <s v="Kabir Singh"/>
    <s v="Home Office"/>
    <x v="0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x v="0"/>
    <x v="1"/>
    <m/>
    <s v="ORD-2025-10436"/>
    <s v="12-04-25"/>
    <s v="20-04-25"/>
    <s v="CUST-7291"/>
    <s v="Kabir Singh"/>
    <s v="Home Office"/>
    <s v="North"/>
    <s v="Delhi"/>
    <s v="New Delhi"/>
    <s v="Technology"/>
    <s v="Machines"/>
    <s v="Max Machines 151"/>
    <s v="Standard Class"/>
    <s v="anomaly"/>
    <n v="8"/>
    <n v="0.15"/>
    <x v="420"/>
    <x v="420"/>
    <n v="0.17517152055163318"/>
    <s v="12-04-25"/>
    <s v="20-04-25"/>
    <s v="April"/>
    <s v="2025"/>
    <s v=" "/>
    <n v="8"/>
    <s v="Unique"/>
  </r>
  <r>
    <s v="ORD-2024-10437"/>
    <s v="16 Jun 2024"/>
    <s v="21 Jun 2024"/>
    <s v="CUST-4492"/>
    <s v="Neha Gupta"/>
    <s v="Consumer"/>
    <x v="2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x v="0"/>
    <x v="2"/>
    <m/>
    <s v="ORD-2024-10437"/>
    <s v="16-06-24"/>
    <s v="21-06-24"/>
    <s v="CUST-4492"/>
    <s v="Neha Gupta"/>
    <s v="Consumer"/>
    <s v="South"/>
    <s v="Kerala"/>
    <s v="Kochi"/>
    <s v="Furniture"/>
    <s v="Furnishings"/>
    <s v="Max Furnishings 803"/>
    <s v="Same Day"/>
    <s v="anomaly"/>
    <n v="5"/>
    <n v="0.05"/>
    <x v="421"/>
    <x v="421"/>
    <n v="0.33884985636171544"/>
    <s v="16-06-24"/>
    <s v="21-06-24"/>
    <s v="June"/>
    <s v="2024"/>
    <s v=" "/>
    <n v="5"/>
    <s v="Unique"/>
  </r>
  <r>
    <s v="ORD-2024-10438"/>
    <s v="15-02-2024"/>
    <s v="2024-02-18"/>
    <s v="CUST-5029"/>
    <s v="Aditi Sen"/>
    <s v="Small Business"/>
    <x v="2"/>
    <s v="Kerala"/>
    <s v="Kochi"/>
    <s v="Technology"/>
    <s v="Accessories"/>
    <s v="Max Accessories 423"/>
    <s v="Same Day"/>
    <n v="8"/>
    <n v="379.82"/>
    <n v="0.05"/>
    <n v="2886.63"/>
    <n v="1588.23"/>
    <n v="1298.4000000000001"/>
    <x v="3"/>
    <x v="2"/>
    <m/>
    <s v="ORD-2024-10438"/>
    <s v="15-02-24"/>
    <s v="18-02-24"/>
    <s v="CUST-5029"/>
    <s v="Aditi Sen"/>
    <s v="Small Business"/>
    <s v="South"/>
    <s v="Kerala"/>
    <s v="Kochi"/>
    <s v="Technology"/>
    <s v="Accessories"/>
    <s v="Max Accessories 423"/>
    <s v="Same Day"/>
    <s v="anomaly"/>
    <n v="3"/>
    <n v="0.05"/>
    <x v="422"/>
    <x v="422"/>
    <n v="0.44979824238073984"/>
    <s v="15-02-24"/>
    <s v="18-02-24"/>
    <s v="February"/>
    <s v="2024"/>
    <s v=" "/>
    <n v="3"/>
    <s v="Unique"/>
  </r>
  <r>
    <s v="ORD-2025-10439"/>
    <s v="07 May 2025"/>
    <s v="05/05/2025"/>
    <s v="CUST-7252"/>
    <s v="Neha Gupta"/>
    <s v="Corporate"/>
    <x v="1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x v="0"/>
    <x v="0"/>
    <m/>
    <s v="ORD-2025-10439"/>
    <s v="07-05-25"/>
    <s v="05-05-25"/>
    <s v="CUST-7252"/>
    <s v="Neha Gupta"/>
    <s v="Corporate"/>
    <s v="East"/>
    <s v="Jharkhand"/>
    <s v="Ranchi"/>
    <s v="Technology"/>
    <s v="Phones"/>
    <s v="Elite Phones 276"/>
    <s v="Standard Class"/>
    <s v="  "/>
    <n v="-2"/>
    <n v="0.2"/>
    <x v="423"/>
    <x v="423"/>
    <n v="0.24792739370033567"/>
    <s v="07-05-25"/>
    <s v="05-05-25"/>
    <s v="May"/>
    <s v="2025"/>
    <s v="anomaly"/>
    <n v="-2"/>
    <s v="Unique"/>
  </r>
  <r>
    <s v="ORD-2025-10440"/>
    <s v="30-06-2025"/>
    <s v="03 Jul 2025"/>
    <s v="CUST-7346"/>
    <s v="Aarav Sharma"/>
    <s v="Home Office"/>
    <x v="3"/>
    <s v="Goa"/>
    <s v="Panaji"/>
    <s v="Office Supplies"/>
    <s v="Storage"/>
    <s v="Smart Storage 287"/>
    <s v="Same Day"/>
    <n v="5"/>
    <n v="665.25"/>
    <n v="0"/>
    <n v="3326.25"/>
    <n v="2689.36"/>
    <n v="636.89"/>
    <x v="1"/>
    <x v="2"/>
    <m/>
    <s v="ORD-2025-10440"/>
    <s v="30-06-25"/>
    <s v="03-07-25"/>
    <s v="CUST-7346"/>
    <s v="Aarav Sharma"/>
    <s v="Home Office"/>
    <s v="West"/>
    <s v="Goa"/>
    <s v="Panaji"/>
    <s v="Office Supplies"/>
    <s v="Storage"/>
    <s v="Smart Storage 287"/>
    <s v="Same Day"/>
    <s v="  "/>
    <n v="3"/>
    <n v="0"/>
    <x v="424"/>
    <x v="424"/>
    <n v="0.19147388199924836"/>
    <s v="30-06-25"/>
    <s v="03-07-25"/>
    <s v="June"/>
    <s v="2025"/>
    <s v="anomaly"/>
    <n v="3"/>
    <s v="Unique"/>
  </r>
  <r>
    <s v="ORD-2024-10441"/>
    <s v="04/02/2024"/>
    <s v="04/08/2024"/>
    <s v="CUST-9039"/>
    <s v="Vikram Iyer"/>
    <s v="Corporate"/>
    <x v="1"/>
    <s v="Odisha"/>
    <s v="Bhubaneswar"/>
    <s v="Technology"/>
    <s v="Machines"/>
    <s v="Basic Machines 610"/>
    <s v="Second Class"/>
    <n v="6"/>
    <n v="3722.84"/>
    <n v="0.2"/>
    <n v="17869.63"/>
    <n v="12163.8"/>
    <n v="5705.83"/>
    <x v="0"/>
    <x v="0"/>
    <m/>
    <s v="ORD-2024-10441"/>
    <s v="04-02-24"/>
    <s v="04-08-24"/>
    <s v="CUST-9039"/>
    <s v="Vikram Iyer"/>
    <s v="Corporate"/>
    <s v="East"/>
    <s v="Odisha"/>
    <s v="Bhubaneswar"/>
    <s v="Technology"/>
    <s v="Machines"/>
    <s v="Basic Machines 610"/>
    <s v="Second Class"/>
    <s v="anomaly"/>
    <n v="182"/>
    <n v="0.2"/>
    <x v="425"/>
    <x v="425"/>
    <n v="0.31930327384469931"/>
    <s v="04-02-24"/>
    <s v="04-08-24"/>
    <s v="February"/>
    <s v="2024"/>
    <s v=" "/>
    <n v="182"/>
    <s v="Unique"/>
  </r>
  <r>
    <s v="ORD-2024-10442"/>
    <s v="03-10-2024"/>
    <s v="2024-10-03"/>
    <s v="CUST-3975"/>
    <s v="Karan Malhotra"/>
    <s v="Consumer"/>
    <x v="1"/>
    <s v="Bihar"/>
    <s v="Patna"/>
    <s v="Furniture"/>
    <s v="Bookcases"/>
    <s v="Elite Bookcases 393"/>
    <s v="Standard Class"/>
    <n v="6"/>
    <n v="4217.49"/>
    <n v="0"/>
    <n v="25304.94"/>
    <n v="20771.95"/>
    <n v="4532.99"/>
    <x v="0"/>
    <x v="1"/>
    <m/>
    <s v="ORD-2024-10442"/>
    <s v="03-10-24"/>
    <s v="03-10-24"/>
    <s v="CUST-3975"/>
    <s v="Karan Malhotra"/>
    <s v="Consumer"/>
    <s v="East"/>
    <s v="Bihar"/>
    <s v="Patna"/>
    <s v="Furniture"/>
    <s v="Bookcases"/>
    <s v="Elite Bookcases 393"/>
    <s v="Standard Class"/>
    <s v="  "/>
    <n v="0"/>
    <n v="0"/>
    <x v="426"/>
    <x v="426"/>
    <n v="0.17913458795002077"/>
    <s v="03-10-24"/>
    <s v="03-10-24"/>
    <s v="October"/>
    <s v="2024"/>
    <s v=" "/>
    <n v="0"/>
    <s v="Unique"/>
  </r>
  <r>
    <s v="ORD-2025-10443"/>
    <s v="12 Jan 2025"/>
    <s v="2025-01-19"/>
    <s v="CUST-6588"/>
    <s v="Aarav Sharma"/>
    <s v="Consumer"/>
    <x v="1"/>
    <s v="Jharkhand"/>
    <s v="Ranchi"/>
    <s v="Furniture"/>
    <s v="Tables"/>
    <s v="Prime Tables 242"/>
    <s v="First Class"/>
    <n v="1"/>
    <n v="1842.31"/>
    <n v="0"/>
    <n v="1842.31"/>
    <n v="1019.17"/>
    <n v="823.14"/>
    <x v="0"/>
    <x v="0"/>
    <m/>
    <s v="ORD-2025-10443"/>
    <s v="12-01-25"/>
    <s v="19-01-25"/>
    <s v="CUST-6588"/>
    <s v="Aarav Sharma"/>
    <s v="Consumer"/>
    <s v="East"/>
    <s v="Jharkhand"/>
    <s v="Ranchi"/>
    <s v="Furniture"/>
    <s v="Tables"/>
    <s v="Prime Tables 242"/>
    <s v="First Class"/>
    <s v="anomaly"/>
    <n v="7"/>
    <n v="0"/>
    <x v="427"/>
    <x v="427"/>
    <n v="0.44679777019068451"/>
    <s v="12-01-25"/>
    <s v="19-01-25"/>
    <s v="January"/>
    <s v="2025"/>
    <s v=" "/>
    <n v="7"/>
    <s v="Unique"/>
  </r>
  <r>
    <s v="ORD-2024-10444"/>
    <s v="04-04-2024"/>
    <s v="07 Apr 2024"/>
    <s v="CUST-2207"/>
    <s v="Rohan Mehta"/>
    <s v="Home Office"/>
    <x v="1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x v="0"/>
    <x v="0"/>
    <m/>
    <s v="ORD-2024-10444"/>
    <s v="04-04-24"/>
    <s v="07-04-24"/>
    <s v="CUST-2207"/>
    <s v="Rohan Mehta"/>
    <s v="Home Office"/>
    <s v="East"/>
    <s v="Odisha"/>
    <s v="Bhubaneswar"/>
    <s v="Furniture"/>
    <s v="Furnishings"/>
    <s v="Basic Furnishings 563"/>
    <s v="First Class"/>
    <s v="anomaly"/>
    <n v="3"/>
    <n v="0.1"/>
    <x v="428"/>
    <x v="428"/>
    <n v="0.29188100893564084"/>
    <s v="04-04-24"/>
    <s v="07-04-24"/>
    <s v="April"/>
    <s v="2024"/>
    <s v=" "/>
    <n v="3"/>
    <s v="Unique"/>
  </r>
  <r>
    <s v="ORD-2025-10445"/>
    <s v="12 Aug 2025"/>
    <s v="2025-08-16"/>
    <s v="CUST-4475"/>
    <s v="Ananya Rao"/>
    <s v="Consumer"/>
    <x v="1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x v="0"/>
    <x v="0"/>
    <m/>
    <s v="ORD-2025-10445"/>
    <s v="12-08-25"/>
    <s v="16-08-25"/>
    <s v="CUST-4475"/>
    <s v="Ananya Rao"/>
    <s v="Consumer"/>
    <s v="East"/>
    <s v="Assam"/>
    <s v="Guwahati"/>
    <s v="Technology"/>
    <s v="Accessories"/>
    <s v="Prime Accessories 482"/>
    <s v="Same Day"/>
    <s v="anomaly"/>
    <n v="4"/>
    <n v="0.05"/>
    <x v="429"/>
    <x v="429"/>
    <n v="0.39006961877157481"/>
    <s v="12-08-25"/>
    <s v="16-08-25"/>
    <s v="August"/>
    <s v="2025"/>
    <s v=" "/>
    <n v="4"/>
    <s v="Unique"/>
  </r>
  <r>
    <s v="ORD-2024-10446"/>
    <s v="05/09/2024"/>
    <s v="05-05-2024"/>
    <s v="CUST-1351"/>
    <s v="Arjun Bose"/>
    <s v="Consumer"/>
    <x v="1"/>
    <s v="Assam"/>
    <s v="Guwahati"/>
    <s v="Furniture"/>
    <s v="Bookcases"/>
    <s v="Eco Bookcases 215"/>
    <s v="Same Day"/>
    <n v="2"/>
    <n v="2111.23"/>
    <n v="0.2"/>
    <n v="3377.97"/>
    <n v="2496.29"/>
    <n v="881.68"/>
    <x v="0"/>
    <x v="0"/>
    <m/>
    <s v="ORD-2024-10446"/>
    <s v="05-09-24"/>
    <s v="05-05-24"/>
    <s v="CUST-1351"/>
    <s v="Arjun Bose"/>
    <s v="Consumer"/>
    <s v="East"/>
    <s v="Assam"/>
    <s v="Guwahati"/>
    <s v="Furniture"/>
    <s v="Bookcases"/>
    <s v="Eco Bookcases 215"/>
    <s v="Same Day"/>
    <s v="  "/>
    <n v="-123"/>
    <n v="0.2"/>
    <x v="430"/>
    <x v="430"/>
    <n v="0.26100839321154029"/>
    <s v="05-09-24"/>
    <s v="05-05-24"/>
    <s v="September"/>
    <s v="2024"/>
    <s v="anomaly"/>
    <n v="-123"/>
    <s v="Unique"/>
  </r>
  <r>
    <s v="ORD-2025-10447"/>
    <s v="18-09-2025"/>
    <s v="19-09-2025"/>
    <s v="CUST-9295"/>
    <s v="Sneha Kapoor"/>
    <s v="Home Office"/>
    <x v="2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x v="0"/>
    <x v="0"/>
    <m/>
    <s v="ORD-2025-10447"/>
    <s v="18-09-25"/>
    <s v="19-09-25"/>
    <s v="CUST-9295"/>
    <s v="Sneha Kapoor"/>
    <s v="Home Office"/>
    <s v="South"/>
    <s v="Andhra Pradesh"/>
    <s v="Vijayawada"/>
    <s v="Office Supplies"/>
    <s v="Storage"/>
    <s v="Eco Storage 793"/>
    <s v="Same Day"/>
    <s v="anomaly"/>
    <n v="1"/>
    <n v="0"/>
    <x v="431"/>
    <x v="431"/>
    <n v="0.30011390662603044"/>
    <s v="18-09-25"/>
    <s v="19-09-25"/>
    <s v="September"/>
    <s v="2025"/>
    <s v=" "/>
    <n v="1"/>
    <s v="Unique"/>
  </r>
  <r>
    <s v="ORD-2025-10448"/>
    <s v="10-08-2025"/>
    <s v="10 Aug 2025"/>
    <s v="CUST-3614"/>
    <s v="Rohan Mehta"/>
    <s v="Home Office"/>
    <x v="2"/>
    <s v="Telangana"/>
    <s v="Hyderabad"/>
    <s v="Furniture"/>
    <s v="Bookcases"/>
    <s v="Basic Bookcases 182"/>
    <s v="Standard Class"/>
    <n v="6"/>
    <n v="4288.7"/>
    <n v="0.15"/>
    <n v="21872.37"/>
    <n v="13829.5"/>
    <n v="8042.87"/>
    <x v="2"/>
    <x v="2"/>
    <m/>
    <s v="ORD-2025-10448"/>
    <s v="10-08-25"/>
    <s v="10-08-25"/>
    <s v="CUST-3614"/>
    <s v="Rohan Mehta"/>
    <s v="Home Office"/>
    <s v="South"/>
    <s v="Telangana"/>
    <s v="Hyderabad"/>
    <s v="Furniture"/>
    <s v="Bookcases"/>
    <s v="Basic Bookcases 182"/>
    <s v="Standard Class"/>
    <s v="  "/>
    <n v="0"/>
    <n v="0.15"/>
    <x v="432"/>
    <x v="432"/>
    <n v="0.36771826738483288"/>
    <s v="10-08-25"/>
    <s v="10-08-25"/>
    <s v="August"/>
    <s v="2025"/>
    <s v=" "/>
    <n v="0"/>
    <s v="Unique"/>
  </r>
  <r>
    <s v="ORD-2024-10449"/>
    <s v="01/15/2024"/>
    <s v="18 Jan 2024"/>
    <s v="CUST-1932"/>
    <s v="Mira Das"/>
    <s v="Small Business"/>
    <x v="2"/>
    <s v="Andhra Pradesh"/>
    <s v="Vijayawada"/>
    <s v="Furniture"/>
    <s v="Chairs"/>
    <s v="Prime Chairs 631"/>
    <s v="First Class"/>
    <n v="2"/>
    <n v="201.21"/>
    <n v="0.15"/>
    <n v="342.06"/>
    <n v="244.57"/>
    <n v="97.49"/>
    <x v="0"/>
    <x v="0"/>
    <m/>
    <s v="ORD-2024-10449"/>
    <s v="invalid date"/>
    <s v="18-01-24"/>
    <s v="CUST-1932"/>
    <s v="Mira Das"/>
    <s v="Small Business"/>
    <s v="South"/>
    <s v="Andhra Pradesh"/>
    <s v="Vijayawada"/>
    <s v="Furniture"/>
    <s v="Chairs"/>
    <s v="Prime Chairs 631"/>
    <s v="First Class"/>
    <s v="Invalid"/>
    <s v="invalid date"/>
    <n v="0.15"/>
    <x v="433"/>
    <x v="433"/>
    <n v="0.28500220723446684"/>
    <s v="invalid date"/>
    <s v="18-01-24"/>
    <s v="invalid date"/>
    <s v="invalid date"/>
    <s v="Invalid"/>
    <s v="invalid date"/>
    <s v="Unique"/>
  </r>
  <r>
    <s v="ORD-2024-10450"/>
    <s v="06-06-2024"/>
    <s v="13 Jun 2024"/>
    <s v="CUST-5094"/>
    <s v="Aditi Sen"/>
    <s v="Corporate"/>
    <x v="1"/>
    <s v="Assam"/>
    <s v="Guwahati"/>
    <s v="Technology"/>
    <s v="Machines"/>
    <s v="Basic Machines 808"/>
    <s v="Second Class"/>
    <n v="6"/>
    <n v="3270.36"/>
    <n v="0"/>
    <n v="19622.16"/>
    <n v="14271.27"/>
    <n v="5350.89"/>
    <x v="0"/>
    <x v="0"/>
    <m/>
    <s v="ORD-2024-10450"/>
    <s v="06-06-24"/>
    <s v="13-06-24"/>
    <s v="CUST-5094"/>
    <s v="Aditi Sen"/>
    <s v="Corporate"/>
    <s v="East"/>
    <s v="Assam"/>
    <s v="Guwahati"/>
    <s v="Technology"/>
    <s v="Machines"/>
    <s v="Basic Machines 808"/>
    <s v="Second Class"/>
    <s v="anomaly"/>
    <n v="7"/>
    <n v="0"/>
    <x v="434"/>
    <x v="434"/>
    <n v="0.27269627808559299"/>
    <s v="06-06-24"/>
    <s v="13-06-24"/>
    <s v="June"/>
    <s v="2024"/>
    <s v=" "/>
    <n v="7"/>
    <s v="Unique"/>
  </r>
  <r>
    <s v="ORD-2025-10451"/>
    <s v="06/12/2025"/>
    <s v="2025-06-19"/>
    <s v="CUST-8672"/>
    <s v="Ananya Rao"/>
    <s v="Corporate"/>
    <x v="0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x v="0"/>
    <x v="0"/>
    <m/>
    <s v="ORD-2025-10451"/>
    <s v="06-12-25"/>
    <s v="19-06-25"/>
    <s v="CUST-8672"/>
    <s v="Ananya Rao"/>
    <s v="Corporate"/>
    <s v="North"/>
    <s v="Delhi"/>
    <s v="New Delhi"/>
    <s v="Furniture"/>
    <s v="Chairs"/>
    <s v="Pro Chairs 302"/>
    <s v="Standard Class"/>
    <s v="anomaly"/>
    <n v="-170"/>
    <n v="0.25"/>
    <x v="435"/>
    <x v="435"/>
    <n v="0.35584225258889624"/>
    <s v="06-12-25"/>
    <s v="19-06-25"/>
    <s v="December"/>
    <s v="2025"/>
    <s v=" "/>
    <n v="-170"/>
    <s v="Unique"/>
  </r>
  <r>
    <s v="ORD-2024-10452"/>
    <s v="24-03-2024"/>
    <s v="26-03-2024"/>
    <s v="CUST-3907"/>
    <s v="Rohan Mehta"/>
    <s v="Small Business"/>
    <x v="0"/>
    <s v="Haryana"/>
    <s v="Gurugram"/>
    <s v="Office Supplies"/>
    <s v="Paper"/>
    <s v="Classic Paper 272"/>
    <s v="Second Class"/>
    <n v="8"/>
    <n v="1917.64"/>
    <n v="0.15"/>
    <n v="13039.95"/>
    <n v="11127.82"/>
    <n v="1912.13"/>
    <x v="0"/>
    <x v="1"/>
    <m/>
    <s v="ORD-2024-10452"/>
    <s v="24-03-24"/>
    <s v="26-03-24"/>
    <s v="CUST-3907"/>
    <s v="Rohan Mehta"/>
    <s v="Small Business"/>
    <s v="North"/>
    <s v="Haryana"/>
    <s v="Gurugram"/>
    <s v="Office Supplies"/>
    <s v="Paper"/>
    <s v="Classic Paper 272"/>
    <s v="Second Class"/>
    <s v="anomaly"/>
    <n v="2"/>
    <n v="0.15"/>
    <x v="436"/>
    <x v="436"/>
    <n v="0.1466364293365498"/>
    <s v="24-03-24"/>
    <s v="26-03-24"/>
    <s v="March"/>
    <s v="2024"/>
    <s v=" "/>
    <n v="2"/>
    <s v="Unique"/>
  </r>
  <r>
    <s v="ORD-2024-10453"/>
    <s v="10-05-2024"/>
    <s v="16-05-2024"/>
    <s v="CUST-8796"/>
    <s v="Diya Patel"/>
    <s v="Home Office"/>
    <x v="1"/>
    <s v="Jharkhand"/>
    <s v="Ranchi"/>
    <s v="Technology"/>
    <s v="Accessories"/>
    <s v="Smart Accessories 149"/>
    <s v="Second Class"/>
    <n v="6"/>
    <n v="2013.33"/>
    <n v="0.2"/>
    <n v="9663.98"/>
    <n v="5628.93"/>
    <n v="4035.05"/>
    <x v="0"/>
    <x v="0"/>
    <m/>
    <s v="ORD-2024-10453"/>
    <s v="10-05-24"/>
    <s v="16-05-24"/>
    <s v="CUST-8796"/>
    <s v="Diya Patel"/>
    <s v="Home Office"/>
    <s v="East"/>
    <s v="Jharkhand"/>
    <s v="Ranchi"/>
    <s v="Technology"/>
    <s v="Accessories"/>
    <s v="Smart Accessories 149"/>
    <s v="Second Class"/>
    <s v="anomaly"/>
    <n v="6"/>
    <n v="0.2"/>
    <x v="437"/>
    <x v="437"/>
    <n v="0.41753525254180884"/>
    <s v="10-05-24"/>
    <s v="16-05-24"/>
    <s v="May"/>
    <s v="2024"/>
    <s v=" "/>
    <n v="6"/>
    <s v="Unique"/>
  </r>
  <r>
    <s v="ORD-2025-10454"/>
    <s v="05/03/2025"/>
    <s v="2025-05-11"/>
    <s v="CUST-2317"/>
    <s v="Rohan Mehta"/>
    <s v="Small Business"/>
    <x v="3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x v="0"/>
    <x v="0"/>
    <m/>
    <s v="ORD-2025-10454"/>
    <s v="05-03-25"/>
    <s v="11-05-25"/>
    <s v="CUST-2317"/>
    <s v="Rohan Mehta"/>
    <s v="Small Business"/>
    <s v="West"/>
    <s v="Madhya Pradesh"/>
    <s v="Indore"/>
    <s v="Office Supplies"/>
    <s v="Labels"/>
    <s v="Elite Labels 322"/>
    <s v="Same Day"/>
    <s v="anomaly"/>
    <n v="67"/>
    <n v="0"/>
    <x v="438"/>
    <x v="438"/>
    <n v="0.3318782355478862"/>
    <s v="05-03-25"/>
    <s v="11-05-25"/>
    <s v="March"/>
    <s v="2025"/>
    <s v=" "/>
    <n v="67"/>
    <s v="Unique"/>
  </r>
  <r>
    <s v="ORD-2025-10455"/>
    <s v="2025-03-23"/>
    <s v="28-03-2025"/>
    <s v="CUST-8643"/>
    <s v="Vikram Iyer"/>
    <s v="Small Business"/>
    <x v="0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x v="0"/>
    <x v="0"/>
    <m/>
    <s v="ORD-2025-10455"/>
    <s v="23-03-25"/>
    <s v="28-03-25"/>
    <s v="CUST-8643"/>
    <s v="Vikram Iyer"/>
    <s v="Small Business"/>
    <s v="North"/>
    <s v="Rajasthan"/>
    <s v="Jaipur"/>
    <s v="Furniture"/>
    <s v="Furnishings"/>
    <s v="Max Furnishings 821"/>
    <s v="Standard Class"/>
    <s v="anomaly"/>
    <n v="5"/>
    <n v="0.15"/>
    <x v="439"/>
    <x v="439"/>
    <n v="0.20052834556098567"/>
    <s v="23-03-25"/>
    <s v="28-03-25"/>
    <s v="March"/>
    <s v="2025"/>
    <s v=" "/>
    <n v="5"/>
    <s v="Unique"/>
  </r>
  <r>
    <s v="ORD-2024-10456"/>
    <s v="18 Jul 2024"/>
    <s v="22-07-2024"/>
    <s v="CUST-1800"/>
    <s v="Neha Gupta"/>
    <s v="Small Business"/>
    <x v="2"/>
    <s v="Telangana"/>
    <s v="Hyderabad"/>
    <s v="Office Supplies"/>
    <s v="Art"/>
    <s v="Basic Art 556"/>
    <s v="Standard Class"/>
    <n v="4"/>
    <n v="808.77"/>
    <n v="0"/>
    <n v="3235.08"/>
    <n v="1848.6"/>
    <n v="1386.48"/>
    <x v="0"/>
    <x v="0"/>
    <m/>
    <s v="ORD-2024-10456"/>
    <s v="18-07-24"/>
    <s v="22-07-24"/>
    <s v="CUST-1800"/>
    <s v="Neha Gupta"/>
    <s v="Small Business"/>
    <s v="South"/>
    <s v="Telangana"/>
    <s v="Hyderabad"/>
    <s v="Office Supplies"/>
    <s v="Art"/>
    <s v="Basic Art 556"/>
    <s v="Standard Class"/>
    <s v="anomaly"/>
    <n v="4"/>
    <n v="0"/>
    <x v="440"/>
    <x v="440"/>
    <n v="0.42857672762342819"/>
    <s v="18-07-24"/>
    <s v="22-07-24"/>
    <s v="July"/>
    <s v="2024"/>
    <s v=" "/>
    <n v="4"/>
    <s v="Unique"/>
  </r>
  <r>
    <s v="ORD-2024-10457"/>
    <s v="2024-02-20"/>
    <s v="2024-02-20"/>
    <s v="CUST-7688"/>
    <s v="Neha Gupta"/>
    <s v="Corporate"/>
    <x v="0"/>
    <s v="Uttar Pradesh"/>
    <s v="Noida"/>
    <s v="Technology"/>
    <s v="Accessories"/>
    <s v="Smart Accessories 265"/>
    <s v="Same Day"/>
    <n v="5"/>
    <n v="2604.91"/>
    <n v="0.15"/>
    <n v="11070.87"/>
    <n v="6623.61"/>
    <n v="4447.26"/>
    <x v="0"/>
    <x v="2"/>
    <m/>
    <s v="ORD-2024-10457"/>
    <s v="20-02-24"/>
    <s v="20-02-24"/>
    <s v="CUST-7688"/>
    <s v="Neha Gupta"/>
    <s v="Corporate"/>
    <s v="North"/>
    <s v="Uttar Pradesh"/>
    <s v="Noida"/>
    <s v="Technology"/>
    <s v="Accessories"/>
    <s v="Smart Accessories 265"/>
    <s v="Same Day"/>
    <s v="  "/>
    <n v="0"/>
    <n v="0.15"/>
    <x v="441"/>
    <x v="441"/>
    <n v="0.40170813172499803"/>
    <s v="20-02-24"/>
    <s v="20-02-24"/>
    <s v="February"/>
    <s v="2024"/>
    <s v=" "/>
    <n v="0"/>
    <s v="Unique"/>
  </r>
  <r>
    <s v="ORD-2024-10458"/>
    <s v="05/04/2024"/>
    <s v="2024-05-04"/>
    <s v="CUST-4957"/>
    <s v="Mira Das"/>
    <s v="Small Business"/>
    <x v="3"/>
    <s v="Goa"/>
    <s v="Panaji"/>
    <s v="Furniture"/>
    <s v="Tables"/>
    <s v="Elite Tables 418"/>
    <s v="Standard Class"/>
    <n v="7"/>
    <n v="2851.51"/>
    <n v="0"/>
    <n v="19960.57"/>
    <n v="16603.599999999999"/>
    <n v="3356.97"/>
    <x v="0"/>
    <x v="0"/>
    <m/>
    <s v="ORD-2024-10458"/>
    <s v="05-04-24"/>
    <s v="04-05-24"/>
    <s v="CUST-4957"/>
    <s v="Mira Das"/>
    <s v="Small Business"/>
    <s v="West"/>
    <s v="Goa"/>
    <s v="Panaji"/>
    <s v="Furniture"/>
    <s v="Tables"/>
    <s v="Elite Tables 418"/>
    <s v="Standard Class"/>
    <s v="  "/>
    <n v="29"/>
    <n v="0"/>
    <x v="442"/>
    <x v="442"/>
    <n v="0.1681800670020947"/>
    <s v="05-04-24"/>
    <s v="04-05-24"/>
    <s v="April"/>
    <s v="2024"/>
    <s v="anomaly"/>
    <n v="29"/>
    <s v="Unique"/>
  </r>
  <r>
    <s v="ORD-2024-10459"/>
    <s v="2024-02-10"/>
    <s v="02/11/2024"/>
    <s v="CUST-1263"/>
    <s v="Karan Malhotra"/>
    <s v="Corporate"/>
    <x v="0"/>
    <s v="Rajasthan"/>
    <s v="Jaipur"/>
    <s v="Technology"/>
    <s v="Phones"/>
    <s v="Pro Phones 907"/>
    <s v="Second Class"/>
    <n v="3"/>
    <n v="3183.72"/>
    <n v="0.1"/>
    <n v="8596.0400000000009"/>
    <n v="5378.16"/>
    <n v="3217.88"/>
    <x v="0"/>
    <x v="0"/>
    <m/>
    <s v="ORD-2024-10459"/>
    <s v="10-02-24"/>
    <s v="02-11-24"/>
    <s v="CUST-1263"/>
    <s v="Karan Malhotra"/>
    <s v="Corporate"/>
    <s v="North"/>
    <s v="Rajasthan"/>
    <s v="Jaipur"/>
    <s v="Technology"/>
    <s v="Phones"/>
    <s v="Pro Phones 907"/>
    <s v="Second Class"/>
    <s v="  "/>
    <n v="266"/>
    <n v="0.1"/>
    <x v="443"/>
    <x v="443"/>
    <n v="0.37434475672762962"/>
    <s v="10-02-24"/>
    <s v="02-11-24"/>
    <s v="February"/>
    <s v="2024"/>
    <s v="anomaly"/>
    <n v="266"/>
    <s v="Unique"/>
  </r>
  <r>
    <s v="ORD-2024-10460"/>
    <s v="03/28/2024"/>
    <s v="04-04-2024"/>
    <s v="CUST-4745"/>
    <s v="Ananya Rao"/>
    <s v="Home Office"/>
    <x v="3"/>
    <s v="Goa"/>
    <s v="Panaji"/>
    <s v="Office Supplies"/>
    <s v="Paper"/>
    <s v="Basic Paper 233"/>
    <s v="First Class"/>
    <n v="3"/>
    <n v="1150.92"/>
    <n v="0"/>
    <n v="3452.76"/>
    <n v="2077.96"/>
    <n v="1374.8"/>
    <x v="0"/>
    <x v="0"/>
    <m/>
    <s v="ORD-2024-10460"/>
    <s v="invalid date"/>
    <s v="04-04-24"/>
    <s v="CUST-4745"/>
    <s v="Ananya Rao"/>
    <s v="Home Office"/>
    <s v="West"/>
    <s v="Goa"/>
    <s v="Panaji"/>
    <s v="Office Supplies"/>
    <s v="Paper"/>
    <s v="Basic Paper 233"/>
    <s v="First Class"/>
    <s v="Invalid"/>
    <s v="invalid date"/>
    <n v="0"/>
    <x v="444"/>
    <x v="444"/>
    <n v="0.39817421425178701"/>
    <s v="invalid date"/>
    <s v="04-04-24"/>
    <s v="invalid date"/>
    <s v="invalid date"/>
    <s v="Invalid"/>
    <s v="invalid date"/>
    <s v="Unique"/>
  </r>
  <r>
    <s v="ORD-2025-10461"/>
    <s v="30 Sep 2025"/>
    <s v="06 Oct 2025"/>
    <s v="CUST-5551"/>
    <s v="Aarav Sharma"/>
    <s v="Corporate"/>
    <x v="4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x v="0"/>
    <x v="0"/>
    <m/>
    <s v="ORD-2025-10461"/>
    <s v="30-09-25"/>
    <s v="06-10-25"/>
    <s v="CUST-5551"/>
    <s v="Aarav Sharma"/>
    <s v="Corporate"/>
    <s v="unknown"/>
    <s v="Rajasthan"/>
    <s v="Jaipur"/>
    <s v="Technology"/>
    <s v="Copiers"/>
    <s v="Eco Copiers 603"/>
    <s v="Second Class"/>
    <s v="  "/>
    <n v="6"/>
    <n v="0.05"/>
    <x v="445"/>
    <x v="445"/>
    <n v="0.36405895463428417"/>
    <s v="30-09-25"/>
    <s v="06-10-25"/>
    <s v="September"/>
    <s v="2025"/>
    <s v="anomaly"/>
    <n v="6"/>
    <s v="Unique"/>
  </r>
  <r>
    <s v="ORD-2025-10462"/>
    <s v="05/25/2025"/>
    <s v="05/26/2025"/>
    <s v="CUST-3659"/>
    <s v="Neha Gupta"/>
    <s v="Corporate"/>
    <x v="2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x v="0"/>
    <x v="0"/>
    <m/>
    <s v="ORD-2025-10462"/>
    <s v="invalid date"/>
    <s v="invalid date"/>
    <s v="CUST-3659"/>
    <s v="Neha Gupta"/>
    <s v="Corporate"/>
    <s v="South"/>
    <s v="Andhra Pradesh"/>
    <s v="Vijayawada"/>
    <s v="Office Supplies"/>
    <s v="Paper"/>
    <s v="Max Paper 700"/>
    <s v="Standard Class"/>
    <s v="Invalid"/>
    <s v="invalid date"/>
    <n v="0.15"/>
    <x v="446"/>
    <x v="446"/>
    <n v="0.18135027496486225"/>
    <s v="invalid date"/>
    <s v="invalid date"/>
    <s v="invalid date"/>
    <s v="invalid date"/>
    <s v="Invalid"/>
    <s v="invalid date"/>
    <s v="Unique"/>
  </r>
  <r>
    <s v="ORD-2024-10463"/>
    <s v="09/23/2024"/>
    <s v="25-09-2024"/>
    <s v="CUST-6594"/>
    <s v="Aarav Sharma"/>
    <s v="Home Office"/>
    <x v="0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x v="0"/>
    <x v="0"/>
    <m/>
    <s v="ORD-2024-10463"/>
    <s v="invalid date"/>
    <s v="25-09-24"/>
    <s v="CUST-6594"/>
    <s v="Aarav Sharma"/>
    <s v="Home Office"/>
    <s v="North"/>
    <s v="Delhi"/>
    <s v="New Delhi"/>
    <s v="Office Supplies"/>
    <s v="Binders"/>
    <s v="Pro Binders 404"/>
    <s v="First Class"/>
    <s v="Invalid"/>
    <s v="invalid date"/>
    <n v="0.2"/>
    <x v="447"/>
    <x v="447"/>
    <n v="0.31590354784572677"/>
    <s v="invalid date"/>
    <s v="25-09-24"/>
    <s v="invalid date"/>
    <s v="invalid date"/>
    <s v="Invalid"/>
    <s v="invalid date"/>
    <s v="Unique"/>
  </r>
  <r>
    <s v="ORD-2025-10464"/>
    <s v="07-02-2025"/>
    <s v="2025-02-08"/>
    <s v="CUST-2626"/>
    <s v="Arjun Bose"/>
    <s v="Corporate"/>
    <x v="3"/>
    <s v="Madhya Pradesh"/>
    <s v="Indore"/>
    <s v="Technology"/>
    <s v="Phones"/>
    <s v="Eco Phones 208"/>
    <s v="Standard Class"/>
    <n v="4"/>
    <n v="889.5"/>
    <n v="0.2"/>
    <n v="2846.4"/>
    <n v="2132.37"/>
    <n v="714.03"/>
    <x v="0"/>
    <x v="0"/>
    <m/>
    <s v="ORD-2025-10464"/>
    <s v="07-02-25"/>
    <s v="08-02-25"/>
    <s v="CUST-2626"/>
    <s v="Arjun Bose"/>
    <s v="Corporate"/>
    <s v="West"/>
    <s v="Madhya Pradesh"/>
    <s v="Indore"/>
    <s v="Technology"/>
    <s v="Phones"/>
    <s v="Eco Phones 208"/>
    <s v="Standard Class"/>
    <s v="anomaly"/>
    <n v="1"/>
    <n v="0.2"/>
    <x v="448"/>
    <x v="448"/>
    <n v="0.25085370994940986"/>
    <s v="07-02-25"/>
    <s v="08-02-25"/>
    <s v="February"/>
    <s v="2025"/>
    <s v=" "/>
    <n v="1"/>
    <s v="Unique"/>
  </r>
  <r>
    <s v="ORD-2025-10465"/>
    <s v="11-03-2025"/>
    <s v="03/15/2025"/>
    <s v="CUST-7362"/>
    <s v="Arjun Bose"/>
    <s v="Corporate"/>
    <x v="1"/>
    <s v="Bihar"/>
    <s v="Patna"/>
    <s v="Office Supplies"/>
    <s v="Paper"/>
    <s v="Elite Paper 106"/>
    <s v="Same Day"/>
    <n v="3"/>
    <n v="3625.08"/>
    <n v="0.05"/>
    <n v="10331.48"/>
    <n v="7131.91"/>
    <n v="3199.57"/>
    <x v="2"/>
    <x v="1"/>
    <m/>
    <s v="ORD-2025-10465"/>
    <s v="11-03-25"/>
    <s v="invalid date"/>
    <s v="CUST-7362"/>
    <s v="Arjun Bose"/>
    <s v="Corporate"/>
    <s v="East"/>
    <s v="Bihar"/>
    <s v="Patna"/>
    <s v="Office Supplies"/>
    <s v="Paper"/>
    <s v="Elite Paper 106"/>
    <s v="Same Day"/>
    <s v="Invalid"/>
    <s v="invalid date"/>
    <n v="0.05"/>
    <x v="449"/>
    <x v="449"/>
    <n v="0.30969121746181905"/>
    <s v="11-03-25"/>
    <s v="invalid date"/>
    <s v="March"/>
    <s v="2025"/>
    <s v="Invalid"/>
    <s v="invalid date"/>
    <s v="Unique"/>
  </r>
  <r>
    <s v="ORD-2024-10466"/>
    <s v="29-01-2024"/>
    <s v="2024-02-06"/>
    <s v="CUST-1748"/>
    <s v="Aarav Sharma"/>
    <s v="Small Business"/>
    <x v="3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x v="0"/>
    <x v="0"/>
    <m/>
    <s v="ORD-2024-10466"/>
    <s v="29-01-24"/>
    <s v="06-02-24"/>
    <s v="CUST-1748"/>
    <s v="Aarav Sharma"/>
    <s v="Small Business"/>
    <s v="West"/>
    <s v="Madhya Pradesh"/>
    <s v="Indore"/>
    <s v="Office Supplies"/>
    <s v="Labels"/>
    <s v="Eco Labels 914"/>
    <s v="Standard Class"/>
    <s v="  "/>
    <n v="8"/>
    <n v="0"/>
    <x v="450"/>
    <x v="450"/>
    <n v="0.41276511239971408"/>
    <s v="29-01-24"/>
    <s v="06-02-24"/>
    <s v="January"/>
    <s v="2024"/>
    <s v="anomaly"/>
    <n v="8"/>
    <s v="Unique"/>
  </r>
  <r>
    <s v="ORD-2024-10467"/>
    <s v="04-01-2024"/>
    <s v="01/08/2024"/>
    <s v="CUST-2725"/>
    <s v="Mira Das"/>
    <s v="Small Business"/>
    <x v="1"/>
    <s v="Bihar"/>
    <s v="Patna"/>
    <s v="Technology"/>
    <s v="Accessories"/>
    <s v="Max Accessories 486"/>
    <s v="Same Day"/>
    <n v="9"/>
    <n v="1591.96"/>
    <n v="0.2"/>
    <n v="11462.11"/>
    <n v="7105.48"/>
    <n v="4356.63"/>
    <x v="0"/>
    <x v="0"/>
    <m/>
    <s v="ORD-2024-10467"/>
    <s v="04-01-24"/>
    <s v="01-08-24"/>
    <s v="CUST-2725"/>
    <s v="Mira Das"/>
    <s v="Small Business"/>
    <s v="East"/>
    <s v="Bihar"/>
    <s v="Patna"/>
    <s v="Technology"/>
    <s v="Accessories"/>
    <s v="Max Accessories 486"/>
    <s v="Same Day"/>
    <s v="  "/>
    <n v="210"/>
    <n v="0.2"/>
    <x v="451"/>
    <x v="451"/>
    <n v="0.38008981241851425"/>
    <s v="04-01-24"/>
    <s v="01-08-24"/>
    <s v="January"/>
    <s v="2024"/>
    <s v="anomaly"/>
    <n v="210"/>
    <s v="Unique"/>
  </r>
  <r>
    <s v="ORD-2024-10468"/>
    <s v="20-08-2024"/>
    <s v="21 Aug 2024"/>
    <s v="CUST-9470"/>
    <s v="Aditi Sen"/>
    <s v="Corporate"/>
    <x v="1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x v="1"/>
    <x v="1"/>
    <m/>
    <s v="ORD-2024-10468"/>
    <s v="20-08-24"/>
    <s v="21-08-24"/>
    <s v="CUST-9470"/>
    <s v="Aditi Sen"/>
    <s v="Corporate"/>
    <s v="East"/>
    <s v="Odisha"/>
    <s v="Bhubaneswar"/>
    <s v="Technology"/>
    <s v="Copiers"/>
    <s v="Max Copiers 867"/>
    <s v="First Class"/>
    <s v="anomaly"/>
    <n v="1"/>
    <n v="0.1"/>
    <x v="452"/>
    <x v="452"/>
    <n v="0.1992915138941681"/>
    <s v="20-08-24"/>
    <s v="21-08-24"/>
    <s v="August"/>
    <s v="2024"/>
    <s v=" "/>
    <n v="1"/>
    <s v="Unique"/>
  </r>
  <r>
    <s v="ORD-2025-10469"/>
    <s v="09 Jan 2025"/>
    <s v="07 Jan 2025"/>
    <s v="CUST-4176"/>
    <s v="Aarav Sharma"/>
    <s v="Home Office"/>
    <x v="1"/>
    <s v="West Bengal"/>
    <s v="Kolkata"/>
    <s v="Office Supplies"/>
    <s v="Binders"/>
    <s v="Pro Binders 555"/>
    <s v="Second Class"/>
    <n v="3"/>
    <n v="2188.33"/>
    <n v="0"/>
    <n v="6564.99"/>
    <n v="5407.24"/>
    <n v="1157.75"/>
    <x v="0"/>
    <x v="0"/>
    <m/>
    <s v="ORD-2025-10469"/>
    <s v="09-01-25"/>
    <s v="07-01-25"/>
    <s v="CUST-4176"/>
    <s v="Aarav Sharma"/>
    <s v="Home Office"/>
    <s v="East"/>
    <s v="West Bengal"/>
    <s v="Kolkata"/>
    <s v="Office Supplies"/>
    <s v="Binders"/>
    <s v="Pro Binders 555"/>
    <s v="Second Class"/>
    <s v="  "/>
    <n v="-2"/>
    <n v="0"/>
    <x v="453"/>
    <x v="453"/>
    <n v="0.17635213458055535"/>
    <s v="09-01-25"/>
    <s v="07-01-25"/>
    <s v="January"/>
    <s v="2025"/>
    <s v="anomaly"/>
    <n v="-2"/>
    <s v="Unique"/>
  </r>
  <r>
    <s v="ORD-2024-10470"/>
    <s v="2024-01-19"/>
    <s v="01/25/2024"/>
    <s v="CUST-3448"/>
    <s v="Aditi Sen"/>
    <s v="Corporate"/>
    <x v="3"/>
    <s v="Goa"/>
    <s v="Panaji"/>
    <s v="Technology"/>
    <s v="Copiers"/>
    <s v="Pro Copiers 971"/>
    <s v="First Class"/>
    <n v="3"/>
    <n v="1041.6600000000001"/>
    <n v="0.1"/>
    <n v="2812.48"/>
    <n v="2282.12"/>
    <n v="530.36"/>
    <x v="0"/>
    <x v="0"/>
    <m/>
    <s v="ORD-2024-10470"/>
    <s v="19-01-24"/>
    <s v="invalid date"/>
    <s v="CUST-3448"/>
    <s v="Aditi Sen"/>
    <s v="Corporate"/>
    <s v="West"/>
    <s v="Goa"/>
    <s v="Panaji"/>
    <s v="Technology"/>
    <s v="Copiers"/>
    <s v="Pro Copiers 971"/>
    <s v="First Class"/>
    <s v="Invalid"/>
    <s v="invalid date"/>
    <n v="0.1"/>
    <x v="454"/>
    <x v="454"/>
    <n v="0.18857436243147527"/>
    <s v="19-01-24"/>
    <s v="invalid date"/>
    <s v="January"/>
    <s v="2024"/>
    <s v="Invalid"/>
    <s v="invalid date"/>
    <s v="Unique"/>
  </r>
  <r>
    <s v="ORD-2024-10471"/>
    <s v="28-07-2024"/>
    <s v="07/31/2024"/>
    <s v="CUST-4970"/>
    <s v="Aditi Sen"/>
    <s v="Consumer"/>
    <x v="0"/>
    <s v="Rajasthan"/>
    <s v="Jaipur"/>
    <s v="Furniture"/>
    <s v="Tables"/>
    <s v="Pro Tables 833"/>
    <s v="Same Day"/>
    <n v="2"/>
    <n v="4424.78"/>
    <n v="0.2"/>
    <n v="7079.65"/>
    <n v="4465.91"/>
    <n v="2613.7399999999998"/>
    <x v="0"/>
    <x v="0"/>
    <m/>
    <s v="ORD-2024-10471"/>
    <s v="28-07-24"/>
    <s v="invalid date"/>
    <s v="CUST-4970"/>
    <s v="Aditi Sen"/>
    <s v="Consumer"/>
    <s v="North"/>
    <s v="Rajasthan"/>
    <s v="Jaipur"/>
    <s v="Furniture"/>
    <s v="Tables"/>
    <s v="Pro Tables 833"/>
    <s v="Same Day"/>
    <s v="Invalid"/>
    <s v="invalid date"/>
    <n v="0.2"/>
    <x v="455"/>
    <x v="455"/>
    <n v="0.36919038912669105"/>
    <s v="28-07-24"/>
    <s v="invalid date"/>
    <s v="July"/>
    <s v="2024"/>
    <s v="Invalid"/>
    <s v="invalid date"/>
    <s v="Unique"/>
  </r>
  <r>
    <s v="ORD-2024-10472"/>
    <s v="11-02-2024"/>
    <s v="02/15/2024"/>
    <s v="CUST-6147"/>
    <s v="Kabir Singh"/>
    <s v="Consumer"/>
    <x v="2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x v="0"/>
    <x v="0"/>
    <m/>
    <s v="ORD-2024-10472"/>
    <s v="11-02-24"/>
    <s v="invalid date"/>
    <s v="CUST-6147"/>
    <s v="Kabir Singh"/>
    <s v="Consumer"/>
    <s v="South"/>
    <s v="Telangana"/>
    <s v="Hyderabad"/>
    <s v="Office Supplies"/>
    <s v="Binders"/>
    <s v="Prime Binders 497"/>
    <s v="Standard Class"/>
    <s v="Invalid"/>
    <s v="invalid date"/>
    <n v="0.25"/>
    <x v="456"/>
    <x v="456"/>
    <n v="0.26613097327936652"/>
    <s v="11-02-24"/>
    <s v="invalid date"/>
    <s v="February"/>
    <s v="2024"/>
    <s v="Invalid"/>
    <s v="invalid date"/>
    <s v="Unique"/>
  </r>
  <r>
    <s v="ORD-2024-10473"/>
    <s v="02-03-2024"/>
    <s v="03/07/2024"/>
    <s v="CUST-7208"/>
    <s v="Rohan Mehta"/>
    <s v="Corporate"/>
    <x v="1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x v="0"/>
    <x v="0"/>
    <m/>
    <s v="ORD-2024-10473"/>
    <s v="02-03-24"/>
    <s v="03-07-24"/>
    <s v="CUST-7208"/>
    <s v="Rohan Mehta"/>
    <s v="Corporate"/>
    <s v="East"/>
    <s v="Odisha"/>
    <s v="Bhubaneswar"/>
    <s v="Office Supplies"/>
    <s v="Storage"/>
    <s v="Pro Storage 756"/>
    <s v="Standard Class"/>
    <s v="anomaly"/>
    <n v="123"/>
    <n v="0"/>
    <x v="457"/>
    <x v="457"/>
    <n v="0.40668141544934977"/>
    <s v="02-03-24"/>
    <s v="03-07-24"/>
    <s v="March"/>
    <s v="2024"/>
    <s v=" "/>
    <n v="123"/>
    <s v="Unique"/>
  </r>
  <r>
    <s v="ORD-2024-10474"/>
    <s v="13-11-2024"/>
    <s v="13 Nov 2024"/>
    <s v="CUST-2794"/>
    <s v="Priya Menon"/>
    <s v="Consumer"/>
    <x v="3"/>
    <s v="Goa"/>
    <s v="Panaji"/>
    <s v="Technology"/>
    <s v="Copiers"/>
    <s v="Max Copiers 829"/>
    <s v="Standard Class"/>
    <n v="6"/>
    <n v="191.45"/>
    <n v="0.2"/>
    <n v="918.96"/>
    <n v="554.17999999999995"/>
    <n v="364.78"/>
    <x v="0"/>
    <x v="0"/>
    <m/>
    <s v="ORD-2024-10474"/>
    <s v="13-11-24"/>
    <s v="13-11-24"/>
    <s v="CUST-2794"/>
    <s v="Priya Menon"/>
    <s v="Consumer"/>
    <s v="West"/>
    <s v="Goa"/>
    <s v="Panaji"/>
    <s v="Technology"/>
    <s v="Copiers"/>
    <s v="Max Copiers 829"/>
    <s v="Standard Class"/>
    <s v="  "/>
    <n v="0"/>
    <n v="0.2"/>
    <x v="458"/>
    <x v="458"/>
    <n v="0.39694872464525116"/>
    <s v="13-11-24"/>
    <s v="13-11-24"/>
    <s v="November"/>
    <s v="2024"/>
    <s v=" "/>
    <n v="0"/>
    <s v="Unique"/>
  </r>
  <r>
    <s v="ORD-2024-10475"/>
    <s v="03-06-2024"/>
    <s v="2024-06-10"/>
    <s v="CUST-6249"/>
    <s v="Diya Patel"/>
    <s v="Corporate"/>
    <x v="0"/>
    <s v="Punjab"/>
    <s v="Ludhiana"/>
    <s v="Furniture"/>
    <s v="Furnishings"/>
    <s v="Prime Furnishings 827"/>
    <s v="Standard Class"/>
    <n v="3"/>
    <n v="1633.57"/>
    <n v="0"/>
    <n v="4900.71"/>
    <n v="2713.9"/>
    <n v="2186.81"/>
    <x v="0"/>
    <x v="0"/>
    <m/>
    <s v="ORD-2024-10475"/>
    <s v="03-06-24"/>
    <s v="10-06-24"/>
    <s v="CUST-6249"/>
    <s v="Diya Patel"/>
    <s v="Corporate"/>
    <s v="North"/>
    <s v="Punjab"/>
    <s v="Ludhiana"/>
    <s v="Furniture"/>
    <s v="Furnishings"/>
    <s v="Prime Furnishings 827"/>
    <s v="Standard Class"/>
    <s v="anomaly"/>
    <n v="7"/>
    <n v="0"/>
    <x v="459"/>
    <x v="459"/>
    <n v="0.44622309828575857"/>
    <s v="03-06-24"/>
    <s v="10-06-24"/>
    <s v="June"/>
    <s v="2024"/>
    <s v=" "/>
    <n v="7"/>
    <s v="Unique"/>
  </r>
  <r>
    <s v="ORD-2025-10476"/>
    <s v="03/01/2025"/>
    <s v="08 Mar 2025"/>
    <s v="CUST-5712"/>
    <s v="Vikram Iyer"/>
    <s v="Consumer"/>
    <x v="1"/>
    <s v="West Bengal"/>
    <s v="Kolkata"/>
    <s v="Furniture"/>
    <s v="Chairs"/>
    <s v="Eco Chairs 365"/>
    <s v="Same Day"/>
    <n v="8"/>
    <n v="3378.82"/>
    <n v="0.25"/>
    <n v="20272.919999999998"/>
    <n v="15873.38"/>
    <n v="4399.54"/>
    <x v="2"/>
    <x v="2"/>
    <m/>
    <s v="ORD-2025-10476"/>
    <s v="03-01-25"/>
    <s v="08-03-25"/>
    <s v="CUST-5712"/>
    <s v="Vikram Iyer"/>
    <s v="Consumer"/>
    <s v="East"/>
    <s v="West Bengal"/>
    <s v="Kolkata"/>
    <s v="Furniture"/>
    <s v="Chairs"/>
    <s v="Eco Chairs 365"/>
    <s v="Same Day"/>
    <s v="anomaly"/>
    <n v="64"/>
    <n v="0.25"/>
    <x v="460"/>
    <x v="460"/>
    <n v="0.21701560505344086"/>
    <s v="03-01-25"/>
    <s v="08-03-25"/>
    <s v="January"/>
    <s v="2025"/>
    <s v=" "/>
    <n v="64"/>
    <s v="Unique"/>
  </r>
  <r>
    <s v="ORD-2024-10477"/>
    <s v="05/07/2024"/>
    <s v="05/14/2024"/>
    <s v="CUST-3004"/>
    <s v="Sneha Kapoor"/>
    <s v="Small Business"/>
    <x v="0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x v="0"/>
    <x v="0"/>
    <m/>
    <s v="ORD-2024-10477"/>
    <s v="05-07-24"/>
    <s v="invalid date"/>
    <s v="CUST-3004"/>
    <s v="Sneha Kapoor"/>
    <s v="Small Business"/>
    <s v="North"/>
    <s v="Rajasthan"/>
    <s v="Jaipur"/>
    <s v="Office Supplies"/>
    <s v="Storage"/>
    <s v="Classic Storage 545"/>
    <s v="First Class"/>
    <s v="Invalid"/>
    <s v="invalid date"/>
    <n v="0.1"/>
    <x v="461"/>
    <x v="461"/>
    <n v="0.42508492120046426"/>
    <s v="05-07-24"/>
    <s v="invalid date"/>
    <s v="July"/>
    <s v="2024"/>
    <s v="Invalid"/>
    <s v="invalid date"/>
    <s v="Unique"/>
  </r>
  <r>
    <s v="ORD-2025-10478"/>
    <s v="08/23/2025"/>
    <s v="28-08-2025"/>
    <s v="CUST-6920"/>
    <s v="Vikram Iyer"/>
    <s v="Corporate"/>
    <x v="3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x v="0"/>
    <x v="1"/>
    <m/>
    <s v="ORD-2025-10478"/>
    <s v="invalid date"/>
    <s v="28-08-25"/>
    <s v="CUST-6920"/>
    <s v="Vikram Iyer"/>
    <s v="Corporate"/>
    <s v="West"/>
    <s v="Gujarat"/>
    <s v="Ahmedabad"/>
    <s v="Furniture"/>
    <s v="Chairs"/>
    <s v="Pro Chairs 186"/>
    <s v="Standard Class"/>
    <s v="Invalid"/>
    <s v="invalid date"/>
    <n v="0.1"/>
    <x v="462"/>
    <x v="462"/>
    <n v="0.20995264721184953"/>
    <s v="invalid date"/>
    <s v="28-08-25"/>
    <s v="invalid date"/>
    <s v="invalid date"/>
    <s v="Invalid"/>
    <s v="invalid date"/>
    <s v="Unique"/>
  </r>
  <r>
    <s v="ORD-2024-10479"/>
    <s v="06/09/2024"/>
    <s v="2024-06-13"/>
    <s v="CUST-4838"/>
    <s v="Mira Das"/>
    <s v="Home Office"/>
    <x v="4"/>
    <s v="Uttar Pradesh"/>
    <s v="Noida"/>
    <s v="Technology"/>
    <s v="Machines"/>
    <s v="Classic Machines 561"/>
    <s v="Same Day"/>
    <n v="7"/>
    <n v="4079.71"/>
    <n v="0.1"/>
    <n v="25702.17"/>
    <n v="14571.48"/>
    <n v="11130.69"/>
    <x v="1"/>
    <x v="2"/>
    <m/>
    <s v="ORD-2024-10479"/>
    <s v="06-09-24"/>
    <s v="13-06-24"/>
    <s v="CUST-4838"/>
    <s v="Mira Das"/>
    <s v="Home Office"/>
    <s v="unknown"/>
    <s v="Uttar Pradesh"/>
    <s v="Noida"/>
    <s v="Technology"/>
    <s v="Machines"/>
    <s v="Classic Machines 561"/>
    <s v="Same Day"/>
    <s v="anomaly"/>
    <n v="-85"/>
    <n v="0.1"/>
    <x v="463"/>
    <x v="463"/>
    <n v="0.43306427826160854"/>
    <s v="06-09-24"/>
    <s v="13-06-24"/>
    <s v="September"/>
    <s v="2024"/>
    <s v=" "/>
    <n v="-85"/>
    <s v="Unique"/>
  </r>
  <r>
    <s v="ORD-2024-10480"/>
    <s v="23 Feb 2024"/>
    <s v="2024-02-20"/>
    <s v="CUST-7520"/>
    <s v="Arjun Bose"/>
    <s v="Corporate"/>
    <x v="1"/>
    <s v="Odisha"/>
    <s v="Bhubaneswar"/>
    <s v="Furniture"/>
    <s v="Chairs"/>
    <s v="Max Chairs 594"/>
    <s v="Second Class"/>
    <n v="1"/>
    <n v="2202.5500000000002"/>
    <m/>
    <n v="1651.91"/>
    <n v="1034.57"/>
    <n v="617.34"/>
    <x v="0"/>
    <x v="0"/>
    <m/>
    <s v="ORD-2024-10480"/>
    <s v="23-02-24"/>
    <s v="20-02-24"/>
    <s v="CUST-7520"/>
    <s v="Arjun Bose"/>
    <s v="Corporate"/>
    <s v="East"/>
    <s v="Odisha"/>
    <s v="Bhubaneswar"/>
    <s v="Furniture"/>
    <s v="Chairs"/>
    <s v="Max Chairs 594"/>
    <s v="Second Class"/>
    <s v="  "/>
    <n v="-3"/>
    <n v="0"/>
    <x v="464"/>
    <x v="464"/>
    <n v="0.53028535107035035"/>
    <s v="23-02-24"/>
    <s v="20-02-24"/>
    <s v="February"/>
    <s v="2024"/>
    <s v="anomaly"/>
    <n v="-3"/>
    <s v="Unique"/>
  </r>
  <r>
    <s v="ORD-2025-10481"/>
    <s v="2025-01-05"/>
    <s v="09 Jan 2025"/>
    <s v="CUST-9947"/>
    <s v="Neha Gupta"/>
    <s v="Small Business"/>
    <x v="2"/>
    <s v="Tamil Nadu"/>
    <s v="Chennai"/>
    <s v="Office Supplies"/>
    <s v="Storage"/>
    <s v="Eco Storage 923"/>
    <m/>
    <n v="5"/>
    <n v="905.16"/>
    <n v="0"/>
    <n v="4525.8"/>
    <n v="2714.51"/>
    <n v="1811.29"/>
    <x v="0"/>
    <x v="0"/>
    <m/>
    <s v="ORD-2025-10481"/>
    <s v="05-01-25"/>
    <s v="09-01-25"/>
    <s v="CUST-9947"/>
    <s v="Neha Gupta"/>
    <s v="Small Business"/>
    <s v="South"/>
    <s v="Tamil Nadu"/>
    <s v="Chennai"/>
    <s v="Office Supplies"/>
    <s v="Storage"/>
    <s v="Eco Storage 923"/>
    <s v="unknown"/>
    <s v="anomaly"/>
    <n v="4"/>
    <n v="0"/>
    <x v="465"/>
    <x v="465"/>
    <n v="0.40021432674886204"/>
    <s v="05-01-25"/>
    <s v="09-01-25"/>
    <s v="January"/>
    <s v="2025"/>
    <s v=" "/>
    <n v="4"/>
    <s v="Unique"/>
  </r>
  <r>
    <s v="ORD-2025-10482"/>
    <s v="2025-06-05"/>
    <s v="06/13/2025"/>
    <s v="CUST-4403"/>
    <s v="Isha Nair"/>
    <s v="Consumer"/>
    <x v="0"/>
    <s v="Uttar Pradesh"/>
    <s v="Noida"/>
    <s v="Technology"/>
    <s v="Machines"/>
    <s v="Classic Machines 287"/>
    <s v="Same Day"/>
    <n v="4"/>
    <n v="2793.88"/>
    <s v="invalid"/>
    <n v="10616.74"/>
    <n v="6353.59"/>
    <n v="4263.1499999999996"/>
    <x v="0"/>
    <x v="0"/>
    <m/>
    <s v="ORD-2025-10482"/>
    <s v="05-06-25"/>
    <s v="invalid date"/>
    <s v="CUST-4403"/>
    <s v="Isha Nair"/>
    <s v="Consumer"/>
    <s v="North"/>
    <s v="Uttar Pradesh"/>
    <s v="Noida"/>
    <s v="Technology"/>
    <s v="Machines"/>
    <s v="Classic Machines 287"/>
    <s v="Same Day"/>
    <s v="Invalid"/>
    <s v="invalid date"/>
    <s v="invalid"/>
    <x v="2"/>
    <x v="2"/>
    <s v="NA"/>
    <s v="05-06-25"/>
    <s v="invalid date"/>
    <s v="June"/>
    <s v="2025"/>
    <s v="Invalid"/>
    <s v="invalid date"/>
    <s v="Unique"/>
  </r>
  <r>
    <s v="ORD-2024-10483"/>
    <s v="07/22/2024"/>
    <s v="07/22/2024"/>
    <s v="CUST-3583"/>
    <s v="Priya Menon"/>
    <s v="Consumer"/>
    <x v="2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x v="0"/>
    <x v="0"/>
    <m/>
    <s v="ORD-2024-10483"/>
    <s v="invalid date"/>
    <s v="invalid date"/>
    <s v="CUST-3583"/>
    <s v="Priya Menon"/>
    <s v="Consumer"/>
    <s v="South"/>
    <s v="Karnataka"/>
    <s v="Bengaluru"/>
    <s v="Technology"/>
    <s v="Accessories"/>
    <s v="Basic Accessories 518"/>
    <s v="Second Class"/>
    <s v="Invalid"/>
    <s v="invalid date"/>
    <n v="0.25"/>
    <x v="466"/>
    <x v="466"/>
    <n v="0.35866164247001114"/>
    <s v="invalid date"/>
    <s v="invalid date"/>
    <s v="invalid date"/>
    <s v="invalid date"/>
    <s v="Invalid"/>
    <s v="invalid date"/>
    <s v="Unique"/>
  </r>
  <r>
    <s v="ORD-2024-10484"/>
    <s v="25 Dec 2024"/>
    <s v="25-12-2024"/>
    <s v="CUST-9432"/>
    <s v="Mira Das"/>
    <s v="Corporate"/>
    <x v="1"/>
    <s v="Bihar"/>
    <s v="Patna"/>
    <s v="Technology"/>
    <s v="Copiers"/>
    <s v="Pro Copiers 984"/>
    <s v="Standard Class"/>
    <n v="1"/>
    <n v="829.66"/>
    <n v="0.15"/>
    <n v="705.21"/>
    <n v="438.32"/>
    <n v="266.89"/>
    <x v="0"/>
    <x v="0"/>
    <m/>
    <s v="ORD-2024-10484"/>
    <s v="25-12-24"/>
    <s v="25-12-24"/>
    <s v="CUST-9432"/>
    <s v="Mira Das"/>
    <s v="Corporate"/>
    <s v="East"/>
    <s v="Bihar"/>
    <s v="Patna"/>
    <s v="Technology"/>
    <s v="Copiers"/>
    <s v="Pro Copiers 984"/>
    <s v="Standard Class"/>
    <s v="  "/>
    <n v="0"/>
    <n v="0.15"/>
    <x v="467"/>
    <x v="467"/>
    <n v="0.37845552607659261"/>
    <s v="25-12-24"/>
    <s v="25-12-24"/>
    <s v="December"/>
    <s v="2024"/>
    <s v=" "/>
    <n v="0"/>
    <s v="Unique"/>
  </r>
  <r>
    <s v="ORD-2024-10485"/>
    <s v="2024-12-28"/>
    <s v="12/31/2024"/>
    <s v="CUST-1801"/>
    <s v="Mira Das"/>
    <s v="Small Business"/>
    <x v="2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x v="0"/>
    <x v="0"/>
    <m/>
    <s v="ORD-2024-10485"/>
    <s v="28-12-24"/>
    <s v="invalid date"/>
    <s v="CUST-1801"/>
    <s v="Mira Das"/>
    <s v="Small Business"/>
    <s v="South"/>
    <s v="Andhra Pradesh"/>
    <s v="Vijayawada"/>
    <s v="Furniture"/>
    <s v="Furnishings"/>
    <s v="Max Furnishings 297"/>
    <s v="First Class"/>
    <s v="Invalid"/>
    <s v="invalid date"/>
    <n v="0.25"/>
    <x v="468"/>
    <x v="468"/>
    <n v="0.16516137143289572"/>
    <s v="28-12-24"/>
    <s v="invalid date"/>
    <s v="December"/>
    <s v="2024"/>
    <s v="Invalid"/>
    <s v="invalid date"/>
    <s v="Unique"/>
  </r>
  <r>
    <s v="ORD-2025-10486"/>
    <s v="2025-01-22"/>
    <s v="23 Jan 2025"/>
    <s v="CUST-1594"/>
    <s v="Rahul Verma"/>
    <s v="Corporate"/>
    <x v="3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x v="0"/>
    <x v="0"/>
    <m/>
    <s v="ORD-2025-10486"/>
    <s v="22-01-25"/>
    <s v="23-01-25"/>
    <s v="CUST-1594"/>
    <s v="Rahul Verma"/>
    <s v="Corporate"/>
    <s v="West"/>
    <s v="Goa"/>
    <s v="Panaji"/>
    <s v="Furniture"/>
    <s v="Bookcases"/>
    <s v="Elite Bookcases 802"/>
    <s v="Standard Class"/>
    <s v="anomaly"/>
    <n v="1"/>
    <n v="0.25"/>
    <x v="469"/>
    <x v="469"/>
    <n v="0.27003471366121495"/>
    <s v="22-01-25"/>
    <s v="23-01-25"/>
    <s v="January"/>
    <s v="2025"/>
    <s v=" "/>
    <n v="1"/>
    <s v="Unique"/>
  </r>
  <r>
    <s v="ORD-2025-10487"/>
    <s v="22-06-2025"/>
    <s v="06/26/2025"/>
    <s v="CUST-8132"/>
    <s v="Rahul Verma"/>
    <s v="Corporate"/>
    <x v="3"/>
    <s v="Goa"/>
    <s v="Panaji"/>
    <s v="Furniture"/>
    <s v="Tables"/>
    <s v="Pro Tables 257"/>
    <s v="Standard Class"/>
    <n v="3"/>
    <n v="1946.18"/>
    <n v="0.2"/>
    <n v="4670.83"/>
    <n v="3166.49"/>
    <n v="1504.34"/>
    <x v="0"/>
    <x v="0"/>
    <m/>
    <s v="ORD-2025-10487"/>
    <s v="22-06-25"/>
    <s v="invalid date"/>
    <s v="CUST-8132"/>
    <s v="Rahul Verma"/>
    <s v="Corporate"/>
    <s v="West"/>
    <s v="Goa"/>
    <s v="Panaji"/>
    <s v="Furniture"/>
    <s v="Tables"/>
    <s v="Pro Tables 257"/>
    <s v="Standard Class"/>
    <s v="Invalid"/>
    <s v="invalid date"/>
    <n v="0.2"/>
    <x v="470"/>
    <x v="470"/>
    <n v="0.3220715281560117"/>
    <s v="22-06-25"/>
    <s v="invalid date"/>
    <s v="June"/>
    <s v="2025"/>
    <s v="Invalid"/>
    <s v="invalid date"/>
    <s v="Unique"/>
  </r>
  <r>
    <s v="ORD-2025-10488"/>
    <s v="10 Jun 2025"/>
    <s v="06/17/2025"/>
    <s v="CUST-7685"/>
    <s v="Rahul Verma"/>
    <s v="Corporate"/>
    <x v="2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x v="1"/>
    <x v="2"/>
    <m/>
    <s v="ORD-2025-10488"/>
    <s v="10-06-25"/>
    <s v="invalid date"/>
    <s v="CUST-7685"/>
    <s v="Rahul Verma"/>
    <s v="Corporate"/>
    <s v="South"/>
    <s v="Telangana"/>
    <s v="Hyderabad"/>
    <s v="Furniture"/>
    <s v="Furnishings"/>
    <s v="Prime Furnishings 299"/>
    <s v="Standard Class"/>
    <s v="Invalid"/>
    <s v="invalid date"/>
    <n v="0"/>
    <x v="471"/>
    <x v="471"/>
    <n v="0.3043473316546178"/>
    <s v="10-06-25"/>
    <s v="invalid date"/>
    <s v="June"/>
    <s v="2025"/>
    <s v="Invalid"/>
    <s v="invalid date"/>
    <s v="Unique"/>
  </r>
  <r>
    <s v="ORD-2024-10489"/>
    <s v="14 Oct 2024"/>
    <s v="2024-10-20"/>
    <s v="CUST-2183"/>
    <s v="Aditi Sen"/>
    <s v="Small Business"/>
    <x v="0"/>
    <s v="Rajasthan"/>
    <s v="Jaipur"/>
    <s v="Furniture"/>
    <s v="Tables"/>
    <s v="Eco Tables 487"/>
    <s v="Same Day"/>
    <n v="7"/>
    <n v="1547.6"/>
    <n v="0.2"/>
    <n v="8666.56"/>
    <n v="5967.44"/>
    <n v="2699.12"/>
    <x v="0"/>
    <x v="0"/>
    <m/>
    <s v="ORD-2024-10489"/>
    <s v="14-10-24"/>
    <s v="20-10-24"/>
    <s v="CUST-2183"/>
    <s v="Aditi Sen"/>
    <s v="Small Business"/>
    <s v="North"/>
    <s v="Rajasthan"/>
    <s v="Jaipur"/>
    <s v="Furniture"/>
    <s v="Tables"/>
    <s v="Eco Tables 487"/>
    <s v="Same Day"/>
    <s v="anomaly"/>
    <n v="6"/>
    <n v="0.2"/>
    <x v="472"/>
    <x v="472"/>
    <n v="0.31144075619392242"/>
    <s v="14-10-24"/>
    <s v="20-10-24"/>
    <s v="October"/>
    <s v="2024"/>
    <s v=" "/>
    <n v="6"/>
    <s v="Unique"/>
  </r>
  <r>
    <s v="ORD-2024-10490"/>
    <s v="2024-02-07"/>
    <s v="2024-02-12"/>
    <s v="CUST-1636"/>
    <s v="Arjun Bose"/>
    <s v="Home Office"/>
    <x v="1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x v="0"/>
    <x v="0"/>
    <m/>
    <s v="ORD-2024-10490"/>
    <s v="07-02-24"/>
    <s v="12-02-24"/>
    <s v="CUST-1636"/>
    <s v="Arjun Bose"/>
    <s v="Home Office"/>
    <s v="East"/>
    <s v="West Bengal"/>
    <s v="Kolkata"/>
    <s v="Technology"/>
    <s v="Accessories"/>
    <s v="Prime Accessories 960"/>
    <s v="Second Class"/>
    <s v="anomaly"/>
    <n v="5"/>
    <n v="0.2"/>
    <x v="473"/>
    <x v="473"/>
    <n v="0.27428182843495003"/>
    <s v="07-02-24"/>
    <s v="12-02-24"/>
    <s v="February"/>
    <s v="2024"/>
    <s v=" "/>
    <n v="5"/>
    <s v="Unique"/>
  </r>
  <r>
    <s v="ORD-2024-10491"/>
    <s v="2024-09-16"/>
    <s v="09/19/2024"/>
    <s v="CUST-1350"/>
    <s v="Aditi Sen"/>
    <s v="Consumer"/>
    <x v="3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x v="0"/>
    <x v="0"/>
    <m/>
    <s v="ORD-2024-10491"/>
    <s v="16-09-24"/>
    <s v="invalid date"/>
    <s v="CUST-1350"/>
    <s v="Aditi Sen"/>
    <s v="Consumer"/>
    <s v="West"/>
    <s v="Rajasthan"/>
    <s v="Udaipur"/>
    <s v="Office Supplies"/>
    <s v="Binders"/>
    <s v="Smart Binders 191"/>
    <s v="First Class"/>
    <s v="Invalid"/>
    <s v="invalid date"/>
    <n v="0.15"/>
    <x v="474"/>
    <x v="474"/>
    <n v="0.33263556886757462"/>
    <s v="16-09-24"/>
    <s v="invalid date"/>
    <s v="September"/>
    <s v="2024"/>
    <s v="Invalid"/>
    <s v="invalid date"/>
    <s v="Unique"/>
  </r>
  <r>
    <s v="ORD-2025-10492"/>
    <s v="2025-04-29"/>
    <s v="30-04-2025"/>
    <s v="CUST-4101"/>
    <s v="Mira Das"/>
    <s v="Corporate"/>
    <x v="2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x v="0"/>
    <x v="0"/>
    <m/>
    <s v="ORD-2025-10492"/>
    <s v="29-04-25"/>
    <s v="30-04-25"/>
    <s v="CUST-4101"/>
    <s v="Mira Das"/>
    <s v="Corporate"/>
    <s v="South"/>
    <s v="Kerala"/>
    <s v="Kochi"/>
    <s v="Technology"/>
    <s v="Accessories"/>
    <s v="Prime Accessories 118"/>
    <s v="Standard Class"/>
    <s v="anomaly"/>
    <n v="1"/>
    <n v="0.2"/>
    <x v="475"/>
    <x v="475"/>
    <n v="0.37795715321969076"/>
    <s v="29-04-25"/>
    <s v="30-04-25"/>
    <s v="April"/>
    <s v="2025"/>
    <s v=" "/>
    <n v="1"/>
    <s v="Unique"/>
  </r>
  <r>
    <s v="ORD-2025-10493"/>
    <s v="28-06-2025"/>
    <s v="07/02/2025"/>
    <s v="CUST-4679"/>
    <s v="Ananya Rao"/>
    <s v="Corporate"/>
    <x v="2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x v="0"/>
    <x v="0"/>
    <m/>
    <s v="ORD-2025-10493"/>
    <s v="28-06-25"/>
    <s v="07-02-25"/>
    <s v="CUST-4679"/>
    <s v="Ananya Rao"/>
    <s v="Corporate"/>
    <s v="South"/>
    <s v="Andhra Pradesh"/>
    <s v="Vijayawada"/>
    <s v="Office Supplies"/>
    <s v="Storage"/>
    <s v="Elite Storage 331"/>
    <s v="Second Class"/>
    <s v="  "/>
    <n v="-141"/>
    <n v="0.25"/>
    <x v="476"/>
    <x v="476"/>
    <n v="0.21586239286133616"/>
    <s v="28-06-25"/>
    <s v="07-02-25"/>
    <s v="June"/>
    <s v="2025"/>
    <s v="anomaly"/>
    <n v="-141"/>
    <s v="Unique"/>
  </r>
  <r>
    <s v="ORD-2025-10494"/>
    <s v="13 Feb 2025"/>
    <s v="2025-02-13"/>
    <s v="CUST-3765"/>
    <s v="Kabir Singh"/>
    <s v="Corporate"/>
    <x v="1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x v="0"/>
    <x v="0"/>
    <m/>
    <s v="ORD-2025-10494"/>
    <s v="13-02-25"/>
    <s v="13-02-25"/>
    <s v="CUST-3765"/>
    <s v="Kabir Singh"/>
    <s v="Corporate"/>
    <s v="East"/>
    <s v="Odisha"/>
    <s v="Bhubaneswar"/>
    <s v="Office Supplies"/>
    <s v="Paper"/>
    <s v="Prime Paper 996"/>
    <s v="Second Class"/>
    <s v="  "/>
    <n v="0"/>
    <n v="0.05"/>
    <x v="477"/>
    <x v="477"/>
    <n v="0.27396581757873573"/>
    <s v="13-02-25"/>
    <s v="13-02-25"/>
    <s v="February"/>
    <s v="2025"/>
    <s v=" "/>
    <n v="0"/>
    <s v="Unique"/>
  </r>
  <r>
    <s v="ORD-2024-10495"/>
    <s v="2024-11-14"/>
    <s v="2024-11-22"/>
    <s v="CUST-9056"/>
    <s v="Isha Nair"/>
    <s v="Consumer"/>
    <x v="3"/>
    <s v="Madhya Pradesh"/>
    <s v="Indore"/>
    <s v="Technology"/>
    <s v="Phones"/>
    <s v="Smart Phones 125"/>
    <s v="Standard Class"/>
    <n v="3"/>
    <n v="671.68"/>
    <s v="invalid"/>
    <n v="1712.78"/>
    <n v="1569.38"/>
    <n v="360.66"/>
    <x v="3"/>
    <x v="1"/>
    <m/>
    <s v="ORD-2024-10495"/>
    <s v="14-11-24"/>
    <s v="22-11-24"/>
    <s v="CUST-9056"/>
    <s v="Isha Nair"/>
    <s v="Consumer"/>
    <s v="West"/>
    <s v="Madhya Pradesh"/>
    <s v="Indore"/>
    <s v="Technology"/>
    <s v="Phones"/>
    <s v="Smart Phones 125"/>
    <s v="Standard Class"/>
    <s v="anomaly"/>
    <n v="8"/>
    <s v="invalid"/>
    <x v="2"/>
    <x v="2"/>
    <s v="NA"/>
    <s v="14-11-24"/>
    <s v="22-11-24"/>
    <s v="November"/>
    <s v="2024"/>
    <s v=" "/>
    <n v="8"/>
    <s v="Unique"/>
  </r>
  <r>
    <s v="ORD-2024-10496"/>
    <s v="05/09/2024"/>
    <s v="05/15/2024"/>
    <s v="CUST-9801"/>
    <s v="Mira Das"/>
    <s v="Small Business"/>
    <x v="1"/>
    <s v="Assam"/>
    <s v="Guwahati"/>
    <s v="Technology"/>
    <s v="Phones"/>
    <s v="Eco Phones 220"/>
    <s v="Second Class"/>
    <n v="4"/>
    <n v="995.98"/>
    <n v="0.05"/>
    <n v="3784.72"/>
    <n v="2419.2399999999998"/>
    <n v="1365.48"/>
    <x v="1"/>
    <x v="2"/>
    <m/>
    <s v="ORD-2024-10496"/>
    <s v="05-09-24"/>
    <s v="invalid date"/>
    <s v="CUST-9801"/>
    <s v="Mira Das"/>
    <s v="Small Business"/>
    <s v="East"/>
    <s v="Assam"/>
    <s v="Guwahati"/>
    <s v="Technology"/>
    <s v="Phones"/>
    <s v="Eco Phones 220"/>
    <s v="Second Class"/>
    <s v="Invalid"/>
    <s v="invalid date"/>
    <n v="0.05"/>
    <x v="478"/>
    <x v="478"/>
    <n v="0.36078826355633858"/>
    <s v="05-09-24"/>
    <s v="invalid date"/>
    <s v="September"/>
    <s v="2024"/>
    <s v="Invalid"/>
    <s v="invalid date"/>
    <s v="Unique"/>
  </r>
  <r>
    <s v="ORD-2025-10497"/>
    <s v="2025-07-04"/>
    <s v="2025-07-06"/>
    <s v="CUST-2038"/>
    <s v="Kabir Singh"/>
    <s v="Small Business"/>
    <x v="1"/>
    <s v="Jharkhand"/>
    <s v="Ranchi"/>
    <s v="Furniture"/>
    <s v="Chairs"/>
    <s v="Eco Chairs 795"/>
    <s v="Second Class"/>
    <n v="2"/>
    <n v="3686.42"/>
    <n v="0.1"/>
    <n v="6635.56"/>
    <n v="3652.91"/>
    <n v="2982.65"/>
    <x v="0"/>
    <x v="0"/>
    <m/>
    <s v="ORD-2025-10497"/>
    <s v="04-07-25"/>
    <s v="06-07-25"/>
    <s v="CUST-2038"/>
    <s v="Kabir Singh"/>
    <s v="Small Business"/>
    <s v="East"/>
    <s v="Jharkhand"/>
    <s v="Ranchi"/>
    <s v="Furniture"/>
    <s v="Chairs"/>
    <s v="Eco Chairs 795"/>
    <s v="Second Class"/>
    <s v="anomaly"/>
    <n v="2"/>
    <n v="0.1"/>
    <x v="479"/>
    <x v="479"/>
    <n v="0.44949451108543131"/>
    <s v="04-07-25"/>
    <s v="06-07-25"/>
    <s v="July"/>
    <s v="2025"/>
    <s v=" "/>
    <n v="2"/>
    <s v="Unique"/>
  </r>
  <r>
    <s v="ORD-2024-10498"/>
    <s v="29 Aug 2024"/>
    <s v="29 Aug 2024"/>
    <s v="CUST-1567"/>
    <s v="Sneha Kapoor"/>
    <s v="Small Business"/>
    <x v="0"/>
    <s v="Uttar Pradesh"/>
    <s v="Noida"/>
    <s v="Technology"/>
    <s v="Accessories"/>
    <s v="Smart Accessories 896"/>
    <s v="Second Class"/>
    <n v="1"/>
    <n v="3106.88"/>
    <n v="0.2"/>
    <n v="2485.5"/>
    <n v="2028.43"/>
    <n v="457.07"/>
    <x v="0"/>
    <x v="1"/>
    <m/>
    <s v="ORD-2024-10498"/>
    <s v="29-08-24"/>
    <s v="29-08-24"/>
    <s v="CUST-1567"/>
    <s v="Sneha Kapoor"/>
    <s v="Small Business"/>
    <s v="North"/>
    <s v="Uttar Pradesh"/>
    <s v="Noida"/>
    <s v="Technology"/>
    <s v="Accessories"/>
    <s v="Smart Accessories 896"/>
    <s v="Second Class"/>
    <s v="  "/>
    <n v="0"/>
    <n v="0.2"/>
    <x v="480"/>
    <x v="480"/>
    <n v="0.18389590199814615"/>
    <s v="29-08-24"/>
    <s v="29-08-24"/>
    <s v="August"/>
    <s v="2024"/>
    <s v=" "/>
    <n v="0"/>
    <s v="Unique"/>
  </r>
  <r>
    <s v="ORD-2025-10499"/>
    <s v="2025-09-07"/>
    <s v="10 Sep 2025"/>
    <s v="CUST-1190"/>
    <s v="Karan Malhotra"/>
    <s v="Consumer"/>
    <x v="0"/>
    <s v="Punjab"/>
    <s v="Ludhiana"/>
    <s v="Furniture"/>
    <s v="Chairs"/>
    <s v="Basic Chairs 255"/>
    <s v="Same Day"/>
    <n v="2"/>
    <n v="447.55"/>
    <n v="0.05"/>
    <n v="850.35"/>
    <n v="600.98"/>
    <n v="249.37"/>
    <x v="1"/>
    <x v="1"/>
    <m/>
    <s v="ORD-2025-10499"/>
    <s v="07-09-25"/>
    <s v="10-09-25"/>
    <s v="CUST-1190"/>
    <s v="Karan Malhotra"/>
    <s v="Consumer"/>
    <s v="North"/>
    <s v="Punjab"/>
    <s v="Ludhiana"/>
    <s v="Furniture"/>
    <s v="Chairs"/>
    <s v="Basic Chairs 255"/>
    <s v="Same Day"/>
    <s v="anomaly"/>
    <n v="3"/>
    <n v="0.05"/>
    <x v="481"/>
    <x v="481"/>
    <n v="0.29325156260106194"/>
    <s v="07-09-25"/>
    <s v="10-09-25"/>
    <s v="September"/>
    <s v="2025"/>
    <s v=" "/>
    <n v="3"/>
    <s v="Unique"/>
  </r>
  <r>
    <s v="ORD-2024-10500"/>
    <s v="2024-12-22"/>
    <s v="26-12-2024"/>
    <s v="CUST-5604"/>
    <s v="Rahul Verma"/>
    <s v="Home Office"/>
    <x v="0"/>
    <s v="Uttar Pradesh"/>
    <s v="Noida"/>
    <s v="Furniture"/>
    <s v="Chairs"/>
    <s v="Eco Chairs 210"/>
    <s v="Standard Class"/>
    <n v="9"/>
    <n v="1110.8699999999999"/>
    <m/>
    <n v="7498.37"/>
    <n v="6059.07"/>
    <n v="1439.3"/>
    <x v="0"/>
    <x v="1"/>
    <m/>
    <s v="ORD-2024-10500"/>
    <s v="22-12-24"/>
    <s v="26-12-24"/>
    <s v="CUST-5604"/>
    <s v="Rahul Verma"/>
    <s v="Home Office"/>
    <s v="North"/>
    <s v="Uttar Pradesh"/>
    <s v="Noida"/>
    <s v="Furniture"/>
    <s v="Chairs"/>
    <s v="Eco Chairs 210"/>
    <s v="Standard Class"/>
    <s v="anomaly"/>
    <n v="4"/>
    <n v="0"/>
    <x v="482"/>
    <x v="482"/>
    <n v="0.3939614896432525"/>
    <s v="22-12-24"/>
    <s v="26-12-24"/>
    <s v="December"/>
    <s v="2024"/>
    <s v=" "/>
    <n v="4"/>
    <s v="Unique"/>
  </r>
  <r>
    <s v="ORD-2024-10501"/>
    <s v="05/17/2024"/>
    <s v="05/22/2024"/>
    <s v="CUST-7661"/>
    <s v="Sneha Kapoor"/>
    <s v="Consumer"/>
    <x v="2"/>
    <s v="Kerala"/>
    <s v="Kochi"/>
    <s v="Technology"/>
    <s v="Phones"/>
    <s v="Prime Phones 533"/>
    <s v="Same Day"/>
    <n v="9"/>
    <n v="3795.99"/>
    <s v="invalid"/>
    <n v="34163.910000000003"/>
    <n v="28577.15"/>
    <n v="5586.76"/>
    <x v="0"/>
    <x v="0"/>
    <m/>
    <s v="ORD-2024-10501"/>
    <s v="invalid date"/>
    <s v="invalid date"/>
    <s v="CUST-7661"/>
    <s v="Sneha Kapoor"/>
    <s v="Consumer"/>
    <s v="South"/>
    <s v="Kerala"/>
    <s v="Kochi"/>
    <s v="Technology"/>
    <s v="Phones"/>
    <s v="Prime Phones 533"/>
    <s v="Same Day"/>
    <s v="Invalid"/>
    <s v="invalid date"/>
    <s v="invalid"/>
    <x v="2"/>
    <x v="2"/>
    <s v="NA"/>
    <s v="invalid date"/>
    <s v="invalid date"/>
    <s v="invalid date"/>
    <s v="invalid date"/>
    <s v="Invalid"/>
    <s v="invalid date"/>
    <s v="Unique"/>
  </r>
  <r>
    <s v="ORD-2024-10502"/>
    <s v="11 Aug 2024"/>
    <s v="08/17/2024"/>
    <s v="CUST-3710"/>
    <s v="Neha Gupta"/>
    <s v="Consumer"/>
    <x v="1"/>
    <s v="Jharkhand"/>
    <s v="Ranchi"/>
    <s v="Office Supplies"/>
    <s v="Art"/>
    <s v="Elite Art 325"/>
    <s v="Second Class"/>
    <n v="6"/>
    <n v="3497.54"/>
    <n v="0.15"/>
    <n v="17837.45"/>
    <n v="13627.02"/>
    <n v="4210.43"/>
    <x v="0"/>
    <x v="0"/>
    <m/>
    <s v="ORD-2024-10502"/>
    <s v="11-08-24"/>
    <s v="invalid date"/>
    <s v="CUST-3710"/>
    <s v="Neha Gupta"/>
    <s v="Consumer"/>
    <s v="East"/>
    <s v="Jharkhand"/>
    <s v="Ranchi"/>
    <s v="Office Supplies"/>
    <s v="Art"/>
    <s v="Elite Art 325"/>
    <s v="Second Class"/>
    <s v="Invalid"/>
    <s v="invalid date"/>
    <n v="0.15"/>
    <x v="483"/>
    <x v="483"/>
    <n v="0.23604456106796395"/>
    <s v="11-08-24"/>
    <s v="invalid date"/>
    <s v="August"/>
    <s v="2024"/>
    <s v="Invalid"/>
    <s v="invalid date"/>
    <s v="Unique"/>
  </r>
  <r>
    <s v="ORD-2024-10503"/>
    <s v="04/01/2024"/>
    <s v="2024-04-09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x v="0"/>
    <x v="0"/>
    <m/>
    <s v="ORD-2024-10503"/>
    <s v="04-01-24"/>
    <s v="09-04-24"/>
    <s v="CUST-1534"/>
    <s v="Priya Menon"/>
    <s v="Small Business"/>
    <s v="East"/>
    <s v="Odisha"/>
    <s v="Bhubaneswar"/>
    <s v="Technology"/>
    <s v="Copiers"/>
    <s v="Prime Copiers 557"/>
    <s v="Second Class"/>
    <s v="anomaly"/>
    <n v="96"/>
    <n v="0.1"/>
    <x v="484"/>
    <x v="484"/>
    <n v="0.24372209390288319"/>
    <s v="04-01-24"/>
    <s v="09-04-24"/>
    <s v="January"/>
    <s v="2024"/>
    <s v=" "/>
    <n v="96"/>
    <s v="Unique"/>
  </r>
  <r>
    <s v="ORD-2024-10504"/>
    <s v="2024-09-28"/>
    <s v="2024-10-05"/>
    <s v="CUST-7422"/>
    <s v="Aarav Sharma"/>
    <s v="Consumer"/>
    <x v="2"/>
    <s v="Tamil Nadu"/>
    <s v="Chennai"/>
    <s v="Technology"/>
    <s v="Phones"/>
    <s v="Smart Phones 674"/>
    <s v="Standard Class"/>
    <n v="7"/>
    <n v="1681.6"/>
    <n v="0.1"/>
    <n v="10594.08"/>
    <n v="7160.31"/>
    <n v="3433.77"/>
    <x v="0"/>
    <x v="0"/>
    <m/>
    <s v="ORD-2024-10504"/>
    <s v="28-09-24"/>
    <s v="05-10-24"/>
    <s v="CUST-7422"/>
    <s v="Aarav Sharma"/>
    <s v="Consumer"/>
    <s v="South"/>
    <s v="Tamil Nadu"/>
    <s v="Chennai"/>
    <s v="Technology"/>
    <s v="Phones"/>
    <s v="Smart Phones 674"/>
    <s v="Standard Class"/>
    <s v="  "/>
    <n v="7"/>
    <n v="0.1"/>
    <x v="485"/>
    <x v="485"/>
    <n v="0.32412158488514337"/>
    <s v="28-09-24"/>
    <s v="05-10-24"/>
    <s v="September"/>
    <s v="2024"/>
    <s v="anomaly"/>
    <n v="7"/>
    <s v="Unique"/>
  </r>
  <r>
    <s v="ORD-2025-10505"/>
    <s v="2025-02-12"/>
    <s v="2025-02-17"/>
    <s v="CUST-9693"/>
    <s v="Arjun Bose"/>
    <s v="Corporate"/>
    <x v="3"/>
    <s v="Gujarat"/>
    <s v="Ahmedabad"/>
    <s v="Office Supplies"/>
    <s v="Art"/>
    <s v="Elite Art 553"/>
    <s v="Standard Class"/>
    <n v="4"/>
    <n v="4328.12"/>
    <n v="0"/>
    <n v="17312.48"/>
    <n v="14424.22"/>
    <n v="2888.26"/>
    <x v="0"/>
    <x v="0"/>
    <m/>
    <s v="ORD-2025-10505"/>
    <s v="12-02-25"/>
    <s v="17-02-25"/>
    <s v="CUST-9693"/>
    <s v="Arjun Bose"/>
    <s v="Corporate"/>
    <s v="West"/>
    <s v="Gujarat"/>
    <s v="Ahmedabad"/>
    <s v="Office Supplies"/>
    <s v="Art"/>
    <s v="Elite Art 553"/>
    <s v="Standard Class"/>
    <s v="anomaly"/>
    <n v="5"/>
    <n v="0"/>
    <x v="486"/>
    <x v="486"/>
    <n v="0.16683109525613893"/>
    <s v="12-02-25"/>
    <s v="17-02-25"/>
    <s v="February"/>
    <s v="2025"/>
    <s v=" "/>
    <n v="5"/>
    <s v="Unique"/>
  </r>
  <r>
    <s v="ORD-2024-10506"/>
    <s v="2024-11-09"/>
    <s v="14 Nov 2024"/>
    <s v="CUST-5458"/>
    <s v="Neha Gupta"/>
    <s v="Corporate"/>
    <x v="3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x v="0"/>
    <x v="1"/>
    <m/>
    <s v="ORD-2024-10506"/>
    <s v="09-11-24"/>
    <s v="14-11-24"/>
    <s v="CUST-5458"/>
    <s v="Neha Gupta"/>
    <s v="Corporate"/>
    <s v="West"/>
    <s v="Madhya Pradesh"/>
    <s v="Indore"/>
    <s v="Office Supplies"/>
    <s v="Art"/>
    <s v="Classic Art 339"/>
    <s v="First Class"/>
    <s v="anomaly"/>
    <n v="5"/>
    <n v="0.2"/>
    <x v="487"/>
    <x v="487"/>
    <n v="0.24279811762432785"/>
    <s v="09-11-24"/>
    <s v="14-11-24"/>
    <s v="November"/>
    <s v="2024"/>
    <s v=" "/>
    <n v="5"/>
    <s v="Unique"/>
  </r>
  <r>
    <s v="ORD-2024-10507"/>
    <s v="15-12-2024"/>
    <s v="2024-12-15"/>
    <s v="CUST-3011"/>
    <s v="Aarav Sharma"/>
    <s v="Small Business"/>
    <x v="0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x v="1"/>
    <x v="2"/>
    <m/>
    <s v="ORD-2024-10507"/>
    <s v="15-12-24"/>
    <s v="15-12-24"/>
    <s v="CUST-3011"/>
    <s v="Aarav Sharma"/>
    <s v="Small Business"/>
    <s v="North"/>
    <s v="Punjab"/>
    <s v="Ludhiana"/>
    <s v="Furniture"/>
    <s v="Furnishings"/>
    <s v="Smart Furnishings 352"/>
    <s v="First Class"/>
    <s v="  "/>
    <n v="0"/>
    <n v="0.1"/>
    <x v="488"/>
    <x v="488"/>
    <n v="0.30155767890912699"/>
    <s v="15-12-24"/>
    <s v="15-12-24"/>
    <s v="December"/>
    <s v="2024"/>
    <s v=" "/>
    <n v="0"/>
    <s v="Unique"/>
  </r>
  <r>
    <s v="ORD-2025-10508"/>
    <s v="2025-04-15"/>
    <s v="2025-04-22"/>
    <s v="CUST-1826"/>
    <s v="Isha Nair"/>
    <s v="Small Business"/>
    <x v="0"/>
    <s v="Haryana"/>
    <s v="Gurugram"/>
    <s v="Office Supplies"/>
    <s v="Binders"/>
    <s v="Classic Binders 602"/>
    <s v="Same Day"/>
    <n v="4"/>
    <n v="2990.42"/>
    <n v="0.25"/>
    <n v="8971.26"/>
    <n v="6814.35"/>
    <n v="2156.91"/>
    <x v="0"/>
    <x v="0"/>
    <m/>
    <s v="ORD-2025-10508"/>
    <s v="15-04-25"/>
    <s v="22-04-25"/>
    <s v="CUST-1826"/>
    <s v="Isha Nair"/>
    <s v="Small Business"/>
    <s v="North"/>
    <s v="Haryana"/>
    <s v="Gurugram"/>
    <s v="Office Supplies"/>
    <s v="Binders"/>
    <s v="Classic Binders 602"/>
    <s v="Same Day"/>
    <s v="anomaly"/>
    <n v="7"/>
    <n v="0.25"/>
    <x v="489"/>
    <x v="489"/>
    <n v="0.24042442198754688"/>
    <s v="15-04-25"/>
    <s v="22-04-25"/>
    <s v="April"/>
    <s v="2025"/>
    <s v=" "/>
    <n v="7"/>
    <s v="Unique"/>
  </r>
  <r>
    <s v="ORD-2024-10509"/>
    <s v="31 Mar 2024"/>
    <s v="07-04-2024"/>
    <s v="CUST-3333"/>
    <s v="Isha Nair"/>
    <s v="Small Business"/>
    <x v="0"/>
    <s v="Haryana"/>
    <s v="Gurugram"/>
    <s v="Technology"/>
    <s v="Machines"/>
    <s v="Smart Machines 853"/>
    <s v="Second Class"/>
    <n v="4"/>
    <n v="1831"/>
    <n v="0"/>
    <n v="7324"/>
    <n v="4179.63"/>
    <n v="3144.37"/>
    <x v="0"/>
    <x v="0"/>
    <m/>
    <s v="ORD-2024-10509"/>
    <s v="31-03-24"/>
    <s v="07-04-24"/>
    <s v="CUST-3333"/>
    <s v="Isha Nair"/>
    <s v="Small Business"/>
    <s v="North"/>
    <s v="Haryana"/>
    <s v="Gurugram"/>
    <s v="Technology"/>
    <s v="Machines"/>
    <s v="Smart Machines 853"/>
    <s v="Second Class"/>
    <s v="  "/>
    <n v="7"/>
    <n v="0"/>
    <x v="490"/>
    <x v="490"/>
    <n v="0.42932413981430911"/>
    <s v="31-03-24"/>
    <s v="07-04-24"/>
    <s v="March"/>
    <s v="2024"/>
    <s v="anomaly"/>
    <n v="7"/>
    <s v="Unique"/>
  </r>
  <r>
    <s v="ORD-2025-10510"/>
    <s v="2025-05-12"/>
    <s v="05/14/2025"/>
    <s v="CUST-7901"/>
    <s v="Neha Gupta"/>
    <s v="Consumer"/>
    <x v="3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x v="0"/>
    <x v="0"/>
    <m/>
    <s v="ORD-2025-10510"/>
    <s v="12-05-25"/>
    <s v="invalid date"/>
    <s v="CUST-7901"/>
    <s v="Neha Gupta"/>
    <s v="Consumer"/>
    <s v="West"/>
    <s v="Gujarat"/>
    <s v="Ahmedabad"/>
    <s v="Technology"/>
    <s v="Machines"/>
    <s v="Classic Machines 599"/>
    <s v="Same Day"/>
    <s v="Invalid"/>
    <s v="invalid date"/>
    <n v="0.2"/>
    <x v="491"/>
    <x v="491"/>
    <n v="0.25903618812371948"/>
    <s v="12-05-25"/>
    <s v="invalid date"/>
    <s v="May"/>
    <s v="2025"/>
    <s v="Invalid"/>
    <s v="invalid date"/>
    <s v="Unique"/>
  </r>
  <r>
    <s v="ORD-2024-10511"/>
    <s v="10/18/2024"/>
    <s v="21-10-2024"/>
    <s v="CUST-9759"/>
    <s v="Aarav  Sharma"/>
    <s v="Consumer"/>
    <x v="2"/>
    <s v="Karnataka"/>
    <s v="Bengaluru"/>
    <s v="Office Supplies"/>
    <s v="Storage"/>
    <s v="Pro Storage 373"/>
    <s v="Second Class"/>
    <n v="2"/>
    <n v="4238.51"/>
    <n v="0"/>
    <n v="8477.02"/>
    <n v="6884.96"/>
    <n v="1592.06"/>
    <x v="0"/>
    <x v="0"/>
    <m/>
    <s v="ORD-2024-10511"/>
    <s v="invalid date"/>
    <s v="21-10-24"/>
    <s v="CUST-9759"/>
    <s v="Aarav Sharma"/>
    <s v="Consumer"/>
    <s v="South"/>
    <s v="Karnataka"/>
    <s v="Bengaluru"/>
    <s v="Office Supplies"/>
    <s v="Storage"/>
    <s v="Pro Storage 373"/>
    <s v="Second Class"/>
    <s v="Invalid"/>
    <s v="invalid date"/>
    <n v="0"/>
    <x v="492"/>
    <x v="492"/>
    <n v="0.18780892341884298"/>
    <s v="invalid date"/>
    <s v="21-10-24"/>
    <s v="invalid date"/>
    <s v="invalid date"/>
    <s v="Invalid"/>
    <s v="invalid date"/>
    <s v="Unique"/>
  </r>
  <r>
    <s v="ORD-2024-10512"/>
    <s v="10/23/2024"/>
    <s v="26 Oct 2024"/>
    <s v="CUST-7232"/>
    <s v="Sneha Kapoor"/>
    <s v="Consumer"/>
    <x v="3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x v="0"/>
    <x v="0"/>
    <m/>
    <s v="ORD-2024-10512"/>
    <s v="invalid date"/>
    <s v="26-10-24"/>
    <s v="CUST-7232"/>
    <s v="Sneha Kapoor"/>
    <s v="Consumer"/>
    <s v="West"/>
    <s v="Madhya Pradesh"/>
    <s v="Indore"/>
    <s v="Furniture"/>
    <s v="Bookcases"/>
    <s v="Smart Bookcases 920"/>
    <s v="Standard Class"/>
    <s v="Invalid"/>
    <s v="invalid date"/>
    <n v="0.25"/>
    <x v="493"/>
    <x v="493"/>
    <n v="0.43161380278987349"/>
    <s v="invalid date"/>
    <s v="26-10-24"/>
    <s v="invalid date"/>
    <s v="invalid date"/>
    <s v="Invalid"/>
    <s v="invalid date"/>
    <s v="Unique"/>
  </r>
  <r>
    <s v="ORD-2025-10513"/>
    <s v="03/02/2025"/>
    <s v="2025-03-03"/>
    <s v="CUST-9943"/>
    <s v="Isha Nair"/>
    <s v="Corporate"/>
    <x v="2"/>
    <s v="Kerala"/>
    <s v="Kochi"/>
    <s v="Office Supplies"/>
    <s v="Labels"/>
    <s v="Pro Labels 849"/>
    <s v="Second Class"/>
    <n v="2"/>
    <n v="4031.45"/>
    <n v="0.25"/>
    <n v="6047.17"/>
    <n v="3368.79"/>
    <n v="2678.38"/>
    <x v="0"/>
    <x v="0"/>
    <m/>
    <s v="ORD-2025-10513"/>
    <s v="03-02-25"/>
    <s v="03-03-25"/>
    <s v="CUST-9943"/>
    <s v="Isha Nair"/>
    <s v="Corporate"/>
    <s v="South"/>
    <s v="Kerala"/>
    <s v="Kochi"/>
    <s v="Office Supplies"/>
    <s v="Labels"/>
    <s v="Pro Labels 849"/>
    <s v="Second Class"/>
    <s v="anomaly"/>
    <n v="28"/>
    <n v="0.25"/>
    <x v="494"/>
    <x v="494"/>
    <n v="0.44291508018206843"/>
    <s v="03-02-25"/>
    <s v="03-03-25"/>
    <s v="February"/>
    <s v="2025"/>
    <s v=" "/>
    <n v="28"/>
    <s v="Unique"/>
  </r>
  <r>
    <s v="ORD-2025-10514"/>
    <s v="27-06-2025"/>
    <s v="07/02/2025"/>
    <s v="CUST-8993"/>
    <s v="Aarav Sharma"/>
    <s v="Corporate"/>
    <x v="2"/>
    <s v="Kerala"/>
    <s v="Kochi"/>
    <s v="Technology"/>
    <s v="Accessories"/>
    <s v="Prime Accessories 849"/>
    <s v="First Class"/>
    <n v="6"/>
    <n v="1099.49"/>
    <n v="0.1"/>
    <n v="6212.38"/>
    <n v="4088.46"/>
    <n v="1848.79"/>
    <x v="0"/>
    <x v="0"/>
    <m/>
    <s v="ORD-2025-10514"/>
    <s v="27-06-25"/>
    <s v="07-02-25"/>
    <s v="CUST-8993"/>
    <s v="Aarav Sharma"/>
    <s v="Corporate"/>
    <s v="South"/>
    <s v="Kerala"/>
    <s v="Kochi"/>
    <s v="Technology"/>
    <s v="Accessories"/>
    <s v="Prime Accessories 849"/>
    <s v="First Class"/>
    <s v="  "/>
    <n v="-140"/>
    <n v="0.1"/>
    <x v="495"/>
    <x v="495"/>
    <n v="0.31138780505304997"/>
    <s v="27-06-25"/>
    <s v="07-02-25"/>
    <s v="June"/>
    <s v="2025"/>
    <s v="anomaly"/>
    <n v="-140"/>
    <s v="Unique"/>
  </r>
  <r>
    <s v="ORD-2024-10515"/>
    <s v="18 Nov 2024"/>
    <s v="2024-11-22"/>
    <s v="CUST-7729"/>
    <s v="Karan Malhotra"/>
    <s v="Home Office"/>
    <x v="2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x v="0"/>
    <x v="0"/>
    <m/>
    <s v="ORD-2024-10515"/>
    <s v="18-11-24"/>
    <s v="22-11-24"/>
    <s v="CUST-7729"/>
    <s v="Karan Malhotra"/>
    <s v="Home Office"/>
    <s v="South"/>
    <s v="Kerala"/>
    <s v="Kochi"/>
    <s v="Technology"/>
    <s v="Accessories"/>
    <s v="Smart Accessories 388"/>
    <s v="Standard Class"/>
    <s v="anomaly"/>
    <n v="4"/>
    <n v="0.1"/>
    <x v="496"/>
    <x v="496"/>
    <n v="0.44129533903710627"/>
    <s v="18-11-24"/>
    <s v="22-11-24"/>
    <s v="November"/>
    <s v="2024"/>
    <s v=" "/>
    <n v="4"/>
    <s v="Unique"/>
  </r>
  <r>
    <s v="ORD-2025-10516"/>
    <s v="04/11/2025"/>
    <s v="2025-04-11"/>
    <s v="CUST-9986"/>
    <s v="Rahul Verma"/>
    <s v="Corporate"/>
    <x v="0"/>
    <s v="Delhi"/>
    <s v="New Delhi"/>
    <s v="Office Supplies"/>
    <s v="Paper"/>
    <s v="Classic Paper 752"/>
    <s v="Standard Class"/>
    <n v="1"/>
    <n v="4458.49"/>
    <s v="invalid"/>
    <n v="3566.79"/>
    <n v="2083.41"/>
    <n v="1483.38"/>
    <x v="0"/>
    <x v="0"/>
    <m/>
    <s v="ORD-2025-10516"/>
    <s v="04-11-25"/>
    <s v="11-04-25"/>
    <s v="CUST-9986"/>
    <s v="Rahul Verma"/>
    <s v="Corporate"/>
    <s v="North"/>
    <s v="Delhi"/>
    <s v="New Delhi"/>
    <s v="Office Supplies"/>
    <s v="Paper"/>
    <s v="Classic Paper 752"/>
    <s v="Standard Class"/>
    <s v="anomaly"/>
    <n v="-207"/>
    <s v="invalid"/>
    <x v="2"/>
    <x v="2"/>
    <s v="NA"/>
    <s v="04-11-25"/>
    <s v="11-04-25"/>
    <s v="November"/>
    <s v="2025"/>
    <s v=" "/>
    <n v="-207"/>
    <s v="Unique"/>
  </r>
  <r>
    <s v="ORD-2024-10517"/>
    <s v="09/28/2024"/>
    <s v="04 Oct 2024"/>
    <s v="CUST-2731"/>
    <s v="Kabir Singh"/>
    <s v="Home Office"/>
    <x v="0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x v="3"/>
    <x v="2"/>
    <m/>
    <s v="ORD-2024-10517"/>
    <s v="invalid date"/>
    <s v="04-10-24"/>
    <s v="CUST-2731"/>
    <s v="Kabir Singh"/>
    <s v="Home Office"/>
    <s v="North"/>
    <s v="Delhi"/>
    <s v="New Delhi"/>
    <s v="Technology"/>
    <s v="Copiers"/>
    <s v="Classic Copiers 143"/>
    <s v="Standard Class"/>
    <s v="Invalid"/>
    <s v="invalid date"/>
    <n v="0"/>
    <x v="497"/>
    <x v="497"/>
    <n v="0.28988258895386843"/>
    <s v="invalid date"/>
    <s v="04-10-24"/>
    <s v="invalid date"/>
    <s v="invalid date"/>
    <s v="Invalid"/>
    <s v="invalid date"/>
    <s v="Unique"/>
  </r>
  <r>
    <s v="ORD-2025-10518"/>
    <s v="2025-05-25"/>
    <s v="27 May 2025"/>
    <s v="CUST-4235"/>
    <s v="Rahul Verma"/>
    <s v="Consumer"/>
    <x v="1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x v="1"/>
    <x v="2"/>
    <m/>
    <s v="ORD-2025-10518"/>
    <s v="25-05-25"/>
    <s v="27-05-25"/>
    <s v="CUST-4235"/>
    <s v="Rahul Verma"/>
    <s v="Consumer"/>
    <s v="East"/>
    <s v="Odisha"/>
    <s v="Bhubaneswar"/>
    <s v="Furniture"/>
    <s v="Furnishings"/>
    <s v="Basic Furnishings 386"/>
    <s v="Second Class"/>
    <s v="anomaly"/>
    <n v="2"/>
    <n v="0.2"/>
    <x v="498"/>
    <x v="498"/>
    <n v="0.22336045444514427"/>
    <s v="25-05-25"/>
    <s v="27-05-25"/>
    <s v="May"/>
    <s v="2025"/>
    <s v=" "/>
    <n v="2"/>
    <s v="Unique"/>
  </r>
  <r>
    <s v="ORD-2025-10519"/>
    <s v="30-04-2025"/>
    <s v="26 Apr 2025"/>
    <s v="CUST-3377"/>
    <s v="Diya Patel"/>
    <s v="Corporate"/>
    <x v="1"/>
    <s v="Odisha"/>
    <s v="Bhubaneswar"/>
    <s v="Furniture"/>
    <s v="Tables"/>
    <s v="Classic Tables 592"/>
    <s v="First Class"/>
    <n v="7"/>
    <n v="1604.13"/>
    <n v="0.25"/>
    <n v="8421.68"/>
    <n v="6534.47"/>
    <n v="1887.21"/>
    <x v="0"/>
    <x v="1"/>
    <m/>
    <s v="ORD-2025-10519"/>
    <s v="30-04-25"/>
    <s v="26-04-25"/>
    <s v="CUST-3377"/>
    <s v="Diya Patel"/>
    <s v="Corporate"/>
    <s v="East"/>
    <s v="Odisha"/>
    <s v="Bhubaneswar"/>
    <s v="Furniture"/>
    <s v="Tables"/>
    <s v="Classic Tables 592"/>
    <s v="First Class"/>
    <s v="  "/>
    <n v="-4"/>
    <n v="0.25"/>
    <x v="499"/>
    <x v="499"/>
    <n v="0.22408972316398759"/>
    <s v="30-04-25"/>
    <s v="26-04-25"/>
    <s v="April"/>
    <s v="2025"/>
    <s v="anomaly"/>
    <n v="-4"/>
    <s v="Unique"/>
  </r>
  <r>
    <s v="ORD-2025-10520"/>
    <s v="03-07-2025"/>
    <s v="2025-07-07"/>
    <s v="CUST-3258"/>
    <s v="Priya Menon"/>
    <s v="Consumer"/>
    <x v="0"/>
    <s v="Uttar Pradesh"/>
    <s v="Noida"/>
    <s v="Furniture"/>
    <s v="Tables"/>
    <s v="Pro Tables 412"/>
    <s v="Standard Class"/>
    <n v="4"/>
    <n v="4365.21"/>
    <n v="0.2"/>
    <n v="13968.67"/>
    <n v="8857.58"/>
    <n v="5111.09"/>
    <x v="2"/>
    <x v="1"/>
    <m/>
    <s v="ORD-2025-10520"/>
    <s v="03-07-25"/>
    <s v="07-07-25"/>
    <s v="CUST-3258"/>
    <s v="Priya Menon"/>
    <s v="Consumer"/>
    <s v="North"/>
    <s v="Uttar Pradesh"/>
    <s v="Noida"/>
    <s v="Furniture"/>
    <s v="Tables"/>
    <s v="Pro Tables 412"/>
    <s v="Standard Class"/>
    <s v="anomaly"/>
    <n v="4"/>
    <n v="0.2"/>
    <x v="500"/>
    <x v="500"/>
    <n v="0.36589677243477409"/>
    <s v="03-07-25"/>
    <s v="07-07-25"/>
    <s v="July"/>
    <s v="2025"/>
    <s v=" "/>
    <n v="4"/>
    <s v="Unique"/>
  </r>
  <r>
    <s v="ORD-2024-10521"/>
    <s v="2024-07-16"/>
    <s v="23 Jul 2024"/>
    <s v="CUST-2155"/>
    <s v="Aarav Sharma"/>
    <s v="Home Office"/>
    <x v="2"/>
    <s v="Karnataka"/>
    <s v="Bengaluru"/>
    <s v="Technology"/>
    <s v="Machines"/>
    <s v="Prime Machines 393"/>
    <s v="Same Day"/>
    <n v="1"/>
    <n v="1695.91"/>
    <n v="0.05"/>
    <n v="1611.11"/>
    <n v="895.15"/>
    <n v="715.96"/>
    <x v="0"/>
    <x v="0"/>
    <m/>
    <s v="ORD-2024-10521"/>
    <s v="16-07-24"/>
    <s v="23-07-24"/>
    <s v="CUST-2155"/>
    <s v="Aarav Sharma"/>
    <s v="Home Office"/>
    <s v="South"/>
    <s v="Karnataka"/>
    <s v="Bengaluru"/>
    <s v="Technology"/>
    <s v="Machines"/>
    <s v="Prime Machines 393"/>
    <s v="Same Day"/>
    <s v="anomaly"/>
    <n v="7"/>
    <n v="0.05"/>
    <x v="501"/>
    <x v="501"/>
    <n v="0.44439082386757739"/>
    <s v="16-07-24"/>
    <s v="23-07-24"/>
    <s v="July"/>
    <s v="2024"/>
    <s v=" "/>
    <n v="7"/>
    <s v="Unique"/>
  </r>
  <r>
    <s v="ORD-2025-10522"/>
    <s v="2025-03-25"/>
    <s v="2025-04-01"/>
    <s v="CUST-8012"/>
    <s v="Diya Patel"/>
    <s v="Consumer"/>
    <x v="0"/>
    <s v="Punjab"/>
    <s v="Ludhiana"/>
    <s v="Office Supplies"/>
    <s v="Labels"/>
    <s v="Classic Labels 776"/>
    <s v="Second Class"/>
    <n v="6"/>
    <n v="2192.11"/>
    <n v="0.05"/>
    <n v="12495.03"/>
    <n v="9184.52"/>
    <n v="3310.51"/>
    <x v="0"/>
    <x v="0"/>
    <m/>
    <s v="ORD-2025-10522"/>
    <s v="25-03-25"/>
    <s v="01-04-25"/>
    <s v="CUST-8012"/>
    <s v="Diya Patel"/>
    <s v="Consumer"/>
    <s v="North"/>
    <s v="Punjab"/>
    <s v="Ludhiana"/>
    <s v="Office Supplies"/>
    <s v="Labels"/>
    <s v="Classic Labels 776"/>
    <s v="Second Class"/>
    <s v="  "/>
    <n v="7"/>
    <n v="0.05"/>
    <x v="502"/>
    <x v="502"/>
    <n v="0.26494596610315446"/>
    <s v="25-03-25"/>
    <s v="01-04-25"/>
    <s v="March"/>
    <s v="2025"/>
    <s v="anomaly"/>
    <n v="7"/>
    <s v="Unique"/>
  </r>
  <r>
    <s v="ORD-2025-10523"/>
    <s v="02/28/2025"/>
    <s v="08 Mar 2025"/>
    <s v="CUST-2917"/>
    <s v="Neha Gupta"/>
    <s v="Small Business"/>
    <x v="1"/>
    <s v="Jharkhand"/>
    <s v="Ranchi"/>
    <s v="Technology"/>
    <s v="Phones"/>
    <s v="Max Phones 612"/>
    <s v="First Class"/>
    <n v="9"/>
    <n v="3670.54"/>
    <n v="0"/>
    <n v="33034.86"/>
    <n v="24539.83"/>
    <n v="8495.0300000000007"/>
    <x v="0"/>
    <x v="0"/>
    <m/>
    <s v="ORD-2025-10523"/>
    <s v="invalid date"/>
    <s v="08-03-25"/>
    <s v="CUST-2917"/>
    <s v="Neha Gupta"/>
    <s v="Small Business"/>
    <s v="East"/>
    <s v="Jharkhand"/>
    <s v="Ranchi"/>
    <s v="Technology"/>
    <s v="Phones"/>
    <s v="Max Phones 612"/>
    <s v="First Class"/>
    <s v="Invalid"/>
    <s v="invalid date"/>
    <n v="0"/>
    <x v="503"/>
    <x v="503"/>
    <n v="0.25715350390466307"/>
    <s v="invalid date"/>
    <s v="08-03-25"/>
    <s v="invalid date"/>
    <s v="invalid date"/>
    <s v="Invalid"/>
    <s v="invalid date"/>
    <s v="Unique"/>
  </r>
  <r>
    <s v="ORD-2024-10524"/>
    <s v="02-04-2024"/>
    <s v="2024-04-03"/>
    <s v="CUST-4653"/>
    <s v="Kabir Singh"/>
    <s v="Home Office"/>
    <x v="3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x v="0"/>
    <x v="2"/>
    <m/>
    <s v="ORD-2024-10524"/>
    <s v="02-04-24"/>
    <s v="03-04-24"/>
    <s v="CUST-4653"/>
    <s v="Kabir Singh"/>
    <s v="Home Office"/>
    <s v="West"/>
    <s v="Goa"/>
    <s v="Panaji"/>
    <s v="Office Supplies"/>
    <s v="Paper"/>
    <s v="Basic Paper 315"/>
    <s v="Second Class"/>
    <s v="anomaly"/>
    <n v="1"/>
    <n v="0"/>
    <x v="504"/>
    <x v="504"/>
    <n v="0.19825124111581574"/>
    <s v="02-04-24"/>
    <s v="03-04-24"/>
    <s v="April"/>
    <s v="2024"/>
    <s v=" "/>
    <n v="1"/>
    <s v="Unique"/>
  </r>
  <r>
    <s v="ORD-2024-10525"/>
    <s v="30 Nov 2024"/>
    <s v="01 Dec 2024"/>
    <s v="CUST-3311"/>
    <s v="Ananya Rao"/>
    <s v="Corporate"/>
    <x v="3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x v="0"/>
    <x v="0"/>
    <m/>
    <s v="ORD-2024-10525"/>
    <s v="30-11-24"/>
    <s v="01-12-24"/>
    <s v="CUST-3311"/>
    <s v="Ananya Rao"/>
    <s v="Corporate"/>
    <s v="West"/>
    <s v="Gujarat"/>
    <s v="Ahmedabad"/>
    <s v="Furniture"/>
    <s v="Chairs"/>
    <s v="Basic Chairs 333"/>
    <s v="First Class"/>
    <s v="  "/>
    <n v="1"/>
    <n v="0.1"/>
    <x v="505"/>
    <x v="505"/>
    <n v="0.35822663025311091"/>
    <s v="30-11-24"/>
    <s v="01-12-24"/>
    <s v="November"/>
    <s v="2024"/>
    <s v="anomaly"/>
    <n v="1"/>
    <s v="Unique"/>
  </r>
  <r>
    <s v="ORD-2024-10526"/>
    <s v="10/17/2024"/>
    <s v="2024-10-17"/>
    <s v="CUST-2924"/>
    <s v="Priya Menon"/>
    <s v="Home Office"/>
    <x v="1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x v="0"/>
    <x v="0"/>
    <m/>
    <s v="ORD-2024-10526"/>
    <s v="invalid date"/>
    <s v="17-10-24"/>
    <s v="CUST-2924"/>
    <s v="Priya Menon"/>
    <s v="Home Office"/>
    <s v="East"/>
    <s v="West Bengal"/>
    <s v="Kolkata"/>
    <s v="Furniture"/>
    <s v="Chairs"/>
    <s v="Prime Chairs 215"/>
    <s v="Standard Class"/>
    <s v="Invalid"/>
    <s v="invalid date"/>
    <n v="0.1"/>
    <x v="506"/>
    <x v="506"/>
    <n v="0.37829539252451638"/>
    <s v="invalid date"/>
    <s v="17-10-24"/>
    <s v="invalid date"/>
    <s v="invalid date"/>
    <s v="Invalid"/>
    <s v="invalid date"/>
    <s v="Unique"/>
  </r>
  <r>
    <s v="ORD-2025-10527"/>
    <s v="2025-07-18"/>
    <s v="21 Jul 2025"/>
    <s v="CUST-7198"/>
    <s v="Priya Menon"/>
    <s v="Consumer"/>
    <x v="1"/>
    <s v="Odisha"/>
    <s v="Bhubaneswar"/>
    <s v="Furniture"/>
    <s v="Tables"/>
    <s v="Elite Tables 815"/>
    <s v="Second Class"/>
    <n v="4"/>
    <n v="284.04000000000002"/>
    <m/>
    <n v="908.93"/>
    <n v="572.08000000000004"/>
    <n v="336.85"/>
    <x v="0"/>
    <x v="0"/>
    <m/>
    <s v="ORD-2025-10527"/>
    <s v="18-07-25"/>
    <s v="21-07-25"/>
    <s v="CUST-7198"/>
    <s v="Priya Menon"/>
    <s v="Consumer"/>
    <s v="East"/>
    <s v="Odisha"/>
    <s v="Bhubaneswar"/>
    <s v="Furniture"/>
    <s v="Tables"/>
    <s v="Elite Tables 815"/>
    <s v="Second Class"/>
    <s v="anomaly"/>
    <n v="3"/>
    <n v="0"/>
    <x v="507"/>
    <x v="507"/>
    <n v="0.49647936910294327"/>
    <s v="18-07-25"/>
    <s v="21-07-25"/>
    <s v="July"/>
    <s v="2025"/>
    <s v=" "/>
    <n v="3"/>
    <s v="Unique"/>
  </r>
  <r>
    <s v="ORD-2025-10528"/>
    <s v="01-10-2025"/>
    <s v="2025-10-05"/>
    <s v="CUST-3419"/>
    <s v="Aditi Sen"/>
    <s v="Home Office"/>
    <x v="0"/>
    <s v="Haryana"/>
    <s v="Gurugram"/>
    <s v="Office Supplies"/>
    <s v="Paper"/>
    <s v="Basic Paper 388"/>
    <s v="First Class"/>
    <n v="5"/>
    <n v="3247.56"/>
    <n v="0.15"/>
    <n v="13802.13"/>
    <n v="10075.93"/>
    <n v="3726.2"/>
    <x v="0"/>
    <x v="0"/>
    <m/>
    <s v="ORD-2025-10528"/>
    <s v="01-10-25"/>
    <s v="05-10-25"/>
    <s v="CUST-3419"/>
    <s v="Aditi Sen"/>
    <s v="Home Office"/>
    <s v="North"/>
    <s v="Haryana"/>
    <s v="Gurugram"/>
    <s v="Office Supplies"/>
    <s v="Paper"/>
    <s v="Basic Paper 388"/>
    <s v="First Class"/>
    <s v="anomaly"/>
    <n v="4"/>
    <n v="0.15"/>
    <x v="508"/>
    <x v="508"/>
    <n v="0.26997282303528508"/>
    <s v="01-10-25"/>
    <s v="05-10-25"/>
    <s v="October"/>
    <s v="2025"/>
    <s v=" "/>
    <n v="4"/>
    <s v="Unique"/>
  </r>
  <r>
    <s v="ORD-2024-10529"/>
    <s v="2024-10-07"/>
    <s v="09-10-2024"/>
    <s v="CUST-2390"/>
    <s v="Diya Patel"/>
    <s v="Consumer"/>
    <x v="2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x v="2"/>
    <x v="2"/>
    <m/>
    <s v="ORD-2024-10529"/>
    <s v="07-10-24"/>
    <s v="09-10-24"/>
    <s v="CUST-2390"/>
    <s v="Diya Patel"/>
    <s v="Consumer"/>
    <s v="South"/>
    <s v="Tamil Nadu"/>
    <s v="Chennai"/>
    <s v="Office Supplies"/>
    <s v="Binders"/>
    <s v="Eco Binders 855"/>
    <s v="Standard Class"/>
    <s v="anomaly"/>
    <n v="2"/>
    <n v="0.05"/>
    <x v="509"/>
    <x v="509"/>
    <n v="0.27931376013281223"/>
    <s v="07-10-24"/>
    <s v="09-10-24"/>
    <s v="October"/>
    <s v="2024"/>
    <s v=" "/>
    <n v="2"/>
    <s v="Unique"/>
  </r>
  <r>
    <s v="ORD-2024-10530"/>
    <s v="2024-02-06"/>
    <s v="2024-02-08"/>
    <s v="CUST-3362"/>
    <s v="Karan Malhotra"/>
    <s v="Consumer"/>
    <x v="1"/>
    <s v="Jharkhand"/>
    <s v="Ranchi"/>
    <s v="Furniture"/>
    <s v="Bookcases"/>
    <s v="Classic Bookcases 947"/>
    <s v="Second Class"/>
    <n v="9"/>
    <n v="1822.25"/>
    <n v="0"/>
    <n v="16400.25"/>
    <n v="12146.96"/>
    <n v="4253.29"/>
    <x v="0"/>
    <x v="0"/>
    <m/>
    <s v="ORD-2024-10530"/>
    <s v="06-02-24"/>
    <s v="08-02-24"/>
    <s v="CUST-3362"/>
    <s v="Karan Malhotra"/>
    <s v="Consumer"/>
    <s v="East"/>
    <s v="Jharkhand"/>
    <s v="Ranchi"/>
    <s v="Furniture"/>
    <s v="Bookcases"/>
    <s v="Classic Bookcases 947"/>
    <s v="Second Class"/>
    <s v="anomaly"/>
    <n v="2"/>
    <n v="0"/>
    <x v="510"/>
    <x v="510"/>
    <n v="0.25934299782015524"/>
    <s v="06-02-24"/>
    <s v="08-02-24"/>
    <s v="February"/>
    <s v="2024"/>
    <s v=" "/>
    <n v="2"/>
    <s v="Unique"/>
  </r>
  <r>
    <s v="ORD-2025-10531"/>
    <s v="05/30/2025"/>
    <s v="2025-06-01"/>
    <s v="CUST-8177"/>
    <s v="Rahul Verma"/>
    <s v="Home Office"/>
    <x v="2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x v="0"/>
    <x v="0"/>
    <m/>
    <s v="ORD-2025-10531"/>
    <s v="invalid date"/>
    <s v="01-06-25"/>
    <s v="CUST-8177"/>
    <s v="Rahul Verma"/>
    <s v="Home Office"/>
    <s v="South"/>
    <s v="Tamil Nadu"/>
    <s v="Chennai"/>
    <s v="Office Supplies"/>
    <s v="Binders"/>
    <s v="Eco Binders 352"/>
    <s v="Standard Class"/>
    <s v="Invalid"/>
    <s v="invalid date"/>
    <n v="0.05"/>
    <x v="511"/>
    <x v="511"/>
    <n v="0.37006146198801093"/>
    <s v="invalid date"/>
    <s v="01-06-25"/>
    <s v="invalid date"/>
    <s v="invalid date"/>
    <s v="Invalid"/>
    <s v="invalid date"/>
    <s v="Unique"/>
  </r>
  <r>
    <s v="ORD-2024-10532"/>
    <s v="01 Aug 2024"/>
    <s v="08-08-2024"/>
    <s v="CUST-6357"/>
    <s v="Diya Patel"/>
    <s v="Small Business"/>
    <x v="3"/>
    <s v="Maharashtra"/>
    <s v="Mumbai"/>
    <s v="Office Supplies"/>
    <s v="Storage"/>
    <s v="Pro Storage 364"/>
    <m/>
    <n v="1"/>
    <n v="442.97"/>
    <n v="0.1"/>
    <n v="398.67"/>
    <n v="311.66000000000003"/>
    <n v="87.01"/>
    <x v="0"/>
    <x v="0"/>
    <m/>
    <s v="ORD-2024-10532"/>
    <s v="01-08-24"/>
    <s v="08-08-24"/>
    <s v="CUST-6357"/>
    <s v="Diya Patel"/>
    <s v="Small Business"/>
    <s v="West"/>
    <s v="Maharashtra"/>
    <s v="Mumbai"/>
    <s v="Office Supplies"/>
    <s v="Storage"/>
    <s v="Pro Storage 364"/>
    <s v="unknown"/>
    <s v="anomaly"/>
    <n v="7"/>
    <n v="0.1"/>
    <x v="512"/>
    <x v="512"/>
    <n v="0.21825656615822997"/>
    <s v="01-08-24"/>
    <s v="08-08-24"/>
    <s v="August"/>
    <s v="2024"/>
    <s v=" "/>
    <n v="7"/>
    <s v="Unique"/>
  </r>
  <r>
    <s v="ORD-2025-10533"/>
    <s v="2025-10-05"/>
    <s v="2025-10-10"/>
    <s v="CUST-7690"/>
    <s v="Priya Menon"/>
    <s v="Corporate"/>
    <x v="1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x v="3"/>
    <x v="1"/>
    <m/>
    <s v="ORD-2025-10533"/>
    <s v="05-10-25"/>
    <s v="10-10-25"/>
    <s v="CUST-7690"/>
    <s v="Priya Menon"/>
    <s v="Corporate"/>
    <s v="East"/>
    <s v="Assam"/>
    <s v="Guwahati"/>
    <s v="Furniture"/>
    <s v="Tables"/>
    <s v="Classic Tables 213"/>
    <s v="Second Class"/>
    <s v="anomaly"/>
    <n v="5"/>
    <n v="0.05"/>
    <x v="513"/>
    <x v="513"/>
    <n v="0.44619143488182017"/>
    <s v="05-10-25"/>
    <s v="10-10-25"/>
    <s v="October"/>
    <s v="2025"/>
    <s v=" "/>
    <n v="5"/>
    <s v="Unique"/>
  </r>
  <r>
    <s v="ORD-2024-10534"/>
    <s v="25 Aug 2024"/>
    <s v="2024-09-01"/>
    <s v="CUST-4487"/>
    <s v="Isha Nair"/>
    <s v="Home Office"/>
    <x v="0"/>
    <s v="Rajasthan"/>
    <s v="Jaipur"/>
    <s v="Furniture"/>
    <s v="Tables"/>
    <s v="Smart Tables 659"/>
    <s v="Same Day"/>
    <n v="6"/>
    <n v="481.3"/>
    <n v="0.25"/>
    <n v="2165.85"/>
    <n v="2124.48"/>
    <n v="430.45"/>
    <x v="0"/>
    <x v="0"/>
    <m/>
    <s v="ORD-2024-10534"/>
    <s v="25-08-24"/>
    <s v="01-09-24"/>
    <s v="CUST-4487"/>
    <s v="Isha Nair"/>
    <s v="Home Office"/>
    <s v="North"/>
    <s v="Rajasthan"/>
    <s v="Jaipur"/>
    <s v="Furniture"/>
    <s v="Tables"/>
    <s v="Smart Tables 659"/>
    <s v="Same Day"/>
    <s v="  "/>
    <n v="7"/>
    <n v="0.25"/>
    <x v="514"/>
    <x v="514"/>
    <n v="1.91010457787937E-2"/>
    <s v="25-08-24"/>
    <s v="01-09-24"/>
    <s v="August"/>
    <s v="2024"/>
    <s v="anomaly"/>
    <n v="7"/>
    <s v="Unique"/>
  </r>
  <r>
    <s v="ORD-2025-10535"/>
    <s v="04/27/2025"/>
    <s v="2025-05-05"/>
    <s v="CUST-8204"/>
    <s v="Rohan Mehta"/>
    <s v="Home Office"/>
    <x v="1"/>
    <s v="Bihar"/>
    <s v="Patna"/>
    <s v="Technology"/>
    <s v="Accessories"/>
    <s v="Classic Accessories 325"/>
    <s v="Second Class"/>
    <n v="4"/>
    <n v="3963.39"/>
    <n v="0.1"/>
    <n v="14268.2"/>
    <n v="11705.3"/>
    <n v="2562.9"/>
    <x v="2"/>
    <x v="2"/>
    <m/>
    <s v="ORD-2025-10535"/>
    <s v="invalid date"/>
    <s v="05-05-25"/>
    <s v="CUST-8204"/>
    <s v="Rohan Mehta"/>
    <s v="Home Office"/>
    <s v="East"/>
    <s v="Bihar"/>
    <s v="Patna"/>
    <s v="Technology"/>
    <s v="Accessories"/>
    <s v="Classic Accessories 325"/>
    <s v="Second Class"/>
    <s v="Invalid"/>
    <s v="invalid date"/>
    <n v="0.1"/>
    <x v="515"/>
    <x v="515"/>
    <n v="0.17962344805274724"/>
    <s v="invalid date"/>
    <s v="05-05-25"/>
    <s v="invalid date"/>
    <s v="invalid date"/>
    <s v="Invalid"/>
    <s v="invalid date"/>
    <s v="Unique"/>
  </r>
  <r>
    <s v="ORD-2024-10536"/>
    <s v="19-05-2024"/>
    <s v="21 May 2024"/>
    <s v="CUST-1729"/>
    <s v="Diya Patel"/>
    <s v="Small Business"/>
    <x v="3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x v="0"/>
    <x v="0"/>
    <m/>
    <s v="ORD-2024-10536"/>
    <s v="19-05-24"/>
    <s v="21-05-24"/>
    <s v="CUST-1729"/>
    <s v="Diya Patel"/>
    <s v="Small Business"/>
    <s v="West"/>
    <s v="Maharashtra"/>
    <s v="Mumbai"/>
    <s v="Technology"/>
    <s v="Copiers"/>
    <s v="Eco Copiers 243"/>
    <s v="First Class"/>
    <s v="anomaly"/>
    <n v="2"/>
    <n v="0.2"/>
    <x v="516"/>
    <x v="516"/>
    <n v="0.23064994909580494"/>
    <s v="19-05-24"/>
    <s v="21-05-24"/>
    <s v="May"/>
    <s v="2024"/>
    <s v=" "/>
    <n v="2"/>
    <s v="Unique"/>
  </r>
  <r>
    <s v="ORD-2025-10537"/>
    <s v="2025-04-10"/>
    <s v="2025-04-17"/>
    <s v="CUST-4269"/>
    <s v="Ananya Rao"/>
    <s v="Small Business"/>
    <x v="3"/>
    <s v="Rajasthan"/>
    <s v="Udaipur"/>
    <s v="Furniture"/>
    <s v="Chairs"/>
    <s v="Elite Chairs 777"/>
    <s v="First Class"/>
    <n v="7"/>
    <n v="3788.9"/>
    <n v="0.25"/>
    <n v="19891.72"/>
    <n v="12295.76"/>
    <n v="7595.96"/>
    <x v="3"/>
    <x v="1"/>
    <m/>
    <s v="ORD-2025-10537"/>
    <s v="10-04-25"/>
    <s v="17-04-25"/>
    <s v="CUST-4269"/>
    <s v="Ananya Rao"/>
    <s v="Small Business"/>
    <s v="West"/>
    <s v="Rajasthan"/>
    <s v="Udaipur"/>
    <s v="Furniture"/>
    <s v="Chairs"/>
    <s v="Elite Chairs 777"/>
    <s v="First Class"/>
    <s v="anomaly"/>
    <n v="7"/>
    <n v="0.25"/>
    <x v="517"/>
    <x v="517"/>
    <n v="0.38186557475533162"/>
    <s v="10-04-25"/>
    <s v="17-04-25"/>
    <s v="April"/>
    <s v="2025"/>
    <s v=" "/>
    <n v="7"/>
    <s v="Unique"/>
  </r>
  <r>
    <s v="ORD-2024-10538"/>
    <s v="2024-01-22"/>
    <s v="2024-01-30"/>
    <s v="CUST-1370"/>
    <s v="Ananya Rao"/>
    <s v="Small Business"/>
    <x v="0"/>
    <s v="Haryana"/>
    <s v="Gurugram"/>
    <s v="Office Supplies"/>
    <s v="Art"/>
    <s v="Classic Art 772"/>
    <s v="Same Day"/>
    <n v="3"/>
    <n v="676.37"/>
    <n v="0.05"/>
    <n v="1927.65"/>
    <n v="1460.6"/>
    <n v="467.05"/>
    <x v="3"/>
    <x v="1"/>
    <m/>
    <s v="ORD-2024-10538"/>
    <s v="22-01-24"/>
    <s v="30-01-24"/>
    <s v="CUST-1370"/>
    <s v="Ananya Rao"/>
    <s v="Small Business"/>
    <s v="North"/>
    <s v="Haryana"/>
    <s v="Gurugram"/>
    <s v="Office Supplies"/>
    <s v="Art"/>
    <s v="Classic Art 772"/>
    <s v="Same Day"/>
    <s v="anomaly"/>
    <n v="8"/>
    <n v="0.05"/>
    <x v="518"/>
    <x v="518"/>
    <n v="0.24229160360427668"/>
    <s v="22-01-24"/>
    <s v="30-01-24"/>
    <s v="January"/>
    <s v="2024"/>
    <s v=" "/>
    <n v="8"/>
    <s v="Unique"/>
  </r>
  <r>
    <s v="ORD-2024-10539"/>
    <s v="25-09-2024"/>
    <s v="01-10-2024"/>
    <s v="CUST-5381"/>
    <s v="Diya Patel"/>
    <s v="Small Business"/>
    <x v="1"/>
    <s v="Jharkhand"/>
    <s v="Ranchi"/>
    <s v="Furniture"/>
    <s v="Tables"/>
    <s v="Elite Tables 888"/>
    <s v="Second Class"/>
    <n v="9"/>
    <n v="3908.6"/>
    <n v="0.15"/>
    <n v="29900.79"/>
    <n v="24650.67"/>
    <n v="5250.12"/>
    <x v="0"/>
    <x v="0"/>
    <m/>
    <s v="ORD-2024-10539"/>
    <s v="25-09-24"/>
    <s v="01-10-24"/>
    <s v="CUST-5381"/>
    <s v="Diya Patel"/>
    <s v="Small Business"/>
    <s v="East"/>
    <s v="Jharkhand"/>
    <s v="Ranchi"/>
    <s v="Furniture"/>
    <s v="Tables"/>
    <s v="Elite Tables 888"/>
    <s v="Second Class"/>
    <s v="  "/>
    <n v="6"/>
    <n v="0.15"/>
    <x v="519"/>
    <x v="519"/>
    <n v="0.17558465846554563"/>
    <s v="25-09-24"/>
    <s v="01-10-24"/>
    <s v="September"/>
    <s v="2024"/>
    <s v="anomaly"/>
    <n v="6"/>
    <s v="Unique"/>
  </r>
  <r>
    <s v="ORD-2025-10540"/>
    <s v="07/04/2025"/>
    <s v="2025-07-04"/>
    <s v="CUST-3694"/>
    <s v="Mira Das"/>
    <s v="Small Business"/>
    <x v="2"/>
    <s v="Tamil Nadu"/>
    <s v="Chennai"/>
    <s v="Furniture"/>
    <s v="Chairs"/>
    <s v="Classic Chairs 666"/>
    <s v="Standard Class"/>
    <n v="3"/>
    <n v="705.35"/>
    <n v="0.1"/>
    <n v="1904.45"/>
    <n v="1316.54"/>
    <n v="587.91"/>
    <x v="0"/>
    <x v="1"/>
    <m/>
    <s v="ORD-2025-10540"/>
    <s v="07-04-25"/>
    <s v="04-07-25"/>
    <s v="CUST-3694"/>
    <s v="Mira Das"/>
    <s v="Small Business"/>
    <s v="South"/>
    <s v="Tamil Nadu"/>
    <s v="Chennai"/>
    <s v="Furniture"/>
    <s v="Chairs"/>
    <s v="Classic Chairs 666"/>
    <s v="Standard Class"/>
    <s v="  "/>
    <n v="88"/>
    <n v="0.1"/>
    <x v="520"/>
    <x v="520"/>
    <n v="0.30870148520960183"/>
    <s v="07-04-25"/>
    <s v="04-07-25"/>
    <s v="April"/>
    <s v="2025"/>
    <s v="anomaly"/>
    <n v="88"/>
    <s v="Unique"/>
  </r>
  <r>
    <s v="ORD-2024-10541"/>
    <s v="26-02-2024"/>
    <s v="23 Feb 2024"/>
    <s v="CUST-7563"/>
    <s v="Kabir Singh"/>
    <s v="Consumer"/>
    <x v="3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x v="0"/>
    <x v="0"/>
    <m/>
    <s v="ORD-2024-10541"/>
    <s v="26-02-24"/>
    <s v="23-02-24"/>
    <s v="CUST-7563"/>
    <s v="Kabir Singh"/>
    <s v="Consumer"/>
    <s v="West"/>
    <s v="Gujarat"/>
    <s v="Ahmedabad"/>
    <s v="Furniture"/>
    <s v="Furnishings"/>
    <s v="Basic Furnishings 350"/>
    <s v="Standard Class"/>
    <s v="  "/>
    <n v="-3"/>
    <n v="0.2"/>
    <x v="521"/>
    <x v="521"/>
    <n v="0.20645309813017063"/>
    <s v="26-02-24"/>
    <s v="23-02-24"/>
    <s v="February"/>
    <s v="2024"/>
    <s v="anomaly"/>
    <n v="-3"/>
    <s v="Unique"/>
  </r>
  <r>
    <s v="ORD-2025-10542"/>
    <s v="08-07-2025"/>
    <s v="2025-07-09"/>
    <s v="CUST-4188"/>
    <s v="Sneha Kapoor"/>
    <s v="Consumer"/>
    <x v="3"/>
    <s v="Maharashtra"/>
    <s v="Mumbai"/>
    <s v="Technology"/>
    <s v="Copiers"/>
    <s v="Elite Copiers 831"/>
    <s v="Same Day"/>
    <n v="3"/>
    <n v="2880.56"/>
    <n v="0"/>
    <n v="8641.68"/>
    <n v="5747.09"/>
    <n v="2894.59"/>
    <x v="0"/>
    <x v="2"/>
    <m/>
    <s v="ORD-2025-10542"/>
    <s v="08-07-25"/>
    <s v="09-07-25"/>
    <s v="CUST-4188"/>
    <s v="Sneha Kapoor"/>
    <s v="Consumer"/>
    <s v="West"/>
    <s v="Maharashtra"/>
    <s v="Mumbai"/>
    <s v="Technology"/>
    <s v="Copiers"/>
    <s v="Elite Copiers 831"/>
    <s v="Same Day"/>
    <s v="anomaly"/>
    <n v="1"/>
    <n v="0"/>
    <x v="522"/>
    <x v="522"/>
    <n v="0.33495686024013849"/>
    <s v="08-07-25"/>
    <s v="09-07-25"/>
    <s v="July"/>
    <s v="2025"/>
    <s v=" "/>
    <n v="1"/>
    <s v="Unique"/>
  </r>
  <r>
    <s v="ORD-2024-10543"/>
    <s v="09/17/2024"/>
    <s v="2024-09-23"/>
    <s v="CUST-9376"/>
    <s v="Rahul Verma"/>
    <s v="Home Office"/>
    <x v="2"/>
    <s v="Kerala"/>
    <s v="Kochi"/>
    <s v="Furniture"/>
    <s v="Bookcases"/>
    <s v="Eco Bookcases 759"/>
    <s v="Second Class"/>
    <n v="3"/>
    <n v="4067.62"/>
    <n v="0.2"/>
    <n v="9988.5300000000007"/>
    <n v="8368.24"/>
    <n v="1394.05"/>
    <x v="0"/>
    <x v="1"/>
    <m/>
    <s v="ORD-2024-10543"/>
    <s v="invalid date"/>
    <s v="23-09-24"/>
    <s v="CUST-9376"/>
    <s v="Rahul Verma"/>
    <s v="Home Office"/>
    <s v="South"/>
    <s v="Kerala"/>
    <s v="Kochi"/>
    <s v="Furniture"/>
    <s v="Bookcases"/>
    <s v="Eco Bookcases 759"/>
    <s v="Second Class"/>
    <s v="Invalid"/>
    <s v="invalid date"/>
    <n v="0.2"/>
    <x v="523"/>
    <x v="523"/>
    <n v="0.14279931098119628"/>
    <s v="invalid date"/>
    <s v="23-09-24"/>
    <s v="invalid date"/>
    <s v="invalid date"/>
    <s v="Invalid"/>
    <s v="invalid date"/>
    <s v="Unique"/>
  </r>
  <r>
    <s v="ORD-2024-10544"/>
    <s v="2024-07-14"/>
    <s v="20-07-2024"/>
    <s v="CUST-9094"/>
    <s v="Mira Das"/>
    <s v="Consumer"/>
    <x v="1"/>
    <s v="Bihar"/>
    <s v="Patna"/>
    <s v="Technology"/>
    <s v="Copiers"/>
    <s v="Max Copiers 440"/>
    <s v="Same Day"/>
    <n v="1"/>
    <n v="492.67"/>
    <n v="0.15"/>
    <n v="418.77"/>
    <n v="313.72000000000003"/>
    <n v="105.05"/>
    <x v="0"/>
    <x v="0"/>
    <m/>
    <s v="ORD-2024-10544"/>
    <s v="14-07-24"/>
    <s v="20-07-24"/>
    <s v="CUST-9094"/>
    <s v="Mira Das"/>
    <s v="Consumer"/>
    <s v="East"/>
    <s v="Bihar"/>
    <s v="Patna"/>
    <s v="Technology"/>
    <s v="Copiers"/>
    <s v="Max Copiers 440"/>
    <s v="Same Day"/>
    <s v="anomaly"/>
    <n v="6"/>
    <n v="0.15"/>
    <x v="524"/>
    <x v="524"/>
    <n v="0.25085279610859906"/>
    <s v="14-07-24"/>
    <s v="20-07-24"/>
    <s v="July"/>
    <s v="2024"/>
    <s v=" "/>
    <n v="6"/>
    <s v="Unique"/>
  </r>
  <r>
    <s v="ORD-2025-10545"/>
    <s v="2025-01-29"/>
    <s v="02/05/2025"/>
    <s v="CUST-2366"/>
    <s v="Ananya Rao"/>
    <s v="Consumer"/>
    <x v="2"/>
    <s v="Kerala"/>
    <s v="Kochi"/>
    <s v="Office Supplies"/>
    <s v="Art"/>
    <s v="Smart Art 201"/>
    <s v="Same Day"/>
    <n v="8"/>
    <n v="3643.62"/>
    <n v="0.25"/>
    <n v="21861.72"/>
    <n v="18464.34"/>
    <n v="3397.38"/>
    <x v="0"/>
    <x v="1"/>
    <m/>
    <s v="ORD-2025-10545"/>
    <s v="29-01-25"/>
    <s v="02-05-25"/>
    <s v="CUST-2366"/>
    <s v="Ananya Rao"/>
    <s v="Consumer"/>
    <s v="South"/>
    <s v="Kerala"/>
    <s v="Kochi"/>
    <s v="Office Supplies"/>
    <s v="Art"/>
    <s v="Smart Art 201"/>
    <s v="Same Day"/>
    <s v="  "/>
    <n v="93"/>
    <n v="0.25"/>
    <x v="525"/>
    <x v="525"/>
    <n v="0.1554031430280875"/>
    <s v="29-01-25"/>
    <s v="02-05-25"/>
    <s v="January"/>
    <s v="2025"/>
    <s v="anomaly"/>
    <n v="93"/>
    <s v="Unique"/>
  </r>
  <r>
    <s v="ORD-2024-10546"/>
    <s v="05/27/2024"/>
    <s v="30 May 2024"/>
    <s v="CUST-7168"/>
    <s v="Kabir Singh"/>
    <s v="Small Business"/>
    <x v="1"/>
    <s v="Jharkhand"/>
    <s v="Ranchi"/>
    <s v="Office Supplies"/>
    <s v="Storage"/>
    <s v="Classic Storage 755"/>
    <s v="Same Day"/>
    <n v="7"/>
    <n v="2900.86"/>
    <n v="0.15"/>
    <n v="17260.12"/>
    <n v="13513.51"/>
    <n v="3746.61"/>
    <x v="0"/>
    <x v="0"/>
    <m/>
    <s v="ORD-2024-10546"/>
    <s v="invalid date"/>
    <s v="30-05-24"/>
    <s v="CUST-7168"/>
    <s v="Kabir Singh"/>
    <s v="Small Business"/>
    <s v="East"/>
    <s v="Jharkhand"/>
    <s v="Ranchi"/>
    <s v="Office Supplies"/>
    <s v="Storage"/>
    <s v="Classic Storage 755"/>
    <s v="Same Day"/>
    <s v="Invalid"/>
    <s v="invalid date"/>
    <n v="0.15"/>
    <x v="526"/>
    <x v="526"/>
    <n v="0.21706730029697935"/>
    <s v="invalid date"/>
    <s v="30-05-24"/>
    <s v="invalid date"/>
    <s v="invalid date"/>
    <s v="Invalid"/>
    <s v="invalid date"/>
    <s v="Unique"/>
  </r>
  <r>
    <s v="ORD-2025-10547"/>
    <s v="2025-08-14"/>
    <s v="22 Aug 2025"/>
    <s v="CUST-8157"/>
    <s v="Arjun Bose"/>
    <s v="Corporate"/>
    <x v="3"/>
    <s v="Gujarat"/>
    <s v="Ahmedabad"/>
    <s v="Office Supplies"/>
    <s v="Paper"/>
    <s v="Prime Paper 143"/>
    <s v="First Class"/>
    <n v="5"/>
    <n v="2567.37"/>
    <n v="0.15"/>
    <n v="10911.32"/>
    <n v="6966.44"/>
    <n v="4395.17"/>
    <x v="0"/>
    <x v="0"/>
    <m/>
    <s v="ORD-2025-10547"/>
    <s v="14-08-25"/>
    <s v="22-08-25"/>
    <s v="CUST-8157"/>
    <s v="Arjun Bose"/>
    <s v="Corporate"/>
    <s v="West"/>
    <s v="Gujarat"/>
    <s v="Ahmedabad"/>
    <s v="Office Supplies"/>
    <s v="Paper"/>
    <s v="Prime Paper 143"/>
    <s v="First Class"/>
    <s v="anomaly"/>
    <n v="8"/>
    <n v="0.15"/>
    <x v="527"/>
    <x v="527"/>
    <n v="0.36154027158486052"/>
    <s v="14-08-25"/>
    <s v="22-08-25"/>
    <s v="August"/>
    <s v="2025"/>
    <s v=" "/>
    <n v="8"/>
    <s v="Unique"/>
  </r>
  <r>
    <s v="ORD-2024-10548"/>
    <s v="16 May 2024"/>
    <s v="23 May 2024"/>
    <s v="CUST-9146"/>
    <s v="Neha Gupta"/>
    <s v="Small Business"/>
    <x v="0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x v="0"/>
    <x v="0"/>
    <m/>
    <s v="ORD-2024-10548"/>
    <s v="16-05-24"/>
    <s v="23-05-24"/>
    <s v="CUST-9146"/>
    <s v="Neha Gupta"/>
    <s v="Small Business"/>
    <s v="North"/>
    <s v="Uttar Pradesh"/>
    <s v="Noida"/>
    <s v="Technology"/>
    <s v="Copiers"/>
    <s v="Max Copiers 607"/>
    <s v="Standard Class"/>
    <s v="anomaly"/>
    <n v="7"/>
    <n v="0.1"/>
    <x v="528"/>
    <x v="528"/>
    <n v="0.16563968159532302"/>
    <s v="16-05-24"/>
    <s v="23-05-24"/>
    <s v="May"/>
    <s v="2024"/>
    <s v=" "/>
    <n v="7"/>
    <s v="Unique"/>
  </r>
  <r>
    <s v="ORD-2024-10549"/>
    <s v="29 May 2024"/>
    <s v="29-05-2024"/>
    <s v="CUST-5129"/>
    <s v="Rohan Mehta"/>
    <s v="Corporate"/>
    <x v="1"/>
    <s v="Bihar"/>
    <s v="Patna"/>
    <s v="Furniture"/>
    <s v="Bookcases"/>
    <s v="Prime Bookcases 402"/>
    <s v="Same Day"/>
    <n v="1"/>
    <n v="1072.01"/>
    <n v="0"/>
    <n v="1072.01"/>
    <n v="852.62"/>
    <n v="219.39"/>
    <x v="2"/>
    <x v="1"/>
    <m/>
    <s v="ORD-2024-10549"/>
    <s v="29-05-24"/>
    <s v="29-05-24"/>
    <s v="CUST-5129"/>
    <s v="Rohan Mehta"/>
    <s v="Corporate"/>
    <s v="East"/>
    <s v="Bihar"/>
    <s v="Patna"/>
    <s v="Furniture"/>
    <s v="Bookcases"/>
    <s v="Prime Bookcases 402"/>
    <s v="Same Day"/>
    <s v="  "/>
    <n v="0"/>
    <n v="0"/>
    <x v="529"/>
    <x v="529"/>
    <n v="0.20465294167032022"/>
    <s v="29-05-24"/>
    <s v="29-05-24"/>
    <s v="May"/>
    <s v="2024"/>
    <s v=" "/>
    <n v="0"/>
    <s v="Unique"/>
  </r>
  <r>
    <s v="ORD-2025-10550"/>
    <s v="10/11/2025"/>
    <s v="13 Oct 2025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x v="0"/>
    <x v="0"/>
    <m/>
    <s v="ORD-2025-10550"/>
    <s v="10-11-25"/>
    <s v="13-10-25"/>
    <s v="CUST-6028"/>
    <s v="Mira Das"/>
    <s v="Corporate"/>
    <s v="South"/>
    <s v="Telangana"/>
    <s v="Hyderabad"/>
    <s v="Office Supplies"/>
    <s v="Art"/>
    <s v="Pro Art 287"/>
    <s v="Second Class"/>
    <s v="anomaly"/>
    <n v="-28"/>
    <n v="0.1"/>
    <x v="530"/>
    <x v="530"/>
    <n v="0.19464375751652949"/>
    <s v="10-11-25"/>
    <s v="13-10-25"/>
    <s v="November"/>
    <s v="2025"/>
    <s v=" "/>
    <n v="-28"/>
    <s v="Unique"/>
  </r>
  <r>
    <s v="ORD-2024-10551"/>
    <s v="02-08-2024"/>
    <s v="08/10/2024"/>
    <s v="CUST-8687"/>
    <s v="Mira Das"/>
    <s v="Home Office"/>
    <x v="1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x v="0"/>
    <x v="0"/>
    <m/>
    <s v="ORD-2024-10551"/>
    <s v="02-08-24"/>
    <s v="08-10-24"/>
    <s v="CUST-8687"/>
    <s v="Mira Das"/>
    <s v="Home Office"/>
    <s v="East"/>
    <s v="Odisha"/>
    <s v="Bhubaneswar"/>
    <s v="Technology"/>
    <s v="Accessories"/>
    <s v="Max Accessories 591"/>
    <s v="Standard Class"/>
    <s v="anomaly"/>
    <n v="67"/>
    <n v="0.2"/>
    <x v="531"/>
    <x v="531"/>
    <n v="0.33725988820125036"/>
    <s v="02-08-24"/>
    <s v="08-10-24"/>
    <s v="August"/>
    <s v="2024"/>
    <s v=" "/>
    <n v="67"/>
    <s v="Unique"/>
  </r>
  <r>
    <s v="ORD-2024-10552"/>
    <s v="27-02-2024"/>
    <s v="2024-02-27"/>
    <s v="CUST-8172"/>
    <s v="Sneha Kapoor"/>
    <s v="Consumer"/>
    <x v="1"/>
    <s v="Jharkhand"/>
    <s v="Ranchi"/>
    <s v="Furniture"/>
    <s v="Chairs"/>
    <s v="Elite Chairs 314"/>
    <s v="Second Class"/>
    <n v="3"/>
    <n v="3148.09"/>
    <n v="0.15"/>
    <n v="8027.63"/>
    <n v="5496.09"/>
    <n v="2531.54"/>
    <x v="0"/>
    <x v="0"/>
    <m/>
    <s v="ORD-2024-10552"/>
    <s v="27-02-24"/>
    <s v="27-02-24"/>
    <s v="CUST-8172"/>
    <s v="Sneha Kapoor"/>
    <s v="Consumer"/>
    <s v="East"/>
    <s v="Jharkhand"/>
    <s v="Ranchi"/>
    <s v="Furniture"/>
    <s v="Chairs"/>
    <s v="Elite Chairs 314"/>
    <s v="Second Class"/>
    <s v="  "/>
    <n v="0"/>
    <n v="0.15"/>
    <x v="532"/>
    <x v="532"/>
    <n v="0.31535330572991688"/>
    <s v="27-02-24"/>
    <s v="27-02-24"/>
    <s v="February"/>
    <s v="2024"/>
    <s v=" "/>
    <n v="0"/>
    <s v="Unique"/>
  </r>
  <r>
    <s v="ORD-2025-10553"/>
    <s v="24-01-2025"/>
    <s v="30 Jan 2025"/>
    <s v="CUST-8861"/>
    <s v="Ananya Rao"/>
    <s v="Corporate"/>
    <x v="1"/>
    <s v="West Bengal"/>
    <s v="Kolkata"/>
    <s v="Technology"/>
    <s v="Copiers"/>
    <s v="Pro Copiers 246"/>
    <s v="Standard Class"/>
    <n v="8"/>
    <n v="312.52999999999997"/>
    <s v="invalid"/>
    <n v="1875.18"/>
    <n v="1579.17"/>
    <n v="296.01"/>
    <x v="0"/>
    <x v="0"/>
    <m/>
    <s v="ORD-2025-10553"/>
    <s v="24-01-25"/>
    <s v="30-01-25"/>
    <s v="CUST-8861"/>
    <s v="Ananya Rao"/>
    <s v="Corporate"/>
    <s v="East"/>
    <s v="West Bengal"/>
    <s v="Kolkata"/>
    <s v="Technology"/>
    <s v="Copiers"/>
    <s v="Pro Copiers 246"/>
    <s v="Standard Class"/>
    <s v="anomaly"/>
    <n v="6"/>
    <s v="invalid"/>
    <x v="2"/>
    <x v="2"/>
    <s v="NA"/>
    <s v="24-01-25"/>
    <s v="30-01-25"/>
    <s v="January"/>
    <s v="2025"/>
    <s v=" "/>
    <n v="6"/>
    <s v="Unique"/>
  </r>
  <r>
    <s v="ORD-2025-10554"/>
    <s v="04/25/2025"/>
    <s v="2025-04-28"/>
    <s v="CUST-9241"/>
    <s v="Aarav Sharma"/>
    <s v="Small Business"/>
    <x v="3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x v="0"/>
    <x v="0"/>
    <m/>
    <s v="ORD-2025-10554"/>
    <s v="invalid date"/>
    <s v="28-04-25"/>
    <s v="CUST-9241"/>
    <s v="Aarav Sharma"/>
    <s v="Small Business"/>
    <s v="West"/>
    <s v="Gujarat"/>
    <s v="Ahmedabad"/>
    <s v="Office Supplies"/>
    <s v="Storage"/>
    <s v="Pro Storage 128"/>
    <s v="First Class"/>
    <s v="Invalid"/>
    <s v="invalid date"/>
    <n v="0.25"/>
    <x v="533"/>
    <x v="533"/>
    <n v="0.24214239043735769"/>
    <s v="invalid date"/>
    <s v="28-04-25"/>
    <s v="invalid date"/>
    <s v="invalid date"/>
    <s v="Invalid"/>
    <s v="invalid date"/>
    <s v="Unique"/>
  </r>
  <r>
    <s v="ORD-2024-10555"/>
    <s v="2024-10-12"/>
    <s v="17 Oct 2024"/>
    <s v="CUST-2126"/>
    <s v="Arjun Bose"/>
    <s v="Consumer"/>
    <x v="4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x v="0"/>
    <x v="0"/>
    <m/>
    <s v="ORD-2024-10555"/>
    <s v="12-10-24"/>
    <s v="17-10-24"/>
    <s v="CUST-2126"/>
    <s v="Arjun Bose"/>
    <s v="Consumer"/>
    <s v="unknown"/>
    <s v="Jharkhand"/>
    <s v="Ranchi"/>
    <s v="Furniture"/>
    <s v="Furnishings"/>
    <s v="Prime Furnishings 892"/>
    <s v="Standard Class"/>
    <s v="anomaly"/>
    <n v="5"/>
    <n v="0.05"/>
    <x v="534"/>
    <x v="534"/>
    <n v="0.30437897173807732"/>
    <s v="12-10-24"/>
    <s v="17-10-24"/>
    <s v="October"/>
    <s v="2024"/>
    <s v=" "/>
    <n v="5"/>
    <s v="Unique"/>
  </r>
  <r>
    <s v="ORD-2025-10556"/>
    <s v="04-02-2025"/>
    <s v="10 Feb 2025"/>
    <s v="CUST-7513"/>
    <s v="Ananya Rao"/>
    <s v="Small Business"/>
    <x v="2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x v="0"/>
    <x v="0"/>
    <m/>
    <s v="ORD-2025-10556"/>
    <s v="04-02-25"/>
    <s v="10-02-25"/>
    <s v="CUST-7513"/>
    <s v="Ananya Rao"/>
    <s v="Small Business"/>
    <s v="South"/>
    <s v="Telangana"/>
    <s v="Hyderabad"/>
    <s v="Office Supplies"/>
    <s v="Storage"/>
    <s v="Prime Storage 689"/>
    <s v="Standard Class"/>
    <s v="anomaly"/>
    <n v="6"/>
    <n v="0.05"/>
    <x v="535"/>
    <x v="535"/>
    <n v="0.39364665980255581"/>
    <s v="04-02-25"/>
    <s v="10-02-25"/>
    <s v="February"/>
    <s v="2025"/>
    <s v=" "/>
    <n v="6"/>
    <s v="Unique"/>
  </r>
  <r>
    <s v="ORD-2024-10557"/>
    <s v="23 Jun 2024"/>
    <s v="2024-06-29"/>
    <s v="CUST-1992"/>
    <s v="Neha Gupta"/>
    <s v="Consumer"/>
    <x v="0"/>
    <s v="Haryana"/>
    <s v="Gurugram"/>
    <s v="Furniture"/>
    <s v="Tables"/>
    <s v="Classic Tables 769"/>
    <s v="First Class"/>
    <n v="1"/>
    <n v="4426.66"/>
    <n v="0"/>
    <n v="4426.66"/>
    <n v="3035.2"/>
    <n v="1816.23"/>
    <x v="0"/>
    <x v="2"/>
    <m/>
    <s v="ORD-2024-10557"/>
    <s v="23-06-24"/>
    <s v="29-06-24"/>
    <s v="CUST-1992"/>
    <s v="Neha Gupta"/>
    <s v="Consumer"/>
    <s v="North"/>
    <s v="Haryana"/>
    <s v="Gurugram"/>
    <s v="Furniture"/>
    <s v="Tables"/>
    <s v="Classic Tables 769"/>
    <s v="First Class"/>
    <s v="anomaly"/>
    <n v="6"/>
    <n v="0"/>
    <x v="536"/>
    <x v="536"/>
    <n v="0.31433631677156143"/>
    <s v="23-06-24"/>
    <s v="29-06-24"/>
    <s v="June"/>
    <s v="2024"/>
    <s v=" "/>
    <n v="6"/>
    <s v="Unique"/>
  </r>
  <r>
    <s v="ORD-2024-10558"/>
    <s v="2024-05-08"/>
    <s v="14-05-2024"/>
    <s v="CUST-8848"/>
    <s v="Vikram Iyer"/>
    <s v="Home Office"/>
    <x v="0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x v="0"/>
    <x v="1"/>
    <m/>
    <s v="ORD-2024-10558"/>
    <s v="08-05-24"/>
    <s v="14-05-24"/>
    <s v="CUST-8848"/>
    <s v="Vikram Iyer"/>
    <s v="Home Office"/>
    <s v="North"/>
    <s v="Haryana"/>
    <s v="Gurugram"/>
    <s v="Technology"/>
    <s v="Phones"/>
    <s v="Prime Phones 503"/>
    <s v="First Class"/>
    <s v="anomaly"/>
    <n v="6"/>
    <n v="0.05"/>
    <x v="537"/>
    <x v="537"/>
    <n v="0.22518692317074712"/>
    <s v="08-05-24"/>
    <s v="14-05-24"/>
    <s v="May"/>
    <s v="2024"/>
    <s v=" "/>
    <n v="6"/>
    <s v="Unique"/>
  </r>
  <r>
    <s v="ORD-2025-10559"/>
    <s v="2025-09-04"/>
    <s v="09/04/2025"/>
    <s v="CUST-9368"/>
    <s v="Aditi Sen"/>
    <s v="Corporate"/>
    <x v="0"/>
    <s v="Punjab"/>
    <s v="Ludhiana"/>
    <s v="Technology"/>
    <s v="Machines"/>
    <s v="Basic Machines 136"/>
    <s v="First Class"/>
    <n v="8"/>
    <n v="3079.95"/>
    <n v="0.2"/>
    <n v="19711.68"/>
    <n v="14461.8"/>
    <n v="5249.88"/>
    <x v="0"/>
    <x v="0"/>
    <m/>
    <s v="ORD-2025-10559"/>
    <s v="04-09-25"/>
    <s v="09-04-25"/>
    <s v="CUST-9368"/>
    <s v="Aditi Sen"/>
    <s v="Corporate"/>
    <s v="North"/>
    <s v="Punjab"/>
    <s v="Ludhiana"/>
    <s v="Technology"/>
    <s v="Machines"/>
    <s v="Basic Machines 136"/>
    <s v="First Class"/>
    <s v="anomaly"/>
    <n v="-148"/>
    <n v="0.2"/>
    <x v="538"/>
    <x v="538"/>
    <n v="0.26633346320557155"/>
    <s v="04-09-25"/>
    <s v="09-04-25"/>
    <s v="September"/>
    <s v="2025"/>
    <s v=" "/>
    <n v="-148"/>
    <s v="Unique"/>
  </r>
  <r>
    <s v="ORD-2025-10560"/>
    <s v="30 Sep 2025"/>
    <s v="2025-10-07"/>
    <s v="CUST-6797"/>
    <s v="Diya Patel"/>
    <s v="Corporate"/>
    <x v="1"/>
    <s v="Bihar"/>
    <s v="Patna"/>
    <s v="Technology"/>
    <s v="Copiers"/>
    <s v="Basic Copiers 512"/>
    <s v="Second Class"/>
    <n v="5"/>
    <n v="3277.82"/>
    <n v="0.1"/>
    <n v="14750.19"/>
    <n v="9482.58"/>
    <n v="5267.61"/>
    <x v="0"/>
    <x v="2"/>
    <m/>
    <s v="ORD-2025-10560"/>
    <s v="30-09-25"/>
    <s v="07-10-25"/>
    <s v="CUST-6797"/>
    <s v="Diya Patel"/>
    <s v="Corporate"/>
    <s v="East"/>
    <s v="Bihar"/>
    <s v="Patna"/>
    <s v="Technology"/>
    <s v="Copiers"/>
    <s v="Basic Copiers 512"/>
    <s v="Second Class"/>
    <s v="  "/>
    <n v="7"/>
    <n v="0.1"/>
    <x v="539"/>
    <x v="539"/>
    <n v="0.35712150148574368"/>
    <s v="30-09-25"/>
    <s v="07-10-25"/>
    <s v="September"/>
    <s v="2025"/>
    <s v="anomaly"/>
    <n v="7"/>
    <s v="Unique"/>
  </r>
  <r>
    <s v="ORD-2024-10561"/>
    <s v="2024-01-16"/>
    <s v="22-01-2024"/>
    <s v="CUST-9333"/>
    <s v="Arjun Bose"/>
    <s v="Consumer"/>
    <x v="3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x v="0"/>
    <x v="1"/>
    <m/>
    <s v="ORD-2024-10561"/>
    <s v="16-01-24"/>
    <s v="22-01-24"/>
    <s v="CUST-9333"/>
    <s v="Arjun Bose"/>
    <s v="Consumer"/>
    <s v="West"/>
    <s v="Goa"/>
    <s v="Panaji"/>
    <s v="Office Supplies"/>
    <s v="Storage"/>
    <s v="Smart Storage 767"/>
    <s v="Standard Class"/>
    <s v="anomaly"/>
    <n v="6"/>
    <n v="0"/>
    <x v="540"/>
    <x v="540"/>
    <n v="0.249088592361873"/>
    <s v="16-01-24"/>
    <s v="22-01-24"/>
    <s v="January"/>
    <s v="2024"/>
    <s v=" "/>
    <n v="6"/>
    <s v="Unique"/>
  </r>
  <r>
    <s v="ORD-2025-10562"/>
    <s v="2025-07-14"/>
    <s v="18 Jul 2025"/>
    <s v="CUST-6654"/>
    <s v="Aditi Sen"/>
    <s v="Consumer"/>
    <x v="0"/>
    <s v="Punjab"/>
    <s v="Ludhiana"/>
    <s v="Technology"/>
    <s v="Copiers"/>
    <s v="Eco Copiers 954"/>
    <s v="First Class"/>
    <n v="4"/>
    <n v="725.22"/>
    <n v="0"/>
    <n v="2900.88"/>
    <n v="2391.85"/>
    <n v="509.03"/>
    <x v="2"/>
    <x v="2"/>
    <m/>
    <s v="ORD-2025-10562"/>
    <s v="14-07-25"/>
    <s v="18-07-25"/>
    <s v="CUST-6654"/>
    <s v="Aditi Sen"/>
    <s v="Consumer"/>
    <s v="North"/>
    <s v="Punjab"/>
    <s v="Ludhiana"/>
    <s v="Technology"/>
    <s v="Copiers"/>
    <s v="Eco Copiers 954"/>
    <s v="First Class"/>
    <s v="anomaly"/>
    <n v="4"/>
    <n v="0"/>
    <x v="541"/>
    <x v="541"/>
    <n v="0.17547433882132324"/>
    <s v="14-07-25"/>
    <s v="18-07-25"/>
    <s v="July"/>
    <s v="2025"/>
    <s v=" "/>
    <n v="4"/>
    <s v="Unique"/>
  </r>
  <r>
    <s v="ORD-2024-10563"/>
    <s v="10 May 2024"/>
    <s v="16 May 2024"/>
    <s v="CUST-8622"/>
    <s v="Karan Malhotra"/>
    <s v="Consumer"/>
    <x v="0"/>
    <s v="Punjab"/>
    <s v="Ludhiana"/>
    <s v="Office Supplies"/>
    <s v="Binders"/>
    <s v="Elite Binders 143"/>
    <s v="Same Day"/>
    <n v="7"/>
    <n v="121.54"/>
    <n v="0.2"/>
    <n v="680.62"/>
    <n v="463.49"/>
    <n v="217.13"/>
    <x v="3"/>
    <x v="2"/>
    <m/>
    <s v="ORD-2024-10563"/>
    <s v="10-05-24"/>
    <s v="16-05-24"/>
    <s v="CUST-8622"/>
    <s v="Karan Malhotra"/>
    <s v="Consumer"/>
    <s v="North"/>
    <s v="Punjab"/>
    <s v="Ludhiana"/>
    <s v="Office Supplies"/>
    <s v="Binders"/>
    <s v="Elite Binders 143"/>
    <s v="Same Day"/>
    <s v="anomaly"/>
    <n v="6"/>
    <n v="0.2"/>
    <x v="542"/>
    <x v="542"/>
    <n v="0.31902195632243363"/>
    <s v="10-05-24"/>
    <s v="16-05-24"/>
    <s v="May"/>
    <s v="2024"/>
    <s v=" "/>
    <n v="6"/>
    <s v="Unique"/>
  </r>
  <r>
    <s v="ORD-2024-10564"/>
    <s v="05/06/2024"/>
    <s v="12-05-2024"/>
    <s v="CUST-8776"/>
    <s v="Arjun Bose"/>
    <s v="Corporate"/>
    <x v="3"/>
    <s v="Goa"/>
    <s v="Panaji"/>
    <s v="Furniture"/>
    <s v="Tables"/>
    <s v="Classic Tables 560"/>
    <s v="Standard Class"/>
    <n v="9"/>
    <n v="790.97"/>
    <n v="0.2"/>
    <n v="5694.98"/>
    <n v="4618.33"/>
    <n v="1076.6500000000001"/>
    <x v="2"/>
    <x v="1"/>
    <m/>
    <s v="ORD-2024-10564"/>
    <s v="05-06-24"/>
    <s v="12-05-24"/>
    <s v="CUST-8776"/>
    <s v="Arjun Bose"/>
    <s v="Corporate"/>
    <s v="West"/>
    <s v="Goa"/>
    <s v="Panaji"/>
    <s v="Furniture"/>
    <s v="Tables"/>
    <s v="Classic Tables 560"/>
    <s v="Standard Class"/>
    <s v="anomaly"/>
    <n v="-24"/>
    <n v="0.2"/>
    <x v="543"/>
    <x v="543"/>
    <n v="0.1890530333360024"/>
    <s v="05-06-24"/>
    <s v="12-05-24"/>
    <s v="June"/>
    <s v="2024"/>
    <s v=" "/>
    <n v="-24"/>
    <s v="Unique"/>
  </r>
  <r>
    <s v="ORD-2024-10565"/>
    <s v="11/10/2024"/>
    <s v="14-11-2024"/>
    <s v="CUST-9100"/>
    <s v="Sneha Kapoor"/>
    <s v="Corporate"/>
    <x v="2"/>
    <s v="Andhra Pradesh"/>
    <s v="Vijayawada"/>
    <s v="Furniture"/>
    <s v="Tables"/>
    <s v="Basic Tables 759"/>
    <s v="First Class"/>
    <n v="2"/>
    <n v="921.34"/>
    <n v="0.2"/>
    <n v="1474.14"/>
    <n v="968.46"/>
    <n v="505.68"/>
    <x v="0"/>
    <x v="0"/>
    <m/>
    <s v="ORD-2024-10565"/>
    <s v="11-10-24"/>
    <s v="14-11-24"/>
    <s v="CUST-9100"/>
    <s v="Sneha Kapoor"/>
    <s v="Corporate"/>
    <s v="South"/>
    <s v="Andhra Pradesh"/>
    <s v="Vijayawada"/>
    <s v="Furniture"/>
    <s v="Tables"/>
    <s v="Basic Tables 759"/>
    <s v="First Class"/>
    <s v="anomaly"/>
    <n v="34"/>
    <n v="0.2"/>
    <x v="544"/>
    <x v="544"/>
    <n v="0.34303568715132315"/>
    <s v="11-10-24"/>
    <s v="14-11-24"/>
    <s v="October"/>
    <s v="2024"/>
    <s v=" "/>
    <n v="34"/>
    <s v="Unique"/>
  </r>
  <r>
    <s v="ORD-2025-10566"/>
    <s v="07 Aug 2025"/>
    <s v="13-08-2025"/>
    <s v="CUST-5601"/>
    <s v="Mira Das"/>
    <s v="Corporate"/>
    <x v="0"/>
    <s v="Delhi"/>
    <s v="New Delhi"/>
    <s v="Technology"/>
    <s v="Phones"/>
    <s v="Prime Phones 564"/>
    <s v="Standard Class"/>
    <n v="6"/>
    <n v="1921.86"/>
    <n v="0.2"/>
    <n v="9224.93"/>
    <n v="7005.2"/>
    <n v="2219.73"/>
    <x v="1"/>
    <x v="1"/>
    <m/>
    <s v="ORD-2025-10566"/>
    <s v="07-08-25"/>
    <s v="13-08-25"/>
    <s v="CUST-5601"/>
    <s v="Mira Das"/>
    <s v="Corporate"/>
    <s v="North"/>
    <s v="Delhi"/>
    <s v="New Delhi"/>
    <s v="Technology"/>
    <s v="Phones"/>
    <s v="Prime Phones 564"/>
    <s v="Standard Class"/>
    <s v="anomaly"/>
    <n v="6"/>
    <n v="0.2"/>
    <x v="545"/>
    <x v="545"/>
    <n v="0.24062279944081949"/>
    <s v="07-08-25"/>
    <s v="13-08-25"/>
    <s v="August"/>
    <s v="2025"/>
    <s v=" "/>
    <n v="6"/>
    <s v="Unique"/>
  </r>
  <r>
    <s v="ORD-2024-10567"/>
    <s v="11 Aug 2024"/>
    <s v="2024-08-19"/>
    <s v="CUST-5246"/>
    <s v="Sneha Kapoor"/>
    <s v="Small Business"/>
    <x v="3"/>
    <s v="Maharashtra"/>
    <s v="Mumbai"/>
    <s v="Office Supplies"/>
    <s v="Paper"/>
    <s v="Smart Paper 807"/>
    <s v="Same Day"/>
    <n v="2"/>
    <n v="2617.89"/>
    <n v="0.1"/>
    <n v="4712.2"/>
    <n v="3851.91"/>
    <n v="860.29"/>
    <x v="3"/>
    <x v="2"/>
    <m/>
    <s v="ORD-2024-10567"/>
    <s v="11-08-24"/>
    <s v="19-08-24"/>
    <s v="CUST-5246"/>
    <s v="Sneha Kapoor"/>
    <s v="Small Business"/>
    <s v="West"/>
    <s v="Maharashtra"/>
    <s v="Mumbai"/>
    <s v="Office Supplies"/>
    <s v="Paper"/>
    <s v="Smart Paper 807"/>
    <s v="Same Day"/>
    <s v="anomaly"/>
    <n v="8"/>
    <n v="0.1"/>
    <x v="546"/>
    <x v="546"/>
    <n v="0.18256687637754077"/>
    <s v="11-08-24"/>
    <s v="19-08-24"/>
    <s v="August"/>
    <s v="2024"/>
    <s v=" "/>
    <n v="8"/>
    <s v="Unique"/>
  </r>
  <r>
    <s v="ORD-2024-10568"/>
    <s v="06 Feb 2024"/>
    <s v="10-02-2024"/>
    <s v="CUST-3128"/>
    <s v="Arjun Bose"/>
    <s v="Home Office"/>
    <x v="0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x v="0"/>
    <x v="0"/>
    <m/>
    <s v="ORD-2024-10568"/>
    <s v="06-02-24"/>
    <s v="10-02-24"/>
    <s v="CUST-3128"/>
    <s v="Arjun Bose"/>
    <s v="Home Office"/>
    <s v="North"/>
    <s v="Uttar Pradesh"/>
    <s v="Noida"/>
    <s v="Furniture"/>
    <s v="Furnishings"/>
    <s v="Pro Furnishings 108"/>
    <s v="Same Day"/>
    <s v="anomaly"/>
    <n v="4"/>
    <n v="0.05"/>
    <x v="547"/>
    <x v="547"/>
    <n v="0.4393181328939133"/>
    <s v="06-02-24"/>
    <s v="10-02-24"/>
    <s v="February"/>
    <s v="2024"/>
    <s v=" "/>
    <n v="4"/>
    <s v="Unique"/>
  </r>
  <r>
    <s v="ORD-2024-10569"/>
    <s v="21 Jan 2024"/>
    <s v="24 Jan 2024"/>
    <s v="CUST-4604"/>
    <s v="Kabir Singh"/>
    <s v="Corporate"/>
    <x v="0"/>
    <s v="Punjab"/>
    <s v="Ludhiana"/>
    <s v="Technology"/>
    <s v="Machines"/>
    <s v="Classic Machines 522"/>
    <s v="Same Day"/>
    <n v="1"/>
    <n v="3806.3"/>
    <n v="0.25"/>
    <n v="2854.73"/>
    <n v="1968.12"/>
    <n v="886.61"/>
    <x v="0"/>
    <x v="0"/>
    <m/>
    <s v="ORD-2024-10569"/>
    <s v="21-01-24"/>
    <s v="24-01-24"/>
    <s v="CUST-4604"/>
    <s v="Kabir Singh"/>
    <s v="Corporate"/>
    <s v="North"/>
    <s v="Punjab"/>
    <s v="Ludhiana"/>
    <s v="Technology"/>
    <s v="Machines"/>
    <s v="Classic Machines 522"/>
    <s v="Same Day"/>
    <s v="anomaly"/>
    <n v="3"/>
    <n v="0.25"/>
    <x v="548"/>
    <x v="548"/>
    <n v="0.31057457373302172"/>
    <s v="21-01-24"/>
    <s v="24-01-24"/>
    <s v="January"/>
    <s v="2024"/>
    <s v=" "/>
    <n v="3"/>
    <s v="Unique"/>
  </r>
  <r>
    <s v="ORD-2025-10570"/>
    <s v="09/08/2025"/>
    <s v="2025-09-10"/>
    <s v="CUST-2586"/>
    <s v="Rahul Verma"/>
    <s v="Home Office"/>
    <x v="3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x v="1"/>
    <x v="2"/>
    <m/>
    <s v="ORD-2025-10570"/>
    <s v="09-08-25"/>
    <s v="10-09-25"/>
    <s v="CUST-2586"/>
    <s v="Rahul Verma"/>
    <s v="Home Office"/>
    <s v="West"/>
    <s v="Maharashtra"/>
    <s v="Mumbai"/>
    <s v="Furniture"/>
    <s v="Furnishings"/>
    <s v="Elite Furnishings 822"/>
    <s v="Standard Class"/>
    <s v="anomaly"/>
    <n v="32"/>
    <n v="0.25"/>
    <x v="549"/>
    <x v="549"/>
    <n v="0.18618288868998606"/>
    <s v="09-08-25"/>
    <s v="10-09-25"/>
    <s v="August"/>
    <s v="2025"/>
    <s v=" "/>
    <n v="32"/>
    <s v="Unique"/>
  </r>
  <r>
    <s v="ORD-2025-10571"/>
    <s v="2025-08-18"/>
    <s v="08/22/2025"/>
    <s v="CUST-6585"/>
    <s v="Arjun Bose"/>
    <s v="Consumer"/>
    <x v="1"/>
    <s v="Jharkhand"/>
    <s v="Ranchi"/>
    <s v="Furniture"/>
    <s v="Furnishings"/>
    <s v="Max Furnishings 647"/>
    <s v="Second Class"/>
    <n v="3"/>
    <n v="3946.44"/>
    <n v="0.25"/>
    <n v="8879.49"/>
    <n v="6344.57"/>
    <n v="2534.92"/>
    <x v="3"/>
    <x v="2"/>
    <m/>
    <s v="ORD-2025-10571"/>
    <s v="18-08-25"/>
    <s v="invalid date"/>
    <s v="CUST-6585"/>
    <s v="Arjun Bose"/>
    <s v="Consumer"/>
    <s v="East"/>
    <s v="Jharkhand"/>
    <s v="Ranchi"/>
    <s v="Furniture"/>
    <s v="Furnishings"/>
    <s v="Max Furnishings 647"/>
    <s v="Second Class"/>
    <s v="Invalid"/>
    <s v="invalid date"/>
    <n v="0.25"/>
    <x v="550"/>
    <x v="550"/>
    <n v="0.28548035979543873"/>
    <s v="18-08-25"/>
    <s v="invalid date"/>
    <s v="August"/>
    <s v="2025"/>
    <s v="Invalid"/>
    <s v="invalid date"/>
    <s v="Unique"/>
  </r>
  <r>
    <s v="ORD-2025-10572"/>
    <s v="10 Feb 2025"/>
    <s v="2025-02-14"/>
    <s v="CUST-3425"/>
    <s v="Priya Menon"/>
    <s v="Small Business"/>
    <x v="0"/>
    <s v="Uttar Pradesh"/>
    <s v="Noida"/>
    <s v="Technology"/>
    <s v="Phones"/>
    <s v="Prime Phones 895"/>
    <m/>
    <n v="5"/>
    <n v="4276.29"/>
    <n v="0"/>
    <n v="21381.45"/>
    <n v="13240.21"/>
    <n v="8141.24"/>
    <x v="3"/>
    <x v="2"/>
    <m/>
    <s v="ORD-2025-10572"/>
    <s v="10-02-25"/>
    <s v="14-02-25"/>
    <s v="CUST-3425"/>
    <s v="Priya Menon"/>
    <s v="Small Business"/>
    <s v="North"/>
    <s v="Uttar Pradesh"/>
    <s v="Noida"/>
    <s v="Technology"/>
    <s v="Phones"/>
    <s v="Prime Phones 895"/>
    <s v="unknown"/>
    <s v="anomaly"/>
    <n v="4"/>
    <n v="0"/>
    <x v="551"/>
    <x v="551"/>
    <n v="0.38076182859441249"/>
    <s v="10-02-25"/>
    <s v="14-02-25"/>
    <s v="February"/>
    <s v="2025"/>
    <s v=" "/>
    <n v="4"/>
    <s v="Unique"/>
  </r>
  <r>
    <s v="ORD-2024-10573"/>
    <s v="01/02/2024"/>
    <s v="09-01-2024"/>
    <s v="CUST-8633"/>
    <s v="Diya Patel"/>
    <s v="Corporate"/>
    <x v="0"/>
    <s v="Delhi"/>
    <s v="New Delhi"/>
    <s v="Technology"/>
    <s v="Phones"/>
    <s v="Eco Phones 368"/>
    <s v="Standard Class"/>
    <n v="3"/>
    <n v="739.56"/>
    <n v="0.2"/>
    <n v="1774.94"/>
    <n v="1007.4"/>
    <n v="767.54"/>
    <x v="0"/>
    <x v="0"/>
    <m/>
    <s v="ORD-2024-10573"/>
    <s v="01-02-24"/>
    <s v="09-01-24"/>
    <s v="CUST-8633"/>
    <s v="Diya Patel"/>
    <s v="Corporate"/>
    <s v="North"/>
    <s v="Delhi"/>
    <s v="New Delhi"/>
    <s v="Technology"/>
    <s v="Phones"/>
    <s v="Eco Phones 368"/>
    <s v="Standard Class"/>
    <s v="anomaly"/>
    <n v="-23"/>
    <n v="0.2"/>
    <x v="552"/>
    <x v="552"/>
    <n v="0.43243279787982042"/>
    <s v="01-02-24"/>
    <s v="09-01-24"/>
    <s v="February"/>
    <s v="2024"/>
    <s v=" "/>
    <n v="-23"/>
    <s v="Unique"/>
  </r>
  <r>
    <s v="ORD-2025-10574"/>
    <s v="09/22/2025"/>
    <s v="09/26/2025"/>
    <s v="CUST-8243"/>
    <s v="Isha Nair"/>
    <s v="Consumer"/>
    <x v="2"/>
    <s v="Andhra Pradesh"/>
    <s v="Vijayawada"/>
    <s v="Technology"/>
    <s v="Phones"/>
    <s v="Pro Phones 644"/>
    <s v="Standard Class"/>
    <n v="1"/>
    <n v="573.65"/>
    <n v="0"/>
    <n v="573.65"/>
    <n v="322.67"/>
    <n v="250.98"/>
    <x v="0"/>
    <x v="0"/>
    <m/>
    <s v="ORD-2025-10574"/>
    <s v="invalid date"/>
    <s v="invalid date"/>
    <s v="CUST-8243"/>
    <s v="Isha Nair"/>
    <s v="Consumer"/>
    <s v="South"/>
    <s v="Andhra Pradesh"/>
    <s v="Vijayawada"/>
    <s v="Technology"/>
    <s v="Phones"/>
    <s v="Pro Phones 644"/>
    <s v="Standard Class"/>
    <s v="Invalid"/>
    <s v="invalid date"/>
    <n v="0"/>
    <x v="553"/>
    <x v="553"/>
    <n v="0.43751416368866031"/>
    <s v="invalid date"/>
    <s v="invalid date"/>
    <s v="invalid date"/>
    <s v="invalid date"/>
    <s v="Invalid"/>
    <s v="invalid date"/>
    <s v="Unique"/>
  </r>
  <r>
    <s v="ORD-2024-10575"/>
    <s v="20 Feb 2024"/>
    <s v="25-02-2024"/>
    <s v="CUST-9139"/>
    <s v="Diya Patel"/>
    <s v="Home Office"/>
    <x v="0"/>
    <s v="Punjab"/>
    <s v="Ludhiana"/>
    <s v="Technology"/>
    <s v="Machines"/>
    <s v="Smart Machines 566"/>
    <s v="Standard Class"/>
    <n v="4"/>
    <n v="1355.8"/>
    <n v="0"/>
    <n v="5423.2"/>
    <n v="4072.44"/>
    <n v="1350.76"/>
    <x v="0"/>
    <x v="0"/>
    <m/>
    <s v="ORD-2024-10575"/>
    <s v="20-02-24"/>
    <s v="25-02-24"/>
    <s v="CUST-9139"/>
    <s v="Diya Patel"/>
    <s v="Home Office"/>
    <s v="North"/>
    <s v="Punjab"/>
    <s v="Ludhiana"/>
    <s v="Technology"/>
    <s v="Machines"/>
    <s v="Smart Machines 566"/>
    <s v="Standard Class"/>
    <s v="anomaly"/>
    <n v="5"/>
    <n v="0"/>
    <x v="554"/>
    <x v="554"/>
    <n v="0.24907065938929043"/>
    <s v="20-02-24"/>
    <s v="25-02-24"/>
    <s v="February"/>
    <s v="2024"/>
    <s v=" "/>
    <n v="5"/>
    <s v="Unique"/>
  </r>
  <r>
    <s v="ORD-2025-10576"/>
    <s v="11 Mar 2025"/>
    <s v="14 Mar 2025"/>
    <s v="CUST-5496"/>
    <s v="Sneha Kapoor"/>
    <s v="Home Office"/>
    <x v="2"/>
    <s v="Kerala"/>
    <s v="Kochi"/>
    <s v="Furniture"/>
    <s v="Furnishings"/>
    <s v="Elite Furnishings 173"/>
    <s v="Same Day"/>
    <n v="4"/>
    <n v="1244.82"/>
    <n v="0.2"/>
    <n v="3983.42"/>
    <n v="3174.91"/>
    <n v="808.51"/>
    <x v="3"/>
    <x v="2"/>
    <m/>
    <s v="ORD-2025-10576"/>
    <s v="11-03-25"/>
    <s v="14-03-25"/>
    <s v="CUST-5496"/>
    <s v="Sneha Kapoor"/>
    <s v="Home Office"/>
    <s v="South"/>
    <s v="Kerala"/>
    <s v="Kochi"/>
    <s v="Furniture"/>
    <s v="Furnishings"/>
    <s v="Elite Furnishings 173"/>
    <s v="Same Day"/>
    <s v="anomaly"/>
    <n v="3"/>
    <n v="0.2"/>
    <x v="555"/>
    <x v="555"/>
    <n v="0.2029696060474607"/>
    <s v="11-03-25"/>
    <s v="14-03-25"/>
    <s v="March"/>
    <s v="2025"/>
    <s v=" "/>
    <n v="3"/>
    <s v="Unique"/>
  </r>
  <r>
    <s v="ORD-2024-10577"/>
    <s v="17-02-2024"/>
    <s v="02/23/2024"/>
    <s v="CUST-2228"/>
    <s v="Rohan Mehta"/>
    <s v="Home Office"/>
    <x v="4"/>
    <s v="Bihar"/>
    <s v="Patna"/>
    <s v="Office Supplies"/>
    <s v="Binders"/>
    <s v="Smart Binders 417"/>
    <s v="Standard Class"/>
    <n v="9"/>
    <n v="2614.46"/>
    <n v="0"/>
    <n v="23530.14"/>
    <n v="19537.79"/>
    <n v="3992.35"/>
    <x v="1"/>
    <x v="2"/>
    <m/>
    <s v="ORD-2024-10577"/>
    <s v="17-02-24"/>
    <s v="invalid date"/>
    <s v="CUST-2228"/>
    <s v="Rohan Mehta"/>
    <s v="Home Office"/>
    <s v="unknown"/>
    <s v="Bihar"/>
    <s v="Patna"/>
    <s v="Office Supplies"/>
    <s v="Binders"/>
    <s v="Smart Binders 417"/>
    <s v="Standard Class"/>
    <s v="Invalid"/>
    <s v="invalid date"/>
    <n v="0"/>
    <x v="556"/>
    <x v="556"/>
    <n v="0.16966962372514566"/>
    <s v="17-02-24"/>
    <s v="invalid date"/>
    <s v="February"/>
    <s v="2024"/>
    <s v="Invalid"/>
    <s v="invalid date"/>
    <s v="Unique"/>
  </r>
  <r>
    <s v="ORD-2025-10578"/>
    <s v="08/28/2025"/>
    <s v="2025-09-03"/>
    <s v="CUST-4151"/>
    <s v="Priya Menon"/>
    <s v="Corporate"/>
    <x v="3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x v="0"/>
    <x v="0"/>
    <m/>
    <s v="ORD-2025-10578"/>
    <s v="invalid date"/>
    <s v="03-09-25"/>
    <s v="CUST-4151"/>
    <s v="Priya Menon"/>
    <s v="Corporate"/>
    <s v="West"/>
    <s v="Madhya Pradesh"/>
    <s v="Indore"/>
    <s v="Furniture"/>
    <s v="Furnishings"/>
    <s v="Smart Furnishings 714"/>
    <s v="Standard Class"/>
    <s v="Invalid"/>
    <s v="invalid date"/>
    <n v="0"/>
    <x v="557"/>
    <x v="557"/>
    <n v="0.39605672777585599"/>
    <s v="invalid date"/>
    <s v="03-09-25"/>
    <s v="invalid date"/>
    <s v="invalid date"/>
    <s v="Invalid"/>
    <s v="invalid date"/>
    <s v="Unique"/>
  </r>
  <r>
    <s v="ORD-2024-10579"/>
    <s v="2024-02-21"/>
    <s v="23-02-2024"/>
    <s v="CUST-4900"/>
    <s v="Neha Gupta"/>
    <s v="Small Business"/>
    <x v="3"/>
    <s v="Gujarat"/>
    <s v="Ahmedabad"/>
    <s v="Technology"/>
    <s v="Copiers"/>
    <s v="Elite Copiers 682"/>
    <s v="First Class"/>
    <n v="6"/>
    <n v="2633.65"/>
    <n v="0.05"/>
    <n v="15011.81"/>
    <n v="9660.36"/>
    <n v="5351.45"/>
    <x v="0"/>
    <x v="0"/>
    <m/>
    <s v="ORD-2024-10579"/>
    <s v="21-02-24"/>
    <s v="23-02-24"/>
    <s v="CUST-4900"/>
    <s v="Neha Gupta"/>
    <s v="Small Business"/>
    <s v="West"/>
    <s v="Gujarat"/>
    <s v="Ahmedabad"/>
    <s v="Technology"/>
    <s v="Copiers"/>
    <s v="Elite Copiers 682"/>
    <s v="First Class"/>
    <s v="anomaly"/>
    <n v="2"/>
    <n v="0.05"/>
    <x v="558"/>
    <x v="558"/>
    <n v="0.35648244831317749"/>
    <s v="21-02-24"/>
    <s v="23-02-24"/>
    <s v="February"/>
    <s v="2024"/>
    <s v=" "/>
    <n v="2"/>
    <s v="Unique"/>
  </r>
  <r>
    <s v="ORD-2024-10580"/>
    <s v="19-06-2024"/>
    <s v="24 Jun 2024"/>
    <s v="CUST-9617"/>
    <s v="Aarav Sharma"/>
    <s v="Small Business"/>
    <x v="2"/>
    <s v="Tamil Nadu"/>
    <s v="Chennai"/>
    <s v="Office Supplies"/>
    <s v="Storage"/>
    <s v="Pro Storage 482"/>
    <s v="Same Day"/>
    <n v="1"/>
    <n v="3202.41"/>
    <n v="0"/>
    <n v="3202.41"/>
    <n v="2608.44"/>
    <n v="593.97"/>
    <x v="0"/>
    <x v="0"/>
    <m/>
    <s v="ORD-2024-10580"/>
    <s v="19-06-24"/>
    <s v="24-06-24"/>
    <s v="CUST-9617"/>
    <s v="Aarav Sharma"/>
    <s v="Small Business"/>
    <s v="South"/>
    <s v="Tamil Nadu"/>
    <s v="Chennai"/>
    <s v="Office Supplies"/>
    <s v="Storage"/>
    <s v="Pro Storage 482"/>
    <s v="Same Day"/>
    <s v="anomaly"/>
    <n v="5"/>
    <n v="0"/>
    <x v="559"/>
    <x v="559"/>
    <n v="0.18547593843386695"/>
    <s v="19-06-24"/>
    <s v="24-06-24"/>
    <s v="June"/>
    <s v="2024"/>
    <s v=" "/>
    <n v="5"/>
    <s v="Unique"/>
  </r>
  <r>
    <s v="ORD-2025-10581"/>
    <s v="06-03-2025"/>
    <s v="03/13/2025"/>
    <s v="CUST-7958"/>
    <s v="Kabir Singh"/>
    <s v="Consumer"/>
    <x v="2"/>
    <s v="Kerala"/>
    <s v="Kochi"/>
    <s v="Furniture"/>
    <s v="Chairs"/>
    <s v="Pro Chairs 888"/>
    <s v="Standard Class"/>
    <n v="3"/>
    <n v="163.72"/>
    <n v="0.15"/>
    <n v="417.49"/>
    <n v="261.67"/>
    <n v="155.82"/>
    <x v="3"/>
    <x v="2"/>
    <m/>
    <s v="ORD-2025-10581"/>
    <s v="06-03-25"/>
    <s v="invalid date"/>
    <s v="CUST-7958"/>
    <s v="Kabir Singh"/>
    <s v="Consumer"/>
    <s v="South"/>
    <s v="Kerala"/>
    <s v="Kochi"/>
    <s v="Furniture"/>
    <s v="Chairs"/>
    <s v="Pro Chairs 888"/>
    <s v="Standard Class"/>
    <s v="Invalid"/>
    <s v="invalid date"/>
    <n v="0.15"/>
    <x v="560"/>
    <x v="560"/>
    <n v="0.37322449136018926"/>
    <s v="06-03-25"/>
    <s v="invalid date"/>
    <s v="March"/>
    <s v="2025"/>
    <s v="Invalid"/>
    <s v="invalid date"/>
    <s v="Unique"/>
  </r>
  <r>
    <s v="ORD-2025-10582"/>
    <s v="2025-08-09"/>
    <s v="08/10/2025"/>
    <s v="CUST-9931"/>
    <s v="Neha Gupta"/>
    <s v="Consumer"/>
    <x v="0"/>
    <s v="Delhi"/>
    <s v="New Delhi"/>
    <s v="Office Supplies"/>
    <s v="Art"/>
    <s v="Classic Art 611"/>
    <s v="Second Class"/>
    <n v="4"/>
    <n v="4080.95"/>
    <n v="0"/>
    <n v="16323.8"/>
    <n v="9965.7900000000009"/>
    <n v="6358.01"/>
    <x v="1"/>
    <x v="2"/>
    <m/>
    <s v="ORD-2025-10582"/>
    <s v="09-08-25"/>
    <s v="08-10-25"/>
    <s v="CUST-9931"/>
    <s v="Neha Gupta"/>
    <s v="Consumer"/>
    <s v="North"/>
    <s v="Delhi"/>
    <s v="New Delhi"/>
    <s v="Office Supplies"/>
    <s v="Art"/>
    <s v="Classic Art 611"/>
    <s v="Second Class"/>
    <s v="  "/>
    <n v="60"/>
    <n v="0"/>
    <x v="561"/>
    <x v="561"/>
    <n v="0.38949325524693995"/>
    <s v="09-08-25"/>
    <s v="08-10-25"/>
    <s v="August"/>
    <s v="2025"/>
    <s v="anomaly"/>
    <n v="60"/>
    <s v="Unique"/>
  </r>
  <r>
    <s v="ORD-2024-10583"/>
    <s v="2024-10-15"/>
    <s v="10/20/2024"/>
    <s v="CUST-2088"/>
    <s v="Ananya Rao"/>
    <s v="Consumer"/>
    <x v="1"/>
    <s v="Odisha"/>
    <s v="Bhubaneswar"/>
    <s v="Office Supplies"/>
    <s v="Art"/>
    <s v="Basic Art 174"/>
    <s v="First Class"/>
    <n v="5"/>
    <n v="671.24"/>
    <n v="0"/>
    <n v="3356.2"/>
    <n v="2205.7199999999998"/>
    <n v="1150.48"/>
    <x v="2"/>
    <x v="2"/>
    <m/>
    <s v="ORD-2024-10583"/>
    <s v="15-10-24"/>
    <s v="invalid date"/>
    <s v="CUST-2088"/>
    <s v="Ananya Rao"/>
    <s v="Consumer"/>
    <s v="East"/>
    <s v="Odisha"/>
    <s v="Bhubaneswar"/>
    <s v="Office Supplies"/>
    <s v="Art"/>
    <s v="Basic Art 174"/>
    <s v="First Class"/>
    <s v="Invalid"/>
    <s v="invalid date"/>
    <n v="0"/>
    <x v="562"/>
    <x v="562"/>
    <n v="0.34279244383528995"/>
    <s v="15-10-24"/>
    <s v="invalid date"/>
    <s v="October"/>
    <s v="2024"/>
    <s v="Invalid"/>
    <s v="invalid date"/>
    <s v="Unique"/>
  </r>
  <r>
    <s v="ORD-2024-10584"/>
    <s v="28 Feb 2024"/>
    <s v="02/28/2024"/>
    <s v="CUST-1686"/>
    <s v="Rohan Mehta"/>
    <s v="Small Business"/>
    <x v="1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x v="3"/>
    <x v="2"/>
    <m/>
    <s v="ORD-2024-10584"/>
    <s v="28-02-24"/>
    <s v="invalid date"/>
    <s v="CUST-1686"/>
    <s v="Rohan Mehta"/>
    <s v="Small Business"/>
    <s v="East"/>
    <s v="West Bengal"/>
    <s v="Kolkata"/>
    <s v="Office Supplies"/>
    <s v="Storage"/>
    <s v="Classic Storage 451"/>
    <s v="First Class"/>
    <s v="Invalid"/>
    <s v="invalid date"/>
    <n v="0.2"/>
    <x v="563"/>
    <x v="563"/>
    <n v="0.42048716328364127"/>
    <s v="28-02-24"/>
    <s v="invalid date"/>
    <s v="February"/>
    <s v="2024"/>
    <s v="Invalid"/>
    <s v="invalid date"/>
    <s v="Unique"/>
  </r>
  <r>
    <s v="ORD-2024-10585"/>
    <s v="08/04/2024"/>
    <s v="10-08-2024"/>
    <s v="CUST-4894"/>
    <s v="Vikram Iyer"/>
    <s v="Consumer"/>
    <x v="1"/>
    <s v="Bihar"/>
    <s v="Patna"/>
    <s v="Office Supplies"/>
    <s v="Art"/>
    <s v="Pro Art 172"/>
    <s v="Same Day"/>
    <n v="1"/>
    <n v="984.93"/>
    <n v="0.15"/>
    <n v="837.19"/>
    <n v="583.79"/>
    <n v="253.4"/>
    <x v="2"/>
    <x v="2"/>
    <m/>
    <s v="ORD-2024-10585"/>
    <s v="08-04-24"/>
    <s v="10-08-24"/>
    <s v="CUST-4894"/>
    <s v="Vikram Iyer"/>
    <s v="Consumer"/>
    <s v="East"/>
    <s v="Bihar"/>
    <s v="Patna"/>
    <s v="Office Supplies"/>
    <s v="Art"/>
    <s v="Pro Art 172"/>
    <s v="Same Day"/>
    <s v="anomaly"/>
    <n v="124"/>
    <n v="0.15"/>
    <x v="564"/>
    <x v="564"/>
    <n v="0.30267961712417901"/>
    <s v="08-04-24"/>
    <s v="10-08-24"/>
    <s v="April"/>
    <s v="2024"/>
    <s v=" "/>
    <n v="124"/>
    <s v="Unique"/>
  </r>
  <r>
    <s v="ORD-2025-10586"/>
    <s v="22 Jun 2025"/>
    <s v="2025-06-25"/>
    <s v="CUST-5201"/>
    <s v="Diya Patel"/>
    <s v="Small Business"/>
    <x v="3"/>
    <s v="Maharashtra"/>
    <s v="Mumbai"/>
    <s v="Technology"/>
    <s v="Phones"/>
    <s v="Prime Phones 744"/>
    <s v="First Class"/>
    <n v="8"/>
    <n v="3453.66"/>
    <n v="0"/>
    <n v="27629.279999999999"/>
    <n v="22026.48"/>
    <n v="5602.8"/>
    <x v="0"/>
    <x v="0"/>
    <m/>
    <s v="ORD-2025-10586"/>
    <s v="22-06-25"/>
    <s v="25-06-25"/>
    <s v="CUST-5201"/>
    <s v="Diya Patel"/>
    <s v="Small Business"/>
    <s v="West"/>
    <s v="Maharashtra"/>
    <s v="Mumbai"/>
    <s v="Technology"/>
    <s v="Phones"/>
    <s v="Prime Phones 744"/>
    <s v="First Class"/>
    <s v="anomaly"/>
    <n v="3"/>
    <n v="0"/>
    <x v="565"/>
    <x v="565"/>
    <n v="0.20278487170132553"/>
    <s v="22-06-25"/>
    <s v="25-06-25"/>
    <s v="June"/>
    <s v="2025"/>
    <s v=" "/>
    <n v="3"/>
    <s v="Unique"/>
  </r>
  <r>
    <s v="ORD-2025-10587"/>
    <s v="12-04-2025"/>
    <s v="12 Apr 2025"/>
    <s v="CUST-8626"/>
    <s v="Mira Das"/>
    <s v="Home Office"/>
    <x v="0"/>
    <s v="Punjab"/>
    <s v="Ludhiana"/>
    <s v="Office Supplies"/>
    <s v="Binders"/>
    <s v="Prime Binders 249"/>
    <s v="Second Class"/>
    <n v="7"/>
    <n v="1334.2"/>
    <n v="0.2"/>
    <n v="7471.52"/>
    <n v="6184.32"/>
    <n v="1287.2"/>
    <x v="0"/>
    <x v="0"/>
    <m/>
    <s v="ORD-2025-10587"/>
    <s v="12-04-25"/>
    <s v="12-04-25"/>
    <s v="CUST-8626"/>
    <s v="Mira Das"/>
    <s v="Home Office"/>
    <s v="North"/>
    <s v="Punjab"/>
    <s v="Ludhiana"/>
    <s v="Office Supplies"/>
    <s v="Binders"/>
    <s v="Prime Binders 249"/>
    <s v="Second Class"/>
    <s v="  "/>
    <n v="0"/>
    <n v="0.2"/>
    <x v="566"/>
    <x v="566"/>
    <n v="0.17228087457438387"/>
    <s v="12-04-25"/>
    <s v="12-04-25"/>
    <s v="April"/>
    <s v="2025"/>
    <s v=" "/>
    <n v="0"/>
    <s v="Unique"/>
  </r>
  <r>
    <s v="ORD-2025-10588"/>
    <s v="23-07-2025"/>
    <s v="2025-07-31"/>
    <s v="CUST-1013"/>
    <s v="Kabir Singh"/>
    <s v="Home Office"/>
    <x v="3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x v="1"/>
    <x v="1"/>
    <m/>
    <s v="ORD-2025-10588"/>
    <s v="23-07-25"/>
    <s v="31-07-25"/>
    <s v="CUST-1013"/>
    <s v="Kabir Singh"/>
    <s v="Home Office"/>
    <s v="West"/>
    <s v="Madhya Pradesh"/>
    <s v="Indore"/>
    <s v="Technology"/>
    <s v="Accessories"/>
    <s v="Eco Accessories 948"/>
    <s v="First Class"/>
    <s v="anomaly"/>
    <n v="8"/>
    <n v="0.15"/>
    <x v="567"/>
    <x v="567"/>
    <n v="0.18370778623826114"/>
    <s v="23-07-25"/>
    <s v="31-07-25"/>
    <s v="July"/>
    <s v="2025"/>
    <s v=" "/>
    <n v="8"/>
    <s v="Unique"/>
  </r>
  <r>
    <s v="ORD-2025-10589"/>
    <s v="2025-03-11"/>
    <s v="15 Mar 2025"/>
    <s v="CUST-3601"/>
    <s v="Aarav Sharma"/>
    <s v="Home Office"/>
    <x v="2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x v="1"/>
    <x v="1"/>
    <m/>
    <s v="ORD-2025-10589"/>
    <s v="11-03-25"/>
    <s v="15-03-25"/>
    <s v="CUST-3601"/>
    <s v="Aarav Sharma"/>
    <s v="Home Office"/>
    <s v="South"/>
    <s v="Karnataka"/>
    <s v="Bengaluru"/>
    <s v="Technology"/>
    <s v="Accessories"/>
    <s v="Classic Accessories 458"/>
    <s v="Second Class"/>
    <s v="anomaly"/>
    <n v="4"/>
    <n v="0.1"/>
    <x v="568"/>
    <x v="568"/>
    <n v="0.34725383359771933"/>
    <s v="11-03-25"/>
    <s v="15-03-25"/>
    <s v="March"/>
    <s v="2025"/>
    <s v=" "/>
    <n v="4"/>
    <s v="Unique"/>
  </r>
  <r>
    <s v="ORD-2024-10590"/>
    <s v="06 Dec 2024"/>
    <s v="12/12/2024"/>
    <s v="CUST-7846"/>
    <s v="Rohan Mehta"/>
    <s v="Corporate"/>
    <x v="0"/>
    <s v="Uttar Pradesh"/>
    <s v="Noida"/>
    <s v="Technology"/>
    <s v="Phones"/>
    <s v="Max Phones 318"/>
    <s v="First Class"/>
    <n v="3"/>
    <n v="524.75"/>
    <n v="0"/>
    <n v="1574.25"/>
    <n v="1326.12"/>
    <n v="248.13"/>
    <x v="0"/>
    <x v="0"/>
    <m/>
    <s v="ORD-2024-10590"/>
    <s v="06-12-24"/>
    <s v="12-12-24"/>
    <s v="CUST-7846"/>
    <s v="Rohan Mehta"/>
    <s v="Corporate"/>
    <s v="North"/>
    <s v="Uttar Pradesh"/>
    <s v="Noida"/>
    <s v="Technology"/>
    <s v="Phones"/>
    <s v="Max Phones 318"/>
    <s v="First Class"/>
    <s v="anomaly"/>
    <n v="6"/>
    <n v="0"/>
    <x v="569"/>
    <x v="569"/>
    <n v="0.15761791329204389"/>
    <s v="06-12-24"/>
    <s v="12-12-24"/>
    <s v="December"/>
    <s v="2024"/>
    <s v=" "/>
    <n v="6"/>
    <s v="Unique"/>
  </r>
  <r>
    <s v="ORD-2024-10591"/>
    <s v="29-05-2024"/>
    <s v="2024-05-29"/>
    <s v="CUST-3433"/>
    <s v="Aarav Sharma"/>
    <s v="Home Office"/>
    <x v="0"/>
    <s v="Delhi"/>
    <s v="New Delhi"/>
    <s v="Furniture"/>
    <s v="Chairs"/>
    <s v="Elite Chairs 372"/>
    <s v="Same Day"/>
    <n v="6"/>
    <n v="3430.35"/>
    <n v="0"/>
    <n v="20582.099999999999"/>
    <n v="15897.65"/>
    <n v="4684.45"/>
    <x v="2"/>
    <x v="1"/>
    <m/>
    <s v="ORD-2024-10591"/>
    <s v="29-05-24"/>
    <s v="29-05-24"/>
    <s v="CUST-3433"/>
    <s v="Aarav Sharma"/>
    <s v="Home Office"/>
    <s v="North"/>
    <s v="Delhi"/>
    <s v="New Delhi"/>
    <s v="Furniture"/>
    <s v="Chairs"/>
    <s v="Elite Chairs 372"/>
    <s v="Same Day"/>
    <s v="  "/>
    <n v="0"/>
    <n v="0"/>
    <x v="570"/>
    <x v="570"/>
    <n v="0.22759825285077806"/>
    <s v="29-05-24"/>
    <s v="29-05-24"/>
    <s v="May"/>
    <s v="2024"/>
    <s v=" "/>
    <n v="0"/>
    <s v="Unique"/>
  </r>
  <r>
    <s v="ORD-2024-10592"/>
    <s v="2024-02-22"/>
    <s v="24-02-2024"/>
    <s v="CUST-2423"/>
    <s v="Sneha Kapoor"/>
    <s v="Consumer"/>
    <x v="2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x v="3"/>
    <x v="2"/>
    <m/>
    <s v="ORD-2024-10592"/>
    <s v="22-02-24"/>
    <s v="24-02-24"/>
    <s v="CUST-2423"/>
    <s v="Sneha Kapoor"/>
    <s v="Consumer"/>
    <s v="South"/>
    <s v="Karnataka"/>
    <s v="Bengaluru"/>
    <s v="Technology"/>
    <s v="Copiers"/>
    <s v="Eco Copiers 324"/>
    <s v="First Class"/>
    <s v="anomaly"/>
    <n v="2"/>
    <n v="0"/>
    <x v="571"/>
    <x v="571"/>
    <n v="0.43284025560307055"/>
    <s v="22-02-24"/>
    <s v="24-02-24"/>
    <s v="February"/>
    <s v="2024"/>
    <s v=" "/>
    <n v="2"/>
    <s v="Unique"/>
  </r>
  <r>
    <s v="ORD-2024-10593"/>
    <s v="04-03-2024"/>
    <s v="2024-03-09"/>
    <s v="CUST-3559"/>
    <s v="Mira Das"/>
    <s v="Consumer"/>
    <x v="1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x v="0"/>
    <x v="0"/>
    <m/>
    <s v="ORD-2024-10593"/>
    <s v="04-03-24"/>
    <s v="09-03-24"/>
    <s v="CUST-3559"/>
    <s v="Mira Das"/>
    <s v="Consumer"/>
    <s v="East"/>
    <s v="West Bengal"/>
    <s v="Kolkata"/>
    <s v="Technology"/>
    <s v="Accessories"/>
    <s v="Classic Accessories 131"/>
    <s v="Same Day"/>
    <s v="anomaly"/>
    <n v="5"/>
    <n v="0.15"/>
    <x v="572"/>
    <x v="572"/>
    <n v="0.25037290857461858"/>
    <s v="04-03-24"/>
    <s v="09-03-24"/>
    <s v="March"/>
    <s v="2024"/>
    <s v=" "/>
    <n v="5"/>
    <s v="Unique"/>
  </r>
  <r>
    <s v="ORD-2025-10594"/>
    <s v="09/27/2025"/>
    <s v="2025-09-29"/>
    <s v="CUST-2917"/>
    <s v="Arjun Bose"/>
    <s v="Home Office"/>
    <x v="0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x v="0"/>
    <x v="0"/>
    <m/>
    <s v="ORD-2025-10594"/>
    <s v="invalid date"/>
    <s v="29-09-25"/>
    <s v="CUST-2917"/>
    <s v="Arjun Bose"/>
    <s v="Home Office"/>
    <s v="North"/>
    <s v="Uttar Pradesh"/>
    <s v="Noida"/>
    <s v="Furniture"/>
    <s v="Tables"/>
    <s v="Eco Tables 550"/>
    <s v="Second Class"/>
    <s v="Invalid"/>
    <s v="invalid date"/>
    <n v="0.25"/>
    <x v="573"/>
    <x v="573"/>
    <n v="0.4373744444254748"/>
    <s v="invalid date"/>
    <s v="29-09-25"/>
    <s v="invalid date"/>
    <s v="invalid date"/>
    <s v="Invalid"/>
    <s v="invalid date"/>
    <s v="Unique"/>
  </r>
  <r>
    <s v="ORD-2024-10595"/>
    <s v="2024-09-19"/>
    <s v="2024-09-21"/>
    <s v="CUST-6850"/>
    <s v="Karan Malhotra"/>
    <s v="Small Business"/>
    <x v="1"/>
    <s v="West Bengal"/>
    <s v="Kolkata"/>
    <s v="Furniture"/>
    <s v="Chairs"/>
    <s v="Basic Chairs 932"/>
    <s v="First Class"/>
    <n v="3"/>
    <n v="3981.76"/>
    <n v="0"/>
    <n v="11945.28"/>
    <n v="9700.31"/>
    <n v="2244.9699999999998"/>
    <x v="0"/>
    <x v="0"/>
    <m/>
    <s v="ORD-2024-10595"/>
    <s v="19-09-24"/>
    <s v="21-09-24"/>
    <s v="CUST-6850"/>
    <s v="Karan Malhotra"/>
    <s v="Small Business"/>
    <s v="East"/>
    <s v="West Bengal"/>
    <s v="Kolkata"/>
    <s v="Furniture"/>
    <s v="Chairs"/>
    <s v="Basic Chairs 932"/>
    <s v="First Class"/>
    <s v="anomaly"/>
    <n v="2"/>
    <n v="0"/>
    <x v="574"/>
    <x v="574"/>
    <n v="0.18793782983739193"/>
    <s v="19-09-24"/>
    <s v="21-09-24"/>
    <s v="September"/>
    <s v="2024"/>
    <s v=" "/>
    <n v="2"/>
    <s v="Unique"/>
  </r>
  <r>
    <s v="ORD-2025-10596"/>
    <s v="02/11/2025"/>
    <s v="16-02-2025"/>
    <s v="CUST-5566"/>
    <s v="Mira Das"/>
    <s v="Corporate"/>
    <x v="0"/>
    <s v="Uttar Pradesh"/>
    <s v="Noida"/>
    <s v="Technology"/>
    <s v="Phones"/>
    <s v="Classic Phones 294"/>
    <s v="First Class"/>
    <n v="8"/>
    <n v="1825.56"/>
    <n v="0.1"/>
    <n v="13144.03"/>
    <n v="9764"/>
    <n v="3380.03"/>
    <x v="0"/>
    <x v="0"/>
    <m/>
    <s v="ORD-2025-10596"/>
    <s v="02-11-25"/>
    <s v="16-02-25"/>
    <s v="CUST-5566"/>
    <s v="Mira Das"/>
    <s v="Corporate"/>
    <s v="North"/>
    <s v="Uttar Pradesh"/>
    <s v="Noida"/>
    <s v="Technology"/>
    <s v="Phones"/>
    <s v="Classic Phones 294"/>
    <s v="First Class"/>
    <s v="anomaly"/>
    <n v="-259"/>
    <n v="0.1"/>
    <x v="575"/>
    <x v="575"/>
    <n v="0.25715336055176974"/>
    <s v="02-11-25"/>
    <s v="16-02-25"/>
    <s v="November"/>
    <s v="2025"/>
    <s v=" "/>
    <n v="-259"/>
    <s v="Unique"/>
  </r>
  <r>
    <s v="ORD-2024-10597"/>
    <s v="10 Apr 2024"/>
    <s v="04/16/2024"/>
    <s v="CUST-2593"/>
    <s v="Aditi Sen"/>
    <s v="Consumer"/>
    <x v="2"/>
    <s v="Kerala"/>
    <s v="Kochi"/>
    <s v="Furniture"/>
    <s v="Chairs"/>
    <s v="Elite Chairs 700"/>
    <s v="Second Class"/>
    <n v="9"/>
    <n v="2723.26"/>
    <n v="0.25"/>
    <n v="18382.009999999998"/>
    <n v="13108.2"/>
    <n v="5273.81"/>
    <x v="0"/>
    <x v="0"/>
    <m/>
    <s v="ORD-2024-10597"/>
    <s v="10-04-24"/>
    <s v="invalid date"/>
    <s v="CUST-2593"/>
    <s v="Aditi Sen"/>
    <s v="Consumer"/>
    <s v="South"/>
    <s v="Kerala"/>
    <s v="Kochi"/>
    <s v="Furniture"/>
    <s v="Chairs"/>
    <s v="Elite Chairs 700"/>
    <s v="Second Class"/>
    <s v="Invalid"/>
    <s v="invalid date"/>
    <n v="0.25"/>
    <x v="576"/>
    <x v="576"/>
    <n v="0.28690042245119629"/>
    <s v="10-04-24"/>
    <s v="invalid date"/>
    <s v="April"/>
    <s v="2024"/>
    <s v="Invalid"/>
    <s v="invalid date"/>
    <s v="Unique"/>
  </r>
  <r>
    <s v="ORD-2025-10598"/>
    <s v="08 Jul 2025"/>
    <s v="07/08/2025"/>
    <s v="CUST-6957"/>
    <s v="Aditi Sen"/>
    <s v="Consumer"/>
    <x v="2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x v="0"/>
    <x v="0"/>
    <m/>
    <s v="ORD-2025-10598"/>
    <s v="08-07-25"/>
    <s v="07-08-25"/>
    <s v="CUST-6957"/>
    <s v="Aditi Sen"/>
    <s v="Consumer"/>
    <s v="South"/>
    <s v="Telangana"/>
    <s v="Hyderabad"/>
    <s v="Technology"/>
    <s v="Copiers"/>
    <s v="Prime Copiers 969"/>
    <s v="Same Day"/>
    <s v="  "/>
    <n v="30"/>
    <n v="0.25"/>
    <x v="577"/>
    <x v="577"/>
    <n v="0.3194390548872505"/>
    <s v="08-07-25"/>
    <s v="07-08-25"/>
    <s v="July"/>
    <s v="2025"/>
    <s v="anomaly"/>
    <n v="30"/>
    <s v="Unique"/>
  </r>
  <r>
    <s v="ORD-2024-10599"/>
    <s v="08/17/2024"/>
    <s v="08/24/2024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x v="0"/>
    <x v="0"/>
    <m/>
    <s v="ORD-2024-10599"/>
    <s v="invalid date"/>
    <s v="invalid date"/>
    <s v="CUST-8498"/>
    <s v="Ananya Rao"/>
    <s v="Corporate"/>
    <s v="East"/>
    <s v="West Bengal"/>
    <s v="Kolkata"/>
    <s v="Technology"/>
    <s v="Copiers"/>
    <s v="Eco Copiers 268"/>
    <s v="Same Day"/>
    <s v="Invalid"/>
    <s v="invalid date"/>
    <n v="0.25"/>
    <x v="578"/>
    <x v="578"/>
    <n v="0.20315200790685289"/>
    <s v="invalid date"/>
    <s v="invalid date"/>
    <s v="invalid date"/>
    <s v="invalid date"/>
    <s v="Invalid"/>
    <s v="invalid date"/>
    <s v="Unique"/>
  </r>
  <r>
    <s v="ORD-2024-10600"/>
    <s v="19-08-2024"/>
    <s v="21 Aug 2024"/>
    <s v="CUST-2612"/>
    <s v="Arjun Bose"/>
    <s v="Consumer"/>
    <x v="0"/>
    <s v="Punjab"/>
    <s v="Ludhiana"/>
    <s v="Technology"/>
    <s v="Phones"/>
    <s v="Pro Phones 588"/>
    <s v="First Class"/>
    <n v="3"/>
    <n v="1103.54"/>
    <n v="0.25"/>
    <n v="2482.9699999999998"/>
    <n v="1621.72"/>
    <n v="861.25"/>
    <x v="0"/>
    <x v="0"/>
    <m/>
    <s v="ORD-2024-10600"/>
    <s v="19-08-24"/>
    <s v="21-08-24"/>
    <s v="CUST-2612"/>
    <s v="Arjun Bose"/>
    <s v="Consumer"/>
    <s v="North"/>
    <s v="Punjab"/>
    <s v="Ludhiana"/>
    <s v="Technology"/>
    <s v="Phones"/>
    <s v="Pro Phones 588"/>
    <s v="First Class"/>
    <s v="anomaly"/>
    <n v="2"/>
    <n v="0.25"/>
    <x v="579"/>
    <x v="579"/>
    <n v="0.34686151435884116"/>
    <s v="19-08-24"/>
    <s v="21-08-24"/>
    <s v="August"/>
    <s v="2024"/>
    <s v=" "/>
    <n v="2"/>
    <s v="Unique"/>
  </r>
  <r>
    <s v="ORD-2025-10601"/>
    <s v="05-03-2025"/>
    <s v="2025-03-12"/>
    <s v="CUST-6013"/>
    <s v="Ananya Rao"/>
    <s v="Corporate"/>
    <x v="3"/>
    <s v="Madhya Pradesh"/>
    <s v="Indore"/>
    <s v="Office Supplies"/>
    <s v="Storage"/>
    <s v="Prime Storage 432"/>
    <s v="Same Day"/>
    <n v="3"/>
    <n v="3682.75"/>
    <m/>
    <n v="11048.25"/>
    <n v="9062.7199999999993"/>
    <n v="1985.53"/>
    <x v="0"/>
    <x v="0"/>
    <m/>
    <s v="ORD-2025-10601"/>
    <s v="05-03-25"/>
    <s v="12-03-25"/>
    <s v="CUST-6013"/>
    <s v="Ananya Rao"/>
    <s v="Corporate"/>
    <s v="West"/>
    <s v="Madhya Pradesh"/>
    <s v="Indore"/>
    <s v="Office Supplies"/>
    <s v="Storage"/>
    <s v="Prime Storage 432"/>
    <s v="Same Day"/>
    <s v="anomaly"/>
    <n v="7"/>
    <n v="0"/>
    <x v="580"/>
    <x v="580"/>
    <n v="0.17971443441268986"/>
    <s v="05-03-25"/>
    <s v="12-03-25"/>
    <s v="March"/>
    <s v="2025"/>
    <s v=" "/>
    <n v="7"/>
    <s v="Unique"/>
  </r>
  <r>
    <s v="ORD-2024-10602"/>
    <s v="26 Jan 2024"/>
    <s v="01/31/2024"/>
    <s v="CUST-8289"/>
    <s v="Ananya Rao"/>
    <s v="Home Office"/>
    <x v="1"/>
    <s v="West Bengal"/>
    <s v="Kolkata"/>
    <s v="Office Supplies"/>
    <s v="Paper"/>
    <s v="Basic Paper 452"/>
    <s v="Second Class"/>
    <n v="5"/>
    <n v="1615.03"/>
    <n v="0.2"/>
    <n v="6460.12"/>
    <n v="3604.03"/>
    <n v="2856.09"/>
    <x v="0"/>
    <x v="0"/>
    <m/>
    <s v="ORD-2024-10602"/>
    <s v="26-01-24"/>
    <s v="invalid date"/>
    <s v="CUST-8289"/>
    <s v="Ananya Rao"/>
    <s v="Home Office"/>
    <s v="East"/>
    <s v="West Bengal"/>
    <s v="Kolkata"/>
    <s v="Office Supplies"/>
    <s v="Paper"/>
    <s v="Basic Paper 452"/>
    <s v="Second Class"/>
    <s v="Invalid"/>
    <s v="invalid date"/>
    <n v="0.2"/>
    <x v="581"/>
    <x v="581"/>
    <n v="0.44211098245853014"/>
    <s v="26-01-24"/>
    <s v="invalid date"/>
    <s v="January"/>
    <s v="2024"/>
    <s v="Invalid"/>
    <s v="invalid date"/>
    <s v="Unique"/>
  </r>
  <r>
    <s v="ORD-2024-10603"/>
    <s v="23-10-2024"/>
    <s v="2024-10-30"/>
    <s v="CUST-5668"/>
    <s v="Aarav Sharma"/>
    <s v="Consumer"/>
    <x v="1"/>
    <s v="Jharkhand"/>
    <s v="Ranchi"/>
    <s v="Technology"/>
    <s v="Copiers"/>
    <s v="Max Copiers 477"/>
    <s v="Second Class"/>
    <n v="9"/>
    <n v="3423.82"/>
    <n v="0.15"/>
    <n v="26192.22"/>
    <n v="20795.55"/>
    <n v="5396.67"/>
    <x v="0"/>
    <x v="0"/>
    <m/>
    <s v="ORD-2024-10603"/>
    <s v="23-10-24"/>
    <s v="30-10-24"/>
    <s v="CUST-5668"/>
    <s v="Aarav Sharma"/>
    <s v="Consumer"/>
    <s v="East"/>
    <s v="Jharkhand"/>
    <s v="Ranchi"/>
    <s v="Technology"/>
    <s v="Copiers"/>
    <s v="Max Copiers 477"/>
    <s v="Second Class"/>
    <s v="anomaly"/>
    <n v="7"/>
    <n v="0.15"/>
    <x v="582"/>
    <x v="582"/>
    <n v="0.20604104508426041"/>
    <s v="23-10-24"/>
    <s v="30-10-24"/>
    <s v="October"/>
    <s v="2024"/>
    <s v=" "/>
    <n v="7"/>
    <s v="Unique"/>
  </r>
  <r>
    <s v="ORD-2025-10604"/>
    <s v="01/03/2025"/>
    <s v="11-01-2025"/>
    <s v="CUST-5808"/>
    <s v="Vikram Iyer"/>
    <s v="Corporate"/>
    <x v="1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x v="2"/>
    <x v="1"/>
    <m/>
    <s v="ORD-2025-10604"/>
    <s v="01-03-25"/>
    <s v="11-01-25"/>
    <s v="CUST-5808"/>
    <s v="Vikram Iyer"/>
    <s v="Corporate"/>
    <s v="East"/>
    <s v="Bihar"/>
    <s v="Patna"/>
    <s v="Technology"/>
    <s v="Accessories"/>
    <s v="Prime Accessories 300"/>
    <s v="First Class"/>
    <s v="anomaly"/>
    <n v="-49"/>
    <n v="0.05"/>
    <x v="583"/>
    <x v="583"/>
    <n v="0.42985863654587642"/>
    <s v="01-03-25"/>
    <s v="11-01-25"/>
    <s v="March"/>
    <s v="2025"/>
    <s v=" "/>
    <n v="-49"/>
    <s v="Unique"/>
  </r>
  <r>
    <s v="ORD-2025-10605"/>
    <s v="05-02-2025"/>
    <s v="02/06/2025"/>
    <s v="CUST-4526"/>
    <s v="Ananya Rao"/>
    <s v="Consumer"/>
    <x v="3"/>
    <s v="Madhya Pradesh"/>
    <s v="Indore"/>
    <s v="Office Supplies"/>
    <s v="Binders"/>
    <s v="Max Binders 547"/>
    <s v="Same Day"/>
    <n v="3"/>
    <n v="1076.3"/>
    <n v="0"/>
    <n v="3228.9"/>
    <n v="1853.23"/>
    <n v="1375.67"/>
    <x v="0"/>
    <x v="0"/>
    <m/>
    <s v="ORD-2025-10605"/>
    <s v="05-02-25"/>
    <s v="02-06-25"/>
    <s v="CUST-4526"/>
    <s v="Ananya Rao"/>
    <s v="Consumer"/>
    <s v="West"/>
    <s v="Madhya Pradesh"/>
    <s v="Indore"/>
    <s v="Office Supplies"/>
    <s v="Binders"/>
    <s v="Max Binders 547"/>
    <s v="Same Day"/>
    <s v="  "/>
    <n v="117"/>
    <n v="0"/>
    <x v="584"/>
    <x v="584"/>
    <n v="0.42604911889497965"/>
    <s v="05-02-25"/>
    <s v="02-06-25"/>
    <s v="February"/>
    <s v="2025"/>
    <s v="anomaly"/>
    <n v="117"/>
    <s v="Unique"/>
  </r>
  <r>
    <s v="ORD-2025-10606"/>
    <s v="2025-07-09"/>
    <s v="13 Jul 2025"/>
    <s v="CUST-4447"/>
    <s v="Kabir Singh"/>
    <s v="Corporate"/>
    <x v="3"/>
    <s v="Goa"/>
    <s v="Panaji"/>
    <s v="Furniture"/>
    <s v="Furnishings"/>
    <s v="Pro Furnishings 267"/>
    <s v="Second Class"/>
    <n v="5"/>
    <n v="1680.01"/>
    <s v="invalid"/>
    <n v="7560.04"/>
    <n v="6448.05"/>
    <n v="1111.99"/>
    <x v="0"/>
    <x v="1"/>
    <m/>
    <s v="ORD-2025-10606"/>
    <s v="09-07-25"/>
    <s v="13-07-25"/>
    <s v="CUST-4447"/>
    <s v="Kabir Singh"/>
    <s v="Corporate"/>
    <s v="West"/>
    <s v="Goa"/>
    <s v="Panaji"/>
    <s v="Furniture"/>
    <s v="Furnishings"/>
    <s v="Pro Furnishings 267"/>
    <s v="Second Class"/>
    <s v="anomaly"/>
    <n v="4"/>
    <s v="invalid"/>
    <x v="2"/>
    <x v="2"/>
    <s v="NA"/>
    <s v="09-07-25"/>
    <s v="13-07-25"/>
    <s v="July"/>
    <s v="2025"/>
    <s v=" "/>
    <n v="4"/>
    <s v="Unique"/>
  </r>
  <r>
    <s v="ORD-2025-10607"/>
    <s v="22 Feb 2025"/>
    <s v="02/28/2025"/>
    <s v="CUST-2698"/>
    <s v="Rahul Verma"/>
    <s v="Home Office"/>
    <x v="3"/>
    <s v="Madhya Pradesh"/>
    <s v="Indore"/>
    <s v="Technology"/>
    <s v="Copiers"/>
    <s v="Max Copiers 520"/>
    <s v="Same Day"/>
    <n v="3"/>
    <n v="3890.81"/>
    <n v="0.25"/>
    <n v="8754.32"/>
    <n v="6238.9"/>
    <n v="2515.42"/>
    <x v="0"/>
    <x v="0"/>
    <m/>
    <s v="ORD-2025-10607"/>
    <s v="22-02-25"/>
    <s v="invalid date"/>
    <s v="CUST-2698"/>
    <s v="Rahul Verma"/>
    <s v="Home Office"/>
    <s v="West"/>
    <s v="Madhya Pradesh"/>
    <s v="Indore"/>
    <s v="Technology"/>
    <s v="Copiers"/>
    <s v="Max Copiers 520"/>
    <s v="Same Day"/>
    <s v="Invalid"/>
    <s v="invalid date"/>
    <n v="0.25"/>
    <x v="585"/>
    <x v="585"/>
    <n v="0.28733491369549163"/>
    <s v="22-02-25"/>
    <s v="invalid date"/>
    <s v="February"/>
    <s v="2025"/>
    <s v="Invalid"/>
    <s v="invalid date"/>
    <s v="Unique"/>
  </r>
  <r>
    <s v="ORD-2025-10608"/>
    <s v="16-02-2025"/>
    <s v="22 Feb 2025"/>
    <s v="CUST-6297"/>
    <s v="Sneha Kapoor"/>
    <s v="Home Office"/>
    <x v="1"/>
    <s v="Bihar"/>
    <s v="Patna"/>
    <s v="Office Supplies"/>
    <s v="Storage"/>
    <s v="Max Storage 424"/>
    <s v="Same Day"/>
    <n v="5"/>
    <n v="954.67"/>
    <n v="0.15"/>
    <n v="4057.35"/>
    <n v="2862.03"/>
    <n v="1195.32"/>
    <x v="0"/>
    <x v="0"/>
    <m/>
    <s v="ORD-2025-10608"/>
    <s v="16-02-25"/>
    <s v="22-02-25"/>
    <s v="CUST-6297"/>
    <s v="Sneha Kapoor"/>
    <s v="Home Office"/>
    <s v="East"/>
    <s v="Bihar"/>
    <s v="Patna"/>
    <s v="Office Supplies"/>
    <s v="Storage"/>
    <s v="Max Storage 424"/>
    <s v="Same Day"/>
    <s v="anomaly"/>
    <n v="6"/>
    <n v="0.15"/>
    <x v="586"/>
    <x v="586"/>
    <n v="0.29460565061286947"/>
    <s v="16-02-25"/>
    <s v="22-02-25"/>
    <s v="February"/>
    <s v="2025"/>
    <s v=" "/>
    <n v="6"/>
    <s v="Unique"/>
  </r>
  <r>
    <s v="ORD-2024-10609"/>
    <s v="21 Jun 2024"/>
    <s v="23 Jun 2024"/>
    <s v="CUST-7690"/>
    <s v="Karan Malhotra"/>
    <s v="Home Office"/>
    <x v="3"/>
    <s v="Goa"/>
    <s v="Panaji"/>
    <s v="Furniture"/>
    <s v="Furnishings"/>
    <s v="Elite Furnishings 706"/>
    <s v="Second Class"/>
    <n v="9"/>
    <n v="2153.75"/>
    <n v="0"/>
    <n v="19383.75"/>
    <n v="11667.43"/>
    <n v="7716.32"/>
    <x v="0"/>
    <x v="0"/>
    <m/>
    <s v="ORD-2024-10609"/>
    <s v="21-06-24"/>
    <s v="23-06-24"/>
    <s v="CUST-7690"/>
    <s v="Karan Malhotra"/>
    <s v="Home Office"/>
    <s v="West"/>
    <s v="Goa"/>
    <s v="Panaji"/>
    <s v="Furniture"/>
    <s v="Furnishings"/>
    <s v="Elite Furnishings 706"/>
    <s v="Second Class"/>
    <s v="anomaly"/>
    <n v="2"/>
    <n v="0"/>
    <x v="587"/>
    <x v="587"/>
    <n v="0.39808189849745274"/>
    <s v="21-06-24"/>
    <s v="23-06-24"/>
    <s v="June"/>
    <s v="2024"/>
    <s v=" "/>
    <n v="2"/>
    <s v="Unique"/>
  </r>
  <r>
    <s v="ORD-2025-10610"/>
    <s v="2025-01-08"/>
    <s v="12-01-2025"/>
    <s v="CUST-4380"/>
    <s v="Sneha Kapoor"/>
    <s v="Home Office"/>
    <x v="2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x v="0"/>
    <x v="0"/>
    <m/>
    <s v="ORD-2025-10610"/>
    <s v="08-01-25"/>
    <s v="12-01-25"/>
    <s v="CUST-4380"/>
    <s v="Sneha Kapoor"/>
    <s v="Home Office"/>
    <s v="South"/>
    <s v="Karnataka"/>
    <s v="Bengaluru"/>
    <s v="Furniture"/>
    <s v="Chairs"/>
    <s v="Pro Chairs 908"/>
    <s v="Standard Class"/>
    <s v="anomaly"/>
    <n v="4"/>
    <n v="0"/>
    <x v="588"/>
    <x v="588"/>
    <n v="0.17445811195177174"/>
    <s v="08-01-25"/>
    <s v="12-01-25"/>
    <s v="January"/>
    <s v="2025"/>
    <s v=" "/>
    <n v="4"/>
    <s v="Unique"/>
  </r>
  <r>
    <s v="ORD-2024-10611"/>
    <s v="20 May 2024"/>
    <s v="05/20/2024"/>
    <s v="CUST-2779"/>
    <s v="Karan Malhotra"/>
    <s v="Home Office"/>
    <x v="3"/>
    <s v="Madhya Pradesh"/>
    <s v="Indore"/>
    <s v="Furniture"/>
    <s v="Chairs"/>
    <s v="Pro Chairs 712"/>
    <s v="Standard Class"/>
    <n v="1"/>
    <n v="3032.95"/>
    <n v="0.1"/>
    <n v="2729.65"/>
    <n v="1715.36"/>
    <n v="1014.29"/>
    <x v="0"/>
    <x v="0"/>
    <m/>
    <s v="ORD-2024-10611"/>
    <s v="20-05-24"/>
    <s v="invalid date"/>
    <s v="CUST-2779"/>
    <s v="Karan Malhotra"/>
    <s v="Home Office"/>
    <s v="West"/>
    <s v="Madhya Pradesh"/>
    <s v="Indore"/>
    <s v="Furniture"/>
    <s v="Chairs"/>
    <s v="Pro Chairs 712"/>
    <s v="Standard Class"/>
    <s v="Invalid"/>
    <s v="invalid date"/>
    <n v="0.1"/>
    <x v="589"/>
    <x v="589"/>
    <n v="0.37158358840219735"/>
    <s v="20-05-24"/>
    <s v="invalid date"/>
    <s v="May"/>
    <s v="2024"/>
    <s v="Invalid"/>
    <s v="invalid date"/>
    <s v="Unique"/>
  </r>
  <r>
    <s v="ORD-2025-10612"/>
    <s v="08-07-2025"/>
    <s v="15 Jul 2025"/>
    <s v="CUST-6108"/>
    <s v="Ananya Rao"/>
    <s v="Small Business"/>
    <x v="0"/>
    <s v="Rajasthan"/>
    <s v="Jaipur"/>
    <s v="Office Supplies"/>
    <s v="Binders"/>
    <s v="Max Binders 785"/>
    <s v="Same Day"/>
    <n v="8"/>
    <n v="655.28"/>
    <n v="0.1"/>
    <n v="4718.0200000000004"/>
    <n v="3908.23"/>
    <n v="809.79"/>
    <x v="0"/>
    <x v="0"/>
    <m/>
    <s v="ORD-2025-10612"/>
    <s v="08-07-25"/>
    <s v="15-07-25"/>
    <s v="CUST-6108"/>
    <s v="Ananya Rao"/>
    <s v="Small Business"/>
    <s v="North"/>
    <s v="Rajasthan"/>
    <s v="Jaipur"/>
    <s v="Office Supplies"/>
    <s v="Binders"/>
    <s v="Max Binders 785"/>
    <s v="Same Day"/>
    <s v="anomaly"/>
    <n v="7"/>
    <n v="0.1"/>
    <x v="590"/>
    <x v="590"/>
    <n v="0.17163697622051297"/>
    <s v="08-07-25"/>
    <s v="15-07-25"/>
    <s v="July"/>
    <s v="2025"/>
    <s v=" "/>
    <n v="7"/>
    <s v="Unique"/>
  </r>
  <r>
    <s v="ORD-2025-10613"/>
    <s v="06 Apr 2025"/>
    <s v="13-04-2025"/>
    <s v="CUST-5663"/>
    <s v="Aditi Sen"/>
    <s v="Consumer"/>
    <x v="4"/>
    <s v="Odisha"/>
    <s v="Bhubaneswar"/>
    <s v="Technology"/>
    <s v="Phones"/>
    <s v="Elite Phones 239"/>
    <s v="Standard Class"/>
    <n v="1"/>
    <n v="3844.01"/>
    <n v="0"/>
    <n v="3844.01"/>
    <n v="2195.79"/>
    <n v="1648.22"/>
    <x v="0"/>
    <x v="0"/>
    <m/>
    <s v="ORD-2025-10613"/>
    <s v="06-04-25"/>
    <s v="13-04-25"/>
    <s v="CUST-5663"/>
    <s v="Aditi Sen"/>
    <s v="Consumer"/>
    <s v="unknown"/>
    <s v="Odisha"/>
    <s v="Bhubaneswar"/>
    <s v="Technology"/>
    <s v="Phones"/>
    <s v="Elite Phones 239"/>
    <s v="Standard Class"/>
    <s v="anomaly"/>
    <n v="7"/>
    <n v="0"/>
    <x v="591"/>
    <x v="591"/>
    <n v="0.42877619985379856"/>
    <s v="06-04-25"/>
    <s v="13-04-25"/>
    <s v="April"/>
    <s v="2025"/>
    <s v=" "/>
    <n v="7"/>
    <s v="Unique"/>
  </r>
  <r>
    <s v="ORD-2024-10614"/>
    <s v="2024-10-05"/>
    <s v="10/10/2024"/>
    <s v="CUST-9311"/>
    <s v="Diya Patel"/>
    <s v="Home Office"/>
    <x v="3"/>
    <s v="Gujarat"/>
    <s v="Ahmedabad"/>
    <s v="Technology"/>
    <s v="Machines"/>
    <s v="Basic Machines 413"/>
    <s v="Same Day"/>
    <n v="9"/>
    <n v="3361.3"/>
    <n v="0.25"/>
    <n v="22688.78"/>
    <n v="14672.41"/>
    <n v="8016.37"/>
    <x v="0"/>
    <x v="0"/>
    <m/>
    <s v="ORD-2024-10614"/>
    <s v="05-10-24"/>
    <s v="10-10-24"/>
    <s v="CUST-9311"/>
    <s v="Diya Patel"/>
    <s v="Home Office"/>
    <s v="West"/>
    <s v="Gujarat"/>
    <s v="Ahmedabad"/>
    <s v="Technology"/>
    <s v="Machines"/>
    <s v="Basic Machines 413"/>
    <s v="Same Day"/>
    <s v="anomaly"/>
    <n v="5"/>
    <n v="0.25"/>
    <x v="592"/>
    <x v="592"/>
    <n v="0.35331854628555315"/>
    <s v="05-10-24"/>
    <s v="10-10-24"/>
    <s v="October"/>
    <s v="2024"/>
    <s v=" "/>
    <n v="5"/>
    <s v="Unique"/>
  </r>
  <r>
    <s v="ORD-2024-10615"/>
    <s v="11-02-2024"/>
    <s v="19-02-2024"/>
    <s v="CUST-8154"/>
    <s v="Ananya Rao"/>
    <s v="Home Office"/>
    <x v="2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x v="1"/>
    <x v="1"/>
    <m/>
    <s v="ORD-2024-10615"/>
    <s v="11-02-24"/>
    <s v="19-02-24"/>
    <s v="CUST-8154"/>
    <s v="Ananya Rao"/>
    <s v="Home Office"/>
    <s v="South"/>
    <s v="Telangana"/>
    <s v="Hyderabad"/>
    <s v="Furniture"/>
    <s v="Chairs"/>
    <s v="Elite Chairs 140"/>
    <s v="Standard Class"/>
    <s v="anomaly"/>
    <n v="8"/>
    <n v="0.25"/>
    <x v="593"/>
    <x v="593"/>
    <n v="0.18287663708342161"/>
    <s v="11-02-24"/>
    <s v="19-02-24"/>
    <s v="February"/>
    <s v="2024"/>
    <s v=" "/>
    <n v="8"/>
    <s v="Unique"/>
  </r>
  <r>
    <s v="ORD-2024-10616"/>
    <s v="2024-10-04"/>
    <s v="10/07/2024"/>
    <s v="CUST-4462"/>
    <s v="Rahul Verma"/>
    <s v="Corporate"/>
    <x v="2"/>
    <s v="Kerala"/>
    <s v="Kochi"/>
    <s v="Office Supplies"/>
    <s v="Art"/>
    <s v="Basic Art 771"/>
    <s v="Second Class"/>
    <n v="2"/>
    <n v="3144.38"/>
    <n v="0.1"/>
    <n v="5904.57"/>
    <n v="4337.79"/>
    <n v="1322.09"/>
    <x v="0"/>
    <x v="0"/>
    <m/>
    <s v="ORD-2024-10616"/>
    <s v="04-10-24"/>
    <s v="10-07-24"/>
    <s v="CUST-4462"/>
    <s v="Rahul Verma"/>
    <s v="Corporate"/>
    <s v="South"/>
    <s v="Kerala"/>
    <s v="Kochi"/>
    <s v="Office Supplies"/>
    <s v="Art"/>
    <s v="Basic Art 771"/>
    <s v="Second Class"/>
    <s v="anomaly"/>
    <n v="-86"/>
    <n v="0.1"/>
    <x v="594"/>
    <x v="594"/>
    <n v="0.23359029973052453"/>
    <s v="04-10-24"/>
    <s v="10-07-24"/>
    <s v="October"/>
    <s v="2024"/>
    <s v=" "/>
    <n v="-86"/>
    <s v="Unique"/>
  </r>
  <r>
    <s v="ORD-2024-10617"/>
    <s v="16 Aug 2024"/>
    <s v="19-08-2024"/>
    <s v="CUST-4660"/>
    <s v="Kabir Singh"/>
    <s v="Consumer"/>
    <x v="2"/>
    <s v="Telangana"/>
    <s v="Hyderabad"/>
    <s v="Office Supplies"/>
    <s v="Paper"/>
    <s v="Prime Paper 664"/>
    <s v="Standard Class"/>
    <n v="6"/>
    <n v="3925.55"/>
    <n v="0.2"/>
    <n v="18842.64"/>
    <n v="11840.58"/>
    <n v="7002.06"/>
    <x v="0"/>
    <x v="0"/>
    <m/>
    <s v="ORD-2024-10617"/>
    <s v="16-08-24"/>
    <s v="19-08-24"/>
    <s v="CUST-4660"/>
    <s v="Kabir Singh"/>
    <s v="Consumer"/>
    <s v="South"/>
    <s v="Telangana"/>
    <s v="Hyderabad"/>
    <s v="Office Supplies"/>
    <s v="Paper"/>
    <s v="Prime Paper 664"/>
    <s v="Standard Class"/>
    <s v="anomaly"/>
    <n v="3"/>
    <n v="0.2"/>
    <x v="595"/>
    <x v="595"/>
    <n v="0.37160716332743193"/>
    <s v="16-08-24"/>
    <s v="19-08-24"/>
    <s v="August"/>
    <s v="2024"/>
    <s v=" "/>
    <n v="3"/>
    <s v="Unique"/>
  </r>
  <r>
    <s v="ORD-2024-10618"/>
    <s v="09/29/2024"/>
    <s v="2024-09-30"/>
    <s v="CUST-9002"/>
    <s v="Mira Das"/>
    <s v="Home Office"/>
    <x v="2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x v="0"/>
    <x v="0"/>
    <m/>
    <s v="ORD-2024-10618"/>
    <s v="invalid date"/>
    <s v="30-09-24"/>
    <s v="CUST-9002"/>
    <s v="Mira Das"/>
    <s v="Home Office"/>
    <s v="South"/>
    <s v="Telangana"/>
    <s v="Hyderabad"/>
    <s v="Technology"/>
    <s v="Phones"/>
    <s v="Pro Phones 226"/>
    <s v="Standard Class"/>
    <s v="Invalid"/>
    <s v="invalid date"/>
    <n v="0"/>
    <x v="596"/>
    <x v="596"/>
    <n v="0.17531736798233513"/>
    <s v="invalid date"/>
    <s v="30-09-24"/>
    <s v="invalid date"/>
    <s v="invalid date"/>
    <s v="Invalid"/>
    <s v="invalid date"/>
    <s v="Unique"/>
  </r>
  <r>
    <s v="ORD-2024-10619"/>
    <s v="2024-07-23"/>
    <s v="2024-07-30"/>
    <s v="CUST-1057"/>
    <s v="Kabir Singh"/>
    <s v="Corporate"/>
    <x v="0"/>
    <s v="Rajasthan"/>
    <s v="Jaipur"/>
    <s v="Furniture"/>
    <s v="Tables"/>
    <s v="Basic Tables 684"/>
    <s v="Same Day"/>
    <n v="9"/>
    <n v="1870.11"/>
    <n v="0.25"/>
    <n v="12623.24"/>
    <n v="10540.8"/>
    <n v="2082.44"/>
    <x v="3"/>
    <x v="1"/>
    <m/>
    <s v="ORD-2024-10619"/>
    <s v="23-07-24"/>
    <s v="30-07-24"/>
    <s v="CUST-1057"/>
    <s v="Kabir Singh"/>
    <s v="Corporate"/>
    <s v="North"/>
    <s v="Rajasthan"/>
    <s v="Jaipur"/>
    <s v="Furniture"/>
    <s v="Tables"/>
    <s v="Basic Tables 684"/>
    <s v="Same Day"/>
    <s v="anomaly"/>
    <n v="7"/>
    <n v="0.25"/>
    <x v="597"/>
    <x v="597"/>
    <n v="0.16496890557239943"/>
    <s v="23-07-24"/>
    <s v="30-07-24"/>
    <s v="July"/>
    <s v="2024"/>
    <s v=" "/>
    <n v="7"/>
    <s v="Unique"/>
  </r>
  <r>
    <s v="ORD-2024-10620"/>
    <s v="11/22/2024"/>
    <s v="27 Nov 2024"/>
    <s v="CUST-9596"/>
    <s v="Priya Menon"/>
    <s v="Corporate"/>
    <x v="2"/>
    <s v="Tamil Nadu"/>
    <s v="Chennai"/>
    <s v="Office Supplies"/>
    <s v="Binders"/>
    <s v="Prime Binders 938"/>
    <s v="First Class"/>
    <n v="1"/>
    <n v="4251.26"/>
    <n v="0.2"/>
    <n v="3401.01"/>
    <n v="2917.54"/>
    <n v="483.47"/>
    <x v="1"/>
    <x v="2"/>
    <m/>
    <s v="ORD-2024-10620"/>
    <s v="invalid date"/>
    <s v="27-11-24"/>
    <s v="CUST-9596"/>
    <s v="Priya Menon"/>
    <s v="Corporate"/>
    <s v="South"/>
    <s v="Tamil Nadu"/>
    <s v="Chennai"/>
    <s v="Office Supplies"/>
    <s v="Binders"/>
    <s v="Prime Binders 938"/>
    <s v="First Class"/>
    <s v="Invalid"/>
    <s v="invalid date"/>
    <n v="0.2"/>
    <x v="598"/>
    <x v="598"/>
    <n v="0.14215432601158254"/>
    <s v="invalid date"/>
    <s v="27-11-24"/>
    <s v="invalid date"/>
    <s v="invalid date"/>
    <s v="Invalid"/>
    <s v="invalid date"/>
    <s v="Unique"/>
  </r>
  <r>
    <s v="ORD-2024-10621"/>
    <s v="18-08-2024"/>
    <s v="08/21/2024"/>
    <s v="CUST-6947"/>
    <s v="Vikram Iyer"/>
    <s v="Consumer"/>
    <x v="0"/>
    <s v="Uttar Pradesh"/>
    <s v="Noida"/>
    <s v="Technology"/>
    <s v="Machines"/>
    <s v="Classic Machines 337"/>
    <s v="Standard Class"/>
    <n v="9"/>
    <n v="734.34"/>
    <n v="0"/>
    <n v="6609.06"/>
    <n v="4946.78"/>
    <n v="1662.28"/>
    <x v="0"/>
    <x v="0"/>
    <m/>
    <s v="ORD-2024-10621"/>
    <s v="18-08-24"/>
    <s v="invalid date"/>
    <s v="CUST-6947"/>
    <s v="Vikram Iyer"/>
    <s v="Consumer"/>
    <s v="North"/>
    <s v="Uttar Pradesh"/>
    <s v="Noida"/>
    <s v="Technology"/>
    <s v="Machines"/>
    <s v="Classic Machines 337"/>
    <s v="Standard Class"/>
    <s v="Invalid"/>
    <s v="invalid date"/>
    <n v="0"/>
    <x v="599"/>
    <x v="599"/>
    <n v="0.25151534408826681"/>
    <s v="18-08-24"/>
    <s v="invalid date"/>
    <s v="August"/>
    <s v="2024"/>
    <s v="Invalid"/>
    <s v="invalid date"/>
    <s v="Unique"/>
  </r>
  <r>
    <s v="ORD-2024-10622"/>
    <s v="28-11-2024"/>
    <s v="06-12-2024"/>
    <s v="CUST-7236"/>
    <s v="Aditi Sen"/>
    <s v="Consumer"/>
    <x v="3"/>
    <s v="Maharashtra"/>
    <s v="Mumbai"/>
    <s v="Furniture"/>
    <s v="Chairs"/>
    <s v="Max Chairs 748"/>
    <s v="Same Day"/>
    <n v="5"/>
    <n v="1092.8399999999999"/>
    <m/>
    <n v="5464.2"/>
    <n v="3318.09"/>
    <n v="2146.11"/>
    <x v="0"/>
    <x v="0"/>
    <m/>
    <s v="ORD-2024-10622"/>
    <s v="28-11-24"/>
    <s v="06-12-24"/>
    <s v="CUST-7236"/>
    <s v="Aditi Sen"/>
    <s v="Consumer"/>
    <s v="West"/>
    <s v="Maharashtra"/>
    <s v="Mumbai"/>
    <s v="Furniture"/>
    <s v="Chairs"/>
    <s v="Max Chairs 748"/>
    <s v="Same Day"/>
    <s v="  "/>
    <n v="8"/>
    <n v="0"/>
    <x v="600"/>
    <x v="600"/>
    <n v="0.39275831777753373"/>
    <s v="28-11-24"/>
    <s v="06-12-24"/>
    <s v="November"/>
    <s v="2024"/>
    <s v="anomaly"/>
    <n v="8"/>
    <s v="Unique"/>
  </r>
  <r>
    <s v="ORD-2025-10623"/>
    <s v="29-01-2025"/>
    <s v="06 Feb 2025"/>
    <s v="CUST-1127"/>
    <s v="Vikram Iyer"/>
    <s v="Consumer"/>
    <x v="1"/>
    <s v="Bihar"/>
    <s v="Patna"/>
    <s v="Office Supplies"/>
    <s v="Storage"/>
    <s v="Basic Storage 934"/>
    <s v="Standard Class"/>
    <n v="4"/>
    <n v="2759.01"/>
    <n v="0.05"/>
    <n v="10484.24"/>
    <n v="6680.15"/>
    <n v="3804.09"/>
    <x v="0"/>
    <x v="0"/>
    <m/>
    <s v="ORD-2025-10623"/>
    <s v="29-01-25"/>
    <s v="06-02-25"/>
    <s v="CUST-1127"/>
    <s v="Vikram Iyer"/>
    <s v="Consumer"/>
    <s v="East"/>
    <s v="Bihar"/>
    <s v="Patna"/>
    <s v="Office Supplies"/>
    <s v="Storage"/>
    <s v="Basic Storage 934"/>
    <s v="Standard Class"/>
    <s v="  "/>
    <n v="8"/>
    <n v="0.05"/>
    <x v="601"/>
    <x v="601"/>
    <n v="0.36283876806306775"/>
    <s v="29-01-25"/>
    <s v="06-02-25"/>
    <s v="January"/>
    <s v="2025"/>
    <s v="anomaly"/>
    <n v="8"/>
    <s v="Unique"/>
  </r>
  <r>
    <s v="ORD-2024-10624"/>
    <s v="08 Aug 2024"/>
    <s v="14 Aug 2024"/>
    <s v="CUST-6262"/>
    <s v="Vikram Iyer"/>
    <s v="Home Office"/>
    <x v="0"/>
    <s v="Punjab"/>
    <s v="Ludhiana"/>
    <s v="Office Supplies"/>
    <s v="Storage"/>
    <s v="Pro Storage 509"/>
    <s v="Second Class"/>
    <n v="8"/>
    <n v="1359.19"/>
    <n v="0.05"/>
    <n v="10329.84"/>
    <n v="7512.22"/>
    <n v="2817.62"/>
    <x v="0"/>
    <x v="0"/>
    <m/>
    <s v="ORD-2024-10624"/>
    <s v="08-08-24"/>
    <s v="14-08-24"/>
    <s v="CUST-6262"/>
    <s v="Vikram Iyer"/>
    <s v="Home Office"/>
    <s v="North"/>
    <s v="Punjab"/>
    <s v="Ludhiana"/>
    <s v="Office Supplies"/>
    <s v="Storage"/>
    <s v="Pro Storage 509"/>
    <s v="Second Class"/>
    <s v="anomaly"/>
    <n v="6"/>
    <n v="0.05"/>
    <x v="602"/>
    <x v="602"/>
    <n v="0.27276539703794161"/>
    <s v="08-08-24"/>
    <s v="14-08-24"/>
    <s v="August"/>
    <s v="2024"/>
    <s v=" "/>
    <n v="6"/>
    <s v="Unique"/>
  </r>
  <r>
    <s v="ORD-2024-10625"/>
    <s v="01/30/2024"/>
    <s v="2024-02-01"/>
    <s v="CUST-5070"/>
    <s v="Neha Gupta"/>
    <s v="Home Office"/>
    <x v="1"/>
    <s v="Assam"/>
    <s v="Guwahati"/>
    <s v="Furniture"/>
    <s v="Chairs"/>
    <s v="Prime Chairs 765"/>
    <s v="First Class"/>
    <n v="2"/>
    <n v="4451.03"/>
    <n v="0.05"/>
    <n v="8456.9599999999991"/>
    <n v="5462.85"/>
    <n v="2994.11"/>
    <x v="0"/>
    <x v="0"/>
    <m/>
    <s v="ORD-2024-10625"/>
    <s v="invalid date"/>
    <s v="01-02-24"/>
    <s v="CUST-5070"/>
    <s v="Neha Gupta"/>
    <s v="Home Office"/>
    <s v="East"/>
    <s v="Assam"/>
    <s v="Guwahati"/>
    <s v="Furniture"/>
    <s v="Chairs"/>
    <s v="Prime Chairs 765"/>
    <s v="First Class"/>
    <s v="Invalid"/>
    <s v="invalid date"/>
    <n v="0.05"/>
    <x v="603"/>
    <x v="603"/>
    <n v="0.35404070282017502"/>
    <s v="invalid date"/>
    <s v="01-02-24"/>
    <s v="invalid date"/>
    <s v="invalid date"/>
    <s v="Invalid"/>
    <s v="invalid date"/>
    <s v="Unique"/>
  </r>
  <r>
    <s v="ORD-2024-10626"/>
    <s v="12/15/2024"/>
    <s v="21 Dec 2024"/>
    <s v="CUST-7946"/>
    <s v="Diya Patel"/>
    <s v="Corporate"/>
    <x v="3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x v="0"/>
    <x v="0"/>
    <m/>
    <s v="ORD-2024-10626"/>
    <s v="invalid date"/>
    <s v="21-12-24"/>
    <s v="CUST-7946"/>
    <s v="Diya Patel"/>
    <s v="Corporate"/>
    <s v="West"/>
    <s v="Rajasthan"/>
    <s v="Udaipur"/>
    <s v="Furniture"/>
    <s v="Chairs"/>
    <s v="Elite Chairs 358"/>
    <s v="Same Day"/>
    <s v="Invalid"/>
    <s v="invalid date"/>
    <n v="0.2"/>
    <x v="604"/>
    <x v="604"/>
    <n v="0.22306239379410109"/>
    <s v="invalid date"/>
    <s v="21-12-24"/>
    <s v="invalid date"/>
    <s v="invalid date"/>
    <s v="Invalid"/>
    <s v="invalid date"/>
    <s v="Unique"/>
  </r>
  <r>
    <s v="ORD-2025-10627"/>
    <s v="04-06-2025"/>
    <s v="06/07/2025"/>
    <s v="CUST-1793"/>
    <s v="Sneha Kapoor"/>
    <s v="Home Office"/>
    <x v="1"/>
    <s v="Assam"/>
    <s v="Guwahati"/>
    <s v="Technology"/>
    <s v="Machines"/>
    <s v="Elite Machines 971"/>
    <s v="Standard Class"/>
    <n v="8"/>
    <n v="1434.13"/>
    <n v="0"/>
    <n v="11473.04"/>
    <n v="8931.33"/>
    <n v="2541.71"/>
    <x v="2"/>
    <x v="2"/>
    <m/>
    <s v="ORD-2025-10627"/>
    <s v="04-06-25"/>
    <s v="06-07-25"/>
    <s v="CUST-1793"/>
    <s v="Sneha Kapoor"/>
    <s v="Home Office"/>
    <s v="East"/>
    <s v="Assam"/>
    <s v="Guwahati"/>
    <s v="Technology"/>
    <s v="Machines"/>
    <s v="Elite Machines 971"/>
    <s v="Standard Class"/>
    <s v="anomaly"/>
    <n v="32"/>
    <n v="0"/>
    <x v="605"/>
    <x v="605"/>
    <n v="0.22153762211236086"/>
    <s v="04-06-25"/>
    <s v="06-07-25"/>
    <s v="June"/>
    <s v="2025"/>
    <s v=" "/>
    <n v="32"/>
    <s v="Unique"/>
  </r>
  <r>
    <s v="ORD-2025-10628"/>
    <s v="02/13/2025"/>
    <s v="21-02-2025"/>
    <s v="CUST-8839"/>
    <s v="Karan Malhotra"/>
    <s v="Small Business"/>
    <x v="2"/>
    <s v="Kerala"/>
    <s v="Kochi"/>
    <s v="Technology"/>
    <s v="Phones"/>
    <s v="Max Phones 825"/>
    <s v="Second Class"/>
    <n v="2"/>
    <n v="2360.02"/>
    <n v="0.15"/>
    <n v="4012.03"/>
    <n v="3142.92"/>
    <n v="869.11"/>
    <x v="2"/>
    <x v="1"/>
    <m/>
    <s v="ORD-2025-10628"/>
    <s v="invalid date"/>
    <s v="21-02-25"/>
    <s v="CUST-8839"/>
    <s v="Karan Malhotra"/>
    <s v="Small Business"/>
    <s v="South"/>
    <s v="Kerala"/>
    <s v="Kochi"/>
    <s v="Technology"/>
    <s v="Phones"/>
    <s v="Max Phones 825"/>
    <s v="Second Class"/>
    <s v="Invalid"/>
    <s v="invalid date"/>
    <n v="0.15"/>
    <x v="606"/>
    <x v="606"/>
    <n v="0.21662677833737193"/>
    <s v="invalid date"/>
    <s v="21-02-25"/>
    <s v="invalid date"/>
    <s v="invalid date"/>
    <s v="Invalid"/>
    <s v="invalid date"/>
    <s v="Unique"/>
  </r>
  <r>
    <s v="ORD-2025-10629"/>
    <s v="2025-10-05"/>
    <s v="12 Oct 2025"/>
    <s v="CUST-6725"/>
    <s v="Ananya Rao"/>
    <s v="Home Office"/>
    <x v="1"/>
    <s v="Jharkhand"/>
    <s v="Ranchi"/>
    <s v="Technology"/>
    <s v="Accessories"/>
    <s v="Eco Accessories 933"/>
    <s v="Same Day"/>
    <n v="7"/>
    <n v="806.67"/>
    <n v="0.05"/>
    <n v="5364.36"/>
    <n v="4391.29"/>
    <n v="973.07"/>
    <x v="0"/>
    <x v="0"/>
    <m/>
    <s v="ORD-2025-10629"/>
    <s v="05-10-25"/>
    <s v="12-10-25"/>
    <s v="CUST-6725"/>
    <s v="Ananya Rao"/>
    <s v="Home Office"/>
    <s v="East"/>
    <s v="Jharkhand"/>
    <s v="Ranchi"/>
    <s v="Technology"/>
    <s v="Accessories"/>
    <s v="Eco Accessories 933"/>
    <s v="Same Day"/>
    <s v="anomaly"/>
    <n v="7"/>
    <n v="0.05"/>
    <x v="607"/>
    <x v="607"/>
    <n v="0.18139467080434915"/>
    <s v="05-10-25"/>
    <s v="12-10-25"/>
    <s v="October"/>
    <s v="2025"/>
    <s v=" "/>
    <n v="7"/>
    <s v="Unique"/>
  </r>
  <r>
    <s v="ORD-2025-10630"/>
    <s v="09/10/2025"/>
    <s v="14 Sep 2025"/>
    <s v="CUST-3793"/>
    <s v="Arjun Bose"/>
    <s v="Home Office"/>
    <x v="3"/>
    <s v="Gujarat"/>
    <s v="Ahmedabad"/>
    <s v="Furniture"/>
    <s v="Tables"/>
    <s v="Max Tables 908"/>
    <s v="Same Day"/>
    <n v="3"/>
    <n v="4198.46"/>
    <n v="0.15"/>
    <n v="10706.07"/>
    <n v="5927.1"/>
    <n v="4778.97"/>
    <x v="0"/>
    <x v="0"/>
    <m/>
    <s v="ORD-2025-10630"/>
    <s v="09-10-25"/>
    <s v="14-09-25"/>
    <s v="CUST-3793"/>
    <s v="Arjun Bose"/>
    <s v="Home Office"/>
    <s v="West"/>
    <s v="Gujarat"/>
    <s v="Ahmedabad"/>
    <s v="Furniture"/>
    <s v="Tables"/>
    <s v="Max Tables 908"/>
    <s v="Same Day"/>
    <s v="anomaly"/>
    <n v="-25"/>
    <n v="0.15"/>
    <x v="608"/>
    <x v="608"/>
    <n v="0.44637963892082555"/>
    <s v="09-10-25"/>
    <s v="14-09-25"/>
    <s v="October"/>
    <s v="2025"/>
    <s v=" "/>
    <n v="-25"/>
    <s v="Unique"/>
  </r>
  <r>
    <s v="ORD-2024-10631"/>
    <s v="2024-04-09"/>
    <s v="2024-04-10"/>
    <s v="CUST-6075"/>
    <s v="Priya Menon"/>
    <s v="Corporate"/>
    <x v="1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x v="0"/>
    <x v="0"/>
    <m/>
    <s v="ORD-2024-10631"/>
    <s v="09-04-24"/>
    <s v="10-04-24"/>
    <s v="CUST-6075"/>
    <s v="Priya Menon"/>
    <s v="Corporate"/>
    <s v="East"/>
    <s v="Assam"/>
    <s v="Guwahati"/>
    <s v="Office Supplies"/>
    <s v="Paper"/>
    <s v="Elite Paper 239"/>
    <s v="Standard Class"/>
    <s v="anomaly"/>
    <n v="1"/>
    <n v="0.1"/>
    <x v="609"/>
    <x v="609"/>
    <n v="0.15633700354988173"/>
    <s v="09-04-24"/>
    <s v="10-04-24"/>
    <s v="April"/>
    <s v="2024"/>
    <s v=" "/>
    <n v="1"/>
    <s v="Unique"/>
  </r>
  <r>
    <s v="ORD-2024-10632"/>
    <s v="10 Apr 2024"/>
    <s v="15-04-2024"/>
    <s v="CUST-6381"/>
    <s v="Aarav Sharma"/>
    <s v="Home Office"/>
    <x v="3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x v="0"/>
    <x v="0"/>
    <m/>
    <s v="ORD-2024-10632"/>
    <s v="10-04-24"/>
    <s v="15-04-24"/>
    <s v="CUST-6381"/>
    <s v="Aarav Sharma"/>
    <s v="Home Office"/>
    <s v="West"/>
    <s v="Rajasthan"/>
    <s v="Udaipur"/>
    <s v="Furniture"/>
    <s v="Chairs"/>
    <s v="Eco Chairs 452"/>
    <s v="Standard Class"/>
    <s v="anomaly"/>
    <n v="5"/>
    <n v="0.1"/>
    <x v="610"/>
    <x v="610"/>
    <n v="0.2829148914277097"/>
    <s v="10-04-24"/>
    <s v="15-04-24"/>
    <s v="April"/>
    <s v="2024"/>
    <s v=" "/>
    <n v="5"/>
    <s v="Unique"/>
  </r>
  <r>
    <s v="ORD-2025-10633"/>
    <s v="15-04-2025"/>
    <s v="16-04-2025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x v="0"/>
    <x v="0"/>
    <m/>
    <s v="ORD-2025-10633"/>
    <s v="15-04-25"/>
    <s v="16-04-25"/>
    <s v="CUST-4593"/>
    <s v="Sneha Kapoor"/>
    <s v="Small Business"/>
    <s v="South"/>
    <s v="Karnataka"/>
    <s v="Bengaluru"/>
    <s v="Furniture"/>
    <s v="Furnishings"/>
    <s v="Smart Furnishings 721"/>
    <s v="First Class"/>
    <s v="anomaly"/>
    <n v="1"/>
    <n v="0"/>
    <x v="611"/>
    <x v="611"/>
    <n v="0.18904133617257154"/>
    <s v="15-04-25"/>
    <s v="16-04-25"/>
    <s v="April"/>
    <s v="2025"/>
    <s v=" "/>
    <n v="1"/>
    <s v="Unique"/>
  </r>
  <r>
    <s v="ORD-2025-10634"/>
    <s v="04/18/2025"/>
    <s v="20 Apr 2025"/>
    <s v="CUST-5043"/>
    <s v="Aarav Sharma"/>
    <s v="Small Business"/>
    <x v="2"/>
    <s v="Tamil Nadu"/>
    <s v="Chennai"/>
    <s v="Technology"/>
    <s v="Accessories"/>
    <s v="Basic Accessories 729"/>
    <s v="Second Class"/>
    <n v="1"/>
    <n v="1626.08"/>
    <n v="0.15"/>
    <n v="1382.17"/>
    <n v="810.03"/>
    <n v="572.14"/>
    <x v="0"/>
    <x v="0"/>
    <m/>
    <s v="ORD-2025-10634"/>
    <s v="invalid date"/>
    <s v="20-04-25"/>
    <s v="CUST-5043"/>
    <s v="Aarav Sharma"/>
    <s v="Small Business"/>
    <s v="South"/>
    <s v="Tamil Nadu"/>
    <s v="Chennai"/>
    <s v="Technology"/>
    <s v="Accessories"/>
    <s v="Basic Accessories 729"/>
    <s v="Second Class"/>
    <s v="Invalid"/>
    <s v="invalid date"/>
    <n v="0.15"/>
    <x v="612"/>
    <x v="612"/>
    <n v="0.4139424440444287"/>
    <s v="invalid date"/>
    <s v="20-04-25"/>
    <s v="invalid date"/>
    <s v="invalid date"/>
    <s v="Invalid"/>
    <s v="invalid date"/>
    <s v="Unique"/>
  </r>
  <r>
    <s v="ORD-2025-10635"/>
    <s v="01/11/2025"/>
    <s v="12 Jan 2025"/>
    <s v="CUST-4722"/>
    <s v="Aditi Sen"/>
    <s v="Consumer"/>
    <x v="2"/>
    <s v="Telangana"/>
    <s v="Hyderabad"/>
    <s v="Furniture"/>
    <s v="Chairs"/>
    <s v="Classic Chairs 220"/>
    <s v="Second Class"/>
    <n v="4"/>
    <n v="2427.15"/>
    <n v="0.05"/>
    <n v="9223.17"/>
    <n v="5103.7"/>
    <n v="4119.47"/>
    <x v="0"/>
    <x v="0"/>
    <m/>
    <s v="ORD-2025-10635"/>
    <s v="01-11-25"/>
    <s v="12-01-25"/>
    <s v="CUST-4722"/>
    <s v="Aditi Sen"/>
    <s v="Consumer"/>
    <s v="South"/>
    <s v="Telangana"/>
    <s v="Hyderabad"/>
    <s v="Furniture"/>
    <s v="Chairs"/>
    <s v="Classic Chairs 220"/>
    <s v="Second Class"/>
    <s v="anomaly"/>
    <n v="-293"/>
    <n v="0.05"/>
    <x v="613"/>
    <x v="613"/>
    <n v="0.44664361602355807"/>
    <s v="01-11-25"/>
    <s v="12-01-25"/>
    <s v="November"/>
    <s v="2025"/>
    <s v=" "/>
    <n v="-293"/>
    <s v="Unique"/>
  </r>
  <r>
    <s v="ORD-2024-10636"/>
    <s v="20 May 2024"/>
    <s v="2024-05-25"/>
    <s v="CUST-7931"/>
    <s v="Mira Das"/>
    <s v="Corporate"/>
    <x v="2"/>
    <s v="Andhra Pradesh"/>
    <s v="Vijayawada"/>
    <s v="Furniture"/>
    <s v="Chairs"/>
    <s v="Max Chairs 305"/>
    <s v="Same Day"/>
    <n v="7"/>
    <n v="3122.85"/>
    <n v="0.25"/>
    <n v="16394.96"/>
    <n v="10404.17"/>
    <n v="5990.79"/>
    <x v="0"/>
    <x v="0"/>
    <m/>
    <s v="ORD-2024-10636"/>
    <s v="20-05-24"/>
    <s v="25-05-24"/>
    <s v="CUST-7931"/>
    <s v="Mira Das"/>
    <s v="Corporate"/>
    <s v="South"/>
    <s v="Andhra Pradesh"/>
    <s v="Vijayawada"/>
    <s v="Furniture"/>
    <s v="Chairs"/>
    <s v="Max Chairs 305"/>
    <s v="Same Day"/>
    <s v="anomaly"/>
    <n v="5"/>
    <n v="0.25"/>
    <x v="614"/>
    <x v="614"/>
    <n v="0.36540446493854445"/>
    <s v="20-05-24"/>
    <s v="25-05-24"/>
    <s v="May"/>
    <s v="2024"/>
    <s v=" "/>
    <n v="5"/>
    <s v="Unique"/>
  </r>
  <r>
    <s v="ORD-2024-10637"/>
    <s v="02 Oct 2024"/>
    <s v="09 Oct 2024"/>
    <s v="CUST-7221"/>
    <s v="Ananya Rao"/>
    <s v="Consumer"/>
    <x v="2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x v="0"/>
    <x v="0"/>
    <m/>
    <s v="ORD-2024-10637"/>
    <s v="02-10-24"/>
    <s v="09-10-24"/>
    <s v="CUST-7221"/>
    <s v="Ananya Rao"/>
    <s v="Consumer"/>
    <s v="South"/>
    <s v="Tamil Nadu"/>
    <s v="Chennai"/>
    <s v="Office Supplies"/>
    <s v="Paper"/>
    <s v="Smart Paper 872"/>
    <s v="Standard Class"/>
    <s v="anomaly"/>
    <n v="7"/>
    <n v="0.15"/>
    <x v="615"/>
    <x v="615"/>
    <n v="0.2147255434673831"/>
    <s v="02-10-24"/>
    <s v="09-10-24"/>
    <s v="October"/>
    <s v="2024"/>
    <s v=" "/>
    <n v="7"/>
    <s v="Unique"/>
  </r>
  <r>
    <s v="ORD-2024-10638"/>
    <s v="26-05-2024"/>
    <s v="2024-05-26"/>
    <s v="CUST-2594"/>
    <s v="Rahul Verma"/>
    <s v="Small Business"/>
    <x v="3"/>
    <s v="Goa"/>
    <s v="Panaji"/>
    <s v="Technology"/>
    <s v="Copiers"/>
    <s v="Max Copiers 994"/>
    <s v="First Class"/>
    <n v="2"/>
    <n v="3192.47"/>
    <n v="0.2"/>
    <n v="5107.95"/>
    <n v="3133.08"/>
    <n v="1974.87"/>
    <x v="0"/>
    <x v="0"/>
    <m/>
    <s v="ORD-2024-10638"/>
    <s v="26-05-24"/>
    <s v="26-05-24"/>
    <s v="CUST-2594"/>
    <s v="Rahul Verma"/>
    <s v="Small Business"/>
    <s v="West"/>
    <s v="Goa"/>
    <s v="Panaji"/>
    <s v="Technology"/>
    <s v="Copiers"/>
    <s v="Max Copiers 994"/>
    <s v="First Class"/>
    <s v="  "/>
    <n v="0"/>
    <n v="0.2"/>
    <x v="616"/>
    <x v="616"/>
    <n v="0.38662696908663202"/>
    <s v="26-05-24"/>
    <s v="26-05-24"/>
    <s v="May"/>
    <s v="2024"/>
    <s v=" "/>
    <n v="0"/>
    <s v="Unique"/>
  </r>
  <r>
    <s v="ORD-2024-10639"/>
    <s v="26 Jan 2024"/>
    <s v="31-01-2024"/>
    <s v="CUST-2111"/>
    <s v="Karan Malhotra"/>
    <s v="Corporate"/>
    <x v="2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x v="3"/>
    <x v="2"/>
    <m/>
    <s v="ORD-2024-10639"/>
    <s v="26-01-24"/>
    <s v="31-01-24"/>
    <s v="CUST-2111"/>
    <s v="Karan Malhotra"/>
    <s v="Corporate"/>
    <s v="South"/>
    <s v="Kerala"/>
    <s v="Kochi"/>
    <s v="Office Supplies"/>
    <s v="Storage"/>
    <s v="Pro Storage 744"/>
    <s v="Second Class"/>
    <s v="anomaly"/>
    <n v="5"/>
    <n v="0.2"/>
    <x v="617"/>
    <x v="617"/>
    <n v="0.40208969126306743"/>
    <s v="26-01-24"/>
    <s v="31-01-24"/>
    <s v="January"/>
    <s v="2024"/>
    <s v=" "/>
    <n v="5"/>
    <s v="Unique"/>
  </r>
  <r>
    <s v="ORD-2024-10640"/>
    <s v="12/27/2024"/>
    <s v="31-12-2024"/>
    <s v="CUST-6829"/>
    <s v="Isha Nair"/>
    <s v="Small Business"/>
    <x v="1"/>
    <s v="Odisha"/>
    <s v="Bhubaneswar"/>
    <s v="Furniture"/>
    <s v="Chairs"/>
    <s v="Elite Chairs 744"/>
    <s v="Second Class"/>
    <n v="1"/>
    <n v="1594.7"/>
    <n v="0.05"/>
    <n v="1514.96"/>
    <n v="1046.17"/>
    <n v="468.79"/>
    <x v="0"/>
    <x v="0"/>
    <m/>
    <s v="ORD-2024-10640"/>
    <s v="invalid date"/>
    <s v="31-12-24"/>
    <s v="CUST-6829"/>
    <s v="Isha Nair"/>
    <s v="Small Business"/>
    <s v="East"/>
    <s v="Odisha"/>
    <s v="Bhubaneswar"/>
    <s v="Furniture"/>
    <s v="Chairs"/>
    <s v="Elite Chairs 744"/>
    <s v="Second Class"/>
    <s v="Invalid"/>
    <s v="invalid date"/>
    <n v="0.05"/>
    <x v="618"/>
    <x v="618"/>
    <n v="0.3094427924077453"/>
    <s v="invalid date"/>
    <s v="31-12-24"/>
    <s v="invalid date"/>
    <s v="invalid date"/>
    <s v="Invalid"/>
    <s v="invalid date"/>
    <s v="Unique"/>
  </r>
  <r>
    <s v="ORD-2025-10641"/>
    <s v="14-01-2025"/>
    <s v="17 Jan 2025"/>
    <s v="CUST-5061"/>
    <s v="Vikram Iyer"/>
    <s v="Consumer"/>
    <x v="3"/>
    <s v="Goa"/>
    <s v="Panaji"/>
    <s v="Office Supplies"/>
    <s v="Storage"/>
    <s v="Basic Storage 973"/>
    <s v="First Class"/>
    <n v="1"/>
    <n v="1584.12"/>
    <n v="0.2"/>
    <n v="1267.3"/>
    <n v="923.53"/>
    <n v="343.77"/>
    <x v="0"/>
    <x v="0"/>
    <m/>
    <s v="ORD-2025-10641"/>
    <s v="14-01-25"/>
    <s v="17-01-25"/>
    <s v="CUST-5061"/>
    <s v="Vikram Iyer"/>
    <s v="Consumer"/>
    <s v="West"/>
    <s v="Goa"/>
    <s v="Panaji"/>
    <s v="Office Supplies"/>
    <s v="Storage"/>
    <s v="Basic Storage 973"/>
    <s v="First Class"/>
    <s v="anomaly"/>
    <n v="3"/>
    <n v="0.2"/>
    <x v="619"/>
    <x v="619"/>
    <n v="0.27125943741635739"/>
    <s v="14-01-25"/>
    <s v="17-01-25"/>
    <s v="January"/>
    <s v="2025"/>
    <s v=" "/>
    <n v="3"/>
    <s v="Unique"/>
  </r>
  <r>
    <s v="ORD-2025-10642"/>
    <s v="2025-04-09"/>
    <s v="2025-04-14"/>
    <s v="CUST-7915"/>
    <s v="Karan Malhotra"/>
    <s v="Consumer"/>
    <x v="0"/>
    <s v="Delhi"/>
    <s v="New Delhi"/>
    <s v="Furniture"/>
    <s v="Furnishings"/>
    <s v="Smart Furnishings 783"/>
    <s v="Same Day"/>
    <n v="2"/>
    <n v="3202.87"/>
    <n v="0"/>
    <n v="6405.74"/>
    <n v="3561.87"/>
    <n v="2843.87"/>
    <x v="0"/>
    <x v="0"/>
    <m/>
    <s v="ORD-2025-10642"/>
    <s v="09-04-25"/>
    <s v="14-04-25"/>
    <s v="CUST-7915"/>
    <s v="Karan Malhotra"/>
    <s v="Consumer"/>
    <s v="North"/>
    <s v="Delhi"/>
    <s v="New Delhi"/>
    <s v="Furniture"/>
    <s v="Furnishings"/>
    <s v="Smart Furnishings 783"/>
    <s v="Same Day"/>
    <s v="anomaly"/>
    <n v="5"/>
    <n v="0"/>
    <x v="620"/>
    <x v="620"/>
    <n v="0.44395651400150488"/>
    <s v="09-04-25"/>
    <s v="14-04-25"/>
    <s v="April"/>
    <s v="2025"/>
    <s v=" "/>
    <n v="5"/>
    <s v="Unique"/>
  </r>
  <r>
    <s v="ORD-2024-10643"/>
    <s v="08/29/2024"/>
    <s v="08/31/2024"/>
    <s v="CUST-1940"/>
    <s v="Isha Nair"/>
    <s v="Home Office"/>
    <x v="1"/>
    <s v="Assam"/>
    <s v="Guwahati"/>
    <s v="Office Supplies"/>
    <s v="Binders"/>
    <s v="Prime Binders 287"/>
    <s v="Second Class"/>
    <n v="9"/>
    <n v="1275.21"/>
    <n v="0.25"/>
    <n v="8607.67"/>
    <n v="5337.64"/>
    <n v="3270.03"/>
    <x v="3"/>
    <x v="2"/>
    <m/>
    <s v="ORD-2024-10643"/>
    <s v="invalid date"/>
    <s v="invalid date"/>
    <s v="CUST-1940"/>
    <s v="Isha Nair"/>
    <s v="Home Office"/>
    <s v="East"/>
    <s v="Assam"/>
    <s v="Guwahati"/>
    <s v="Office Supplies"/>
    <s v="Binders"/>
    <s v="Prime Binders 287"/>
    <s v="Second Class"/>
    <s v="Invalid"/>
    <s v="invalid date"/>
    <n v="0.25"/>
    <x v="621"/>
    <x v="621"/>
    <n v="0.37989705108846261"/>
    <s v="invalid date"/>
    <s v="invalid date"/>
    <s v="invalid date"/>
    <s v="invalid date"/>
    <s v="Invalid"/>
    <s v="invalid date"/>
    <s v="Unique"/>
  </r>
  <r>
    <s v="ORD-2024-10644"/>
    <s v="05-02-2024"/>
    <s v="2024-02-13"/>
    <s v="CUST-1986"/>
    <s v="Aarav Sharma"/>
    <s v="Home Office"/>
    <x v="0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x v="3"/>
    <x v="2"/>
    <m/>
    <s v="ORD-2024-10644"/>
    <s v="05-02-24"/>
    <s v="13-02-24"/>
    <s v="CUST-1986"/>
    <s v="Aarav Sharma"/>
    <s v="Home Office"/>
    <s v="North"/>
    <s v="Uttar Pradesh"/>
    <s v="Noida"/>
    <s v="Office Supplies"/>
    <s v="Labels"/>
    <s v="Elite Labels 654"/>
    <s v="Standard Class"/>
    <s v="anomaly"/>
    <n v="8"/>
    <n v="0.15"/>
    <x v="622"/>
    <x v="622"/>
    <n v="0.3816310150758106"/>
    <s v="05-02-24"/>
    <s v="13-02-24"/>
    <s v="February"/>
    <s v="2024"/>
    <s v=" "/>
    <n v="8"/>
    <s v="Unique"/>
  </r>
  <r>
    <s v="ORD-2025-10645"/>
    <s v="2025-04-10"/>
    <s v="04/17/2025"/>
    <s v="CUST-5549"/>
    <s v="Vikram Iyer"/>
    <s v="Consumer"/>
    <x v="1"/>
    <s v="West Bengal"/>
    <s v="Kolkata"/>
    <s v="Furniture"/>
    <s v="Chairs"/>
    <s v="Pro Chairs 812"/>
    <s v="Standard Class"/>
    <n v="4"/>
    <n v="3750.02"/>
    <n v="0.05"/>
    <n v="14250.08"/>
    <n v="10914.92"/>
    <n v="3335.16"/>
    <x v="0"/>
    <x v="0"/>
    <m/>
    <s v="ORD-2025-10645"/>
    <s v="10-04-25"/>
    <s v="invalid date"/>
    <s v="CUST-5549"/>
    <s v="Vikram Iyer"/>
    <s v="Consumer"/>
    <s v="East"/>
    <s v="West Bengal"/>
    <s v="Kolkata"/>
    <s v="Furniture"/>
    <s v="Chairs"/>
    <s v="Pro Chairs 812"/>
    <s v="Standard Class"/>
    <s v="Invalid"/>
    <s v="invalid date"/>
    <n v="0.05"/>
    <x v="623"/>
    <x v="623"/>
    <n v="0.23404478684885605"/>
    <s v="10-04-25"/>
    <s v="invalid date"/>
    <s v="April"/>
    <s v="2025"/>
    <s v="Invalid"/>
    <s v="invalid date"/>
    <s v="Unique"/>
  </r>
  <r>
    <s v="ORD-2024-10646"/>
    <s v="2024-01-04"/>
    <s v="09-01-2024"/>
    <s v="CUST-2314"/>
    <s v="Kabir Singh"/>
    <s v="Consumer"/>
    <x v="1"/>
    <s v="Bihar"/>
    <s v="Patna"/>
    <s v="Furniture"/>
    <s v="Chairs"/>
    <s v="Basic Chairs 480"/>
    <s v="Second Class"/>
    <n v="6"/>
    <n v="2423.61"/>
    <n v="0.1"/>
    <n v="13087.49"/>
    <n v="7608.89"/>
    <n v="5133.22"/>
    <x v="0"/>
    <x v="0"/>
    <m/>
    <s v="ORD-2024-10646"/>
    <s v="04-01-24"/>
    <s v="09-01-24"/>
    <s v="CUST-2314"/>
    <s v="Kabir Singh"/>
    <s v="Consumer"/>
    <s v="East"/>
    <s v="Bihar"/>
    <s v="Patna"/>
    <s v="Furniture"/>
    <s v="Chairs"/>
    <s v="Basic Chairs 480"/>
    <s v="Second Class"/>
    <s v="anomaly"/>
    <n v="5"/>
    <n v="0.1"/>
    <x v="624"/>
    <x v="624"/>
    <n v="0.41861367806548755"/>
    <s v="04-01-24"/>
    <s v="09-01-24"/>
    <s v="January"/>
    <s v="2024"/>
    <s v=" "/>
    <n v="5"/>
    <s v="Unique"/>
  </r>
  <r>
    <s v="ORD-2024-10647"/>
    <s v="09/18/2024"/>
    <s v="24-09-2024"/>
    <s v="CUST-6360"/>
    <s v="Vikram Iyer"/>
    <s v="Small Business"/>
    <x v="1"/>
    <s v="Jharkhand"/>
    <s v="Ranchi"/>
    <s v="Technology"/>
    <s v="Machines"/>
    <s v="Elite Machines 955"/>
    <s v="First Class"/>
    <n v="3"/>
    <n v="729.14"/>
    <n v="0.25"/>
    <n v="1640.57"/>
    <n v="1136.98"/>
    <n v="503.59"/>
    <x v="0"/>
    <x v="0"/>
    <m/>
    <s v="ORD-2024-10647"/>
    <s v="invalid date"/>
    <s v="24-09-24"/>
    <s v="CUST-6360"/>
    <s v="Vikram Iyer"/>
    <s v="Small Business"/>
    <s v="East"/>
    <s v="Jharkhand"/>
    <s v="Ranchi"/>
    <s v="Technology"/>
    <s v="Machines"/>
    <s v="Elite Machines 955"/>
    <s v="First Class"/>
    <s v="Invalid"/>
    <s v="invalid date"/>
    <n v="0.25"/>
    <x v="625"/>
    <x v="625"/>
    <n v="0.30695827352162214"/>
    <s v="invalid date"/>
    <s v="24-09-24"/>
    <s v="invalid date"/>
    <s v="invalid date"/>
    <s v="Invalid"/>
    <s v="invalid date"/>
    <s v="Unique"/>
  </r>
  <r>
    <s v="ORD-2025-10648"/>
    <s v="01/01/2025"/>
    <s v="09-01-2025"/>
    <s v="CUST-9942"/>
    <s v="Rohan  Mehta"/>
    <s v="Small Business"/>
    <x v="0"/>
    <s v="Punjab"/>
    <s v="Ludhiana"/>
    <s v="Office Supplies"/>
    <s v="Art"/>
    <s v="Prime Art 461"/>
    <s v="First Class"/>
    <n v="8"/>
    <n v="2123.81"/>
    <n v="0.15"/>
    <n v="14441.91"/>
    <n v="10872.89"/>
    <n v="3569.02"/>
    <x v="0"/>
    <x v="0"/>
    <m/>
    <s v="ORD-2025-10648"/>
    <s v="01-01-25"/>
    <s v="09-01-25"/>
    <s v="CUST-9942"/>
    <s v="Rohan Mehta"/>
    <s v="Small Business"/>
    <s v="North"/>
    <s v="Punjab"/>
    <s v="Ludhiana"/>
    <s v="Office Supplies"/>
    <s v="Art"/>
    <s v="Prime Art 461"/>
    <s v="First Class"/>
    <s v="anomaly"/>
    <n v="8"/>
    <n v="0.15"/>
    <x v="626"/>
    <x v="626"/>
    <n v="0.24712925743606731"/>
    <s v="01-01-25"/>
    <s v="09-01-25"/>
    <s v="January"/>
    <s v="2025"/>
    <s v=" "/>
    <n v="8"/>
    <s v="Unique"/>
  </r>
  <r>
    <s v="ORD-2024-10649"/>
    <s v="21-04-2024"/>
    <s v="24 Apr 2024"/>
    <s v="CUST-1808"/>
    <s v="Neha Gupta"/>
    <s v="Small Business"/>
    <x v="2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x v="3"/>
    <x v="2"/>
    <m/>
    <s v="ORD-2024-10649"/>
    <s v="21-04-24"/>
    <s v="24-04-24"/>
    <s v="CUST-1808"/>
    <s v="Neha Gupta"/>
    <s v="Small Business"/>
    <s v="South"/>
    <s v="Andhra Pradesh"/>
    <s v="Vijayawada"/>
    <s v="Office Supplies"/>
    <s v="Art"/>
    <s v="Prime Art 301"/>
    <s v="Same Day"/>
    <s v="anomaly"/>
    <n v="3"/>
    <n v="0.2"/>
    <x v="627"/>
    <x v="627"/>
    <n v="0.30569768378364304"/>
    <s v="21-04-24"/>
    <s v="24-04-24"/>
    <s v="April"/>
    <s v="2024"/>
    <s v=" "/>
    <n v="3"/>
    <s v="Unique"/>
  </r>
  <r>
    <s v="ORD-2025-10650"/>
    <s v="11 Aug 2025"/>
    <s v="19-08-2025"/>
    <s v="CUST-7277"/>
    <s v="Kabir Singh"/>
    <s v="Small Business"/>
    <x v="2"/>
    <s v="Kerala"/>
    <s v="Kochi"/>
    <s v="Technology"/>
    <s v="Accessories"/>
    <s v="Classic Accessories 354"/>
    <s v="Standard Class"/>
    <n v="4"/>
    <n v="2258.96"/>
    <n v="0.25"/>
    <n v="6776.88"/>
    <n v="3836.24"/>
    <n v="2940.64"/>
    <x v="0"/>
    <x v="0"/>
    <m/>
    <s v="ORD-2025-10650"/>
    <s v="11-08-25"/>
    <s v="19-08-25"/>
    <s v="CUST-7277"/>
    <s v="Kabir Singh"/>
    <s v="Small Business"/>
    <s v="South"/>
    <s v="Kerala"/>
    <s v="Kochi"/>
    <s v="Technology"/>
    <s v="Accessories"/>
    <s v="Classic Accessories 354"/>
    <s v="Standard Class"/>
    <s v="anomaly"/>
    <n v="8"/>
    <n v="0.25"/>
    <x v="628"/>
    <x v="628"/>
    <n v="0.43392239496641527"/>
    <s v="11-08-25"/>
    <s v="19-08-25"/>
    <s v="August"/>
    <s v="2025"/>
    <s v=" "/>
    <n v="8"/>
    <s v="Unique"/>
  </r>
  <r>
    <s v="ORD-2024-10651"/>
    <s v="04/13/2024"/>
    <s v="21 Apr 2024"/>
    <s v="CUST-7744"/>
    <s v="Aarav Sharma"/>
    <s v="Home Office"/>
    <x v="1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x v="3"/>
    <x v="2"/>
    <m/>
    <s v="ORD-2024-10651"/>
    <s v="invalid date"/>
    <s v="21-04-24"/>
    <s v="CUST-7744"/>
    <s v="Aarav Sharma"/>
    <s v="Home Office"/>
    <s v="East"/>
    <s v="Bihar"/>
    <s v="Patna"/>
    <s v="Technology"/>
    <s v="Accessories"/>
    <s v="Basic Accessories 210"/>
    <s v="Same Day"/>
    <s v="Invalid"/>
    <s v="invalid date"/>
    <n v="0.15"/>
    <x v="629"/>
    <x v="629"/>
    <n v="0.36983165485647884"/>
    <s v="invalid date"/>
    <s v="21-04-24"/>
    <s v="invalid date"/>
    <s v="invalid date"/>
    <s v="Invalid"/>
    <s v="invalid date"/>
    <s v="Unique"/>
  </r>
  <r>
    <s v="ORD-2025-10652"/>
    <s v="06 Aug 2025"/>
    <s v="09-08-2025"/>
    <s v="CUST-2660"/>
    <s v="Mira Das"/>
    <s v="Small Business"/>
    <x v="2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x v="0"/>
    <x v="0"/>
    <m/>
    <s v="ORD-2025-10652"/>
    <s v="06-08-25"/>
    <s v="09-08-25"/>
    <s v="CUST-2660"/>
    <s v="Mira Das"/>
    <s v="Small Business"/>
    <s v="South"/>
    <s v="Andhra Pradesh"/>
    <s v="Vijayawada"/>
    <s v="Office Supplies"/>
    <s v="Paper"/>
    <s v="Smart Paper 364"/>
    <s v="Second Class"/>
    <s v="anomaly"/>
    <n v="3"/>
    <n v="0"/>
    <x v="630"/>
    <x v="630"/>
    <n v="0.44492523598696843"/>
    <s v="06-08-25"/>
    <s v="09-08-25"/>
    <s v="August"/>
    <s v="2025"/>
    <s v=" "/>
    <n v="3"/>
    <s v="Unique"/>
  </r>
  <r>
    <s v="ORD-2025-10653"/>
    <s v="03/17/2025"/>
    <s v="2025-03-21"/>
    <s v="CUST-8177"/>
    <s v="Sneha Kapoor"/>
    <s v="Consumer"/>
    <x v="0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x v="0"/>
    <x v="0"/>
    <m/>
    <s v="ORD-2025-10653"/>
    <s v="invalid date"/>
    <s v="21-03-25"/>
    <s v="CUST-8177"/>
    <s v="Sneha Kapoor"/>
    <s v="Consumer"/>
    <s v="North"/>
    <s v="Uttar Pradesh"/>
    <s v="Noida"/>
    <s v="Office Supplies"/>
    <s v="Binders"/>
    <s v="Smart Binders 999"/>
    <s v="Standard Class"/>
    <s v="Invalid"/>
    <s v="invalid date"/>
    <n v="0.15"/>
    <x v="631"/>
    <x v="631"/>
    <n v="0.39365742941153326"/>
    <s v="invalid date"/>
    <s v="21-03-25"/>
    <s v="invalid date"/>
    <s v="invalid date"/>
    <s v="Invalid"/>
    <s v="invalid date"/>
    <s v="Unique"/>
  </r>
  <r>
    <s v="ORD-2025-10654"/>
    <s v="04-04-2025"/>
    <s v="04/07/2025"/>
    <s v="CUST-3970"/>
    <s v="Priya Menon"/>
    <s v="Small Business"/>
    <x v="2"/>
    <s v="Tamil Nadu"/>
    <s v="Chennai"/>
    <s v="Technology"/>
    <s v="Copiers"/>
    <s v="Max Copiers 356"/>
    <s v="Second Class"/>
    <n v="7"/>
    <n v="4457.93"/>
    <n v="0.15"/>
    <n v="26524.68"/>
    <n v="20574.3"/>
    <n v="5950.38"/>
    <x v="0"/>
    <x v="0"/>
    <m/>
    <s v="ORD-2025-10654"/>
    <s v="04-04-25"/>
    <s v="04-07-25"/>
    <s v="CUST-3970"/>
    <s v="Priya Menon"/>
    <s v="Small Business"/>
    <s v="South"/>
    <s v="Tamil Nadu"/>
    <s v="Chennai"/>
    <s v="Technology"/>
    <s v="Copiers"/>
    <s v="Max Copiers 356"/>
    <s v="Second Class"/>
    <s v="anomaly"/>
    <n v="91"/>
    <n v="0.15"/>
    <x v="632"/>
    <x v="632"/>
    <n v="0.22433381721595294"/>
    <s v="04-04-25"/>
    <s v="04-07-25"/>
    <s v="April"/>
    <s v="2025"/>
    <s v=" "/>
    <n v="91"/>
    <s v="Unique"/>
  </r>
  <r>
    <s v="ORD-2025-10655"/>
    <s v="10/12/2025"/>
    <s v="16-10-2025"/>
    <s v="CUST-8249"/>
    <s v="Diya Patel"/>
    <s v="Corporate"/>
    <x v="1"/>
    <s v="Bihar"/>
    <s v="Patna"/>
    <s v="Technology"/>
    <s v="Machines"/>
    <s v="Classic Machines 639"/>
    <s v="Same Day"/>
    <n v="1"/>
    <n v="2570.06"/>
    <n v="0.2"/>
    <n v="2056.0500000000002"/>
    <n v="1662.39"/>
    <n v="393.66"/>
    <x v="0"/>
    <x v="0"/>
    <m/>
    <s v="ORD-2025-10655"/>
    <s v="10-12-25"/>
    <s v="16-10-25"/>
    <s v="CUST-8249"/>
    <s v="Diya Patel"/>
    <s v="Corporate"/>
    <s v="East"/>
    <s v="Bihar"/>
    <s v="Patna"/>
    <s v="Technology"/>
    <s v="Machines"/>
    <s v="Classic Machines 639"/>
    <s v="Same Day"/>
    <s v="anomaly"/>
    <n v="-55"/>
    <n v="0.2"/>
    <x v="633"/>
    <x v="633"/>
    <n v="0.19146342886936496"/>
    <s v="10-12-25"/>
    <s v="16-10-25"/>
    <s v="December"/>
    <s v="2025"/>
    <s v=" "/>
    <n v="-55"/>
    <s v="Unique"/>
  </r>
  <r>
    <s v="ORD-2025-10656"/>
    <s v="08/26/2025"/>
    <s v="08/26/2025"/>
    <s v="CUST-8039"/>
    <s v="Neha Gupta"/>
    <s v="Home Office"/>
    <x v="1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x v="0"/>
    <x v="0"/>
    <m/>
    <s v="ORD-2025-10656"/>
    <s v="invalid date"/>
    <s v="invalid date"/>
    <s v="CUST-8039"/>
    <s v="Neha Gupta"/>
    <s v="Home Office"/>
    <s v="East"/>
    <s v="West Bengal"/>
    <s v="Kolkata"/>
    <s v="Furniture"/>
    <s v="Furnishings"/>
    <s v="Smart Furnishings 748"/>
    <s v="Standard Class"/>
    <s v="Invalid"/>
    <s v="invalid date"/>
    <n v="0"/>
    <x v="634"/>
    <x v="634"/>
    <n v="0.40468882155570635"/>
    <s v="invalid date"/>
    <s v="invalid date"/>
    <s v="invalid date"/>
    <s v="invalid date"/>
    <s v="Invalid"/>
    <s v="invalid date"/>
    <s v="Unique"/>
  </r>
  <r>
    <s v="ORD-2024-10657"/>
    <s v="07-05-2024"/>
    <s v="05/14/2024"/>
    <s v="CUST-4446"/>
    <s v="Neha Gupta"/>
    <s v="Small Business"/>
    <x v="0"/>
    <s v="Haryana"/>
    <s v="Gurugram"/>
    <s v="Technology"/>
    <s v="Machines"/>
    <s v="Pro Machines 589"/>
    <s v="Same Day"/>
    <n v="4"/>
    <n v="2751.1"/>
    <s v="invalid"/>
    <n v="9903.9599999999991"/>
    <n v="7696.28"/>
    <n v="2207.6799999999998"/>
    <x v="0"/>
    <x v="0"/>
    <m/>
    <s v="ORD-2024-10657"/>
    <s v="07-05-24"/>
    <s v="invalid date"/>
    <s v="CUST-4446"/>
    <s v="Neha Gupta"/>
    <s v="Small Business"/>
    <s v="North"/>
    <s v="Haryana"/>
    <s v="Gurugram"/>
    <s v="Technology"/>
    <s v="Machines"/>
    <s v="Pro Machines 589"/>
    <s v="Same Day"/>
    <s v="Invalid"/>
    <s v="invalid date"/>
    <s v="invalid"/>
    <x v="2"/>
    <x v="2"/>
    <s v="NA"/>
    <s v="07-05-24"/>
    <s v="invalid date"/>
    <s v="May"/>
    <s v="2024"/>
    <s v="Invalid"/>
    <s v="invalid date"/>
    <s v="Unique"/>
  </r>
  <r>
    <s v="ORD-2025-10658"/>
    <s v="08/07/2025"/>
    <s v="2025-08-10"/>
    <s v="CUST-7787"/>
    <s v="Aditi Sen"/>
    <s v="Home Office"/>
    <x v="1"/>
    <s v="Bihar"/>
    <s v="Patna"/>
    <s v="Office Supplies"/>
    <s v="Storage"/>
    <s v="Eco Storage 316"/>
    <s v="Second Class"/>
    <n v="1"/>
    <n v="2541.25"/>
    <n v="0.2"/>
    <n v="2033"/>
    <n v="1291.4100000000001"/>
    <n v="741.59"/>
    <x v="0"/>
    <x v="0"/>
    <m/>
    <s v="ORD-2025-10658"/>
    <s v="08-07-25"/>
    <s v="10-08-25"/>
    <s v="CUST-7787"/>
    <s v="Aditi Sen"/>
    <s v="Home Office"/>
    <s v="East"/>
    <s v="Bihar"/>
    <s v="Patna"/>
    <s v="Office Supplies"/>
    <s v="Storage"/>
    <s v="Eco Storage 316"/>
    <s v="Second Class"/>
    <s v="anomaly"/>
    <n v="33"/>
    <n v="0.2"/>
    <x v="635"/>
    <x v="635"/>
    <n v="0.36477619281849477"/>
    <s v="08-07-25"/>
    <s v="10-08-25"/>
    <s v="July"/>
    <s v="2025"/>
    <s v=" "/>
    <n v="33"/>
    <s v="Unique"/>
  </r>
  <r>
    <s v="ORD-2025-10659"/>
    <s v="2025-06-09"/>
    <s v="06/12/2025"/>
    <s v="CUST-9074"/>
    <s v="Sneha Kapoor"/>
    <s v="Consumer"/>
    <x v="4"/>
    <s v="Bihar"/>
    <s v="Patna"/>
    <s v="Office Supplies"/>
    <s v="Art"/>
    <s v="Eco Art 763"/>
    <s v="First Class"/>
    <n v="7"/>
    <n v="2852.42"/>
    <n v="0"/>
    <n v="19966.939999999999"/>
    <n v="12690.83"/>
    <n v="7276.11"/>
    <x v="1"/>
    <x v="1"/>
    <m/>
    <s v="ORD-2025-10659"/>
    <s v="09-06-25"/>
    <s v="06-12-25"/>
    <s v="CUST-9074"/>
    <s v="Sneha Kapoor"/>
    <s v="Consumer"/>
    <s v="unknown"/>
    <s v="Bihar"/>
    <s v="Patna"/>
    <s v="Office Supplies"/>
    <s v="Art"/>
    <s v="Eco Art 763"/>
    <s v="First Class"/>
    <s v="  "/>
    <n v="180"/>
    <n v="0"/>
    <x v="636"/>
    <x v="636"/>
    <n v="0.36440786620283339"/>
    <s v="09-06-25"/>
    <s v="06-12-25"/>
    <s v="June"/>
    <s v="2025"/>
    <s v="anomaly"/>
    <n v="180"/>
    <s v="Unique"/>
  </r>
  <r>
    <s v="ORD-2025-10660"/>
    <s v="21-01-2025"/>
    <s v="2025-01-22"/>
    <s v="CUST-8330"/>
    <s v="Diya Patel"/>
    <s v="Corporate"/>
    <x v="2"/>
    <s v="Karnataka"/>
    <s v="Bengaluru"/>
    <s v="Technology"/>
    <s v="Phones"/>
    <s v="Pro Phones 356"/>
    <s v="Second Class"/>
    <n v="2"/>
    <n v="444.31"/>
    <n v="0.2"/>
    <n v="710.9"/>
    <n v="513.88"/>
    <n v="197.02"/>
    <x v="1"/>
    <x v="1"/>
    <m/>
    <s v="ORD-2025-10660"/>
    <s v="21-01-25"/>
    <s v="22-01-25"/>
    <s v="CUST-8330"/>
    <s v="Diya Patel"/>
    <s v="Corporate"/>
    <s v="South"/>
    <s v="Karnataka"/>
    <s v="Bengaluru"/>
    <s v="Technology"/>
    <s v="Phones"/>
    <s v="Pro Phones 356"/>
    <s v="Second Class"/>
    <s v="anomaly"/>
    <n v="1"/>
    <n v="0.2"/>
    <x v="637"/>
    <x v="637"/>
    <n v="0.27713758411919615"/>
    <s v="21-01-25"/>
    <s v="22-01-25"/>
    <s v="January"/>
    <s v="2025"/>
    <s v=" "/>
    <n v="1"/>
    <s v="Unique"/>
  </r>
  <r>
    <s v="ORD-2025-10661"/>
    <s v="07/15/2025"/>
    <s v="15-07-2025"/>
    <s v="CUST-5638"/>
    <s v="Arjun Bose"/>
    <s v="Small Business"/>
    <x v="1"/>
    <s v="Jharkhand"/>
    <s v="Ranchi"/>
    <s v="Technology"/>
    <s v="Phones"/>
    <s v="Basic Phones 865"/>
    <s v="Same Day"/>
    <n v="4"/>
    <n v="4442.91"/>
    <n v="0.1"/>
    <n v="15994.48"/>
    <n v="9224.2800000000007"/>
    <n v="6770.2"/>
    <x v="0"/>
    <x v="0"/>
    <m/>
    <s v="ORD-2025-10661"/>
    <s v="invalid date"/>
    <s v="15-07-25"/>
    <s v="CUST-5638"/>
    <s v="Arjun Bose"/>
    <s v="Small Business"/>
    <s v="East"/>
    <s v="Jharkhand"/>
    <s v="Ranchi"/>
    <s v="Technology"/>
    <s v="Phones"/>
    <s v="Basic Phones 865"/>
    <s v="Same Day"/>
    <s v="Invalid"/>
    <s v="invalid date"/>
    <n v="0.1"/>
    <x v="638"/>
    <x v="638"/>
    <n v="0.42328338858991066"/>
    <s v="invalid date"/>
    <s v="15-07-25"/>
    <s v="invalid date"/>
    <s v="invalid date"/>
    <s v="Invalid"/>
    <s v="invalid date"/>
    <s v="Unique"/>
  </r>
  <r>
    <s v="ORD-2024-10662"/>
    <s v="17-05-2024"/>
    <s v="2024-05-22"/>
    <s v="CUST-4537"/>
    <s v="Sneha Kapoor"/>
    <s v="Consumer"/>
    <x v="2"/>
    <s v="Andhra Pradesh"/>
    <s v="Vijayawada"/>
    <s v="Technology"/>
    <s v="Machines"/>
    <s v="Max Machines 595"/>
    <s v="Second Class"/>
    <n v="7"/>
    <n v="232.5"/>
    <n v="0"/>
    <n v="1627.5"/>
    <n v="939.9"/>
    <n v="687.6"/>
    <x v="0"/>
    <x v="0"/>
    <m/>
    <s v="ORD-2024-10662"/>
    <s v="17-05-24"/>
    <s v="22-05-24"/>
    <s v="CUST-4537"/>
    <s v="Sneha Kapoor"/>
    <s v="Consumer"/>
    <s v="South"/>
    <s v="Andhra Pradesh"/>
    <s v="Vijayawada"/>
    <s v="Technology"/>
    <s v="Machines"/>
    <s v="Max Machines 595"/>
    <s v="Second Class"/>
    <s v="anomaly"/>
    <n v="5"/>
    <n v="0"/>
    <x v="639"/>
    <x v="639"/>
    <n v="0.4224884792626728"/>
    <s v="17-05-24"/>
    <s v="22-05-24"/>
    <s v="May"/>
    <s v="2024"/>
    <s v=" "/>
    <n v="5"/>
    <s v="Unique"/>
  </r>
  <r>
    <s v="ORD-2024-10663"/>
    <s v="2024-01-14"/>
    <s v="18-01-2024"/>
    <s v="CUST-3181"/>
    <s v="Mira Das"/>
    <s v="Home Office"/>
    <x v="3"/>
    <s v="Rajasthan"/>
    <s v="Udaipur"/>
    <s v="Technology"/>
    <s v="Machines"/>
    <s v="Elite Machines 367"/>
    <s v="Same Day"/>
    <n v="6"/>
    <n v="1784.8"/>
    <n v="0.1"/>
    <n v="9637.92"/>
    <n v="7329.29"/>
    <n v="2308.63"/>
    <x v="0"/>
    <x v="0"/>
    <m/>
    <s v="ORD-2024-10663"/>
    <s v="14-01-24"/>
    <s v="18-01-24"/>
    <s v="CUST-3181"/>
    <s v="Mira Das"/>
    <s v="Home Office"/>
    <s v="West"/>
    <s v="Rajasthan"/>
    <s v="Udaipur"/>
    <s v="Technology"/>
    <s v="Machines"/>
    <s v="Elite Machines 367"/>
    <s v="Same Day"/>
    <s v="anomaly"/>
    <n v="4"/>
    <n v="0.1"/>
    <x v="640"/>
    <x v="640"/>
    <n v="0.2395361239769577"/>
    <s v="14-01-24"/>
    <s v="18-01-24"/>
    <s v="January"/>
    <s v="2024"/>
    <s v=" "/>
    <n v="4"/>
    <s v="Unique"/>
  </r>
  <r>
    <s v="ORD-2024-10664"/>
    <s v="05/02/2024"/>
    <s v="2024-05-08"/>
    <s v="CUST-1015"/>
    <s v="Rahul Verma"/>
    <s v="Home Office"/>
    <x v="1"/>
    <s v="Jharkhand"/>
    <s v="Ranchi"/>
    <s v="Technology"/>
    <s v="Copiers"/>
    <s v="Basic Copiers 787"/>
    <s v="Second Class"/>
    <n v="2"/>
    <n v="3185.01"/>
    <s v="invalid"/>
    <n v="4777.5200000000004"/>
    <n v="3152.98"/>
    <n v="1624.54"/>
    <x v="0"/>
    <x v="0"/>
    <m/>
    <s v="ORD-2024-10664"/>
    <s v="05-02-24"/>
    <s v="08-05-24"/>
    <s v="CUST-1015"/>
    <s v="Rahul Verma"/>
    <s v="Home Office"/>
    <s v="East"/>
    <s v="Jharkhand"/>
    <s v="Ranchi"/>
    <s v="Technology"/>
    <s v="Copiers"/>
    <s v="Basic Copiers 787"/>
    <s v="Second Class"/>
    <s v="anomaly"/>
    <n v="93"/>
    <s v="invalid"/>
    <x v="2"/>
    <x v="2"/>
    <s v="NA"/>
    <s v="05-02-24"/>
    <s v="08-05-24"/>
    <s v="February"/>
    <s v="2024"/>
    <s v=" "/>
    <n v="93"/>
    <s v="Unique"/>
  </r>
  <r>
    <s v="ORD-2024-10665"/>
    <s v="07 Dec 2024"/>
    <s v="10 Dec 2024"/>
    <s v="CUST-2709"/>
    <s v="Mira Das"/>
    <s v="Home Office"/>
    <x v="2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x v="0"/>
    <x v="0"/>
    <m/>
    <s v="ORD-2024-10665"/>
    <s v="07-12-24"/>
    <s v="10-12-24"/>
    <s v="CUST-2709"/>
    <s v="Mira Das"/>
    <s v="Home Office"/>
    <s v="South"/>
    <s v="Telangana"/>
    <s v="Hyderabad"/>
    <s v="Technology"/>
    <s v="Accessories"/>
    <s v="Max Accessories 903"/>
    <s v="Standard Class"/>
    <s v="anomaly"/>
    <n v="3"/>
    <n v="0.2"/>
    <x v="641"/>
    <x v="641"/>
    <n v="0.30854895407134209"/>
    <s v="07-12-24"/>
    <s v="10-12-24"/>
    <s v="December"/>
    <s v="2024"/>
    <s v=" "/>
    <n v="3"/>
    <s v="Unique"/>
  </r>
  <r>
    <s v="ORD-2025-10666"/>
    <s v="2025-01-13"/>
    <s v="01/13/2025"/>
    <s v="CUST-1197"/>
    <s v="Rahul Verma"/>
    <s v="Home Office"/>
    <x v="3"/>
    <s v="Gujarat"/>
    <s v="Ahmedabad"/>
    <s v="Office Supplies"/>
    <s v="Art"/>
    <s v="Max Art 660"/>
    <s v="Standard Class"/>
    <n v="3"/>
    <n v="2110.52"/>
    <n v="0.1"/>
    <n v="5698.4"/>
    <n v="3640.89"/>
    <n v="2057.5100000000002"/>
    <x v="3"/>
    <x v="1"/>
    <m/>
    <s v="ORD-2025-10666"/>
    <s v="13-01-25"/>
    <s v="invalid date"/>
    <s v="CUST-1197"/>
    <s v="Rahul Verma"/>
    <s v="Home Office"/>
    <s v="West"/>
    <s v="Gujarat"/>
    <s v="Ahmedabad"/>
    <s v="Office Supplies"/>
    <s v="Art"/>
    <s v="Max Art 660"/>
    <s v="Standard Class"/>
    <s v="Invalid"/>
    <s v="invalid date"/>
    <n v="0.1"/>
    <x v="642"/>
    <x v="642"/>
    <n v="0.36106846759197836"/>
    <s v="13-01-25"/>
    <s v="invalid date"/>
    <s v="January"/>
    <s v="2025"/>
    <s v="Invalid"/>
    <s v="invalid date"/>
    <s v="Unique"/>
  </r>
  <r>
    <s v="ORD-2024-10667"/>
    <s v="21 Jun 2024"/>
    <s v="06/26/2024"/>
    <s v="CUST-7758"/>
    <s v="Rohan Mehta"/>
    <s v="Small Business"/>
    <x v="0"/>
    <s v="Punjab"/>
    <s v="Ludhiana"/>
    <s v="Technology"/>
    <s v="Copiers"/>
    <s v="Classic Copiers 908"/>
    <s v="Same Day"/>
    <n v="1"/>
    <n v="279.83"/>
    <n v="0.05"/>
    <n v="265.83999999999997"/>
    <n v="223.49"/>
    <n v="42.35"/>
    <x v="0"/>
    <x v="0"/>
    <m/>
    <s v="ORD-2024-10667"/>
    <s v="21-06-24"/>
    <s v="invalid date"/>
    <s v="CUST-7758"/>
    <s v="Rohan Mehta"/>
    <s v="Small Business"/>
    <s v="North"/>
    <s v="Punjab"/>
    <s v="Ludhiana"/>
    <s v="Technology"/>
    <s v="Copiers"/>
    <s v="Classic Copiers 908"/>
    <s v="Same Day"/>
    <s v="Invalid"/>
    <s v="invalid date"/>
    <n v="0.05"/>
    <x v="643"/>
    <x v="643"/>
    <n v="0.15930160605028976"/>
    <s v="21-06-24"/>
    <s v="invalid date"/>
    <s v="June"/>
    <s v="2024"/>
    <s v="Invalid"/>
    <s v="invalid date"/>
    <s v="Unique"/>
  </r>
  <r>
    <s v="ORD-2025-10668"/>
    <s v="20-05-2025"/>
    <s v="27-05-2025"/>
    <s v="CUST-3912"/>
    <s v="Diya Patel"/>
    <s v="Small Business"/>
    <x v="1"/>
    <s v="Bihar"/>
    <s v="Patna"/>
    <s v="Technology"/>
    <s v="Machines"/>
    <s v="Pro Machines 706"/>
    <s v="Standard Class"/>
    <n v="1"/>
    <n v="3959.14"/>
    <n v="0"/>
    <n v="3959.14"/>
    <n v="3239.53"/>
    <n v="719.61"/>
    <x v="2"/>
    <x v="2"/>
    <m/>
    <s v="ORD-2025-10668"/>
    <s v="20-05-25"/>
    <s v="27-05-25"/>
    <s v="CUST-3912"/>
    <s v="Diya Patel"/>
    <s v="Small Business"/>
    <s v="East"/>
    <s v="Bihar"/>
    <s v="Patna"/>
    <s v="Technology"/>
    <s v="Machines"/>
    <s v="Pro Machines 706"/>
    <s v="Standard Class"/>
    <s v="anomaly"/>
    <n v="7"/>
    <n v="0"/>
    <x v="644"/>
    <x v="644"/>
    <n v="0.18175916992074029"/>
    <s v="20-05-25"/>
    <s v="27-05-25"/>
    <s v="May"/>
    <s v="2025"/>
    <s v=" "/>
    <n v="7"/>
    <s v="Unique"/>
  </r>
  <r>
    <s v="ORD-2024-10669"/>
    <s v="11/21/2024"/>
    <s v="23 Nov 2024"/>
    <s v="CUST-4190"/>
    <s v="Mira Das"/>
    <s v="Corporate"/>
    <x v="3"/>
    <s v="Gujarat"/>
    <s v="Ahmedabad"/>
    <s v="Office Supplies"/>
    <s v="Paper"/>
    <s v="Pro Paper 187"/>
    <s v="Second Class"/>
    <n v="5"/>
    <n v="600.46"/>
    <n v="0.2"/>
    <n v="2401.84"/>
    <n v="1873.11"/>
    <n v="528.73"/>
    <x v="0"/>
    <x v="0"/>
    <m/>
    <s v="ORD-2024-10669"/>
    <s v="invalid date"/>
    <s v="23-11-24"/>
    <s v="CUST-4190"/>
    <s v="Mira Das"/>
    <s v="Corporate"/>
    <s v="West"/>
    <s v="Gujarat"/>
    <s v="Ahmedabad"/>
    <s v="Office Supplies"/>
    <s v="Paper"/>
    <s v="Pro Paper 187"/>
    <s v="Second Class"/>
    <s v="Invalid"/>
    <s v="invalid date"/>
    <n v="0.2"/>
    <x v="645"/>
    <x v="645"/>
    <n v="0.22013539619624964"/>
    <s v="invalid date"/>
    <s v="23-11-24"/>
    <s v="invalid date"/>
    <s v="invalid date"/>
    <s v="Invalid"/>
    <s v="invalid date"/>
    <s v="Unique"/>
  </r>
  <r>
    <s v="ORD-2024-10670"/>
    <s v="2024-03-24"/>
    <s v="01 Apr 2024"/>
    <s v="CUST-7568"/>
    <s v="Ananya Rao"/>
    <s v="Home Office"/>
    <x v="3"/>
    <s v="Maharashtra"/>
    <s v="Mumbai"/>
    <s v="Furniture"/>
    <s v="Tables"/>
    <s v="Classic Tables 606"/>
    <s v="Second Class"/>
    <n v="4"/>
    <n v="1700.72"/>
    <n v="0.25"/>
    <n v="5102.16"/>
    <n v="3226.45"/>
    <n v="1875.71"/>
    <x v="0"/>
    <x v="0"/>
    <m/>
    <s v="ORD-2024-10670"/>
    <s v="24-03-24"/>
    <s v="01-04-24"/>
    <s v="CUST-7568"/>
    <s v="Ananya Rao"/>
    <s v="Home Office"/>
    <s v="West"/>
    <s v="Maharashtra"/>
    <s v="Mumbai"/>
    <s v="Furniture"/>
    <s v="Tables"/>
    <s v="Classic Tables 606"/>
    <s v="Second Class"/>
    <s v="  "/>
    <n v="8"/>
    <n v="0.25"/>
    <x v="646"/>
    <x v="646"/>
    <n v="0.36763057214983458"/>
    <s v="24-03-24"/>
    <s v="01-04-24"/>
    <s v="March"/>
    <s v="2024"/>
    <s v="anomaly"/>
    <n v="8"/>
    <s v="Unique"/>
  </r>
  <r>
    <s v="ORD-2025-10671"/>
    <s v="02/02/2025"/>
    <s v="06 Feb 2025"/>
    <s v="CUST-5604"/>
    <s v="Sneha Kapoor"/>
    <s v="Corporate"/>
    <x v="0"/>
    <s v="Uttar Pradesh"/>
    <s v="Noida"/>
    <s v="Furniture"/>
    <s v="Tables"/>
    <s v="Smart Tables 835"/>
    <s v="Standard Class"/>
    <n v="8"/>
    <n v="857.86"/>
    <n v="0.1"/>
    <n v="6176.59"/>
    <n v="3560.96"/>
    <n v="2615.63"/>
    <x v="0"/>
    <x v="0"/>
    <m/>
    <s v="ORD-2025-10671"/>
    <s v="02-02-25"/>
    <s v="06-02-25"/>
    <s v="CUST-5604"/>
    <s v="Sneha Kapoor"/>
    <s v="Corporate"/>
    <s v="North"/>
    <s v="Uttar Pradesh"/>
    <s v="Noida"/>
    <s v="Furniture"/>
    <s v="Tables"/>
    <s v="Smart Tables 835"/>
    <s v="Standard Class"/>
    <s v="anomaly"/>
    <n v="4"/>
    <n v="0.1"/>
    <x v="647"/>
    <x v="647"/>
    <n v="0.42347495188285067"/>
    <s v="02-02-25"/>
    <s v="06-02-25"/>
    <s v="February"/>
    <s v="2025"/>
    <s v=" "/>
    <n v="4"/>
    <s v="Unique"/>
  </r>
  <r>
    <s v="ORD-2024-10672"/>
    <s v="2024-03-22"/>
    <s v="27-03-2024"/>
    <s v="CUST-3293"/>
    <s v="Aditi Sen"/>
    <s v="Home Office"/>
    <x v="3"/>
    <s v="Goa"/>
    <s v="Panaji"/>
    <s v="Technology"/>
    <s v="Copiers"/>
    <s v="Classic Copiers 583"/>
    <s v="Second Class"/>
    <n v="9"/>
    <n v="3649.51"/>
    <n v="0.05"/>
    <n v="31203.31"/>
    <n v="17738.13"/>
    <n v="13465.18"/>
    <x v="0"/>
    <x v="0"/>
    <m/>
    <s v="ORD-2024-10672"/>
    <s v="22-03-24"/>
    <s v="27-03-24"/>
    <s v="CUST-3293"/>
    <s v="Aditi Sen"/>
    <s v="Home Office"/>
    <s v="West"/>
    <s v="Goa"/>
    <s v="Panaji"/>
    <s v="Technology"/>
    <s v="Copiers"/>
    <s v="Classic Copiers 583"/>
    <s v="Second Class"/>
    <s v="anomaly"/>
    <n v="5"/>
    <n v="0.05"/>
    <x v="648"/>
    <x v="648"/>
    <n v="0.43153051020019179"/>
    <s v="22-03-24"/>
    <s v="27-03-24"/>
    <s v="March"/>
    <s v="2024"/>
    <s v=" "/>
    <n v="5"/>
    <s v="Unique"/>
  </r>
  <r>
    <s v="ORD-2024-10673"/>
    <s v="2024-09-04"/>
    <s v="2024-09-05"/>
    <s v="CUST-8180"/>
    <s v="Aditi Sen"/>
    <s v="Corporate"/>
    <x v="3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x v="0"/>
    <x v="2"/>
    <m/>
    <s v="ORD-2024-10673"/>
    <s v="04-09-24"/>
    <s v="05-09-24"/>
    <s v="CUST-8180"/>
    <s v="Aditi Sen"/>
    <s v="Corporate"/>
    <s v="West"/>
    <s v="Madhya Pradesh"/>
    <s v="Indore"/>
    <s v="Furniture"/>
    <s v="Chairs"/>
    <s v="Classic Chairs 460"/>
    <s v="Standard Class"/>
    <s v="anomaly"/>
    <n v="1"/>
    <n v="0.05"/>
    <x v="649"/>
    <x v="649"/>
    <n v="0.34518974723612039"/>
    <s v="04-09-24"/>
    <s v="05-09-24"/>
    <s v="September"/>
    <s v="2024"/>
    <s v=" "/>
    <n v="1"/>
    <s v="Unique"/>
  </r>
  <r>
    <s v="ORD-2025-10674"/>
    <s v="2025-02-13"/>
    <s v="16 Feb 2025"/>
    <s v="CUST-2807"/>
    <s v="Arjun Bose"/>
    <s v="Small Business"/>
    <x v="3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x v="0"/>
    <x v="0"/>
    <m/>
    <s v="ORD-2025-10674"/>
    <s v="13-02-25"/>
    <s v="16-02-25"/>
    <s v="CUST-2807"/>
    <s v="Arjun Bose"/>
    <s v="Small Business"/>
    <s v="West"/>
    <s v="Rajasthan"/>
    <s v="Udaipur"/>
    <s v="Furniture"/>
    <s v="Bookcases"/>
    <s v="Classic Bookcases 488"/>
    <s v="Second Class"/>
    <s v="anomaly"/>
    <n v="3"/>
    <n v="0.15"/>
    <x v="650"/>
    <x v="650"/>
    <n v="0.38822460654570451"/>
    <s v="13-02-25"/>
    <s v="16-02-25"/>
    <s v="February"/>
    <s v="2025"/>
    <s v=" "/>
    <n v="3"/>
    <s v="Unique"/>
  </r>
  <r>
    <s v="ORD-2024-10675"/>
    <s v="2024-05-18"/>
    <s v="2024-05-21"/>
    <s v="CUST-4081"/>
    <s v="Vikram Iyer"/>
    <s v="Corporate"/>
    <x v="1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x v="2"/>
    <x v="2"/>
    <m/>
    <s v="ORD-2024-10675"/>
    <s v="18-05-24"/>
    <s v="21-05-24"/>
    <s v="CUST-4081"/>
    <s v="Vikram Iyer"/>
    <s v="Corporate"/>
    <s v="East"/>
    <s v="Jharkhand"/>
    <s v="Ranchi"/>
    <s v="Technology"/>
    <s v="Accessories"/>
    <s v="Basic Accessories 944"/>
    <s v="Second Class"/>
    <s v="anomaly"/>
    <n v="3"/>
    <n v="0"/>
    <x v="651"/>
    <x v="651"/>
    <n v="0.38975147768716562"/>
    <s v="18-05-24"/>
    <s v="21-05-24"/>
    <s v="May"/>
    <s v="2024"/>
    <s v=" "/>
    <n v="3"/>
    <s v="Unique"/>
  </r>
  <r>
    <s v="ORD-2025-10676"/>
    <s v="07-06-2025"/>
    <s v="06/10/2025"/>
    <s v="CUST-5061"/>
    <s v="Aarav Sharma"/>
    <s v="Consumer"/>
    <x v="0"/>
    <s v="Rajasthan"/>
    <s v="Jaipur"/>
    <s v="Furniture"/>
    <s v="Furnishings"/>
    <s v="Eco Furnishings 217"/>
    <s v="Same Day"/>
    <n v="3"/>
    <n v="963.26"/>
    <n v="0"/>
    <n v="2889.78"/>
    <n v="1811.23"/>
    <n v="1078.55"/>
    <x v="0"/>
    <x v="0"/>
    <m/>
    <s v="ORD-2025-10676"/>
    <s v="07-06-25"/>
    <s v="06-10-25"/>
    <s v="CUST-5061"/>
    <s v="Aarav Sharma"/>
    <s v="Consumer"/>
    <s v="North"/>
    <s v="Rajasthan"/>
    <s v="Jaipur"/>
    <s v="Furniture"/>
    <s v="Furnishings"/>
    <s v="Eco Furnishings 217"/>
    <s v="Same Day"/>
    <s v="  "/>
    <n v="121"/>
    <n v="0"/>
    <x v="652"/>
    <x v="652"/>
    <n v="0.37322910394562903"/>
    <s v="07-06-25"/>
    <s v="06-10-25"/>
    <s v="June"/>
    <s v="2025"/>
    <s v="anomaly"/>
    <n v="121"/>
    <s v="Unique"/>
  </r>
  <r>
    <s v="ORD-2025-10677"/>
    <s v="09/11/2025"/>
    <s v="09/18/2025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x v="0"/>
    <x v="0"/>
    <m/>
    <s v="ORD-2025-10677"/>
    <s v="09-11-25"/>
    <s v="invalid date"/>
    <s v="CUST-9212"/>
    <s v="Rahul Verma"/>
    <s v="Small Business"/>
    <s v="North"/>
    <s v="Delhi"/>
    <s v="New Delhi"/>
    <s v="Technology"/>
    <s v="Phones"/>
    <s v="Smart Phones 967"/>
    <s v="Same Day"/>
    <s v="Invalid"/>
    <s v="invalid date"/>
    <n v="0.15"/>
    <x v="653"/>
    <x v="653"/>
    <n v="0.26486225014071862"/>
    <s v="09-11-25"/>
    <s v="invalid date"/>
    <s v="November"/>
    <s v="2025"/>
    <s v="Invalid"/>
    <s v="invalid date"/>
    <s v="Unique"/>
  </r>
  <r>
    <s v="ORD-2024-10678"/>
    <s v="2024-06-22"/>
    <s v="27-06-2024"/>
    <s v="CUST-4655"/>
    <s v="Isha Nair"/>
    <s v="Home Office"/>
    <x v="2"/>
    <s v="Karnataka"/>
    <s v="Bengaluru"/>
    <s v="Furniture"/>
    <s v="Chairs"/>
    <s v="Smart Chairs 610"/>
    <s v="Same Day"/>
    <n v="7"/>
    <n v="2623.48"/>
    <n v="0"/>
    <n v="18364.36"/>
    <n v="15445.81"/>
    <n v="2918.55"/>
    <x v="0"/>
    <x v="0"/>
    <m/>
    <s v="ORD-2024-10678"/>
    <s v="22-06-24"/>
    <s v="27-06-24"/>
    <s v="CUST-4655"/>
    <s v="Isha Nair"/>
    <s v="Home Office"/>
    <s v="South"/>
    <s v="Karnataka"/>
    <s v="Bengaluru"/>
    <s v="Furniture"/>
    <s v="Chairs"/>
    <s v="Smart Chairs 610"/>
    <s v="Same Day"/>
    <s v="anomaly"/>
    <n v="5"/>
    <n v="0"/>
    <x v="654"/>
    <x v="654"/>
    <n v="0.15892467801763857"/>
    <s v="22-06-24"/>
    <s v="27-06-24"/>
    <s v="June"/>
    <s v="2024"/>
    <s v=" "/>
    <n v="5"/>
    <s v="Unique"/>
  </r>
  <r>
    <s v="ORD-2024-10679"/>
    <s v="24-11-2024"/>
    <s v="12/01/2024"/>
    <s v="CUST-1674"/>
    <s v="Kabir Singh"/>
    <s v="Corporate"/>
    <x v="2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x v="0"/>
    <x v="0"/>
    <m/>
    <s v="ORD-2024-10679"/>
    <s v="24-11-24"/>
    <s v="12-01-24"/>
    <s v="CUST-1674"/>
    <s v="Kabir Singh"/>
    <s v="Corporate"/>
    <s v="South"/>
    <s v="Karnataka"/>
    <s v="Bengaluru"/>
    <s v="Furniture"/>
    <s v="Tables"/>
    <s v="Prime Tables 123"/>
    <s v="Second Class"/>
    <s v="  "/>
    <n v="-317"/>
    <n v="0.15"/>
    <x v="655"/>
    <x v="655"/>
    <n v="0.44770874071999178"/>
    <s v="24-11-24"/>
    <s v="12-01-24"/>
    <s v="November"/>
    <s v="2024"/>
    <s v="anomaly"/>
    <n v="-317"/>
    <s v="Unique"/>
  </r>
  <r>
    <s v="ORD-2025-10680"/>
    <s v="16-08-2025"/>
    <s v="23-08-2025"/>
    <s v="CUST-2897"/>
    <s v="Rohan Mehta"/>
    <s v="Corporate"/>
    <x v="0"/>
    <s v="Punjab"/>
    <s v="Ludhiana"/>
    <s v="Technology"/>
    <s v="Copiers"/>
    <s v="Smart Copiers 579"/>
    <s v="Same Day"/>
    <n v="4"/>
    <n v="1410.57"/>
    <s v="invalid"/>
    <n v="5360.17"/>
    <n v="3881.51"/>
    <n v="1478.66"/>
    <x v="1"/>
    <x v="1"/>
    <m/>
    <s v="ORD-2025-10680"/>
    <s v="16-08-25"/>
    <s v="23-08-25"/>
    <s v="CUST-2897"/>
    <s v="Rohan Mehta"/>
    <s v="Corporate"/>
    <s v="North"/>
    <s v="Punjab"/>
    <s v="Ludhiana"/>
    <s v="Technology"/>
    <s v="Copiers"/>
    <s v="Smart Copiers 579"/>
    <s v="Same Day"/>
    <s v="anomaly"/>
    <n v="7"/>
    <s v="invalid"/>
    <x v="2"/>
    <x v="2"/>
    <s v="NA"/>
    <s v="16-08-25"/>
    <s v="23-08-25"/>
    <s v="August"/>
    <s v="2025"/>
    <s v=" "/>
    <n v="7"/>
    <s v="Unique"/>
  </r>
  <r>
    <s v="ORD-2024-10681"/>
    <s v="29 May 2024"/>
    <s v="05 Jun 2024"/>
    <s v="CUST-1136"/>
    <s v="Kabir Singh"/>
    <s v="Corporate"/>
    <x v="2"/>
    <s v="Tamil Nadu"/>
    <s v="Chennai"/>
    <s v="Technology"/>
    <s v="Accessories"/>
    <s v="Eco Accessories 658"/>
    <s v="First Class"/>
    <n v="4"/>
    <n v="3700.24"/>
    <n v="0"/>
    <n v="14800.96"/>
    <n v="12048.39"/>
    <n v="2752.57"/>
    <x v="0"/>
    <x v="0"/>
    <m/>
    <s v="ORD-2024-10681"/>
    <s v="29-05-24"/>
    <s v="05-06-24"/>
    <s v="CUST-1136"/>
    <s v="Kabir Singh"/>
    <s v="Corporate"/>
    <s v="South"/>
    <s v="Tamil Nadu"/>
    <s v="Chennai"/>
    <s v="Technology"/>
    <s v="Accessories"/>
    <s v="Eco Accessories 658"/>
    <s v="First Class"/>
    <s v="  "/>
    <n v="7"/>
    <n v="0"/>
    <x v="656"/>
    <x v="656"/>
    <n v="0.18597239638509933"/>
    <s v="29-05-24"/>
    <s v="05-06-24"/>
    <s v="May"/>
    <s v="2024"/>
    <s v="anomaly"/>
    <n v="7"/>
    <s v="Unique"/>
  </r>
  <r>
    <s v="ORD-2024-10682"/>
    <s v="07/04/2024"/>
    <s v="2024-07-10"/>
    <s v="CUST-1376"/>
    <s v="Vikram Iyer"/>
    <s v="Corporate"/>
    <x v="0"/>
    <s v="Delhi"/>
    <s v="New Delhi"/>
    <s v="Furniture"/>
    <s v="Tables"/>
    <s v="Smart Tables 777"/>
    <s v="Second Class"/>
    <n v="5"/>
    <n v="1200.27"/>
    <n v="0"/>
    <n v="6001.35"/>
    <n v="4182.99"/>
    <n v="1818.36"/>
    <x v="0"/>
    <x v="1"/>
    <m/>
    <s v="ORD-2024-10682"/>
    <s v="07-04-24"/>
    <s v="10-07-24"/>
    <s v="CUST-1376"/>
    <s v="Vikram Iyer"/>
    <s v="Corporate"/>
    <s v="North"/>
    <s v="Delhi"/>
    <s v="New Delhi"/>
    <s v="Furniture"/>
    <s v="Tables"/>
    <s v="Smart Tables 777"/>
    <s v="Second Class"/>
    <s v="anomaly"/>
    <n v="94"/>
    <n v="0"/>
    <x v="657"/>
    <x v="657"/>
    <n v="0.30299182683896131"/>
    <s v="07-04-24"/>
    <s v="10-07-24"/>
    <s v="April"/>
    <s v="2024"/>
    <s v=" "/>
    <n v="94"/>
    <s v="Unique"/>
  </r>
  <r>
    <s v="ORD-2025-10683"/>
    <s v="05 Feb 2025"/>
    <s v="05-02-2025"/>
    <s v="CUST-1553"/>
    <s v="Ananya Rao"/>
    <s v="Corporate"/>
    <x v="0"/>
    <s v="Haryana"/>
    <s v="Gurugram"/>
    <s v="Office Supplies"/>
    <s v="Storage"/>
    <s v="Eco Storage 861"/>
    <s v="Same Day"/>
    <n v="3"/>
    <n v="2590.7800000000002"/>
    <m/>
    <n v="7383.72"/>
    <n v="4113.66"/>
    <n v="3270.06"/>
    <x v="0"/>
    <x v="0"/>
    <m/>
    <s v="ORD-2025-10683"/>
    <s v="05-02-25"/>
    <s v="05-02-25"/>
    <s v="CUST-1553"/>
    <s v="Ananya Rao"/>
    <s v="Corporate"/>
    <s v="North"/>
    <s v="Haryana"/>
    <s v="Gurugram"/>
    <s v="Office Supplies"/>
    <s v="Storage"/>
    <s v="Eco Storage 861"/>
    <s v="Same Day"/>
    <s v="  "/>
    <n v="0"/>
    <n v="0"/>
    <x v="658"/>
    <x v="658"/>
    <n v="0.47073082237781677"/>
    <s v="05-02-25"/>
    <s v="05-02-25"/>
    <s v="February"/>
    <s v="2025"/>
    <s v=" "/>
    <n v="0"/>
    <s v="Unique"/>
  </r>
  <r>
    <s v="ORD-2025-10684"/>
    <s v="2025-07-20"/>
    <s v="24-07-2025"/>
    <s v="CUST-5704"/>
    <s v="Arjun Bose"/>
    <s v="Small Business"/>
    <x v="2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x v="1"/>
    <x v="1"/>
    <m/>
    <s v="ORD-2025-10684"/>
    <s v="20-07-25"/>
    <s v="24-07-25"/>
    <s v="CUST-5704"/>
    <s v="Arjun Bose"/>
    <s v="Small Business"/>
    <s v="South"/>
    <s v="Telangana"/>
    <s v="Hyderabad"/>
    <s v="Furniture"/>
    <s v="Furnishings"/>
    <s v="Eco Furnishings 875"/>
    <s v="Second Class"/>
    <s v="anomaly"/>
    <n v="4"/>
    <n v="0.2"/>
    <x v="659"/>
    <x v="659"/>
    <n v="0.30253601182341816"/>
    <s v="20-07-25"/>
    <s v="24-07-25"/>
    <s v="July"/>
    <s v="2025"/>
    <s v=" "/>
    <n v="4"/>
    <s v="Unique"/>
  </r>
  <r>
    <s v="ORD-2025-10685"/>
    <s v="2025-07-21"/>
    <s v="21-07-2025"/>
    <s v="CUST-6738"/>
    <s v="Isha Nair"/>
    <s v="Home Office"/>
    <x v="2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x v="1"/>
    <x v="1"/>
    <m/>
    <s v="ORD-2025-10685"/>
    <s v="21-07-25"/>
    <s v="21-07-25"/>
    <s v="CUST-6738"/>
    <s v="Isha Nair"/>
    <s v="Home Office"/>
    <s v="South"/>
    <s v="Tamil Nadu"/>
    <s v="Chennai"/>
    <s v="Furniture"/>
    <s v="Bookcases"/>
    <s v="Prime Bookcases 784"/>
    <s v="First Class"/>
    <s v="  "/>
    <n v="0"/>
    <n v="0.2"/>
    <x v="660"/>
    <x v="660"/>
    <n v="0.3032243705028666"/>
    <s v="21-07-25"/>
    <s v="21-07-25"/>
    <s v="July"/>
    <s v="2025"/>
    <s v=" "/>
    <n v="0"/>
    <s v="Unique"/>
  </r>
  <r>
    <s v="ORD-2025-10686"/>
    <s v="01 Oct 2025"/>
    <s v="2025-10-03"/>
    <s v="CUST-2586"/>
    <s v="Neha Gupta"/>
    <s v="Corporate"/>
    <x v="3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x v="3"/>
    <x v="1"/>
    <m/>
    <s v="ORD-2025-10686"/>
    <s v="01-10-25"/>
    <s v="03-10-25"/>
    <s v="CUST-2586"/>
    <s v="Neha Gupta"/>
    <s v="Corporate"/>
    <s v="West"/>
    <s v="Goa"/>
    <s v="Panaji"/>
    <s v="Office Supplies"/>
    <s v="Art"/>
    <s v="Classic Art 380"/>
    <s v="Standard Class"/>
    <s v="anomaly"/>
    <n v="2"/>
    <s v="invalid"/>
    <x v="2"/>
    <x v="2"/>
    <s v="NA"/>
    <s v="01-10-25"/>
    <s v="03-10-25"/>
    <s v="October"/>
    <s v="2025"/>
    <s v=" "/>
    <n v="2"/>
    <s v="Unique"/>
  </r>
  <r>
    <s v="ORD-2024-10687"/>
    <s v="25-03-2024"/>
    <s v="04/02/2024"/>
    <s v="CUST-3127"/>
    <s v="Sneha Kapoor"/>
    <s v="Home Office"/>
    <x v="2"/>
    <s v="Tamil Nadu"/>
    <s v="Chennai"/>
    <s v="Technology"/>
    <s v="Copiers"/>
    <s v="Pro Copiers 502"/>
    <s v="Standard Class"/>
    <n v="2"/>
    <n v="2349.13"/>
    <n v="0"/>
    <n v="4698.26"/>
    <n v="2654.92"/>
    <n v="2043.34"/>
    <x v="0"/>
    <x v="0"/>
    <m/>
    <s v="ORD-2024-10687"/>
    <s v="25-03-24"/>
    <s v="04-02-24"/>
    <s v="CUST-3127"/>
    <s v="Sneha Kapoor"/>
    <s v="Home Office"/>
    <s v="South"/>
    <s v="Tamil Nadu"/>
    <s v="Chennai"/>
    <s v="Technology"/>
    <s v="Copiers"/>
    <s v="Pro Copiers 502"/>
    <s v="Standard Class"/>
    <s v="  "/>
    <n v="-50"/>
    <n v="0"/>
    <x v="661"/>
    <x v="661"/>
    <n v="0.43491420227914163"/>
    <s v="25-03-24"/>
    <s v="04-02-24"/>
    <s v="March"/>
    <s v="2024"/>
    <s v="anomaly"/>
    <n v="-50"/>
    <s v="Unique"/>
  </r>
  <r>
    <s v="ORD-2025-10688"/>
    <s v="08 Oct 2025"/>
    <s v="13-10-2025"/>
    <s v="CUST-9347"/>
    <s v="Mira Das"/>
    <s v="Home Office"/>
    <x v="0"/>
    <s v="Punjab"/>
    <s v="Ludhiana"/>
    <s v="Furniture"/>
    <s v="Tables"/>
    <s v="Prime Tables 604"/>
    <s v="First Class"/>
    <n v="4"/>
    <n v="172.05"/>
    <n v="0"/>
    <n v="688.2"/>
    <n v="497.68"/>
    <n v="190.52"/>
    <x v="3"/>
    <x v="1"/>
    <m/>
    <s v="ORD-2025-10688"/>
    <s v="08-10-25"/>
    <s v="13-10-25"/>
    <s v="CUST-9347"/>
    <s v="Mira Das"/>
    <s v="Home Office"/>
    <s v="North"/>
    <s v="Punjab"/>
    <s v="Ludhiana"/>
    <s v="Furniture"/>
    <s v="Tables"/>
    <s v="Prime Tables 604"/>
    <s v="First Class"/>
    <s v="anomaly"/>
    <n v="5"/>
    <n v="0"/>
    <x v="662"/>
    <x v="662"/>
    <n v="0.27683812845103173"/>
    <s v="08-10-25"/>
    <s v="13-10-25"/>
    <s v="October"/>
    <s v="2025"/>
    <s v=" "/>
    <n v="5"/>
    <s v="Unique"/>
  </r>
  <r>
    <s v="ORD-2025-10689"/>
    <s v="26 Feb 2025"/>
    <s v="27 Feb 2025"/>
    <s v="CUST-8575"/>
    <s v="Neha Gupta"/>
    <s v="Home Office"/>
    <x v="0"/>
    <s v="Haryana"/>
    <s v="Gurugram"/>
    <s v="Office Supplies"/>
    <s v="Art"/>
    <s v="Basic Art 798"/>
    <s v="Second Class"/>
    <n v="6"/>
    <n v="3037.66"/>
    <n v="0.15"/>
    <n v="15492.07"/>
    <n v="12581.23"/>
    <n v="2910.84"/>
    <x v="0"/>
    <x v="0"/>
    <m/>
    <s v="ORD-2025-10689"/>
    <s v="26-02-25"/>
    <s v="27-02-25"/>
    <s v="CUST-8575"/>
    <s v="Neha Gupta"/>
    <s v="Home Office"/>
    <s v="North"/>
    <s v="Haryana"/>
    <s v="Gurugram"/>
    <s v="Office Supplies"/>
    <s v="Art"/>
    <s v="Basic Art 798"/>
    <s v="Second Class"/>
    <s v="anomaly"/>
    <n v="1"/>
    <n v="0.15"/>
    <x v="663"/>
    <x v="663"/>
    <n v="0.18789204745190213"/>
    <s v="26-02-25"/>
    <s v="27-02-25"/>
    <s v="February"/>
    <s v="2025"/>
    <s v=" "/>
    <n v="1"/>
    <s v="Unique"/>
  </r>
  <r>
    <s v="ORD-2024-10690"/>
    <s v="05-10-2024"/>
    <s v="06 Oct 2024"/>
    <s v="CUST-4382"/>
    <s v="Rohan Mehta"/>
    <s v="Small Business"/>
    <x v="0"/>
    <s v="Punjab"/>
    <s v="Ludhiana"/>
    <s v="Furniture"/>
    <s v="Tables"/>
    <s v="Elite Tables 717"/>
    <s v="Standard Class"/>
    <n v="9"/>
    <n v="489.58"/>
    <n v="0.15"/>
    <n v="3745.29"/>
    <n v="2302.65"/>
    <n v="1442.64"/>
    <x v="3"/>
    <x v="1"/>
    <m/>
    <s v="ORD-2024-10690"/>
    <s v="05-10-24"/>
    <s v="06-10-24"/>
    <s v="CUST-4382"/>
    <s v="Rohan Mehta"/>
    <s v="Small Business"/>
    <s v="North"/>
    <s v="Punjab"/>
    <s v="Ludhiana"/>
    <s v="Furniture"/>
    <s v="Tables"/>
    <s v="Elite Tables 717"/>
    <s v="Standard Class"/>
    <s v="anomaly"/>
    <n v="1"/>
    <n v="0.15"/>
    <x v="664"/>
    <x v="664"/>
    <n v="0.38518730340291679"/>
    <s v="05-10-24"/>
    <s v="06-10-24"/>
    <s v="October"/>
    <s v="2024"/>
    <s v=" "/>
    <n v="1"/>
    <s v="Unique"/>
  </r>
  <r>
    <s v="ORD-2024-10691"/>
    <s v="09/11/2024"/>
    <s v="2024-09-15"/>
    <s v="CUST-6815"/>
    <s v="Sneha Kapoor"/>
    <s v="Corporate"/>
    <x v="2"/>
    <s v="Tamil Nadu"/>
    <s v="Chennai"/>
    <s v="Office Supplies"/>
    <s v="Art"/>
    <s v="Max Art 725"/>
    <s v="Standard Class"/>
    <n v="4"/>
    <n v="865.63"/>
    <n v="0"/>
    <n v="3462.52"/>
    <n v="2797.29"/>
    <n v="665.23"/>
    <x v="3"/>
    <x v="2"/>
    <m/>
    <s v="ORD-2024-10691"/>
    <s v="09-11-24"/>
    <s v="15-09-24"/>
    <s v="CUST-6815"/>
    <s v="Sneha Kapoor"/>
    <s v="Corporate"/>
    <s v="South"/>
    <s v="Tamil Nadu"/>
    <s v="Chennai"/>
    <s v="Office Supplies"/>
    <s v="Art"/>
    <s v="Max Art 725"/>
    <s v="Standard Class"/>
    <s v="anomaly"/>
    <n v="-55"/>
    <n v="0"/>
    <x v="665"/>
    <x v="665"/>
    <n v="0.19212307798944123"/>
    <s v="09-11-24"/>
    <s v="15-09-24"/>
    <s v="November"/>
    <s v="2024"/>
    <s v=" "/>
    <n v="-55"/>
    <s v="Unique"/>
  </r>
  <r>
    <s v="ORD-2024-10692"/>
    <s v="15-12-2024"/>
    <s v="16-12-2024"/>
    <s v="CUST-7309"/>
    <s v="Rohan Mehta"/>
    <s v="Consumer"/>
    <x v="1"/>
    <s v="Odisha"/>
    <s v="Bhubaneswar"/>
    <s v="Technology"/>
    <s v="Copiers"/>
    <s v="Smart Copiers 456"/>
    <s v="Second Class"/>
    <n v="6"/>
    <n v="1538.1"/>
    <n v="0.05"/>
    <n v="8767.17"/>
    <n v="5098.2"/>
    <n v="3668.97"/>
    <x v="0"/>
    <x v="0"/>
    <m/>
    <s v="ORD-2024-10692"/>
    <s v="15-12-24"/>
    <s v="16-12-24"/>
    <s v="CUST-7309"/>
    <s v="Rohan Mehta"/>
    <s v="Consumer"/>
    <s v="East"/>
    <s v="Odisha"/>
    <s v="Bhubaneswar"/>
    <s v="Technology"/>
    <s v="Copiers"/>
    <s v="Smart Copiers 456"/>
    <s v="Second Class"/>
    <s v="anomaly"/>
    <n v="1"/>
    <n v="0.05"/>
    <x v="666"/>
    <x v="666"/>
    <n v="0.41848966085977563"/>
    <s v="15-12-24"/>
    <s v="16-12-24"/>
    <s v="December"/>
    <s v="2024"/>
    <s v=" "/>
    <n v="1"/>
    <s v="Unique"/>
  </r>
  <r>
    <s v="ORD-2025-10693"/>
    <s v="05-10-2025"/>
    <s v="10-10-2025"/>
    <s v="CUST-9531"/>
    <s v="Isha Nair"/>
    <s v="Corporate"/>
    <x v="2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x v="0"/>
    <x v="0"/>
    <m/>
    <s v="ORD-2025-10693"/>
    <s v="05-10-25"/>
    <s v="10-10-25"/>
    <s v="CUST-9531"/>
    <s v="Isha Nair"/>
    <s v="Corporate"/>
    <s v="South"/>
    <s v="Karnataka"/>
    <s v="Bengaluru"/>
    <s v="Furniture"/>
    <s v="Furnishings"/>
    <s v="Prime Furnishings 883"/>
    <s v="Second Class"/>
    <s v="anomaly"/>
    <n v="5"/>
    <n v="0.1"/>
    <x v="667"/>
    <x v="667"/>
    <n v="0.30677554774009069"/>
    <s v="05-10-25"/>
    <s v="10-10-25"/>
    <s v="October"/>
    <s v="2025"/>
    <s v=" "/>
    <n v="5"/>
    <s v="Unique"/>
  </r>
  <r>
    <s v="ORD-2025-10694"/>
    <s v="03-04-2025"/>
    <s v="2025-04-11"/>
    <s v="CUST-6032"/>
    <s v="Arjun Bose"/>
    <s v="Consumer"/>
    <x v="2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x v="0"/>
    <x v="0"/>
    <m/>
    <s v="ORD-2025-10694"/>
    <s v="03-04-25"/>
    <s v="11-04-25"/>
    <s v="CUST-6032"/>
    <s v="Arjun Bose"/>
    <s v="Consumer"/>
    <s v="South"/>
    <s v="Tamil Nadu"/>
    <s v="Chennai"/>
    <s v="Furniture"/>
    <s v="Bookcases"/>
    <s v="Smart Bookcases 828"/>
    <s v="Second Class"/>
    <s v="anomaly"/>
    <n v="8"/>
    <n v="0.05"/>
    <x v="668"/>
    <x v="668"/>
    <n v="0.32053220112938835"/>
    <s v="03-04-25"/>
    <s v="11-04-25"/>
    <s v="April"/>
    <s v="2025"/>
    <s v=" "/>
    <n v="8"/>
    <s v="Unique"/>
  </r>
  <r>
    <s v="ORD-2025-10695"/>
    <s v="01-08-2025"/>
    <s v="09-08-2025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x v="0"/>
    <x v="0"/>
    <m/>
    <s v="ORD-2025-10695"/>
    <s v="01-08-25"/>
    <s v="09-08-25"/>
    <s v="CUST-8025"/>
    <s v="Isha Nair"/>
    <s v="Consumer"/>
    <s v="South"/>
    <s v="Andhra Pradesh"/>
    <s v="Vijayawada"/>
    <s v="Office Supplies"/>
    <s v="Storage"/>
    <s v="Classic Storage 291"/>
    <s v="First Class"/>
    <s v="anomaly"/>
    <n v="8"/>
    <n v="0.15"/>
    <x v="669"/>
    <x v="669"/>
    <n v="0.17213918283741877"/>
    <s v="01-08-25"/>
    <s v="09-08-25"/>
    <s v="August"/>
    <s v="2025"/>
    <s v=" "/>
    <n v="8"/>
    <s v="Unique"/>
  </r>
  <r>
    <s v="ORD-2024-10696"/>
    <s v="2024-07-01"/>
    <s v="01-07-2024"/>
    <s v="CUST-6257"/>
    <s v="Aarav Sharma"/>
    <s v="Consumer"/>
    <x v="3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x v="0"/>
    <x v="0"/>
    <m/>
    <s v="ORD-2024-10696"/>
    <s v="01-07-24"/>
    <s v="01-07-24"/>
    <s v="CUST-6257"/>
    <s v="Aarav Sharma"/>
    <s v="Consumer"/>
    <s v="West"/>
    <s v="Madhya Pradesh"/>
    <s v="Indore"/>
    <s v="Technology"/>
    <s v="Machines"/>
    <s v="Prime Machines 102"/>
    <s v="Standard Class"/>
    <s v="  "/>
    <n v="0"/>
    <n v="0"/>
    <x v="670"/>
    <x v="670"/>
    <n v="0.39165274486188267"/>
    <s v="01-07-24"/>
    <s v="01-07-24"/>
    <s v="July"/>
    <s v="2024"/>
    <s v=" "/>
    <n v="0"/>
    <s v="Unique"/>
  </r>
  <r>
    <s v="ORD-2025-10697"/>
    <s v="22 Sep 2025"/>
    <s v="25 Sep 2025"/>
    <s v="CUST-7812"/>
    <s v="Isha Nair"/>
    <s v="Small Business"/>
    <x v="2"/>
    <s v="Kerala"/>
    <s v="Kochi"/>
    <s v="Technology"/>
    <s v="Phones"/>
    <s v="Classic Phones 842"/>
    <m/>
    <n v="4"/>
    <n v="1178.8399999999999"/>
    <n v="0.25"/>
    <n v="3536.52"/>
    <n v="2102.41"/>
    <n v="1363.28"/>
    <x v="0"/>
    <x v="0"/>
    <m/>
    <s v="ORD-2025-10697"/>
    <s v="22-09-25"/>
    <s v="25-09-25"/>
    <s v="CUST-7812"/>
    <s v="Isha Nair"/>
    <s v="Small Business"/>
    <s v="South"/>
    <s v="Kerala"/>
    <s v="Kochi"/>
    <s v="Technology"/>
    <s v="Phones"/>
    <s v="Classic Phones 842"/>
    <s v="unknown"/>
    <s v="anomaly"/>
    <n v="3"/>
    <n v="0.25"/>
    <x v="671"/>
    <x v="671"/>
    <n v="0.40551446054313278"/>
    <s v="22-09-25"/>
    <s v="25-09-25"/>
    <s v="September"/>
    <s v="2025"/>
    <s v=" "/>
    <n v="3"/>
    <s v="Unique"/>
  </r>
  <r>
    <s v="ORD-2025-10698"/>
    <s v="03/01/2025"/>
    <s v="07-03-2025"/>
    <s v="CUST-6205"/>
    <s v="Arjun Bose"/>
    <s v="Corporate"/>
    <x v="2"/>
    <s v="Andhra Pradesh"/>
    <s v="Vijayawada"/>
    <s v="Office Supplies"/>
    <s v="Labels"/>
    <s v="Max Labels 970"/>
    <s v="First Class"/>
    <n v="7"/>
    <n v="567.15"/>
    <m/>
    <n v="2977.54"/>
    <n v="1849.3"/>
    <n v="1128.24"/>
    <x v="1"/>
    <x v="2"/>
    <m/>
    <s v="ORD-2025-10698"/>
    <s v="03-01-25"/>
    <s v="07-03-25"/>
    <s v="CUST-6205"/>
    <s v="Arjun Bose"/>
    <s v="Corporate"/>
    <s v="South"/>
    <s v="Andhra Pradesh"/>
    <s v="Vijayawada"/>
    <s v="Office Supplies"/>
    <s v="Labels"/>
    <s v="Max Labels 970"/>
    <s v="First Class"/>
    <s v="anomaly"/>
    <n v="63"/>
    <n v="0"/>
    <x v="672"/>
    <x v="672"/>
    <n v="0.53418722686112274"/>
    <s v="03-01-25"/>
    <s v="07-03-25"/>
    <s v="January"/>
    <s v="2025"/>
    <s v=" "/>
    <n v="63"/>
    <s v="Unique"/>
  </r>
  <r>
    <s v="ORD-2024-10699"/>
    <s v="14-09-2024"/>
    <s v="2024-09-14"/>
    <s v="CUST-5357"/>
    <s v="Mira Das"/>
    <s v="Corporate"/>
    <x v="0"/>
    <s v="Rajasthan"/>
    <s v="Jaipur"/>
    <s v="Technology"/>
    <s v="Machines"/>
    <s v="Classic Machines 648"/>
    <s v="Standard Class"/>
    <n v="8"/>
    <n v="4081.66"/>
    <n v="0.15"/>
    <n v="28208.1"/>
    <n v="23751.91"/>
    <n v="4003.38"/>
    <x v="0"/>
    <x v="2"/>
    <m/>
    <s v="ORD-2024-10699"/>
    <s v="14-09-24"/>
    <s v="14-09-24"/>
    <s v="CUST-5357"/>
    <s v="Mira Das"/>
    <s v="Corporate"/>
    <s v="North"/>
    <s v="Rajasthan"/>
    <s v="Jaipur"/>
    <s v="Technology"/>
    <s v="Machines"/>
    <s v="Classic Machines 648"/>
    <s v="Standard Class"/>
    <s v="  "/>
    <n v="0"/>
    <n v="0.15"/>
    <x v="673"/>
    <x v="673"/>
    <n v="0.14423838801456493"/>
    <s v="14-09-24"/>
    <s v="14-09-24"/>
    <s v="September"/>
    <s v="2024"/>
    <s v=" "/>
    <n v="0"/>
    <s v="Unique"/>
  </r>
  <r>
    <s v="ORD-2024-10700"/>
    <s v="2024-06-11"/>
    <s v="11 Jun 2024"/>
    <s v="CUST-9802"/>
    <s v="Arjun Bose"/>
    <s v="Small Business"/>
    <x v="2"/>
    <s v="Karnataka"/>
    <s v="Bengaluru"/>
    <s v="Furniture"/>
    <s v="Bookcases"/>
    <s v="Max Bookcases 565"/>
    <s v="Standard Class"/>
    <n v="9"/>
    <n v="1400.11"/>
    <n v="0.25"/>
    <n v="9450.74"/>
    <n v="7798.56"/>
    <n v="1652.18"/>
    <x v="0"/>
    <x v="0"/>
    <m/>
    <s v="ORD-2024-10700"/>
    <s v="11-06-24"/>
    <s v="11-06-24"/>
    <s v="CUST-9802"/>
    <s v="Arjun Bose"/>
    <s v="Small Business"/>
    <s v="South"/>
    <s v="Karnataka"/>
    <s v="Bengaluru"/>
    <s v="Furniture"/>
    <s v="Bookcases"/>
    <s v="Max Bookcases 565"/>
    <s v="Standard Class"/>
    <s v="  "/>
    <n v="0"/>
    <n v="0.25"/>
    <x v="674"/>
    <x v="674"/>
    <n v="0.17482039109625511"/>
    <s v="11-06-24"/>
    <s v="11-06-24"/>
    <s v="June"/>
    <s v="2024"/>
    <s v=" "/>
    <n v="0"/>
    <s v="Unique"/>
  </r>
  <r>
    <s v="ORD-2024-10701"/>
    <s v="18-09-2024"/>
    <s v="09/21/2024"/>
    <s v="CUST-5646"/>
    <s v="Neha Gupta"/>
    <s v="Corporate"/>
    <x v="1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x v="0"/>
    <x v="0"/>
    <m/>
    <s v="ORD-2024-10701"/>
    <s v="18-09-24"/>
    <s v="invalid date"/>
    <s v="CUST-5646"/>
    <s v="Neha Gupta"/>
    <s v="Corporate"/>
    <s v="East"/>
    <s v="West Bengal"/>
    <s v="Kolkata"/>
    <s v="Technology"/>
    <s v="Machines"/>
    <s v="Basic Machines 220"/>
    <s v="Standard Class"/>
    <s v="Invalid"/>
    <s v="invalid date"/>
    <n v="0.15"/>
    <x v="675"/>
    <x v="675"/>
    <n v="0.39792070498149201"/>
    <s v="18-09-24"/>
    <s v="invalid date"/>
    <s v="September"/>
    <s v="2024"/>
    <s v="Invalid"/>
    <s v="invalid date"/>
    <s v="Unique"/>
  </r>
  <r>
    <s v="ORD-2024-10702"/>
    <s v="30-04-2024"/>
    <s v="04 May 2024"/>
    <s v="CUST-7171"/>
    <s v="Rohan Mehta"/>
    <s v="Small Business"/>
    <x v="3"/>
    <s v="Gujarat"/>
    <s v="Ahmedabad"/>
    <s v="Office Supplies"/>
    <s v="Art"/>
    <s v="Pro Art 151"/>
    <s v="Same Day"/>
    <n v="7"/>
    <n v="1224.94"/>
    <n v="0"/>
    <n v="8574.58"/>
    <n v="6685.81"/>
    <n v="1888.77"/>
    <x v="0"/>
    <x v="2"/>
    <m/>
    <s v="ORD-2024-10702"/>
    <s v="30-04-24"/>
    <s v="04-05-24"/>
    <s v="CUST-7171"/>
    <s v="Rohan Mehta"/>
    <s v="Small Business"/>
    <s v="West"/>
    <s v="Gujarat"/>
    <s v="Ahmedabad"/>
    <s v="Office Supplies"/>
    <s v="Art"/>
    <s v="Pro Art 151"/>
    <s v="Same Day"/>
    <s v="  "/>
    <n v="4"/>
    <n v="0"/>
    <x v="676"/>
    <x v="676"/>
    <n v="0.22027551203674112"/>
    <s v="30-04-24"/>
    <s v="04-05-24"/>
    <s v="April"/>
    <s v="2024"/>
    <s v="anomaly"/>
    <n v="4"/>
    <s v="Unique"/>
  </r>
  <r>
    <s v="ORD-2025-10703"/>
    <s v="2025-02-02"/>
    <s v="02/06/2025"/>
    <s v="CUST-5231"/>
    <s v="Karan Malhotra"/>
    <s v="Small Business"/>
    <x v="3"/>
    <s v="Rajasthan"/>
    <s v="Udaipur"/>
    <s v="Furniture"/>
    <s v="Tables"/>
    <s v="Pro Tables 980"/>
    <s v="Second Class"/>
    <n v="3"/>
    <n v="997.34"/>
    <n v="0.1"/>
    <n v="2692.82"/>
    <n v="1820.08"/>
    <n v="872.74"/>
    <x v="0"/>
    <x v="0"/>
    <m/>
    <s v="ORD-2025-10703"/>
    <s v="02-02-25"/>
    <s v="02-06-25"/>
    <s v="CUST-5231"/>
    <s v="Karan Malhotra"/>
    <s v="Small Business"/>
    <s v="West"/>
    <s v="Rajasthan"/>
    <s v="Udaipur"/>
    <s v="Furniture"/>
    <s v="Tables"/>
    <s v="Pro Tables 980"/>
    <s v="Second Class"/>
    <s v="anomaly"/>
    <n v="120"/>
    <n v="0.1"/>
    <x v="677"/>
    <x v="677"/>
    <n v="0.32409839803506968"/>
    <s v="02-02-25"/>
    <s v="02-06-25"/>
    <s v="February"/>
    <s v="2025"/>
    <s v=" "/>
    <n v="120"/>
    <s v="Unique"/>
  </r>
  <r>
    <s v="ORD-2024-10704"/>
    <s v="19 Oct 2024"/>
    <s v="2024-10-20"/>
    <s v="CUST-8734"/>
    <s v="Aditi Sen"/>
    <s v="Corporate"/>
    <x v="0"/>
    <s v="Rajasthan"/>
    <s v="Jaipur"/>
    <s v="Furniture"/>
    <s v="Tables"/>
    <s v="Classic Tables 997"/>
    <s v="First Class"/>
    <n v="1"/>
    <n v="1150.03"/>
    <n v="0.1"/>
    <n v="1035.03"/>
    <n v="854.35"/>
    <n v="180.68"/>
    <x v="0"/>
    <x v="0"/>
    <m/>
    <s v="ORD-2024-10704"/>
    <s v="19-10-24"/>
    <s v="20-10-24"/>
    <s v="CUST-8734"/>
    <s v="Aditi Sen"/>
    <s v="Corporate"/>
    <s v="North"/>
    <s v="Rajasthan"/>
    <s v="Jaipur"/>
    <s v="Furniture"/>
    <s v="Tables"/>
    <s v="Classic Tables 997"/>
    <s v="First Class"/>
    <s v="anomaly"/>
    <n v="1"/>
    <n v="0.1"/>
    <x v="678"/>
    <x v="678"/>
    <n v="0.1745625959516032"/>
    <s v="19-10-24"/>
    <s v="20-10-24"/>
    <s v="October"/>
    <s v="2024"/>
    <s v=" "/>
    <n v="1"/>
    <s v="Unique"/>
  </r>
  <r>
    <s v="ORD-2024-10705"/>
    <s v="2024-03-13"/>
    <s v="03/20/2024"/>
    <s v="CUST-4916"/>
    <s v="Priya Menon"/>
    <s v="Home Office"/>
    <x v="2"/>
    <s v="Tamil Nadu"/>
    <s v="Chennai"/>
    <s v="Furniture"/>
    <s v="Bookcases"/>
    <s v="Max Bookcases 738"/>
    <m/>
    <n v="1"/>
    <n v="2825.63"/>
    <n v="0.15"/>
    <n v="2401.79"/>
    <n v="1820.34"/>
    <n v="581.45000000000005"/>
    <x v="0"/>
    <x v="0"/>
    <m/>
    <s v="ORD-2024-10705"/>
    <s v="13-03-24"/>
    <s v="invalid date"/>
    <s v="CUST-4916"/>
    <s v="Priya Menon"/>
    <s v="Home Office"/>
    <s v="South"/>
    <s v="Tamil Nadu"/>
    <s v="Chennai"/>
    <s v="Furniture"/>
    <s v="Bookcases"/>
    <s v="Max Bookcases 738"/>
    <s v="unknown"/>
    <s v="Invalid"/>
    <s v="invalid date"/>
    <n v="0.15"/>
    <x v="679"/>
    <x v="679"/>
    <n v="0.24208885431276025"/>
    <s v="13-03-24"/>
    <s v="invalid date"/>
    <s v="March"/>
    <s v="2024"/>
    <s v="Invalid"/>
    <s v="invalid date"/>
    <s v="Unique"/>
  </r>
  <r>
    <s v="ORD-2024-10706"/>
    <s v="08 Sep 2024"/>
    <s v="09/14/2024"/>
    <s v="CUST-3289"/>
    <s v="Rohan Mehta"/>
    <s v="Consumer"/>
    <x v="0"/>
    <s v="Rajasthan"/>
    <s v="Jaipur"/>
    <s v="Office Supplies"/>
    <s v="Binders"/>
    <s v="Max Binders 411"/>
    <s v="Standard Class"/>
    <n v="5"/>
    <n v="3371.75"/>
    <n v="0.05"/>
    <n v="16015.81"/>
    <n v="11352.38"/>
    <n v="4663.43"/>
    <x v="0"/>
    <x v="0"/>
    <m/>
    <s v="ORD-2024-10706"/>
    <s v="08-09-24"/>
    <s v="invalid date"/>
    <s v="CUST-3289"/>
    <s v="Rohan Mehta"/>
    <s v="Consumer"/>
    <s v="North"/>
    <s v="Rajasthan"/>
    <s v="Jaipur"/>
    <s v="Office Supplies"/>
    <s v="Binders"/>
    <s v="Max Binders 411"/>
    <s v="Standard Class"/>
    <s v="Invalid"/>
    <s v="invalid date"/>
    <n v="0.05"/>
    <x v="680"/>
    <x v="680"/>
    <n v="0.29117676671102394"/>
    <s v="08-09-24"/>
    <s v="invalid date"/>
    <s v="September"/>
    <s v="2024"/>
    <s v="Invalid"/>
    <s v="invalid date"/>
    <s v="Unique"/>
  </r>
  <r>
    <s v="ORD-2024-10707"/>
    <s v="24-06-2024"/>
    <s v="28-06-2024"/>
    <s v="CUST-4928"/>
    <s v="Isha Nair"/>
    <s v="Small Business"/>
    <x v="1"/>
    <s v="Odisha"/>
    <s v="Bhubaneswar"/>
    <s v="Office Supplies"/>
    <s v="Paper"/>
    <s v="Max Paper 343"/>
    <s v="Same Day"/>
    <n v="1"/>
    <n v="2112.75"/>
    <n v="0.1"/>
    <n v="1901.48"/>
    <n v="1354.28"/>
    <n v="547.20000000000005"/>
    <x v="0"/>
    <x v="0"/>
    <m/>
    <s v="ORD-2024-10707"/>
    <s v="24-06-24"/>
    <s v="28-06-24"/>
    <s v="CUST-4928"/>
    <s v="Isha Nair"/>
    <s v="Small Business"/>
    <s v="East"/>
    <s v="Odisha"/>
    <s v="Bhubaneswar"/>
    <s v="Office Supplies"/>
    <s v="Paper"/>
    <s v="Max Paper 343"/>
    <s v="Same Day"/>
    <s v="anomaly"/>
    <n v="4"/>
    <n v="0.1"/>
    <x v="681"/>
    <x v="681"/>
    <n v="0.28777396494826391"/>
    <s v="24-06-24"/>
    <s v="28-06-24"/>
    <s v="June"/>
    <s v="2024"/>
    <s v=" "/>
    <n v="4"/>
    <s v="Unique"/>
  </r>
  <r>
    <s v="ORD-2025-10708"/>
    <s v="24-06-2025"/>
    <s v="06/26/2025"/>
    <s v="CUST-4902"/>
    <s v="Vikram Iyer"/>
    <s v="Consumer"/>
    <x v="0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x v="0"/>
    <x v="0"/>
    <m/>
    <s v="ORD-2025-10708"/>
    <s v="24-06-25"/>
    <s v="invalid date"/>
    <s v="CUST-4902"/>
    <s v="Vikram Iyer"/>
    <s v="Consumer"/>
    <s v="North"/>
    <s v="Rajasthan"/>
    <s v="Jaipur"/>
    <s v="Technology"/>
    <s v="Accessories"/>
    <s v="Pro Accessories 485"/>
    <s v="Same Day"/>
    <s v="Invalid"/>
    <s v="invalid date"/>
    <s v="invalid"/>
    <x v="2"/>
    <x v="2"/>
    <s v="NA"/>
    <s v="24-06-25"/>
    <s v="invalid date"/>
    <s v="June"/>
    <s v="2025"/>
    <s v="Invalid"/>
    <s v="invalid date"/>
    <s v="Unique"/>
  </r>
  <r>
    <s v="ORD-2025-10709"/>
    <s v="03/20/2025"/>
    <s v="2025-03-26"/>
    <s v="CUST-6504"/>
    <s v="Sneha Kapoor"/>
    <s v="Consumer"/>
    <x v="1"/>
    <s v="Assam"/>
    <s v="Guwahati"/>
    <s v="Furniture"/>
    <s v="Bookcases"/>
    <s v="Elite Bookcases 113"/>
    <s v="First Class"/>
    <n v="4"/>
    <n v="4357.66"/>
    <n v="0.05"/>
    <n v="16559.11"/>
    <n v="13233.79"/>
    <n v="3325.32"/>
    <x v="0"/>
    <x v="0"/>
    <m/>
    <s v="ORD-2025-10709"/>
    <s v="invalid date"/>
    <s v="26-03-25"/>
    <s v="CUST-6504"/>
    <s v="Sneha Kapoor"/>
    <s v="Consumer"/>
    <s v="East"/>
    <s v="Assam"/>
    <s v="Guwahati"/>
    <s v="Furniture"/>
    <s v="Bookcases"/>
    <s v="Elite Bookcases 113"/>
    <s v="First Class"/>
    <s v="Invalid"/>
    <s v="invalid date"/>
    <n v="0.05"/>
    <x v="682"/>
    <x v="682"/>
    <n v="0.20081504390212318"/>
    <s v="invalid date"/>
    <s v="26-03-25"/>
    <s v="invalid date"/>
    <s v="invalid date"/>
    <s v="Invalid"/>
    <s v="invalid date"/>
    <s v="Unique"/>
  </r>
  <r>
    <s v="ORD-2025-10710"/>
    <s v="19 Jan 2025"/>
    <s v="23 Jan 2025"/>
    <s v="CUST-8036"/>
    <s v="Kabir Singh"/>
    <s v="Home Office"/>
    <x v="0"/>
    <s v="Punjab"/>
    <s v="Ludhiana"/>
    <s v="Technology"/>
    <s v="Phones"/>
    <s v="Eco Phones 787"/>
    <s v="Same Day"/>
    <n v="7"/>
    <n v="1363.04"/>
    <n v="0.15"/>
    <n v="8110.09"/>
    <n v="6417.32"/>
    <n v="1692.77"/>
    <x v="0"/>
    <x v="1"/>
    <m/>
    <s v="ORD-2025-10710"/>
    <s v="19-01-25"/>
    <s v="23-01-25"/>
    <s v="CUST-8036"/>
    <s v="Kabir Singh"/>
    <s v="Home Office"/>
    <s v="North"/>
    <s v="Punjab"/>
    <s v="Ludhiana"/>
    <s v="Technology"/>
    <s v="Phones"/>
    <s v="Eco Phones 787"/>
    <s v="Same Day"/>
    <s v="anomaly"/>
    <n v="4"/>
    <n v="0.15"/>
    <x v="683"/>
    <x v="683"/>
    <n v="0.2087237524426368"/>
    <s v="19-01-25"/>
    <s v="23-01-25"/>
    <s v="January"/>
    <s v="2025"/>
    <s v=" "/>
    <n v="4"/>
    <s v="Unique"/>
  </r>
  <r>
    <s v="ORD-2024-10711"/>
    <s v="07/12/2024"/>
    <s v="07/19/2024"/>
    <s v="CUST-7199"/>
    <s v="Vikram Iyer"/>
    <s v="Corporate"/>
    <x v="0"/>
    <s v="Punjab"/>
    <s v="Ludhiana"/>
    <s v="Office Supplies"/>
    <s v="Art"/>
    <s v="Smart Art 279"/>
    <s v="Second Class"/>
    <n v="5"/>
    <n v="1559.16"/>
    <n v="0.05"/>
    <n v="7406.01"/>
    <n v="5941.74"/>
    <n v="1464.27"/>
    <x v="0"/>
    <x v="0"/>
    <m/>
    <s v="ORD-2024-10711"/>
    <s v="07-12-24"/>
    <s v="invalid date"/>
    <s v="CUST-7199"/>
    <s v="Vikram Iyer"/>
    <s v="Corporate"/>
    <s v="North"/>
    <s v="Punjab"/>
    <s v="Ludhiana"/>
    <s v="Office Supplies"/>
    <s v="Art"/>
    <s v="Smart Art 279"/>
    <s v="Second Class"/>
    <s v="Invalid"/>
    <s v="invalid date"/>
    <n v="0.05"/>
    <x v="684"/>
    <x v="684"/>
    <n v="0.19771374869869207"/>
    <s v="07-12-24"/>
    <s v="invalid date"/>
    <s v="December"/>
    <s v="2024"/>
    <s v="Invalid"/>
    <s v="invalid date"/>
    <s v="Unique"/>
  </r>
  <r>
    <s v="ORD-2025-10712"/>
    <s v="02-02-2025"/>
    <s v="2025-02-02"/>
    <s v="CUST-6176"/>
    <s v="Kabir Singh"/>
    <s v="Corporate"/>
    <x v="1"/>
    <s v="West Bengal"/>
    <s v="Kolkata"/>
    <s v="Technology"/>
    <s v="Machines"/>
    <s v="Basic Machines 172"/>
    <s v="First Class"/>
    <n v="1"/>
    <n v="4326.75"/>
    <n v="0.05"/>
    <n v="4110.41"/>
    <n v="2394.14"/>
    <n v="1716.27"/>
    <x v="2"/>
    <x v="2"/>
    <m/>
    <s v="ORD-2025-10712"/>
    <s v="02-02-25"/>
    <s v="02-02-25"/>
    <s v="CUST-6176"/>
    <s v="Kabir Singh"/>
    <s v="Corporate"/>
    <s v="East"/>
    <s v="West Bengal"/>
    <s v="Kolkata"/>
    <s v="Technology"/>
    <s v="Machines"/>
    <s v="Basic Machines 172"/>
    <s v="First Class"/>
    <s v="  "/>
    <n v="0"/>
    <n v="0.05"/>
    <x v="685"/>
    <x v="685"/>
    <n v="0.41754264322619683"/>
    <s v="02-02-25"/>
    <s v="02-02-25"/>
    <s v="February"/>
    <s v="2025"/>
    <s v=" "/>
    <n v="0"/>
    <s v="Unique"/>
  </r>
  <r>
    <s v="ORD-2024-10713"/>
    <s v="10 Feb 2024"/>
    <s v="18 Feb 2024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x v="0"/>
    <x v="0"/>
    <m/>
    <s v="ORD-2024-10713"/>
    <s v="10-02-24"/>
    <s v="18-02-24"/>
    <s v="CUST-5127"/>
    <s v="Isha Nair"/>
    <s v="Home Office"/>
    <s v="West"/>
    <s v="Madhya Pradesh"/>
    <s v="Indore"/>
    <s v="Furniture"/>
    <s v="Chairs"/>
    <s v="Smart Chairs 259"/>
    <s v="First Class"/>
    <s v="anomaly"/>
    <n v="8"/>
    <n v="0"/>
    <x v="686"/>
    <x v="686"/>
    <n v="0.28960270743242256"/>
    <s v="10-02-24"/>
    <s v="18-02-24"/>
    <s v="February"/>
    <s v="2024"/>
    <s v=" "/>
    <n v="8"/>
    <s v="Unique"/>
  </r>
  <r>
    <s v="ORD-2025-10714"/>
    <s v="06/06/2025"/>
    <s v="06/10/2025"/>
    <s v="CUST-2548"/>
    <s v="Mira Das"/>
    <s v="Consumer"/>
    <x v="3"/>
    <s v="Rajasthan"/>
    <s v="Udaipur"/>
    <s v="Technology"/>
    <s v="Machines"/>
    <s v="Pro Machines 987"/>
    <s v="Second Class"/>
    <n v="1"/>
    <n v="289.97000000000003"/>
    <n v="0.25"/>
    <n v="217.48"/>
    <n v="132.13"/>
    <n v="85.35"/>
    <x v="0"/>
    <x v="0"/>
    <m/>
    <s v="ORD-2025-10714"/>
    <s v="06-06-25"/>
    <s v="06-10-25"/>
    <s v="CUST-2548"/>
    <s v="Mira Das"/>
    <s v="Consumer"/>
    <s v="West"/>
    <s v="Rajasthan"/>
    <s v="Udaipur"/>
    <s v="Technology"/>
    <s v="Machines"/>
    <s v="Pro Machines 987"/>
    <s v="Second Class"/>
    <s v="anomaly"/>
    <n v="122"/>
    <n v="0.25"/>
    <x v="687"/>
    <x v="687"/>
    <n v="0.39244289639158081"/>
    <s v="06-06-25"/>
    <s v="06-10-25"/>
    <s v="June"/>
    <s v="2025"/>
    <s v=" "/>
    <n v="122"/>
    <s v="Unique"/>
  </r>
  <r>
    <s v="ORD-2025-10715"/>
    <s v="22 Mar 2025"/>
    <s v="2025-03-23"/>
    <s v="CUST-9902"/>
    <s v="Karan Malhotra"/>
    <s v="Home Office"/>
    <x v="0"/>
    <s v="Delhi"/>
    <s v="New Delhi"/>
    <s v="Technology"/>
    <s v="Copiers"/>
    <s v="Pro Copiers 206"/>
    <s v="Standard Class"/>
    <n v="9"/>
    <n v="2075.02"/>
    <n v="0"/>
    <n v="18675.18"/>
    <n v="13974.7"/>
    <n v="4700.4799999999996"/>
    <x v="0"/>
    <x v="0"/>
    <m/>
    <s v="ORD-2025-10715"/>
    <s v="22-03-25"/>
    <s v="23-03-25"/>
    <s v="CUST-9902"/>
    <s v="Karan Malhotra"/>
    <s v="Home Office"/>
    <s v="North"/>
    <s v="Delhi"/>
    <s v="New Delhi"/>
    <s v="Technology"/>
    <s v="Copiers"/>
    <s v="Pro Copiers 206"/>
    <s v="Standard Class"/>
    <s v="anomaly"/>
    <n v="1"/>
    <n v="0"/>
    <x v="688"/>
    <x v="688"/>
    <n v="0.25169663692665878"/>
    <s v="22-03-25"/>
    <s v="23-03-25"/>
    <s v="March"/>
    <s v="2025"/>
    <s v=" "/>
    <n v="1"/>
    <s v="Unique"/>
  </r>
  <r>
    <s v="ORD-2025-10716"/>
    <s v="2025-08-22"/>
    <s v="27 Aug 2025"/>
    <s v="CUST-7446"/>
    <s v="Priya Menon"/>
    <s v="Consumer"/>
    <x v="0"/>
    <s v="Haryana"/>
    <s v="Gurugram"/>
    <s v="Furniture"/>
    <s v="Chairs"/>
    <s v="Max Chairs 372"/>
    <s v="Second Class"/>
    <n v="7"/>
    <n v="2843.09"/>
    <n v="0"/>
    <n v="19901.63"/>
    <n v="15492.03"/>
    <n v="4409.6000000000004"/>
    <x v="1"/>
    <x v="1"/>
    <m/>
    <s v="ORD-2025-10716"/>
    <s v="22-08-25"/>
    <s v="27-08-25"/>
    <s v="CUST-7446"/>
    <s v="Priya Menon"/>
    <s v="Consumer"/>
    <s v="North"/>
    <s v="Haryana"/>
    <s v="Gurugram"/>
    <s v="Furniture"/>
    <s v="Chairs"/>
    <s v="Max Chairs 372"/>
    <s v="Second Class"/>
    <s v="anomaly"/>
    <n v="5"/>
    <n v="0"/>
    <x v="689"/>
    <x v="689"/>
    <n v="0.22156979101711771"/>
    <s v="22-08-25"/>
    <s v="27-08-25"/>
    <s v="August"/>
    <s v="2025"/>
    <s v=" "/>
    <n v="5"/>
    <s v="Unique"/>
  </r>
  <r>
    <s v="ORD-2025-10717"/>
    <s v="26 Aug 2025"/>
    <s v="31-08-2025"/>
    <s v="CUST-7540"/>
    <s v="Diya Patel"/>
    <s v="Small Business"/>
    <x v="0"/>
    <s v="Haryana"/>
    <s v="Gurugram"/>
    <s v="Technology"/>
    <s v="Phones"/>
    <s v="Basic Phones 496"/>
    <s v="First Class"/>
    <n v="1"/>
    <n v="3388.02"/>
    <n v="0.15"/>
    <n v="2879.82"/>
    <n v="1824.88"/>
    <n v="1054.94"/>
    <x v="0"/>
    <x v="0"/>
    <m/>
    <s v="ORD-2025-10717"/>
    <s v="26-08-25"/>
    <s v="31-08-25"/>
    <s v="CUST-7540"/>
    <s v="Diya Patel"/>
    <s v="Small Business"/>
    <s v="North"/>
    <s v="Haryana"/>
    <s v="Gurugram"/>
    <s v="Technology"/>
    <s v="Phones"/>
    <s v="Basic Phones 496"/>
    <s v="First Class"/>
    <s v="anomaly"/>
    <n v="5"/>
    <n v="0.15"/>
    <x v="690"/>
    <x v="690"/>
    <n v="0.3663208460815392"/>
    <s v="26-08-25"/>
    <s v="31-08-25"/>
    <s v="August"/>
    <s v="2025"/>
    <s v=" "/>
    <n v="5"/>
    <s v="Unique"/>
  </r>
  <r>
    <s v="ORD-2025-10718"/>
    <s v="12-10-2025"/>
    <s v="15 Oct 2025"/>
    <s v="CUST-8351"/>
    <s v="Kabir Singh"/>
    <s v="Small Business"/>
    <x v="0"/>
    <s v="Haryana"/>
    <s v="Gurugram"/>
    <s v="Technology"/>
    <s v="Machines"/>
    <s v="Prime Machines 612"/>
    <s v="Standard Class"/>
    <n v="9"/>
    <n v="2598.92"/>
    <n v="0.2"/>
    <n v="18712.22"/>
    <n v="11852.22"/>
    <n v="6860"/>
    <x v="2"/>
    <x v="1"/>
    <m/>
    <s v="ORD-2025-10718"/>
    <s v="12-10-25"/>
    <s v="15-10-25"/>
    <s v="CUST-8351"/>
    <s v="Kabir Singh"/>
    <s v="Small Business"/>
    <s v="North"/>
    <s v="Haryana"/>
    <s v="Gurugram"/>
    <s v="Technology"/>
    <s v="Machines"/>
    <s v="Prime Machines 612"/>
    <s v="Standard Class"/>
    <s v="anomaly"/>
    <n v="3"/>
    <n v="0.2"/>
    <x v="691"/>
    <x v="691"/>
    <n v="0.3666054874075898"/>
    <s v="12-10-25"/>
    <s v="15-10-25"/>
    <s v="October"/>
    <s v="2025"/>
    <s v=" "/>
    <n v="3"/>
    <s v="Unique"/>
  </r>
  <r>
    <s v="ORD-2024-10719"/>
    <s v="06 Sep 2024"/>
    <s v="2024-09-09"/>
    <s v="CUST-3918"/>
    <s v="Mira Das"/>
    <s v="Consumer"/>
    <x v="3"/>
    <s v="Maharashtra"/>
    <s v="Mumbai"/>
    <s v="Office Supplies"/>
    <s v="Art"/>
    <s v="Smart Art 866"/>
    <s v="Same Day"/>
    <n v="3"/>
    <n v="1972.27"/>
    <n v="0.2"/>
    <n v="4733.45"/>
    <n v="3672.32"/>
    <n v="1061.1300000000001"/>
    <x v="0"/>
    <x v="0"/>
    <m/>
    <s v="ORD-2024-10719"/>
    <s v="06-09-24"/>
    <s v="09-09-24"/>
    <s v="CUST-3918"/>
    <s v="Mira Das"/>
    <s v="Consumer"/>
    <s v="West"/>
    <s v="Maharashtra"/>
    <s v="Mumbai"/>
    <s v="Office Supplies"/>
    <s v="Art"/>
    <s v="Smart Art 866"/>
    <s v="Same Day"/>
    <s v="anomaly"/>
    <n v="3"/>
    <n v="0.2"/>
    <x v="692"/>
    <x v="692"/>
    <n v="0.22417654107534282"/>
    <s v="06-09-24"/>
    <s v="09-09-24"/>
    <s v="September"/>
    <s v="2024"/>
    <s v=" "/>
    <n v="3"/>
    <s v="Unique"/>
  </r>
  <r>
    <s v="ORD-2025-10720"/>
    <s v="08 Sep 2025"/>
    <s v="2025-09-09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n v="3795.86"/>
    <n v="2264.92"/>
    <n v="1530.94"/>
    <x v="0"/>
    <x v="0"/>
    <m/>
    <s v="ORD-2025-10720"/>
    <s v="08-09-25"/>
    <s v="09-09-25"/>
    <s v="CUST-3190"/>
    <s v="Kabir Singh"/>
    <s v="Corporate"/>
    <s v="West"/>
    <s v="Gujarat"/>
    <s v="Ahmedabad"/>
    <s v="Office Supplies"/>
    <s v="Art"/>
    <s v="Pro Art 447"/>
    <s v="Same Day"/>
    <s v="anomaly"/>
    <n v="1"/>
    <n v="0.2"/>
    <x v="693"/>
    <x v="693"/>
    <n v="0.40331772332775528"/>
    <s v="08-09-25"/>
    <s v="09-09-25"/>
    <s v="September"/>
    <s v="2025"/>
    <s v=" "/>
    <n v="1"/>
    <s v="Unique"/>
  </r>
  <r>
    <s v="ORD-2024-10721"/>
    <s v="2024-07-16"/>
    <s v="07/16/2024"/>
    <s v="CUST-1991"/>
    <s v="Aditi Sen"/>
    <s v="Home Office"/>
    <x v="3"/>
    <s v="Madhya Pradesh"/>
    <s v="Indore"/>
    <s v="Technology"/>
    <s v="Copiers"/>
    <s v="Smart Copiers 196"/>
    <s v="Same Day"/>
    <n v="4"/>
    <n v="4479.92"/>
    <n v="0.15"/>
    <n v="15231.73"/>
    <n v="12451.46"/>
    <n v="2780.27"/>
    <x v="0"/>
    <x v="0"/>
    <m/>
    <s v="ORD-2024-10721"/>
    <s v="16-07-24"/>
    <s v="invalid date"/>
    <s v="CUST-1991"/>
    <s v="Aditi Sen"/>
    <s v="Home Office"/>
    <s v="West"/>
    <s v="Madhya Pradesh"/>
    <s v="Indore"/>
    <s v="Technology"/>
    <s v="Copiers"/>
    <s v="Smart Copiers 196"/>
    <s v="Same Day"/>
    <s v="Invalid"/>
    <s v="invalid date"/>
    <n v="0.15"/>
    <x v="694"/>
    <x v="694"/>
    <n v="0.1825313582280356"/>
    <s v="16-07-24"/>
    <s v="invalid date"/>
    <s v="July"/>
    <s v="2024"/>
    <s v="Invalid"/>
    <s v="invalid date"/>
    <s v="Unique"/>
  </r>
  <r>
    <s v="ORD-2025-10722"/>
    <s v="19-06-2025"/>
    <s v="23-06-2025"/>
    <s v="CUST-7606"/>
    <s v="Sneha Kapoor"/>
    <s v="Consumer"/>
    <x v="2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x v="0"/>
    <x v="0"/>
    <m/>
    <s v="ORD-2025-10722"/>
    <s v="19-06-25"/>
    <s v="23-06-25"/>
    <s v="CUST-7606"/>
    <s v="Sneha Kapoor"/>
    <s v="Consumer"/>
    <s v="South"/>
    <s v="Karnataka"/>
    <s v="Bengaluru"/>
    <s v="Technology"/>
    <s v="Copiers"/>
    <s v="Pro Copiers 532"/>
    <s v="First Class"/>
    <s v="anomaly"/>
    <n v="4"/>
    <n v="0"/>
    <x v="695"/>
    <x v="695"/>
    <n v="0.24628436418249414"/>
    <s v="19-06-25"/>
    <s v="23-06-25"/>
    <s v="June"/>
    <s v="2025"/>
    <s v=" "/>
    <n v="4"/>
    <s v="Unique"/>
  </r>
  <r>
    <s v="ORD-2024-10723"/>
    <s v="2024-10-07"/>
    <s v="10 Oct 2024"/>
    <s v="CUST-8844"/>
    <s v="Vikram Iyer"/>
    <s v="Consumer"/>
    <x v="1"/>
    <s v="West Bengal"/>
    <s v="Kolkata"/>
    <s v="Furniture"/>
    <s v="Chairs"/>
    <s v="Eco Chairs 442"/>
    <s v="Second Class"/>
    <n v="9"/>
    <n v="481.51"/>
    <m/>
    <n v="4333.59"/>
    <n v="2533.59"/>
    <n v="1800"/>
    <x v="1"/>
    <x v="1"/>
    <m/>
    <s v="ORD-2024-10723"/>
    <s v="07-10-24"/>
    <s v="10-10-24"/>
    <s v="CUST-8844"/>
    <s v="Vikram Iyer"/>
    <s v="Consumer"/>
    <s v="East"/>
    <s v="West Bengal"/>
    <s v="Kolkata"/>
    <s v="Furniture"/>
    <s v="Chairs"/>
    <s v="Eco Chairs 442"/>
    <s v="Second Class"/>
    <s v="anomaly"/>
    <n v="3"/>
    <n v="0"/>
    <x v="696"/>
    <x v="696"/>
    <n v="0.41536001329152039"/>
    <s v="07-10-24"/>
    <s v="10-10-24"/>
    <s v="October"/>
    <s v="2024"/>
    <s v=" "/>
    <n v="3"/>
    <s v="Unique"/>
  </r>
  <r>
    <s v="ORD-2025-10724"/>
    <s v="10/06/2025"/>
    <s v="2025-10-13"/>
    <s v="CUST-4335"/>
    <s v="Kabir Singh"/>
    <s v="Home Office"/>
    <x v="1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x v="3"/>
    <x v="2"/>
    <m/>
    <s v="ORD-2025-10724"/>
    <s v="10-06-25"/>
    <s v="13-10-25"/>
    <s v="CUST-4335"/>
    <s v="Kabir Singh"/>
    <s v="Home Office"/>
    <s v="East"/>
    <s v="Jharkhand"/>
    <s v="Ranchi"/>
    <s v="Technology"/>
    <s v="Accessories"/>
    <s v="Eco Accessories 364"/>
    <s v="Standard Class"/>
    <s v="anomaly"/>
    <n v="125"/>
    <n v="0.05"/>
    <x v="697"/>
    <x v="697"/>
    <n v="0.29662539998346776"/>
    <s v="10-06-25"/>
    <s v="13-10-25"/>
    <s v="June"/>
    <s v="2025"/>
    <s v=" "/>
    <n v="125"/>
    <s v="Unique"/>
  </r>
  <r>
    <s v="ORD-2024-10725"/>
    <s v="02/10/2024"/>
    <s v="16-02-2024"/>
    <s v="CUST-5891"/>
    <s v="Karan Malhotra"/>
    <s v="Consumer"/>
    <x v="3"/>
    <s v="Goa"/>
    <s v="Panaji"/>
    <s v="Furniture"/>
    <s v="Furnishings"/>
    <s v="Elite Furnishings 921"/>
    <s v="Second Class"/>
    <n v="3"/>
    <n v="253.43"/>
    <n v="0"/>
    <n v="760.29"/>
    <n v="497.77"/>
    <n v="262.52"/>
    <x v="0"/>
    <x v="0"/>
    <m/>
    <s v="ORD-2024-10725"/>
    <s v="02-10-24"/>
    <s v="16-02-24"/>
    <s v="CUST-5891"/>
    <s v="Karan Malhotra"/>
    <s v="Consumer"/>
    <s v="West"/>
    <s v="Goa"/>
    <s v="Panaji"/>
    <s v="Furniture"/>
    <s v="Furnishings"/>
    <s v="Elite Furnishings 921"/>
    <s v="Second Class"/>
    <s v="anomaly"/>
    <n v="-229"/>
    <n v="0"/>
    <x v="698"/>
    <x v="698"/>
    <n v="0.34528929750489945"/>
    <s v="02-10-24"/>
    <s v="16-02-24"/>
    <s v="October"/>
    <s v="2024"/>
    <s v=" "/>
    <n v="-229"/>
    <s v="Unique"/>
  </r>
  <r>
    <s v="ORD-2025-10726"/>
    <s v="10/05/2025"/>
    <s v="2025-10-12"/>
    <s v="CUST-6371"/>
    <s v="Priya Menon"/>
    <s v="Corporate"/>
    <x v="2"/>
    <s v="Karnataka"/>
    <s v="Bengaluru"/>
    <s v="Furniture"/>
    <s v="Tables"/>
    <s v="Max Tables 309"/>
    <s v="Second Class"/>
    <n v="7"/>
    <n v="2134.73"/>
    <n v="0"/>
    <n v="14943.11"/>
    <n v="8521.5"/>
    <n v="6421.61"/>
    <x v="0"/>
    <x v="0"/>
    <m/>
    <s v="ORD-2025-10726"/>
    <s v="10-05-25"/>
    <s v="12-10-25"/>
    <s v="CUST-6371"/>
    <s v="Priya Menon"/>
    <s v="Corporate"/>
    <s v="South"/>
    <s v="Karnataka"/>
    <s v="Bengaluru"/>
    <s v="Furniture"/>
    <s v="Tables"/>
    <s v="Max Tables 309"/>
    <s v="Second Class"/>
    <s v="anomaly"/>
    <n v="155"/>
    <n v="0"/>
    <x v="699"/>
    <x v="699"/>
    <n v="0.42973718322357263"/>
    <s v="10-05-25"/>
    <s v="12-10-25"/>
    <s v="May"/>
    <s v="2025"/>
    <s v=" "/>
    <n v="155"/>
    <s v="Unique"/>
  </r>
  <r>
    <s v="ORD-2024-10727"/>
    <s v="2024-01-17"/>
    <s v="01/23/2024"/>
    <s v="CUST-6655"/>
    <s v="Kabir Singh"/>
    <s v="Home Office"/>
    <x v="3"/>
    <s v="Gujarat"/>
    <s v="Ahmedabad"/>
    <s v="Technology"/>
    <s v="Phones"/>
    <s v="Pro Phones 857"/>
    <s v="Standard Class"/>
    <n v="5"/>
    <n v="2018"/>
    <n v="0.2"/>
    <n v="8072"/>
    <n v="5379.22"/>
    <n v="2692.78"/>
    <x v="2"/>
    <x v="2"/>
    <m/>
    <s v="ORD-2024-10727"/>
    <s v="17-01-24"/>
    <s v="invalid date"/>
    <s v="CUST-6655"/>
    <s v="Kabir Singh"/>
    <s v="Home Office"/>
    <s v="West"/>
    <s v="Gujarat"/>
    <s v="Ahmedabad"/>
    <s v="Technology"/>
    <s v="Phones"/>
    <s v="Pro Phones 857"/>
    <s v="Standard Class"/>
    <s v="Invalid"/>
    <s v="invalid date"/>
    <n v="0.2"/>
    <x v="700"/>
    <x v="700"/>
    <n v="0.33359514370664023"/>
    <s v="17-01-24"/>
    <s v="invalid date"/>
    <s v="January"/>
    <s v="2024"/>
    <s v="Invalid"/>
    <s v="invalid date"/>
    <s v="Unique"/>
  </r>
  <r>
    <s v="ORD-2024-10728"/>
    <s v="13 Oct 2024"/>
    <s v="13 Oct 2024"/>
    <s v="CUST-6492"/>
    <s v="Aarav Sharma"/>
    <s v="Small Business"/>
    <x v="1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x v="0"/>
    <x v="0"/>
    <m/>
    <s v="ORD-2024-10728"/>
    <s v="13-10-24"/>
    <s v="13-10-24"/>
    <s v="CUST-6492"/>
    <s v="Aarav Sharma"/>
    <s v="Small Business"/>
    <s v="East"/>
    <s v="Assam"/>
    <s v="Guwahati"/>
    <s v="Technology"/>
    <s v="Accessories"/>
    <s v="Max Accessories 567"/>
    <s v="Second Class"/>
    <s v="  "/>
    <n v="0"/>
    <n v="0.05"/>
    <x v="701"/>
    <x v="701"/>
    <n v="0.3207830165228277"/>
    <s v="13-10-24"/>
    <s v="13-10-24"/>
    <s v="October"/>
    <s v="2024"/>
    <s v=" "/>
    <n v="0"/>
    <s v="Unique"/>
  </r>
  <r>
    <s v="ORD-2024-10729"/>
    <s v="2024-01-04"/>
    <s v="07-01-2024"/>
    <s v="CUST-1154"/>
    <s v="Sneha Kapoor"/>
    <s v="Small Business"/>
    <x v="2"/>
    <s v="Karnataka"/>
    <s v="Bengaluru"/>
    <s v="Technology"/>
    <s v="Machines"/>
    <s v="Max Machines 200"/>
    <s v="First Class"/>
    <n v="1"/>
    <n v="2363.02"/>
    <n v="0.15"/>
    <n v="2008.57"/>
    <n v="1194.83"/>
    <n v="813.74"/>
    <x v="0"/>
    <x v="0"/>
    <m/>
    <s v="ORD-2024-10729"/>
    <s v="04-01-24"/>
    <s v="07-01-24"/>
    <s v="CUST-1154"/>
    <s v="Sneha Kapoor"/>
    <s v="Small Business"/>
    <s v="South"/>
    <s v="Karnataka"/>
    <s v="Bengaluru"/>
    <s v="Technology"/>
    <s v="Machines"/>
    <s v="Max Machines 200"/>
    <s v="First Class"/>
    <s v="anomaly"/>
    <n v="3"/>
    <n v="0.15"/>
    <x v="702"/>
    <x v="702"/>
    <n v="0.40513311231340554"/>
    <s v="04-01-24"/>
    <s v="07-01-24"/>
    <s v="January"/>
    <s v="2024"/>
    <s v=" "/>
    <n v="3"/>
    <s v="Unique"/>
  </r>
  <r>
    <s v="ORD-2025-10730"/>
    <s v="17-05-2025"/>
    <s v="25 May 2025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x v="0"/>
    <x v="0"/>
    <m/>
    <s v="ORD-2025-10730"/>
    <s v="17-05-25"/>
    <s v="25-05-25"/>
    <s v="CUST-8713"/>
    <s v="Ananya Rao"/>
    <s v="Corporate"/>
    <s v="South"/>
    <s v="Tamil Nadu"/>
    <s v="Chennai"/>
    <s v="Technology"/>
    <s v="Machines"/>
    <s v="Pro Machines 563"/>
    <s v="Same Day"/>
    <s v="anomaly"/>
    <n v="8"/>
    <n v="0.15"/>
    <x v="703"/>
    <x v="703"/>
    <n v="0.40259987505161504"/>
    <s v="17-05-25"/>
    <s v="25-05-25"/>
    <s v="May"/>
    <s v="2025"/>
    <s v=" "/>
    <n v="8"/>
    <s v="Unique"/>
  </r>
  <r>
    <s v="ORD-2025-10731"/>
    <s v="06/19/2025"/>
    <s v="24-06-2025"/>
    <s v="CUST-6765"/>
    <s v="Arjun Bose"/>
    <s v="Consumer"/>
    <x v="1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x v="1"/>
    <x v="2"/>
    <m/>
    <s v="ORD-2025-10731"/>
    <s v="invalid date"/>
    <s v="24-06-25"/>
    <s v="CUST-6765"/>
    <s v="Arjun Bose"/>
    <s v="Consumer"/>
    <s v="East"/>
    <s v="West Bengal"/>
    <s v="Kolkata"/>
    <s v="Office Supplies"/>
    <s v="Art"/>
    <s v="Elite Art 696"/>
    <s v="Second Class"/>
    <s v="Invalid"/>
    <s v="invalid date"/>
    <n v="0.15"/>
    <x v="704"/>
    <x v="704"/>
    <n v="0.16242608602116568"/>
    <s v="invalid date"/>
    <s v="24-06-25"/>
    <s v="invalid date"/>
    <s v="invalid date"/>
    <s v="Invalid"/>
    <s v="invalid date"/>
    <s v="Unique"/>
  </r>
  <r>
    <s v="ORD-2024-10732"/>
    <s v="2024-03-17"/>
    <s v="19 Mar 2024"/>
    <s v="CUST-6849"/>
    <s v="Ananya Rao"/>
    <s v="Corporate"/>
    <x v="1"/>
    <s v="Odisha"/>
    <s v="Bhubaneswar"/>
    <s v="Office Supplies"/>
    <s v="Binders"/>
    <s v="Eco Binders 178"/>
    <s v="First Class"/>
    <n v="4"/>
    <n v="4376.68"/>
    <n v="0.1"/>
    <n v="15756.05"/>
    <n v="10245.44"/>
    <n v="5510.61"/>
    <x v="0"/>
    <x v="0"/>
    <m/>
    <s v="ORD-2024-10732"/>
    <s v="17-03-24"/>
    <s v="19-03-24"/>
    <s v="CUST-6849"/>
    <s v="Ananya Rao"/>
    <s v="Corporate"/>
    <s v="East"/>
    <s v="Odisha"/>
    <s v="Bhubaneswar"/>
    <s v="Office Supplies"/>
    <s v="Binders"/>
    <s v="Eco Binders 178"/>
    <s v="First Class"/>
    <s v="anomaly"/>
    <n v="2"/>
    <n v="0.1"/>
    <x v="705"/>
    <x v="705"/>
    <n v="0.3497455707167178"/>
    <s v="17-03-24"/>
    <s v="19-03-24"/>
    <s v="March"/>
    <s v="2024"/>
    <s v=" "/>
    <n v="2"/>
    <s v="Unique"/>
  </r>
  <r>
    <s v="ORD-2024-10733"/>
    <s v="2024-11-28"/>
    <s v="06 Dec 2024"/>
    <s v="CUST-4973"/>
    <s v="Arjun Bose"/>
    <s v="Small Business"/>
    <x v="0"/>
    <s v="Punjab"/>
    <s v="Ludhiana"/>
    <s v="Technology"/>
    <s v="Phones"/>
    <s v="Max Phones 678"/>
    <s v="Standard Class"/>
    <n v="6"/>
    <n v="2464.63"/>
    <n v="0"/>
    <n v="14787.78"/>
    <n v="8596.65"/>
    <n v="6191.13"/>
    <x v="0"/>
    <x v="0"/>
    <m/>
    <s v="ORD-2024-10733"/>
    <s v="28-11-24"/>
    <s v="06-12-24"/>
    <s v="CUST-4973"/>
    <s v="Arjun Bose"/>
    <s v="Small Business"/>
    <s v="North"/>
    <s v="Punjab"/>
    <s v="Ludhiana"/>
    <s v="Technology"/>
    <s v="Phones"/>
    <s v="Max Phones 678"/>
    <s v="Standard Class"/>
    <s v="  "/>
    <n v="8"/>
    <n v="0"/>
    <x v="706"/>
    <x v="706"/>
    <n v="0.41866527632950995"/>
    <s v="28-11-24"/>
    <s v="06-12-24"/>
    <s v="November"/>
    <s v="2024"/>
    <s v="anomaly"/>
    <n v="8"/>
    <s v="Unique"/>
  </r>
  <r>
    <s v="ORD-2024-10734"/>
    <s v="21-06-2024"/>
    <s v="28 Jun 2024"/>
    <s v="CUST-2394"/>
    <s v="Aarav Sharma"/>
    <s v="Home Office"/>
    <x v="0"/>
    <s v="Rajasthan"/>
    <s v="Jaipur"/>
    <s v="Furniture"/>
    <s v="Furnishings"/>
    <s v="Classic Furnishings 582"/>
    <s v="First Class"/>
    <n v="9"/>
    <n v="2797.96"/>
    <n v="0"/>
    <n v="25181.64"/>
    <n v="15337.9"/>
    <n v="9843.74"/>
    <x v="0"/>
    <x v="0"/>
    <m/>
    <s v="ORD-2024-10734"/>
    <s v="21-06-24"/>
    <s v="28-06-24"/>
    <s v="CUST-2394"/>
    <s v="Aarav Sharma"/>
    <s v="Home Office"/>
    <s v="North"/>
    <s v="Rajasthan"/>
    <s v="Jaipur"/>
    <s v="Furniture"/>
    <s v="Furnishings"/>
    <s v="Classic Furnishings 582"/>
    <s v="First Class"/>
    <s v="anomaly"/>
    <n v="7"/>
    <n v="0"/>
    <x v="707"/>
    <x v="707"/>
    <n v="0.39090940860086953"/>
    <s v="21-06-24"/>
    <s v="28-06-24"/>
    <s v="June"/>
    <s v="2024"/>
    <s v=" "/>
    <n v="7"/>
    <s v="Unique"/>
  </r>
  <r>
    <s v="ORD-2024-10735"/>
    <s v="24-08-2024"/>
    <s v="24-08-2024"/>
    <s v="CUST-5406"/>
    <s v="Ananya Rao"/>
    <s v="Small Business"/>
    <x v="0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x v="0"/>
    <x v="0"/>
    <m/>
    <s v="ORD-2024-10735"/>
    <s v="24-08-24"/>
    <s v="24-08-24"/>
    <s v="CUST-5406"/>
    <s v="Ananya Rao"/>
    <s v="Small Business"/>
    <s v="North"/>
    <s v="Rajasthan"/>
    <s v="Jaipur"/>
    <s v="Technology"/>
    <s v="Accessories"/>
    <s v="Classic Accessories 981"/>
    <s v="First Class"/>
    <s v="  "/>
    <n v="0"/>
    <n v="0.2"/>
    <x v="708"/>
    <x v="708"/>
    <n v="0.30331484036120587"/>
    <s v="24-08-24"/>
    <s v="24-08-24"/>
    <s v="August"/>
    <s v="2024"/>
    <s v=" "/>
    <n v="0"/>
    <s v="Unique"/>
  </r>
  <r>
    <s v="ORD-2024-10736"/>
    <s v="2024-08-11"/>
    <s v="19-08-2024"/>
    <s v="CUST-1963"/>
    <s v="Mira Das"/>
    <s v="Consumer"/>
    <x v="3"/>
    <s v="Maharashtra"/>
    <s v="Mumbai"/>
    <s v="Furniture"/>
    <s v="Tables"/>
    <s v="Classic Tables 534"/>
    <s v="Standard Class"/>
    <n v="6"/>
    <n v="1515.79"/>
    <n v="0.2"/>
    <n v="7275.79"/>
    <n v="6152.87"/>
    <n v="1122.92"/>
    <x v="0"/>
    <x v="0"/>
    <m/>
    <s v="ORD-2024-10736"/>
    <s v="11-08-24"/>
    <s v="19-08-24"/>
    <s v="CUST-1963"/>
    <s v="Mira Das"/>
    <s v="Consumer"/>
    <s v="West"/>
    <s v="Maharashtra"/>
    <s v="Mumbai"/>
    <s v="Furniture"/>
    <s v="Tables"/>
    <s v="Classic Tables 534"/>
    <s v="Standard Class"/>
    <s v="anomaly"/>
    <n v="8"/>
    <n v="0.2"/>
    <x v="709"/>
    <x v="709"/>
    <n v="0.15433673749881804"/>
    <s v="11-08-24"/>
    <s v="19-08-24"/>
    <s v="August"/>
    <s v="2024"/>
    <s v=" "/>
    <n v="8"/>
    <s v="Unique"/>
  </r>
  <r>
    <s v="ORD-2024-10737"/>
    <s v="06 Dec 2024"/>
    <s v="09-12-2024"/>
    <s v="CUST-9017"/>
    <s v="Aditi Sen"/>
    <s v="Consumer"/>
    <x v="3"/>
    <s v="Maharashtra"/>
    <s v="Mumbai"/>
    <s v="Furniture"/>
    <s v="Chairs"/>
    <s v="Pro Chairs 383"/>
    <s v="Second Class"/>
    <n v="9"/>
    <n v="290.75"/>
    <n v="0.1"/>
    <n v="2355.08"/>
    <n v="1350.03"/>
    <n v="1005.05"/>
    <x v="0"/>
    <x v="0"/>
    <m/>
    <s v="ORD-2024-10737"/>
    <s v="06-12-24"/>
    <s v="09-12-24"/>
    <s v="CUST-9017"/>
    <s v="Aditi Sen"/>
    <s v="Consumer"/>
    <s v="West"/>
    <s v="Maharashtra"/>
    <s v="Mumbai"/>
    <s v="Furniture"/>
    <s v="Chairs"/>
    <s v="Pro Chairs 383"/>
    <s v="Second Class"/>
    <s v="anomaly"/>
    <n v="3"/>
    <n v="0.1"/>
    <x v="710"/>
    <x v="710"/>
    <n v="0.42675710964618968"/>
    <s v="06-12-24"/>
    <s v="09-12-24"/>
    <s v="December"/>
    <s v="2024"/>
    <s v=" "/>
    <n v="3"/>
    <s v="Unique"/>
  </r>
  <r>
    <s v="ORD-2024-10738"/>
    <s v="2024-02-10"/>
    <s v="10 Feb 2024"/>
    <s v="CUST-7967"/>
    <s v="Isha Nair"/>
    <s v="Home Office"/>
    <x v="3"/>
    <s v="Maharashtra"/>
    <s v="Mumbai"/>
    <s v="Furniture"/>
    <s v="Chairs"/>
    <s v="Max Chairs 845"/>
    <s v="Same Day"/>
    <n v="6"/>
    <n v="601.52"/>
    <n v="0"/>
    <n v="3609.12"/>
    <n v="2645.5"/>
    <n v="963.62"/>
    <x v="0"/>
    <x v="0"/>
    <m/>
    <s v="ORD-2024-10738"/>
    <s v="10-02-24"/>
    <s v="10-02-24"/>
    <s v="CUST-7967"/>
    <s v="Isha Nair"/>
    <s v="Home Office"/>
    <s v="West"/>
    <s v="Maharashtra"/>
    <s v="Mumbai"/>
    <s v="Furniture"/>
    <s v="Chairs"/>
    <s v="Max Chairs 845"/>
    <s v="Same Day"/>
    <s v="  "/>
    <n v="0"/>
    <n v="0"/>
    <x v="711"/>
    <x v="711"/>
    <n v="0.2669958327791816"/>
    <s v="10-02-24"/>
    <s v="10-02-24"/>
    <s v="February"/>
    <s v="2024"/>
    <s v=" "/>
    <n v="0"/>
    <s v="Unique"/>
  </r>
  <r>
    <s v="ORD-2025-10739"/>
    <s v="20 Feb 2025"/>
    <s v="02/22/2025"/>
    <s v="CUST-5334"/>
    <s v="Priya Menon"/>
    <s v="Corporate"/>
    <x v="2"/>
    <s v="Kerala"/>
    <s v="Kochi"/>
    <s v="Office Supplies"/>
    <s v="Paper"/>
    <s v="Prime Paper 307"/>
    <s v="First Class"/>
    <n v="1"/>
    <n v="2188.19"/>
    <n v="0"/>
    <n v="2188.19"/>
    <n v="1298.8399999999999"/>
    <n v="889.35"/>
    <x v="0"/>
    <x v="0"/>
    <m/>
    <s v="ORD-2025-10739"/>
    <s v="20-02-25"/>
    <s v="invalid date"/>
    <s v="CUST-5334"/>
    <s v="Priya Menon"/>
    <s v="Corporate"/>
    <s v="South"/>
    <s v="Kerala"/>
    <s v="Kochi"/>
    <s v="Office Supplies"/>
    <s v="Paper"/>
    <s v="Prime Paper 307"/>
    <s v="First Class"/>
    <s v="Invalid"/>
    <s v="invalid date"/>
    <n v="0"/>
    <x v="712"/>
    <x v="712"/>
    <n v="0.40643179979800664"/>
    <s v="20-02-25"/>
    <s v="invalid date"/>
    <s v="February"/>
    <s v="2025"/>
    <s v="Invalid"/>
    <s v="invalid date"/>
    <s v="Unique"/>
  </r>
  <r>
    <s v="ORD-2024-10740"/>
    <s v="03 Dec 2024"/>
    <s v="12/10/2024"/>
    <s v="CUST-5846"/>
    <s v="Neha Gupta"/>
    <s v="Corporate"/>
    <x v="0"/>
    <s v="Rajasthan"/>
    <s v="Jaipur"/>
    <s v="Technology"/>
    <s v="Phones"/>
    <s v="Basic Phones 859"/>
    <s v="Standard Class"/>
    <n v="5"/>
    <n v="2393.86"/>
    <n v="0.05"/>
    <n v="11370.84"/>
    <n v="7469.58"/>
    <n v="3901.26"/>
    <x v="0"/>
    <x v="0"/>
    <m/>
    <s v="ORD-2024-10740"/>
    <s v="03-12-24"/>
    <s v="12-10-24"/>
    <s v="CUST-5846"/>
    <s v="Neha Gupta"/>
    <s v="Corporate"/>
    <s v="North"/>
    <s v="Rajasthan"/>
    <s v="Jaipur"/>
    <s v="Technology"/>
    <s v="Phones"/>
    <s v="Basic Phones 859"/>
    <s v="Standard Class"/>
    <s v="anomaly"/>
    <n v="-52"/>
    <n v="0.05"/>
    <x v="713"/>
    <x v="713"/>
    <n v="0.34309309738466881"/>
    <s v="03-12-24"/>
    <s v="12-10-24"/>
    <s v="December"/>
    <s v="2024"/>
    <s v=" "/>
    <n v="-52"/>
    <s v="Unique"/>
  </r>
  <r>
    <s v="ORD-2024-10741"/>
    <s v="02 Apr 2024"/>
    <s v="04/02/2024"/>
    <s v="CUST-7932"/>
    <s v="Sneha Kapoor"/>
    <s v="Small Business"/>
    <x v="3"/>
    <s v="Maharashtra"/>
    <s v="Mumbai"/>
    <s v="Furniture"/>
    <s v="Chairs"/>
    <s v="Eco Chairs 883"/>
    <s v="First Class"/>
    <n v="4"/>
    <n v="2583"/>
    <n v="0.1"/>
    <n v="9298.7999999999993"/>
    <n v="6548.5"/>
    <n v="2750.3"/>
    <x v="0"/>
    <x v="0"/>
    <m/>
    <s v="ORD-2024-10741"/>
    <s v="02-04-24"/>
    <s v="04-02-24"/>
    <s v="CUST-7932"/>
    <s v="Sneha Kapoor"/>
    <s v="Small Business"/>
    <s v="West"/>
    <s v="Maharashtra"/>
    <s v="Mumbai"/>
    <s v="Furniture"/>
    <s v="Chairs"/>
    <s v="Eco Chairs 883"/>
    <s v="First Class"/>
    <s v="anomaly"/>
    <n v="-58"/>
    <n v="0.1"/>
    <x v="714"/>
    <x v="714"/>
    <n v="0.29576934658235482"/>
    <s v="02-04-24"/>
    <s v="04-02-24"/>
    <s v="April"/>
    <s v="2024"/>
    <s v=" "/>
    <n v="-58"/>
    <s v="Unique"/>
  </r>
  <r>
    <s v="ORD-2025-10742"/>
    <s v="04/23/2025"/>
    <s v="2025-04-25"/>
    <s v="CUST-3285"/>
    <s v="Isha Nair"/>
    <s v="Home Office"/>
    <x v="2"/>
    <s v="Tamil Nadu"/>
    <s v="Chennai"/>
    <s v="Furniture"/>
    <s v="Chairs"/>
    <s v="Max Chairs 706"/>
    <s v="Second Class"/>
    <n v="3"/>
    <n v="2951.12"/>
    <m/>
    <n v="7082.69"/>
    <n v="5596.34"/>
    <n v="1486.35"/>
    <x v="0"/>
    <x v="1"/>
    <m/>
    <s v="ORD-2025-10742"/>
    <s v="invalid date"/>
    <s v="25-04-25"/>
    <s v="CUST-3285"/>
    <s v="Isha Nair"/>
    <s v="Home Office"/>
    <s v="South"/>
    <s v="Tamil Nadu"/>
    <s v="Chennai"/>
    <s v="Furniture"/>
    <s v="Chairs"/>
    <s v="Max Chairs 706"/>
    <s v="Second Class"/>
    <s v="Invalid"/>
    <s v="invalid date"/>
    <n v="0"/>
    <x v="715"/>
    <x v="715"/>
    <n v="0.36788518709280998"/>
    <s v="invalid date"/>
    <s v="25-04-25"/>
    <s v="invalid date"/>
    <s v="invalid date"/>
    <s v="Invalid"/>
    <s v="invalid date"/>
    <s v="Unique"/>
  </r>
  <r>
    <s v="ORD-2024-10743"/>
    <s v="10/15/2024"/>
    <s v="22 Oct 2024"/>
    <s v="CUST-6368"/>
    <s v="Karan Malhotra"/>
    <s v="Corporate"/>
    <x v="1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x v="0"/>
    <x v="0"/>
    <m/>
    <s v="ORD-2024-10743"/>
    <s v="invalid date"/>
    <s v="22-10-24"/>
    <s v="CUST-6368"/>
    <s v="Karan Malhotra"/>
    <s v="Corporate"/>
    <s v="East"/>
    <s v="Odisha"/>
    <s v="Bhubaneswar"/>
    <s v="Office Supplies"/>
    <s v="Paper"/>
    <s v="Prime Paper 768"/>
    <s v="Standard Class"/>
    <s v="Invalid"/>
    <s v="invalid date"/>
    <n v="0"/>
    <x v="716"/>
    <x v="716"/>
    <n v="0.34613989694597397"/>
    <s v="invalid date"/>
    <s v="22-10-24"/>
    <s v="invalid date"/>
    <s v="invalid date"/>
    <s v="Invalid"/>
    <s v="invalid date"/>
    <s v="Unique"/>
  </r>
  <r>
    <s v="ORD-2025-10744"/>
    <s v="02/12/2025"/>
    <s v="14 Feb 2025"/>
    <s v="CUST-6231"/>
    <s v="Sneha Kapoor"/>
    <s v="Consumer"/>
    <x v="0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x v="0"/>
    <x v="0"/>
    <m/>
    <s v="ORD-2025-10744"/>
    <s v="02-12-25"/>
    <s v="14-02-25"/>
    <s v="CUST-6231"/>
    <s v="Sneha Kapoor"/>
    <s v="Consumer"/>
    <s v="North"/>
    <s v="Uttar Pradesh"/>
    <s v="Noida"/>
    <s v="Office Supplies"/>
    <s v="Art"/>
    <s v="Basic Art 764"/>
    <s v="Standard Class"/>
    <s v="anomaly"/>
    <n v="-291"/>
    <n v="0.25"/>
    <x v="717"/>
    <x v="717"/>
    <n v="0.21510423732645942"/>
    <s v="02-12-25"/>
    <s v="14-02-25"/>
    <s v="December"/>
    <s v="2025"/>
    <s v=" "/>
    <n v="-291"/>
    <s v="Unique"/>
  </r>
  <r>
    <s v="ORD-2025-10745"/>
    <s v="2025-08-17"/>
    <s v="2025-08-20"/>
    <s v="CUST-2021"/>
    <s v="Mira Das"/>
    <s v="Home Office"/>
    <x v="0"/>
    <s v="Punjab"/>
    <s v="Ludhiana"/>
    <s v="Office Supplies"/>
    <s v="Binders"/>
    <s v="Prime Binders 181"/>
    <s v="First Class"/>
    <n v="5"/>
    <n v="2701.89"/>
    <n v="0.1"/>
    <n v="12158.5"/>
    <n v="10260.07"/>
    <n v="1898.43"/>
    <x v="0"/>
    <x v="1"/>
    <m/>
    <s v="ORD-2025-10745"/>
    <s v="17-08-25"/>
    <s v="20-08-25"/>
    <s v="CUST-2021"/>
    <s v="Mira Das"/>
    <s v="Home Office"/>
    <s v="North"/>
    <s v="Punjab"/>
    <s v="Ludhiana"/>
    <s v="Office Supplies"/>
    <s v="Binders"/>
    <s v="Prime Binders 181"/>
    <s v="First Class"/>
    <s v="anomaly"/>
    <n v="3"/>
    <n v="0.1"/>
    <x v="718"/>
    <x v="718"/>
    <n v="0.15614049589155901"/>
    <s v="17-08-25"/>
    <s v="20-08-25"/>
    <s v="August"/>
    <s v="2025"/>
    <s v=" "/>
    <n v="3"/>
    <s v="Unique"/>
  </r>
  <r>
    <s v="ORD-2024-10746"/>
    <s v="24 Oct 2024"/>
    <s v="28-10-2024"/>
    <s v="CUST-1493"/>
    <s v="Mira Das"/>
    <s v="Small Business"/>
    <x v="1"/>
    <s v="Assam"/>
    <s v="Guwahati"/>
    <s v="Technology"/>
    <s v="Copiers"/>
    <s v="Max Copiers 866"/>
    <s v="Standard Class"/>
    <n v="3"/>
    <n v="723.59"/>
    <n v="0.2"/>
    <n v="1736.62"/>
    <n v="1059.52"/>
    <n v="677.1"/>
    <x v="0"/>
    <x v="0"/>
    <m/>
    <s v="ORD-2024-10746"/>
    <s v="24-10-24"/>
    <s v="28-10-24"/>
    <s v="CUST-1493"/>
    <s v="Mira Das"/>
    <s v="Small Business"/>
    <s v="East"/>
    <s v="Assam"/>
    <s v="Guwahati"/>
    <s v="Technology"/>
    <s v="Copiers"/>
    <s v="Max Copiers 866"/>
    <s v="Standard Class"/>
    <s v="anomaly"/>
    <n v="4"/>
    <n v="0.2"/>
    <x v="719"/>
    <x v="719"/>
    <n v="0.38989390861307277"/>
    <s v="24-10-24"/>
    <s v="28-10-24"/>
    <s v="October"/>
    <s v="2024"/>
    <s v=" "/>
    <n v="4"/>
    <s v="Unique"/>
  </r>
  <r>
    <s v="ORD-2025-10747"/>
    <s v="2025-01-04"/>
    <s v="10-01-2025"/>
    <s v="CUST-2314"/>
    <s v="Aarav Sharma"/>
    <s v="Home Office"/>
    <x v="1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x v="0"/>
    <x v="0"/>
    <m/>
    <s v="ORD-2025-10747"/>
    <s v="04-01-25"/>
    <s v="10-01-25"/>
    <s v="CUST-2314"/>
    <s v="Aarav Sharma"/>
    <s v="Home Office"/>
    <s v="East"/>
    <s v="West Bengal"/>
    <s v="Kolkata"/>
    <s v="Office Supplies"/>
    <s v="Paper"/>
    <s v="Pro Paper 662"/>
    <s v="Standard Class"/>
    <s v="anomaly"/>
    <n v="6"/>
    <n v="0.2"/>
    <x v="720"/>
    <x v="720"/>
    <n v="0.24556459261610653"/>
    <s v="04-01-25"/>
    <s v="10-01-25"/>
    <s v="January"/>
    <s v="2025"/>
    <s v=" "/>
    <n v="6"/>
    <s v="Unique"/>
  </r>
  <r>
    <s v="ORD-2024-10748"/>
    <s v="2024-05-01"/>
    <s v="07 May 2024"/>
    <s v="CUST-8416"/>
    <s v="Isha Nair"/>
    <s v="Home Office"/>
    <x v="1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x v="0"/>
    <x v="0"/>
    <m/>
    <s v="ORD-2024-10748"/>
    <s v="01-05-24"/>
    <s v="07-05-24"/>
    <s v="CUST-8416"/>
    <s v="Isha Nair"/>
    <s v="Home Office"/>
    <s v="East"/>
    <s v="Odisha"/>
    <s v="Bhubaneswar"/>
    <s v="Office Supplies"/>
    <s v="Paper"/>
    <s v="Classic Paper 388"/>
    <s v="Same Day"/>
    <s v="anomaly"/>
    <n v="6"/>
    <n v="0.15"/>
    <x v="721"/>
    <x v="721"/>
    <n v="0.44352868536597928"/>
    <s v="01-05-24"/>
    <s v="07-05-24"/>
    <s v="May"/>
    <s v="2024"/>
    <s v=" "/>
    <n v="6"/>
    <s v="Unique"/>
  </r>
  <r>
    <s v="ORD-2024-10749"/>
    <s v="30-05-2024"/>
    <s v="05/30/2024"/>
    <s v="CUST-3103"/>
    <s v="Diya Patel"/>
    <s v="Home Office"/>
    <x v="0"/>
    <s v="Haryana"/>
    <s v="Gurugram"/>
    <s v="Technology"/>
    <s v="Phones"/>
    <s v="Pro Phones 765"/>
    <s v="Second Class"/>
    <n v="1"/>
    <n v="3848.04"/>
    <n v="0.25"/>
    <n v="2886.03"/>
    <n v="2064.83"/>
    <n v="821.2"/>
    <x v="0"/>
    <x v="0"/>
    <m/>
    <s v="ORD-2024-10749"/>
    <s v="30-05-24"/>
    <s v="invalid date"/>
    <s v="CUST-3103"/>
    <s v="Diya Patel"/>
    <s v="Home Office"/>
    <s v="North"/>
    <s v="Haryana"/>
    <s v="Gurugram"/>
    <s v="Technology"/>
    <s v="Phones"/>
    <s v="Pro Phones 765"/>
    <s v="Second Class"/>
    <s v="Invalid"/>
    <s v="invalid date"/>
    <n v="0.25"/>
    <x v="722"/>
    <x v="722"/>
    <n v="0.28454312671732446"/>
    <s v="30-05-24"/>
    <s v="invalid date"/>
    <s v="May"/>
    <s v="2024"/>
    <s v="Invalid"/>
    <s v="invalid date"/>
    <s v="Unique"/>
  </r>
  <r>
    <s v="ORD-2024-10750"/>
    <s v="21 Mar 2024"/>
    <s v="2024-03-25"/>
    <s v="CUST-4457"/>
    <s v="Aditi Sen"/>
    <s v="Home Office"/>
    <x v="1"/>
    <s v="Assam"/>
    <s v="Guwahati"/>
    <s v="Technology"/>
    <s v="Machines"/>
    <s v="Classic Machines 543"/>
    <s v="Standard Class"/>
    <n v="1"/>
    <n v="1716.7"/>
    <n v="0.15"/>
    <n v="1459.19"/>
    <n v="1055.79"/>
    <n v="403.4"/>
    <x v="0"/>
    <x v="0"/>
    <m/>
    <s v="ORD-2024-10750"/>
    <s v="21-03-24"/>
    <s v="25-03-24"/>
    <s v="CUST-4457"/>
    <s v="Aditi Sen"/>
    <s v="Home Office"/>
    <s v="East"/>
    <s v="Assam"/>
    <s v="Guwahati"/>
    <s v="Technology"/>
    <s v="Machines"/>
    <s v="Classic Machines 543"/>
    <s v="Standard Class"/>
    <s v="anomaly"/>
    <n v="4"/>
    <n v="0.15"/>
    <x v="723"/>
    <x v="723"/>
    <n v="0.27645722470266137"/>
    <s v="21-03-24"/>
    <s v="25-03-24"/>
    <s v="March"/>
    <s v="2024"/>
    <s v=" "/>
    <n v="4"/>
    <s v="Unique"/>
  </r>
  <r>
    <s v="ORD-2025-10751"/>
    <s v="06/02/2025"/>
    <s v="2025-06-02"/>
    <s v="CUST-7036"/>
    <s v="Aarav Sharma"/>
    <s v="Home Office"/>
    <x v="2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x v="0"/>
    <x v="0"/>
    <m/>
    <s v="ORD-2025-10751"/>
    <s v="06-02-25"/>
    <s v="02-06-25"/>
    <s v="CUST-7036"/>
    <s v="Aarav Sharma"/>
    <s v="Home Office"/>
    <s v="South"/>
    <s v="Telangana"/>
    <s v="Hyderabad"/>
    <s v="Technology"/>
    <s v="Accessories"/>
    <s v="Max Accessories 291"/>
    <s v="First Class"/>
    <s v="  "/>
    <n v="116"/>
    <n v="0.15"/>
    <x v="724"/>
    <x v="724"/>
    <n v="0.14877718745097629"/>
    <s v="06-02-25"/>
    <s v="02-06-25"/>
    <s v="February"/>
    <s v="2025"/>
    <s v="anomaly"/>
    <n v="116"/>
    <s v="Unique"/>
  </r>
  <r>
    <s v="ORD-2025-10752"/>
    <s v="18-07-2025"/>
    <s v="19-07-2025"/>
    <s v="CUST-8512"/>
    <s v="Priya Menon"/>
    <s v="Home Office"/>
    <x v="4"/>
    <s v="Uttar Pradesh"/>
    <s v="Noida"/>
    <s v="Technology"/>
    <s v="Machines"/>
    <s v="Eco Machines 414"/>
    <m/>
    <n v="3"/>
    <n v="2963.25"/>
    <n v="0.05"/>
    <n v="8445.26"/>
    <n v="6937.6"/>
    <n v="1507.66"/>
    <x v="0"/>
    <x v="0"/>
    <m/>
    <s v="ORD-2025-10752"/>
    <s v="18-07-25"/>
    <s v="19-07-25"/>
    <s v="CUST-8512"/>
    <s v="Priya Menon"/>
    <s v="Home Office"/>
    <s v="unknown"/>
    <s v="Uttar Pradesh"/>
    <s v="Noida"/>
    <s v="Technology"/>
    <s v="Machines"/>
    <s v="Eco Machines 414"/>
    <s v="unknown"/>
    <s v="anomaly"/>
    <n v="1"/>
    <n v="0.05"/>
    <x v="725"/>
    <x v="725"/>
    <n v="0.17852168597482893"/>
    <s v="18-07-25"/>
    <s v="19-07-25"/>
    <s v="July"/>
    <s v="2025"/>
    <s v=" "/>
    <n v="1"/>
    <s v="Unique"/>
  </r>
  <r>
    <s v="ORD-2024-10753"/>
    <s v="24-03-2024"/>
    <s v="27-03-2024"/>
    <s v="CUST-6345"/>
    <s v="Aditi Sen"/>
    <s v="Corporate"/>
    <x v="3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x v="0"/>
    <x v="0"/>
    <m/>
    <s v="ORD-2024-10753"/>
    <s v="24-03-24"/>
    <s v="27-03-24"/>
    <s v="CUST-6345"/>
    <s v="Aditi Sen"/>
    <s v="Corporate"/>
    <s v="West"/>
    <s v="Gujarat"/>
    <s v="Ahmedabad"/>
    <s v="Office Supplies"/>
    <s v="Storage"/>
    <s v="Basic Storage 273"/>
    <s v="First Class"/>
    <s v="anomaly"/>
    <n v="3"/>
    <n v="0.05"/>
    <x v="726"/>
    <x v="726"/>
    <n v="0.28501822619439521"/>
    <s v="24-03-24"/>
    <s v="27-03-24"/>
    <s v="March"/>
    <s v="2024"/>
    <s v=" "/>
    <n v="3"/>
    <s v="Unique"/>
  </r>
  <r>
    <s v="ORD-2024-10754"/>
    <s v="11 Aug 2024"/>
    <s v="10-08-2024"/>
    <s v="CUST-4505"/>
    <s v="Aditi Sen"/>
    <s v="Corporate"/>
    <x v="0"/>
    <s v="Delhi"/>
    <s v="New Delhi"/>
    <s v="Furniture"/>
    <s v="Furnishings"/>
    <s v="Elite Furnishings 588"/>
    <s v="Second Class"/>
    <n v="3"/>
    <n v="1017.22"/>
    <n v="0.15"/>
    <n v="2593.91"/>
    <n v="1848.48"/>
    <n v="745.43"/>
    <x v="3"/>
    <x v="2"/>
    <m/>
    <s v="ORD-2024-10754"/>
    <s v="11-08-24"/>
    <s v="10-08-24"/>
    <s v="CUST-4505"/>
    <s v="Aditi Sen"/>
    <s v="Corporate"/>
    <s v="North"/>
    <s v="Delhi"/>
    <s v="New Delhi"/>
    <s v="Furniture"/>
    <s v="Furnishings"/>
    <s v="Elite Furnishings 588"/>
    <s v="Second Class"/>
    <s v="  "/>
    <n v="-1"/>
    <n v="0.15"/>
    <x v="727"/>
    <x v="727"/>
    <n v="0.28737724617382776"/>
    <s v="11-08-24"/>
    <s v="10-08-24"/>
    <s v="August"/>
    <s v="2024"/>
    <s v="anomaly"/>
    <n v="-1"/>
    <s v="Unique"/>
  </r>
  <r>
    <s v="ORD-2025-10755"/>
    <s v="06/04/2025"/>
    <s v="06/04/2025"/>
    <s v="CUST-7960"/>
    <s v="Neha Gupta"/>
    <s v="Corporate"/>
    <x v="2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x v="0"/>
    <x v="0"/>
    <m/>
    <s v="ORD-2025-10755"/>
    <s v="06-04-25"/>
    <s v="06-04-25"/>
    <s v="CUST-7960"/>
    <s v="Neha Gupta"/>
    <s v="Corporate"/>
    <s v="South"/>
    <s v="Kerala"/>
    <s v="Kochi"/>
    <s v="Office Supplies"/>
    <s v="Storage"/>
    <s v="Elite Storage 857"/>
    <s v="Standard Class"/>
    <s v="  "/>
    <n v="0"/>
    <n v="0.25"/>
    <x v="728"/>
    <x v="728"/>
    <n v="0.17443773793763689"/>
    <s v="06-04-25"/>
    <s v="06-04-25"/>
    <s v="April"/>
    <s v="2025"/>
    <s v=" "/>
    <n v="0"/>
    <s v="Unique"/>
  </r>
  <r>
    <s v="ORD-2025-10756"/>
    <s v="20-07-2025"/>
    <s v="24-07-2025"/>
    <s v="CUST-3365"/>
    <s v="Priya Menon"/>
    <s v="Home Office"/>
    <x v="3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x v="0"/>
    <x v="0"/>
    <m/>
    <s v="ORD-2025-10756"/>
    <s v="20-07-25"/>
    <s v="24-07-25"/>
    <s v="CUST-3365"/>
    <s v="Priya Menon"/>
    <s v="Home Office"/>
    <s v="West"/>
    <s v="Madhya Pradesh"/>
    <s v="Indore"/>
    <s v="Office Supplies"/>
    <s v="Storage"/>
    <s v="Prime Storage 183"/>
    <s v="Second Class"/>
    <s v="anomaly"/>
    <n v="4"/>
    <n v="0.2"/>
    <x v="729"/>
    <x v="729"/>
    <n v="0.19461950083409219"/>
    <s v="20-07-25"/>
    <s v="24-07-25"/>
    <s v="July"/>
    <s v="2025"/>
    <s v=" "/>
    <n v="4"/>
    <s v="Unique"/>
  </r>
  <r>
    <s v="ORD-2024-10757"/>
    <s v="10/27/2024"/>
    <s v="11/01/2024"/>
    <s v="CUST-1557"/>
    <s v="Rohan Mehta"/>
    <s v="Consumer"/>
    <x v="0"/>
    <s v="Rajasthan"/>
    <s v="Jaipur"/>
    <s v="Technology"/>
    <s v="Accessories"/>
    <s v="Smart Accessories 362"/>
    <s v="Same Day"/>
    <n v="7"/>
    <n v="2177.1"/>
    <n v="0.2"/>
    <n v="12191.76"/>
    <n v="10457.49"/>
    <n v="1734.27"/>
    <x v="0"/>
    <x v="2"/>
    <m/>
    <s v="ORD-2024-10757"/>
    <s v="invalid date"/>
    <s v="11-01-24"/>
    <s v="CUST-1557"/>
    <s v="Rohan Mehta"/>
    <s v="Consumer"/>
    <s v="North"/>
    <s v="Rajasthan"/>
    <s v="Jaipur"/>
    <s v="Technology"/>
    <s v="Accessories"/>
    <s v="Smart Accessories 362"/>
    <s v="Same Day"/>
    <s v="Invalid"/>
    <s v="invalid date"/>
    <n v="0.2"/>
    <x v="730"/>
    <x v="730"/>
    <n v="0.14224935530226976"/>
    <s v="invalid date"/>
    <s v="11-01-24"/>
    <s v="invalid date"/>
    <s v="invalid date"/>
    <s v="Invalid"/>
    <s v="invalid date"/>
    <s v="Unique"/>
  </r>
  <r>
    <s v="ORD-2025-10758"/>
    <s v="01 Aug 2025"/>
    <s v="2025-08-03"/>
    <s v="CUST-3058"/>
    <s v="Aditi Sen"/>
    <s v="Small Business"/>
    <x v="2"/>
    <s v="Kerala"/>
    <s v="Kochi"/>
    <s v="Furniture"/>
    <s v="Bookcases"/>
    <s v="Classic Bookcases 310"/>
    <s v="Standard Class"/>
    <n v="3"/>
    <n v="1904.78"/>
    <n v="0.25"/>
    <n v="4285.76"/>
    <n v="2386.33"/>
    <n v="1899.43"/>
    <x v="3"/>
    <x v="1"/>
    <m/>
    <s v="ORD-2025-10758"/>
    <s v="01-08-25"/>
    <s v="03-08-25"/>
    <s v="CUST-3058"/>
    <s v="Aditi Sen"/>
    <s v="Small Business"/>
    <s v="South"/>
    <s v="Kerala"/>
    <s v="Kochi"/>
    <s v="Furniture"/>
    <s v="Bookcases"/>
    <s v="Classic Bookcases 310"/>
    <s v="Standard Class"/>
    <s v="anomaly"/>
    <n v="2"/>
    <n v="0.25"/>
    <x v="731"/>
    <x v="731"/>
    <n v="0.44319495631458172"/>
    <s v="01-08-25"/>
    <s v="03-08-25"/>
    <s v="August"/>
    <s v="2025"/>
    <s v=" "/>
    <n v="2"/>
    <s v="Unique"/>
  </r>
  <r>
    <s v="ORD-2024-10759"/>
    <s v="02 May 2024"/>
    <s v="10 May 2024"/>
    <s v="CUST-6076"/>
    <s v="Aarav Sharma"/>
    <s v="Small Business"/>
    <x v="2"/>
    <s v="Karnataka"/>
    <s v="Bengaluru"/>
    <s v="Furniture"/>
    <s v="Chairs"/>
    <s v="Prime Chairs 721"/>
    <s v="Standard Class"/>
    <n v="1"/>
    <n v="4166.91"/>
    <n v="0"/>
    <n v="4166.91"/>
    <n v="3412.63"/>
    <n v="754.28"/>
    <x v="0"/>
    <x v="0"/>
    <m/>
    <s v="ORD-2024-10759"/>
    <s v="02-05-24"/>
    <s v="10-05-24"/>
    <s v="CUST-6076"/>
    <s v="Aarav Sharma"/>
    <s v="Small Business"/>
    <s v="South"/>
    <s v="Karnataka"/>
    <s v="Bengaluru"/>
    <s v="Furniture"/>
    <s v="Chairs"/>
    <s v="Prime Chairs 721"/>
    <s v="Standard Class"/>
    <s v="anomaly"/>
    <n v="8"/>
    <n v="0"/>
    <x v="732"/>
    <x v="732"/>
    <n v="0.18101662862888801"/>
    <s v="02-05-24"/>
    <s v="10-05-24"/>
    <s v="May"/>
    <s v="2024"/>
    <s v=" "/>
    <n v="8"/>
    <s v="Unique"/>
  </r>
  <r>
    <s v="ORD-2024-10760"/>
    <s v="2024-07-19"/>
    <s v="26-07-2024"/>
    <s v="CUST-2098"/>
    <s v="Arjun Bose"/>
    <s v="Home Office"/>
    <x v="2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x v="0"/>
    <x v="0"/>
    <m/>
    <s v="ORD-2024-10760"/>
    <s v="19-07-24"/>
    <s v="26-07-24"/>
    <s v="CUST-2098"/>
    <s v="Arjun Bose"/>
    <s v="Home Office"/>
    <s v="South"/>
    <s v="Karnataka"/>
    <s v="Bengaluru"/>
    <s v="Furniture"/>
    <s v="Tables"/>
    <s v="Prime Tables 797"/>
    <s v="Second Class"/>
    <s v="anomaly"/>
    <n v="7"/>
    <n v="0.25"/>
    <x v="733"/>
    <x v="733"/>
    <n v="0.36856087499362367"/>
    <s v="19-07-24"/>
    <s v="26-07-24"/>
    <s v="July"/>
    <s v="2024"/>
    <s v=" "/>
    <n v="7"/>
    <s v="Unique"/>
  </r>
  <r>
    <s v="ORD-2024-10761"/>
    <s v="28-08-2024"/>
    <s v="02 Sep 2024"/>
    <s v="CUST-7193"/>
    <s v="Aditi Sen"/>
    <s v="Home Office"/>
    <x v="1"/>
    <s v="Assam"/>
    <s v="Guwahati"/>
    <s v="Office Supplies"/>
    <s v="Art"/>
    <s v="Max Art 926"/>
    <s v="Second Class"/>
    <n v="4"/>
    <n v="3365.53"/>
    <n v="0"/>
    <n v="13462.12"/>
    <n v="7600.63"/>
    <n v="5861.49"/>
    <x v="2"/>
    <x v="2"/>
    <m/>
    <s v="ORD-2024-10761"/>
    <s v="28-08-24"/>
    <s v="02-09-24"/>
    <s v="CUST-7193"/>
    <s v="Aditi Sen"/>
    <s v="Home Office"/>
    <s v="East"/>
    <s v="Assam"/>
    <s v="Guwahati"/>
    <s v="Office Supplies"/>
    <s v="Art"/>
    <s v="Max Art 926"/>
    <s v="Second Class"/>
    <s v="  "/>
    <n v="5"/>
    <n v="0"/>
    <x v="734"/>
    <x v="734"/>
    <n v="0.43540616188237813"/>
    <s v="28-08-24"/>
    <s v="02-09-24"/>
    <s v="August"/>
    <s v="2024"/>
    <s v="anomaly"/>
    <n v="5"/>
    <s v="Unique"/>
  </r>
  <r>
    <s v="ORD-2025-10762"/>
    <s v="27 Aug 2025"/>
    <s v="08/31/2025"/>
    <s v="CUST-8948"/>
    <s v="Isha Nair"/>
    <s v="Consumer"/>
    <x v="2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x v="0"/>
    <x v="0"/>
    <m/>
    <s v="ORD-2025-10762"/>
    <s v="27-08-25"/>
    <s v="invalid date"/>
    <s v="CUST-8948"/>
    <s v="Isha Nair"/>
    <s v="Consumer"/>
    <s v="South"/>
    <s v="Karnataka"/>
    <s v="Bengaluru"/>
    <s v="Technology"/>
    <s v="Machines"/>
    <s v="Max Machines 364"/>
    <s v="First Class"/>
    <s v="Invalid"/>
    <s v="invalid date"/>
    <n v="0"/>
    <x v="735"/>
    <x v="735"/>
    <n v="0.32899846799940008"/>
    <s v="27-08-25"/>
    <s v="invalid date"/>
    <s v="August"/>
    <s v="2025"/>
    <s v="Invalid"/>
    <s v="invalid date"/>
    <s v="Unique"/>
  </r>
  <r>
    <s v="ORD-2024-10763"/>
    <s v="01/01/2024"/>
    <s v="05 Jan 2024"/>
    <s v="CUST-6921"/>
    <s v="Diya Patel"/>
    <s v="Corporate"/>
    <x v="3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x v="1"/>
    <x v="2"/>
    <m/>
    <s v="ORD-2024-10763"/>
    <s v="01-01-24"/>
    <s v="05-01-24"/>
    <s v="CUST-6921"/>
    <s v="Diya Patel"/>
    <s v="Corporate"/>
    <s v="West"/>
    <s v="Madhya Pradesh"/>
    <s v="Indore"/>
    <s v="Technology"/>
    <s v="Machines"/>
    <s v="Classic Machines 122"/>
    <s v="Second Class"/>
    <s v="anomaly"/>
    <n v="4"/>
    <n v="0.2"/>
    <x v="736"/>
    <x v="736"/>
    <n v="0.19205385856442145"/>
    <s v="01-01-24"/>
    <s v="05-01-24"/>
    <s v="January"/>
    <s v="2024"/>
    <s v=" "/>
    <n v="4"/>
    <s v="Unique"/>
  </r>
  <r>
    <s v="ORD-2025-10764"/>
    <s v="23 Aug 2025"/>
    <s v="2025-08-25"/>
    <s v="CUST-4086"/>
    <s v="Diya Patel"/>
    <s v="Consumer"/>
    <x v="0"/>
    <s v="Rajasthan"/>
    <s v="Jaipur"/>
    <s v="Furniture"/>
    <s v="Furnishings"/>
    <s v="Elite Furnishings 169"/>
    <s v="Same Day"/>
    <n v="6"/>
    <n v="2742.48"/>
    <n v="0"/>
    <n v="16454.88"/>
    <n v="12081.54"/>
    <n v="4373.34"/>
    <x v="0"/>
    <x v="0"/>
    <m/>
    <s v="ORD-2025-10764"/>
    <s v="23-08-25"/>
    <s v="25-08-25"/>
    <s v="CUST-4086"/>
    <s v="Diya Patel"/>
    <s v="Consumer"/>
    <s v="North"/>
    <s v="Rajasthan"/>
    <s v="Jaipur"/>
    <s v="Furniture"/>
    <s v="Furnishings"/>
    <s v="Elite Furnishings 169"/>
    <s v="Same Day"/>
    <s v="anomaly"/>
    <n v="2"/>
    <n v="0"/>
    <x v="737"/>
    <x v="737"/>
    <n v="0.26577769026574488"/>
    <s v="23-08-25"/>
    <s v="25-08-25"/>
    <s v="August"/>
    <s v="2025"/>
    <s v=" "/>
    <n v="2"/>
    <s v="Unique"/>
  </r>
  <r>
    <s v="ORD-2025-10765"/>
    <s v="2025-04-13"/>
    <s v="13-04-2025"/>
    <s v="CUST-5174"/>
    <s v="Priya Menon"/>
    <s v="Corporate"/>
    <x v="2"/>
    <s v="Kerala"/>
    <s v="Kochi"/>
    <s v="Furniture"/>
    <s v="Bookcases"/>
    <s v="Pro Bookcases 615"/>
    <s v="First Class"/>
    <n v="6"/>
    <n v="4414"/>
    <n v="0.05"/>
    <n v="25159.8"/>
    <n v="21606.83"/>
    <n v="3552.97"/>
    <x v="0"/>
    <x v="0"/>
    <m/>
    <s v="ORD-2025-10765"/>
    <s v="13-04-25"/>
    <s v="13-04-25"/>
    <s v="CUST-5174"/>
    <s v="Priya Menon"/>
    <s v="Corporate"/>
    <s v="South"/>
    <s v="Kerala"/>
    <s v="Kochi"/>
    <s v="Furniture"/>
    <s v="Bookcases"/>
    <s v="Pro Bookcases 615"/>
    <s v="First Class"/>
    <s v="  "/>
    <n v="0"/>
    <n v="0.05"/>
    <x v="738"/>
    <x v="738"/>
    <n v="0.14121614639226057"/>
    <s v="13-04-25"/>
    <s v="13-04-25"/>
    <s v="April"/>
    <s v="2025"/>
    <s v=" "/>
    <n v="0"/>
    <s v="Unique"/>
  </r>
  <r>
    <s v="ORD-2025-10766"/>
    <s v="29-06-2025"/>
    <s v="2025-07-03"/>
    <s v="CUST-8747"/>
    <s v="Vikram Iyer"/>
    <s v="Corporate"/>
    <x v="1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x v="0"/>
    <x v="0"/>
    <m/>
    <s v="ORD-2025-10766"/>
    <s v="29-06-25"/>
    <s v="03-07-25"/>
    <s v="CUST-8747"/>
    <s v="Vikram Iyer"/>
    <s v="Corporate"/>
    <s v="East"/>
    <s v="Jharkhand"/>
    <s v="Ranchi"/>
    <s v="Office Supplies"/>
    <s v="Labels"/>
    <s v="Max Labels 136"/>
    <s v="First Class"/>
    <s v="  "/>
    <n v="4"/>
    <n v="0"/>
    <x v="739"/>
    <x v="739"/>
    <n v="0.33410618169061956"/>
    <s v="29-06-25"/>
    <s v="03-07-25"/>
    <s v="June"/>
    <s v="2025"/>
    <s v="anomaly"/>
    <n v="4"/>
    <s v="Unique"/>
  </r>
  <r>
    <s v="ORD-2024-10767"/>
    <s v="17 Sep 2024"/>
    <s v="24 Sep 2024"/>
    <s v="CUST-3156"/>
    <s v="Mira Das"/>
    <s v="Corporate"/>
    <x v="3"/>
    <s v="Gujarat"/>
    <s v="Ahmedabad"/>
    <s v="Office Supplies"/>
    <s v="Art"/>
    <s v="Prime Art 380"/>
    <s v="Second Class"/>
    <n v="9"/>
    <n v="2307.96"/>
    <n v="0.2"/>
    <n v="16617.310000000001"/>
    <n v="9195.73"/>
    <n v="7421.58"/>
    <x v="0"/>
    <x v="1"/>
    <m/>
    <s v="ORD-2024-10767"/>
    <s v="17-09-24"/>
    <s v="24-09-24"/>
    <s v="CUST-3156"/>
    <s v="Mira Das"/>
    <s v="Corporate"/>
    <s v="West"/>
    <s v="Gujarat"/>
    <s v="Ahmedabad"/>
    <s v="Office Supplies"/>
    <s v="Art"/>
    <s v="Prime Art 380"/>
    <s v="Second Class"/>
    <s v="anomaly"/>
    <n v="7"/>
    <n v="0.2"/>
    <x v="740"/>
    <x v="740"/>
    <n v="0.44661747940942564"/>
    <s v="17-09-24"/>
    <s v="24-09-24"/>
    <s v="September"/>
    <s v="2024"/>
    <s v=" "/>
    <n v="7"/>
    <s v="Unique"/>
  </r>
  <r>
    <s v="ORD-2024-10768"/>
    <s v="03 May 2024"/>
    <s v="05/06/2024"/>
    <s v="CUST-2043"/>
    <s v="Ananya Rao"/>
    <s v="Home Office"/>
    <x v="0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x v="0"/>
    <x v="0"/>
    <m/>
    <s v="ORD-2024-10768"/>
    <s v="03-05-24"/>
    <s v="05-06-24"/>
    <s v="CUST-2043"/>
    <s v="Ananya Rao"/>
    <s v="Home Office"/>
    <s v="North"/>
    <s v="Uttar Pradesh"/>
    <s v="Noida"/>
    <s v="Office Supplies"/>
    <s v="Binders"/>
    <s v="Classic Binders 234"/>
    <s v="Standard Class"/>
    <s v="anomaly"/>
    <n v="33"/>
    <n v="0.25"/>
    <x v="741"/>
    <x v="741"/>
    <n v="0.3753287588316272"/>
    <s v="03-05-24"/>
    <s v="05-06-24"/>
    <s v="May"/>
    <s v="2024"/>
    <s v=" "/>
    <n v="33"/>
    <s v="Unique"/>
  </r>
  <r>
    <s v="ORD-2025-10769"/>
    <s v="2025-04-02"/>
    <s v="2025-04-04"/>
    <s v="CUST-8808"/>
    <s v="Sneha Kapoor"/>
    <s v="Home Office"/>
    <x v="1"/>
    <s v="Jharkhand"/>
    <s v="Ranchi"/>
    <s v="Office Supplies"/>
    <s v="Paper"/>
    <s v="Classic Paper 280"/>
    <s v="Same Day"/>
    <n v="5"/>
    <n v="3234.24"/>
    <n v="0.1"/>
    <n v="14554.08"/>
    <n v="11166.84"/>
    <n v="3387.24"/>
    <x v="0"/>
    <x v="0"/>
    <m/>
    <s v="ORD-2025-10769"/>
    <s v="02-04-25"/>
    <s v="04-04-25"/>
    <s v="CUST-8808"/>
    <s v="Sneha Kapoor"/>
    <s v="Home Office"/>
    <s v="East"/>
    <s v="Jharkhand"/>
    <s v="Ranchi"/>
    <s v="Office Supplies"/>
    <s v="Paper"/>
    <s v="Classic Paper 280"/>
    <s v="Same Day"/>
    <s v="anomaly"/>
    <n v="2"/>
    <n v="0.1"/>
    <x v="742"/>
    <x v="742"/>
    <n v="0.23273473830018798"/>
    <s v="02-04-25"/>
    <s v="04-04-25"/>
    <s v="April"/>
    <s v="2025"/>
    <s v=" "/>
    <n v="2"/>
    <s v="Unique"/>
  </r>
  <r>
    <s v="ORD-2024-10770"/>
    <s v="05/11/2024"/>
    <s v="13 May 2024"/>
    <s v="CUST-1293"/>
    <s v="Priya Menon"/>
    <s v="Home Office"/>
    <x v="3"/>
    <s v="Goa"/>
    <s v="Panaji"/>
    <s v="Furniture"/>
    <s v="Bookcases"/>
    <s v="Classic Bookcases 922"/>
    <s v="Same Day"/>
    <n v="3"/>
    <n v="3612.75"/>
    <n v="0.25"/>
    <n v="8128.69"/>
    <n v="5071.66"/>
    <n v="3057.03"/>
    <x v="0"/>
    <x v="0"/>
    <m/>
    <s v="ORD-2024-10770"/>
    <s v="05-11-24"/>
    <s v="13-05-24"/>
    <s v="CUST-1293"/>
    <s v="Priya Menon"/>
    <s v="Home Office"/>
    <s v="West"/>
    <s v="Goa"/>
    <s v="Panaji"/>
    <s v="Furniture"/>
    <s v="Bookcases"/>
    <s v="Classic Bookcases 922"/>
    <s v="Same Day"/>
    <s v="anomaly"/>
    <n v="-176"/>
    <n v="0.25"/>
    <x v="743"/>
    <x v="743"/>
    <n v="0.3760788565189645"/>
    <s v="05-11-24"/>
    <s v="13-05-24"/>
    <s v="November"/>
    <s v="2024"/>
    <s v=" "/>
    <n v="-176"/>
    <s v="Unique"/>
  </r>
  <r>
    <s v="ORD-2024-10771"/>
    <s v="02/15/2024"/>
    <s v="17-02-2024"/>
    <s v="CUST-8384"/>
    <s v="Neha Gupta"/>
    <s v="Consumer"/>
    <x v="0"/>
    <s v="Uttar Pradesh"/>
    <s v="Noida"/>
    <s v="Technology"/>
    <s v="Copiers"/>
    <s v="Eco Copiers 396"/>
    <s v="First Class"/>
    <n v="4"/>
    <n v="863"/>
    <m/>
    <n v="3106.8"/>
    <n v="2376.62"/>
    <n v="730.18"/>
    <x v="0"/>
    <x v="0"/>
    <m/>
    <s v="ORD-2024-10771"/>
    <s v="invalid date"/>
    <s v="17-02-24"/>
    <s v="CUST-8384"/>
    <s v="Neha Gupta"/>
    <s v="Consumer"/>
    <s v="North"/>
    <s v="Uttar Pradesh"/>
    <s v="Noida"/>
    <s v="Technology"/>
    <s v="Copiers"/>
    <s v="Eco Copiers 396"/>
    <s v="First Class"/>
    <s v="Invalid"/>
    <s v="invalid date"/>
    <n v="0"/>
    <x v="744"/>
    <x v="744"/>
    <n v="0.3115237543453071"/>
    <s v="invalid date"/>
    <s v="17-02-24"/>
    <s v="invalid date"/>
    <s v="invalid date"/>
    <s v="Invalid"/>
    <s v="invalid date"/>
    <s v="Unique"/>
  </r>
  <r>
    <s v="ORD-2024-10772"/>
    <s v="2024-07-12"/>
    <s v="2024-07-14"/>
    <s v="CUST-7861"/>
    <s v="Ananya Rao"/>
    <s v="Consumer"/>
    <x v="0"/>
    <s v="Haryana"/>
    <s v="Gurugram"/>
    <s v="Technology"/>
    <s v="Machines"/>
    <s v="Basic Machines 401"/>
    <s v="Second Class"/>
    <n v="4"/>
    <n v="2131.41"/>
    <m/>
    <n v="6394.23"/>
    <n v="3520.69"/>
    <n v="2873.54"/>
    <x v="0"/>
    <x v="0"/>
    <m/>
    <s v="ORD-2024-10772"/>
    <s v="12-07-24"/>
    <s v="14-07-24"/>
    <s v="CUST-7861"/>
    <s v="Ananya Rao"/>
    <s v="Consumer"/>
    <s v="North"/>
    <s v="Haryana"/>
    <s v="Gurugram"/>
    <s v="Technology"/>
    <s v="Machines"/>
    <s v="Basic Machines 401"/>
    <s v="Second Class"/>
    <s v="anomaly"/>
    <n v="2"/>
    <n v="0"/>
    <x v="745"/>
    <x v="745"/>
    <n v="0.58704683753946907"/>
    <s v="12-07-24"/>
    <s v="14-07-24"/>
    <s v="July"/>
    <s v="2024"/>
    <s v=" "/>
    <n v="2"/>
    <s v="Unique"/>
  </r>
  <r>
    <s v="ORD-2025-10773"/>
    <s v="07/15/2025"/>
    <s v="19 Jul 2025"/>
    <s v="CUST-8422"/>
    <s v="Diya Patel"/>
    <s v="Consumer"/>
    <x v="2"/>
    <s v="Tamil Nadu"/>
    <s v="Chennai"/>
    <s v="Furniture"/>
    <s v="Chairs"/>
    <s v="Basic Chairs 279"/>
    <s v="Same Day"/>
    <n v="1"/>
    <n v="3903.22"/>
    <n v="0.05"/>
    <n v="3708.06"/>
    <n v="2760.29"/>
    <n v="947.77"/>
    <x v="2"/>
    <x v="1"/>
    <m/>
    <s v="ORD-2025-10773"/>
    <s v="invalid date"/>
    <s v="19-07-25"/>
    <s v="CUST-8422"/>
    <s v="Diya Patel"/>
    <s v="Consumer"/>
    <s v="South"/>
    <s v="Tamil Nadu"/>
    <s v="Chennai"/>
    <s v="Furniture"/>
    <s v="Chairs"/>
    <s v="Basic Chairs 279"/>
    <s v="Same Day"/>
    <s v="Invalid"/>
    <s v="invalid date"/>
    <n v="0.05"/>
    <x v="746"/>
    <x v="746"/>
    <n v="0.25559706574248142"/>
    <s v="invalid date"/>
    <s v="19-07-25"/>
    <s v="invalid date"/>
    <s v="invalid date"/>
    <s v="Invalid"/>
    <s v="invalid date"/>
    <s v="Unique"/>
  </r>
  <r>
    <s v="ORD-2025-10774"/>
    <s v="2025-02-21"/>
    <s v="21 Feb 2025"/>
    <s v="CUST-4766"/>
    <s v="Karan Malhotra"/>
    <s v="Home Office"/>
    <x v="3"/>
    <s v="Gujarat"/>
    <s v="Ahmedabad"/>
    <s v="Technology"/>
    <s v="Phones"/>
    <s v="Basic Phones 753"/>
    <m/>
    <n v="4"/>
    <n v="2945.07"/>
    <n v="0.2"/>
    <n v="9424.2199999999993"/>
    <n v="6178.92"/>
    <n v="3245.3"/>
    <x v="0"/>
    <x v="0"/>
    <m/>
    <s v="ORD-2025-10774"/>
    <s v="21-02-25"/>
    <s v="21-02-25"/>
    <s v="CUST-4766"/>
    <s v="Karan Malhotra"/>
    <s v="Home Office"/>
    <s v="West"/>
    <s v="Gujarat"/>
    <s v="Ahmedabad"/>
    <s v="Technology"/>
    <s v="Phones"/>
    <s v="Basic Phones 753"/>
    <s v="unknown"/>
    <s v="  "/>
    <n v="0"/>
    <n v="0.2"/>
    <x v="747"/>
    <x v="747"/>
    <n v="0.3443576892909167"/>
    <s v="21-02-25"/>
    <s v="21-02-25"/>
    <s v="February"/>
    <s v="2025"/>
    <s v=" "/>
    <n v="0"/>
    <s v="Unique"/>
  </r>
  <r>
    <s v="ORD-2025-10775"/>
    <s v="07-08-2025"/>
    <s v="2025-08-07"/>
    <s v="CUST-1182"/>
    <s v="Kabir Singh"/>
    <s v="Consumer"/>
    <x v="3"/>
    <s v="Rajasthan"/>
    <s v="Udaipur"/>
    <s v="Technology"/>
    <s v="Machines"/>
    <s v="Smart Machines 789"/>
    <m/>
    <n v="9"/>
    <n v="1076.75"/>
    <n v="0.2"/>
    <n v="7752.6"/>
    <n v="4689.3"/>
    <n v="3063.3"/>
    <x v="0"/>
    <x v="0"/>
    <m/>
    <s v="ORD-2025-10775"/>
    <s v="07-08-25"/>
    <s v="07-08-25"/>
    <s v="CUST-1182"/>
    <s v="Kabir Singh"/>
    <s v="Consumer"/>
    <s v="West"/>
    <s v="Rajasthan"/>
    <s v="Udaipur"/>
    <s v="Technology"/>
    <s v="Machines"/>
    <s v="Smart Machines 789"/>
    <s v="unknown"/>
    <s v="  "/>
    <n v="0"/>
    <n v="0.2"/>
    <x v="748"/>
    <x v="748"/>
    <n v="0.39513195573098059"/>
    <s v="07-08-25"/>
    <s v="07-08-25"/>
    <s v="August"/>
    <s v="2025"/>
    <s v=" "/>
    <n v="0"/>
    <s v="Unique"/>
  </r>
  <r>
    <s v="ORD-2024-10776"/>
    <s v="14 Apr 2024"/>
    <s v="22-04-2024"/>
    <s v="CUST-4461"/>
    <s v="Arjun Bose"/>
    <s v="Consumer"/>
    <x v="0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x v="0"/>
    <x v="0"/>
    <m/>
    <s v="ORD-2024-10776"/>
    <s v="14-04-24"/>
    <s v="22-04-24"/>
    <s v="CUST-4461"/>
    <s v="Arjun Bose"/>
    <s v="Consumer"/>
    <s v="North"/>
    <s v="Haryana"/>
    <s v="Gurugram"/>
    <s v="Technology"/>
    <s v="Accessories"/>
    <s v="Elite Accessories 312"/>
    <s v="Standard Class"/>
    <s v="anomaly"/>
    <n v="8"/>
    <n v="0.25"/>
    <x v="749"/>
    <x v="749"/>
    <n v="0.41479277676106896"/>
    <s v="14-04-24"/>
    <s v="22-04-24"/>
    <s v="April"/>
    <s v="2024"/>
    <s v=" "/>
    <n v="8"/>
    <s v="Unique"/>
  </r>
  <r>
    <s v="ORD-2025-10777"/>
    <s v="08-06-2025"/>
    <s v="06/13/2025"/>
    <s v="CUST-9690"/>
    <s v="Aditi Sen"/>
    <s v="Small Business"/>
    <x v="0"/>
    <s v="Rajasthan"/>
    <s v="Jaipur"/>
    <s v="Technology"/>
    <s v="Copiers"/>
    <s v="Eco Copiers 528"/>
    <s v="Second Class"/>
    <n v="7"/>
    <n v="3857.13"/>
    <n v="0"/>
    <n v="26999.91"/>
    <n v="17815.98"/>
    <n v="9183.93"/>
    <x v="0"/>
    <x v="0"/>
    <m/>
    <s v="ORD-2025-10777"/>
    <s v="08-06-25"/>
    <s v="invalid date"/>
    <s v="CUST-9690"/>
    <s v="Aditi Sen"/>
    <s v="Small Business"/>
    <s v="North"/>
    <s v="Rajasthan"/>
    <s v="Jaipur"/>
    <s v="Technology"/>
    <s v="Copiers"/>
    <s v="Eco Copiers 528"/>
    <s v="Second Class"/>
    <s v="Invalid"/>
    <s v="invalid date"/>
    <n v="0"/>
    <x v="750"/>
    <x v="750"/>
    <n v="0.34014668937785347"/>
    <s v="08-06-25"/>
    <s v="invalid date"/>
    <s v="June"/>
    <s v="2025"/>
    <s v="Invalid"/>
    <s v="invalid date"/>
    <s v="Unique"/>
  </r>
  <r>
    <s v="ORD-2024-10778"/>
    <s v="04-02-2024"/>
    <s v="2024-02-06"/>
    <s v="CUST-6879"/>
    <s v="Kabir Singh"/>
    <s v="Small Business"/>
    <x v="3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x v="3"/>
    <x v="1"/>
    <m/>
    <s v="ORD-2024-10778"/>
    <s v="04-02-24"/>
    <s v="06-02-24"/>
    <s v="CUST-6879"/>
    <s v="Kabir Singh"/>
    <s v="Small Business"/>
    <s v="West"/>
    <s v="Madhya Pradesh"/>
    <s v="Indore"/>
    <s v="Technology"/>
    <s v="Accessories"/>
    <s v="Elite Accessories 226"/>
    <s v="Second Class"/>
    <s v="anomaly"/>
    <n v="2"/>
    <n v="0.15"/>
    <x v="751"/>
    <x v="751"/>
    <n v="0.30305248685321323"/>
    <s v="04-02-24"/>
    <s v="06-02-24"/>
    <s v="February"/>
    <s v="2024"/>
    <s v=" "/>
    <n v="2"/>
    <s v="Unique"/>
  </r>
  <r>
    <s v="ORD-2024-10779"/>
    <s v="07/24/2024"/>
    <s v="24-07-2024"/>
    <s v="CUST-4714"/>
    <s v="Karan Malhotra"/>
    <s v="Small Business"/>
    <x v="0"/>
    <s v="Haryana"/>
    <s v="Gurugram"/>
    <s v="Technology"/>
    <s v="Copiers"/>
    <s v="Pro Copiers 298"/>
    <s v="Second Class"/>
    <n v="4"/>
    <n v="1676.88"/>
    <n v="0"/>
    <n v="6707.52"/>
    <n v="5672.57"/>
    <n v="1034.95"/>
    <x v="0"/>
    <x v="0"/>
    <m/>
    <s v="ORD-2024-10779"/>
    <s v="invalid date"/>
    <s v="24-07-24"/>
    <s v="CUST-4714"/>
    <s v="Karan Malhotra"/>
    <s v="Small Business"/>
    <s v="North"/>
    <s v="Haryana"/>
    <s v="Gurugram"/>
    <s v="Technology"/>
    <s v="Copiers"/>
    <s v="Pro Copiers 298"/>
    <s v="Second Class"/>
    <s v="Invalid"/>
    <s v="invalid date"/>
    <n v="0"/>
    <x v="752"/>
    <x v="752"/>
    <n v="0.15429696817899918"/>
    <s v="invalid date"/>
    <s v="24-07-24"/>
    <s v="invalid date"/>
    <s v="invalid date"/>
    <s v="Invalid"/>
    <s v="invalid date"/>
    <s v="Unique"/>
  </r>
  <r>
    <s v="ORD-2024-10780"/>
    <s v="01/15/2024"/>
    <s v="20-01-2024"/>
    <s v="CUST-7547"/>
    <s v="Priya Menon"/>
    <s v="Small Business"/>
    <x v="2"/>
    <s v="Andhra Pradesh"/>
    <s v="Vijayawada"/>
    <s v="Furniture"/>
    <s v="Chairs"/>
    <s v="Prime Chairs 331"/>
    <s v="Standard Class"/>
    <n v="4"/>
    <n v="3153.54"/>
    <n v="0.05"/>
    <n v="11983.45"/>
    <n v="8572.9"/>
    <n v="3410.55"/>
    <x v="0"/>
    <x v="0"/>
    <m/>
    <s v="ORD-2024-10780"/>
    <s v="invalid date"/>
    <s v="20-01-24"/>
    <s v="CUST-7547"/>
    <s v="Priya Menon"/>
    <s v="Small Business"/>
    <s v="South"/>
    <s v="Andhra Pradesh"/>
    <s v="Vijayawada"/>
    <s v="Furniture"/>
    <s v="Chairs"/>
    <s v="Prime Chairs 331"/>
    <s v="Standard Class"/>
    <s v="Invalid"/>
    <s v="invalid date"/>
    <n v="0.05"/>
    <x v="753"/>
    <x v="753"/>
    <n v="0.2846051371507976"/>
    <s v="invalid date"/>
    <s v="20-01-24"/>
    <s v="invalid date"/>
    <s v="invalid date"/>
    <s v="Invalid"/>
    <s v="invalid date"/>
    <s v="Unique"/>
  </r>
  <r>
    <s v="ORD-2024-10781"/>
    <s v="04 Aug 2024"/>
    <s v="08/10/2024"/>
    <s v="CUST-3288"/>
    <s v="Diya Patel"/>
    <s v="Small Business"/>
    <x v="3"/>
    <s v="Rajasthan"/>
    <s v="Udaipur"/>
    <s v="Furniture"/>
    <s v="Chairs"/>
    <s v="Classic Chairs 798"/>
    <s v="Same Day"/>
    <n v="4"/>
    <n v="426.43"/>
    <n v="0.2"/>
    <n v="1364.58"/>
    <n v="978.16"/>
    <n v="386.42"/>
    <x v="0"/>
    <x v="0"/>
    <m/>
    <s v="ORD-2024-10781"/>
    <s v="04-08-24"/>
    <s v="08-10-24"/>
    <s v="CUST-3288"/>
    <s v="Diya Patel"/>
    <s v="Small Business"/>
    <s v="West"/>
    <s v="Rajasthan"/>
    <s v="Udaipur"/>
    <s v="Furniture"/>
    <s v="Chairs"/>
    <s v="Classic Chairs 798"/>
    <s v="Same Day"/>
    <s v="anomaly"/>
    <n v="65"/>
    <n v="0.2"/>
    <x v="754"/>
    <x v="754"/>
    <n v="0.28317660577351506"/>
    <s v="04-08-24"/>
    <s v="08-10-24"/>
    <s v="August"/>
    <s v="2024"/>
    <s v=" "/>
    <n v="65"/>
    <s v="Unique"/>
  </r>
  <r>
    <s v="ORD-2024-10782"/>
    <s v="2024-02-02"/>
    <s v="10 Feb 2024"/>
    <s v="CUST-8597"/>
    <s v="Karan Malhotra"/>
    <s v="Home Office"/>
    <x v="3"/>
    <s v="Rajasthan"/>
    <s v="Udaipur"/>
    <s v="Office Supplies"/>
    <s v="Labels"/>
    <s v="Classic Labels 204"/>
    <s v="First Class"/>
    <n v="3"/>
    <n v="383.4"/>
    <n v="0.25"/>
    <n v="862.65"/>
    <n v="603.73"/>
    <n v="258.92"/>
    <x v="2"/>
    <x v="2"/>
    <m/>
    <s v="ORD-2024-10782"/>
    <s v="02-02-24"/>
    <s v="10-02-24"/>
    <s v="CUST-8597"/>
    <s v="Karan Malhotra"/>
    <s v="Home Office"/>
    <s v="West"/>
    <s v="Rajasthan"/>
    <s v="Udaipur"/>
    <s v="Office Supplies"/>
    <s v="Labels"/>
    <s v="Classic Labels 204"/>
    <s v="First Class"/>
    <s v="anomaly"/>
    <n v="8"/>
    <n v="0.25"/>
    <x v="755"/>
    <x v="755"/>
    <n v="0.30014490233582553"/>
    <s v="02-02-24"/>
    <s v="10-02-24"/>
    <s v="February"/>
    <s v="2024"/>
    <s v=" "/>
    <n v="8"/>
    <s v="Unique"/>
  </r>
  <r>
    <s v="ORD-2025-10783"/>
    <s v="2025-03-14"/>
    <s v="03/22/2025"/>
    <s v="CUST-9085"/>
    <s v="Mira Das"/>
    <s v="Corporate"/>
    <x v="1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x v="0"/>
    <x v="0"/>
    <m/>
    <s v="ORD-2025-10783"/>
    <s v="14-03-25"/>
    <s v="invalid date"/>
    <s v="CUST-9085"/>
    <s v="Mira Das"/>
    <s v="Corporate"/>
    <s v="East"/>
    <s v="West Bengal"/>
    <s v="Kolkata"/>
    <s v="Technology"/>
    <s v="Copiers"/>
    <s v="Basic Copiers 254"/>
    <s v="Standard Class"/>
    <s v="Invalid"/>
    <s v="invalid date"/>
    <n v="0.15"/>
    <x v="756"/>
    <x v="756"/>
    <n v="0.29957808131092578"/>
    <s v="14-03-25"/>
    <s v="invalid date"/>
    <s v="March"/>
    <s v="2025"/>
    <s v="Invalid"/>
    <s v="invalid date"/>
    <s v="Unique"/>
  </r>
  <r>
    <s v="ORD-2024-10784"/>
    <s v="07 Jun 2024"/>
    <s v="2024-06-07"/>
    <s v="CUST-7746"/>
    <s v="Aarav Sharma"/>
    <s v="Small Business"/>
    <x v="1"/>
    <s v="Bihar"/>
    <s v="Patna"/>
    <s v="Office Supplies"/>
    <s v="Art"/>
    <s v="Basic Art 709"/>
    <s v="Second Class"/>
    <n v="1"/>
    <n v="2581.9299999999998"/>
    <n v="0.05"/>
    <n v="2452.83"/>
    <n v="1906.7"/>
    <n v="546.13"/>
    <x v="0"/>
    <x v="0"/>
    <m/>
    <s v="ORD-2024-10784"/>
    <s v="07-06-24"/>
    <s v="07-06-24"/>
    <s v="CUST-7746"/>
    <s v="Aarav Sharma"/>
    <s v="Small Business"/>
    <s v="East"/>
    <s v="Bihar"/>
    <s v="Patna"/>
    <s v="Office Supplies"/>
    <s v="Art"/>
    <s v="Basic Art 709"/>
    <s v="Second Class"/>
    <s v="  "/>
    <n v="0"/>
    <n v="0.05"/>
    <x v="757"/>
    <x v="757"/>
    <n v="0.22265412634000625"/>
    <s v="07-06-24"/>
    <s v="07-06-24"/>
    <s v="June"/>
    <s v="2024"/>
    <s v=" "/>
    <n v="0"/>
    <s v="Unique"/>
  </r>
  <r>
    <s v="ORD-2025-10785"/>
    <s v="10/04/2025"/>
    <s v="2025-10-05"/>
    <s v="CUST-3119"/>
    <s v="Priya Menon"/>
    <s v="Corporate"/>
    <x v="0"/>
    <s v="Punjab"/>
    <s v="Ludhiana"/>
    <s v="Technology"/>
    <s v="Copiers"/>
    <s v="Max Copiers 551"/>
    <s v="First Class"/>
    <n v="4"/>
    <n v="418.18"/>
    <n v="0.05"/>
    <n v="1589.08"/>
    <n v="1084.6600000000001"/>
    <n v="504.42"/>
    <x v="0"/>
    <x v="0"/>
    <m/>
    <s v="ORD-2025-10785"/>
    <s v="10-04-25"/>
    <s v="05-10-25"/>
    <s v="CUST-3119"/>
    <s v="Priya Menon"/>
    <s v="Corporate"/>
    <s v="North"/>
    <s v="Punjab"/>
    <s v="Ludhiana"/>
    <s v="Technology"/>
    <s v="Copiers"/>
    <s v="Max Copiers 551"/>
    <s v="First Class"/>
    <s v="  "/>
    <n v="178"/>
    <n v="0.05"/>
    <x v="758"/>
    <x v="758"/>
    <n v="0.31743067075120002"/>
    <s v="10-04-25"/>
    <s v="05-10-25"/>
    <s v="April"/>
    <s v="2025"/>
    <s v="anomaly"/>
    <n v="178"/>
    <s v="Unique"/>
  </r>
  <r>
    <s v="ORD-2024-10786"/>
    <s v="23-05-2024"/>
    <s v="29-05-2024"/>
    <s v="CUST-7518"/>
    <s v="Diya Patel"/>
    <s v="Small Business"/>
    <x v="0"/>
    <s v="Haryana"/>
    <s v="Gurugram"/>
    <s v="Office Supplies"/>
    <s v="Storage"/>
    <s v="Eco Storage 183"/>
    <s v="Same Day"/>
    <n v="2"/>
    <n v="3012.94"/>
    <n v="0.25"/>
    <n v="4519.41"/>
    <n v="3504.16"/>
    <n v="1275.55"/>
    <x v="3"/>
    <x v="1"/>
    <m/>
    <s v="ORD-2024-10786"/>
    <s v="23-05-24"/>
    <s v="29-05-24"/>
    <s v="CUST-7518"/>
    <s v="Diya Patel"/>
    <s v="Small Business"/>
    <s v="North"/>
    <s v="Haryana"/>
    <s v="Gurugram"/>
    <s v="Office Supplies"/>
    <s v="Storage"/>
    <s v="Eco Storage 183"/>
    <s v="Same Day"/>
    <s v="anomaly"/>
    <n v="6"/>
    <n v="0.25"/>
    <x v="759"/>
    <x v="759"/>
    <n v="0.22464215461752751"/>
    <s v="23-05-24"/>
    <s v="29-05-24"/>
    <s v="May"/>
    <s v="2024"/>
    <s v=" "/>
    <n v="6"/>
    <s v="Unique"/>
  </r>
  <r>
    <s v="ORD-2025-10787"/>
    <s v="07/06/2025"/>
    <s v="08 Jul 2025"/>
    <s v="CUST-1343"/>
    <s v="Ananya Rao"/>
    <s v="Corporate"/>
    <x v="0"/>
    <s v="Rajasthan"/>
    <s v="Jaipur"/>
    <s v="Furniture"/>
    <s v="Furnishings"/>
    <s v="Pro Furnishings 233"/>
    <m/>
    <n v="4"/>
    <n v="715.45"/>
    <n v="0.05"/>
    <n v="2718.71"/>
    <n v="2065.0500000000002"/>
    <n v="653.66"/>
    <x v="1"/>
    <x v="2"/>
    <m/>
    <s v="ORD-2025-10787"/>
    <s v="07-06-25"/>
    <s v="08-07-25"/>
    <s v="CUST-1343"/>
    <s v="Ananya Rao"/>
    <s v="Corporate"/>
    <s v="North"/>
    <s v="Rajasthan"/>
    <s v="Jaipur"/>
    <s v="Furniture"/>
    <s v="Furnishings"/>
    <s v="Pro Furnishings 233"/>
    <s v="unknown"/>
    <s v="anomaly"/>
    <n v="31"/>
    <n v="0.05"/>
    <x v="760"/>
    <x v="760"/>
    <n v="0.24043020403058799"/>
    <s v="07-06-25"/>
    <s v="08-07-25"/>
    <s v="June"/>
    <s v="2025"/>
    <s v=" "/>
    <n v="31"/>
    <s v="Unique"/>
  </r>
  <r>
    <s v="ORD-2024-10788"/>
    <s v="2024-09-12"/>
    <s v="2024-09-18"/>
    <s v="CUST-7548"/>
    <s v="Ananya Rao"/>
    <s v="Home Office"/>
    <x v="1"/>
    <s v="Bihar"/>
    <s v="Patna"/>
    <s v="Office Supplies"/>
    <s v="Paper"/>
    <s v="Prime Paper 878"/>
    <s v="Second Class"/>
    <n v="2"/>
    <n v="3718.77"/>
    <n v="0.05"/>
    <n v="7065.66"/>
    <n v="4915.2700000000004"/>
    <n v="2150.39"/>
    <x v="0"/>
    <x v="0"/>
    <m/>
    <s v="ORD-2024-10788"/>
    <s v="12-09-24"/>
    <s v="18-09-24"/>
    <s v="CUST-7548"/>
    <s v="Ananya Rao"/>
    <s v="Home Office"/>
    <s v="East"/>
    <s v="Bihar"/>
    <s v="Patna"/>
    <s v="Office Supplies"/>
    <s v="Paper"/>
    <s v="Prime Paper 878"/>
    <s v="Second Class"/>
    <s v="anomaly"/>
    <n v="6"/>
    <n v="0.05"/>
    <x v="761"/>
    <x v="761"/>
    <n v="0.30434412170521002"/>
    <s v="12-09-24"/>
    <s v="18-09-24"/>
    <s v="September"/>
    <s v="2024"/>
    <s v=" "/>
    <n v="6"/>
    <s v="Unique"/>
  </r>
  <r>
    <s v="ORD-2024-10789"/>
    <s v="01 Aug 2024"/>
    <s v="02-08-2024"/>
    <s v="CUST-3631"/>
    <s v="Isha Nair"/>
    <s v="Corporate"/>
    <x v="0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x v="3"/>
    <x v="2"/>
    <m/>
    <s v="ORD-2024-10789"/>
    <s v="01-08-24"/>
    <s v="02-08-24"/>
    <s v="CUST-3631"/>
    <s v="Isha Nair"/>
    <s v="Corporate"/>
    <s v="North"/>
    <s v="Uttar Pradesh"/>
    <s v="Noida"/>
    <s v="Furniture"/>
    <s v="Chairs"/>
    <s v="Smart Chairs 353"/>
    <s v="Standard Class"/>
    <s v="anomaly"/>
    <n v="1"/>
    <n v="0.1"/>
    <x v="762"/>
    <x v="762"/>
    <n v="0.35536570582738836"/>
    <s v="01-08-24"/>
    <s v="02-08-24"/>
    <s v="August"/>
    <s v="2024"/>
    <s v=" "/>
    <n v="1"/>
    <s v="Unique"/>
  </r>
  <r>
    <s v="ORD-2025-10790"/>
    <s v="07 Mar 2025"/>
    <s v="08 Mar 2025"/>
    <s v="CUST-1453"/>
    <s v="Priya Menon"/>
    <s v="Home Office"/>
    <x v="4"/>
    <s v="Rajasthan"/>
    <s v="Udaipur"/>
    <s v="Technology"/>
    <s v="Copiers"/>
    <s v="Smart Copiers 408"/>
    <s v="Same Day"/>
    <n v="4"/>
    <n v="3537.48"/>
    <n v="0"/>
    <n v="14149.92"/>
    <n v="9466.51"/>
    <n v="4683.41"/>
    <x v="0"/>
    <x v="0"/>
    <m/>
    <s v="ORD-2025-10790"/>
    <s v="07-03-25"/>
    <s v="08-03-25"/>
    <s v="CUST-1453"/>
    <s v="Priya Menon"/>
    <s v="Home Office"/>
    <s v="unknown"/>
    <s v="Rajasthan"/>
    <s v="Udaipur"/>
    <s v="Technology"/>
    <s v="Copiers"/>
    <s v="Smart Copiers 408"/>
    <s v="Same Day"/>
    <s v="anomaly"/>
    <n v="1"/>
    <n v="0"/>
    <x v="763"/>
    <x v="763"/>
    <n v="0.33098491016203624"/>
    <s v="07-03-25"/>
    <s v="08-03-25"/>
    <s v="March"/>
    <s v="2025"/>
    <s v=" "/>
    <n v="1"/>
    <s v="Unique"/>
  </r>
  <r>
    <s v="ORD-2024-10791"/>
    <s v="31 May 2024"/>
    <s v="2024-06-02"/>
    <s v="CUST-1951"/>
    <s v="Rahul Verma"/>
    <s v="Corporate"/>
    <x v="2"/>
    <s v="Andhra Pradesh"/>
    <s v="Vijayawada"/>
    <s v="Office Supplies"/>
    <s v="Art"/>
    <s v="Classic Art 781"/>
    <s v="Standard Class"/>
    <n v="8"/>
    <n v="667.59"/>
    <n v="0.2"/>
    <n v="4272.58"/>
    <n v="3328.92"/>
    <n v="943.66"/>
    <x v="0"/>
    <x v="0"/>
    <m/>
    <s v="ORD-2024-10791"/>
    <s v="31-05-24"/>
    <s v="02-06-24"/>
    <s v="CUST-1951"/>
    <s v="Rahul Verma"/>
    <s v="Corporate"/>
    <s v="South"/>
    <s v="Andhra Pradesh"/>
    <s v="Vijayawada"/>
    <s v="Office Supplies"/>
    <s v="Art"/>
    <s v="Classic Art 781"/>
    <s v="Standard Class"/>
    <s v="  "/>
    <n v="2"/>
    <n v="0.2"/>
    <x v="764"/>
    <x v="764"/>
    <n v="0.22086347908147214"/>
    <s v="31-05-24"/>
    <s v="02-06-24"/>
    <s v="May"/>
    <s v="2024"/>
    <s v="anomaly"/>
    <n v="2"/>
    <s v="Unique"/>
  </r>
  <r>
    <s v="ORD-2024-10792"/>
    <s v="02 Oct 2024"/>
    <s v="2024-10-06"/>
    <s v="CUST-6300"/>
    <s v="Rahul Verma"/>
    <s v="Home Office"/>
    <x v="2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x v="0"/>
    <x v="0"/>
    <m/>
    <s v="ORD-2024-10792"/>
    <s v="02-10-24"/>
    <s v="06-10-24"/>
    <s v="CUST-6300"/>
    <s v="Rahul Verma"/>
    <s v="Home Office"/>
    <s v="South"/>
    <s v="Karnataka"/>
    <s v="Bengaluru"/>
    <s v="Furniture"/>
    <s v="Bookcases"/>
    <s v="Eco Bookcases 144"/>
    <s v="Same Day"/>
    <s v="anomaly"/>
    <n v="4"/>
    <n v="0.25"/>
    <x v="765"/>
    <x v="765"/>
    <n v="0.43658461479243243"/>
    <s v="02-10-24"/>
    <s v="06-10-24"/>
    <s v="October"/>
    <s v="2024"/>
    <s v=" "/>
    <n v="4"/>
    <s v="Unique"/>
  </r>
  <r>
    <s v="ORD-2025-10793"/>
    <s v="2025-06-04"/>
    <s v="08 Jun 2025"/>
    <s v="CUST-1417"/>
    <s v="Arjun Bose"/>
    <s v="Small Business"/>
    <x v="1"/>
    <s v="Assam"/>
    <s v="Guwahati"/>
    <s v="Furniture"/>
    <s v="Furnishings"/>
    <s v="Elite Furnishings 852"/>
    <s v="Second Class"/>
    <n v="1"/>
    <n v="3501.12"/>
    <n v="0.2"/>
    <n v="2800.9"/>
    <n v="1735.98"/>
    <n v="1064.92"/>
    <x v="0"/>
    <x v="2"/>
    <m/>
    <s v="ORD-2025-10793"/>
    <s v="04-06-25"/>
    <s v="08-06-25"/>
    <s v="CUST-1417"/>
    <s v="Arjun Bose"/>
    <s v="Small Business"/>
    <s v="East"/>
    <s v="Assam"/>
    <s v="Guwahati"/>
    <s v="Furniture"/>
    <s v="Furnishings"/>
    <s v="Elite Furnishings 852"/>
    <s v="Second Class"/>
    <s v="anomaly"/>
    <n v="4"/>
    <n v="0.2"/>
    <x v="766"/>
    <x v="766"/>
    <n v="0.38020547710446945"/>
    <s v="04-06-25"/>
    <s v="08-06-25"/>
    <s v="June"/>
    <s v="2025"/>
    <s v=" "/>
    <n v="4"/>
    <s v="Unique"/>
  </r>
  <r>
    <s v="ORD-2024-10794"/>
    <s v="28-05-2024"/>
    <s v="03 Jun 2024"/>
    <s v="CUST-5421"/>
    <s v="Vikram Iyer"/>
    <s v="Corporate"/>
    <x v="0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x v="0"/>
    <x v="0"/>
    <m/>
    <s v="ORD-2024-10794"/>
    <s v="28-05-24"/>
    <s v="03-06-24"/>
    <s v="CUST-5421"/>
    <s v="Vikram Iyer"/>
    <s v="Corporate"/>
    <s v="North"/>
    <s v="Rajasthan"/>
    <s v="Jaipur"/>
    <s v="Technology"/>
    <s v="Copiers"/>
    <s v="Basic Copiers 238"/>
    <s v="Second Class"/>
    <s v="  "/>
    <n v="6"/>
    <n v="0"/>
    <x v="767"/>
    <x v="767"/>
    <n v="0.28371343833094703"/>
    <s v="28-05-24"/>
    <s v="03-06-24"/>
    <s v="May"/>
    <s v="2024"/>
    <s v="anomaly"/>
    <n v="6"/>
    <s v="Unique"/>
  </r>
  <r>
    <s v="ORD-2025-10795"/>
    <s v="2025-06-22"/>
    <s v="2025-06-24"/>
    <s v="CUST-2829"/>
    <s v="Sneha Kapoor"/>
    <s v="Corporate"/>
    <x v="1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x v="0"/>
    <x v="0"/>
    <m/>
    <s v="ORD-2025-10795"/>
    <s v="22-06-25"/>
    <s v="24-06-25"/>
    <s v="CUST-2829"/>
    <s v="Sneha Kapoor"/>
    <s v="Corporate"/>
    <s v="East"/>
    <s v="Assam"/>
    <s v="Guwahati"/>
    <s v="Office Supplies"/>
    <s v="Paper"/>
    <s v="Elite Paper 847"/>
    <s v="Standard Class"/>
    <s v="anomaly"/>
    <n v="2"/>
    <n v="0.15"/>
    <x v="768"/>
    <x v="768"/>
    <n v="0.33093133562955235"/>
    <s v="22-06-25"/>
    <s v="24-06-25"/>
    <s v="June"/>
    <s v="2025"/>
    <s v=" "/>
    <n v="2"/>
    <s v="Unique"/>
  </r>
  <r>
    <s v="ORD-2024-10796"/>
    <s v="30-07-2024"/>
    <s v="2024-07-30"/>
    <s v="CUST-6529"/>
    <s v="Diya Patel"/>
    <s v="Home Office"/>
    <x v="1"/>
    <s v="Odisha"/>
    <s v="Bhubaneswar"/>
    <s v="Technology"/>
    <s v="Copiers"/>
    <s v="Pro Copiers 653"/>
    <s v="Same Day"/>
    <n v="9"/>
    <n v="2894.66"/>
    <n v="0"/>
    <n v="26051.94"/>
    <n v="16883.59"/>
    <n v="9168.35"/>
    <x v="1"/>
    <x v="1"/>
    <m/>
    <s v="ORD-2024-10796"/>
    <s v="30-07-24"/>
    <s v="30-07-24"/>
    <s v="CUST-6529"/>
    <s v="Diya Patel"/>
    <s v="Home Office"/>
    <s v="East"/>
    <s v="Odisha"/>
    <s v="Bhubaneswar"/>
    <s v="Technology"/>
    <s v="Copiers"/>
    <s v="Pro Copiers 653"/>
    <s v="Same Day"/>
    <s v="  "/>
    <n v="0"/>
    <n v="0"/>
    <x v="769"/>
    <x v="769"/>
    <n v="0.3519258066769691"/>
    <s v="30-07-24"/>
    <s v="30-07-24"/>
    <s v="July"/>
    <s v="2024"/>
    <s v=" "/>
    <n v="0"/>
    <s v="Unique"/>
  </r>
  <r>
    <s v="ORD-2024-10797"/>
    <s v="03/23/2024"/>
    <s v="30-03-2024"/>
    <s v="CUST-3126"/>
    <s v="Rohan Mehta"/>
    <s v="Small Business"/>
    <x v="2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x v="0"/>
    <x v="0"/>
    <m/>
    <s v="ORD-2024-10797"/>
    <s v="invalid date"/>
    <s v="30-03-24"/>
    <s v="CUST-3126"/>
    <s v="Rohan Mehta"/>
    <s v="Small Business"/>
    <s v="South"/>
    <s v="Andhra Pradesh"/>
    <s v="Vijayawada"/>
    <s v="Technology"/>
    <s v="Machines"/>
    <s v="Elite Machines 459"/>
    <s v="First Class"/>
    <s v="Invalid"/>
    <s v="invalid date"/>
    <n v="0.15"/>
    <x v="770"/>
    <x v="770"/>
    <n v="0.34754685641491223"/>
    <s v="invalid date"/>
    <s v="30-03-24"/>
    <s v="invalid date"/>
    <s v="invalid date"/>
    <s v="Invalid"/>
    <s v="invalid date"/>
    <s v="Unique"/>
  </r>
  <r>
    <s v="ORD-2024-10798"/>
    <s v="18 Apr 2024"/>
    <s v="22-04-2024"/>
    <s v="CUST-3991"/>
    <s v="Aarav Sharma"/>
    <s v="Consumer"/>
    <x v="1"/>
    <s v="Odisha"/>
    <s v="Bhubaneswar"/>
    <s v="Office Supplies"/>
    <s v="Binders"/>
    <s v="Elite Binders 764"/>
    <s v="First Class"/>
    <n v="8"/>
    <n v="1714.37"/>
    <n v="0"/>
    <n v="13714.96"/>
    <n v="10550.47"/>
    <n v="3164.49"/>
    <x v="3"/>
    <x v="1"/>
    <m/>
    <s v="ORD-2024-10798"/>
    <s v="18-04-24"/>
    <s v="22-04-24"/>
    <s v="CUST-3991"/>
    <s v="Aarav Sharma"/>
    <s v="Consumer"/>
    <s v="East"/>
    <s v="Odisha"/>
    <s v="Bhubaneswar"/>
    <s v="Office Supplies"/>
    <s v="Binders"/>
    <s v="Elite Binders 764"/>
    <s v="First Class"/>
    <s v="anomaly"/>
    <n v="4"/>
    <n v="0"/>
    <x v="771"/>
    <x v="771"/>
    <n v="0.23073271814135804"/>
    <s v="18-04-24"/>
    <s v="22-04-24"/>
    <s v="April"/>
    <s v="2024"/>
    <s v=" "/>
    <n v="4"/>
    <s v="Unique"/>
  </r>
  <r>
    <s v="ORD-2025-10799"/>
    <s v="2025-07-11"/>
    <s v="09-07-2025"/>
    <s v="CUST-7553"/>
    <s v="Aditi Sen"/>
    <s v="Corporate"/>
    <x v="0"/>
    <s v="Delhi"/>
    <s v="New Delhi"/>
    <s v="Furniture"/>
    <s v="Furnishings"/>
    <s v="Classic Furnishings 348"/>
    <s v="Standard Class"/>
    <n v="9"/>
    <n v="1706.05"/>
    <n v="0"/>
    <n v="15354.45"/>
    <n v="9656.5"/>
    <n v="5697.95"/>
    <x v="0"/>
    <x v="0"/>
    <m/>
    <s v="ORD-2025-10799"/>
    <s v="11-07-25"/>
    <s v="09-07-25"/>
    <s v="CUST-7553"/>
    <s v="Aditi Sen"/>
    <s v="Corporate"/>
    <s v="North"/>
    <s v="Delhi"/>
    <s v="New Delhi"/>
    <s v="Furniture"/>
    <s v="Furnishings"/>
    <s v="Classic Furnishings 348"/>
    <s v="Standard Class"/>
    <s v="  "/>
    <n v="-2"/>
    <n v="0"/>
    <x v="772"/>
    <x v="772"/>
    <n v="0.37109437329243311"/>
    <s v="11-07-25"/>
    <s v="09-07-25"/>
    <s v="July"/>
    <s v="2025"/>
    <s v="anomaly"/>
    <n v="-2"/>
    <s v="Unique"/>
  </r>
  <r>
    <s v="ORD-2024-10800"/>
    <s v="10 Oct 2024"/>
    <s v="2024-10-17"/>
    <s v="CUST-8527"/>
    <s v="Isha Nair"/>
    <s v="Home Office"/>
    <x v="0"/>
    <s v="Haryana"/>
    <s v="Gurugram"/>
    <s v="Technology"/>
    <s v="Accessories"/>
    <s v="Smart Accessories 487"/>
    <m/>
    <n v="5"/>
    <n v="967.41"/>
    <n v="0.05"/>
    <n v="4595.2"/>
    <n v="3887.41"/>
    <n v="707.79"/>
    <x v="0"/>
    <x v="2"/>
    <m/>
    <s v="ORD-2024-10800"/>
    <s v="10-10-24"/>
    <s v="17-10-24"/>
    <s v="CUST-8527"/>
    <s v="Isha Nair"/>
    <s v="Home Office"/>
    <s v="North"/>
    <s v="Haryana"/>
    <s v="Gurugram"/>
    <s v="Technology"/>
    <s v="Accessories"/>
    <s v="Smart Accessories 487"/>
    <s v="unknown"/>
    <s v="anomaly"/>
    <n v="7"/>
    <n v="0.05"/>
    <x v="773"/>
    <x v="773"/>
    <n v="0.15402765604742785"/>
    <s v="10-10-24"/>
    <s v="17-10-24"/>
    <s v="October"/>
    <s v="2024"/>
    <s v=" "/>
    <n v="7"/>
    <s v="Unique"/>
  </r>
  <r>
    <s v="ORD-2024-10801"/>
    <s v="01 Mar 2024"/>
    <s v="2024-03-07"/>
    <s v="CUST-5015"/>
    <s v="Vikram Iyer"/>
    <s v="Small Business"/>
    <x v="3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x v="0"/>
    <x v="0"/>
    <m/>
    <s v="ORD-2024-10801"/>
    <s v="01-03-24"/>
    <s v="07-03-24"/>
    <s v="CUST-5015"/>
    <s v="Vikram Iyer"/>
    <s v="Small Business"/>
    <s v="West"/>
    <s v="Maharashtra"/>
    <s v="Mumbai"/>
    <s v="Office Supplies"/>
    <s v="Storage"/>
    <s v="Elite Storage 825"/>
    <s v="Second Class"/>
    <s v="anomaly"/>
    <n v="6"/>
    <n v="0.15"/>
    <x v="774"/>
    <x v="774"/>
    <n v="0.21186192286950029"/>
    <s v="01-03-24"/>
    <s v="07-03-24"/>
    <s v="March"/>
    <s v="2024"/>
    <s v=" "/>
    <n v="6"/>
    <s v="Unique"/>
  </r>
  <r>
    <s v="ORD-2025-10802"/>
    <s v="2025-10-08"/>
    <s v="15 Oct 2025"/>
    <s v="CUST-3344"/>
    <s v="Aarav Sharma"/>
    <s v="Home Office"/>
    <x v="1"/>
    <s v="Odisha"/>
    <s v="Bhubaneswar"/>
    <s v="Technology"/>
    <s v="Accessories"/>
    <s v="Pro Accessories 500"/>
    <s v="Second Class"/>
    <n v="3"/>
    <n v="3372.21"/>
    <n v="0.2"/>
    <n v="8093.3"/>
    <n v="6052.43"/>
    <n v="2040.87"/>
    <x v="2"/>
    <x v="1"/>
    <m/>
    <s v="ORD-2025-10802"/>
    <s v="08-10-25"/>
    <s v="15-10-25"/>
    <s v="CUST-3344"/>
    <s v="Aarav Sharma"/>
    <s v="Home Office"/>
    <s v="East"/>
    <s v="Odisha"/>
    <s v="Bhubaneswar"/>
    <s v="Technology"/>
    <s v="Accessories"/>
    <s v="Pro Accessories 500"/>
    <s v="Second Class"/>
    <s v="anomaly"/>
    <n v="7"/>
    <n v="0.2"/>
    <x v="775"/>
    <x v="775"/>
    <n v="0.25216821214179036"/>
    <s v="08-10-25"/>
    <s v="15-10-25"/>
    <s v="October"/>
    <s v="2025"/>
    <s v=" "/>
    <n v="7"/>
    <s v="Unique"/>
  </r>
  <r>
    <s v="ORD-2025-10803"/>
    <s v="16 Feb 2025"/>
    <s v="2025-02-16"/>
    <s v="CUST-5866"/>
    <s v="Rohan Mehta"/>
    <s v="Small Business"/>
    <x v="1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x v="3"/>
    <x v="2"/>
    <m/>
    <s v="ORD-2025-10803"/>
    <s v="16-02-25"/>
    <s v="16-02-25"/>
    <s v="CUST-5866"/>
    <s v="Rohan Mehta"/>
    <s v="Small Business"/>
    <s v="East"/>
    <s v="Assam"/>
    <s v="Guwahati"/>
    <s v="Furniture"/>
    <s v="Furnishings"/>
    <s v="Pro Furnishings 909"/>
    <s v="Second Class"/>
    <s v="  "/>
    <n v="0"/>
    <n v="0"/>
    <x v="776"/>
    <x v="776"/>
    <n v="0.39263199506210522"/>
    <s v="16-02-25"/>
    <s v="16-02-25"/>
    <s v="February"/>
    <s v="2025"/>
    <s v=" "/>
    <n v="0"/>
    <s v="Unique"/>
  </r>
  <r>
    <s v="ORD-2024-10804"/>
    <s v="09 Dec 2024"/>
    <s v="13 Dec 2024"/>
    <s v="CUST-7180"/>
    <s v="Rohan Mehta"/>
    <s v="Consumer"/>
    <x v="4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x v="0"/>
    <x v="0"/>
    <m/>
    <s v="ORD-2024-10804"/>
    <s v="09-12-24"/>
    <s v="13-12-24"/>
    <s v="CUST-7180"/>
    <s v="Rohan Mehta"/>
    <s v="Consumer"/>
    <s v="unknown"/>
    <s v="Jharkhand"/>
    <s v="Ranchi"/>
    <s v="Office Supplies"/>
    <s v="Labels"/>
    <s v="Basic Labels 359"/>
    <s v="First Class"/>
    <s v="anomaly"/>
    <n v="4"/>
    <n v="0"/>
    <x v="777"/>
    <x v="777"/>
    <n v="0.40352245945224235"/>
    <s v="09-12-24"/>
    <s v="13-12-24"/>
    <s v="December"/>
    <s v="2024"/>
    <s v=" "/>
    <n v="4"/>
    <s v="Unique"/>
  </r>
  <r>
    <s v="ORD-2025-10805"/>
    <s v="10-09-2025"/>
    <s v="18-09-2025"/>
    <s v="CUST-8745"/>
    <s v="Rahul Verma"/>
    <s v="Home Office"/>
    <x v="2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x v="0"/>
    <x v="0"/>
    <m/>
    <s v="ORD-2025-10805"/>
    <s v="10-09-25"/>
    <s v="18-09-25"/>
    <s v="CUST-8745"/>
    <s v="Rahul Verma"/>
    <s v="Home Office"/>
    <s v="South"/>
    <s v="Telangana"/>
    <s v="Hyderabad"/>
    <s v="Furniture"/>
    <s v="Furnishings"/>
    <s v="Eco Furnishings 541"/>
    <s v="Standard Class"/>
    <s v="anomaly"/>
    <n v="8"/>
    <n v="0.05"/>
    <x v="778"/>
    <x v="778"/>
    <n v="0.22638031424642296"/>
    <s v="10-09-25"/>
    <s v="18-09-25"/>
    <s v="September"/>
    <s v="2025"/>
    <s v=" "/>
    <n v="8"/>
    <s v="Unique"/>
  </r>
  <r>
    <s v="ORD-2025-10806"/>
    <s v="2025-04-06"/>
    <s v="07-04-2025"/>
    <s v="CUST-2098"/>
    <s v="Priya Menon"/>
    <s v="Home Office"/>
    <x v="1"/>
    <s v="Assam"/>
    <s v="Guwahati"/>
    <s v="Office Supplies"/>
    <s v="Binders"/>
    <s v="Classic Binders 103"/>
    <s v="Second Class"/>
    <n v="2"/>
    <n v="2030.06"/>
    <n v="0.25"/>
    <n v="3045.09"/>
    <n v="2601.09"/>
    <n v="444"/>
    <x v="0"/>
    <x v="0"/>
    <m/>
    <s v="ORD-2025-10806"/>
    <s v="06-04-25"/>
    <s v="07-04-25"/>
    <s v="CUST-2098"/>
    <s v="Priya Menon"/>
    <s v="Home Office"/>
    <s v="East"/>
    <s v="Assam"/>
    <s v="Guwahati"/>
    <s v="Office Supplies"/>
    <s v="Binders"/>
    <s v="Classic Binders 103"/>
    <s v="Second Class"/>
    <s v="anomaly"/>
    <n v="1"/>
    <n v="0.25"/>
    <x v="779"/>
    <x v="779"/>
    <n v="0.14580849827098705"/>
    <s v="06-04-25"/>
    <s v="07-04-25"/>
    <s v="April"/>
    <s v="2025"/>
    <s v=" "/>
    <n v="1"/>
    <s v="Unique"/>
  </r>
  <r>
    <s v="ORD-2024-10807"/>
    <s v="09-11-2024"/>
    <s v="15 Nov 2024"/>
    <s v="CUST-3704"/>
    <s v="Isha Nair"/>
    <s v="Home Office"/>
    <x v="0"/>
    <s v="Rajasthan"/>
    <s v="Jaipur"/>
    <s v="Technology"/>
    <s v="Copiers"/>
    <s v="Max Copiers 560"/>
    <s v="Standard Class"/>
    <n v="1"/>
    <n v="3665.97"/>
    <n v="0.2"/>
    <n v="2932.78"/>
    <n v="1900.35"/>
    <n v="1032.43"/>
    <x v="3"/>
    <x v="1"/>
    <m/>
    <s v="ORD-2024-10807"/>
    <s v="09-11-24"/>
    <s v="15-11-24"/>
    <s v="CUST-3704"/>
    <s v="Isha Nair"/>
    <s v="Home Office"/>
    <s v="North"/>
    <s v="Rajasthan"/>
    <s v="Jaipur"/>
    <s v="Technology"/>
    <s v="Copiers"/>
    <s v="Max Copiers 560"/>
    <s v="Standard Class"/>
    <s v="anomaly"/>
    <n v="6"/>
    <n v="0.2"/>
    <x v="780"/>
    <x v="780"/>
    <n v="0.35203029484692999"/>
    <s v="09-11-24"/>
    <s v="15-11-24"/>
    <s v="November"/>
    <s v="2024"/>
    <s v=" "/>
    <n v="6"/>
    <s v="Unique"/>
  </r>
  <r>
    <s v="ORD-2025-10808"/>
    <s v="07 Feb 2025"/>
    <s v="2025-02-08"/>
    <s v="CUST-5884"/>
    <s v="Karan Malhotra"/>
    <s v="Small Business"/>
    <x v="2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x v="0"/>
    <x v="0"/>
    <m/>
    <s v="ORD-2025-10808"/>
    <s v="07-02-25"/>
    <s v="08-02-25"/>
    <s v="CUST-5884"/>
    <s v="Karan Malhotra"/>
    <s v="Small Business"/>
    <s v="South"/>
    <s v="Telangana"/>
    <s v="Hyderabad"/>
    <s v="Office Supplies"/>
    <s v="Labels"/>
    <s v="Smart Labels 436"/>
    <s v="Standard Class"/>
    <s v="anomaly"/>
    <n v="1"/>
    <n v="0.1"/>
    <x v="781"/>
    <x v="781"/>
    <n v="0.14966419781502532"/>
    <s v="07-02-25"/>
    <s v="08-02-25"/>
    <s v="February"/>
    <s v="2025"/>
    <s v=" "/>
    <n v="1"/>
    <s v="Unique"/>
  </r>
  <r>
    <s v="ORD-2025-10809"/>
    <s v="2025-08-31"/>
    <s v="2025-08-28"/>
    <s v="CUST-7503"/>
    <s v="Aarav Sharma"/>
    <s v="Small Business"/>
    <x v="2"/>
    <s v="Tamil Nadu"/>
    <s v="Chennai"/>
    <s v="Furniture"/>
    <s v="Furnishings"/>
    <s v="Pro Furnishings 386"/>
    <s v="First Class"/>
    <n v="7"/>
    <n v="977.28"/>
    <n v="0.2"/>
    <n v="5472.77"/>
    <n v="4477.33"/>
    <n v="995.44"/>
    <x v="0"/>
    <x v="0"/>
    <m/>
    <s v="ORD-2025-10809"/>
    <s v="31-08-25"/>
    <s v="28-08-25"/>
    <s v="CUST-7503"/>
    <s v="Aarav Sharma"/>
    <s v="Small Business"/>
    <s v="South"/>
    <s v="Tamil Nadu"/>
    <s v="Chennai"/>
    <s v="Furniture"/>
    <s v="Furnishings"/>
    <s v="Pro Furnishings 386"/>
    <s v="First Class"/>
    <s v="  "/>
    <n v="-3"/>
    <n v="0.2"/>
    <x v="782"/>
    <x v="782"/>
    <n v="0.18188931085695575"/>
    <s v="31-08-25"/>
    <s v="28-08-25"/>
    <s v="August"/>
    <s v="2025"/>
    <s v="anomaly"/>
    <n v="-3"/>
    <s v="Unique"/>
  </r>
  <r>
    <s v="ORD-2025-10810"/>
    <s v="25 Jun 2025"/>
    <s v="25 Jun 2025"/>
    <s v="CUST-6973"/>
    <s v="Arjun Bose"/>
    <s v="Small Business"/>
    <x v="4"/>
    <s v="Punjab"/>
    <s v="Ludhiana"/>
    <s v="Office Supplies"/>
    <s v="Binders"/>
    <s v="Eco Binders 601"/>
    <s v="Second Class"/>
    <n v="6"/>
    <n v="1366.13"/>
    <n v="0.1"/>
    <n v="7377.1"/>
    <n v="5085.21"/>
    <n v="2291.89"/>
    <x v="0"/>
    <x v="0"/>
    <m/>
    <s v="ORD-2025-10810"/>
    <s v="25-06-25"/>
    <s v="25-06-25"/>
    <s v="CUST-6973"/>
    <s v="Arjun Bose"/>
    <s v="Small Business"/>
    <s v="unknown"/>
    <s v="Punjab"/>
    <s v="Ludhiana"/>
    <s v="Office Supplies"/>
    <s v="Binders"/>
    <s v="Eco Binders 601"/>
    <s v="Second Class"/>
    <s v="  "/>
    <n v="0"/>
    <n v="0.1"/>
    <x v="783"/>
    <x v="783"/>
    <n v="0.31067646888981615"/>
    <s v="25-06-25"/>
    <s v="25-06-25"/>
    <s v="June"/>
    <s v="2025"/>
    <s v=" "/>
    <n v="0"/>
    <s v="Unique"/>
  </r>
  <r>
    <s v="ORD-2024-10811"/>
    <s v="04/03/2024"/>
    <s v="08-04-2024"/>
    <s v="CUST-4653"/>
    <s v="Kabir Singh"/>
    <s v="Home Office"/>
    <x v="3"/>
    <s v="Gujarat"/>
    <s v="Ahmedabad"/>
    <s v="Technology"/>
    <s v="Copiers"/>
    <s v="Pro Copiers 867"/>
    <s v="First Class"/>
    <n v="1"/>
    <n v="3151.85"/>
    <n v="0.25"/>
    <n v="2363.89"/>
    <n v="1471.51"/>
    <n v="892.38"/>
    <x v="0"/>
    <x v="0"/>
    <m/>
    <s v="ORD-2024-10811"/>
    <s v="04-03-24"/>
    <s v="08-04-24"/>
    <s v="CUST-4653"/>
    <s v="Kabir Singh"/>
    <s v="Home Office"/>
    <s v="West"/>
    <s v="Gujarat"/>
    <s v="Ahmedabad"/>
    <s v="Technology"/>
    <s v="Copiers"/>
    <s v="Pro Copiers 867"/>
    <s v="First Class"/>
    <s v="anomaly"/>
    <n v="35"/>
    <n v="0.25"/>
    <x v="784"/>
    <x v="784"/>
    <n v="0.37750421710000998"/>
    <s v="04-03-24"/>
    <s v="08-04-24"/>
    <s v="March"/>
    <s v="2024"/>
    <s v=" "/>
    <n v="35"/>
    <s v="Unique"/>
  </r>
  <r>
    <s v="ORD-2024-10812"/>
    <s v="12 Dec 2024"/>
    <s v="19 Dec 2024"/>
    <s v="CUST-3303"/>
    <s v="Rohan Mehta"/>
    <s v="Home Office"/>
    <x v="0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x v="0"/>
    <x v="0"/>
    <m/>
    <s v="ORD-2024-10812"/>
    <s v="12-12-24"/>
    <s v="19-12-24"/>
    <s v="CUST-3303"/>
    <s v="Rohan Mehta"/>
    <s v="Home Office"/>
    <s v="North"/>
    <s v="Haryana"/>
    <s v="Gurugram"/>
    <s v="Technology"/>
    <s v="Accessories"/>
    <s v="Eco Accessories 122"/>
    <s v="First Class"/>
    <s v="anomaly"/>
    <n v="7"/>
    <n v="0.2"/>
    <x v="785"/>
    <x v="785"/>
    <n v="0.42733586838429316"/>
    <s v="12-12-24"/>
    <s v="19-12-24"/>
    <s v="December"/>
    <s v="2024"/>
    <s v=" "/>
    <n v="7"/>
    <s v="Unique"/>
  </r>
  <r>
    <s v="ORD-2024-10813"/>
    <s v="2024-06-15"/>
    <s v="20-06-2024"/>
    <s v="CUST-5754"/>
    <s v="Sneha Kapoor"/>
    <s v="Small Business"/>
    <x v="1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x v="0"/>
    <x v="0"/>
    <m/>
    <s v="ORD-2024-10813"/>
    <s v="15-06-24"/>
    <s v="20-06-24"/>
    <s v="CUST-5754"/>
    <s v="Sneha Kapoor"/>
    <s v="Small Business"/>
    <s v="East"/>
    <s v="Jharkhand"/>
    <s v="Ranchi"/>
    <s v="Furniture"/>
    <s v="Tables"/>
    <s v="Basic Tables 127"/>
    <s v="First Class"/>
    <s v="anomaly"/>
    <n v="5"/>
    <n v="0"/>
    <x v="786"/>
    <x v="786"/>
    <n v="0.20785729671029896"/>
    <s v="15-06-24"/>
    <s v="20-06-24"/>
    <s v="June"/>
    <s v="2024"/>
    <s v=" "/>
    <n v="5"/>
    <s v="Unique"/>
  </r>
  <r>
    <s v="ORD-2025-10814"/>
    <s v="04/06/2025"/>
    <s v="10 Apr 2025"/>
    <s v="CUST-7848"/>
    <s v="Rohan Mehta"/>
    <s v="Consumer"/>
    <x v="1"/>
    <s v="Odisha"/>
    <s v="Bhubaneswar"/>
    <s v="Furniture"/>
    <s v="Bookcases"/>
    <s v="Elite Bookcases 988"/>
    <s v="Standard Class"/>
    <n v="2"/>
    <n v="1337.67"/>
    <n v="0"/>
    <n v="2675.34"/>
    <n v="1595.87"/>
    <n v="1079.47"/>
    <x v="0"/>
    <x v="0"/>
    <m/>
    <s v="ORD-2025-10814"/>
    <s v="04-06-25"/>
    <s v="10-04-25"/>
    <s v="CUST-7848"/>
    <s v="Rohan Mehta"/>
    <s v="Consumer"/>
    <s v="East"/>
    <s v="Odisha"/>
    <s v="Bhubaneswar"/>
    <s v="Furniture"/>
    <s v="Bookcases"/>
    <s v="Elite Bookcases 988"/>
    <s v="Standard Class"/>
    <s v="anomaly"/>
    <n v="-55"/>
    <n v="0"/>
    <x v="787"/>
    <x v="787"/>
    <n v="0.40348890234512258"/>
    <s v="04-06-25"/>
    <s v="10-04-25"/>
    <s v="June"/>
    <s v="2025"/>
    <s v=" "/>
    <n v="-55"/>
    <s v="Unique"/>
  </r>
  <r>
    <s v="ORD-2025-10815"/>
    <s v="06 Aug 2025"/>
    <s v="2025-08-11"/>
    <s v="CUST-9048"/>
    <s v="Arjun Bose"/>
    <s v="Consumer"/>
    <x v="3"/>
    <s v="Madhya Pradesh"/>
    <s v="Indore"/>
    <s v="Office Supplies"/>
    <s v="Labels"/>
    <s v="Smart Labels 126"/>
    <s v="First Class"/>
    <n v="2"/>
    <n v="2375.94"/>
    <n v="0.25"/>
    <n v="3563.91"/>
    <n v="2639.7"/>
    <n v="924.21"/>
    <x v="0"/>
    <x v="0"/>
    <m/>
    <s v="ORD-2025-10815"/>
    <s v="06-08-25"/>
    <s v="11-08-25"/>
    <s v="CUST-9048"/>
    <s v="Arjun Bose"/>
    <s v="Consumer"/>
    <s v="West"/>
    <s v="Madhya Pradesh"/>
    <s v="Indore"/>
    <s v="Office Supplies"/>
    <s v="Labels"/>
    <s v="Smart Labels 126"/>
    <s v="First Class"/>
    <s v="anomaly"/>
    <n v="5"/>
    <n v="0.25"/>
    <x v="788"/>
    <x v="788"/>
    <n v="0.25932473042248544"/>
    <s v="06-08-25"/>
    <s v="11-08-25"/>
    <s v="August"/>
    <s v="2025"/>
    <s v=" "/>
    <n v="5"/>
    <s v="Unique"/>
  </r>
  <r>
    <s v="ORD-2024-10816"/>
    <s v="04/01/2024"/>
    <s v="2024-04-08"/>
    <s v="CUST-2951"/>
    <s v="Diya Patel"/>
    <s v="Consumer"/>
    <x v="1"/>
    <s v="Odisha"/>
    <s v="Bhubaneswar"/>
    <s v="Technology"/>
    <s v="Machines"/>
    <s v="Max Machines 569"/>
    <s v="Standard Class"/>
    <n v="7"/>
    <n v="715.81"/>
    <n v="0.15"/>
    <n v="4259.07"/>
    <n v="3130.32"/>
    <n v="1128.75"/>
    <x v="2"/>
    <x v="1"/>
    <m/>
    <s v="ORD-2024-10816"/>
    <s v="04-01-24"/>
    <s v="08-04-24"/>
    <s v="CUST-2951"/>
    <s v="Diya Patel"/>
    <s v="Consumer"/>
    <s v="East"/>
    <s v="Odisha"/>
    <s v="Bhubaneswar"/>
    <s v="Technology"/>
    <s v="Machines"/>
    <s v="Max Machines 569"/>
    <s v="Standard Class"/>
    <s v="anomaly"/>
    <n v="95"/>
    <n v="0.15"/>
    <x v="789"/>
    <x v="789"/>
    <n v="0.26502255950507486"/>
    <s v="04-01-24"/>
    <s v="08-04-24"/>
    <s v="January"/>
    <s v="2024"/>
    <s v=" "/>
    <n v="95"/>
    <s v="Unique"/>
  </r>
  <r>
    <s v="ORD-2024-10817"/>
    <s v="11/27/2024"/>
    <s v="2024-11-30"/>
    <s v="CUST-3072"/>
    <s v="Rahul Verma"/>
    <s v="Small Business"/>
    <x v="1"/>
    <s v="Jharkhand"/>
    <s v="Ranchi"/>
    <s v="Furniture"/>
    <s v="Furnishings"/>
    <s v="Basic Furnishings 306"/>
    <s v="First Class"/>
    <n v="1"/>
    <n v="874.3"/>
    <n v="0.1"/>
    <n v="786.87"/>
    <n v="498.5"/>
    <n v="288.37"/>
    <x v="0"/>
    <x v="0"/>
    <m/>
    <s v="ORD-2024-10817"/>
    <s v="invalid date"/>
    <s v="30-11-24"/>
    <s v="CUST-3072"/>
    <s v="Rahul Verma"/>
    <s v="Small Business"/>
    <s v="East"/>
    <s v="Jharkhand"/>
    <s v="Ranchi"/>
    <s v="Furniture"/>
    <s v="Furnishings"/>
    <s v="Basic Furnishings 306"/>
    <s v="First Class"/>
    <s v="Invalid"/>
    <s v="invalid date"/>
    <n v="0.1"/>
    <x v="790"/>
    <x v="790"/>
    <n v="0.36647730883119195"/>
    <s v="invalid date"/>
    <s v="30-11-24"/>
    <s v="invalid date"/>
    <s v="invalid date"/>
    <s v="Invalid"/>
    <s v="invalid date"/>
    <s v="Unique"/>
  </r>
  <r>
    <s v="ORD-2025-10818"/>
    <s v="05 Apr 2025"/>
    <s v="04/05/2025"/>
    <s v="CUST-2221"/>
    <s v="Sneha Kapoor"/>
    <s v="Consumer"/>
    <x v="1"/>
    <s v="Bihar"/>
    <s v="Patna"/>
    <s v="Office Supplies"/>
    <s v="Binders"/>
    <s v="Classic Binders 873"/>
    <s v="Standard Class"/>
    <n v="6"/>
    <n v="1829.69"/>
    <n v="0.25"/>
    <n v="8233.6"/>
    <n v="4713.79"/>
    <n v="3519.81"/>
    <x v="0"/>
    <x v="0"/>
    <m/>
    <s v="ORD-2025-10818"/>
    <s v="05-04-25"/>
    <s v="04-05-25"/>
    <s v="CUST-2221"/>
    <s v="Sneha Kapoor"/>
    <s v="Consumer"/>
    <s v="East"/>
    <s v="Bihar"/>
    <s v="Patna"/>
    <s v="Office Supplies"/>
    <s v="Binders"/>
    <s v="Classic Binders 873"/>
    <s v="Standard Class"/>
    <s v="  "/>
    <n v="29"/>
    <n v="0.25"/>
    <x v="791"/>
    <x v="791"/>
    <n v="0.42749378917254349"/>
    <s v="05-04-25"/>
    <s v="04-05-25"/>
    <s v="April"/>
    <s v="2025"/>
    <s v="anomaly"/>
    <n v="29"/>
    <s v="Unique"/>
  </r>
  <r>
    <s v="ORD-2024-10819"/>
    <s v="29 Sep 2024"/>
    <s v="05-10-2024"/>
    <s v="CUST-3943"/>
    <s v="Priya Menon"/>
    <s v="Small Business"/>
    <x v="3"/>
    <s v="Maharashtra"/>
    <s v="Mumbai"/>
    <s v="Office Supplies"/>
    <s v="Labels"/>
    <s v="Pro Labels 611"/>
    <s v="First Class"/>
    <n v="8"/>
    <n v="1981.04"/>
    <s v="invalid"/>
    <n v="12678.66"/>
    <n v="10088.65"/>
    <n v="2590.0100000000002"/>
    <x v="0"/>
    <x v="0"/>
    <m/>
    <s v="ORD-2024-10819"/>
    <s v="29-09-24"/>
    <s v="05-10-24"/>
    <s v="CUST-3943"/>
    <s v="Priya Menon"/>
    <s v="Small Business"/>
    <s v="West"/>
    <s v="Maharashtra"/>
    <s v="Mumbai"/>
    <s v="Office Supplies"/>
    <s v="Labels"/>
    <s v="Pro Labels 611"/>
    <s v="First Class"/>
    <s v="  "/>
    <n v="6"/>
    <s v="invalid"/>
    <x v="2"/>
    <x v="2"/>
    <s v="NA"/>
    <s v="29-09-24"/>
    <s v="05-10-24"/>
    <s v="September"/>
    <s v="2024"/>
    <s v="anomaly"/>
    <n v="6"/>
    <s v="Unique"/>
  </r>
  <r>
    <s v="ORD-2024-10820"/>
    <s v="07/31/2024"/>
    <s v="31-07-2024"/>
    <s v="CUST-7510"/>
    <s v="Karan Malhotra"/>
    <s v="Home Office"/>
    <x v="2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x v="3"/>
    <x v="1"/>
    <m/>
    <s v="ORD-2024-10820"/>
    <s v="invalid date"/>
    <s v="31-07-24"/>
    <s v="CUST-7510"/>
    <s v="Karan Malhotra"/>
    <s v="Home Office"/>
    <s v="South"/>
    <s v="Kerala"/>
    <s v="Kochi"/>
    <s v="Technology"/>
    <s v="Machines"/>
    <s v="Prime Machines 524"/>
    <s v="Standard Class"/>
    <s v="Invalid"/>
    <s v="invalid date"/>
    <n v="0"/>
    <x v="792"/>
    <x v="792"/>
    <n v="0.20800822419165294"/>
    <s v="invalid date"/>
    <s v="31-07-24"/>
    <s v="invalid date"/>
    <s v="invalid date"/>
    <s v="Invalid"/>
    <s v="invalid date"/>
    <s v="Unique"/>
  </r>
  <r>
    <s v="ORD-2025-10821"/>
    <s v="06-02-2025"/>
    <s v="10-02-2025"/>
    <s v="CUST-2041"/>
    <s v="Ananya Rao"/>
    <s v="Home Office"/>
    <x v="0"/>
    <s v="Uttar Pradesh"/>
    <s v="Noida"/>
    <s v="Furniture"/>
    <s v="Bookcases"/>
    <s v="Classic Bookcases 882"/>
    <s v="Standard Class"/>
    <n v="2"/>
    <n v="319.57"/>
    <n v="0.2"/>
    <n v="511.31"/>
    <n v="436.43"/>
    <n v="74.88"/>
    <x v="0"/>
    <x v="0"/>
    <m/>
    <s v="ORD-2025-10821"/>
    <s v="06-02-25"/>
    <s v="10-02-25"/>
    <s v="CUST-2041"/>
    <s v="Ananya Rao"/>
    <s v="Home Office"/>
    <s v="North"/>
    <s v="Uttar Pradesh"/>
    <s v="Noida"/>
    <s v="Furniture"/>
    <s v="Bookcases"/>
    <s v="Classic Bookcases 882"/>
    <s v="Standard Class"/>
    <s v="anomaly"/>
    <n v="4"/>
    <n v="0.2"/>
    <x v="793"/>
    <x v="793"/>
    <n v="0.14645069937728825"/>
    <s v="06-02-25"/>
    <s v="10-02-25"/>
    <s v="February"/>
    <s v="2025"/>
    <s v=" "/>
    <n v="4"/>
    <s v="Unique"/>
  </r>
  <r>
    <s v="ORD-2024-10822"/>
    <s v="2024-07-03"/>
    <s v="06-07-2024"/>
    <s v="CUST-4466"/>
    <s v="Aarav Sharma"/>
    <s v="Corporate"/>
    <x v="2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x v="0"/>
    <x v="0"/>
    <m/>
    <s v="ORD-2024-10822"/>
    <s v="03-07-24"/>
    <s v="06-07-24"/>
    <s v="CUST-4466"/>
    <s v="Aarav Sharma"/>
    <s v="Corporate"/>
    <s v="South"/>
    <s v="Karnataka"/>
    <s v="Bengaluru"/>
    <s v="Technology"/>
    <s v="Accessories"/>
    <s v="Classic Accessories 471"/>
    <s v="First Class"/>
    <s v="anomaly"/>
    <n v="3"/>
    <n v="0.2"/>
    <x v="794"/>
    <x v="794"/>
    <n v="0.16251269541376584"/>
    <s v="03-07-24"/>
    <s v="06-07-24"/>
    <s v="July"/>
    <s v="2024"/>
    <s v=" "/>
    <n v="3"/>
    <s v="Unique"/>
  </r>
  <r>
    <s v="ORD-2024-10823"/>
    <s v="10/12/2024"/>
    <s v="08 Oct 2024"/>
    <s v="CUST-3188"/>
    <s v="Mira Das"/>
    <s v="Corporate"/>
    <x v="1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x v="2"/>
    <x v="2"/>
    <m/>
    <s v="ORD-2024-10823"/>
    <s v="10-12-24"/>
    <s v="08-10-24"/>
    <s v="CUST-3188"/>
    <s v="Mira Das"/>
    <s v="Corporate"/>
    <s v="East"/>
    <s v="Assam"/>
    <s v="Guwahati"/>
    <s v="Furniture"/>
    <s v="Furnishings"/>
    <s v="Smart Furnishings 175"/>
    <s v="Second Class"/>
    <s v="  "/>
    <n v="-63"/>
    <n v="0.2"/>
    <x v="795"/>
    <x v="795"/>
    <n v="0.15733212264681268"/>
    <s v="10-12-24"/>
    <s v="08-10-24"/>
    <s v="December"/>
    <s v="2024"/>
    <s v="anomaly"/>
    <n v="-63"/>
    <s v="Unique"/>
  </r>
  <r>
    <s v="ORD-2025-10824"/>
    <s v="2025-01-06"/>
    <s v="12 Jan 2025"/>
    <s v="CUST-6638"/>
    <s v="Mira Das"/>
    <s v="Home Office"/>
    <x v="3"/>
    <s v="Goa"/>
    <s v="Panaji"/>
    <s v="Office Supplies"/>
    <s v="Paper"/>
    <s v="Basic Paper 899"/>
    <s v="Same Day"/>
    <n v="3"/>
    <n v="668.33"/>
    <n v="0.15"/>
    <n v="1704.24"/>
    <n v="957.55"/>
    <n v="746.69"/>
    <x v="0"/>
    <x v="0"/>
    <m/>
    <s v="ORD-2025-10824"/>
    <s v="06-01-25"/>
    <s v="12-01-25"/>
    <s v="CUST-6638"/>
    <s v="Mira Das"/>
    <s v="Home Office"/>
    <s v="West"/>
    <s v="Goa"/>
    <s v="Panaji"/>
    <s v="Office Supplies"/>
    <s v="Paper"/>
    <s v="Basic Paper 899"/>
    <s v="Same Day"/>
    <s v="anomaly"/>
    <n v="6"/>
    <n v="0.15"/>
    <x v="796"/>
    <x v="796"/>
    <n v="0.43813714194848563"/>
    <s v="06-01-25"/>
    <s v="12-01-25"/>
    <s v="January"/>
    <s v="2025"/>
    <s v=" "/>
    <n v="6"/>
    <s v="Unique"/>
  </r>
  <r>
    <s v="ORD-2025-10825"/>
    <s v="21-03-2025"/>
    <s v="22 Mar 2025"/>
    <s v="CUST-3540"/>
    <s v="Priya Menon"/>
    <s v="Consumer"/>
    <x v="3"/>
    <s v="Goa"/>
    <s v="Panaji"/>
    <s v="Office Supplies"/>
    <s v="Paper"/>
    <s v="Pro Paper 267"/>
    <s v="First Class"/>
    <n v="8"/>
    <n v="4436.74"/>
    <n v="0.05"/>
    <n v="33719.22"/>
    <n v="28924.43"/>
    <n v="4794.79"/>
    <x v="0"/>
    <x v="0"/>
    <m/>
    <s v="ORD-2025-10825"/>
    <s v="21-03-25"/>
    <s v="22-03-25"/>
    <s v="CUST-3540"/>
    <s v="Priya Menon"/>
    <s v="Consumer"/>
    <s v="West"/>
    <s v="Goa"/>
    <s v="Panaji"/>
    <s v="Office Supplies"/>
    <s v="Paper"/>
    <s v="Pro Paper 267"/>
    <s v="First Class"/>
    <s v="anomaly"/>
    <n v="1"/>
    <n v="0.05"/>
    <x v="797"/>
    <x v="797"/>
    <n v="0.14219763776295669"/>
    <s v="21-03-25"/>
    <s v="22-03-25"/>
    <s v="March"/>
    <s v="2025"/>
    <s v=" "/>
    <n v="1"/>
    <s v="Unique"/>
  </r>
  <r>
    <s v="ORD-2025-10826"/>
    <s v="16 Apr 2025"/>
    <s v="17-04-2025"/>
    <s v="CUST-3351"/>
    <s v="Vikram Iyer"/>
    <s v="Small Business"/>
    <x v="0"/>
    <s v="Uttar Pradesh"/>
    <s v="Noida"/>
    <s v="Technology"/>
    <s v="Machines"/>
    <s v="Basic Machines 832"/>
    <s v="First Class"/>
    <n v="1"/>
    <n v="2720.17"/>
    <n v="0"/>
    <n v="2720.17"/>
    <n v="1834.23"/>
    <n v="885.94"/>
    <x v="0"/>
    <x v="0"/>
    <m/>
    <s v="ORD-2025-10826"/>
    <s v="16-04-25"/>
    <s v="17-04-25"/>
    <s v="CUST-3351"/>
    <s v="Vikram Iyer"/>
    <s v="Small Business"/>
    <s v="North"/>
    <s v="Uttar Pradesh"/>
    <s v="Noida"/>
    <s v="Technology"/>
    <s v="Machines"/>
    <s v="Basic Machines 832"/>
    <s v="First Class"/>
    <s v="anomaly"/>
    <n v="1"/>
    <n v="0"/>
    <x v="798"/>
    <x v="798"/>
    <n v="0.3256928794891496"/>
    <s v="16-04-25"/>
    <s v="17-04-25"/>
    <s v="April"/>
    <s v="2025"/>
    <s v=" "/>
    <n v="1"/>
    <s v="Unique"/>
  </r>
  <r>
    <s v="ORD-2025-10827"/>
    <s v="2025-08-10"/>
    <s v="14 Aug 2025"/>
    <s v="CUST-4375"/>
    <s v="Aditi Sen"/>
    <s v="Consumer"/>
    <x v="3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x v="0"/>
    <x v="0"/>
    <m/>
    <s v="ORD-2025-10827"/>
    <s v="10-08-25"/>
    <s v="14-08-25"/>
    <s v="CUST-4375"/>
    <s v="Aditi Sen"/>
    <s v="Consumer"/>
    <s v="West"/>
    <s v="Rajasthan"/>
    <s v="Udaipur"/>
    <s v="Technology"/>
    <s v="Accessories"/>
    <s v="Elite Accessories 790"/>
    <s v="Standard Class"/>
    <s v="anomaly"/>
    <n v="4"/>
    <n v="0.25"/>
    <x v="799"/>
    <x v="799"/>
    <n v="0.32189418636860345"/>
    <s v="10-08-25"/>
    <s v="14-08-25"/>
    <s v="August"/>
    <s v="2025"/>
    <s v=" "/>
    <n v="4"/>
    <s v="Unique"/>
  </r>
  <r>
    <s v="ORD-2024-10828"/>
    <s v="24 Nov 2024"/>
    <s v="01-12-2024"/>
    <s v="CUST-5125"/>
    <s v="Priya Menon"/>
    <s v="Home Office"/>
    <x v="2"/>
    <s v="Tamil Nadu"/>
    <s v="Chennai"/>
    <s v="Office Supplies"/>
    <s v="Paper"/>
    <s v="Basic Paper 707"/>
    <s v="Same Day"/>
    <n v="1"/>
    <n v="844.89"/>
    <n v="0.25"/>
    <n v="633.66999999999996"/>
    <n v="520.47"/>
    <n v="113.2"/>
    <x v="0"/>
    <x v="1"/>
    <m/>
    <s v="ORD-2024-10828"/>
    <s v="24-11-24"/>
    <s v="01-12-24"/>
    <s v="CUST-5125"/>
    <s v="Priya Menon"/>
    <s v="Home Office"/>
    <s v="South"/>
    <s v="Tamil Nadu"/>
    <s v="Chennai"/>
    <s v="Office Supplies"/>
    <s v="Paper"/>
    <s v="Basic Paper 707"/>
    <s v="Same Day"/>
    <s v="  "/>
    <n v="7"/>
    <n v="0.25"/>
    <x v="800"/>
    <x v="800"/>
    <n v="0.17863863934950111"/>
    <s v="24-11-24"/>
    <s v="01-12-24"/>
    <s v="November"/>
    <s v="2024"/>
    <s v="anomaly"/>
    <n v="7"/>
    <s v="Unique"/>
  </r>
  <r>
    <s v="ORD-2025-10829"/>
    <s v="10/10/2025"/>
    <s v="11-10-2025"/>
    <s v="CUST-6010"/>
    <s v="Karan Malhotra"/>
    <s v="Corporate"/>
    <x v="1"/>
    <s v="Odisha"/>
    <s v="Bhubaneswar"/>
    <s v="Furniture"/>
    <s v="Chairs"/>
    <s v="Elite Chairs 979"/>
    <s v="Second Class"/>
    <n v="7"/>
    <n v="3791.96"/>
    <n v="0.05"/>
    <n v="25216.53"/>
    <n v="14216.94"/>
    <n v="10999.59"/>
    <x v="3"/>
    <x v="1"/>
    <m/>
    <s v="ORD-2025-10829"/>
    <s v="10-10-25"/>
    <s v="11-10-25"/>
    <s v="CUST-6010"/>
    <s v="Karan Malhotra"/>
    <s v="Corporate"/>
    <s v="East"/>
    <s v="Odisha"/>
    <s v="Bhubaneswar"/>
    <s v="Furniture"/>
    <s v="Chairs"/>
    <s v="Elite Chairs 979"/>
    <s v="Second Class"/>
    <s v="anomaly"/>
    <n v="1"/>
    <n v="0.05"/>
    <x v="801"/>
    <x v="801"/>
    <n v="0.4362056260388521"/>
    <s v="10-10-25"/>
    <s v="11-10-25"/>
    <s v="October"/>
    <s v="2025"/>
    <s v=" "/>
    <n v="1"/>
    <s v="Unique"/>
  </r>
  <r>
    <s v="ORD-2024-10830"/>
    <s v="02/26/2024"/>
    <s v="28-02-2024"/>
    <s v="CUST-9036"/>
    <s v="Aditi Sen"/>
    <s v="Small Business"/>
    <x v="3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x v="0"/>
    <x v="0"/>
    <m/>
    <s v="ORD-2024-10830"/>
    <s v="invalid date"/>
    <s v="28-02-24"/>
    <s v="CUST-9036"/>
    <s v="Aditi Sen"/>
    <s v="Small Business"/>
    <s v="West"/>
    <s v="Goa"/>
    <s v="Panaji"/>
    <s v="Furniture"/>
    <s v="Furnishings"/>
    <s v="Pro Furnishings 192"/>
    <s v="Second Class"/>
    <s v="Invalid"/>
    <s v="invalid date"/>
    <n v="0.1"/>
    <x v="802"/>
    <x v="802"/>
    <n v="0.30826012032418892"/>
    <s v="invalid date"/>
    <s v="28-02-24"/>
    <s v="invalid date"/>
    <s v="invalid date"/>
    <s v="Invalid"/>
    <s v="invalid date"/>
    <s v="Unique"/>
  </r>
  <r>
    <s v="ORD-2025-10831"/>
    <s v="15 Jul 2025"/>
    <s v="18-07-2025"/>
    <s v="CUST-7929"/>
    <s v="Aditi Sen"/>
    <s v="Small Business"/>
    <x v="4"/>
    <s v="Tamil Nadu"/>
    <s v="Chennai"/>
    <s v="Technology"/>
    <s v="Machines"/>
    <s v="Smart Machines 951"/>
    <s v="First Class"/>
    <n v="6"/>
    <n v="2382.88"/>
    <n v="0.1"/>
    <n v="12867.55"/>
    <n v="10068.94"/>
    <n v="2798.61"/>
    <x v="0"/>
    <x v="0"/>
    <m/>
    <s v="ORD-2025-10831"/>
    <s v="15-07-25"/>
    <s v="18-07-25"/>
    <s v="CUST-7929"/>
    <s v="Aditi Sen"/>
    <s v="Small Business"/>
    <s v="unknown"/>
    <s v="Tamil Nadu"/>
    <s v="Chennai"/>
    <s v="Technology"/>
    <s v="Machines"/>
    <s v="Smart Machines 951"/>
    <s v="First Class"/>
    <s v="anomaly"/>
    <n v="3"/>
    <n v="0.1"/>
    <x v="803"/>
    <x v="803"/>
    <n v="0.21749373929089236"/>
    <s v="15-07-25"/>
    <s v="18-07-25"/>
    <s v="July"/>
    <s v="2025"/>
    <s v=" "/>
    <n v="3"/>
    <s v="Unique"/>
  </r>
  <r>
    <s v="ORD-2025-10832"/>
    <s v="04/03/2025"/>
    <s v="03-04-2025"/>
    <s v="CUST-1106"/>
    <s v="Diya Patel"/>
    <s v="Home Office"/>
    <x v="4"/>
    <s v="Haryana"/>
    <s v="Gurugram"/>
    <s v="Furniture"/>
    <s v="Chairs"/>
    <s v="Smart Chairs 794"/>
    <s v="First Class"/>
    <n v="9"/>
    <n v="3462.7"/>
    <n v="0.15"/>
    <n v="26489.65"/>
    <n v="15818.46"/>
    <n v="10671.19"/>
    <x v="3"/>
    <x v="2"/>
    <m/>
    <s v="ORD-2025-10832"/>
    <s v="04-03-25"/>
    <s v="03-04-25"/>
    <s v="CUST-1106"/>
    <s v="Diya Patel"/>
    <s v="Home Office"/>
    <s v="unknown"/>
    <s v="Haryana"/>
    <s v="Gurugram"/>
    <s v="Furniture"/>
    <s v="Chairs"/>
    <s v="Smart Chairs 794"/>
    <s v="First Class"/>
    <s v="  "/>
    <n v="30"/>
    <n v="0.15"/>
    <x v="804"/>
    <x v="804"/>
    <n v="0.40284386489744772"/>
    <s v="04-03-25"/>
    <s v="03-04-25"/>
    <s v="March"/>
    <s v="2025"/>
    <s v="anomaly"/>
    <n v="30"/>
    <s v="Unique"/>
  </r>
  <r>
    <s v="ORD-2025-10833"/>
    <s v="26 May 2025"/>
    <s v="28-05-2025"/>
    <s v="CUST-9557"/>
    <s v="Kabir Singh"/>
    <s v="Small Business"/>
    <x v="2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x v="0"/>
    <x v="0"/>
    <m/>
    <s v="ORD-2025-10833"/>
    <s v="26-05-25"/>
    <s v="28-05-25"/>
    <s v="CUST-9557"/>
    <s v="Kabir Singh"/>
    <s v="Small Business"/>
    <s v="South"/>
    <s v="Andhra Pradesh"/>
    <s v="Vijayawada"/>
    <s v="Technology"/>
    <s v="Phones"/>
    <s v="Max Phones 919"/>
    <s v="Second Class"/>
    <s v="anomaly"/>
    <n v="2"/>
    <n v="0.05"/>
    <x v="805"/>
    <x v="805"/>
    <n v="0.29578002402298664"/>
    <s v="26-05-25"/>
    <s v="28-05-25"/>
    <s v="May"/>
    <s v="2025"/>
    <s v=" "/>
    <n v="2"/>
    <s v="Unique"/>
  </r>
  <r>
    <s v="ORD-2024-10834"/>
    <s v="2024-06-04"/>
    <s v="06/04/2024"/>
    <s v="CUST-2689"/>
    <s v="Rahul Verma"/>
    <s v="Home Office"/>
    <x v="1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x v="0"/>
    <x v="0"/>
    <m/>
    <s v="ORD-2024-10834"/>
    <s v="04-06-24"/>
    <s v="06-04-24"/>
    <s v="CUST-2689"/>
    <s v="Rahul Verma"/>
    <s v="Home Office"/>
    <s v="East"/>
    <s v="West Bengal"/>
    <s v="Kolkata"/>
    <s v="Furniture"/>
    <s v="Bookcases"/>
    <s v="Basic Bookcases 499"/>
    <s v="First Class"/>
    <s v="anomaly"/>
    <n v="-59"/>
    <n v="0"/>
    <x v="806"/>
    <x v="806"/>
    <n v="0.23575859624246723"/>
    <s v="04-06-24"/>
    <s v="06-04-24"/>
    <s v="June"/>
    <s v="2024"/>
    <s v=" "/>
    <n v="-59"/>
    <s v="Unique"/>
  </r>
  <r>
    <s v="ORD-2024-10835"/>
    <s v="18-10-2024"/>
    <s v="2024-10-22"/>
    <s v="CUST-2879"/>
    <s v="Aarav Sharma"/>
    <s v="Home Office"/>
    <x v="2"/>
    <s v="Telangana"/>
    <s v="Hyderabad"/>
    <s v="Office Supplies"/>
    <s v="Art"/>
    <s v="Basic Art 143"/>
    <s v="First Class"/>
    <n v="6"/>
    <n v="674.61"/>
    <n v="0"/>
    <n v="4047.66"/>
    <n v="3078.93"/>
    <n v="1279.79"/>
    <x v="0"/>
    <x v="0"/>
    <m/>
    <s v="ORD-2024-10835"/>
    <s v="18-10-24"/>
    <s v="22-10-24"/>
    <s v="CUST-2879"/>
    <s v="Aarav Sharma"/>
    <s v="Home Office"/>
    <s v="South"/>
    <s v="Telangana"/>
    <s v="Hyderabad"/>
    <s v="Office Supplies"/>
    <s v="Art"/>
    <s v="Basic Art 143"/>
    <s v="First Class"/>
    <s v="anomaly"/>
    <n v="4"/>
    <n v="0"/>
    <x v="807"/>
    <x v="807"/>
    <n v="0.23933087265234729"/>
    <s v="18-10-24"/>
    <s v="22-10-24"/>
    <s v="October"/>
    <s v="2024"/>
    <s v=" "/>
    <n v="4"/>
    <s v="Unique"/>
  </r>
  <r>
    <s v="ORD-2025-10836"/>
    <s v="09/26/2025"/>
    <s v="04-10-2025"/>
    <s v="CUST-5150"/>
    <s v="Priya Menon"/>
    <s v="Small Business"/>
    <x v="1"/>
    <s v="Assam"/>
    <s v="Guwahati"/>
    <s v="Technology"/>
    <s v="Phones"/>
    <s v="Prime Phones 338"/>
    <s v="Second Class"/>
    <n v="7"/>
    <n v="1509.59"/>
    <n v="0.05"/>
    <n v="10038.77"/>
    <n v="5673.1"/>
    <n v="4365.67"/>
    <x v="0"/>
    <x v="0"/>
    <m/>
    <s v="ORD-2025-10836"/>
    <s v="invalid date"/>
    <s v="04-10-25"/>
    <s v="CUST-5150"/>
    <s v="Priya Menon"/>
    <s v="Small Business"/>
    <s v="East"/>
    <s v="Assam"/>
    <s v="Guwahati"/>
    <s v="Technology"/>
    <s v="Phones"/>
    <s v="Prime Phones 338"/>
    <s v="Second Class"/>
    <s v="Invalid"/>
    <s v="invalid date"/>
    <n v="0.05"/>
    <x v="808"/>
    <x v="808"/>
    <n v="0.43488116352062323"/>
    <s v="invalid date"/>
    <s v="04-10-25"/>
    <s v="invalid date"/>
    <s v="invalid date"/>
    <s v="Invalid"/>
    <s v="invalid date"/>
    <s v="Unique"/>
  </r>
  <r>
    <s v="ORD-2024-10837"/>
    <s v="2024-12-15"/>
    <s v="2024-12-18"/>
    <s v="CUST-9776"/>
    <s v="Isha Nair"/>
    <s v="Small Business"/>
    <x v="0"/>
    <s v="Rajasthan"/>
    <s v="Jaipur"/>
    <s v="Office Supplies"/>
    <s v="Labels"/>
    <s v="Smart Labels 814"/>
    <s v="Second Class"/>
    <n v="2"/>
    <n v="537.11"/>
    <n v="0"/>
    <n v="1074.22"/>
    <n v="850.86"/>
    <n v="223.36"/>
    <x v="0"/>
    <x v="0"/>
    <m/>
    <s v="ORD-2024-10837"/>
    <s v="15-12-24"/>
    <s v="18-12-24"/>
    <s v="CUST-9776"/>
    <s v="Isha Nair"/>
    <s v="Small Business"/>
    <s v="North"/>
    <s v="Rajasthan"/>
    <s v="Jaipur"/>
    <s v="Office Supplies"/>
    <s v="Labels"/>
    <s v="Smart Labels 814"/>
    <s v="Second Class"/>
    <s v="anomaly"/>
    <n v="3"/>
    <n v="0"/>
    <x v="809"/>
    <x v="809"/>
    <n v="0.20792761259332354"/>
    <s v="15-12-24"/>
    <s v="18-12-24"/>
    <s v="December"/>
    <s v="2024"/>
    <s v=" "/>
    <n v="3"/>
    <s v="Unique"/>
  </r>
  <r>
    <s v="ORD-2025-10838"/>
    <s v="2025-09-27"/>
    <s v="09/28/2025"/>
    <s v="CUST-2551"/>
    <s v="Karan Malhotra"/>
    <s v="Home Office"/>
    <x v="3"/>
    <s v="Maharashtra"/>
    <s v="Mumbai"/>
    <s v="Office Supplies"/>
    <s v="Paper"/>
    <s v="Prime Paper 812"/>
    <s v="First Class"/>
    <n v="3"/>
    <n v="4177.63"/>
    <n v="0.25"/>
    <n v="9399.67"/>
    <n v="6540.37"/>
    <n v="2859.3"/>
    <x v="0"/>
    <x v="0"/>
    <m/>
    <s v="ORD-2025-10838"/>
    <s v="27-09-25"/>
    <s v="invalid date"/>
    <s v="CUST-2551"/>
    <s v="Karan Malhotra"/>
    <s v="Home Office"/>
    <s v="West"/>
    <s v="Maharashtra"/>
    <s v="Mumbai"/>
    <s v="Office Supplies"/>
    <s v="Paper"/>
    <s v="Prime Paper 812"/>
    <s v="First Class"/>
    <s v="Invalid"/>
    <s v="invalid date"/>
    <n v="0.25"/>
    <x v="810"/>
    <x v="810"/>
    <n v="0.30419134506619516"/>
    <s v="27-09-25"/>
    <s v="invalid date"/>
    <s v="September"/>
    <s v="2025"/>
    <s v="Invalid"/>
    <s v="invalid date"/>
    <s v="Unique"/>
  </r>
  <r>
    <s v="ORD-2025-10839"/>
    <s v="04/03/2025"/>
    <s v="07 Apr 2025"/>
    <s v="CUST-4708"/>
    <s v="Ananya Rao"/>
    <s v="Small Business"/>
    <x v="3"/>
    <s v="Goa"/>
    <s v="Panaji"/>
    <s v="Office Supplies"/>
    <s v="Paper"/>
    <s v="Pro Paper 355"/>
    <s v="Same Day"/>
    <n v="1"/>
    <n v="1470.57"/>
    <n v="0"/>
    <n v="1470.57"/>
    <n v="834.02"/>
    <n v="636.54999999999995"/>
    <x v="0"/>
    <x v="2"/>
    <m/>
    <s v="ORD-2025-10839"/>
    <s v="04-03-25"/>
    <s v="07-04-25"/>
    <s v="CUST-4708"/>
    <s v="Ananya Rao"/>
    <s v="Small Business"/>
    <s v="West"/>
    <s v="Goa"/>
    <s v="Panaji"/>
    <s v="Office Supplies"/>
    <s v="Paper"/>
    <s v="Pro Paper 355"/>
    <s v="Same Day"/>
    <s v="anomaly"/>
    <n v="34"/>
    <n v="0"/>
    <x v="811"/>
    <x v="811"/>
    <n v="0.43285936745615644"/>
    <s v="04-03-25"/>
    <s v="07-04-25"/>
    <s v="March"/>
    <s v="2025"/>
    <s v=" "/>
    <n v="34"/>
    <s v="Unique"/>
  </r>
  <r>
    <s v="ORD-2024-10840"/>
    <s v="09/20/2024"/>
    <s v="22-09-2024"/>
    <s v="CUST-8206"/>
    <s v="Rohan Mehta"/>
    <s v="Home Office"/>
    <x v="1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x v="0"/>
    <x v="0"/>
    <m/>
    <s v="ORD-2024-10840"/>
    <s v="invalid date"/>
    <s v="22-09-24"/>
    <s v="CUST-8206"/>
    <s v="Rohan Mehta"/>
    <s v="Home Office"/>
    <s v="East"/>
    <s v="Odisha"/>
    <s v="Bhubaneswar"/>
    <s v="Technology"/>
    <s v="Phones"/>
    <s v="Basic Phones 398"/>
    <s v="Standard Class"/>
    <s v="Invalid"/>
    <s v="invalid date"/>
    <n v="0.1"/>
    <x v="812"/>
    <x v="812"/>
    <n v="0.42656814841298218"/>
    <s v="invalid date"/>
    <s v="22-09-24"/>
    <s v="invalid date"/>
    <s v="invalid date"/>
    <s v="Invalid"/>
    <s v="invalid date"/>
    <s v="Unique"/>
  </r>
  <r>
    <s v="ORD-2025-10841"/>
    <s v="2025-09-19"/>
    <s v="19-09-2025"/>
    <s v="CUST-1297"/>
    <s v="Neha Gupta"/>
    <s v="Home Office"/>
    <x v="0"/>
    <s v="Delhi"/>
    <s v="New Delhi"/>
    <s v="Furniture"/>
    <s v="Chairs"/>
    <s v="Classic Chairs 204"/>
    <s v="Same Day"/>
    <n v="4"/>
    <n v="1584.11"/>
    <n v="0"/>
    <n v="6336.44"/>
    <n v="4680.68"/>
    <n v="1655.76"/>
    <x v="0"/>
    <x v="0"/>
    <m/>
    <s v="ORD-2025-10841"/>
    <s v="19-09-25"/>
    <s v="19-09-25"/>
    <s v="CUST-1297"/>
    <s v="Neha Gupta"/>
    <s v="Home Office"/>
    <s v="North"/>
    <s v="Delhi"/>
    <s v="New Delhi"/>
    <s v="Furniture"/>
    <s v="Chairs"/>
    <s v="Classic Chairs 204"/>
    <s v="Same Day"/>
    <s v="  "/>
    <n v="0"/>
    <n v="0"/>
    <x v="813"/>
    <x v="813"/>
    <n v="0.26130761121386764"/>
    <s v="19-09-25"/>
    <s v="19-09-25"/>
    <s v="September"/>
    <s v="2025"/>
    <s v=" "/>
    <n v="0"/>
    <s v="Unique"/>
  </r>
  <r>
    <s v="ORD-2025-10842"/>
    <s v="2025-02-06"/>
    <s v="12 Feb 2025"/>
    <s v="CUST-7558"/>
    <s v="Ananya Rao"/>
    <s v="Small Business"/>
    <x v="1"/>
    <s v="Bihar"/>
    <s v="Patna"/>
    <s v="Office Supplies"/>
    <s v="Art"/>
    <s v="Max Art 339"/>
    <s v="Standard Class"/>
    <n v="9"/>
    <n v="3237.16"/>
    <n v="0.25"/>
    <n v="21850.83"/>
    <n v="16600.13"/>
    <n v="5250.7"/>
    <x v="0"/>
    <x v="0"/>
    <m/>
    <s v="ORD-2025-10842"/>
    <s v="06-02-25"/>
    <s v="12-02-25"/>
    <s v="CUST-7558"/>
    <s v="Ananya Rao"/>
    <s v="Small Business"/>
    <s v="East"/>
    <s v="Bihar"/>
    <s v="Patna"/>
    <s v="Office Supplies"/>
    <s v="Art"/>
    <s v="Max Art 339"/>
    <s v="Standard Class"/>
    <s v="anomaly"/>
    <n v="6"/>
    <n v="0.25"/>
    <x v="814"/>
    <x v="814"/>
    <n v="0.2402975081495759"/>
    <s v="06-02-25"/>
    <s v="12-02-25"/>
    <s v="February"/>
    <s v="2025"/>
    <s v=" "/>
    <n v="6"/>
    <s v="Unique"/>
  </r>
  <r>
    <s v="ORD-2024-10843"/>
    <s v="31-03-2024"/>
    <s v="03/30/2024"/>
    <s v="CUST-1798"/>
    <s v="Kabir Singh"/>
    <s v="Consumer"/>
    <x v="0"/>
    <s v="Haryana"/>
    <s v="Gurugram"/>
    <s v="Technology"/>
    <s v="Machines"/>
    <s v="Smart Machines 581"/>
    <s v="First Class"/>
    <n v="4"/>
    <n v="2192.08"/>
    <n v="0.15"/>
    <n v="7453.07"/>
    <n v="5133.78"/>
    <n v="2319.29"/>
    <x v="0"/>
    <x v="2"/>
    <m/>
    <s v="ORD-2024-10843"/>
    <s v="31-03-24"/>
    <s v="invalid date"/>
    <s v="CUST-1798"/>
    <s v="Kabir Singh"/>
    <s v="Consumer"/>
    <s v="North"/>
    <s v="Haryana"/>
    <s v="Gurugram"/>
    <s v="Technology"/>
    <s v="Machines"/>
    <s v="Smart Machines 581"/>
    <s v="First Class"/>
    <s v="Invalid"/>
    <s v="invalid date"/>
    <n v="0.15"/>
    <x v="815"/>
    <x v="815"/>
    <n v="0.31118604516365866"/>
    <s v="31-03-24"/>
    <s v="invalid date"/>
    <s v="March"/>
    <s v="2024"/>
    <s v="Invalid"/>
    <s v="invalid date"/>
    <s v="Unique"/>
  </r>
  <r>
    <s v="ORD-2025-10844"/>
    <s v="18 Jul 2025"/>
    <s v="25 Jul 2025"/>
    <s v="CUST-7333"/>
    <s v="Priya Menon"/>
    <s v="Small Business"/>
    <x v="0"/>
    <s v="Uttar Pradesh"/>
    <s v="Noida"/>
    <s v="Technology"/>
    <s v="Phones"/>
    <s v="Prime Phones 482"/>
    <s v="First Class"/>
    <n v="9"/>
    <n v="3989.52"/>
    <s v="invalid"/>
    <n v="35905.68"/>
    <n v="23916.1"/>
    <n v="11989.58"/>
    <x v="0"/>
    <x v="0"/>
    <m/>
    <s v="ORD-2025-10844"/>
    <s v="18-07-25"/>
    <s v="25-07-25"/>
    <s v="CUST-7333"/>
    <s v="Priya Menon"/>
    <s v="Small Business"/>
    <s v="North"/>
    <s v="Uttar Pradesh"/>
    <s v="Noida"/>
    <s v="Technology"/>
    <s v="Phones"/>
    <s v="Prime Phones 482"/>
    <s v="First Class"/>
    <s v="anomaly"/>
    <n v="7"/>
    <s v="invalid"/>
    <x v="2"/>
    <x v="2"/>
    <s v="NA"/>
    <s v="18-07-25"/>
    <s v="25-07-25"/>
    <s v="July"/>
    <s v="2025"/>
    <s v=" "/>
    <n v="7"/>
    <s v="Unique"/>
  </r>
  <r>
    <s v="ORD-2025-10845"/>
    <s v="20-01-2025"/>
    <s v="25-01-2025"/>
    <s v="CUST-2086"/>
    <s v="Aditi Sen"/>
    <s v="Home Office"/>
    <x v="3"/>
    <s v="Goa"/>
    <s v="Panaji"/>
    <s v="Office Supplies"/>
    <s v="Art"/>
    <s v="Pro Art 588"/>
    <s v="First Class"/>
    <n v="1"/>
    <n v="3515.15"/>
    <n v="0"/>
    <n v="3515.15"/>
    <n v="2216.34"/>
    <n v="1298.81"/>
    <x v="0"/>
    <x v="0"/>
    <m/>
    <s v="ORD-2025-10845"/>
    <s v="20-01-25"/>
    <s v="25-01-25"/>
    <s v="CUST-2086"/>
    <s v="Aditi Sen"/>
    <s v="Home Office"/>
    <s v="West"/>
    <s v="Goa"/>
    <s v="Panaji"/>
    <s v="Office Supplies"/>
    <s v="Art"/>
    <s v="Pro Art 588"/>
    <s v="First Class"/>
    <s v="anomaly"/>
    <n v="5"/>
    <n v="0"/>
    <x v="816"/>
    <x v="816"/>
    <n v="0.36948921098672882"/>
    <s v="20-01-25"/>
    <s v="25-01-25"/>
    <s v="January"/>
    <s v="2025"/>
    <s v=" "/>
    <n v="5"/>
    <s v="Unique"/>
  </r>
  <r>
    <s v="ORD-2024-10846"/>
    <s v="23-02-2024"/>
    <s v="27 Feb 2024"/>
    <s v="CUST-2367"/>
    <s v="Karan Malhotra"/>
    <s v="Consumer"/>
    <x v="1"/>
    <s v="Odisha"/>
    <s v="Bhubaneswar"/>
    <s v="Furniture"/>
    <s v="Tables"/>
    <s v="Eco Tables 792"/>
    <s v="First Class"/>
    <n v="9"/>
    <n v="3616.23"/>
    <n v="0.25"/>
    <n v="24409.55"/>
    <n v="17157.580000000002"/>
    <n v="7251.97"/>
    <x v="2"/>
    <x v="2"/>
    <m/>
    <s v="ORD-2024-10846"/>
    <s v="23-02-24"/>
    <s v="27-02-24"/>
    <s v="CUST-2367"/>
    <s v="Karan Malhotra"/>
    <s v="Consumer"/>
    <s v="East"/>
    <s v="Odisha"/>
    <s v="Bhubaneswar"/>
    <s v="Furniture"/>
    <s v="Tables"/>
    <s v="Eco Tables 792"/>
    <s v="First Class"/>
    <s v="anomaly"/>
    <n v="4"/>
    <n v="0.25"/>
    <x v="817"/>
    <x v="817"/>
    <n v="0.29709567596538267"/>
    <s v="23-02-24"/>
    <s v="27-02-24"/>
    <s v="February"/>
    <s v="2024"/>
    <s v=" "/>
    <n v="4"/>
    <s v="Unique"/>
  </r>
  <r>
    <s v="ORD-2024-10847"/>
    <s v="2024-04-14"/>
    <s v="2024-04-22"/>
    <s v="CUST-6522"/>
    <s v="Priya Menon"/>
    <s v="Small Business"/>
    <x v="3"/>
    <s v="Gujarat"/>
    <s v="Ahmedabad"/>
    <s v="Furniture"/>
    <s v="Bookcases"/>
    <s v="Prime Bookcases 177"/>
    <s v="Standard Class"/>
    <n v="2"/>
    <n v="3977.52"/>
    <n v="0"/>
    <n v="7955.04"/>
    <n v="5580.68"/>
    <n v="2374.36"/>
    <x v="2"/>
    <x v="2"/>
    <m/>
    <s v="ORD-2024-10847"/>
    <s v="14-04-24"/>
    <s v="22-04-24"/>
    <s v="CUST-6522"/>
    <s v="Priya Menon"/>
    <s v="Small Business"/>
    <s v="West"/>
    <s v="Gujarat"/>
    <s v="Ahmedabad"/>
    <s v="Furniture"/>
    <s v="Bookcases"/>
    <s v="Prime Bookcases 177"/>
    <s v="Standard Class"/>
    <s v="anomaly"/>
    <n v="8"/>
    <n v="0"/>
    <x v="818"/>
    <x v="818"/>
    <n v="0.29847241497214339"/>
    <s v="14-04-24"/>
    <s v="22-04-24"/>
    <s v="April"/>
    <s v="2024"/>
    <s v=" "/>
    <n v="8"/>
    <s v="Unique"/>
  </r>
  <r>
    <s v="ORD-2025-10848"/>
    <s v="2025-05-20"/>
    <s v="05/22/2025"/>
    <s v="CUST-8329"/>
    <s v="Diya Patel"/>
    <s v="Home Office"/>
    <x v="1"/>
    <s v="Odisha"/>
    <s v="Bhubaneswar"/>
    <s v="Furniture"/>
    <s v="Tables"/>
    <s v="Pro Tables 828"/>
    <s v="Second Class"/>
    <n v="2"/>
    <n v="210.08"/>
    <n v="0.2"/>
    <n v="336.13"/>
    <n v="242.19"/>
    <n v="93.94"/>
    <x v="0"/>
    <x v="0"/>
    <m/>
    <s v="ORD-2025-10848"/>
    <s v="20-05-25"/>
    <s v="invalid date"/>
    <s v="CUST-8329"/>
    <s v="Diya Patel"/>
    <s v="Home Office"/>
    <s v="East"/>
    <s v="Odisha"/>
    <s v="Bhubaneswar"/>
    <s v="Furniture"/>
    <s v="Tables"/>
    <s v="Pro Tables 828"/>
    <s v="Second Class"/>
    <s v="Invalid"/>
    <s v="invalid date"/>
    <n v="0.2"/>
    <x v="819"/>
    <x v="819"/>
    <n v="0.27947091584158423"/>
    <s v="20-05-25"/>
    <s v="invalid date"/>
    <s v="May"/>
    <s v="2025"/>
    <s v="Invalid"/>
    <s v="invalid date"/>
    <s v="Unique"/>
  </r>
  <r>
    <s v="ORD-2025-10849"/>
    <s v="27-05-2025"/>
    <s v="29 May 2025"/>
    <s v="CUST-4426"/>
    <s v="Rahul Verma"/>
    <s v="Home Office"/>
    <x v="2"/>
    <s v="Tamil Nadu"/>
    <s v="Chennai"/>
    <s v="Furniture"/>
    <s v="Furnishings"/>
    <s v="Elite Furnishings 480"/>
    <s v="Second Class"/>
    <n v="1"/>
    <n v="1744.35"/>
    <n v="0.25"/>
    <n v="1308.26"/>
    <n v="1083.56"/>
    <n v="224.7"/>
    <x v="0"/>
    <x v="0"/>
    <m/>
    <s v="ORD-2025-10849"/>
    <s v="27-05-25"/>
    <s v="29-05-25"/>
    <s v="CUST-4426"/>
    <s v="Rahul Verma"/>
    <s v="Home Office"/>
    <s v="South"/>
    <s v="Tamil Nadu"/>
    <s v="Chennai"/>
    <s v="Furniture"/>
    <s v="Furnishings"/>
    <s v="Elite Furnishings 480"/>
    <s v="Second Class"/>
    <s v="anomaly"/>
    <n v="2"/>
    <n v="0.25"/>
    <x v="820"/>
    <x v="820"/>
    <n v="0.17175643267310645"/>
    <s v="27-05-25"/>
    <s v="29-05-25"/>
    <s v="May"/>
    <s v="2025"/>
    <s v=" "/>
    <n v="2"/>
    <s v="Unique"/>
  </r>
  <r>
    <s v="ORD-2024-10850"/>
    <s v="2024-03-06"/>
    <s v="12-03-2024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n v="1631.11"/>
    <n v="898.73"/>
    <n v="396.58"/>
    <x v="0"/>
    <x v="0"/>
    <m/>
    <s v="ORD-2024-10850"/>
    <s v="06-03-24"/>
    <s v="12-03-24"/>
    <s v="CUST-3360"/>
    <s v="Isha Nair"/>
    <s v="Home Office"/>
    <s v="West"/>
    <s v="Gujarat"/>
    <s v="Ahmedabad"/>
    <s v="Furniture"/>
    <s v="Bookcases"/>
    <s v="Prime Bookcases 755"/>
    <s v="Standard Class"/>
    <s v="anomaly"/>
    <n v="6"/>
    <n v="0.2"/>
    <x v="821"/>
    <x v="821"/>
    <n v="0.44900779345624336"/>
    <s v="06-03-24"/>
    <s v="12-03-24"/>
    <s v="March"/>
    <s v="2024"/>
    <s v=" "/>
    <n v="6"/>
    <s v="Unique"/>
  </r>
  <r>
    <s v="ORD-2024-10851"/>
    <s v="30-06-2024"/>
    <s v="2024-07-03"/>
    <s v="CUST-2623"/>
    <s v="Priya Menon"/>
    <s v="Home Office"/>
    <x v="1"/>
    <s v="West Bengal"/>
    <s v="Kolkata"/>
    <s v="Office Supplies"/>
    <s v="Paper"/>
    <s v="Prime Paper 317"/>
    <s v="First Class"/>
    <n v="6"/>
    <n v="1211.01"/>
    <n v="0"/>
    <n v="7266.06"/>
    <n v="6216.89"/>
    <n v="1049.17"/>
    <x v="0"/>
    <x v="0"/>
    <m/>
    <s v="ORD-2024-10851"/>
    <s v="30-06-24"/>
    <s v="03-07-24"/>
    <s v="CUST-2623"/>
    <s v="Priya Menon"/>
    <s v="Home Office"/>
    <s v="East"/>
    <s v="West Bengal"/>
    <s v="Kolkata"/>
    <s v="Office Supplies"/>
    <s v="Paper"/>
    <s v="Prime Paper 317"/>
    <s v="First Class"/>
    <s v="  "/>
    <n v="3"/>
    <n v="0"/>
    <x v="822"/>
    <x v="822"/>
    <n v="0.14439324750965438"/>
    <s v="30-06-24"/>
    <s v="03-07-24"/>
    <s v="June"/>
    <s v="2024"/>
    <s v="anomaly"/>
    <n v="3"/>
    <s v="Unique"/>
  </r>
  <r>
    <s v="ORD-2024-10852"/>
    <s v="2024-03-26"/>
    <s v="01 Apr 2024"/>
    <s v="CUST-3175"/>
    <s v="Karan Malhotra"/>
    <s v="Small Business"/>
    <x v="3"/>
    <s v="Gujarat"/>
    <s v="Ahmedabad"/>
    <s v="Technology"/>
    <s v="Accessories"/>
    <s v="Classic Accessories 933"/>
    <s v="First Class"/>
    <n v="2"/>
    <n v="1161.3"/>
    <n v="0.2"/>
    <n v="1858.08"/>
    <n v="1590.75"/>
    <n v="267.33"/>
    <x v="0"/>
    <x v="0"/>
    <m/>
    <s v="ORD-2024-10852"/>
    <s v="26-03-24"/>
    <s v="01-04-24"/>
    <s v="CUST-3175"/>
    <s v="Karan Malhotra"/>
    <s v="Small Business"/>
    <s v="West"/>
    <s v="Gujarat"/>
    <s v="Ahmedabad"/>
    <s v="Technology"/>
    <s v="Accessories"/>
    <s v="Classic Accessories 933"/>
    <s v="First Class"/>
    <s v="  "/>
    <n v="6"/>
    <n v="0.2"/>
    <x v="823"/>
    <x v="823"/>
    <n v="0.14387432188065097"/>
    <s v="26-03-24"/>
    <s v="01-04-24"/>
    <s v="March"/>
    <s v="2024"/>
    <s v="anomaly"/>
    <n v="6"/>
    <s v="Unique"/>
  </r>
  <r>
    <s v="ORD-2024-10853"/>
    <s v="01-04-2024"/>
    <s v="08-04-2024"/>
    <s v="CUST-9630"/>
    <s v="Ananya Rao"/>
    <s v="Consumer"/>
    <x v="1"/>
    <s v="Assam"/>
    <s v="Guwahati"/>
    <s v="Furniture"/>
    <s v="Tables"/>
    <s v="Smart Tables 513"/>
    <s v="Second Class"/>
    <n v="7"/>
    <n v="4205.3500000000004"/>
    <n v="0.15"/>
    <n v="25021.83"/>
    <n v="15544.44"/>
    <n v="9477.39"/>
    <x v="2"/>
    <x v="1"/>
    <m/>
    <s v="ORD-2024-10853"/>
    <s v="01-04-24"/>
    <s v="08-04-24"/>
    <s v="CUST-9630"/>
    <s v="Ananya Rao"/>
    <s v="Consumer"/>
    <s v="East"/>
    <s v="Assam"/>
    <s v="Guwahati"/>
    <s v="Furniture"/>
    <s v="Tables"/>
    <s v="Smart Tables 513"/>
    <s v="Second Class"/>
    <s v="anomaly"/>
    <n v="7"/>
    <n v="0.15"/>
    <x v="824"/>
    <x v="824"/>
    <n v="0.37876492459135447"/>
    <s v="01-04-24"/>
    <s v="08-04-24"/>
    <s v="April"/>
    <s v="2024"/>
    <s v=" "/>
    <n v="7"/>
    <s v="Unique"/>
  </r>
  <r>
    <s v="ORD-2025-10854"/>
    <s v="2025-05-16"/>
    <s v="05/22/2025"/>
    <s v="CUST-8274"/>
    <s v="Arjun Bose"/>
    <s v="Corporate"/>
    <x v="2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x v="0"/>
    <x v="0"/>
    <m/>
    <s v="ORD-2025-10854"/>
    <s v="16-05-25"/>
    <s v="invalid date"/>
    <s v="CUST-8274"/>
    <s v="Arjun Bose"/>
    <s v="Corporate"/>
    <s v="South"/>
    <s v="Tamil Nadu"/>
    <s v="Chennai"/>
    <s v="Technology"/>
    <s v="Accessories"/>
    <s v="Elite Accessories 708"/>
    <s v="Same Day"/>
    <s v="Invalid"/>
    <s v="invalid date"/>
    <n v="0.2"/>
    <x v="825"/>
    <x v="825"/>
    <n v="0.16046212055881334"/>
    <s v="16-05-25"/>
    <s v="invalid date"/>
    <s v="May"/>
    <s v="2025"/>
    <s v="Invalid"/>
    <s v="invalid date"/>
    <s v="Unique"/>
  </r>
  <r>
    <s v="ORD-2025-10855"/>
    <s v="03/25/2025"/>
    <s v="04/02/2025"/>
    <s v="CUST-2514"/>
    <s v="Priya Menon"/>
    <s v="Consumer"/>
    <x v="2"/>
    <s v="Karnataka"/>
    <s v="Bengaluru"/>
    <s v="Furniture"/>
    <s v="Bookcases"/>
    <s v="Max Bookcases 381"/>
    <s v="Second Class"/>
    <n v="4"/>
    <n v="2233.64"/>
    <n v="0.05"/>
    <n v="8487.83"/>
    <n v="5245.72"/>
    <n v="3242.11"/>
    <x v="0"/>
    <x v="0"/>
    <m/>
    <s v="ORD-2025-10855"/>
    <s v="invalid date"/>
    <s v="04-02-25"/>
    <s v="CUST-2514"/>
    <s v="Priya Menon"/>
    <s v="Consumer"/>
    <s v="South"/>
    <s v="Karnataka"/>
    <s v="Bengaluru"/>
    <s v="Furniture"/>
    <s v="Bookcases"/>
    <s v="Max Bookcases 381"/>
    <s v="Second Class"/>
    <s v="Invalid"/>
    <s v="invalid date"/>
    <n v="0.05"/>
    <x v="826"/>
    <x v="826"/>
    <n v="0.38197174496384928"/>
    <s v="invalid date"/>
    <s v="04-02-25"/>
    <s v="invalid date"/>
    <s v="invalid date"/>
    <s v="Invalid"/>
    <s v="invalid date"/>
    <s v="Unique"/>
  </r>
  <r>
    <s v="ORD-2024-10856"/>
    <s v="25-07-2024"/>
    <s v="02 Aug 2024"/>
    <s v="CUST-2752"/>
    <s v="Rahul Verma"/>
    <s v="Consumer"/>
    <x v="0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x v="0"/>
    <x v="0"/>
    <m/>
    <s v="ORD-2024-10856"/>
    <s v="25-07-24"/>
    <s v="02-08-24"/>
    <s v="CUST-2752"/>
    <s v="Rahul Verma"/>
    <s v="Consumer"/>
    <s v="North"/>
    <s v="Rajasthan"/>
    <s v="Jaipur"/>
    <s v="Office Supplies"/>
    <s v="Labels"/>
    <s v="Classic Labels 215"/>
    <s v="Second Class"/>
    <s v="  "/>
    <n v="8"/>
    <n v="0.25"/>
    <x v="827"/>
    <x v="827"/>
    <n v="0.32449172827657824"/>
    <s v="25-07-24"/>
    <s v="02-08-24"/>
    <s v="July"/>
    <s v="2024"/>
    <s v="anomaly"/>
    <n v="8"/>
    <s v="Unique"/>
  </r>
  <r>
    <s v="ORD-2024-10857"/>
    <s v="2024-06-12"/>
    <s v="19 Jun 2024"/>
    <s v="CUST-5647"/>
    <s v="Rohan Mehta"/>
    <s v="Home Office"/>
    <x v="2"/>
    <s v="Tamil Nadu"/>
    <s v="Chennai"/>
    <s v="Office Supplies"/>
    <s v="Storage"/>
    <s v="Classic Storage 918"/>
    <s v="Standard Class"/>
    <n v="4"/>
    <n v="395.1"/>
    <s v="invalid"/>
    <n v="1185.3"/>
    <n v="966.55"/>
    <n v="218.75"/>
    <x v="3"/>
    <x v="1"/>
    <m/>
    <s v="ORD-2024-10857"/>
    <s v="12-06-24"/>
    <s v="19-06-24"/>
    <s v="CUST-5647"/>
    <s v="Rohan Mehta"/>
    <s v="Home Office"/>
    <s v="South"/>
    <s v="Tamil Nadu"/>
    <s v="Chennai"/>
    <s v="Office Supplies"/>
    <s v="Storage"/>
    <s v="Classic Storage 918"/>
    <s v="Standard Class"/>
    <s v="anomaly"/>
    <n v="7"/>
    <s v="invalid"/>
    <x v="2"/>
    <x v="2"/>
    <s v="NA"/>
    <s v="12-06-24"/>
    <s v="19-06-24"/>
    <s v="June"/>
    <s v="2024"/>
    <s v=" "/>
    <n v="7"/>
    <s v="Unique"/>
  </r>
  <r>
    <s v="ORD-2024-10858"/>
    <s v="04 Jun 2024"/>
    <s v="04-06-2024"/>
    <s v="CUST-8575"/>
    <s v="Sneha Kapoor"/>
    <s v="Home Office"/>
    <x v="2"/>
    <s v="Kerala"/>
    <s v="Kochi"/>
    <s v="Office Supplies"/>
    <s v="Storage"/>
    <s v="Max Storage 223"/>
    <s v="First Class"/>
    <n v="6"/>
    <n v="2708.97"/>
    <n v="0.25"/>
    <n v="12190.36"/>
    <n v="10176.99"/>
    <n v="2013.37"/>
    <x v="0"/>
    <x v="0"/>
    <m/>
    <s v="ORD-2024-10858"/>
    <s v="04-06-24"/>
    <s v="04-06-24"/>
    <s v="CUST-8575"/>
    <s v="Sneha Kapoor"/>
    <s v="Home Office"/>
    <s v="South"/>
    <s v="Kerala"/>
    <s v="Kochi"/>
    <s v="Office Supplies"/>
    <s v="Storage"/>
    <s v="Max Storage 223"/>
    <s v="First Class"/>
    <s v="  "/>
    <n v="0"/>
    <n v="0.25"/>
    <x v="828"/>
    <x v="828"/>
    <n v="0.16516117441930575"/>
    <s v="04-06-24"/>
    <s v="04-06-24"/>
    <s v="June"/>
    <s v="2024"/>
    <s v=" "/>
    <n v="0"/>
    <s v="Unique"/>
  </r>
  <r>
    <s v="ORD-2024-10859"/>
    <s v="05/02/2024"/>
    <s v="09 May 2024"/>
    <s v="CUST-9576"/>
    <s v="Arjun Bose"/>
    <s v="Consumer"/>
    <x v="1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x v="0"/>
    <x v="0"/>
    <m/>
    <s v="ORD-2024-10859"/>
    <s v="05-02-24"/>
    <s v="09-05-24"/>
    <s v="CUST-9576"/>
    <s v="Arjun Bose"/>
    <s v="Consumer"/>
    <s v="East"/>
    <s v="Odisha"/>
    <s v="Bhubaneswar"/>
    <s v="Technology"/>
    <s v="Accessories"/>
    <s v="Basic Accessories 602"/>
    <s v="Second Class"/>
    <s v="anomaly"/>
    <n v="94"/>
    <n v="0"/>
    <x v="829"/>
    <x v="829"/>
    <n v="0.3816982574031107"/>
    <s v="05-02-24"/>
    <s v="09-05-24"/>
    <s v="February"/>
    <s v="2024"/>
    <s v=" "/>
    <n v="94"/>
    <s v="Unique"/>
  </r>
  <r>
    <s v="ORD-2024-10860"/>
    <s v="10/27/2024"/>
    <s v="2024-11-01"/>
    <s v="CUST-2395"/>
    <s v="Aditi Sen"/>
    <s v="Corporate"/>
    <x v="2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x v="0"/>
    <x v="0"/>
    <m/>
    <s v="ORD-2024-10860"/>
    <s v="invalid date"/>
    <s v="01-11-24"/>
    <s v="CUST-2395"/>
    <s v="Aditi Sen"/>
    <s v="Corporate"/>
    <s v="South"/>
    <s v="Tamil Nadu"/>
    <s v="Chennai"/>
    <s v="Technology"/>
    <s v="Phones"/>
    <s v="Elite Phones 394"/>
    <s v="Standard Class"/>
    <s v="Invalid"/>
    <s v="invalid date"/>
    <n v="0.05"/>
    <x v="830"/>
    <x v="830"/>
    <n v="0.35064987892535471"/>
    <s v="invalid date"/>
    <s v="01-11-24"/>
    <s v="invalid date"/>
    <s v="invalid date"/>
    <s v="Invalid"/>
    <s v="invalid date"/>
    <s v="Unique"/>
  </r>
  <r>
    <s v="ORD-2024-10861"/>
    <s v="02 Feb 2024"/>
    <s v="04 Feb 2024"/>
    <s v="CUST-8941"/>
    <s v="Vikram Iyer"/>
    <s v="Home Office"/>
    <x v="0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x v="0"/>
    <x v="0"/>
    <m/>
    <s v="ORD-2024-10861"/>
    <s v="02-02-24"/>
    <s v="04-02-24"/>
    <s v="CUST-8941"/>
    <s v="Vikram Iyer"/>
    <s v="Home Office"/>
    <s v="North"/>
    <s v="Uttar Pradesh"/>
    <s v="Noida"/>
    <s v="Office Supplies"/>
    <s v="Storage"/>
    <s v="Classic Storage 194"/>
    <s v="Second Class"/>
    <s v="anomaly"/>
    <n v="2"/>
    <n v="0.05"/>
    <x v="831"/>
    <x v="831"/>
    <n v="0.44954510570313877"/>
    <s v="02-02-24"/>
    <s v="04-02-24"/>
    <s v="February"/>
    <s v="2024"/>
    <s v=" "/>
    <n v="2"/>
    <s v="Unique"/>
  </r>
  <r>
    <s v="ORD-2025-10862"/>
    <s v="2025-03-08"/>
    <s v="2025-03-09"/>
    <s v="CUST-9448"/>
    <s v="Priya Menon"/>
    <s v="Home Office"/>
    <x v="0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x v="0"/>
    <x v="0"/>
    <m/>
    <s v="ORD-2025-10862"/>
    <s v="08-03-25"/>
    <s v="09-03-25"/>
    <s v="CUST-9448"/>
    <s v="Priya Menon"/>
    <s v="Home Office"/>
    <s v="North"/>
    <s v="Delhi"/>
    <s v="New Delhi"/>
    <s v="Furniture"/>
    <s v="Furnishings"/>
    <s v="Smart Furnishings 892"/>
    <s v="Same Day"/>
    <s v="anomaly"/>
    <n v="1"/>
    <n v="0.2"/>
    <x v="832"/>
    <x v="832"/>
    <n v="0.42821532704188298"/>
    <s v="08-03-25"/>
    <s v="09-03-25"/>
    <s v="March"/>
    <s v="2025"/>
    <s v=" "/>
    <n v="1"/>
    <s v="Unique"/>
  </r>
  <r>
    <s v="ORD-2025-10863"/>
    <s v="2025-03-26"/>
    <s v="31-03-2025"/>
    <s v="CUST-8354"/>
    <s v="Priya Menon"/>
    <s v="Small Business"/>
    <x v="1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x v="0"/>
    <x v="1"/>
    <m/>
    <s v="ORD-2025-10863"/>
    <s v="26-03-25"/>
    <s v="31-03-25"/>
    <s v="CUST-8354"/>
    <s v="Priya Menon"/>
    <s v="Small Business"/>
    <s v="East"/>
    <s v="Jharkhand"/>
    <s v="Ranchi"/>
    <s v="Office Supplies"/>
    <s v="Binders"/>
    <s v="Pro Binders 488"/>
    <s v="First Class"/>
    <s v="anomaly"/>
    <n v="5"/>
    <n v="0"/>
    <x v="833"/>
    <x v="833"/>
    <n v="0.3122009260719355"/>
    <s v="26-03-25"/>
    <s v="31-03-25"/>
    <s v="March"/>
    <s v="2025"/>
    <s v=" "/>
    <n v="5"/>
    <s v="Unique"/>
  </r>
  <r>
    <s v="ORD-2025-10864"/>
    <s v="09/06/2025"/>
    <s v="09/08/2025"/>
    <s v="CUST-2200"/>
    <s v="Aarav Sharma"/>
    <s v="Home Office"/>
    <x v="3"/>
    <s v="Madhya Pradesh"/>
    <s v="Indore"/>
    <s v="Furniture"/>
    <s v="Furnishings"/>
    <s v="Prime Furnishings 679"/>
    <s v="Same Day"/>
    <n v="3"/>
    <n v="2937.23"/>
    <n v="0"/>
    <n v="8811.69"/>
    <n v="6765.91"/>
    <n v="2045.78"/>
    <x v="0"/>
    <x v="0"/>
    <m/>
    <s v="ORD-2025-10864"/>
    <s v="09-06-25"/>
    <s v="09-08-25"/>
    <s v="CUST-2200"/>
    <s v="Aarav Sharma"/>
    <s v="Home Office"/>
    <s v="West"/>
    <s v="Madhya Pradesh"/>
    <s v="Indore"/>
    <s v="Furniture"/>
    <s v="Furnishings"/>
    <s v="Prime Furnishings 679"/>
    <s v="Same Day"/>
    <s v="anomaly"/>
    <n v="61"/>
    <n v="0"/>
    <x v="834"/>
    <x v="834"/>
    <n v="0.23216658779416893"/>
    <s v="09-06-25"/>
    <s v="09-08-25"/>
    <s v="June"/>
    <s v="2025"/>
    <s v=" "/>
    <n v="61"/>
    <s v="Unique"/>
  </r>
  <r>
    <s v="ORD-2025-10865"/>
    <s v="02 Sep 2025"/>
    <s v="05-09-2025"/>
    <s v="CUST-1178"/>
    <s v="Vikram Iyer"/>
    <s v="Consumer"/>
    <x v="2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x v="0"/>
    <x v="0"/>
    <m/>
    <s v="ORD-2025-10865"/>
    <s v="02-09-25"/>
    <s v="05-09-25"/>
    <s v="CUST-1178"/>
    <s v="Vikram Iyer"/>
    <s v="Consumer"/>
    <s v="South"/>
    <s v="Tamil Nadu"/>
    <s v="Chennai"/>
    <s v="Technology"/>
    <s v="Phones"/>
    <s v="Smart Phones 158"/>
    <s v="First Class"/>
    <s v="anomaly"/>
    <n v="3"/>
    <n v="0"/>
    <x v="835"/>
    <x v="835"/>
    <n v="0.14106731398615141"/>
    <s v="02-09-25"/>
    <s v="05-09-25"/>
    <s v="September"/>
    <s v="2025"/>
    <s v=" "/>
    <n v="3"/>
    <s v="Unique"/>
  </r>
  <r>
    <s v="ORD-2025-10866"/>
    <s v="06-02-2025"/>
    <s v="14-02-2025"/>
    <s v="CUST-8099"/>
    <s v="Kabir Singh"/>
    <s v="Consumer"/>
    <x v="3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x v="0"/>
    <x v="0"/>
    <m/>
    <s v="ORD-2025-10866"/>
    <s v="06-02-25"/>
    <s v="14-02-25"/>
    <s v="CUST-8099"/>
    <s v="Kabir Singh"/>
    <s v="Consumer"/>
    <s v="West"/>
    <s v="Maharashtra"/>
    <s v="Mumbai"/>
    <s v="Office Supplies"/>
    <s v="Labels"/>
    <s v="Classic Labels 218"/>
    <s v="Second Class"/>
    <s v="anomaly"/>
    <n v="8"/>
    <n v="0"/>
    <x v="836"/>
    <x v="836"/>
    <n v="0.29133350367230787"/>
    <s v="06-02-25"/>
    <s v="14-02-25"/>
    <s v="February"/>
    <s v="2025"/>
    <s v=" "/>
    <n v="8"/>
    <s v="Unique"/>
  </r>
  <r>
    <s v="ORD-2025-10867"/>
    <s v="02/26/2025"/>
    <s v="2025-03-06"/>
    <s v="CUST-7596"/>
    <s v="Priya Menon"/>
    <s v="Consumer"/>
    <x v="1"/>
    <s v="Bihar"/>
    <s v="Patna"/>
    <s v="Furniture"/>
    <s v="Bookcases"/>
    <s v="Smart Bookcases 552"/>
    <s v="First Class"/>
    <n v="9"/>
    <n v="3043.37"/>
    <n v="0.2"/>
    <n v="21912.26"/>
    <n v="16367.78"/>
    <n v="5544.48"/>
    <x v="2"/>
    <x v="1"/>
    <m/>
    <s v="ORD-2025-10867"/>
    <s v="invalid date"/>
    <s v="06-03-25"/>
    <s v="CUST-7596"/>
    <s v="Priya Menon"/>
    <s v="Consumer"/>
    <s v="East"/>
    <s v="Bihar"/>
    <s v="Patna"/>
    <s v="Furniture"/>
    <s v="Bookcases"/>
    <s v="Smart Bookcases 552"/>
    <s v="First Class"/>
    <s v="Invalid"/>
    <s v="invalid date"/>
    <n v="0.2"/>
    <x v="837"/>
    <x v="837"/>
    <n v="0.25303108797885965"/>
    <s v="invalid date"/>
    <s v="06-03-25"/>
    <s v="invalid date"/>
    <s v="invalid date"/>
    <s v="Invalid"/>
    <s v="invalid date"/>
    <s v="Unique"/>
  </r>
  <r>
    <s v="ORD-2024-10868"/>
    <s v="21 Nov 2024"/>
    <s v="22 Nov 2024"/>
    <s v="CUST-2328"/>
    <s v="Rahul Verma"/>
    <s v="Home Office"/>
    <x v="2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x v="3"/>
    <x v="1"/>
    <m/>
    <s v="ORD-2024-10868"/>
    <s v="21-11-24"/>
    <s v="22-11-24"/>
    <s v="CUST-2328"/>
    <s v="Rahul Verma"/>
    <s v="Home Office"/>
    <s v="South"/>
    <s v="Andhra Pradesh"/>
    <s v="Vijayawada"/>
    <s v="Technology"/>
    <s v="Accessories"/>
    <s v="Eco Accessories 389"/>
    <s v="Same Day"/>
    <s v="anomaly"/>
    <n v="1"/>
    <n v="0.25"/>
    <x v="838"/>
    <x v="838"/>
    <n v="0.17548270174553127"/>
    <s v="21-11-24"/>
    <s v="22-11-24"/>
    <s v="November"/>
    <s v="2024"/>
    <s v=" "/>
    <n v="1"/>
    <s v="Unique"/>
  </r>
  <r>
    <s v="ORD-2025-10869"/>
    <s v="11-04-2025"/>
    <s v="2025-04-15"/>
    <s v="CUST-8483"/>
    <s v="Vikram Iyer"/>
    <s v="Home Office"/>
    <x v="2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x v="0"/>
    <x v="0"/>
    <m/>
    <s v="ORD-2025-10869"/>
    <s v="11-04-25"/>
    <s v="15-04-25"/>
    <s v="CUST-8483"/>
    <s v="Vikram Iyer"/>
    <s v="Home Office"/>
    <s v="South"/>
    <s v="Karnataka"/>
    <s v="Bengaluru"/>
    <s v="Office Supplies"/>
    <s v="Storage"/>
    <s v="Elite Storage 187"/>
    <s v="Same Day"/>
    <s v="anomaly"/>
    <n v="4"/>
    <n v="0.05"/>
    <x v="839"/>
    <x v="839"/>
    <n v="0.43134413491420964"/>
    <s v="11-04-25"/>
    <s v="15-04-25"/>
    <s v="April"/>
    <s v="2025"/>
    <s v=" "/>
    <n v="4"/>
    <s v="Unique"/>
  </r>
  <r>
    <s v="ORD-2025-10870"/>
    <s v="03/06/2025"/>
    <s v="07-03-2025"/>
    <s v="CUST-2388"/>
    <s v="Rohan Mehta"/>
    <s v="Home Office"/>
    <x v="4"/>
    <s v="Delhi"/>
    <s v="New Delhi"/>
    <s v="Furniture"/>
    <s v="Chairs"/>
    <s v="Max Chairs 487"/>
    <s v="Same Day"/>
    <n v="6"/>
    <n v="796.65"/>
    <n v="0.1"/>
    <n v="4301.91"/>
    <n v="2374.4"/>
    <n v="1927.51"/>
    <x v="0"/>
    <x v="0"/>
    <m/>
    <s v="ORD-2025-10870"/>
    <s v="03-06-25"/>
    <s v="07-03-25"/>
    <s v="CUST-2388"/>
    <s v="Rohan Mehta"/>
    <s v="Home Office"/>
    <s v="unknown"/>
    <s v="Delhi"/>
    <s v="New Delhi"/>
    <s v="Furniture"/>
    <s v="Chairs"/>
    <s v="Max Chairs 487"/>
    <s v="Same Day"/>
    <s v="anomaly"/>
    <n v="-88"/>
    <n v="0.1"/>
    <x v="840"/>
    <x v="840"/>
    <n v="0.44805911792668834"/>
    <s v="03-06-25"/>
    <s v="07-03-25"/>
    <s v="June"/>
    <s v="2025"/>
    <s v=" "/>
    <n v="-88"/>
    <s v="Unique"/>
  </r>
  <r>
    <s v="ORD-2025-10871"/>
    <s v="06 Jun 2025"/>
    <s v="07 Jun 2025"/>
    <s v="CUST-7054"/>
    <s v="Vikram Iyer"/>
    <s v="Corporate"/>
    <x v="3"/>
    <s v="Goa"/>
    <s v="Panaji"/>
    <s v="Furniture"/>
    <s v="Tables"/>
    <s v="Max Tables 281"/>
    <s v="Standard Class"/>
    <n v="9"/>
    <n v="2932.92"/>
    <n v="0.15"/>
    <n v="22436.84"/>
    <n v="17454.669999999998"/>
    <n v="4982.17"/>
    <x v="0"/>
    <x v="1"/>
    <m/>
    <s v="ORD-2025-10871"/>
    <s v="06-06-25"/>
    <s v="07-06-25"/>
    <s v="CUST-7054"/>
    <s v="Vikram Iyer"/>
    <s v="Corporate"/>
    <s v="West"/>
    <s v="Goa"/>
    <s v="Panaji"/>
    <s v="Furniture"/>
    <s v="Tables"/>
    <s v="Max Tables 281"/>
    <s v="Standard Class"/>
    <s v="anomaly"/>
    <n v="1"/>
    <n v="0.15"/>
    <x v="841"/>
    <x v="841"/>
    <n v="0.22205303617203109"/>
    <s v="06-06-25"/>
    <s v="07-06-25"/>
    <s v="June"/>
    <s v="2025"/>
    <s v=" "/>
    <n v="1"/>
    <s v="Unique"/>
  </r>
  <r>
    <s v="ORD-2024-10872"/>
    <s v="02/20/2024"/>
    <s v="2024-02-22"/>
    <s v="CUST-4375"/>
    <s v="Neha Gupta"/>
    <s v="Small Business"/>
    <x v="2"/>
    <s v="Telangana"/>
    <s v="Hyderabad"/>
    <s v="Technology"/>
    <s v="Accessories"/>
    <s v="Pro Accessories 325"/>
    <s v="First Class"/>
    <n v="9"/>
    <n v="2186.23"/>
    <n v="0"/>
    <n v="19676.07"/>
    <n v="12458.62"/>
    <n v="7217.45"/>
    <x v="1"/>
    <x v="1"/>
    <m/>
    <s v="ORD-2024-10872"/>
    <s v="invalid date"/>
    <s v="22-02-24"/>
    <s v="CUST-4375"/>
    <s v="Neha Gupta"/>
    <s v="Small Business"/>
    <s v="South"/>
    <s v="Telangana"/>
    <s v="Hyderabad"/>
    <s v="Technology"/>
    <s v="Accessories"/>
    <s v="Pro Accessories 325"/>
    <s v="First Class"/>
    <s v="Invalid"/>
    <s v="invalid date"/>
    <n v="0"/>
    <x v="842"/>
    <x v="842"/>
    <n v="0.36681359641432454"/>
    <s v="invalid date"/>
    <s v="22-02-24"/>
    <s v="invalid date"/>
    <s v="invalid date"/>
    <s v="Invalid"/>
    <s v="invalid date"/>
    <s v="Unique"/>
  </r>
  <r>
    <s v="ORD-2024-10873"/>
    <s v="11/01/2024"/>
    <s v="02 Nov 2024"/>
    <s v="CUST-6262"/>
    <s v="Karan Malhotra"/>
    <s v="Corporate"/>
    <x v="1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x v="0"/>
    <x v="0"/>
    <m/>
    <s v="ORD-2024-10873"/>
    <s v="11-01-24"/>
    <s v="02-11-24"/>
    <s v="CUST-6262"/>
    <s v="Karan Malhotra"/>
    <s v="Corporate"/>
    <s v="East"/>
    <s v="West Bengal"/>
    <s v="Kolkata"/>
    <s v="Furniture"/>
    <s v="Furnishings"/>
    <s v="Prime Furnishings 178"/>
    <s v="Standard Class"/>
    <s v="  "/>
    <n v="296"/>
    <n v="0.2"/>
    <x v="843"/>
    <x v="843"/>
    <n v="0.35674632236598219"/>
    <s v="11-01-24"/>
    <s v="02-11-24"/>
    <s v="January"/>
    <s v="2024"/>
    <s v="anomaly"/>
    <n v="296"/>
    <s v="Unique"/>
  </r>
  <r>
    <s v="ORD-2025-10874"/>
    <s v="01 Feb 2025"/>
    <s v="08-02-2025"/>
    <s v="CUST-8160"/>
    <s v="Aditi Sen"/>
    <s v="Home Office"/>
    <x v="3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x v="0"/>
    <x v="0"/>
    <m/>
    <s v="ORD-2025-10874"/>
    <s v="01-02-25"/>
    <s v="08-02-25"/>
    <s v="CUST-8160"/>
    <s v="Aditi Sen"/>
    <s v="Home Office"/>
    <s v="West"/>
    <s v="Gujarat"/>
    <s v="Ahmedabad"/>
    <s v="Office Supplies"/>
    <s v="Storage"/>
    <s v="Elite Storage 144"/>
    <s v="Second Class"/>
    <s v="anomaly"/>
    <n v="7"/>
    <n v="0.1"/>
    <x v="844"/>
    <x v="844"/>
    <n v="0.41312865543986482"/>
    <s v="01-02-25"/>
    <s v="08-02-25"/>
    <s v="February"/>
    <s v="2025"/>
    <s v=" "/>
    <n v="7"/>
    <s v="Unique"/>
  </r>
  <r>
    <s v="ORD-2025-10875"/>
    <s v="15 Jul 2025"/>
    <s v="16 Jul 2025"/>
    <s v="CUST-8770"/>
    <s v="Vikram Iyer"/>
    <s v="Small Business"/>
    <x v="3"/>
    <s v="Maharashtra"/>
    <s v="Mumbai"/>
    <s v="Office Supplies"/>
    <s v="Paper"/>
    <s v="Elite Paper 309"/>
    <s v="Standard Class"/>
    <n v="8"/>
    <n v="3924.88"/>
    <n v="0.05"/>
    <n v="29829.09"/>
    <n v="20710.18"/>
    <n v="9118.91"/>
    <x v="0"/>
    <x v="0"/>
    <m/>
    <s v="ORD-2025-10875"/>
    <s v="15-07-25"/>
    <s v="16-07-25"/>
    <s v="CUST-8770"/>
    <s v="Vikram Iyer"/>
    <s v="Small Business"/>
    <s v="West"/>
    <s v="Maharashtra"/>
    <s v="Mumbai"/>
    <s v="Office Supplies"/>
    <s v="Paper"/>
    <s v="Elite Paper 309"/>
    <s v="Standard Class"/>
    <s v="anomaly"/>
    <n v="1"/>
    <n v="0.05"/>
    <x v="845"/>
    <x v="845"/>
    <n v="0.30570522303598419"/>
    <s v="15-07-25"/>
    <s v="16-07-25"/>
    <s v="July"/>
    <s v="2025"/>
    <s v=" "/>
    <n v="1"/>
    <s v="Unique"/>
  </r>
  <r>
    <s v="ORD-2024-10876"/>
    <s v="10 Aug 2024"/>
    <s v="08/11/2024"/>
    <s v="CUST-6928"/>
    <s v="Mira Das"/>
    <s v="Corporate"/>
    <x v="3"/>
    <s v="Maharashtra"/>
    <s v="Mumbai"/>
    <s v="Technology"/>
    <s v="Copiers"/>
    <s v="Elite Copiers 752"/>
    <s v="First Class"/>
    <n v="7"/>
    <n v="3852.62"/>
    <n v="0.2"/>
    <n v="21574.67"/>
    <n v="14672.83"/>
    <n v="6901.84"/>
    <x v="0"/>
    <x v="0"/>
    <m/>
    <s v="ORD-2024-10876"/>
    <s v="10-08-24"/>
    <s v="08-11-24"/>
    <s v="CUST-6928"/>
    <s v="Mira Das"/>
    <s v="Corporate"/>
    <s v="West"/>
    <s v="Maharashtra"/>
    <s v="Mumbai"/>
    <s v="Technology"/>
    <s v="Copiers"/>
    <s v="Elite Copiers 752"/>
    <s v="First Class"/>
    <s v="  "/>
    <n v="90"/>
    <n v="0.2"/>
    <x v="846"/>
    <x v="846"/>
    <n v="0.31990484026825539"/>
    <s v="10-08-24"/>
    <s v="08-11-24"/>
    <s v="August"/>
    <s v="2024"/>
    <s v="anomaly"/>
    <n v="90"/>
    <s v="Unique"/>
  </r>
  <r>
    <s v="ORD-2024-10877"/>
    <s v="11/18/2024"/>
    <s v="20-11-2024"/>
    <s v="CUST-9044"/>
    <s v="Priya Menon"/>
    <s v="Consumer"/>
    <x v="3"/>
    <s v="Rajasthan"/>
    <s v="Udaipur"/>
    <s v="Furniture"/>
    <s v="Chairs"/>
    <s v="Pro Chairs 316"/>
    <s v="First Class"/>
    <n v="6"/>
    <n v="3790.22"/>
    <n v="0"/>
    <n v="22741.32"/>
    <n v="16388.57"/>
    <n v="6352.75"/>
    <x v="0"/>
    <x v="0"/>
    <m/>
    <s v="ORD-2024-10877"/>
    <s v="invalid date"/>
    <s v="20-11-24"/>
    <s v="CUST-9044"/>
    <s v="Priya Menon"/>
    <s v="Consumer"/>
    <s v="West"/>
    <s v="Rajasthan"/>
    <s v="Udaipur"/>
    <s v="Furniture"/>
    <s v="Chairs"/>
    <s v="Pro Chairs 316"/>
    <s v="First Class"/>
    <s v="Invalid"/>
    <s v="invalid date"/>
    <n v="0"/>
    <x v="847"/>
    <x v="847"/>
    <n v="0.27934834037777928"/>
    <s v="invalid date"/>
    <s v="20-11-24"/>
    <s v="invalid date"/>
    <s v="invalid date"/>
    <s v="Invalid"/>
    <s v="invalid date"/>
    <s v="Unique"/>
  </r>
  <r>
    <s v="ORD-2025-10878"/>
    <s v="26-08-2025"/>
    <s v="2025-09-03"/>
    <s v="CUST-7146"/>
    <s v="Aarav Sharma"/>
    <s v="Consumer"/>
    <x v="3"/>
    <s v="Rajasthan"/>
    <s v="Udaipur"/>
    <s v="Office Supplies"/>
    <s v="Storage"/>
    <s v="Max Storage 438"/>
    <s v="Second Class"/>
    <n v="6"/>
    <n v="674.36"/>
    <n v="0.1"/>
    <n v="3641.54"/>
    <n v="2690.37"/>
    <n v="951.17"/>
    <x v="0"/>
    <x v="0"/>
    <m/>
    <s v="ORD-2025-10878"/>
    <s v="26-08-25"/>
    <s v="03-09-25"/>
    <s v="CUST-7146"/>
    <s v="Aarav Sharma"/>
    <s v="Consumer"/>
    <s v="West"/>
    <s v="Rajasthan"/>
    <s v="Udaipur"/>
    <s v="Office Supplies"/>
    <s v="Storage"/>
    <s v="Max Storage 438"/>
    <s v="Second Class"/>
    <s v="  "/>
    <n v="8"/>
    <n v="0.1"/>
    <x v="848"/>
    <x v="848"/>
    <n v="0.26120074342092253"/>
    <s v="26-08-25"/>
    <s v="03-09-25"/>
    <s v="August"/>
    <s v="2025"/>
    <s v="anomaly"/>
    <n v="8"/>
    <s v="Unique"/>
  </r>
  <r>
    <s v="ORD-2024-10879"/>
    <s v="2024-01-22"/>
    <s v="2024-01-22"/>
    <s v="CUST-8534"/>
    <s v="Karan Malhotra"/>
    <s v="Corporate"/>
    <x v="1"/>
    <s v="West Bengal"/>
    <s v="Kolkata"/>
    <s v="Office Supplies"/>
    <s v="Paper"/>
    <s v="Basic Paper 904"/>
    <s v="First Class"/>
    <n v="8"/>
    <n v="1557.21"/>
    <n v="0.05"/>
    <n v="11834.8"/>
    <n v="9322.36"/>
    <n v="2512.44"/>
    <x v="0"/>
    <x v="0"/>
    <m/>
    <s v="ORD-2024-10879"/>
    <s v="22-01-24"/>
    <s v="22-01-24"/>
    <s v="CUST-8534"/>
    <s v="Karan Malhotra"/>
    <s v="Corporate"/>
    <s v="East"/>
    <s v="West Bengal"/>
    <s v="Kolkata"/>
    <s v="Office Supplies"/>
    <s v="Paper"/>
    <s v="Basic Paper 904"/>
    <s v="First Class"/>
    <s v="  "/>
    <n v="0"/>
    <n v="0.05"/>
    <x v="849"/>
    <x v="849"/>
    <n v="0.21229229468763125"/>
    <s v="22-01-24"/>
    <s v="22-01-24"/>
    <s v="January"/>
    <s v="2024"/>
    <s v=" "/>
    <n v="0"/>
    <s v="Unique"/>
  </r>
  <r>
    <s v="ORD-2025-10880"/>
    <s v="2025-08-27"/>
    <s v="08/28/2025"/>
    <s v="CUST-4486"/>
    <s v="Ananya Rao"/>
    <s v="Home Office"/>
    <x v="0"/>
    <s v="Uttar Pradesh"/>
    <s v="Noida"/>
    <s v="Office Supplies"/>
    <s v="Art"/>
    <s v="Smart Art 990"/>
    <s v="Standard Class"/>
    <n v="6"/>
    <n v="1182.03"/>
    <n v="0.15"/>
    <n v="6028.35"/>
    <n v="4433.63"/>
    <n v="1594.72"/>
    <x v="0"/>
    <x v="0"/>
    <m/>
    <s v="ORD-2025-10880"/>
    <s v="27-08-25"/>
    <s v="invalid date"/>
    <s v="CUST-4486"/>
    <s v="Ananya Rao"/>
    <s v="Home Office"/>
    <s v="North"/>
    <s v="Uttar Pradesh"/>
    <s v="Noida"/>
    <s v="Office Supplies"/>
    <s v="Art"/>
    <s v="Smart Art 990"/>
    <s v="Standard Class"/>
    <s v="Invalid"/>
    <s v="invalid date"/>
    <n v="0.15"/>
    <x v="850"/>
    <x v="850"/>
    <n v="0.26453709661660491"/>
    <s v="27-08-25"/>
    <s v="invalid date"/>
    <s v="August"/>
    <s v="2025"/>
    <s v="Invalid"/>
    <s v="invalid date"/>
    <s v="Unique"/>
  </r>
  <r>
    <s v="ORD-2024-10881"/>
    <s v="08-03-2024"/>
    <s v="03/15/2024"/>
    <s v="CUST-5287"/>
    <s v="Aarav Sharma"/>
    <s v="Small Business"/>
    <x v="4"/>
    <s v="Punjab"/>
    <s v="Ludhiana"/>
    <s v="Furniture"/>
    <s v="Chairs"/>
    <s v="Basic Chairs 327"/>
    <s v="First Class"/>
    <n v="5"/>
    <n v="3234.77"/>
    <n v="0"/>
    <n v="16173.85"/>
    <n v="13636.34"/>
    <n v="2537.5100000000002"/>
    <x v="0"/>
    <x v="0"/>
    <m/>
    <s v="ORD-2024-10881"/>
    <s v="08-03-24"/>
    <s v="invalid date"/>
    <s v="CUST-5287"/>
    <s v="Aarav Sharma"/>
    <s v="Small Business"/>
    <s v="unknown"/>
    <s v="Punjab"/>
    <s v="Ludhiana"/>
    <s v="Furniture"/>
    <s v="Chairs"/>
    <s v="Basic Chairs 327"/>
    <s v="First Class"/>
    <s v="Invalid"/>
    <s v="invalid date"/>
    <n v="0"/>
    <x v="851"/>
    <x v="851"/>
    <n v="0.15688967067210344"/>
    <s v="08-03-24"/>
    <s v="invalid date"/>
    <s v="March"/>
    <s v="2024"/>
    <s v="Invalid"/>
    <s v="invalid date"/>
    <s v="Unique"/>
  </r>
  <r>
    <s v="ORD-2024-10882"/>
    <s v="01 Dec 2024"/>
    <s v="05-12-2024"/>
    <s v="CUST-3445"/>
    <s v="Ananya Rao"/>
    <s v="Small Business"/>
    <x v="2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x v="0"/>
    <x v="0"/>
    <m/>
    <s v="ORD-2024-10882"/>
    <s v="01-12-24"/>
    <s v="05-12-24"/>
    <s v="CUST-3445"/>
    <s v="Ananya Rao"/>
    <s v="Small Business"/>
    <s v="South"/>
    <s v="Andhra Pradesh"/>
    <s v="Vijayawada"/>
    <s v="Technology"/>
    <s v="Copiers"/>
    <s v="Eco Copiers 987"/>
    <s v="Second Class"/>
    <s v="anomaly"/>
    <n v="4"/>
    <n v="0.25"/>
    <x v="852"/>
    <x v="852"/>
    <n v="0.30064414182747856"/>
    <s v="01-12-24"/>
    <s v="05-12-24"/>
    <s v="December"/>
    <s v="2024"/>
    <s v=" "/>
    <n v="4"/>
    <s v="Unique"/>
  </r>
  <r>
    <s v="ORD-2025-10883"/>
    <s v="02 Feb 2025"/>
    <s v="02/10/2025"/>
    <s v="CUST-4983"/>
    <s v="Sneha Kapoor"/>
    <s v="Corporate"/>
    <x v="1"/>
    <s v="Bihar"/>
    <s v="Patna"/>
    <s v="Technology"/>
    <s v="Accessories"/>
    <s v="Basic Accessories 607"/>
    <s v="Standard Class"/>
    <n v="4"/>
    <n v="1912.45"/>
    <n v="0"/>
    <n v="7649.8"/>
    <n v="4894.53"/>
    <n v="2755.27"/>
    <x v="2"/>
    <x v="2"/>
    <m/>
    <s v="ORD-2025-10883"/>
    <s v="02-02-25"/>
    <s v="02-10-25"/>
    <s v="CUST-4983"/>
    <s v="Sneha Kapoor"/>
    <s v="Corporate"/>
    <s v="East"/>
    <s v="Bihar"/>
    <s v="Patna"/>
    <s v="Technology"/>
    <s v="Accessories"/>
    <s v="Basic Accessories 607"/>
    <s v="Standard Class"/>
    <s v="anomaly"/>
    <n v="242"/>
    <n v="0"/>
    <x v="853"/>
    <x v="853"/>
    <n v="0.36017542942299152"/>
    <s v="02-02-25"/>
    <s v="02-10-25"/>
    <s v="February"/>
    <s v="2025"/>
    <s v=" "/>
    <n v="242"/>
    <s v="Unique"/>
  </r>
  <r>
    <s v="ORD-2025-10884"/>
    <s v="28 Apr 2025"/>
    <s v="05/01/2025"/>
    <s v="CUST-2597"/>
    <s v="Aarav Sharma"/>
    <s v="Small Business"/>
    <x v="3"/>
    <s v="Goa"/>
    <s v="Panaji"/>
    <s v="Office Supplies"/>
    <s v="Storage"/>
    <s v="Classic Storage 211"/>
    <s v="Same Day"/>
    <n v="1"/>
    <n v="1620.87"/>
    <n v="0"/>
    <n v="1620.87"/>
    <n v="1103.6099999999999"/>
    <n v="517.26"/>
    <x v="0"/>
    <x v="0"/>
    <m/>
    <s v="ORD-2025-10884"/>
    <s v="28-04-25"/>
    <s v="05-01-25"/>
    <s v="CUST-2597"/>
    <s v="Aarav Sharma"/>
    <s v="Small Business"/>
    <s v="West"/>
    <s v="Goa"/>
    <s v="Panaji"/>
    <s v="Office Supplies"/>
    <s v="Storage"/>
    <s v="Classic Storage 211"/>
    <s v="Same Day"/>
    <s v="  "/>
    <n v="-113"/>
    <n v="0"/>
    <x v="854"/>
    <x v="854"/>
    <n v="0.31912491439782342"/>
    <s v="28-04-25"/>
    <s v="05-01-25"/>
    <s v="April"/>
    <s v="2025"/>
    <s v="anomaly"/>
    <n v="-113"/>
    <s v="Unique"/>
  </r>
  <r>
    <s v="ORD-2025-10885"/>
    <s v="18-01-2025"/>
    <s v="2025-01-25"/>
    <s v="CUST-7505"/>
    <s v="Neha Gupta"/>
    <s v="Home Office"/>
    <x v="2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x v="0"/>
    <x v="0"/>
    <m/>
    <s v="ORD-2025-10885"/>
    <s v="18-01-25"/>
    <s v="25-01-25"/>
    <s v="CUST-7505"/>
    <s v="Neha Gupta"/>
    <s v="Home Office"/>
    <s v="South"/>
    <s v="Karnataka"/>
    <s v="Bengaluru"/>
    <s v="Office Supplies"/>
    <s v="Storage"/>
    <s v="Eco Storage 783"/>
    <s v="Same Day"/>
    <s v="anomaly"/>
    <n v="7"/>
    <n v="0.15"/>
    <x v="855"/>
    <x v="855"/>
    <n v="0.32395575859743381"/>
    <s v="18-01-25"/>
    <s v="25-01-25"/>
    <s v="January"/>
    <s v="2025"/>
    <s v=" "/>
    <n v="7"/>
    <s v="Unique"/>
  </r>
  <r>
    <s v="ORD-2024-10886"/>
    <s v="2024-01-05"/>
    <s v="2024-01-05"/>
    <s v="CUST-3446"/>
    <s v="Diya Patel"/>
    <s v="Consumer"/>
    <x v="0"/>
    <s v="Rajasthan"/>
    <s v="Jaipur"/>
    <s v="Furniture"/>
    <s v="Tables"/>
    <s v="Pro Tables 866"/>
    <s v="Standard Class"/>
    <n v="1"/>
    <n v="2167.08"/>
    <n v="0.25"/>
    <n v="1625.31"/>
    <n v="1157.8900000000001"/>
    <n v="467.42"/>
    <x v="0"/>
    <x v="0"/>
    <m/>
    <s v="ORD-2024-10886"/>
    <s v="05-01-24"/>
    <s v="05-01-24"/>
    <s v="CUST-3446"/>
    <s v="Diya Patel"/>
    <s v="Consumer"/>
    <s v="North"/>
    <s v="Rajasthan"/>
    <s v="Jaipur"/>
    <s v="Furniture"/>
    <s v="Tables"/>
    <s v="Pro Tables 866"/>
    <s v="Standard Class"/>
    <s v="  "/>
    <n v="0"/>
    <n v="0.25"/>
    <x v="856"/>
    <x v="856"/>
    <n v="0.28758821394072509"/>
    <s v="05-01-24"/>
    <s v="05-01-24"/>
    <s v="January"/>
    <s v="2024"/>
    <s v=" "/>
    <n v="0"/>
    <s v="Unique"/>
  </r>
  <r>
    <s v="ORD-2025-10887"/>
    <s v="26-04-2025"/>
    <s v="03-05-2025"/>
    <s v="CUST-3549"/>
    <s v="Arjun Bose"/>
    <s v="Home Office"/>
    <x v="2"/>
    <s v="Tamil Nadu"/>
    <s v="Chennai"/>
    <s v="Technology"/>
    <s v="Accessories"/>
    <s v="Max Accessories 541"/>
    <s v="First Class"/>
    <n v="7"/>
    <n v="3989.9"/>
    <n v="0.15"/>
    <n v="23739.9"/>
    <n v="17716.52"/>
    <n v="6023.38"/>
    <x v="0"/>
    <x v="1"/>
    <m/>
    <s v="ORD-2025-10887"/>
    <s v="26-04-25"/>
    <s v="03-05-25"/>
    <s v="CUST-3549"/>
    <s v="Arjun Bose"/>
    <s v="Home Office"/>
    <s v="South"/>
    <s v="Tamil Nadu"/>
    <s v="Chennai"/>
    <s v="Technology"/>
    <s v="Accessories"/>
    <s v="Max Accessories 541"/>
    <s v="First Class"/>
    <s v="  "/>
    <n v="7"/>
    <n v="0.15"/>
    <x v="857"/>
    <x v="857"/>
    <n v="0.25372405660427028"/>
    <s v="26-04-25"/>
    <s v="03-05-25"/>
    <s v="April"/>
    <s v="2025"/>
    <s v="anomaly"/>
    <n v="7"/>
    <s v="Unique"/>
  </r>
  <r>
    <s v="ORD-2024-10888"/>
    <s v="2024-06-12"/>
    <s v="2024-06-18"/>
    <s v="CUST-2795"/>
    <s v="Aarav Sharma"/>
    <s v="Small Business"/>
    <x v="2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x v="0"/>
    <x v="0"/>
    <m/>
    <s v="ORD-2024-10888"/>
    <s v="12-06-24"/>
    <s v="18-06-24"/>
    <s v="CUST-2795"/>
    <s v="Aarav Sharma"/>
    <s v="Small Business"/>
    <s v="South"/>
    <s v="Andhra Pradesh"/>
    <s v="Vijayawada"/>
    <s v="Office Supplies"/>
    <s v="Art"/>
    <s v="Prime Art 596"/>
    <s v="Standard Class"/>
    <s v="anomaly"/>
    <n v="6"/>
    <n v="0"/>
    <x v="858"/>
    <x v="858"/>
    <n v="0.39188435225914897"/>
    <s v="12-06-24"/>
    <s v="18-06-24"/>
    <s v="June"/>
    <s v="2024"/>
    <s v=" "/>
    <n v="6"/>
    <s v="Unique"/>
  </r>
  <r>
    <s v="ORD-2025-10889"/>
    <s v="06-08-2025"/>
    <s v="07-08-2025"/>
    <s v="CUST-1081"/>
    <s v="Rahul Verma"/>
    <s v="Small Business"/>
    <x v="3"/>
    <s v="Maharashtra"/>
    <s v="Mumbai"/>
    <s v="Office Supplies"/>
    <s v="Art"/>
    <s v="Pro Art 620"/>
    <s v="Standard Class"/>
    <n v="4"/>
    <n v="3523.64"/>
    <n v="0.1"/>
    <n v="12685.1"/>
    <n v="10779.56"/>
    <n v="1905.54"/>
    <x v="1"/>
    <x v="1"/>
    <m/>
    <s v="ORD-2025-10889"/>
    <s v="06-08-25"/>
    <s v="07-08-25"/>
    <s v="CUST-1081"/>
    <s v="Rahul Verma"/>
    <s v="Small Business"/>
    <s v="West"/>
    <s v="Maharashtra"/>
    <s v="Mumbai"/>
    <s v="Office Supplies"/>
    <s v="Art"/>
    <s v="Pro Art 620"/>
    <s v="Standard Class"/>
    <s v="anomaly"/>
    <n v="1"/>
    <n v="0.1"/>
    <x v="859"/>
    <x v="859"/>
    <n v="0.15021902855506741"/>
    <s v="06-08-25"/>
    <s v="07-08-25"/>
    <s v="August"/>
    <s v="2025"/>
    <s v=" "/>
    <n v="1"/>
    <s v="Unique"/>
  </r>
  <r>
    <s v="ORD-2025-10890"/>
    <s v="10 Mar 2025"/>
    <s v="03/11/2025"/>
    <s v="CUST-8467"/>
    <s v="Aditi Sen"/>
    <s v="Home Office"/>
    <x v="3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x v="0"/>
    <x v="2"/>
    <m/>
    <s v="ORD-2025-10890"/>
    <s v="10-03-25"/>
    <s v="03-11-25"/>
    <s v="CUST-8467"/>
    <s v="Aditi Sen"/>
    <s v="Home Office"/>
    <s v="West"/>
    <s v="Madhya Pradesh"/>
    <s v="Indore"/>
    <s v="Office Supplies"/>
    <s v="Storage"/>
    <s v="Prime Storage 806"/>
    <s v="First Class"/>
    <s v="  "/>
    <n v="238"/>
    <n v="0.25"/>
    <x v="860"/>
    <x v="860"/>
    <n v="0.20995832143488491"/>
    <s v="10-03-25"/>
    <s v="03-11-25"/>
    <s v="March"/>
    <s v="2025"/>
    <s v="anomaly"/>
    <n v="238"/>
    <s v="Unique"/>
  </r>
  <r>
    <s v="ORD-2024-10891"/>
    <s v="15-05-2024"/>
    <s v="21-05-2024"/>
    <s v="CUST-3992"/>
    <s v="Karan Malhotra"/>
    <s v="Consumer"/>
    <x v="3"/>
    <s v="Goa"/>
    <s v="Panaji"/>
    <s v="Office Supplies"/>
    <s v="Storage"/>
    <s v="Smart Storage 288"/>
    <s v="Standard Class"/>
    <n v="6"/>
    <n v="2909.56"/>
    <n v="0.2"/>
    <n v="13965.89"/>
    <n v="11646.12"/>
    <n v="2319.77"/>
    <x v="0"/>
    <x v="0"/>
    <m/>
    <s v="ORD-2024-10891"/>
    <s v="15-05-24"/>
    <s v="21-05-24"/>
    <s v="CUST-3992"/>
    <s v="Karan Malhotra"/>
    <s v="Consumer"/>
    <s v="West"/>
    <s v="Goa"/>
    <s v="Panaji"/>
    <s v="Office Supplies"/>
    <s v="Storage"/>
    <s v="Smart Storage 288"/>
    <s v="Standard Class"/>
    <s v="anomaly"/>
    <n v="6"/>
    <n v="0.2"/>
    <x v="861"/>
    <x v="861"/>
    <n v="0.16610243473239938"/>
    <s v="15-05-24"/>
    <s v="21-05-24"/>
    <s v="May"/>
    <s v="2024"/>
    <s v=" "/>
    <n v="6"/>
    <s v="Unique"/>
  </r>
  <r>
    <s v="ORD-2024-10892"/>
    <s v="08 Oct 2024"/>
    <s v="09-10-2024"/>
    <s v="CUST-6647"/>
    <s v="Kabir Singh"/>
    <s v="Corporate"/>
    <x v="2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x v="3"/>
    <x v="1"/>
    <m/>
    <s v="ORD-2024-10892"/>
    <s v="08-10-24"/>
    <s v="09-10-24"/>
    <s v="CUST-6647"/>
    <s v="Kabir Singh"/>
    <s v="Corporate"/>
    <s v="South"/>
    <s v="Tamil Nadu"/>
    <s v="Chennai"/>
    <s v="Technology"/>
    <s v="Machines"/>
    <s v="Elite Machines 281"/>
    <s v="Same Day"/>
    <s v="anomaly"/>
    <n v="1"/>
    <n v="0.1"/>
    <x v="862"/>
    <x v="862"/>
    <n v="0.40753045557507406"/>
    <s v="08-10-24"/>
    <s v="09-10-24"/>
    <s v="October"/>
    <s v="2024"/>
    <s v=" "/>
    <n v="1"/>
    <s v="Unique"/>
  </r>
  <r>
    <s v="ORD-2025-10893"/>
    <s v="04/12/2025"/>
    <s v="04/18/2025"/>
    <s v="CUST-5087"/>
    <s v="Isha Nair"/>
    <s v="Small Business"/>
    <x v="1"/>
    <s v="Jharkhand"/>
    <s v="Ranchi"/>
    <s v="Technology"/>
    <s v="Copiers"/>
    <s v="Elite Copiers 221"/>
    <s v="Same Day"/>
    <n v="1"/>
    <n v="726.89"/>
    <n v="0.2"/>
    <n v="581.51"/>
    <n v="423.86"/>
    <n v="157.65"/>
    <x v="0"/>
    <x v="0"/>
    <m/>
    <s v="ORD-2025-10893"/>
    <s v="04-12-25"/>
    <s v="invalid date"/>
    <s v="CUST-5087"/>
    <s v="Isha Nair"/>
    <s v="Small Business"/>
    <s v="East"/>
    <s v="Jharkhand"/>
    <s v="Ranchi"/>
    <s v="Technology"/>
    <s v="Copiers"/>
    <s v="Elite Copiers 221"/>
    <s v="Same Day"/>
    <s v="Invalid"/>
    <s v="invalid date"/>
    <n v="0.2"/>
    <x v="863"/>
    <x v="863"/>
    <n v="0.27110704508247468"/>
    <s v="04-12-25"/>
    <s v="invalid date"/>
    <s v="December"/>
    <s v="2025"/>
    <s v="Invalid"/>
    <s v="invalid date"/>
    <s v="Unique"/>
  </r>
  <r>
    <s v="ORD-2024-10894"/>
    <s v="06 Jun 2024"/>
    <s v="08 Jun 2024"/>
    <s v="CUST-9297"/>
    <s v="Aarav Sharma"/>
    <s v="Corporate"/>
    <x v="2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x v="0"/>
    <x v="2"/>
    <m/>
    <s v="ORD-2024-10894"/>
    <s v="06-06-24"/>
    <s v="08-06-24"/>
    <s v="CUST-9297"/>
    <s v="Aarav Sharma"/>
    <s v="Corporate"/>
    <s v="South"/>
    <s v="Karnataka"/>
    <s v="Bengaluru"/>
    <s v="Furniture"/>
    <s v="Tables"/>
    <s v="Max Tables 291"/>
    <s v="Second Class"/>
    <s v="anomaly"/>
    <n v="2"/>
    <n v="0.05"/>
    <x v="864"/>
    <x v="864"/>
    <n v="0.24976921810962466"/>
    <s v="06-06-24"/>
    <s v="08-06-24"/>
    <s v="June"/>
    <s v="2024"/>
    <s v=" "/>
    <n v="2"/>
    <s v="Unique"/>
  </r>
  <r>
    <s v="ORD-2024-10895"/>
    <s v="22 Feb 2024"/>
    <s v="02/29/2024"/>
    <s v="CUST-7996"/>
    <s v="Isha Nair"/>
    <s v="Home Office"/>
    <x v="2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x v="0"/>
    <x v="0"/>
    <m/>
    <s v="ORD-2024-10895"/>
    <s v="22-02-24"/>
    <s v="invalid date"/>
    <s v="CUST-7996"/>
    <s v="Isha Nair"/>
    <s v="Home Office"/>
    <s v="South"/>
    <s v="Telangana"/>
    <s v="Hyderabad"/>
    <s v="Furniture"/>
    <s v="Tables"/>
    <s v="Classic Tables 638"/>
    <s v="First Class"/>
    <s v="Invalid"/>
    <s v="invalid date"/>
    <n v="0"/>
    <x v="865"/>
    <x v="865"/>
    <n v="0.34525413037771857"/>
    <s v="22-02-24"/>
    <s v="invalid date"/>
    <s v="February"/>
    <s v="2024"/>
    <s v="Invalid"/>
    <s v="invalid date"/>
    <s v="Unique"/>
  </r>
  <r>
    <s v="ORD-2024-10896"/>
    <s v="05 Nov 2024"/>
    <s v="11/10/2024"/>
    <s v="CUST-4117"/>
    <s v="Arjun Bose"/>
    <s v="Consumer"/>
    <x v="2"/>
    <s v="Kerala"/>
    <s v="Kochi"/>
    <s v="Furniture"/>
    <s v="Chairs"/>
    <s v="Basic Chairs 212"/>
    <s v="Same Day"/>
    <n v="4"/>
    <n v="711.18"/>
    <n v="0.15"/>
    <n v="2418.0100000000002"/>
    <n v="1441.89"/>
    <n v="976.12"/>
    <x v="2"/>
    <x v="2"/>
    <m/>
    <s v="ORD-2024-10896"/>
    <s v="05-11-24"/>
    <s v="11-10-24"/>
    <s v="CUST-4117"/>
    <s v="Arjun Bose"/>
    <s v="Consumer"/>
    <s v="South"/>
    <s v="Kerala"/>
    <s v="Kochi"/>
    <s v="Furniture"/>
    <s v="Chairs"/>
    <s v="Basic Chairs 212"/>
    <s v="Same Day"/>
    <s v="anomaly"/>
    <n v="-25"/>
    <n v="0.15"/>
    <x v="866"/>
    <x v="866"/>
    <n v="0.40368782288921634"/>
    <s v="05-11-24"/>
    <s v="11-10-24"/>
    <s v="November"/>
    <s v="2024"/>
    <s v=" "/>
    <n v="-25"/>
    <s v="Unique"/>
  </r>
  <r>
    <s v="ORD-2024-10897"/>
    <s v="12/24/2024"/>
    <s v="25-12-2024"/>
    <s v="CUST-4848"/>
    <s v="Ananya Rao"/>
    <s v="Small Business"/>
    <x v="2"/>
    <s v="Tamil Nadu"/>
    <s v="Chennai"/>
    <s v="Technology"/>
    <s v="Copiers"/>
    <s v="Max Copiers 121"/>
    <s v="Second Class"/>
    <n v="1"/>
    <n v="3693.03"/>
    <n v="0.05"/>
    <n v="3508.38"/>
    <n v="2828.06"/>
    <n v="680.32"/>
    <x v="3"/>
    <x v="2"/>
    <m/>
    <s v="ORD-2024-10897"/>
    <s v="invalid date"/>
    <s v="25-12-24"/>
    <s v="CUST-4848"/>
    <s v="Ananya Rao"/>
    <s v="Small Business"/>
    <s v="South"/>
    <s v="Tamil Nadu"/>
    <s v="Chennai"/>
    <s v="Technology"/>
    <s v="Copiers"/>
    <s v="Max Copiers 121"/>
    <s v="Second Class"/>
    <s v="Invalid"/>
    <s v="invalid date"/>
    <n v="0.05"/>
    <x v="867"/>
    <x v="867"/>
    <n v="0.19391251542557336"/>
    <s v="invalid date"/>
    <s v="25-12-24"/>
    <s v="invalid date"/>
    <s v="invalid date"/>
    <s v="Invalid"/>
    <s v="invalid date"/>
    <s v="Unique"/>
  </r>
  <r>
    <s v="ORD-2025-10898"/>
    <s v="04/29/2025"/>
    <s v="03 May 2025"/>
    <s v="CUST-2897"/>
    <s v="Rohan Mehta"/>
    <s v="Corporate"/>
    <x v="0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x v="0"/>
    <x v="0"/>
    <m/>
    <s v="ORD-2025-10898"/>
    <s v="invalid date"/>
    <s v="03-05-25"/>
    <s v="CUST-2897"/>
    <s v="Rohan Mehta"/>
    <s v="Corporate"/>
    <s v="North"/>
    <s v="Haryana"/>
    <s v="Gurugram"/>
    <s v="Office Supplies"/>
    <s v="Paper"/>
    <s v="Eco Paper 747"/>
    <s v="First Class"/>
    <s v="Invalid"/>
    <s v="invalid date"/>
    <n v="0.05"/>
    <x v="868"/>
    <x v="868"/>
    <n v="0.17127614603631908"/>
    <s v="invalid date"/>
    <s v="03-05-25"/>
    <s v="invalid date"/>
    <s v="invalid date"/>
    <s v="Invalid"/>
    <s v="invalid date"/>
    <s v="Unique"/>
  </r>
  <r>
    <s v="ORD-2024-10899"/>
    <s v="2024-06-02"/>
    <s v="06/08/2024"/>
    <s v="CUST-6046"/>
    <s v="Vikram Iyer"/>
    <s v="Consumer"/>
    <x v="0"/>
    <s v="Delhi"/>
    <s v="New Delhi"/>
    <s v="Furniture"/>
    <s v="Tables"/>
    <s v="Classic Tables 535"/>
    <s v="First Class"/>
    <n v="4"/>
    <n v="1536.7"/>
    <n v="0.2"/>
    <n v="4917.4399999999996"/>
    <n v="3846.77"/>
    <n v="1070.67"/>
    <x v="0"/>
    <x v="0"/>
    <m/>
    <s v="ORD-2024-10899"/>
    <s v="02-06-24"/>
    <s v="06-08-24"/>
    <s v="CUST-6046"/>
    <s v="Vikram Iyer"/>
    <s v="Consumer"/>
    <s v="North"/>
    <s v="Delhi"/>
    <s v="New Delhi"/>
    <s v="Furniture"/>
    <s v="Tables"/>
    <s v="Classic Tables 535"/>
    <s v="First Class"/>
    <s v="anomaly"/>
    <n v="65"/>
    <n v="0.2"/>
    <x v="869"/>
    <x v="869"/>
    <n v="0.21772914361944434"/>
    <s v="02-06-24"/>
    <s v="06-08-24"/>
    <s v="June"/>
    <s v="2024"/>
    <s v=" "/>
    <n v="65"/>
    <s v="Unique"/>
  </r>
  <r>
    <s v="ORD-2025-10900"/>
    <s v="27 May 2025"/>
    <s v="06/03/2025"/>
    <s v="CUST-3789"/>
    <s v="Karan Malhotra"/>
    <s v="Consumer"/>
    <x v="0"/>
    <s v="Punjab"/>
    <s v="Ludhiana"/>
    <s v="Furniture"/>
    <s v="Chairs"/>
    <s v="Elite Chairs 971"/>
    <s v="First Class"/>
    <n v="5"/>
    <n v="881.08"/>
    <n v="0.25"/>
    <n v="3304.05"/>
    <n v="2279.41"/>
    <n v="1024.6400000000001"/>
    <x v="3"/>
    <x v="1"/>
    <m/>
    <s v="ORD-2025-10900"/>
    <s v="27-05-25"/>
    <s v="06-03-25"/>
    <s v="CUST-3789"/>
    <s v="Karan Malhotra"/>
    <s v="Consumer"/>
    <s v="North"/>
    <s v="Punjab"/>
    <s v="Ludhiana"/>
    <s v="Furniture"/>
    <s v="Chairs"/>
    <s v="Elite Chairs 971"/>
    <s v="First Class"/>
    <s v="  "/>
    <n v="-82"/>
    <n v="0.25"/>
    <x v="870"/>
    <x v="870"/>
    <n v="0.31011637233092726"/>
    <s v="27-05-25"/>
    <s v="06-03-25"/>
    <s v="May"/>
    <s v="2025"/>
    <s v="anomaly"/>
    <n v="-82"/>
    <s v="Unique"/>
  </r>
  <r>
    <s v="ORD-2024-10503"/>
    <s v="04/01/2024"/>
    <s v="2024-04-09"/>
    <s v="CUST-1534"/>
    <s v="Priya Menon"/>
    <s v="Small Business"/>
    <x v="1"/>
    <s v="Odisha"/>
    <s v="Bhubaneswar"/>
    <s v="Technology"/>
    <s v="Copiers"/>
    <s v="Prime Copiers 557"/>
    <s v="Second Class"/>
    <n v="6"/>
    <n v="826.93"/>
    <n v="0.1"/>
    <n v="4465.42"/>
    <n v="3377.1"/>
    <n v="1088.32"/>
    <x v="0"/>
    <x v="0"/>
    <m/>
    <s v="ORD-2024-10503"/>
    <s v="04-01-24"/>
    <s v="09-04-24"/>
    <s v="CUST-1534"/>
    <s v="Priya Menon"/>
    <s v="Small Business"/>
    <s v="East"/>
    <s v="Odisha"/>
    <s v="Bhubaneswar"/>
    <s v="Technology"/>
    <s v="Copiers"/>
    <s v="Prime Copiers 557"/>
    <s v="Second Class"/>
    <s v="anomaly"/>
    <n v="96"/>
    <m/>
    <x v="871"/>
    <x v="871"/>
    <m/>
    <m/>
    <m/>
    <m/>
    <m/>
    <m/>
    <m/>
    <m/>
  </r>
  <r>
    <s v="ORD-2024-10599"/>
    <s v="08/17/2024"/>
    <s v="08/24/2024"/>
    <s v="CUST-8498"/>
    <s v="Ananya Rao"/>
    <s v="Corporate"/>
    <x v="1"/>
    <s v="West Bengal"/>
    <s v="Kolkata"/>
    <s v="Technology"/>
    <s v="Copiers"/>
    <s v="Eco Copiers 268"/>
    <s v="Same Day"/>
    <n v="3"/>
    <n v="1490.69"/>
    <n v="0.25"/>
    <n v="3354.05"/>
    <n v="2672.67"/>
    <n v="681.38"/>
    <x v="0"/>
    <x v="0"/>
    <m/>
    <s v="ORD-2024-10599"/>
    <s v="invalid date"/>
    <s v="invalid date"/>
    <s v="CUST-8498"/>
    <s v="Ananya Rao"/>
    <s v="Corporate"/>
    <s v="East"/>
    <s v="West Bengal"/>
    <s v="Kolkata"/>
    <s v="Technology"/>
    <s v="Copiers"/>
    <s v="Eco Copiers 268"/>
    <s v="Same Day"/>
    <s v="Invalid"/>
    <s v="invalid date"/>
    <m/>
    <x v="871"/>
    <x v="871"/>
    <m/>
    <m/>
    <m/>
    <m/>
    <m/>
    <m/>
    <m/>
    <m/>
  </r>
  <r>
    <s v="ORD-2025-10695"/>
    <s v="01-08-2025"/>
    <s v="09-08-2025"/>
    <s v="CUST-8025"/>
    <s v="Isha Nair"/>
    <s v="Consumer"/>
    <x v="2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x v="0"/>
    <x v="0"/>
    <m/>
    <s v="ORD-2025-10695"/>
    <s v="01-08-25"/>
    <s v="09-08-25"/>
    <s v="CUST-8025"/>
    <s v="Isha Nair"/>
    <s v="Consumer"/>
    <s v="South"/>
    <s v="Andhra Pradesh"/>
    <s v="Vijayawada"/>
    <s v="Office Supplies"/>
    <s v="Storage"/>
    <s v="Classic Storage 291"/>
    <s v="First Class"/>
    <s v="anomaly"/>
    <n v="8"/>
    <m/>
    <x v="871"/>
    <x v="871"/>
    <m/>
    <m/>
    <m/>
    <m/>
    <m/>
    <m/>
    <m/>
    <m/>
  </r>
  <r>
    <s v="ORD-2024-10705"/>
    <s v="2024-03-13"/>
    <s v="03/20/2024"/>
    <s v="CUST-4916"/>
    <s v="Priya Menon"/>
    <s v="Home Office"/>
    <x v="2"/>
    <s v="Tamil Nadu"/>
    <s v="Chennai"/>
    <s v="Furniture"/>
    <s v="Bookcases"/>
    <s v="Max Bookcases 738"/>
    <m/>
    <n v="1"/>
    <n v="2825.63"/>
    <n v="0.15"/>
    <n v="2401.79"/>
    <n v="1820.34"/>
    <n v="581.45000000000005"/>
    <x v="0"/>
    <x v="0"/>
    <m/>
    <s v="ORD-2024-10705"/>
    <s v="13-03-24"/>
    <s v="invalid date"/>
    <s v="CUST-4916"/>
    <s v="Priya Menon"/>
    <s v="Home Office"/>
    <s v="South"/>
    <s v="Tamil Nadu"/>
    <s v="Chennai"/>
    <s v="Furniture"/>
    <s v="Bookcases"/>
    <s v="Max Bookcases 738"/>
    <s v="unknown"/>
    <s v="Invalid"/>
    <s v="invalid date"/>
    <m/>
    <x v="871"/>
    <x v="871"/>
    <m/>
    <m/>
    <m/>
    <m/>
    <m/>
    <m/>
    <m/>
    <m/>
  </r>
  <r>
    <s v="ORD-2024-10277"/>
    <s v="22-01-2024"/>
    <s v="23-01-2024"/>
    <s v="CUST-7039"/>
    <s v="Aarav Sharma"/>
    <s v="Small Business"/>
    <x v="4"/>
    <s v="Assam"/>
    <s v="Guwahati"/>
    <s v="Furniture"/>
    <s v="Chairs"/>
    <s v="Basic Chairs 141"/>
    <s v="Second Class"/>
    <n v="6"/>
    <n v="3391.53"/>
    <s v="invalid"/>
    <n v="15261.89"/>
    <n v="8413.5300000000007"/>
    <n v="6848.36"/>
    <x v="0"/>
    <x v="0"/>
    <m/>
    <s v="ORD-2024-10277"/>
    <s v="22-01-24"/>
    <s v="23-01-24"/>
    <s v="CUST-7039"/>
    <s v="Aarav Sharma"/>
    <s v="Small Business"/>
    <s v="unknown"/>
    <s v="Assam"/>
    <s v="Guwahati"/>
    <s v="Furniture"/>
    <s v="Chairs"/>
    <s v="Basic Chairs 141"/>
    <s v="Second Class"/>
    <s v="anomaly"/>
    <n v="1"/>
    <m/>
    <x v="871"/>
    <x v="871"/>
    <m/>
    <m/>
    <m/>
    <m/>
    <m/>
    <m/>
    <m/>
    <m/>
  </r>
  <r>
    <s v="ORD-2025-10633"/>
    <s v="15-04-2025"/>
    <s v="16-04-2025"/>
    <s v="CUST-4593"/>
    <s v="Sneha Kapoor"/>
    <s v="Small Business"/>
    <x v="2"/>
    <s v="Karnataka"/>
    <s v="Bengaluru"/>
    <s v="Furniture"/>
    <s v="Furnishings"/>
    <s v="Smart Furnishings 721"/>
    <s v="First Class"/>
    <n v="5"/>
    <n v="2850.53"/>
    <n v="0"/>
    <n v="14252.65"/>
    <n v="11558.31"/>
    <n v="2694.34"/>
    <x v="0"/>
    <x v="0"/>
    <m/>
    <s v="ORD-2025-10633"/>
    <s v="15-04-25"/>
    <s v="16-04-25"/>
    <s v="CUST-4593"/>
    <s v="Sneha Kapoor"/>
    <s v="Small Business"/>
    <s v="South"/>
    <s v="Karnataka"/>
    <s v="Bengaluru"/>
    <s v="Furniture"/>
    <s v="Furnishings"/>
    <s v="Smart Furnishings 721"/>
    <s v="First Class"/>
    <s v="anomaly"/>
    <n v="1"/>
    <m/>
    <x v="871"/>
    <x v="871"/>
    <m/>
    <m/>
    <m/>
    <m/>
    <m/>
    <m/>
    <m/>
    <m/>
  </r>
  <r>
    <s v="ORD-2025-10730"/>
    <s v="17-05-2025"/>
    <s v="25 May 2025"/>
    <s v="CUST-8713"/>
    <s v="Ananya Rao"/>
    <s v="Corporate"/>
    <x v="2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x v="0"/>
    <x v="0"/>
    <m/>
    <s v="ORD-2025-10730"/>
    <s v="17-05-25"/>
    <s v="25-05-25"/>
    <s v="CUST-8713"/>
    <s v="Ananya Rao"/>
    <s v="Corporate"/>
    <s v="South"/>
    <s v="Tamil Nadu"/>
    <s v="Chennai"/>
    <s v="Technology"/>
    <s v="Machines"/>
    <s v="Pro Machines 563"/>
    <s v="Same Day"/>
    <s v="anomaly"/>
    <n v="8"/>
    <m/>
    <x v="871"/>
    <x v="871"/>
    <m/>
    <m/>
    <m/>
    <m/>
    <m/>
    <m/>
    <m/>
    <m/>
  </r>
  <r>
    <s v="ORD-2024-10134"/>
    <s v="2024-12-13"/>
    <s v="12/18/2024"/>
    <s v="CUST-9441"/>
    <s v="Karan Malhotra"/>
    <s v="Consumer"/>
    <x v="3"/>
    <s v="Goa"/>
    <s v="Panaji"/>
    <s v="Technology"/>
    <s v="Phones"/>
    <s v="Prime Phones 419"/>
    <s v="Second Class"/>
    <n v="8"/>
    <n v="3372.15"/>
    <n v="0.15"/>
    <n v="22930.62"/>
    <n v="16875.55"/>
    <n v="6055.07"/>
    <x v="0"/>
    <x v="0"/>
    <m/>
    <s v="ORD-2024-10134"/>
    <s v="13-12-24"/>
    <s v="invalid date"/>
    <s v="CUST-9441"/>
    <s v="Karan Malhotra"/>
    <s v="Consumer"/>
    <s v="West"/>
    <s v="Goa"/>
    <s v="Panaji"/>
    <s v="Technology"/>
    <s v="Phones"/>
    <s v="Prime Phones 419"/>
    <s v="Second Class"/>
    <s v="Invalid"/>
    <s v="invalid date"/>
    <m/>
    <x v="871"/>
    <x v="871"/>
    <m/>
    <m/>
    <m/>
    <m/>
    <m/>
    <m/>
    <m/>
    <m/>
  </r>
  <r>
    <s v="ORD-2025-10720"/>
    <s v="08 Sep 2025"/>
    <s v="2025-09-09"/>
    <s v="CUST-3190"/>
    <s v="Kabir Singh"/>
    <s v="Corporate"/>
    <x v="3"/>
    <s v="Gujarat"/>
    <s v="Ahmedabad"/>
    <s v="Office Supplies"/>
    <s v="Art"/>
    <s v="Pro Art 447"/>
    <s v="Same Day"/>
    <n v="2"/>
    <n v="2372.41"/>
    <n v="0.2"/>
    <n v="3795.86"/>
    <n v="2264.92"/>
    <n v="1530.94"/>
    <x v="0"/>
    <x v="0"/>
    <m/>
    <s v="ORD-2025-10720"/>
    <s v="08-09-25"/>
    <s v="09-09-25"/>
    <s v="CUST-3190"/>
    <s v="Kabir Singh"/>
    <s v="Corporate"/>
    <s v="West"/>
    <s v="Gujarat"/>
    <s v="Ahmedabad"/>
    <s v="Office Supplies"/>
    <s v="Art"/>
    <s v="Pro Art 447"/>
    <s v="Same Day"/>
    <s v="anomaly"/>
    <n v="1"/>
    <m/>
    <x v="871"/>
    <x v="871"/>
    <m/>
    <m/>
    <m/>
    <m/>
    <m/>
    <m/>
    <m/>
    <m/>
  </r>
  <r>
    <s v="ORD-2025-10400"/>
    <s v="04/24/2025"/>
    <s v="2025-04-29"/>
    <s v="CUST-5647"/>
    <s v="Diya Patel"/>
    <s v="Small Business"/>
    <x v="2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x v="0"/>
    <x v="0"/>
    <m/>
    <s v="ORD-2025-10400"/>
    <s v="invalid date"/>
    <s v="29-04-25"/>
    <s v="CUST-5647"/>
    <s v="Diya Patel"/>
    <s v="Small Business"/>
    <s v="South"/>
    <s v="Andhra Pradesh"/>
    <s v="Vijayawada"/>
    <s v="Office Supplies"/>
    <s v="Paper"/>
    <s v="Elite Paper 308"/>
    <s v="Same Day"/>
    <s v="Invalid"/>
    <s v="invalid date"/>
    <m/>
    <x v="871"/>
    <x v="871"/>
    <m/>
    <m/>
    <m/>
    <m/>
    <m/>
    <m/>
    <m/>
    <m/>
  </r>
  <r>
    <s v="ORD-2024-10124"/>
    <s v="05/24/2024"/>
    <s v="25 May 2024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634.13"/>
    <n v="453.35"/>
    <n v="180.78"/>
    <x v="1"/>
    <x v="1"/>
    <m/>
    <s v="ORD-2024-10124"/>
    <s v="invalid date"/>
    <s v="25-05-24"/>
    <s v="CUST-1007"/>
    <s v="Sneha Kapoor"/>
    <s v="Small Business"/>
    <s v="North"/>
    <s v="Punjab"/>
    <s v="Ludhiana"/>
    <s v="Technology"/>
    <s v="Copiers"/>
    <s v="Max Copiers 970"/>
    <s v="Same Day"/>
    <s v="Invalid"/>
    <s v="invalid date"/>
    <m/>
    <x v="871"/>
    <x v="871"/>
    <m/>
    <m/>
    <m/>
    <m/>
    <m/>
    <m/>
    <m/>
    <m/>
  </r>
  <r>
    <s v="ORD-2024-10251"/>
    <s v="02/21/2024"/>
    <s v="02/27/2024"/>
    <s v="CUST-5351"/>
    <s v="Arjun Bose"/>
    <s v="Small Business"/>
    <x v="1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x v="2"/>
    <x v="2"/>
    <m/>
    <s v="ORD-2024-10251"/>
    <s v="invalid date"/>
    <s v="invalid date"/>
    <s v="CUST-5351"/>
    <s v="Arjun Bose"/>
    <s v="Small Business"/>
    <s v="East"/>
    <s v="West Bengal"/>
    <s v="Kolkata"/>
    <s v="Furniture"/>
    <s v="Furnishings"/>
    <s v="Prime Furnishings 781"/>
    <s v="Standard Class"/>
    <s v="Invalid"/>
    <s v="invalid date"/>
    <m/>
    <x v="871"/>
    <x v="871"/>
    <m/>
    <m/>
    <m/>
    <m/>
    <m/>
    <m/>
    <m/>
    <m/>
  </r>
  <r>
    <s v="ORD-2025-10378"/>
    <s v="24 May 2025"/>
    <s v="30-05-2025"/>
    <s v="CUST-4875"/>
    <s v="Kabir Singh"/>
    <s v="Small Business"/>
    <x v="1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x v="0"/>
    <x v="0"/>
    <m/>
    <s v="ORD-2025-10378"/>
    <s v="24-05-25"/>
    <s v="30-05-25"/>
    <s v="CUST-4875"/>
    <s v="Kabir Singh"/>
    <s v="Small Business"/>
    <s v="East"/>
    <s v="Odisha"/>
    <s v="Bhubaneswar"/>
    <s v="Office Supplies"/>
    <s v="Storage"/>
    <s v="Basic Storage 360"/>
    <s v="Same Day"/>
    <s v="anomaly"/>
    <n v="6"/>
    <m/>
    <x v="871"/>
    <x v="871"/>
    <m/>
    <m/>
    <m/>
    <m/>
    <m/>
    <m/>
    <m/>
    <m/>
  </r>
  <r>
    <s v="ORD-2024-10281"/>
    <s v="12/23/2024"/>
    <s v="26-12-2024"/>
    <s v="CUST-4098"/>
    <s v="Aditi Sen"/>
    <s v="Consumer"/>
    <x v="2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x v="0"/>
    <x v="0"/>
    <m/>
    <s v="ORD-2024-10281"/>
    <s v="invalid date"/>
    <s v="26-12-24"/>
    <s v="CUST-4098"/>
    <s v="Aditi Sen"/>
    <s v="Consumer"/>
    <s v="South"/>
    <s v="Karnataka"/>
    <s v="Bengaluru"/>
    <s v="Technology"/>
    <s v="Copiers"/>
    <s v="Prime Copiers 961"/>
    <s v="Standard Class"/>
    <s v="Invalid"/>
    <s v="invalid date"/>
    <m/>
    <x v="871"/>
    <x v="871"/>
    <m/>
    <m/>
    <m/>
    <m/>
    <m/>
    <m/>
    <m/>
    <m/>
  </r>
  <r>
    <s v="ORD-2024-10713"/>
    <s v="10 Feb 2024"/>
    <s v="18 Feb 2024"/>
    <s v="CUST-5127"/>
    <s v="Isha Nair"/>
    <s v="Home Office"/>
    <x v="3"/>
    <s v="Madhya Pradesh"/>
    <s v="Indore"/>
    <s v="Furniture"/>
    <s v="Chairs"/>
    <s v="Smart Chairs 259"/>
    <s v="First Class"/>
    <n v="7"/>
    <n v="1382.86"/>
    <n v="0"/>
    <n v="9680.02"/>
    <n v="6876.66"/>
    <n v="2803.36"/>
    <x v="0"/>
    <x v="0"/>
    <m/>
    <s v="ORD-2024-10713"/>
    <s v="10-02-24"/>
    <s v="18-02-24"/>
    <s v="CUST-5127"/>
    <s v="Isha Nair"/>
    <s v="Home Office"/>
    <s v="West"/>
    <s v="Madhya Pradesh"/>
    <s v="Indore"/>
    <s v="Furniture"/>
    <s v="Chairs"/>
    <s v="Smart Chairs 259"/>
    <s v="First Class"/>
    <s v="anomaly"/>
    <n v="8"/>
    <m/>
    <x v="871"/>
    <x v="871"/>
    <m/>
    <m/>
    <m/>
    <m/>
    <m/>
    <m/>
    <m/>
    <m/>
  </r>
  <r>
    <s v="ORD-2025-10550"/>
    <s v="10/11/2025"/>
    <s v="13 Oct 2025"/>
    <s v="CUST-6028"/>
    <s v="Mira Das"/>
    <s v="Corporate"/>
    <x v="2"/>
    <s v="Telangana"/>
    <s v="Hyderabad"/>
    <s v="Office Supplies"/>
    <s v="Art"/>
    <s v="Pro Art 287"/>
    <s v="Second Class"/>
    <n v="3"/>
    <n v="3804.27"/>
    <n v="0.1"/>
    <n v="10271.530000000001"/>
    <n v="8272.24"/>
    <n v="1999.29"/>
    <x v="0"/>
    <x v="0"/>
    <m/>
    <s v="ORD-2025-10550"/>
    <s v="10-11-25"/>
    <s v="13-10-25"/>
    <s v="CUST-6028"/>
    <s v="Mira Das"/>
    <s v="Corporate"/>
    <s v="South"/>
    <s v="Telangana"/>
    <s v="Hyderabad"/>
    <s v="Office Supplies"/>
    <s v="Art"/>
    <s v="Pro Art 287"/>
    <s v="Second Class"/>
    <s v="anomaly"/>
    <n v="-28"/>
    <m/>
    <x v="871"/>
    <x v="871"/>
    <m/>
    <m/>
    <m/>
    <m/>
    <m/>
    <m/>
    <m/>
    <m/>
  </r>
  <r>
    <s v="ORD-2024-10850"/>
    <s v="2024-03-06"/>
    <s v="12-03-2024"/>
    <s v="CUST-3360"/>
    <s v="Isha Nair"/>
    <s v="Home Office"/>
    <x v="3"/>
    <s v="Gujarat"/>
    <s v="Ahmedabad"/>
    <s v="Furniture"/>
    <s v="Bookcases"/>
    <s v="Prime Bookcases 755"/>
    <s v="Standard Class"/>
    <n v="3"/>
    <n v="679.63"/>
    <n v="0.2"/>
    <n v="1631.11"/>
    <n v="898.73"/>
    <n v="396.58"/>
    <x v="0"/>
    <x v="0"/>
    <m/>
    <s v="ORD-2024-10850"/>
    <s v="06-03-24"/>
    <s v="12-03-24"/>
    <s v="CUST-3360"/>
    <s v="Isha Nair"/>
    <s v="Home Office"/>
    <s v="West"/>
    <s v="Gujarat"/>
    <s v="Ahmedabad"/>
    <s v="Furniture"/>
    <s v="Bookcases"/>
    <s v="Prime Bookcases 755"/>
    <s v="Standard Class"/>
    <s v="anomaly"/>
    <n v="6"/>
    <m/>
    <x v="871"/>
    <x v="871"/>
    <m/>
    <m/>
    <m/>
    <m/>
    <m/>
    <m/>
    <m/>
    <m/>
  </r>
  <r>
    <s v="ORD-2025-10128"/>
    <s v="01/30/2025"/>
    <s v="26-01-2025"/>
    <s v="CUST-6802"/>
    <s v="Priya Menon"/>
    <s v="Corporate"/>
    <x v="3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x v="0"/>
    <x v="0"/>
    <m/>
    <s v="ORD-2025-10128"/>
    <s v="invalid date"/>
    <s v="26-01-25"/>
    <s v="CUST-6802"/>
    <s v="Priya Menon"/>
    <s v="Corporate"/>
    <s v="West"/>
    <s v="Madhya Pradesh"/>
    <s v="Indore"/>
    <s v="Office Supplies"/>
    <s v="Storage"/>
    <s v="Basic Storage 321"/>
    <s v="Second Class"/>
    <s v="Invalid"/>
    <s v="invalid date"/>
    <m/>
    <x v="871"/>
    <x v="871"/>
    <m/>
    <m/>
    <m/>
    <m/>
    <m/>
    <m/>
    <m/>
    <m/>
  </r>
  <r>
    <s v="ORD-2025-10677"/>
    <s v="09/11/2025"/>
    <s v="09/18/2025"/>
    <s v="CUST-9212"/>
    <s v="Rahul Verma"/>
    <s v="Small Business"/>
    <x v="0"/>
    <s v="Delhi"/>
    <s v="New Delhi"/>
    <s v="Technology"/>
    <s v="Phones"/>
    <s v="Smart Phones 967"/>
    <s v="Same Day"/>
    <n v="7"/>
    <n v="3411.21"/>
    <n v="0.15"/>
    <n v="20296.7"/>
    <n v="14920.87"/>
    <n v="5375.83"/>
    <x v="0"/>
    <x v="0"/>
    <m/>
    <s v="ORD-2025-10677"/>
    <s v="09-11-25"/>
    <s v="invalid date"/>
    <s v="CUST-9212"/>
    <s v="Rahul Verma"/>
    <s v="Small Business"/>
    <s v="North"/>
    <s v="Delhi"/>
    <s v="New Delhi"/>
    <s v="Technology"/>
    <s v="Phones"/>
    <s v="Smart Phones 967"/>
    <s v="Same Day"/>
    <s v="Invalid"/>
    <s v="invalid date"/>
    <m/>
    <x v="871"/>
    <x v="871"/>
    <m/>
    <m/>
    <m/>
    <m/>
    <m/>
    <m/>
    <m/>
    <m/>
  </r>
  <r>
    <s v="ORD-2025-10007"/>
    <s v="04/10/2025"/>
    <s v="04/16/2025"/>
    <s v="CUST-3656"/>
    <s v="Neha Gupta"/>
    <s v="Consumer"/>
    <x v="1"/>
    <s v="Odisha"/>
    <s v="Bhubaneswar"/>
    <s v="Technology"/>
    <s v="Copiers"/>
    <s v="Eco Copiers 790"/>
    <s v="Standard Class"/>
    <n v="4"/>
    <n v="1719.87"/>
    <n v="0.15"/>
    <n v="5847.56"/>
    <n v="4727.25"/>
    <n v="1120.31"/>
    <x v="0"/>
    <x v="0"/>
    <m/>
    <s v="ORD-2025-10007"/>
    <s v="04-10-25"/>
    <s v="invalid date"/>
    <s v="CUST-3656"/>
    <s v="Neha Gupta"/>
    <s v="Consumer"/>
    <s v="East"/>
    <s v="Odisha"/>
    <s v="Bhubaneswar"/>
    <s v="Technology"/>
    <s v="Copiers"/>
    <s v="Eco Copiers 790"/>
    <s v="Standard Class"/>
    <s v="Invalid"/>
    <s v="invalid date"/>
    <m/>
    <x v="871"/>
    <x v="871"/>
    <m/>
    <m/>
    <m/>
    <m/>
    <m/>
    <m/>
    <m/>
    <m/>
  </r>
  <r>
    <s v="ORD-2024-10332"/>
    <s v="04-12-2024"/>
    <s v="2024-12-06"/>
    <s v="CUST-9346"/>
    <s v="Sneha Kapoor"/>
    <s v="Home Office"/>
    <x v="1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x v="0"/>
    <x v="0"/>
    <m/>
    <s v="ORD-2024-10332"/>
    <s v="04-12-24"/>
    <s v="06-12-24"/>
    <s v="CUST-9346"/>
    <s v="Sneha Kapoor"/>
    <s v="Home Office"/>
    <s v="East"/>
    <s v="Odisha"/>
    <s v="Bhubaneswar"/>
    <s v="Office Supplies"/>
    <s v="Binders"/>
    <s v="Smart Binders 939"/>
    <s v="Second Class"/>
    <s v="anomaly"/>
    <n v="2"/>
    <m/>
    <x v="871"/>
    <x v="871"/>
    <m/>
    <m/>
    <m/>
    <m/>
    <m/>
    <m/>
    <m/>
    <m/>
  </r>
  <r>
    <s v="ORD-2025-10091"/>
    <s v="08/24/2025"/>
    <s v="29 Aug 2025"/>
    <s v="CUST-5909"/>
    <s v="Aarav Sharma"/>
    <s v="Small Business"/>
    <x v="1"/>
    <s v="Bihar"/>
    <s v="Patna"/>
    <s v="Technology"/>
    <s v="Copiers"/>
    <s v="Smart Copiers 556"/>
    <s v="First Class"/>
    <n v="3"/>
    <n v="3703.96"/>
    <n v="0.15"/>
    <n v="9549.44"/>
    <n v="5586.28"/>
    <n v="3858.82"/>
    <x v="0"/>
    <x v="2"/>
    <m/>
    <s v="ORD-2025-10091"/>
    <s v="invalid date"/>
    <s v="29-08-25"/>
    <s v="CUST-5909"/>
    <s v="Aarav Sharma"/>
    <s v="Small Business"/>
    <s v="East"/>
    <s v="Bihar"/>
    <s v="Patna"/>
    <s v="Technology"/>
    <s v="Copiers"/>
    <s v="Smart Copiers 556"/>
    <s v="First Class"/>
    <s v="Invalid"/>
    <s v="invalid date"/>
    <m/>
    <x v="871"/>
    <x v="871"/>
    <m/>
    <m/>
    <m/>
    <m/>
    <m/>
    <m/>
    <m/>
    <m/>
  </r>
  <r>
    <s v="ORD-2025-10374"/>
    <s v="2025-04-13"/>
    <s v="2025-04-13"/>
    <s v="CUST-8566"/>
    <s v="Sneha Kapoor"/>
    <s v="Small Business"/>
    <x v="0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x v="0"/>
    <x v="2"/>
    <m/>
    <s v="ORD-2025-10374"/>
    <s v="13-04-25"/>
    <s v="13-04-25"/>
    <s v="CUST-8566"/>
    <s v="Sneha Kapoor"/>
    <s v="Small Business"/>
    <s v="North"/>
    <s v="Uttar Pradesh"/>
    <s v="Noida"/>
    <s v="Office Supplies"/>
    <s v="Storage"/>
    <s v="Prime Storage 951"/>
    <s v="Second Class"/>
    <s v="  "/>
    <n v="0"/>
    <m/>
    <x v="871"/>
    <x v="871"/>
    <m/>
    <m/>
    <m/>
    <m/>
    <m/>
    <m/>
    <m/>
    <m/>
  </r>
  <r>
    <s v="ORD-2025-10225"/>
    <s v="10/02/2025"/>
    <s v="08 Oct 2025"/>
    <s v="CUST-9871"/>
    <s v="Isha Nair"/>
    <s v="Small Business"/>
    <x v="0"/>
    <s v="Punjab"/>
    <s v="Ludhiana"/>
    <s v="Furniture"/>
    <s v="Furnishings"/>
    <s v="Classic Furnishings 109"/>
    <s v="Standard Class"/>
    <n v="4"/>
    <n v="3944.64"/>
    <n v="0.25"/>
    <n v="12116.89"/>
    <n v="6682.92"/>
    <n v="5151"/>
    <x v="0"/>
    <x v="2"/>
    <m/>
    <s v="ORD-2025-10225"/>
    <s v="10-02-25"/>
    <s v="08-10-25"/>
    <s v="CUST-9871"/>
    <s v="Isha Nair"/>
    <s v="Small Business"/>
    <s v="North"/>
    <s v="Punjab"/>
    <s v="Ludhiana"/>
    <s v="Furniture"/>
    <s v="Furnishings"/>
    <s v="Classic Furnishings 109"/>
    <s v="Standard Class"/>
    <s v="  "/>
    <n v="240"/>
    <m/>
    <x v="871"/>
    <x v="871"/>
    <m/>
    <m/>
    <m/>
    <m/>
    <m/>
    <m/>
    <m/>
    <m/>
  </r>
  <r>
    <s v="ORD-2025-10315"/>
    <s v="05/18/2025"/>
    <s v="20 May 2025"/>
    <s v="CUST-1945"/>
    <s v="Isha Nair"/>
    <s v="Corporate"/>
    <x v="3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x v="3"/>
    <x v="0"/>
    <m/>
    <s v="ORD-2025-10315"/>
    <s v="invalid date"/>
    <s v="20-05-25"/>
    <s v="CUST-1945"/>
    <s v="Isha Nair"/>
    <s v="Corporate"/>
    <s v="West"/>
    <s v="Madhya Pradesh"/>
    <s v="Indore"/>
    <s v="Office Supplies"/>
    <s v="Labels"/>
    <s v="Elite Labels 544"/>
    <s v="Standard Class"/>
    <s v="Invalid"/>
    <s v="invalid date"/>
    <m/>
    <x v="871"/>
    <x v="871"/>
    <m/>
    <m/>
    <m/>
    <m/>
    <m/>
    <m/>
    <m/>
    <m/>
  </r>
  <r>
    <s v="ORD-2025-10171"/>
    <s v="07-09-2025"/>
    <s v="09/15/2025"/>
    <s v="CUST-3734"/>
    <s v="Rohan Mehta"/>
    <s v="Corporate"/>
    <x v="1"/>
    <s v="Bihar"/>
    <s v="Patna"/>
    <s v="Technology"/>
    <s v="Copiers"/>
    <s v="Eco Copiers 102"/>
    <s v="Standard Class"/>
    <n v="3"/>
    <n v="1711.32"/>
    <n v="0"/>
    <n v="5206.53"/>
    <n v="3930"/>
    <n v="1203.96"/>
    <x v="0"/>
    <x v="2"/>
    <m/>
    <s v="ORD-2025-10171"/>
    <s v="07-09-25"/>
    <s v="invalid date"/>
    <s v="CUST-3734"/>
    <s v="Rohan Mehta"/>
    <s v="Corporate"/>
    <s v="East"/>
    <s v="Bihar"/>
    <s v="Patna"/>
    <s v="Technology"/>
    <s v="Copiers"/>
    <s v="Eco Copiers 102"/>
    <s v="Standard Class"/>
    <s v="Invalid"/>
    <s v="invalid date"/>
    <m/>
    <x v="871"/>
    <x v="871"/>
    <m/>
    <m/>
    <m/>
    <m/>
    <m/>
    <m/>
    <m/>
    <m/>
  </r>
  <r>
    <s v="ORD-2024-10424"/>
    <s v="2024-02-20"/>
    <s v="27-02-2024"/>
    <s v="CUST-6169"/>
    <s v="Diya Patel"/>
    <s v="Consumer"/>
    <x v="2"/>
    <s v="Kerala"/>
    <s v="Kochi"/>
    <s v="Technology"/>
    <s v="Accessories"/>
    <s v="Prime Accessories 236"/>
    <s v="First Class"/>
    <n v="9"/>
    <n v="3779.31"/>
    <n v="0.2"/>
    <n v="27322.9"/>
    <n v="17940.43"/>
    <n v="9270.6"/>
    <x v="0"/>
    <x v="2"/>
    <m/>
    <s v="ORD-2024-10424"/>
    <s v="20-02-24"/>
    <s v="27-02-24"/>
    <s v="CUST-6169"/>
    <s v="Diya Patel"/>
    <s v="Consumer"/>
    <s v="South"/>
    <s v="Kerala"/>
    <s v="Kochi"/>
    <s v="Technology"/>
    <s v="Accessories"/>
    <s v="Prime Accessories 236"/>
    <s v="First Class"/>
    <s v="anomaly"/>
    <n v="7"/>
    <m/>
    <x v="871"/>
    <x v="871"/>
    <m/>
    <m/>
    <m/>
    <m/>
    <m/>
    <m/>
    <m/>
    <m/>
  </r>
  <r>
    <s v="ORD-2025-10572"/>
    <s v="10 Feb 2025"/>
    <s v="2025-02-14"/>
    <s v="CUST-3425"/>
    <s v="Priya Menon"/>
    <s v="Small Business"/>
    <x v="0"/>
    <s v="Uttar Pradesh"/>
    <s v="Noida"/>
    <s v="Technology"/>
    <s v="Phones"/>
    <s v="Prime Phones 895"/>
    <m/>
    <n v="5"/>
    <n v="4276.29"/>
    <n v="0"/>
    <n v="21443.63"/>
    <n v="13240.21"/>
    <n v="8141.24"/>
    <x v="3"/>
    <x v="0"/>
    <m/>
    <s v="ORD-2025-10572"/>
    <s v="10-02-25"/>
    <s v="14-02-25"/>
    <s v="CUST-3425"/>
    <s v="Priya Menon"/>
    <s v="Small Business"/>
    <s v="North"/>
    <s v="Uttar Pradesh"/>
    <s v="Noida"/>
    <s v="Technology"/>
    <s v="Phones"/>
    <s v="Prime Phones 895"/>
    <s v="unknown"/>
    <s v="anomaly"/>
    <n v="4"/>
    <m/>
    <x v="871"/>
    <x v="871"/>
    <m/>
    <m/>
    <m/>
    <m/>
    <m/>
    <m/>
    <m/>
    <m/>
  </r>
  <r>
    <s v="ORD-2024-10143"/>
    <s v="30 Mar 2024"/>
    <s v="26 Mar 2024"/>
    <s v="CUST-8944"/>
    <s v="Aditi Sen"/>
    <s v="Home Office"/>
    <x v="0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x v="0"/>
    <x v="2"/>
    <m/>
    <s v="ORD-2024-10143"/>
    <s v="30-03-24"/>
    <s v="26-03-24"/>
    <s v="CUST-8944"/>
    <s v="Aditi Sen"/>
    <s v="Home Office"/>
    <s v="North"/>
    <s v="Rajasthan"/>
    <s v="Jaipur"/>
    <s v="Technology"/>
    <s v="Phones"/>
    <s v="Classic Phones 142"/>
    <s v="Second Class"/>
    <s v="  "/>
    <n v="-4"/>
    <m/>
    <x v="871"/>
    <x v="871"/>
    <m/>
    <m/>
    <m/>
    <m/>
    <m/>
    <m/>
    <m/>
    <m/>
  </r>
  <r>
    <s v="ORD-2024-10273"/>
    <s v="08/18/2024"/>
    <s v="24 Aug 2024"/>
    <s v="CUST-7389"/>
    <s v="Arjun Bose"/>
    <s v="Consumer"/>
    <x v="2"/>
    <s v="Andhra Pradesh"/>
    <s v="Vijayawada"/>
    <s v="Furniture"/>
    <s v="Chairs"/>
    <s v="Eco Chairs 314"/>
    <s v="First Class"/>
    <n v="7"/>
    <n v="557.21"/>
    <n v="0.1"/>
    <n v="3797.79"/>
    <n v="2191.5"/>
    <n v="1213.48"/>
    <x v="0"/>
    <x v="2"/>
    <m/>
    <s v="ORD-2024-10273"/>
    <s v="invalid date"/>
    <s v="24-08-24"/>
    <s v="CUST-7389"/>
    <s v="Arjun Bose"/>
    <s v="Consumer"/>
    <s v="South"/>
    <s v="Andhra Pradesh"/>
    <s v="Vijayawada"/>
    <s v="Furniture"/>
    <s v="Chairs"/>
    <s v="Eco Chairs 314"/>
    <s v="First Class"/>
    <s v="Invalid"/>
    <s v="invalid date"/>
    <m/>
    <x v="871"/>
    <x v="871"/>
    <m/>
    <m/>
    <m/>
    <m/>
    <m/>
    <m/>
    <m/>
    <m/>
  </r>
  <r>
    <s v="ORD-2024-10124"/>
    <s v="05/24/2024"/>
    <s v="25 May 2024"/>
    <s v="CUST-1007"/>
    <s v="Sneha Kapoor"/>
    <s v="Small Business"/>
    <x v="0"/>
    <s v="Punjab"/>
    <s v="Ludhiana"/>
    <s v="Technology"/>
    <s v="Copiers"/>
    <s v="Max Copiers 970"/>
    <s v="Same Day"/>
    <n v="1"/>
    <n v="634.13"/>
    <n v="0"/>
    <n v="808.67"/>
    <n v="453.35"/>
    <n v="180.78"/>
    <x v="1"/>
    <x v="2"/>
    <m/>
    <s v="ORD-2024-10124"/>
    <s v="invalid date"/>
    <s v="25-05-24"/>
    <s v="CUST-1007"/>
    <s v="Sneha Kapoor"/>
    <s v="Small Business"/>
    <s v="North"/>
    <s v="Punjab"/>
    <s v="Ludhiana"/>
    <s v="Technology"/>
    <s v="Copiers"/>
    <s v="Max Copiers 970"/>
    <s v="Same Day"/>
    <s v="Invalid"/>
    <s v="invalid date"/>
    <m/>
    <x v="871"/>
    <x v="871"/>
    <m/>
    <m/>
    <m/>
    <m/>
    <m/>
    <m/>
    <m/>
    <m/>
  </r>
  <r>
    <s v="ORD-2025-10336"/>
    <s v="06/16/2025"/>
    <s v="18 Jun 2025"/>
    <s v="CUST-3621"/>
    <s v="Rahul Verma"/>
    <s v="Home Office"/>
    <x v="3"/>
    <s v="Madhya Pradesh"/>
    <s v="Indore"/>
    <s v="Office Supplies"/>
    <s v="Paper"/>
    <s v="Prime Paper 559"/>
    <s v="First Class"/>
    <n v="3"/>
    <n v="4289.37"/>
    <n v="0.1"/>
    <n v="11778.71"/>
    <n v="6829.43"/>
    <n v="4751.87"/>
    <x v="0"/>
    <x v="2"/>
    <m/>
    <s v="ORD-2025-10336"/>
    <s v="invalid date"/>
    <s v="18-06-25"/>
    <s v="CUST-3621"/>
    <s v="Rahul Verma"/>
    <s v="Home Office"/>
    <s v="West"/>
    <s v="Madhya Pradesh"/>
    <s v="Indore"/>
    <s v="Office Supplies"/>
    <s v="Paper"/>
    <s v="Prime Paper 559"/>
    <s v="First Class"/>
    <s v="Invalid"/>
    <s v="invalid date"/>
    <m/>
    <x v="871"/>
    <x v="871"/>
    <m/>
    <m/>
    <m/>
    <m/>
    <m/>
    <m/>
    <m/>
    <m/>
  </r>
  <r>
    <m/>
    <m/>
    <m/>
    <m/>
    <m/>
    <m/>
    <x v="4"/>
    <m/>
    <m/>
    <m/>
    <m/>
    <m/>
    <m/>
    <m/>
    <m/>
    <m/>
    <m/>
    <m/>
    <m/>
    <x v="4"/>
    <x v="3"/>
    <m/>
    <m/>
    <m/>
    <m/>
    <m/>
    <m/>
    <m/>
    <m/>
    <m/>
    <m/>
    <m/>
    <m/>
    <m/>
    <m/>
    <m/>
    <m/>
    <m/>
    <x v="871"/>
    <x v="871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n v="3207.39"/>
    <x v="0"/>
    <x v="0"/>
    <m/>
    <x v="0"/>
    <s v="21-07-24"/>
    <s v="invalid date"/>
    <s v="CUST-4655"/>
    <s v="Karan Malhotra"/>
    <x v="0"/>
    <x v="0"/>
    <s v="Rajasthan"/>
    <s v="Jaipur"/>
    <x v="0"/>
    <x v="0"/>
    <s v="Pro Paper 122"/>
    <x v="0"/>
    <s v="Invalid"/>
    <s v="invalid date"/>
    <n v="0.2"/>
    <x v="0"/>
    <x v="0"/>
    <x v="0"/>
    <x v="0"/>
    <s v="invalid date"/>
    <x v="0"/>
    <x v="0"/>
    <s v="Invalid"/>
    <s v="invalid date"/>
    <x v="0"/>
  </r>
  <r>
    <n v="2407.77"/>
    <x v="0"/>
    <x v="0"/>
    <m/>
    <x v="1"/>
    <s v="invalid date"/>
    <s v="05-09-24"/>
    <s v="CUST-2054"/>
    <s v="Mira Das"/>
    <x v="1"/>
    <x v="1"/>
    <s v="Odisha"/>
    <s v="Bhubaneswar"/>
    <x v="1"/>
    <x v="1"/>
    <s v="Pro Tables 258"/>
    <x v="1"/>
    <s v="Invalid"/>
    <s v="invalid date"/>
    <n v="0"/>
    <x v="1"/>
    <x v="1"/>
    <x v="1"/>
    <x v="1"/>
    <s v="05-09-24"/>
    <x v="1"/>
    <x v="1"/>
    <s v="Invalid"/>
    <s v="invalid date"/>
    <x v="0"/>
  </r>
  <r>
    <n v="1796.03"/>
    <x v="0"/>
    <x v="0"/>
    <m/>
    <x v="2"/>
    <s v="06-08-24"/>
    <s v="15-06-24"/>
    <s v="CUST-6843"/>
    <s v="Isha Nair"/>
    <x v="0"/>
    <x v="1"/>
    <s v="Odisha"/>
    <s v="Bhubaneswar"/>
    <x v="0"/>
    <x v="2"/>
    <s v="Elite Art 525"/>
    <x v="2"/>
    <s v="anomaly"/>
    <n v="-52"/>
    <s v="invalid"/>
    <x v="2"/>
    <x v="2"/>
    <x v="2"/>
    <x v="2"/>
    <s v="15-06-24"/>
    <x v="2"/>
    <x v="0"/>
    <s v=" "/>
    <n v="-52"/>
    <x v="0"/>
  </r>
  <r>
    <n v="1521.16"/>
    <x v="0"/>
    <x v="0"/>
    <m/>
    <x v="3"/>
    <s v="28-11-24"/>
    <s v="invalid date"/>
    <s v="CUST-3722"/>
    <s v="Arjun Bose"/>
    <x v="1"/>
    <x v="2"/>
    <s v="Telangana"/>
    <s v="Hyderabad"/>
    <x v="1"/>
    <x v="3"/>
    <s v="Smart Furnishings 294"/>
    <x v="3"/>
    <s v="Invalid"/>
    <s v="invalid date"/>
    <n v="0.25"/>
    <x v="3"/>
    <x v="3"/>
    <x v="3"/>
    <x v="3"/>
    <s v="invalid date"/>
    <x v="3"/>
    <x v="0"/>
    <s v="Invalid"/>
    <s v="invalid date"/>
    <x v="0"/>
  </r>
  <r>
    <n v="3110.95"/>
    <x v="0"/>
    <x v="1"/>
    <m/>
    <x v="4"/>
    <s v="29-08-25"/>
    <s v="01-09-25"/>
    <s v="CUST-8130"/>
    <s v="Ananya Rao"/>
    <x v="1"/>
    <x v="3"/>
    <s v="Maharashtra"/>
    <s v="Mumbai"/>
    <x v="1"/>
    <x v="4"/>
    <s v="Elite Chairs 543"/>
    <x v="2"/>
    <s v="  "/>
    <n v="3"/>
    <n v="0"/>
    <x v="4"/>
    <x v="4"/>
    <x v="4"/>
    <x v="4"/>
    <s v="01-09-25"/>
    <x v="2"/>
    <x v="2"/>
    <s v="anomaly"/>
    <n v="3"/>
    <x v="0"/>
  </r>
  <r>
    <n v="993.88"/>
    <x v="0"/>
    <x v="0"/>
    <m/>
    <x v="5"/>
    <s v="24-05-24"/>
    <s v="28-05-24"/>
    <s v="CUST-6056"/>
    <s v="Vikram Iyer"/>
    <x v="1"/>
    <x v="3"/>
    <s v="Madhya Pradesh"/>
    <s v="Indore"/>
    <x v="2"/>
    <x v="5"/>
    <s v="Pro Accessories 821"/>
    <x v="1"/>
    <s v="anomaly"/>
    <n v="4"/>
    <n v="0.2"/>
    <x v="5"/>
    <x v="5"/>
    <x v="5"/>
    <x v="5"/>
    <s v="28-05-24"/>
    <x v="4"/>
    <x v="0"/>
    <s v=" "/>
    <n v="4"/>
    <x v="0"/>
  </r>
  <r>
    <n v="1120.31"/>
    <x v="0"/>
    <x v="0"/>
    <m/>
    <x v="6"/>
    <s v="04-10-25"/>
    <s v="invalid date"/>
    <s v="CUST-3656"/>
    <s v="Neha Gupta"/>
    <x v="0"/>
    <x v="1"/>
    <s v="Odisha"/>
    <s v="Bhubaneswar"/>
    <x v="2"/>
    <x v="6"/>
    <s v="Eco Copiers 790"/>
    <x v="3"/>
    <s v="Invalid"/>
    <s v="invalid date"/>
    <n v="0.15"/>
    <x v="6"/>
    <x v="6"/>
    <x v="6"/>
    <x v="6"/>
    <s v="invalid date"/>
    <x v="5"/>
    <x v="2"/>
    <s v="Invalid"/>
    <s v="invalid date"/>
    <x v="0"/>
  </r>
  <r>
    <n v="623.49"/>
    <x v="0"/>
    <x v="0"/>
    <m/>
    <x v="7"/>
    <s v="23-02-25"/>
    <s v="26-02-25"/>
    <s v="CUST-4683"/>
    <s v="Isha Nair"/>
    <x v="1"/>
    <x v="2"/>
    <s v="Andhra Pradesh"/>
    <s v="Vijayawada"/>
    <x v="0"/>
    <x v="2"/>
    <s v="Eco Art 848"/>
    <x v="2"/>
    <s v="anomaly"/>
    <n v="3"/>
    <n v="0"/>
    <x v="7"/>
    <x v="7"/>
    <x v="7"/>
    <x v="7"/>
    <s v="26-02-25"/>
    <x v="6"/>
    <x v="2"/>
    <s v=" "/>
    <n v="3"/>
    <x v="0"/>
  </r>
  <r>
    <n v="7726.37"/>
    <x v="0"/>
    <x v="0"/>
    <m/>
    <x v="8"/>
    <s v="11-05-24"/>
    <s v="11-10-24"/>
    <s v="CUST-2598"/>
    <s v="Aditi Sen"/>
    <x v="2"/>
    <x v="2"/>
    <s v="Telangana"/>
    <s v="Hyderabad"/>
    <x v="0"/>
    <x v="7"/>
    <s v="Classic Labels 815"/>
    <x v="2"/>
    <s v="anomaly"/>
    <n v="153"/>
    <n v="0"/>
    <x v="8"/>
    <x v="8"/>
    <x v="8"/>
    <x v="8"/>
    <s v="11-10-24"/>
    <x v="4"/>
    <x v="0"/>
    <s v=" "/>
    <n v="153"/>
    <x v="0"/>
  </r>
  <r>
    <n v="2334.5"/>
    <x v="0"/>
    <x v="0"/>
    <m/>
    <x v="9"/>
    <s v="07-09-25"/>
    <s v="09-12-25"/>
    <s v="CUST-2483"/>
    <s v="Mira Das"/>
    <x v="3"/>
    <x v="2"/>
    <s v="Telangana"/>
    <s v="Hyderabad"/>
    <x v="0"/>
    <x v="0"/>
    <s v="Pro Paper 622"/>
    <x v="0"/>
    <s v="anomaly"/>
    <n v="93"/>
    <n v="0.2"/>
    <x v="9"/>
    <x v="9"/>
    <x v="9"/>
    <x v="9"/>
    <s v="09-12-25"/>
    <x v="7"/>
    <x v="2"/>
    <s v=" "/>
    <n v="93"/>
    <x v="0"/>
  </r>
  <r>
    <n v="4026"/>
    <x v="1"/>
    <x v="2"/>
    <m/>
    <x v="10"/>
    <s v="20-05-25"/>
    <s v="invalid date"/>
    <s v="CUST-8092"/>
    <s v="Ananya Rao"/>
    <x v="2"/>
    <x v="1"/>
    <s v="West Bengal"/>
    <s v="Kolkata"/>
    <x v="0"/>
    <x v="7"/>
    <s v="Prime Labels 644"/>
    <x v="0"/>
    <s v="Invalid"/>
    <s v="invalid date"/>
    <n v="0.05"/>
    <x v="10"/>
    <x v="10"/>
    <x v="10"/>
    <x v="10"/>
    <s v="invalid date"/>
    <x v="4"/>
    <x v="2"/>
    <s v="Invalid"/>
    <s v="invalid date"/>
    <x v="0"/>
  </r>
  <r>
    <n v="1589.97"/>
    <x v="0"/>
    <x v="0"/>
    <m/>
    <x v="11"/>
    <s v="22-07-24"/>
    <s v="23-07-24"/>
    <s v="CUST-6528"/>
    <s v="Vikram Iyer"/>
    <x v="1"/>
    <x v="1"/>
    <s v="Odisha"/>
    <s v="Bhubaneswar"/>
    <x v="2"/>
    <x v="5"/>
    <s v="Smart Accessories 603"/>
    <x v="1"/>
    <s v="anomaly"/>
    <n v="1"/>
    <n v="0.2"/>
    <x v="11"/>
    <x v="11"/>
    <x v="11"/>
    <x v="11"/>
    <s v="23-07-24"/>
    <x v="0"/>
    <x v="0"/>
    <s v=" "/>
    <n v="1"/>
    <x v="0"/>
  </r>
  <r>
    <n v="216.57"/>
    <x v="2"/>
    <x v="2"/>
    <m/>
    <x v="12"/>
    <s v="20-12-24"/>
    <s v="invalid date"/>
    <s v="CUST-2648"/>
    <s v="Ananya Rao"/>
    <x v="2"/>
    <x v="3"/>
    <s v="Rajasthan"/>
    <s v="Udaipur"/>
    <x v="0"/>
    <x v="0"/>
    <s v="Pro Paper 481"/>
    <x v="2"/>
    <s v="Invalid"/>
    <s v="invalid date"/>
    <n v="0.15"/>
    <x v="12"/>
    <x v="12"/>
    <x v="12"/>
    <x v="12"/>
    <s v="invalid date"/>
    <x v="8"/>
    <x v="0"/>
    <s v="Invalid"/>
    <s v="invalid date"/>
    <x v="0"/>
  </r>
  <r>
    <n v="4059.15"/>
    <x v="0"/>
    <x v="0"/>
    <m/>
    <x v="13"/>
    <s v="12-10-25"/>
    <s v="16-10-25"/>
    <s v="CUST-7482"/>
    <s v="Priya Menon"/>
    <x v="1"/>
    <x v="3"/>
    <s v="Maharashtra"/>
    <s v="Mumbai"/>
    <x v="0"/>
    <x v="2"/>
    <s v="Smart Art 795"/>
    <x v="0"/>
    <s v="anomaly"/>
    <n v="4"/>
    <n v="0.05"/>
    <x v="13"/>
    <x v="13"/>
    <x v="13"/>
    <x v="13"/>
    <s v="16-10-25"/>
    <x v="5"/>
    <x v="2"/>
    <s v=" "/>
    <n v="4"/>
    <x v="0"/>
  </r>
  <r>
    <n v="1440.44"/>
    <x v="0"/>
    <x v="0"/>
    <m/>
    <x v="14"/>
    <s v="27-12-24"/>
    <s v="invalid date"/>
    <s v="CUST-4912"/>
    <s v="Rahul Verma"/>
    <x v="0"/>
    <x v="3"/>
    <s v="Rajasthan"/>
    <s v="Udaipur"/>
    <x v="2"/>
    <x v="6"/>
    <s v="Max Copiers 983"/>
    <x v="3"/>
    <s v="Invalid"/>
    <s v="invalid date"/>
    <n v="0.25"/>
    <x v="14"/>
    <x v="14"/>
    <x v="14"/>
    <x v="14"/>
    <s v="invalid date"/>
    <x v="8"/>
    <x v="0"/>
    <s v="Invalid"/>
    <s v="invalid date"/>
    <x v="0"/>
  </r>
  <r>
    <n v="8096.09"/>
    <x v="0"/>
    <x v="0"/>
    <m/>
    <x v="15"/>
    <s v="07-09-24"/>
    <s v="09-07-24"/>
    <s v="CUST-7656"/>
    <s v="Karan Malhotra"/>
    <x v="1"/>
    <x v="0"/>
    <s v="Punjab"/>
    <s v="Ludhiana"/>
    <x v="0"/>
    <x v="8"/>
    <s v="Classic Storage 198"/>
    <x v="0"/>
    <s v="anomaly"/>
    <n v="-60"/>
    <n v="0"/>
    <x v="15"/>
    <x v="15"/>
    <x v="15"/>
    <x v="15"/>
    <s v="09-07-24"/>
    <x v="7"/>
    <x v="0"/>
    <s v=" "/>
    <n v="-60"/>
    <x v="0"/>
  </r>
  <r>
    <n v="4302.3599999999997"/>
    <x v="0"/>
    <x v="0"/>
    <m/>
    <x v="16"/>
    <s v="05-08-24"/>
    <s v="15-05-24"/>
    <s v="CUST-6214"/>
    <s v="Aarav Sharma"/>
    <x v="0"/>
    <x v="2"/>
    <s v="Telangana"/>
    <s v="Hyderabad"/>
    <x v="0"/>
    <x v="2"/>
    <s v="Basic Art 204"/>
    <x v="2"/>
    <s v="anomaly"/>
    <n v="-82"/>
    <n v="0.25"/>
    <x v="16"/>
    <x v="16"/>
    <x v="16"/>
    <x v="16"/>
    <s v="15-05-24"/>
    <x v="2"/>
    <x v="0"/>
    <s v=" "/>
    <n v="-82"/>
    <x v="0"/>
  </r>
  <r>
    <n v="2926.99"/>
    <x v="0"/>
    <x v="0"/>
    <m/>
    <x v="17"/>
    <s v="01-07-24"/>
    <s v="08-01-24"/>
    <s v="CUST-1626"/>
    <s v="Sneha Kapoor"/>
    <x v="1"/>
    <x v="0"/>
    <s v="Rajasthan"/>
    <s v="Jaipur"/>
    <x v="1"/>
    <x v="3"/>
    <s v="Basic Furnishings 434"/>
    <x v="1"/>
    <s v="anomaly"/>
    <n v="-175"/>
    <n v="0"/>
    <x v="17"/>
    <x v="17"/>
    <x v="17"/>
    <x v="17"/>
    <s v="08-01-24"/>
    <x v="0"/>
    <x v="0"/>
    <s v=" "/>
    <n v="-175"/>
    <x v="0"/>
  </r>
  <r>
    <n v="1362.78"/>
    <x v="1"/>
    <x v="1"/>
    <m/>
    <x v="18"/>
    <s v="invalid date"/>
    <s v="17-07-25"/>
    <s v="CUST-2110"/>
    <s v="Aarav Sharma"/>
    <x v="3"/>
    <x v="0"/>
    <s v="Uttar Pradesh"/>
    <s v="Noida"/>
    <x v="2"/>
    <x v="6"/>
    <s v="Eco Copiers 755"/>
    <x v="2"/>
    <s v="Invalid"/>
    <s v="invalid date"/>
    <n v="0"/>
    <x v="18"/>
    <x v="18"/>
    <x v="18"/>
    <x v="1"/>
    <s v="17-07-25"/>
    <x v="1"/>
    <x v="1"/>
    <s v="Invalid"/>
    <s v="invalid date"/>
    <x v="0"/>
  </r>
  <r>
    <n v="1801.75"/>
    <x v="0"/>
    <x v="0"/>
    <m/>
    <x v="19"/>
    <s v="invalid date"/>
    <s v="31-07-24"/>
    <s v="CUST-3186"/>
    <s v="Rohan Mehta"/>
    <x v="3"/>
    <x v="3"/>
    <s v="Madhya Pradesh"/>
    <s v="Indore"/>
    <x v="0"/>
    <x v="8"/>
    <s v="Prime Storage 121"/>
    <x v="0"/>
    <s v="Invalid"/>
    <s v="invalid date"/>
    <s v="invalid"/>
    <x v="2"/>
    <x v="2"/>
    <x v="2"/>
    <x v="1"/>
    <s v="31-07-24"/>
    <x v="1"/>
    <x v="1"/>
    <s v="Invalid"/>
    <s v="invalid date"/>
    <x v="0"/>
  </r>
  <r>
    <n v="6842.46"/>
    <x v="0"/>
    <x v="0"/>
    <m/>
    <x v="20"/>
    <s v="21-01-25"/>
    <s v="23-01-25"/>
    <s v="CUST-3190"/>
    <s v="Aditi Sen"/>
    <x v="3"/>
    <x v="1"/>
    <s v="Bihar"/>
    <s v="Patna"/>
    <x v="2"/>
    <x v="6"/>
    <s v="Elite Copiers 233"/>
    <x v="2"/>
    <s v="anomaly"/>
    <n v="2"/>
    <n v="0.25"/>
    <x v="19"/>
    <x v="19"/>
    <x v="19"/>
    <x v="18"/>
    <s v="23-01-25"/>
    <x v="9"/>
    <x v="2"/>
    <s v=" "/>
    <n v="2"/>
    <x v="0"/>
  </r>
  <r>
    <n v="753.05"/>
    <x v="0"/>
    <x v="0"/>
    <m/>
    <x v="21"/>
    <s v="24-01-25"/>
    <s v="invalid date"/>
    <s v="CUST-3036"/>
    <s v="Sneha Kapoor"/>
    <x v="0"/>
    <x v="3"/>
    <s v="Madhya Pradesh"/>
    <s v="Indore"/>
    <x v="1"/>
    <x v="3"/>
    <s v="Eco Furnishings 897"/>
    <x v="0"/>
    <s v="Invalid"/>
    <s v="invalid date"/>
    <s v="invalid"/>
    <x v="2"/>
    <x v="2"/>
    <x v="2"/>
    <x v="19"/>
    <s v="invalid date"/>
    <x v="9"/>
    <x v="2"/>
    <s v="Invalid"/>
    <s v="invalid date"/>
    <x v="0"/>
  </r>
  <r>
    <n v="1606.48"/>
    <x v="3"/>
    <x v="2"/>
    <m/>
    <x v="22"/>
    <s v="19-01-25"/>
    <s v="21-01-25"/>
    <s v="CUST-3588"/>
    <s v="Mira Das"/>
    <x v="0"/>
    <x v="2"/>
    <s v="Telangana"/>
    <s v="Hyderabad"/>
    <x v="0"/>
    <x v="9"/>
    <s v="Max Binders 355"/>
    <x v="3"/>
    <s v="anomaly"/>
    <n v="2"/>
    <n v="0.15"/>
    <x v="20"/>
    <x v="20"/>
    <x v="20"/>
    <x v="20"/>
    <s v="21-01-25"/>
    <x v="9"/>
    <x v="2"/>
    <s v=" "/>
    <n v="2"/>
    <x v="0"/>
  </r>
  <r>
    <n v="1943.77"/>
    <x v="0"/>
    <x v="0"/>
    <m/>
    <x v="23"/>
    <s v="29-08-25"/>
    <s v="31-08-25"/>
    <s v="CUST-7098"/>
    <s v="Rahul Verma"/>
    <x v="3"/>
    <x v="1"/>
    <s v="Bihar"/>
    <s v="Patna"/>
    <x v="1"/>
    <x v="10"/>
    <s v="Pro Bookcases 394"/>
    <x v="2"/>
    <s v="anomaly"/>
    <n v="2"/>
    <n v="0.2"/>
    <x v="21"/>
    <x v="21"/>
    <x v="21"/>
    <x v="4"/>
    <s v="31-08-25"/>
    <x v="2"/>
    <x v="2"/>
    <s v=" "/>
    <n v="2"/>
    <x v="0"/>
  </r>
  <r>
    <n v="2541.4699999999998"/>
    <x v="2"/>
    <x v="1"/>
    <m/>
    <x v="24"/>
    <s v="04-03-24"/>
    <s v="03-01-24"/>
    <s v="CUST-1747"/>
    <s v="Diya Patel"/>
    <x v="0"/>
    <x v="0"/>
    <s v="Punjab"/>
    <s v="Ludhiana"/>
    <x v="0"/>
    <x v="2"/>
    <s v="Max Art 215"/>
    <x v="3"/>
    <s v="  "/>
    <n v="-61"/>
    <n v="0.25"/>
    <x v="22"/>
    <x v="22"/>
    <x v="22"/>
    <x v="21"/>
    <s v="03-01-24"/>
    <x v="10"/>
    <x v="0"/>
    <s v="anomaly"/>
    <n v="-61"/>
    <x v="0"/>
  </r>
  <r>
    <n v="2367.4299999999998"/>
    <x v="0"/>
    <x v="0"/>
    <m/>
    <x v="25"/>
    <s v="11-10-24"/>
    <s v="19-10-24"/>
    <s v="CUST-1731"/>
    <s v="Arjun Bose"/>
    <x v="2"/>
    <x v="1"/>
    <s v="Assam"/>
    <s v="Guwahati"/>
    <x v="2"/>
    <x v="5"/>
    <s v="Classic Accessories 478"/>
    <x v="2"/>
    <s v="anomaly"/>
    <n v="8"/>
    <n v="0.15"/>
    <x v="23"/>
    <x v="23"/>
    <x v="23"/>
    <x v="22"/>
    <s v="19-10-24"/>
    <x v="5"/>
    <x v="0"/>
    <s v=" "/>
    <n v="8"/>
    <x v="0"/>
  </r>
  <r>
    <n v="1050.52"/>
    <x v="0"/>
    <x v="2"/>
    <m/>
    <x v="26"/>
    <s v="23-11-24"/>
    <s v="23-11-24"/>
    <s v="CUST-4401"/>
    <s v="Diya Patel"/>
    <x v="2"/>
    <x v="0"/>
    <s v="Uttar Pradesh"/>
    <s v="Noida"/>
    <x v="2"/>
    <x v="11"/>
    <s v="Pro Phones 243"/>
    <x v="3"/>
    <s v="  "/>
    <n v="0"/>
    <n v="0.1"/>
    <x v="24"/>
    <x v="24"/>
    <x v="24"/>
    <x v="23"/>
    <s v="23-11-24"/>
    <x v="3"/>
    <x v="0"/>
    <s v=" "/>
    <n v="0"/>
    <x v="0"/>
  </r>
  <r>
    <n v="2064.0500000000002"/>
    <x v="3"/>
    <x v="2"/>
    <m/>
    <x v="27"/>
    <s v="29-09-25"/>
    <s v="05-10-25"/>
    <s v="CUST-9875"/>
    <s v="Arjun Bose"/>
    <x v="1"/>
    <x v="2"/>
    <s v="Karnataka"/>
    <s v="Bengaluru"/>
    <x v="0"/>
    <x v="0"/>
    <s v="Basic Paper 613"/>
    <x v="0"/>
    <s v="  "/>
    <n v="6"/>
    <n v="0.25"/>
    <x v="25"/>
    <x v="25"/>
    <x v="25"/>
    <x v="24"/>
    <s v="05-10-25"/>
    <x v="7"/>
    <x v="2"/>
    <s v="anomaly"/>
    <n v="6"/>
    <x v="0"/>
  </r>
  <r>
    <n v="791"/>
    <x v="1"/>
    <x v="1"/>
    <m/>
    <x v="28"/>
    <s v="11-10-24"/>
    <s v="18-10-24"/>
    <s v="CUST-1569"/>
    <s v="Ananya Rao"/>
    <x v="3"/>
    <x v="3"/>
    <s v="Gujarat"/>
    <s v="Ahmedabad"/>
    <x v="2"/>
    <x v="11"/>
    <s v="Prime Phones 698"/>
    <x v="0"/>
    <s v="anomaly"/>
    <n v="7"/>
    <n v="0.25"/>
    <x v="26"/>
    <x v="26"/>
    <x v="26"/>
    <x v="22"/>
    <s v="18-10-24"/>
    <x v="5"/>
    <x v="0"/>
    <s v=" "/>
    <n v="7"/>
    <x v="0"/>
  </r>
  <r>
    <n v="97.84"/>
    <x v="0"/>
    <x v="0"/>
    <m/>
    <x v="29"/>
    <s v="13-08-25"/>
    <s v="13-08-25"/>
    <s v="CUST-5936"/>
    <s v="Rohan Mehta"/>
    <x v="3"/>
    <x v="2"/>
    <s v="Kerala"/>
    <s v="Kochi"/>
    <x v="2"/>
    <x v="11"/>
    <s v="Pro Phones 442"/>
    <x v="3"/>
    <s v="  "/>
    <n v="0"/>
    <n v="0.15"/>
    <x v="27"/>
    <x v="27"/>
    <x v="27"/>
    <x v="25"/>
    <s v="13-08-25"/>
    <x v="2"/>
    <x v="2"/>
    <s v=" "/>
    <n v="0"/>
    <x v="0"/>
  </r>
  <r>
    <n v="1077.7"/>
    <x v="0"/>
    <x v="0"/>
    <m/>
    <x v="30"/>
    <s v="09-02-24"/>
    <s v="02-12-24"/>
    <s v="CUST-8759"/>
    <s v="Ananya Rao"/>
    <x v="2"/>
    <x v="3"/>
    <s v="Goa"/>
    <s v="Panaji"/>
    <x v="0"/>
    <x v="7"/>
    <s v="Pro Labels 355"/>
    <x v="2"/>
    <s v="  "/>
    <n v="297"/>
    <n v="0.1"/>
    <x v="28"/>
    <x v="28"/>
    <x v="28"/>
    <x v="26"/>
    <s v="02-12-24"/>
    <x v="6"/>
    <x v="0"/>
    <s v="anomaly"/>
    <n v="297"/>
    <x v="0"/>
  </r>
  <r>
    <n v="10063.200000000001"/>
    <x v="3"/>
    <x v="2"/>
    <m/>
    <x v="31"/>
    <s v="15-06-25"/>
    <s v="19-06-25"/>
    <s v="CUST-7867"/>
    <s v="Karan Malhotra"/>
    <x v="1"/>
    <x v="3"/>
    <s v="Madhya Pradesh"/>
    <s v="Indore"/>
    <x v="0"/>
    <x v="0"/>
    <s v="Pro Paper 959"/>
    <x v="0"/>
    <s v="anomaly"/>
    <n v="4"/>
    <n v="0"/>
    <x v="29"/>
    <x v="29"/>
    <x v="29"/>
    <x v="27"/>
    <s v="19-06-25"/>
    <x v="11"/>
    <x v="2"/>
    <s v=" "/>
    <n v="4"/>
    <x v="0"/>
  </r>
  <r>
    <n v="1472.89"/>
    <x v="0"/>
    <x v="0"/>
    <m/>
    <x v="32"/>
    <s v="22-11-24"/>
    <s v="26-11-24"/>
    <s v="CUST-6509"/>
    <s v="Aarav Sharma"/>
    <x v="2"/>
    <x v="2"/>
    <s v="Andhra Pradesh"/>
    <s v="Vijayawada"/>
    <x v="2"/>
    <x v="11"/>
    <s v="Basic Phones 242"/>
    <x v="0"/>
    <s v="anomaly"/>
    <n v="4"/>
    <n v="0"/>
    <x v="30"/>
    <x v="30"/>
    <x v="30"/>
    <x v="28"/>
    <s v="26-11-24"/>
    <x v="3"/>
    <x v="0"/>
    <s v=" "/>
    <n v="4"/>
    <x v="0"/>
  </r>
  <r>
    <n v="514.41999999999996"/>
    <x v="0"/>
    <x v="0"/>
    <m/>
    <x v="33"/>
    <s v="invalid date"/>
    <s v="27-07-24"/>
    <s v="CUST-6660"/>
    <s v="Priya Menon"/>
    <x v="3"/>
    <x v="3"/>
    <s v="Goa"/>
    <s v="Panaji"/>
    <x v="1"/>
    <x v="1"/>
    <s v="Max Tables 836"/>
    <x v="1"/>
    <s v="Invalid"/>
    <s v="invalid date"/>
    <n v="0.25"/>
    <x v="31"/>
    <x v="31"/>
    <x v="31"/>
    <x v="1"/>
    <s v="27-07-24"/>
    <x v="1"/>
    <x v="1"/>
    <s v="Invalid"/>
    <s v="invalid date"/>
    <x v="0"/>
  </r>
  <r>
    <n v="2607.3200000000002"/>
    <x v="0"/>
    <x v="0"/>
    <m/>
    <x v="34"/>
    <s v="31-01-25"/>
    <s v="05-02-25"/>
    <s v="CUST-2392"/>
    <s v="Priya Menon"/>
    <x v="3"/>
    <x v="1"/>
    <s v="West Bengal"/>
    <s v="Kolkata"/>
    <x v="1"/>
    <x v="4"/>
    <s v="Elite Chairs 862"/>
    <x v="4"/>
    <s v="  "/>
    <n v="5"/>
    <n v="0.2"/>
    <x v="32"/>
    <x v="32"/>
    <x v="32"/>
    <x v="29"/>
    <s v="05-02-25"/>
    <x v="9"/>
    <x v="2"/>
    <s v="anomaly"/>
    <n v="5"/>
    <x v="0"/>
  </r>
  <r>
    <n v="3740.28"/>
    <x v="2"/>
    <x v="2"/>
    <m/>
    <x v="35"/>
    <s v="29-05-24"/>
    <s v="29-05-24"/>
    <s v="CUST-1611"/>
    <s v="Sneha Kapoor"/>
    <x v="1"/>
    <x v="3"/>
    <s v="Gujarat"/>
    <s v="Ahmedabad"/>
    <x v="1"/>
    <x v="10"/>
    <s v="Prime Bookcases 414"/>
    <x v="0"/>
    <s v="  "/>
    <n v="0"/>
    <n v="0.05"/>
    <x v="33"/>
    <x v="33"/>
    <x v="33"/>
    <x v="30"/>
    <s v="29-05-24"/>
    <x v="4"/>
    <x v="0"/>
    <s v=" "/>
    <n v="0"/>
    <x v="0"/>
  </r>
  <r>
    <n v="2708.56"/>
    <x v="0"/>
    <x v="2"/>
    <m/>
    <x v="36"/>
    <s v="25-10-24"/>
    <s v="28-10-24"/>
    <s v="CUST-8296"/>
    <s v="Rohan Mehta"/>
    <x v="2"/>
    <x v="3"/>
    <s v="Maharashtra"/>
    <s v="Mumbai"/>
    <x v="1"/>
    <x v="10"/>
    <s v="Eco Bookcases 220"/>
    <x v="0"/>
    <s v="anomaly"/>
    <n v="3"/>
    <n v="0"/>
    <x v="34"/>
    <x v="34"/>
    <x v="34"/>
    <x v="31"/>
    <s v="28-10-24"/>
    <x v="5"/>
    <x v="0"/>
    <s v=" "/>
    <n v="3"/>
    <x v="0"/>
  </r>
  <r>
    <n v="927.04"/>
    <x v="0"/>
    <x v="0"/>
    <m/>
    <x v="37"/>
    <s v="29-07-25"/>
    <s v="29-07-25"/>
    <s v="CUST-4646"/>
    <s v="Diya Patel"/>
    <x v="0"/>
    <x v="3"/>
    <s v="Maharashtra"/>
    <s v="Mumbai"/>
    <x v="2"/>
    <x v="6"/>
    <s v="Pro Copiers 830"/>
    <x v="3"/>
    <s v="  "/>
    <n v="0"/>
    <n v="0.2"/>
    <x v="35"/>
    <x v="35"/>
    <x v="35"/>
    <x v="32"/>
    <s v="29-07-25"/>
    <x v="0"/>
    <x v="2"/>
    <s v=" "/>
    <n v="0"/>
    <x v="0"/>
  </r>
  <r>
    <n v="3422.41"/>
    <x v="0"/>
    <x v="0"/>
    <m/>
    <x v="38"/>
    <s v="17-06-24"/>
    <s v="22-06-24"/>
    <s v="CUST-8235"/>
    <s v="Aarav Sharma"/>
    <x v="2"/>
    <x v="3"/>
    <s v="Gujarat"/>
    <s v="Ahmedabad"/>
    <x v="2"/>
    <x v="11"/>
    <s v="Prime Phones 507"/>
    <x v="2"/>
    <s v="anomaly"/>
    <n v="5"/>
    <n v="0.1"/>
    <x v="36"/>
    <x v="36"/>
    <x v="36"/>
    <x v="33"/>
    <s v="22-06-24"/>
    <x v="11"/>
    <x v="0"/>
    <s v=" "/>
    <n v="5"/>
    <x v="0"/>
  </r>
  <r>
    <n v="1560.54"/>
    <x v="2"/>
    <x v="2"/>
    <m/>
    <x v="39"/>
    <s v="12-11-24"/>
    <s v="11-12-24"/>
    <s v="CUST-5830"/>
    <s v="Mira Das"/>
    <x v="1"/>
    <x v="3"/>
    <s v="Madhya Pradesh"/>
    <s v="Indore"/>
    <x v="2"/>
    <x v="6"/>
    <s v="Classic Copiers 590"/>
    <x v="2"/>
    <s v="  "/>
    <n v="29"/>
    <n v="0.1"/>
    <x v="37"/>
    <x v="37"/>
    <x v="37"/>
    <x v="34"/>
    <s v="11-12-24"/>
    <x v="3"/>
    <x v="0"/>
    <s v="anomaly"/>
    <n v="29"/>
    <x v="0"/>
  </r>
  <r>
    <n v="2061.54"/>
    <x v="0"/>
    <x v="0"/>
    <m/>
    <x v="40"/>
    <s v="10-10-24"/>
    <s v="16-10-24"/>
    <s v="CUST-7178"/>
    <s v="Isha Nair"/>
    <x v="3"/>
    <x v="3"/>
    <s v="Rajasthan"/>
    <s v="Udaipur"/>
    <x v="2"/>
    <x v="6"/>
    <s v="Eco Copiers 865"/>
    <x v="3"/>
    <s v="anomaly"/>
    <n v="6"/>
    <n v="0.2"/>
    <x v="38"/>
    <x v="38"/>
    <x v="38"/>
    <x v="35"/>
    <s v="16-10-24"/>
    <x v="5"/>
    <x v="0"/>
    <s v=" "/>
    <n v="6"/>
    <x v="0"/>
  </r>
  <r>
    <n v="2606.59"/>
    <x v="2"/>
    <x v="1"/>
    <m/>
    <x v="41"/>
    <s v="03-12-24"/>
    <s v="17-03-24"/>
    <s v="CUST-3829"/>
    <s v="Aarav Sharma"/>
    <x v="1"/>
    <x v="1"/>
    <s v="Odisha"/>
    <s v="Bhubaneswar"/>
    <x v="1"/>
    <x v="10"/>
    <s v="Classic Bookcases 835"/>
    <x v="1"/>
    <s v="anomaly"/>
    <n v="-261"/>
    <n v="0"/>
    <x v="39"/>
    <x v="39"/>
    <x v="39"/>
    <x v="36"/>
    <s v="17-03-24"/>
    <x v="8"/>
    <x v="0"/>
    <s v=" "/>
    <n v="-261"/>
    <x v="0"/>
  </r>
  <r>
    <n v="2950.79"/>
    <x v="0"/>
    <x v="0"/>
    <m/>
    <x v="42"/>
    <s v="10-10-25"/>
    <s v="15-10-25"/>
    <s v="CUST-6708"/>
    <s v="Arjun Bose"/>
    <x v="2"/>
    <x v="1"/>
    <s v="Jharkhand"/>
    <s v="Ranchi"/>
    <x v="2"/>
    <x v="11"/>
    <s v="Eco Phones 702"/>
    <x v="3"/>
    <s v="anomaly"/>
    <n v="5"/>
    <n v="0.05"/>
    <x v="40"/>
    <x v="40"/>
    <x v="40"/>
    <x v="37"/>
    <s v="15-10-25"/>
    <x v="5"/>
    <x v="2"/>
    <s v=" "/>
    <n v="5"/>
    <x v="0"/>
  </r>
  <r>
    <n v="1309.6099999999999"/>
    <x v="0"/>
    <x v="0"/>
    <m/>
    <x v="43"/>
    <s v="07-08-24"/>
    <s v="invalid date"/>
    <s v="CUST-7119"/>
    <s v="Priya Menon"/>
    <x v="1"/>
    <x v="1"/>
    <s v="Odisha"/>
    <s v="Bhubaneswar"/>
    <x v="1"/>
    <x v="3"/>
    <s v="Smart Furnishings 956"/>
    <x v="1"/>
    <s v="Invalid"/>
    <s v="invalid date"/>
    <n v="0"/>
    <x v="41"/>
    <x v="41"/>
    <x v="41"/>
    <x v="38"/>
    <s v="invalid date"/>
    <x v="2"/>
    <x v="0"/>
    <s v="Invalid"/>
    <s v="invalid date"/>
    <x v="0"/>
  </r>
  <r>
    <n v="9594.94"/>
    <x v="0"/>
    <x v="0"/>
    <m/>
    <x v="44"/>
    <s v="invalid date"/>
    <s v="25-06-24"/>
    <s v="CUST-3373"/>
    <s v="Rohan Mehta"/>
    <x v="1"/>
    <x v="0"/>
    <s v="Haryana"/>
    <s v="Gurugram"/>
    <x v="1"/>
    <x v="4"/>
    <s v="Max Chairs 393"/>
    <x v="3"/>
    <s v="Invalid"/>
    <s v="invalid date"/>
    <n v="0.1"/>
    <x v="42"/>
    <x v="42"/>
    <x v="42"/>
    <x v="1"/>
    <s v="25-06-24"/>
    <x v="1"/>
    <x v="1"/>
    <s v="Invalid"/>
    <s v="invalid date"/>
    <x v="0"/>
  </r>
  <r>
    <n v="12363.95"/>
    <x v="2"/>
    <x v="2"/>
    <m/>
    <x v="45"/>
    <s v="18-01-24"/>
    <s v="24-01-24"/>
    <s v="CUST-8896"/>
    <s v="Isha Nair"/>
    <x v="3"/>
    <x v="1"/>
    <s v="Bihar"/>
    <s v="Patna"/>
    <x v="0"/>
    <x v="2"/>
    <s v="Prime Art 221"/>
    <x v="0"/>
    <s v="anomaly"/>
    <n v="6"/>
    <n v="0.05"/>
    <x v="43"/>
    <x v="43"/>
    <x v="43"/>
    <x v="39"/>
    <s v="24-01-24"/>
    <x v="9"/>
    <x v="0"/>
    <s v=" "/>
    <n v="6"/>
    <x v="0"/>
  </r>
  <r>
    <n v="5430.8"/>
    <x v="1"/>
    <x v="2"/>
    <m/>
    <x v="46"/>
    <s v="19-07-24"/>
    <s v="19-07-24"/>
    <s v="CUST-8517"/>
    <s v="Ananya Rao"/>
    <x v="1"/>
    <x v="2"/>
    <s v="Kerala"/>
    <s v="Kochi"/>
    <x v="1"/>
    <x v="10"/>
    <s v="Elite Bookcases 671"/>
    <x v="3"/>
    <s v="  "/>
    <n v="0"/>
    <n v="0.25"/>
    <x v="44"/>
    <x v="44"/>
    <x v="44"/>
    <x v="40"/>
    <s v="19-07-24"/>
    <x v="0"/>
    <x v="0"/>
    <s v=" "/>
    <n v="0"/>
    <x v="0"/>
  </r>
  <r>
    <n v="5167.2700000000004"/>
    <x v="0"/>
    <x v="0"/>
    <m/>
    <x v="47"/>
    <s v="12-08-24"/>
    <s v="12-08-24"/>
    <s v="CUST-1987"/>
    <s v="Rahul Verma"/>
    <x v="2"/>
    <x v="2"/>
    <s v="Tamil Nadu"/>
    <s v="Chennai"/>
    <x v="0"/>
    <x v="8"/>
    <s v="Max Storage 432"/>
    <x v="3"/>
    <s v="  "/>
    <n v="0"/>
    <n v="0.1"/>
    <x v="45"/>
    <x v="45"/>
    <x v="45"/>
    <x v="41"/>
    <s v="12-08-24"/>
    <x v="2"/>
    <x v="0"/>
    <s v=" "/>
    <n v="0"/>
    <x v="0"/>
  </r>
  <r>
    <n v="7507.03"/>
    <x v="0"/>
    <x v="0"/>
    <m/>
    <x v="48"/>
    <s v="30-01-25"/>
    <s v="05-02-25"/>
    <s v="CUST-8183"/>
    <s v="Neha Gupta"/>
    <x v="2"/>
    <x v="3"/>
    <s v="Maharashtra"/>
    <s v="Mumbai"/>
    <x v="1"/>
    <x v="4"/>
    <s v="Basic Chairs 837"/>
    <x v="0"/>
    <s v="  "/>
    <n v="6"/>
    <n v="0"/>
    <x v="46"/>
    <x v="46"/>
    <x v="46"/>
    <x v="42"/>
    <s v="05-02-25"/>
    <x v="9"/>
    <x v="2"/>
    <s v="anomaly"/>
    <n v="6"/>
    <x v="0"/>
  </r>
  <r>
    <n v="1017.08"/>
    <x v="0"/>
    <x v="0"/>
    <m/>
    <x v="49"/>
    <s v="06-04-24"/>
    <s v="13-04-24"/>
    <s v="CUST-2380"/>
    <s v="Aarav Sharma"/>
    <x v="3"/>
    <x v="0"/>
    <s v="Uttar Pradesh"/>
    <s v="Noida"/>
    <x v="2"/>
    <x v="6"/>
    <s v="Classic Copiers 295"/>
    <x v="0"/>
    <s v="anomaly"/>
    <n v="7"/>
    <n v="0.05"/>
    <x v="47"/>
    <x v="47"/>
    <x v="47"/>
    <x v="43"/>
    <s v="13-04-24"/>
    <x v="12"/>
    <x v="0"/>
    <s v=" "/>
    <n v="7"/>
    <x v="0"/>
  </r>
  <r>
    <n v="884.73"/>
    <x v="0"/>
    <x v="0"/>
    <m/>
    <x v="50"/>
    <s v="05-11-25"/>
    <s v="19-05-25"/>
    <s v="CUST-8787"/>
    <s v="Sneha Kapoor"/>
    <x v="0"/>
    <x v="1"/>
    <s v="West Bengal"/>
    <s v="Kolkata"/>
    <x v="2"/>
    <x v="6"/>
    <s v="Pro Copiers 963"/>
    <x v="3"/>
    <s v="anomaly"/>
    <n v="-170"/>
    <n v="0.15"/>
    <x v="48"/>
    <x v="48"/>
    <x v="48"/>
    <x v="44"/>
    <s v="19-05-25"/>
    <x v="3"/>
    <x v="2"/>
    <s v=" "/>
    <n v="-170"/>
    <x v="0"/>
  </r>
  <r>
    <n v="1728.71"/>
    <x v="0"/>
    <x v="0"/>
    <m/>
    <x v="51"/>
    <s v="24-04-24"/>
    <s v="29-04-24"/>
    <s v="CUST-3557"/>
    <s v="Ananya Rao"/>
    <x v="2"/>
    <x v="2"/>
    <s v="Telangana"/>
    <s v="Hyderabad"/>
    <x v="0"/>
    <x v="2"/>
    <s v="Pro Art 907"/>
    <x v="3"/>
    <s v="anomaly"/>
    <n v="5"/>
    <n v="0"/>
    <x v="49"/>
    <x v="49"/>
    <x v="49"/>
    <x v="45"/>
    <s v="29-04-24"/>
    <x v="12"/>
    <x v="0"/>
    <s v=" "/>
    <n v="5"/>
    <x v="0"/>
  </r>
  <r>
    <n v="1993.38"/>
    <x v="3"/>
    <x v="1"/>
    <m/>
    <x v="52"/>
    <s v="26-10-24"/>
    <s v="28-10-24"/>
    <s v="CUST-2778"/>
    <s v="Kabir Singh"/>
    <x v="1"/>
    <x v="0"/>
    <s v="Rajasthan"/>
    <s v="Jaipur"/>
    <x v="1"/>
    <x v="4"/>
    <s v="Pro Chairs 526"/>
    <x v="2"/>
    <s v="anomaly"/>
    <n v="2"/>
    <n v="0"/>
    <x v="50"/>
    <x v="50"/>
    <x v="50"/>
    <x v="46"/>
    <s v="28-10-24"/>
    <x v="5"/>
    <x v="0"/>
    <s v=" "/>
    <n v="2"/>
    <x v="0"/>
  </r>
  <r>
    <n v="2293.0700000000002"/>
    <x v="0"/>
    <x v="0"/>
    <m/>
    <x v="53"/>
    <s v="31-03-25"/>
    <s v="31-03-25"/>
    <s v="CUST-7195"/>
    <s v="Kabir Singh"/>
    <x v="3"/>
    <x v="3"/>
    <s v="Gujarat"/>
    <s v="Ahmedabad"/>
    <x v="0"/>
    <x v="8"/>
    <s v="Elite Storage 924"/>
    <x v="2"/>
    <s v="  "/>
    <n v="0"/>
    <n v="0.15"/>
    <x v="51"/>
    <x v="51"/>
    <x v="51"/>
    <x v="47"/>
    <s v="31-03-25"/>
    <x v="10"/>
    <x v="2"/>
    <s v=" "/>
    <n v="0"/>
    <x v="0"/>
  </r>
  <r>
    <n v="1422.23"/>
    <x v="3"/>
    <x v="1"/>
    <m/>
    <x v="54"/>
    <s v="30-05-25"/>
    <s v="02-06-25"/>
    <s v="CUST-9039"/>
    <s v="Arjun Bose"/>
    <x v="2"/>
    <x v="2"/>
    <s v="Tamil Nadu"/>
    <s v="Chennai"/>
    <x v="0"/>
    <x v="7"/>
    <s v="Pro Labels 957"/>
    <x v="1"/>
    <s v="  "/>
    <n v="3"/>
    <n v="0.1"/>
    <x v="52"/>
    <x v="52"/>
    <x v="52"/>
    <x v="48"/>
    <s v="02-06-25"/>
    <x v="4"/>
    <x v="2"/>
    <s v="anomaly"/>
    <n v="3"/>
    <x v="0"/>
  </r>
  <r>
    <n v="608.41"/>
    <x v="0"/>
    <x v="0"/>
    <m/>
    <x v="55"/>
    <s v="01-07-25"/>
    <s v="03-07-25"/>
    <s v="CUST-9821"/>
    <s v="Mira Das"/>
    <x v="1"/>
    <x v="2"/>
    <s v="Andhra Pradesh"/>
    <s v="Vijayawada"/>
    <x v="2"/>
    <x v="12"/>
    <s v="Classic Machines 310"/>
    <x v="1"/>
    <s v="anomaly"/>
    <n v="2"/>
    <n v="0.25"/>
    <x v="53"/>
    <x v="53"/>
    <x v="53"/>
    <x v="49"/>
    <s v="03-07-25"/>
    <x v="0"/>
    <x v="2"/>
    <s v=" "/>
    <n v="2"/>
    <x v="0"/>
  </r>
  <r>
    <n v="2909"/>
    <x v="1"/>
    <x v="1"/>
    <m/>
    <x v="56"/>
    <s v="05-01-25"/>
    <s v="06-01-25"/>
    <s v="CUST-8701"/>
    <s v="Karan Malhotra"/>
    <x v="0"/>
    <x v="2"/>
    <s v="Karnataka"/>
    <s v="Bengaluru"/>
    <x v="0"/>
    <x v="9"/>
    <s v="Smart Binders 393"/>
    <x v="0"/>
    <s v="anomaly"/>
    <n v="1"/>
    <n v="0"/>
    <x v="54"/>
    <x v="54"/>
    <x v="54"/>
    <x v="50"/>
    <s v="06-01-25"/>
    <x v="9"/>
    <x v="2"/>
    <s v=" "/>
    <n v="1"/>
    <x v="0"/>
  </r>
  <r>
    <n v="187.81"/>
    <x v="0"/>
    <x v="0"/>
    <m/>
    <x v="57"/>
    <s v="07-02-24"/>
    <s v="15-02-24"/>
    <s v="CUST-9941"/>
    <s v="Priya Menon"/>
    <x v="0"/>
    <x v="3"/>
    <s v="Goa"/>
    <s v="Panaji"/>
    <x v="1"/>
    <x v="4"/>
    <s v="Max Chairs 813"/>
    <x v="1"/>
    <s v="anomaly"/>
    <n v="8"/>
    <n v="0"/>
    <x v="55"/>
    <x v="55"/>
    <x v="55"/>
    <x v="51"/>
    <s v="15-02-24"/>
    <x v="6"/>
    <x v="0"/>
    <s v=" "/>
    <n v="8"/>
    <x v="0"/>
  </r>
  <r>
    <n v="4676.7299999999996"/>
    <x v="2"/>
    <x v="2"/>
    <m/>
    <x v="58"/>
    <s v="01-09-24"/>
    <s v="07-09-24"/>
    <s v="CUST-3983"/>
    <s v="Isha Nair"/>
    <x v="3"/>
    <x v="0"/>
    <s v="Rajasthan"/>
    <s v="Jaipur"/>
    <x v="0"/>
    <x v="8"/>
    <s v="Basic Storage 872"/>
    <x v="4"/>
    <s v="anomaly"/>
    <n v="6"/>
    <n v="0.1"/>
    <x v="56"/>
    <x v="56"/>
    <x v="56"/>
    <x v="52"/>
    <s v="07-09-24"/>
    <x v="7"/>
    <x v="0"/>
    <s v=" "/>
    <n v="6"/>
    <x v="0"/>
  </r>
  <r>
    <n v="3545.19"/>
    <x v="0"/>
    <x v="1"/>
    <m/>
    <x v="59"/>
    <s v="20-07-24"/>
    <s v="25-07-24"/>
    <s v="CUST-2418"/>
    <s v="Priya Menon"/>
    <x v="2"/>
    <x v="1"/>
    <s v="Assam"/>
    <s v="Guwahati"/>
    <x v="0"/>
    <x v="7"/>
    <s v="Smart Labels 655"/>
    <x v="1"/>
    <s v="anomaly"/>
    <n v="5"/>
    <n v="0.2"/>
    <x v="57"/>
    <x v="57"/>
    <x v="57"/>
    <x v="53"/>
    <s v="25-07-24"/>
    <x v="0"/>
    <x v="0"/>
    <s v=" "/>
    <n v="5"/>
    <x v="0"/>
  </r>
  <r>
    <n v="180.35"/>
    <x v="1"/>
    <x v="1"/>
    <m/>
    <x v="60"/>
    <s v="invalid date"/>
    <s v="19-07-24"/>
    <s v="CUST-2892"/>
    <s v="Ananya Rao"/>
    <x v="2"/>
    <x v="1"/>
    <s v="Assam"/>
    <s v="Guwahati"/>
    <x v="0"/>
    <x v="7"/>
    <s v="Eco Labels 210"/>
    <x v="1"/>
    <s v="Invalid"/>
    <s v="invalid date"/>
    <n v="0.2"/>
    <x v="58"/>
    <x v="58"/>
    <x v="58"/>
    <x v="1"/>
    <s v="19-07-24"/>
    <x v="1"/>
    <x v="1"/>
    <s v="Invalid"/>
    <s v="invalid date"/>
    <x v="0"/>
  </r>
  <r>
    <n v="198.34"/>
    <x v="0"/>
    <x v="0"/>
    <m/>
    <x v="61"/>
    <s v="16-04-24"/>
    <s v="invalid date"/>
    <s v="CUST-7008"/>
    <s v="Vikram Iyer"/>
    <x v="3"/>
    <x v="1"/>
    <s v="Bihar"/>
    <s v="Patna"/>
    <x v="1"/>
    <x v="10"/>
    <s v="Classic Bookcases 296"/>
    <x v="3"/>
    <s v="Invalid"/>
    <s v="invalid date"/>
    <n v="0"/>
    <x v="59"/>
    <x v="59"/>
    <x v="59"/>
    <x v="54"/>
    <s v="invalid date"/>
    <x v="12"/>
    <x v="0"/>
    <s v="Invalid"/>
    <s v="invalid date"/>
    <x v="0"/>
  </r>
  <r>
    <n v="8333.94"/>
    <x v="0"/>
    <x v="0"/>
    <m/>
    <x v="62"/>
    <s v="30-10-24"/>
    <s v="02-11-24"/>
    <s v="CUST-4900"/>
    <s v="Sneha Kapoor"/>
    <x v="3"/>
    <x v="0"/>
    <s v="Rajasthan"/>
    <s v="Jaipur"/>
    <x v="2"/>
    <x v="11"/>
    <s v="Basic Phones 230"/>
    <x v="3"/>
    <s v="  "/>
    <n v="3"/>
    <n v="0.2"/>
    <x v="60"/>
    <x v="60"/>
    <x v="60"/>
    <x v="55"/>
    <s v="02-11-24"/>
    <x v="5"/>
    <x v="0"/>
    <s v="anomaly"/>
    <n v="3"/>
    <x v="0"/>
  </r>
  <r>
    <n v="1917.47"/>
    <x v="0"/>
    <x v="0"/>
    <m/>
    <x v="63"/>
    <s v="25-01-24"/>
    <s v="01-02-24"/>
    <s v="CUST-5382"/>
    <s v="Sneha Kapoor"/>
    <x v="3"/>
    <x v="0"/>
    <s v="Haryana"/>
    <s v="Gurugram"/>
    <x v="0"/>
    <x v="9"/>
    <s v="Pro Binders 690"/>
    <x v="1"/>
    <s v="  "/>
    <n v="7"/>
    <n v="0.15"/>
    <x v="61"/>
    <x v="61"/>
    <x v="61"/>
    <x v="56"/>
    <s v="01-02-24"/>
    <x v="9"/>
    <x v="0"/>
    <s v="anomaly"/>
    <n v="7"/>
    <x v="0"/>
  </r>
  <r>
    <n v="767.25"/>
    <x v="1"/>
    <x v="2"/>
    <m/>
    <x v="64"/>
    <s v="23-12-24"/>
    <s v="invalid date"/>
    <s v="CUST-2749"/>
    <s v="Aarav Sharma"/>
    <x v="2"/>
    <x v="1"/>
    <s v="Jharkhand"/>
    <s v="Ranchi"/>
    <x v="0"/>
    <x v="0"/>
    <s v="Classic Paper 458"/>
    <x v="2"/>
    <s v="Invalid"/>
    <s v="invalid date"/>
    <n v="0"/>
    <x v="62"/>
    <x v="62"/>
    <x v="62"/>
    <x v="57"/>
    <s v="invalid date"/>
    <x v="8"/>
    <x v="0"/>
    <s v="Invalid"/>
    <s v="invalid date"/>
    <x v="0"/>
  </r>
  <r>
    <n v="1437.26"/>
    <x v="0"/>
    <x v="0"/>
    <m/>
    <x v="65"/>
    <s v="22-04-24"/>
    <s v="27-04-24"/>
    <s v="CUST-2463"/>
    <s v="Mira Das"/>
    <x v="3"/>
    <x v="3"/>
    <s v="Maharashtra"/>
    <s v="Mumbai"/>
    <x v="0"/>
    <x v="0"/>
    <s v="Pro Paper 552"/>
    <x v="0"/>
    <s v="anomaly"/>
    <n v="5"/>
    <n v="0.05"/>
    <x v="63"/>
    <x v="63"/>
    <x v="63"/>
    <x v="58"/>
    <s v="27-04-24"/>
    <x v="12"/>
    <x v="0"/>
    <s v=" "/>
    <n v="5"/>
    <x v="0"/>
  </r>
  <r>
    <n v="2421.77"/>
    <x v="0"/>
    <x v="0"/>
    <m/>
    <x v="66"/>
    <s v="invalid date"/>
    <s v="01-09-25"/>
    <s v="CUST-1504"/>
    <s v="Karan Malhotra"/>
    <x v="1"/>
    <x v="2"/>
    <s v="Tamil Nadu"/>
    <s v="Chennai"/>
    <x v="2"/>
    <x v="5"/>
    <s v="Elite Accessories 187"/>
    <x v="1"/>
    <s v="Invalid"/>
    <s v="invalid date"/>
    <n v="0.05"/>
    <x v="64"/>
    <x v="64"/>
    <x v="64"/>
    <x v="1"/>
    <s v="01-09-25"/>
    <x v="1"/>
    <x v="1"/>
    <s v="Invalid"/>
    <s v="invalid date"/>
    <x v="0"/>
  </r>
  <r>
    <n v="5294.54"/>
    <x v="0"/>
    <x v="0"/>
    <m/>
    <x v="67"/>
    <s v="03-02-25"/>
    <s v="07-02-25"/>
    <s v="CUST-8282"/>
    <s v="Kabir Singh"/>
    <x v="0"/>
    <x v="0"/>
    <s v="Haryana"/>
    <s v="Gurugram"/>
    <x v="0"/>
    <x v="0"/>
    <s v="Eco Paper 922"/>
    <x v="2"/>
    <s v="anomaly"/>
    <n v="4"/>
    <n v="0.05"/>
    <x v="65"/>
    <x v="65"/>
    <x v="65"/>
    <x v="59"/>
    <s v="07-02-25"/>
    <x v="6"/>
    <x v="2"/>
    <s v=" "/>
    <n v="4"/>
    <x v="0"/>
  </r>
  <r>
    <n v="8937.42"/>
    <x v="3"/>
    <x v="2"/>
    <m/>
    <x v="68"/>
    <s v="11-10-24"/>
    <s v="13-11-24"/>
    <s v="CUST-6054"/>
    <s v="Isha Nair"/>
    <x v="2"/>
    <x v="1"/>
    <s v="Jharkhand"/>
    <s v="Ranchi"/>
    <x v="0"/>
    <x v="8"/>
    <s v="Pro Storage 975"/>
    <x v="0"/>
    <s v="anomaly"/>
    <n v="33"/>
    <n v="0"/>
    <x v="66"/>
    <x v="66"/>
    <x v="66"/>
    <x v="22"/>
    <s v="13-11-24"/>
    <x v="5"/>
    <x v="0"/>
    <s v=" "/>
    <n v="33"/>
    <x v="0"/>
  </r>
  <r>
    <n v="3240.09"/>
    <x v="1"/>
    <x v="2"/>
    <m/>
    <x v="69"/>
    <s v="09-04-24"/>
    <s v="invalid date"/>
    <s v="CUST-5979"/>
    <s v="Neha Gupta"/>
    <x v="1"/>
    <x v="3"/>
    <s v="Gujarat"/>
    <s v="Ahmedabad"/>
    <x v="2"/>
    <x v="12"/>
    <s v="Prime Machines 782"/>
    <x v="1"/>
    <s v="Invalid"/>
    <s v="invalid date"/>
    <n v="0.1"/>
    <x v="67"/>
    <x v="67"/>
    <x v="67"/>
    <x v="60"/>
    <s v="invalid date"/>
    <x v="12"/>
    <x v="0"/>
    <s v="Invalid"/>
    <s v="invalid date"/>
    <x v="0"/>
  </r>
  <r>
    <n v="469.78"/>
    <x v="0"/>
    <x v="0"/>
    <m/>
    <x v="70"/>
    <s v="22-08-25"/>
    <s v="27-08-25"/>
    <s v="CUST-5582"/>
    <s v="Karan Malhotra"/>
    <x v="2"/>
    <x v="2"/>
    <s v="Andhra Pradesh"/>
    <s v="Vijayawada"/>
    <x v="2"/>
    <x v="11"/>
    <s v="Max Phones 661"/>
    <x v="2"/>
    <s v="anomaly"/>
    <n v="5"/>
    <n v="0.15"/>
    <x v="68"/>
    <x v="68"/>
    <x v="68"/>
    <x v="61"/>
    <s v="27-08-25"/>
    <x v="2"/>
    <x v="2"/>
    <s v=" "/>
    <n v="5"/>
    <x v="0"/>
  </r>
  <r>
    <n v="4500.17"/>
    <x v="0"/>
    <x v="0"/>
    <m/>
    <x v="71"/>
    <s v="invalid date"/>
    <s v="23-04-25"/>
    <s v="CUST-3308"/>
    <s v="Mira Das"/>
    <x v="1"/>
    <x v="3"/>
    <s v="Goa"/>
    <s v="Panaji"/>
    <x v="2"/>
    <x v="12"/>
    <s v="Elite Machines 836"/>
    <x v="3"/>
    <s v="Invalid"/>
    <s v="invalid date"/>
    <n v="0.1"/>
    <x v="69"/>
    <x v="69"/>
    <x v="69"/>
    <x v="1"/>
    <s v="23-04-25"/>
    <x v="1"/>
    <x v="1"/>
    <s v="Invalid"/>
    <s v="invalid date"/>
    <x v="0"/>
  </r>
  <r>
    <n v="3571.4"/>
    <x v="0"/>
    <x v="0"/>
    <m/>
    <x v="72"/>
    <s v="11-02-24"/>
    <s v="07-02-24"/>
    <s v="CUST-5018"/>
    <s v="Karan Malhotra"/>
    <x v="3"/>
    <x v="2"/>
    <s v="Tamil Nadu"/>
    <s v="Chennai"/>
    <x v="1"/>
    <x v="1"/>
    <s v="Prime Tables 902"/>
    <x v="2"/>
    <s v="  "/>
    <n v="-4"/>
    <n v="0.15"/>
    <x v="70"/>
    <x v="70"/>
    <x v="70"/>
    <x v="62"/>
    <s v="07-02-24"/>
    <x v="6"/>
    <x v="0"/>
    <s v="anomaly"/>
    <n v="-4"/>
    <x v="0"/>
  </r>
  <r>
    <n v="2746.55"/>
    <x v="0"/>
    <x v="0"/>
    <m/>
    <x v="73"/>
    <s v="29-03-25"/>
    <s v="04-03-25"/>
    <s v="CUST-2342"/>
    <s v="Sneha Kapoor"/>
    <x v="2"/>
    <x v="1"/>
    <s v="West Bengal"/>
    <s v="Kolkata"/>
    <x v="1"/>
    <x v="10"/>
    <s v="Smart Bookcases 167"/>
    <x v="2"/>
    <s v="  "/>
    <n v="-25"/>
    <n v="0"/>
    <x v="71"/>
    <x v="71"/>
    <x v="71"/>
    <x v="63"/>
    <s v="04-03-25"/>
    <x v="10"/>
    <x v="2"/>
    <s v="anomaly"/>
    <n v="-25"/>
    <x v="0"/>
  </r>
  <r>
    <n v="638.76"/>
    <x v="0"/>
    <x v="0"/>
    <m/>
    <x v="74"/>
    <s v="invalid date"/>
    <s v="01-03-25"/>
    <s v="CUST-6201"/>
    <s v="Vikram Iyer"/>
    <x v="1"/>
    <x v="1"/>
    <s v="West Bengal"/>
    <s v="Kolkata"/>
    <x v="1"/>
    <x v="4"/>
    <s v="Max Chairs 244"/>
    <x v="3"/>
    <s v="Invalid"/>
    <s v="invalid date"/>
    <n v="0"/>
    <x v="72"/>
    <x v="72"/>
    <x v="72"/>
    <x v="1"/>
    <s v="01-03-25"/>
    <x v="1"/>
    <x v="1"/>
    <s v="Invalid"/>
    <s v="invalid date"/>
    <x v="0"/>
  </r>
  <r>
    <n v="2516.39"/>
    <x v="0"/>
    <x v="0"/>
    <m/>
    <x v="75"/>
    <s v="22-08-25"/>
    <s v="invalid date"/>
    <s v="CUST-5808"/>
    <s v="Priya Menon"/>
    <x v="1"/>
    <x v="1"/>
    <s v="Odisha"/>
    <s v="Bhubaneswar"/>
    <x v="0"/>
    <x v="7"/>
    <s v="Eco Labels 653"/>
    <x v="2"/>
    <s v="Invalid"/>
    <s v="invalid date"/>
    <n v="0.2"/>
    <x v="73"/>
    <x v="73"/>
    <x v="73"/>
    <x v="61"/>
    <s v="invalid date"/>
    <x v="2"/>
    <x v="2"/>
    <s v="Invalid"/>
    <s v="invalid date"/>
    <x v="0"/>
  </r>
  <r>
    <n v="2601.84"/>
    <x v="0"/>
    <x v="0"/>
    <m/>
    <x v="76"/>
    <s v="03-11-24"/>
    <s v="11-11-24"/>
    <s v="CUST-2642"/>
    <s v="Ananya Rao"/>
    <x v="2"/>
    <x v="1"/>
    <s v="Jharkhand"/>
    <s v="Ranchi"/>
    <x v="0"/>
    <x v="7"/>
    <s v="Max Labels 617"/>
    <x v="0"/>
    <s v="anomaly"/>
    <n v="8"/>
    <n v="0"/>
    <x v="74"/>
    <x v="74"/>
    <x v="74"/>
    <x v="64"/>
    <s v="11-11-24"/>
    <x v="3"/>
    <x v="0"/>
    <s v=" "/>
    <n v="8"/>
    <x v="0"/>
  </r>
  <r>
    <n v="971.7"/>
    <x v="1"/>
    <x v="1"/>
    <m/>
    <x v="77"/>
    <s v="07-08-25"/>
    <s v="12-07-25"/>
    <s v="CUST-4385"/>
    <s v="Rohan Mehta"/>
    <x v="3"/>
    <x v="0"/>
    <s v="Uttar Pradesh"/>
    <s v="Noida"/>
    <x v="1"/>
    <x v="3"/>
    <s v="Pro Furnishings 529"/>
    <x v="3"/>
    <s v="anomaly"/>
    <n v="-26"/>
    <n v="0.15"/>
    <x v="75"/>
    <x v="75"/>
    <x v="75"/>
    <x v="65"/>
    <s v="12-07-25"/>
    <x v="2"/>
    <x v="2"/>
    <s v=" "/>
    <n v="-26"/>
    <x v="0"/>
  </r>
  <r>
    <n v="2271.5700000000002"/>
    <x v="0"/>
    <x v="0"/>
    <m/>
    <x v="78"/>
    <s v="invalid date"/>
    <s v="21-07-25"/>
    <s v="CUST-8043"/>
    <s v="Sneha Kapoor"/>
    <x v="2"/>
    <x v="1"/>
    <s v="West Bengal"/>
    <s v="Kolkata"/>
    <x v="1"/>
    <x v="1"/>
    <s v="Smart Tables 561"/>
    <x v="2"/>
    <s v="Invalid"/>
    <s v="invalid date"/>
    <n v="0.15"/>
    <x v="76"/>
    <x v="76"/>
    <x v="76"/>
    <x v="1"/>
    <s v="21-07-25"/>
    <x v="1"/>
    <x v="1"/>
    <s v="Invalid"/>
    <s v="invalid date"/>
    <x v="0"/>
  </r>
  <r>
    <n v="8684.0499999999993"/>
    <x v="0"/>
    <x v="0"/>
    <m/>
    <x v="79"/>
    <s v="27-09-25"/>
    <s v="03-10-25"/>
    <s v="CUST-9978"/>
    <s v="Diya Patel"/>
    <x v="3"/>
    <x v="2"/>
    <s v="Tamil Nadu"/>
    <s v="Chennai"/>
    <x v="1"/>
    <x v="4"/>
    <s v="Prime Chairs 838"/>
    <x v="1"/>
    <s v="  "/>
    <n v="6"/>
    <n v="0.1"/>
    <x v="77"/>
    <x v="77"/>
    <x v="77"/>
    <x v="66"/>
    <s v="03-10-25"/>
    <x v="7"/>
    <x v="2"/>
    <s v="anomaly"/>
    <n v="6"/>
    <x v="0"/>
  </r>
  <r>
    <n v="1761.02"/>
    <x v="2"/>
    <x v="2"/>
    <m/>
    <x v="80"/>
    <s v="10-08-24"/>
    <s v="14-08-24"/>
    <s v="CUST-2094"/>
    <s v="Aarav Sharma"/>
    <x v="1"/>
    <x v="0"/>
    <s v="Delhi"/>
    <s v="New Delhi"/>
    <x v="0"/>
    <x v="8"/>
    <s v="Elite Storage 371"/>
    <x v="0"/>
    <s v="anomaly"/>
    <n v="4"/>
    <n v="0.1"/>
    <x v="78"/>
    <x v="78"/>
    <x v="78"/>
    <x v="67"/>
    <s v="14-08-24"/>
    <x v="2"/>
    <x v="0"/>
    <s v=" "/>
    <n v="4"/>
    <x v="0"/>
  </r>
  <r>
    <n v="2432.31"/>
    <x v="0"/>
    <x v="0"/>
    <m/>
    <x v="81"/>
    <s v="16-03-25"/>
    <s v="17-03-25"/>
    <s v="CUST-7907"/>
    <s v="Karan Malhotra"/>
    <x v="3"/>
    <x v="3"/>
    <s v="Goa"/>
    <s v="Panaji"/>
    <x v="0"/>
    <x v="7"/>
    <s v="Eco Labels 662"/>
    <x v="1"/>
    <s v="anomaly"/>
    <n v="1"/>
    <n v="0"/>
    <x v="79"/>
    <x v="79"/>
    <x v="79"/>
    <x v="68"/>
    <s v="17-03-25"/>
    <x v="10"/>
    <x v="2"/>
    <s v=" "/>
    <n v="1"/>
    <x v="0"/>
  </r>
  <r>
    <n v="2247.5300000000002"/>
    <x v="3"/>
    <x v="2"/>
    <m/>
    <x v="82"/>
    <s v="03-08-24"/>
    <s v="04-08-24"/>
    <s v="CUST-6516"/>
    <s v="Arjun Bose"/>
    <x v="0"/>
    <x v="0"/>
    <s v="Uttar Pradesh"/>
    <s v="Noida"/>
    <x v="2"/>
    <x v="6"/>
    <s v="Smart Copiers 702"/>
    <x v="0"/>
    <s v="anomaly"/>
    <n v="1"/>
    <n v="0"/>
    <x v="80"/>
    <x v="80"/>
    <x v="80"/>
    <x v="69"/>
    <s v="04-08-24"/>
    <x v="2"/>
    <x v="0"/>
    <s v=" "/>
    <n v="1"/>
    <x v="0"/>
  </r>
  <r>
    <n v="273.91000000000003"/>
    <x v="0"/>
    <x v="0"/>
    <m/>
    <x v="83"/>
    <s v="26-10-24"/>
    <s v="29-10-24"/>
    <s v="CUST-4989"/>
    <s v="Aditi Sen"/>
    <x v="3"/>
    <x v="3"/>
    <s v="Maharashtra"/>
    <s v="Mumbai"/>
    <x v="1"/>
    <x v="1"/>
    <s v="Elite Tables 362"/>
    <x v="0"/>
    <s v="anomaly"/>
    <n v="3"/>
    <n v="0.2"/>
    <x v="81"/>
    <x v="81"/>
    <x v="81"/>
    <x v="46"/>
    <s v="29-10-24"/>
    <x v="5"/>
    <x v="0"/>
    <s v=" "/>
    <n v="3"/>
    <x v="0"/>
  </r>
  <r>
    <n v="651.9"/>
    <x v="0"/>
    <x v="0"/>
    <m/>
    <x v="84"/>
    <s v="01-10-24"/>
    <s v="03-10-24"/>
    <s v="CUST-3758"/>
    <s v="Rohan Mehta"/>
    <x v="2"/>
    <x v="2"/>
    <s v="Tamil Nadu"/>
    <s v="Chennai"/>
    <x v="2"/>
    <x v="11"/>
    <s v="Elite Phones 781"/>
    <x v="0"/>
    <s v="anomaly"/>
    <n v="2"/>
    <n v="0.2"/>
    <x v="82"/>
    <x v="82"/>
    <x v="82"/>
    <x v="70"/>
    <s v="03-10-24"/>
    <x v="5"/>
    <x v="0"/>
    <s v=" "/>
    <n v="2"/>
    <x v="0"/>
  </r>
  <r>
    <n v="264.64999999999998"/>
    <x v="0"/>
    <x v="1"/>
    <m/>
    <x v="85"/>
    <s v="30-07-24"/>
    <s v="08-05-24"/>
    <s v="CUST-6702"/>
    <s v="Kabir Singh"/>
    <x v="2"/>
    <x v="0"/>
    <s v="Delhi"/>
    <s v="New Delhi"/>
    <x v="0"/>
    <x v="9"/>
    <s v="Eco Binders 456"/>
    <x v="3"/>
    <s v="  "/>
    <n v="-83"/>
    <n v="0"/>
    <x v="83"/>
    <x v="83"/>
    <x v="83"/>
    <x v="71"/>
    <s v="08-05-24"/>
    <x v="0"/>
    <x v="0"/>
    <s v="anomaly"/>
    <n v="-83"/>
    <x v="0"/>
  </r>
  <r>
    <n v="894.32"/>
    <x v="1"/>
    <x v="1"/>
    <m/>
    <x v="86"/>
    <s v="01-07-24"/>
    <s v="01-07-24"/>
    <s v="CUST-9148"/>
    <s v="Ananya Rao"/>
    <x v="1"/>
    <x v="0"/>
    <s v="Delhi"/>
    <s v="New Delhi"/>
    <x v="2"/>
    <x v="6"/>
    <s v="Basic Copiers 525"/>
    <x v="0"/>
    <s v="  "/>
    <n v="0"/>
    <n v="0.1"/>
    <x v="84"/>
    <x v="84"/>
    <x v="84"/>
    <x v="17"/>
    <s v="01-07-24"/>
    <x v="0"/>
    <x v="0"/>
    <s v=" "/>
    <n v="0"/>
    <x v="0"/>
  </r>
  <r>
    <n v="7925.65"/>
    <x v="0"/>
    <x v="0"/>
    <m/>
    <x v="87"/>
    <s v="02-08-24"/>
    <s v="03-08-24"/>
    <s v="CUST-5829"/>
    <s v="Vikram Iyer"/>
    <x v="0"/>
    <x v="1"/>
    <s v="Assam"/>
    <s v="Guwahati"/>
    <x v="0"/>
    <x v="9"/>
    <s v="Eco Binders 258"/>
    <x v="3"/>
    <s v="anomaly"/>
    <n v="1"/>
    <n v="0"/>
    <x v="85"/>
    <x v="85"/>
    <x v="85"/>
    <x v="72"/>
    <s v="03-08-24"/>
    <x v="2"/>
    <x v="0"/>
    <s v=" "/>
    <n v="1"/>
    <x v="0"/>
  </r>
  <r>
    <n v="895.14"/>
    <x v="0"/>
    <x v="0"/>
    <m/>
    <x v="88"/>
    <s v="invalid date"/>
    <s v="27-03-24"/>
    <s v="CUST-6059"/>
    <s v="Rohan Mehta"/>
    <x v="1"/>
    <x v="3"/>
    <s v="Maharashtra"/>
    <s v="Mumbai"/>
    <x v="1"/>
    <x v="10"/>
    <s v="Max Bookcases 398"/>
    <x v="3"/>
    <s v="Invalid"/>
    <s v="invalid date"/>
    <n v="0.05"/>
    <x v="86"/>
    <x v="86"/>
    <x v="86"/>
    <x v="1"/>
    <s v="27-03-24"/>
    <x v="1"/>
    <x v="1"/>
    <s v="Invalid"/>
    <s v="invalid date"/>
    <x v="0"/>
  </r>
  <r>
    <n v="9004.9699999999993"/>
    <x v="2"/>
    <x v="1"/>
    <m/>
    <x v="89"/>
    <s v="05-09-24"/>
    <s v="05-09-24"/>
    <s v="CUST-7744"/>
    <s v="Kabir Singh"/>
    <x v="0"/>
    <x v="2"/>
    <s v="Andhra Pradesh"/>
    <s v="Vijayawada"/>
    <x v="1"/>
    <x v="10"/>
    <s v="Smart Bookcases 857"/>
    <x v="3"/>
    <s v="  "/>
    <n v="0"/>
    <n v="0.2"/>
    <x v="87"/>
    <x v="87"/>
    <x v="87"/>
    <x v="73"/>
    <s v="05-09-24"/>
    <x v="7"/>
    <x v="0"/>
    <s v=" "/>
    <n v="0"/>
    <x v="0"/>
  </r>
  <r>
    <n v="3858.82"/>
    <x v="0"/>
    <x v="0"/>
    <m/>
    <x v="90"/>
    <s v="invalid date"/>
    <s v="29-08-25"/>
    <s v="CUST-5909"/>
    <s v="Aarav Sharma"/>
    <x v="1"/>
    <x v="1"/>
    <s v="Bihar"/>
    <s v="Patna"/>
    <x v="2"/>
    <x v="6"/>
    <s v="Smart Copiers 556"/>
    <x v="2"/>
    <s v="Invalid"/>
    <s v="invalid date"/>
    <n v="0.15"/>
    <x v="88"/>
    <x v="88"/>
    <x v="88"/>
    <x v="1"/>
    <s v="29-08-25"/>
    <x v="1"/>
    <x v="1"/>
    <s v="Invalid"/>
    <s v="invalid date"/>
    <x v="0"/>
  </r>
  <r>
    <n v="804.53"/>
    <x v="0"/>
    <x v="0"/>
    <m/>
    <x v="91"/>
    <s v="02-03-25"/>
    <s v="03-08-25"/>
    <s v="CUST-6409"/>
    <s v="Sneha Kapoor"/>
    <x v="2"/>
    <x v="3"/>
    <s v="Madhya Pradesh"/>
    <s v="Indore"/>
    <x v="2"/>
    <x v="6"/>
    <s v="Prime Copiers 575"/>
    <x v="0"/>
    <s v="anomaly"/>
    <n v="154"/>
    <n v="0"/>
    <x v="89"/>
    <x v="89"/>
    <x v="89"/>
    <x v="74"/>
    <s v="03-08-25"/>
    <x v="10"/>
    <x v="2"/>
    <s v=" "/>
    <n v="154"/>
    <x v="0"/>
  </r>
  <r>
    <n v="6917.41"/>
    <x v="0"/>
    <x v="0"/>
    <m/>
    <x v="92"/>
    <s v="23-01-25"/>
    <s v="invalid date"/>
    <s v="CUST-3014"/>
    <s v="Aarav Sharma"/>
    <x v="0"/>
    <x v="3"/>
    <s v="Madhya Pradesh"/>
    <s v="Indore"/>
    <x v="0"/>
    <x v="0"/>
    <s v="Elite Paper 669"/>
    <x v="3"/>
    <s v="Invalid"/>
    <s v="invalid date"/>
    <n v="0.1"/>
    <x v="90"/>
    <x v="90"/>
    <x v="90"/>
    <x v="75"/>
    <s v="invalid date"/>
    <x v="9"/>
    <x v="2"/>
    <s v="Invalid"/>
    <s v="invalid date"/>
    <x v="0"/>
  </r>
  <r>
    <n v="7067.01"/>
    <x v="0"/>
    <x v="0"/>
    <m/>
    <x v="93"/>
    <s v="01-07-24"/>
    <s v="13-01-24"/>
    <s v="CUST-6106"/>
    <s v="Rohan Mehta"/>
    <x v="2"/>
    <x v="0"/>
    <s v="Uttar Pradesh"/>
    <s v="Noida"/>
    <x v="0"/>
    <x v="9"/>
    <s v="Eco Binders 780"/>
    <x v="3"/>
    <s v="anomaly"/>
    <n v="-170"/>
    <s v="invalid"/>
    <x v="2"/>
    <x v="2"/>
    <x v="2"/>
    <x v="17"/>
    <s v="13-01-24"/>
    <x v="0"/>
    <x v="0"/>
    <s v=" "/>
    <n v="-170"/>
    <x v="0"/>
  </r>
  <r>
    <n v="5103.1099999999997"/>
    <x v="2"/>
    <x v="1"/>
    <m/>
    <x v="94"/>
    <s v="09-06-24"/>
    <s v="09-09-24"/>
    <s v="CUST-1926"/>
    <s v="Diya Patel"/>
    <x v="0"/>
    <x v="0"/>
    <s v="Haryana"/>
    <s v="Gurugram"/>
    <x v="2"/>
    <x v="11"/>
    <s v="Elite Phones 723"/>
    <x v="0"/>
    <s v="anomaly"/>
    <n v="92"/>
    <n v="0"/>
    <x v="91"/>
    <x v="91"/>
    <x v="91"/>
    <x v="76"/>
    <s v="09-09-24"/>
    <x v="11"/>
    <x v="0"/>
    <s v=" "/>
    <n v="92"/>
    <x v="0"/>
  </r>
  <r>
    <n v="1683.73"/>
    <x v="0"/>
    <x v="0"/>
    <m/>
    <x v="95"/>
    <s v="05-09-25"/>
    <s v="09-10-25"/>
    <s v="CUST-2687"/>
    <s v="Sneha Kapoor"/>
    <x v="2"/>
    <x v="3"/>
    <s v="Goa"/>
    <s v="Panaji"/>
    <x v="1"/>
    <x v="10"/>
    <s v="Classic Bookcases 988"/>
    <x v="1"/>
    <s v="anomaly"/>
    <n v="34"/>
    <n v="0"/>
    <x v="92"/>
    <x v="92"/>
    <x v="92"/>
    <x v="77"/>
    <s v="09-10-25"/>
    <x v="7"/>
    <x v="2"/>
    <s v=" "/>
    <n v="34"/>
    <x v="0"/>
  </r>
  <r>
    <n v="1324.42"/>
    <x v="0"/>
    <x v="0"/>
    <m/>
    <x v="96"/>
    <s v="05-06-24"/>
    <s v="07-06-24"/>
    <s v="CUST-7283"/>
    <s v="Rahul Verma"/>
    <x v="3"/>
    <x v="1"/>
    <s v="Odisha"/>
    <s v="Bhubaneswar"/>
    <x v="2"/>
    <x v="6"/>
    <s v="Smart Copiers 547"/>
    <x v="0"/>
    <s v="anomaly"/>
    <n v="2"/>
    <n v="0.15"/>
    <x v="93"/>
    <x v="93"/>
    <x v="93"/>
    <x v="78"/>
    <s v="07-06-24"/>
    <x v="11"/>
    <x v="0"/>
    <s v=" "/>
    <n v="2"/>
    <x v="0"/>
  </r>
  <r>
    <n v="5599.47"/>
    <x v="2"/>
    <x v="2"/>
    <m/>
    <x v="97"/>
    <s v="08-08-25"/>
    <s v="11-08-25"/>
    <s v="CUST-8111"/>
    <s v="Diya Patel"/>
    <x v="1"/>
    <x v="3"/>
    <s v="Gujarat"/>
    <s v="Ahmedabad"/>
    <x v="0"/>
    <x v="8"/>
    <s v="Basic Storage 656"/>
    <x v="1"/>
    <s v="anomaly"/>
    <n v="3"/>
    <n v="0.2"/>
    <x v="94"/>
    <x v="94"/>
    <x v="94"/>
    <x v="79"/>
    <s v="11-08-25"/>
    <x v="2"/>
    <x v="2"/>
    <s v=" "/>
    <n v="3"/>
    <x v="0"/>
  </r>
  <r>
    <n v="3913.56"/>
    <x v="0"/>
    <x v="0"/>
    <m/>
    <x v="98"/>
    <s v="26-01-24"/>
    <s v="02-01-24"/>
    <s v="CUST-5434"/>
    <s v="Rohan Mehta"/>
    <x v="3"/>
    <x v="2"/>
    <s v="Kerala"/>
    <s v="Kochi"/>
    <x v="2"/>
    <x v="6"/>
    <s v="Elite Copiers 785"/>
    <x v="4"/>
    <s v="  "/>
    <n v="-24"/>
    <n v="0.1"/>
    <x v="95"/>
    <x v="95"/>
    <x v="95"/>
    <x v="80"/>
    <s v="02-01-24"/>
    <x v="9"/>
    <x v="0"/>
    <s v="anomaly"/>
    <n v="-24"/>
    <x v="0"/>
  </r>
  <r>
    <n v="1794.98"/>
    <x v="0"/>
    <x v="0"/>
    <m/>
    <x v="99"/>
    <s v="11-01-25"/>
    <s v="11-01-25"/>
    <s v="CUST-3865"/>
    <s v="Aditi Sen"/>
    <x v="1"/>
    <x v="3"/>
    <s v="Rajasthan"/>
    <s v="Udaipur"/>
    <x v="2"/>
    <x v="5"/>
    <s v="Smart Accessories 542"/>
    <x v="1"/>
    <s v="  "/>
    <n v="0"/>
    <n v="0"/>
    <x v="96"/>
    <x v="96"/>
    <x v="96"/>
    <x v="81"/>
    <s v="11-01-25"/>
    <x v="9"/>
    <x v="2"/>
    <s v=" "/>
    <n v="0"/>
    <x v="0"/>
  </r>
  <r>
    <n v="3979.17"/>
    <x v="0"/>
    <x v="0"/>
    <m/>
    <x v="100"/>
    <s v="12-09-25"/>
    <s v="18-09-25"/>
    <s v="CUST-6015"/>
    <s v="Aarav Sharma"/>
    <x v="3"/>
    <x v="2"/>
    <s v="Kerala"/>
    <s v="Kochi"/>
    <x v="0"/>
    <x v="8"/>
    <s v="Eco Storage 936"/>
    <x v="3"/>
    <s v="anomaly"/>
    <n v="6"/>
    <n v="0.05"/>
    <x v="97"/>
    <x v="97"/>
    <x v="97"/>
    <x v="82"/>
    <s v="18-09-25"/>
    <x v="7"/>
    <x v="2"/>
    <s v=" "/>
    <n v="6"/>
    <x v="0"/>
  </r>
  <r>
    <n v="4432.8100000000004"/>
    <x v="0"/>
    <x v="0"/>
    <m/>
    <x v="101"/>
    <s v="invalid date"/>
    <s v="26-06-24"/>
    <s v="CUST-7909"/>
    <s v="Rohan Mehta"/>
    <x v="3"/>
    <x v="1"/>
    <s v="Bihar"/>
    <s v="Patna"/>
    <x v="1"/>
    <x v="3"/>
    <s v="Classic Furnishings 682"/>
    <x v="2"/>
    <s v="Invalid"/>
    <s v="invalid date"/>
    <n v="0.25"/>
    <x v="98"/>
    <x v="98"/>
    <x v="98"/>
    <x v="1"/>
    <s v="26-06-24"/>
    <x v="1"/>
    <x v="1"/>
    <s v="Invalid"/>
    <s v="invalid date"/>
    <x v="0"/>
  </r>
  <r>
    <n v="2483.06"/>
    <x v="1"/>
    <x v="1"/>
    <m/>
    <x v="102"/>
    <s v="12-07-25"/>
    <s v="16-07-25"/>
    <s v="CUST-9603"/>
    <s v="Vikram Iyer"/>
    <x v="0"/>
    <x v="2"/>
    <s v="Karnataka"/>
    <s v="Bengaluru"/>
    <x v="1"/>
    <x v="4"/>
    <s v="Classic Chairs 604"/>
    <x v="2"/>
    <s v="anomaly"/>
    <n v="4"/>
    <n v="0"/>
    <x v="99"/>
    <x v="99"/>
    <x v="99"/>
    <x v="83"/>
    <s v="16-07-25"/>
    <x v="0"/>
    <x v="2"/>
    <s v=" "/>
    <n v="4"/>
    <x v="0"/>
  </r>
  <r>
    <n v="1151.3399999999999"/>
    <x v="0"/>
    <x v="0"/>
    <m/>
    <x v="103"/>
    <s v="05-02-25"/>
    <s v="05-10-25"/>
    <s v="CUST-6263"/>
    <s v="Kabir Singh"/>
    <x v="2"/>
    <x v="3"/>
    <s v="Maharashtra"/>
    <s v="Mumbai"/>
    <x v="1"/>
    <x v="1"/>
    <s v="Prime Tables 377"/>
    <x v="2"/>
    <s v="anomaly"/>
    <n v="242"/>
    <n v="0.2"/>
    <x v="100"/>
    <x v="100"/>
    <x v="100"/>
    <x v="84"/>
    <s v="05-10-25"/>
    <x v="6"/>
    <x v="2"/>
    <s v=" "/>
    <n v="242"/>
    <x v="0"/>
  </r>
  <r>
    <n v="2302.08"/>
    <x v="0"/>
    <x v="1"/>
    <m/>
    <x v="104"/>
    <s v="01-02-25"/>
    <s v="02-08-25"/>
    <s v="CUST-1576"/>
    <s v="Ananya Rao"/>
    <x v="0"/>
    <x v="2"/>
    <s v="Karnataka"/>
    <s v="Bengaluru"/>
    <x v="0"/>
    <x v="7"/>
    <s v="Prime Labels 807"/>
    <x v="1"/>
    <s v="anomaly"/>
    <n v="182"/>
    <n v="0.25"/>
    <x v="101"/>
    <x v="101"/>
    <x v="101"/>
    <x v="85"/>
    <s v="02-08-25"/>
    <x v="6"/>
    <x v="2"/>
    <s v=" "/>
    <n v="182"/>
    <x v="0"/>
  </r>
  <r>
    <n v="226.1"/>
    <x v="0"/>
    <x v="0"/>
    <m/>
    <x v="105"/>
    <s v="invalid date"/>
    <s v="29-06-24"/>
    <s v="CUST-6540"/>
    <s v="Mira Das"/>
    <x v="3"/>
    <x v="1"/>
    <s v="West Bengal"/>
    <s v="Kolkata"/>
    <x v="1"/>
    <x v="1"/>
    <s v="Eco Tables 575"/>
    <x v="0"/>
    <s v="Invalid"/>
    <s v="invalid date"/>
    <n v="0.1"/>
    <x v="102"/>
    <x v="102"/>
    <x v="102"/>
    <x v="1"/>
    <s v="29-06-24"/>
    <x v="1"/>
    <x v="1"/>
    <s v="Invalid"/>
    <s v="invalid date"/>
    <x v="0"/>
  </r>
  <r>
    <n v="1497.88"/>
    <x v="0"/>
    <x v="1"/>
    <m/>
    <x v="106"/>
    <s v="20-02-24"/>
    <s v="28-02-24"/>
    <s v="CUST-4008"/>
    <s v="Arjun Bose"/>
    <x v="3"/>
    <x v="1"/>
    <s v="West Bengal"/>
    <s v="Kolkata"/>
    <x v="0"/>
    <x v="0"/>
    <s v="Eco Paper 918"/>
    <x v="3"/>
    <s v="anomaly"/>
    <n v="8"/>
    <n v="0"/>
    <x v="103"/>
    <x v="103"/>
    <x v="103"/>
    <x v="86"/>
    <s v="28-02-24"/>
    <x v="6"/>
    <x v="0"/>
    <s v=" "/>
    <n v="8"/>
    <x v="0"/>
  </r>
  <r>
    <n v="3337.67"/>
    <x v="0"/>
    <x v="0"/>
    <m/>
    <x v="107"/>
    <s v="29-10-24"/>
    <s v="04-11-24"/>
    <s v="CUST-6604"/>
    <s v="Rohan Mehta"/>
    <x v="3"/>
    <x v="1"/>
    <s v="West Bengal"/>
    <s v="Kolkata"/>
    <x v="1"/>
    <x v="3"/>
    <s v="Prime Furnishings 952"/>
    <x v="2"/>
    <s v="  "/>
    <n v="6"/>
    <n v="0.05"/>
    <x v="104"/>
    <x v="104"/>
    <x v="104"/>
    <x v="87"/>
    <s v="04-11-24"/>
    <x v="5"/>
    <x v="0"/>
    <s v="anomaly"/>
    <n v="6"/>
    <x v="0"/>
  </r>
  <r>
    <n v="307.81"/>
    <x v="0"/>
    <x v="0"/>
    <m/>
    <x v="108"/>
    <s v="15-08-24"/>
    <s v="invalid date"/>
    <s v="CUST-4337"/>
    <s v="Aditi Sen"/>
    <x v="1"/>
    <x v="1"/>
    <s v="Odisha"/>
    <s v="Bhubaneswar"/>
    <x v="1"/>
    <x v="10"/>
    <s v="Prime Bookcases 631"/>
    <x v="1"/>
    <s v="Invalid"/>
    <s v="invalid date"/>
    <n v="0.25"/>
    <x v="105"/>
    <x v="105"/>
    <x v="105"/>
    <x v="88"/>
    <s v="invalid date"/>
    <x v="2"/>
    <x v="0"/>
    <s v="Invalid"/>
    <s v="invalid date"/>
    <x v="0"/>
  </r>
  <r>
    <n v="774.25"/>
    <x v="0"/>
    <x v="0"/>
    <m/>
    <x v="109"/>
    <s v="23-08-25"/>
    <s v="invalid date"/>
    <s v="CUST-3740"/>
    <s v="Sneha Kapoor"/>
    <x v="0"/>
    <x v="0"/>
    <s v="Delhi"/>
    <s v="New Delhi"/>
    <x v="0"/>
    <x v="9"/>
    <s v="Classic Binders 660"/>
    <x v="0"/>
    <s v="Invalid"/>
    <s v="invalid date"/>
    <n v="0.25"/>
    <x v="106"/>
    <x v="106"/>
    <x v="106"/>
    <x v="89"/>
    <s v="invalid date"/>
    <x v="2"/>
    <x v="2"/>
    <s v="Invalid"/>
    <s v="invalid date"/>
    <x v="0"/>
  </r>
  <r>
    <n v="1893.21"/>
    <x v="1"/>
    <x v="1"/>
    <m/>
    <x v="110"/>
    <s v="invalid date"/>
    <s v="24-10-24"/>
    <s v="CUST-7128"/>
    <s v="Vikram Iyer"/>
    <x v="2"/>
    <x v="2"/>
    <s v="Kerala"/>
    <s v="Kochi"/>
    <x v="0"/>
    <x v="7"/>
    <s v="Pro Labels 255"/>
    <x v="2"/>
    <s v="Invalid"/>
    <s v="invalid date"/>
    <n v="0"/>
    <x v="107"/>
    <x v="107"/>
    <x v="107"/>
    <x v="1"/>
    <s v="24-10-24"/>
    <x v="1"/>
    <x v="1"/>
    <s v="Invalid"/>
    <s v="invalid date"/>
    <x v="0"/>
  </r>
  <r>
    <n v="545.55999999999995"/>
    <x v="2"/>
    <x v="1"/>
    <m/>
    <x v="111"/>
    <s v="invalid date"/>
    <s v="30-06-25"/>
    <s v="CUST-4743"/>
    <s v="Neha Gupta"/>
    <x v="2"/>
    <x v="1"/>
    <s v="Bihar"/>
    <s v="Patna"/>
    <x v="2"/>
    <x v="5"/>
    <s v="Basic Accessories 187"/>
    <x v="2"/>
    <s v="Invalid"/>
    <s v="invalid date"/>
    <n v="0.05"/>
    <x v="108"/>
    <x v="108"/>
    <x v="108"/>
    <x v="1"/>
    <s v="30-06-25"/>
    <x v="1"/>
    <x v="1"/>
    <s v="Invalid"/>
    <s v="invalid date"/>
    <x v="0"/>
  </r>
  <r>
    <n v="4365.28"/>
    <x v="0"/>
    <x v="0"/>
    <m/>
    <x v="112"/>
    <s v="10-01-24"/>
    <s v="14-01-24"/>
    <s v="CUST-5213"/>
    <s v="Sneha Kapoor"/>
    <x v="0"/>
    <x v="4"/>
    <s v="Gujarat"/>
    <s v="Ahmedabad"/>
    <x v="2"/>
    <x v="5"/>
    <s v="Max Accessories 451"/>
    <x v="3"/>
    <s v="anomaly"/>
    <n v="4"/>
    <n v="0.05"/>
    <x v="109"/>
    <x v="109"/>
    <x v="109"/>
    <x v="90"/>
    <s v="14-01-24"/>
    <x v="9"/>
    <x v="0"/>
    <s v=" "/>
    <n v="4"/>
    <x v="0"/>
  </r>
  <r>
    <n v="810.7"/>
    <x v="0"/>
    <x v="0"/>
    <m/>
    <x v="113"/>
    <s v="12-02-24"/>
    <s v="12-02-24"/>
    <s v="CUST-4989"/>
    <s v="Isha Nair"/>
    <x v="3"/>
    <x v="2"/>
    <s v="Tamil Nadu"/>
    <s v="Chennai"/>
    <x v="1"/>
    <x v="1"/>
    <s v="Classic Tables 752"/>
    <x v="3"/>
    <s v="  "/>
    <n v="0"/>
    <n v="0.25"/>
    <x v="110"/>
    <x v="110"/>
    <x v="110"/>
    <x v="91"/>
    <s v="12-02-24"/>
    <x v="6"/>
    <x v="0"/>
    <s v=" "/>
    <n v="0"/>
    <x v="0"/>
  </r>
  <r>
    <n v="762.83"/>
    <x v="2"/>
    <x v="1"/>
    <m/>
    <x v="114"/>
    <s v="25-09-24"/>
    <s v="30-09-24"/>
    <s v="CUST-2927"/>
    <s v="Neha Gupta"/>
    <x v="1"/>
    <x v="0"/>
    <s v="Rajasthan"/>
    <s v="Jaipur"/>
    <x v="2"/>
    <x v="5"/>
    <s v="Eco Accessories 452"/>
    <x v="0"/>
    <s v="anomaly"/>
    <n v="5"/>
    <n v="0.1"/>
    <x v="111"/>
    <x v="111"/>
    <x v="111"/>
    <x v="92"/>
    <s v="30-09-24"/>
    <x v="7"/>
    <x v="0"/>
    <s v=" "/>
    <n v="5"/>
    <x v="0"/>
  </r>
  <r>
    <n v="268.04000000000002"/>
    <x v="0"/>
    <x v="1"/>
    <m/>
    <x v="115"/>
    <s v="27-12-24"/>
    <s v="01-01-25"/>
    <s v="CUST-7764"/>
    <s v="Kabir Singh"/>
    <x v="2"/>
    <x v="2"/>
    <s v="Tamil Nadu"/>
    <s v="Chennai"/>
    <x v="0"/>
    <x v="9"/>
    <s v="Classic Binders 203"/>
    <x v="1"/>
    <s v="  "/>
    <n v="5"/>
    <n v="0.15"/>
    <x v="112"/>
    <x v="112"/>
    <x v="112"/>
    <x v="14"/>
    <s v="01-01-25"/>
    <x v="8"/>
    <x v="0"/>
    <s v="anomaly"/>
    <n v="5"/>
    <x v="0"/>
  </r>
  <r>
    <n v="529.54"/>
    <x v="3"/>
    <x v="1"/>
    <m/>
    <x v="116"/>
    <s v="15-02-25"/>
    <s v="19-02-25"/>
    <s v="CUST-3632"/>
    <s v="Ananya Rao"/>
    <x v="1"/>
    <x v="4"/>
    <s v="Madhya Pradesh"/>
    <s v="Indore"/>
    <x v="0"/>
    <x v="9"/>
    <s v="Basic Binders 859"/>
    <x v="2"/>
    <s v="anomaly"/>
    <n v="4"/>
    <n v="0.25"/>
    <x v="113"/>
    <x v="113"/>
    <x v="113"/>
    <x v="93"/>
    <s v="19-02-25"/>
    <x v="6"/>
    <x v="2"/>
    <s v=" "/>
    <n v="4"/>
    <x v="0"/>
  </r>
  <r>
    <n v="5062.6499999999996"/>
    <x v="0"/>
    <x v="0"/>
    <m/>
    <x v="117"/>
    <s v="15-02-24"/>
    <s v="17-02-24"/>
    <s v="CUST-9608"/>
    <s v="Mira Das"/>
    <x v="3"/>
    <x v="2"/>
    <s v="Tamil Nadu"/>
    <s v="Chennai"/>
    <x v="2"/>
    <x v="12"/>
    <s v="Elite Machines 705"/>
    <x v="3"/>
    <s v="anomaly"/>
    <n v="2"/>
    <s v="invalid"/>
    <x v="2"/>
    <x v="2"/>
    <x v="2"/>
    <x v="94"/>
    <s v="17-02-24"/>
    <x v="6"/>
    <x v="0"/>
    <s v=" "/>
    <n v="2"/>
    <x v="0"/>
  </r>
  <r>
    <n v="1913.86"/>
    <x v="0"/>
    <x v="0"/>
    <m/>
    <x v="118"/>
    <s v="06-10-24"/>
    <s v="18-06-24"/>
    <s v="CUST-9135"/>
    <s v="Vikram Iyer"/>
    <x v="3"/>
    <x v="2"/>
    <s v="Andhra Pradesh"/>
    <s v="Vijayawada"/>
    <x v="2"/>
    <x v="6"/>
    <s v="Pro Copiers 208"/>
    <x v="1"/>
    <s v="anomaly"/>
    <n v="-110"/>
    <n v="0.2"/>
    <x v="114"/>
    <x v="114"/>
    <x v="114"/>
    <x v="95"/>
    <s v="18-06-24"/>
    <x v="5"/>
    <x v="0"/>
    <s v=" "/>
    <n v="-110"/>
    <x v="0"/>
  </r>
  <r>
    <n v="366.61"/>
    <x v="1"/>
    <x v="2"/>
    <m/>
    <x v="119"/>
    <s v="12-06-24"/>
    <s v="19-06-24"/>
    <s v="CUST-7861"/>
    <s v="Aditi Sen"/>
    <x v="1"/>
    <x v="2"/>
    <s v="Kerala"/>
    <s v="Kochi"/>
    <x v="1"/>
    <x v="4"/>
    <s v="Elite Chairs 921"/>
    <x v="3"/>
    <s v="anomaly"/>
    <n v="7"/>
    <n v="0.25"/>
    <x v="115"/>
    <x v="115"/>
    <x v="115"/>
    <x v="96"/>
    <s v="19-06-24"/>
    <x v="11"/>
    <x v="0"/>
    <s v=" "/>
    <n v="7"/>
    <x v="0"/>
  </r>
  <r>
    <n v="565.74"/>
    <x v="0"/>
    <x v="2"/>
    <m/>
    <x v="120"/>
    <s v="10-08-24"/>
    <s v="18-08-24"/>
    <s v="CUST-6096"/>
    <s v="Sneha Kapoor"/>
    <x v="1"/>
    <x v="1"/>
    <s v="Bihar"/>
    <s v="Patna"/>
    <x v="2"/>
    <x v="11"/>
    <s v="Prime Phones 540"/>
    <x v="3"/>
    <s v="anomaly"/>
    <n v="8"/>
    <n v="0.2"/>
    <x v="116"/>
    <x v="116"/>
    <x v="116"/>
    <x v="67"/>
    <s v="18-08-24"/>
    <x v="2"/>
    <x v="0"/>
    <s v=" "/>
    <n v="8"/>
    <x v="0"/>
  </r>
  <r>
    <n v="5653.69"/>
    <x v="1"/>
    <x v="1"/>
    <m/>
    <x v="121"/>
    <s v="invalid date"/>
    <s v="invalid date"/>
    <s v="CUST-2044"/>
    <s v="Kabir Singh"/>
    <x v="1"/>
    <x v="2"/>
    <s v="Andhra Pradesh"/>
    <s v="Vijayawada"/>
    <x v="2"/>
    <x v="12"/>
    <s v="Max Machines 948"/>
    <x v="0"/>
    <s v="Invalid"/>
    <s v="invalid date"/>
    <n v="0"/>
    <x v="117"/>
    <x v="117"/>
    <x v="117"/>
    <x v="1"/>
    <s v="invalid date"/>
    <x v="1"/>
    <x v="1"/>
    <s v="Invalid"/>
    <s v="invalid date"/>
    <x v="0"/>
  </r>
  <r>
    <n v="143.87"/>
    <x v="0"/>
    <x v="0"/>
    <m/>
    <x v="122"/>
    <s v="invalid date"/>
    <s v="04-12-24"/>
    <s v="CUST-1721"/>
    <s v="Ananya Rao"/>
    <x v="1"/>
    <x v="1"/>
    <s v="Assam"/>
    <s v="Guwahati"/>
    <x v="1"/>
    <x v="4"/>
    <s v="Max Chairs 786"/>
    <x v="0"/>
    <s v="Invalid"/>
    <s v="invalid date"/>
    <n v="0"/>
    <x v="118"/>
    <x v="118"/>
    <x v="118"/>
    <x v="1"/>
    <s v="04-12-24"/>
    <x v="1"/>
    <x v="1"/>
    <s v="Invalid"/>
    <s v="invalid date"/>
    <x v="0"/>
  </r>
  <r>
    <n v="180.78"/>
    <x v="1"/>
    <x v="1"/>
    <m/>
    <x v="123"/>
    <s v="invalid date"/>
    <s v="25-05-24"/>
    <s v="CUST-1007"/>
    <s v="Sneha Kapoor"/>
    <x v="1"/>
    <x v="0"/>
    <s v="Punjab"/>
    <s v="Ludhiana"/>
    <x v="2"/>
    <x v="6"/>
    <s v="Max Copiers 970"/>
    <x v="1"/>
    <s v="Invalid"/>
    <s v="invalid date"/>
    <n v="0"/>
    <x v="119"/>
    <x v="119"/>
    <x v="119"/>
    <x v="1"/>
    <s v="25-05-24"/>
    <x v="1"/>
    <x v="1"/>
    <s v="Invalid"/>
    <s v="invalid date"/>
    <x v="0"/>
  </r>
  <r>
    <n v="741.8"/>
    <x v="0"/>
    <x v="0"/>
    <m/>
    <x v="124"/>
    <s v="21-07-24"/>
    <s v="invalid date"/>
    <s v="CUST-4450"/>
    <s v="Isha Nair"/>
    <x v="2"/>
    <x v="2"/>
    <s v="Karnataka"/>
    <s v="Bengaluru"/>
    <x v="2"/>
    <x v="6"/>
    <s v="Pro Copiers 769"/>
    <x v="3"/>
    <s v="Invalid"/>
    <s v="invalid date"/>
    <s v="invalid"/>
    <x v="2"/>
    <x v="2"/>
    <x v="2"/>
    <x v="0"/>
    <s v="invalid date"/>
    <x v="0"/>
    <x v="0"/>
    <s v="Invalid"/>
    <s v="invalid date"/>
    <x v="0"/>
  </r>
  <r>
    <n v="4967.24"/>
    <x v="1"/>
    <x v="2"/>
    <m/>
    <x v="125"/>
    <s v="17-07-25"/>
    <s v="18-07-25"/>
    <s v="CUST-7924"/>
    <s v="Neha Gupta"/>
    <x v="1"/>
    <x v="3"/>
    <s v="Rajasthan"/>
    <s v="Udaipur"/>
    <x v="1"/>
    <x v="1"/>
    <s v="Basic Tables 753"/>
    <x v="1"/>
    <s v="anomaly"/>
    <n v="1"/>
    <n v="0.25"/>
    <x v="120"/>
    <x v="120"/>
    <x v="120"/>
    <x v="97"/>
    <s v="18-07-25"/>
    <x v="0"/>
    <x v="2"/>
    <s v=" "/>
    <n v="1"/>
    <x v="0"/>
  </r>
  <r>
    <n v="1734.85"/>
    <x v="0"/>
    <x v="0"/>
    <m/>
    <x v="126"/>
    <s v="24-09-25"/>
    <s v="26-09-25"/>
    <s v="CUST-1715"/>
    <s v="Priya Menon"/>
    <x v="2"/>
    <x v="0"/>
    <s v="Delhi"/>
    <s v="New Delhi"/>
    <x v="2"/>
    <x v="6"/>
    <s v="Prime Copiers 651"/>
    <x v="3"/>
    <s v="anomaly"/>
    <n v="2"/>
    <n v="0.1"/>
    <x v="121"/>
    <x v="121"/>
    <x v="121"/>
    <x v="98"/>
    <s v="26-09-25"/>
    <x v="7"/>
    <x v="2"/>
    <s v=" "/>
    <n v="2"/>
    <x v="0"/>
  </r>
  <r>
    <n v="2256.31"/>
    <x v="0"/>
    <x v="0"/>
    <m/>
    <x v="127"/>
    <s v="invalid date"/>
    <s v="26-01-25"/>
    <s v="CUST-6802"/>
    <s v="Priya Menon"/>
    <x v="2"/>
    <x v="3"/>
    <s v="Madhya Pradesh"/>
    <s v="Indore"/>
    <x v="0"/>
    <x v="8"/>
    <s v="Basic Storage 321"/>
    <x v="0"/>
    <s v="Invalid"/>
    <s v="invalid date"/>
    <n v="0.05"/>
    <x v="122"/>
    <x v="122"/>
    <x v="122"/>
    <x v="1"/>
    <s v="26-01-25"/>
    <x v="1"/>
    <x v="1"/>
    <s v="Invalid"/>
    <s v="invalid date"/>
    <x v="0"/>
  </r>
  <r>
    <n v="1019.51"/>
    <x v="0"/>
    <x v="2"/>
    <m/>
    <x v="128"/>
    <s v="13-12-24"/>
    <s v="16-12-24"/>
    <s v="CUST-9328"/>
    <s v="Neha Gupta"/>
    <x v="1"/>
    <x v="1"/>
    <s v="Odisha"/>
    <s v="Bhubaneswar"/>
    <x v="1"/>
    <x v="3"/>
    <s v="Prime Furnishings 710"/>
    <x v="3"/>
    <s v="anomaly"/>
    <n v="3"/>
    <n v="0.05"/>
    <x v="123"/>
    <x v="123"/>
    <x v="123"/>
    <x v="99"/>
    <s v="16-12-24"/>
    <x v="8"/>
    <x v="0"/>
    <s v=" "/>
    <n v="3"/>
    <x v="0"/>
  </r>
  <r>
    <n v="3090.43"/>
    <x v="0"/>
    <x v="0"/>
    <m/>
    <x v="129"/>
    <s v="19-07-24"/>
    <s v="25-07-24"/>
    <s v="CUST-2588"/>
    <s v="Isha Nair"/>
    <x v="1"/>
    <x v="3"/>
    <s v="Goa"/>
    <s v="Panaji"/>
    <x v="0"/>
    <x v="9"/>
    <s v="Elite Binders 723"/>
    <x v="3"/>
    <s v="anomaly"/>
    <n v="6"/>
    <n v="0.05"/>
    <x v="124"/>
    <x v="124"/>
    <x v="124"/>
    <x v="40"/>
    <s v="25-07-24"/>
    <x v="0"/>
    <x v="0"/>
    <s v=" "/>
    <n v="6"/>
    <x v="0"/>
  </r>
  <r>
    <n v="211.96"/>
    <x v="2"/>
    <x v="1"/>
    <m/>
    <x v="130"/>
    <s v="27-01-24"/>
    <s v="02-02-24"/>
    <s v="CUST-5435"/>
    <s v="Arjun Bose"/>
    <x v="0"/>
    <x v="3"/>
    <s v="Gujarat"/>
    <s v="Ahmedabad"/>
    <x v="0"/>
    <x v="7"/>
    <s v="Smart Labels 878"/>
    <x v="1"/>
    <s v="  "/>
    <n v="6"/>
    <n v="0.2"/>
    <x v="125"/>
    <x v="125"/>
    <x v="125"/>
    <x v="100"/>
    <s v="02-02-24"/>
    <x v="9"/>
    <x v="0"/>
    <s v="anomaly"/>
    <n v="6"/>
    <x v="0"/>
  </r>
  <r>
    <n v="647.66"/>
    <x v="0"/>
    <x v="0"/>
    <m/>
    <x v="131"/>
    <s v="invalid date"/>
    <s v="04-10-25"/>
    <s v="CUST-7637"/>
    <s v="Ananya Rao"/>
    <x v="3"/>
    <x v="1"/>
    <s v="Jharkhand"/>
    <s v="Ranchi"/>
    <x v="0"/>
    <x v="0"/>
    <s v="Pro Paper 934"/>
    <x v="1"/>
    <s v="Invalid"/>
    <s v="invalid date"/>
    <n v="0.2"/>
    <x v="126"/>
    <x v="126"/>
    <x v="126"/>
    <x v="1"/>
    <s v="04-10-25"/>
    <x v="1"/>
    <x v="1"/>
    <s v="Invalid"/>
    <s v="invalid date"/>
    <x v="0"/>
  </r>
  <r>
    <n v="409.86"/>
    <x v="3"/>
    <x v="1"/>
    <m/>
    <x v="132"/>
    <s v="04-11-24"/>
    <s v="04-11-24"/>
    <s v="CUST-3602"/>
    <s v="Kabir Singh"/>
    <x v="2"/>
    <x v="1"/>
    <s v="Assam"/>
    <s v="Guwahati"/>
    <x v="2"/>
    <x v="12"/>
    <s v="Classic Machines 886"/>
    <x v="2"/>
    <s v="  "/>
    <n v="0"/>
    <n v="0"/>
    <x v="127"/>
    <x v="127"/>
    <x v="127"/>
    <x v="101"/>
    <s v="04-11-24"/>
    <x v="3"/>
    <x v="0"/>
    <s v=" "/>
    <n v="0"/>
    <x v="0"/>
  </r>
  <r>
    <n v="6055.07"/>
    <x v="0"/>
    <x v="0"/>
    <m/>
    <x v="133"/>
    <s v="13-12-24"/>
    <s v="invalid date"/>
    <s v="CUST-9441"/>
    <s v="Karan Malhotra"/>
    <x v="0"/>
    <x v="3"/>
    <s v="Goa"/>
    <s v="Panaji"/>
    <x v="2"/>
    <x v="11"/>
    <s v="Prime Phones 419"/>
    <x v="0"/>
    <s v="Invalid"/>
    <s v="invalid date"/>
    <n v="0.15"/>
    <x v="128"/>
    <x v="128"/>
    <x v="128"/>
    <x v="99"/>
    <s v="invalid date"/>
    <x v="8"/>
    <x v="0"/>
    <s v="Invalid"/>
    <s v="invalid date"/>
    <x v="0"/>
  </r>
  <r>
    <n v="524.1"/>
    <x v="2"/>
    <x v="1"/>
    <m/>
    <x v="134"/>
    <s v="invalid date"/>
    <s v="14-07-25"/>
    <s v="CUST-7361"/>
    <s v="Vikram Iyer"/>
    <x v="3"/>
    <x v="1"/>
    <s v="West Bengal"/>
    <s v="Kolkata"/>
    <x v="1"/>
    <x v="10"/>
    <s v="Elite Bookcases 266"/>
    <x v="4"/>
    <s v="Invalid"/>
    <s v="invalid date"/>
    <n v="0.25"/>
    <x v="129"/>
    <x v="129"/>
    <x v="129"/>
    <x v="1"/>
    <s v="14-07-25"/>
    <x v="1"/>
    <x v="1"/>
    <s v="Invalid"/>
    <s v="invalid date"/>
    <x v="0"/>
  </r>
  <r>
    <n v="1473.33"/>
    <x v="0"/>
    <x v="0"/>
    <m/>
    <x v="135"/>
    <s v="24-08-25"/>
    <s v="24-08-25"/>
    <s v="CUST-1148"/>
    <s v="Diya Patel"/>
    <x v="1"/>
    <x v="2"/>
    <s v="Kerala"/>
    <s v="Kochi"/>
    <x v="1"/>
    <x v="10"/>
    <s v="Prime Bookcases 954"/>
    <x v="3"/>
    <s v="  "/>
    <n v="0"/>
    <n v="0"/>
    <x v="130"/>
    <x v="130"/>
    <x v="130"/>
    <x v="102"/>
    <s v="24-08-25"/>
    <x v="2"/>
    <x v="2"/>
    <s v=" "/>
    <n v="0"/>
    <x v="0"/>
  </r>
  <r>
    <n v="9757.2900000000009"/>
    <x v="0"/>
    <x v="0"/>
    <m/>
    <x v="136"/>
    <s v="09-02-25"/>
    <s v="15-02-25"/>
    <s v="CUST-3350"/>
    <s v="Mira Das"/>
    <x v="3"/>
    <x v="1"/>
    <s v="Jharkhand"/>
    <s v="Ranchi"/>
    <x v="0"/>
    <x v="9"/>
    <s v="Max Binders 362"/>
    <x v="3"/>
    <s v="anomaly"/>
    <n v="6"/>
    <n v="0.2"/>
    <x v="131"/>
    <x v="131"/>
    <x v="131"/>
    <x v="103"/>
    <s v="15-02-25"/>
    <x v="6"/>
    <x v="2"/>
    <s v=" "/>
    <n v="6"/>
    <x v="0"/>
  </r>
  <r>
    <n v="3676.28"/>
    <x v="0"/>
    <x v="0"/>
    <m/>
    <x v="137"/>
    <s v="01-09-25"/>
    <s v="09-01-25"/>
    <s v="CUST-7932"/>
    <s v="Sneha Kapoor"/>
    <x v="1"/>
    <x v="0"/>
    <s v="Rajasthan"/>
    <s v="Jaipur"/>
    <x v="1"/>
    <x v="4"/>
    <s v="Prime Chairs 261"/>
    <x v="1"/>
    <s v="anomaly"/>
    <n v="-235"/>
    <n v="0.1"/>
    <x v="132"/>
    <x v="132"/>
    <x v="132"/>
    <x v="104"/>
    <s v="09-01-25"/>
    <x v="7"/>
    <x v="2"/>
    <s v=" "/>
    <n v="-235"/>
    <x v="0"/>
  </r>
  <r>
    <n v="9947.52"/>
    <x v="0"/>
    <x v="0"/>
    <m/>
    <x v="138"/>
    <s v="20-01-24"/>
    <s v="26-01-24"/>
    <s v="CUST-7173"/>
    <s v="Diya Patel"/>
    <x v="3"/>
    <x v="1"/>
    <s v="Jharkhand"/>
    <s v="Ranchi"/>
    <x v="2"/>
    <x v="12"/>
    <s v="Basic Machines 185"/>
    <x v="3"/>
    <s v="anomaly"/>
    <n v="6"/>
    <n v="0.25"/>
    <x v="133"/>
    <x v="133"/>
    <x v="133"/>
    <x v="105"/>
    <s v="26-01-24"/>
    <x v="9"/>
    <x v="0"/>
    <s v=" "/>
    <n v="6"/>
    <x v="0"/>
  </r>
  <r>
    <n v="3736.98"/>
    <x v="0"/>
    <x v="0"/>
    <m/>
    <x v="139"/>
    <s v="03-02-25"/>
    <s v="07-03-25"/>
    <s v="CUST-4225"/>
    <s v="Neha Gupta"/>
    <x v="3"/>
    <x v="2"/>
    <s v="Karnataka"/>
    <s v="Bengaluru"/>
    <x v="0"/>
    <x v="7"/>
    <s v="Basic Labels 509"/>
    <x v="3"/>
    <s v="anomaly"/>
    <n v="32"/>
    <n v="0"/>
    <x v="134"/>
    <x v="134"/>
    <x v="134"/>
    <x v="59"/>
    <s v="07-03-25"/>
    <x v="6"/>
    <x v="2"/>
    <s v=" "/>
    <n v="32"/>
    <x v="0"/>
  </r>
  <r>
    <n v="2139.89"/>
    <x v="0"/>
    <x v="0"/>
    <m/>
    <x v="140"/>
    <s v="31-05-24"/>
    <s v="01-06-24"/>
    <s v="CUST-2149"/>
    <s v="Mira Das"/>
    <x v="2"/>
    <x v="2"/>
    <s v="Karnataka"/>
    <s v="Bengaluru"/>
    <x v="1"/>
    <x v="10"/>
    <s v="Elite Bookcases 696"/>
    <x v="1"/>
    <s v="  "/>
    <n v="1"/>
    <n v="0"/>
    <x v="135"/>
    <x v="135"/>
    <x v="135"/>
    <x v="106"/>
    <s v="01-06-24"/>
    <x v="4"/>
    <x v="0"/>
    <s v="anomaly"/>
    <n v="1"/>
    <x v="0"/>
  </r>
  <r>
    <n v="1136.52"/>
    <x v="0"/>
    <x v="2"/>
    <m/>
    <x v="141"/>
    <s v="invalid date"/>
    <s v="29-03-24"/>
    <s v="CUST-3314"/>
    <s v="Priya Menon"/>
    <x v="2"/>
    <x v="0"/>
    <s v="Delhi"/>
    <s v="New Delhi"/>
    <x v="1"/>
    <x v="10"/>
    <s v="Elite Bookcases 772"/>
    <x v="1"/>
    <s v="Invalid"/>
    <s v="invalid date"/>
    <n v="0.1"/>
    <x v="136"/>
    <x v="136"/>
    <x v="136"/>
    <x v="1"/>
    <s v="29-03-24"/>
    <x v="1"/>
    <x v="1"/>
    <s v="Invalid"/>
    <s v="invalid date"/>
    <x v="0"/>
  </r>
  <r>
    <n v="1087.78"/>
    <x v="0"/>
    <x v="0"/>
    <m/>
    <x v="142"/>
    <s v="30-03-24"/>
    <s v="26-03-24"/>
    <s v="CUST-8944"/>
    <s v="Aditi Sen"/>
    <x v="3"/>
    <x v="0"/>
    <s v="Rajasthan"/>
    <s v="Jaipur"/>
    <x v="2"/>
    <x v="11"/>
    <s v="Classic Phones 142"/>
    <x v="0"/>
    <s v="  "/>
    <n v="-4"/>
    <n v="0.15"/>
    <x v="137"/>
    <x v="137"/>
    <x v="137"/>
    <x v="107"/>
    <s v="26-03-24"/>
    <x v="10"/>
    <x v="0"/>
    <s v="anomaly"/>
    <n v="-4"/>
    <x v="0"/>
  </r>
  <r>
    <n v="1152.3900000000001"/>
    <x v="0"/>
    <x v="2"/>
    <m/>
    <x v="143"/>
    <s v="invalid date"/>
    <s v="26-03-24"/>
    <s v="CUST-3144"/>
    <s v="Priya Menon"/>
    <x v="0"/>
    <x v="3"/>
    <s v="Gujarat"/>
    <s v="Ahmedabad"/>
    <x v="0"/>
    <x v="0"/>
    <s v="Pro Paper 575"/>
    <x v="0"/>
    <s v="Invalid"/>
    <s v="invalid date"/>
    <n v="0.1"/>
    <x v="138"/>
    <x v="138"/>
    <x v="138"/>
    <x v="1"/>
    <s v="26-03-24"/>
    <x v="1"/>
    <x v="1"/>
    <s v="Invalid"/>
    <s v="invalid date"/>
    <x v="0"/>
  </r>
  <r>
    <n v="4368.1899999999996"/>
    <x v="1"/>
    <x v="2"/>
    <m/>
    <x v="144"/>
    <s v="07-06-24"/>
    <s v="15-06-24"/>
    <s v="CUST-6747"/>
    <s v="Kabir Singh"/>
    <x v="1"/>
    <x v="2"/>
    <s v="Telangana"/>
    <s v="Hyderabad"/>
    <x v="2"/>
    <x v="5"/>
    <s v="Elite Accessories 905"/>
    <x v="2"/>
    <s v="anomaly"/>
    <n v="8"/>
    <n v="0.25"/>
    <x v="139"/>
    <x v="139"/>
    <x v="139"/>
    <x v="108"/>
    <s v="15-06-24"/>
    <x v="11"/>
    <x v="0"/>
    <s v=" "/>
    <n v="8"/>
    <x v="0"/>
  </r>
  <r>
    <n v="5246.91"/>
    <x v="0"/>
    <x v="0"/>
    <m/>
    <x v="145"/>
    <s v="11-04-25"/>
    <s v="invalid date"/>
    <s v="CUST-6161"/>
    <s v="Mira Das"/>
    <x v="1"/>
    <x v="3"/>
    <s v="Goa"/>
    <s v="Panaji"/>
    <x v="0"/>
    <x v="0"/>
    <s v="Smart Paper 899"/>
    <x v="3"/>
    <s v="Invalid"/>
    <s v="invalid date"/>
    <n v="0.1"/>
    <x v="140"/>
    <x v="140"/>
    <x v="140"/>
    <x v="109"/>
    <s v="invalid date"/>
    <x v="12"/>
    <x v="2"/>
    <s v="Invalid"/>
    <s v="invalid date"/>
    <x v="0"/>
  </r>
  <r>
    <n v="4004.9"/>
    <x v="0"/>
    <x v="0"/>
    <m/>
    <x v="146"/>
    <s v="30-07-25"/>
    <s v="08-01-25"/>
    <s v="CUST-1460"/>
    <s v="Sneha Kapoor"/>
    <x v="1"/>
    <x v="2"/>
    <s v="Tamil Nadu"/>
    <s v="Chennai"/>
    <x v="0"/>
    <x v="8"/>
    <s v="Classic Storage 423"/>
    <x v="1"/>
    <s v="  "/>
    <n v="-203"/>
    <n v="0.1"/>
    <x v="141"/>
    <x v="141"/>
    <x v="141"/>
    <x v="110"/>
    <s v="08-01-25"/>
    <x v="0"/>
    <x v="2"/>
    <s v="anomaly"/>
    <n v="-203"/>
    <x v="0"/>
  </r>
  <r>
    <n v="1035.8699999999999"/>
    <x v="0"/>
    <x v="0"/>
    <m/>
    <x v="147"/>
    <s v="23-12-24"/>
    <s v="30-12-24"/>
    <s v="CUST-2692"/>
    <s v="Priya Menon"/>
    <x v="3"/>
    <x v="3"/>
    <s v="Goa"/>
    <s v="Panaji"/>
    <x v="1"/>
    <x v="3"/>
    <s v="Classic Furnishings 743"/>
    <x v="2"/>
    <s v="anomaly"/>
    <n v="7"/>
    <n v="0.1"/>
    <x v="142"/>
    <x v="142"/>
    <x v="142"/>
    <x v="57"/>
    <s v="30-12-24"/>
    <x v="8"/>
    <x v="0"/>
    <s v=" "/>
    <n v="7"/>
    <x v="0"/>
  </r>
  <r>
    <n v="2571.9499999999998"/>
    <x v="0"/>
    <x v="0"/>
    <m/>
    <x v="148"/>
    <s v="09-02-25"/>
    <s v="13-02-25"/>
    <s v="CUST-2822"/>
    <s v="Mira Das"/>
    <x v="3"/>
    <x v="3"/>
    <s v="Madhya Pradesh"/>
    <s v="Indore"/>
    <x v="2"/>
    <x v="11"/>
    <s v="Smart Phones 336"/>
    <x v="4"/>
    <s v="anomaly"/>
    <n v="4"/>
    <n v="0.25"/>
    <x v="143"/>
    <x v="143"/>
    <x v="143"/>
    <x v="103"/>
    <s v="13-02-25"/>
    <x v="6"/>
    <x v="2"/>
    <s v=" "/>
    <n v="4"/>
    <x v="0"/>
  </r>
  <r>
    <n v="4292.8500000000004"/>
    <x v="0"/>
    <x v="0"/>
    <m/>
    <x v="149"/>
    <s v="30-01-24"/>
    <s v="30-01-24"/>
    <s v="CUST-5876"/>
    <s v="Aarav Sharma"/>
    <x v="1"/>
    <x v="3"/>
    <s v="Rajasthan"/>
    <s v="Udaipur"/>
    <x v="2"/>
    <x v="6"/>
    <s v="Eco Copiers 381"/>
    <x v="1"/>
    <s v="  "/>
    <n v="0"/>
    <n v="0.25"/>
    <x v="144"/>
    <x v="144"/>
    <x v="144"/>
    <x v="111"/>
    <s v="30-01-24"/>
    <x v="9"/>
    <x v="0"/>
    <s v=" "/>
    <n v="0"/>
    <x v="0"/>
  </r>
  <r>
    <n v="341.79"/>
    <x v="0"/>
    <x v="0"/>
    <m/>
    <x v="150"/>
    <s v="04-03-24"/>
    <s v="12-03-24"/>
    <s v="CUST-4661"/>
    <s v="Arjun Bose"/>
    <x v="0"/>
    <x v="4"/>
    <s v="Gujarat"/>
    <s v="Ahmedabad"/>
    <x v="1"/>
    <x v="10"/>
    <s v="Max Bookcases 595"/>
    <x v="2"/>
    <s v="anomaly"/>
    <n v="8"/>
    <n v="0.1"/>
    <x v="145"/>
    <x v="145"/>
    <x v="145"/>
    <x v="21"/>
    <s v="12-03-24"/>
    <x v="10"/>
    <x v="0"/>
    <s v=" "/>
    <n v="8"/>
    <x v="0"/>
  </r>
  <r>
    <n v="2362.29"/>
    <x v="2"/>
    <x v="2"/>
    <m/>
    <x v="151"/>
    <s v="27-06-24"/>
    <s v="invalid date"/>
    <s v="CUST-6011"/>
    <s v="Neha Gupta"/>
    <x v="3"/>
    <x v="4"/>
    <s v="Madhya Pradesh"/>
    <s v="Indore"/>
    <x v="2"/>
    <x v="6"/>
    <s v="Max Copiers 992"/>
    <x v="3"/>
    <s v="Invalid"/>
    <s v="invalid date"/>
    <n v="0"/>
    <x v="146"/>
    <x v="146"/>
    <x v="146"/>
    <x v="112"/>
    <s v="invalid date"/>
    <x v="11"/>
    <x v="0"/>
    <s v="Invalid"/>
    <s v="invalid date"/>
    <x v="0"/>
  </r>
  <r>
    <n v="1494.87"/>
    <x v="2"/>
    <x v="2"/>
    <m/>
    <x v="152"/>
    <s v="14-06-24"/>
    <s v="invalid date"/>
    <s v="CUST-6160"/>
    <s v="Kabir Singh"/>
    <x v="1"/>
    <x v="2"/>
    <s v="Kerala"/>
    <s v="Kochi"/>
    <x v="1"/>
    <x v="1"/>
    <s v="Pro Tables 407"/>
    <x v="0"/>
    <s v="Invalid"/>
    <s v="invalid date"/>
    <n v="0.1"/>
    <x v="147"/>
    <x v="147"/>
    <x v="147"/>
    <x v="113"/>
    <s v="invalid date"/>
    <x v="11"/>
    <x v="0"/>
    <s v="Invalid"/>
    <s v="invalid date"/>
    <x v="0"/>
  </r>
  <r>
    <n v="7245.67"/>
    <x v="1"/>
    <x v="2"/>
    <m/>
    <x v="153"/>
    <s v="23-09-25"/>
    <s v="25-09-25"/>
    <s v="CUST-6971"/>
    <s v="Aditi Sen"/>
    <x v="0"/>
    <x v="1"/>
    <s v="Odisha"/>
    <s v="Bhubaneswar"/>
    <x v="0"/>
    <x v="7"/>
    <s v="Prime Labels 559"/>
    <x v="3"/>
    <s v="anomaly"/>
    <n v="2"/>
    <n v="0"/>
    <x v="148"/>
    <x v="148"/>
    <x v="148"/>
    <x v="114"/>
    <s v="25-09-25"/>
    <x v="7"/>
    <x v="2"/>
    <s v=" "/>
    <n v="2"/>
    <x v="0"/>
  </r>
  <r>
    <n v="685.47"/>
    <x v="0"/>
    <x v="0"/>
    <m/>
    <x v="154"/>
    <s v="12-02-24"/>
    <s v="02-11-24"/>
    <s v="CUST-7764"/>
    <s v="Priya Menon"/>
    <x v="0"/>
    <x v="2"/>
    <s v="Tamil Nadu"/>
    <s v="Chennai"/>
    <x v="1"/>
    <x v="10"/>
    <s v="Classic Bookcases 847"/>
    <x v="1"/>
    <s v="  "/>
    <n v="264"/>
    <n v="0.15"/>
    <x v="149"/>
    <x v="149"/>
    <x v="149"/>
    <x v="91"/>
    <s v="02-11-24"/>
    <x v="6"/>
    <x v="0"/>
    <s v="anomaly"/>
    <n v="264"/>
    <x v="0"/>
  </r>
  <r>
    <n v="1839.16"/>
    <x v="1"/>
    <x v="2"/>
    <m/>
    <x v="155"/>
    <s v="invalid date"/>
    <s v="03-02-25"/>
    <s v="CUST-8327"/>
    <s v="Karan Malhotra"/>
    <x v="2"/>
    <x v="3"/>
    <s v="Rajasthan"/>
    <s v="Udaipur"/>
    <x v="1"/>
    <x v="3"/>
    <s v="Classic Furnishings 655"/>
    <x v="1"/>
    <s v="Invalid"/>
    <s v="invalid date"/>
    <n v="0.1"/>
    <x v="150"/>
    <x v="150"/>
    <x v="150"/>
    <x v="1"/>
    <s v="03-02-25"/>
    <x v="1"/>
    <x v="1"/>
    <s v="Invalid"/>
    <s v="invalid date"/>
    <x v="0"/>
  </r>
  <r>
    <n v="5385.32"/>
    <x v="0"/>
    <x v="0"/>
    <m/>
    <x v="156"/>
    <s v="27-03-25"/>
    <s v="27-03-25"/>
    <s v="CUST-4058"/>
    <s v="Vikram Iyer"/>
    <x v="1"/>
    <x v="1"/>
    <s v="Bihar"/>
    <s v="Patna"/>
    <x v="2"/>
    <x v="12"/>
    <s v="Eco Machines 657"/>
    <x v="0"/>
    <s v="  "/>
    <n v="0"/>
    <n v="0.25"/>
    <x v="151"/>
    <x v="151"/>
    <x v="151"/>
    <x v="115"/>
    <s v="27-03-25"/>
    <x v="10"/>
    <x v="2"/>
    <s v=" "/>
    <n v="0"/>
    <x v="0"/>
  </r>
  <r>
    <n v="869.24"/>
    <x v="0"/>
    <x v="0"/>
    <m/>
    <x v="157"/>
    <s v="invalid date"/>
    <s v="24-10-24"/>
    <s v="CUST-1142"/>
    <s v="Rohan Mehta"/>
    <x v="1"/>
    <x v="2"/>
    <s v="Andhra Pradesh"/>
    <s v="Vijayawada"/>
    <x v="1"/>
    <x v="10"/>
    <s v="Pro Bookcases 430"/>
    <x v="3"/>
    <s v="Invalid"/>
    <s v="invalid date"/>
    <n v="0.15"/>
    <x v="152"/>
    <x v="152"/>
    <x v="152"/>
    <x v="1"/>
    <s v="24-10-24"/>
    <x v="1"/>
    <x v="1"/>
    <s v="Invalid"/>
    <s v="invalid date"/>
    <x v="0"/>
  </r>
  <r>
    <n v="1608.18"/>
    <x v="0"/>
    <x v="0"/>
    <m/>
    <x v="158"/>
    <s v="09-09-24"/>
    <s v="09-11-24"/>
    <s v="CUST-2324"/>
    <s v="Neha Gupta"/>
    <x v="3"/>
    <x v="2"/>
    <s v="Telangana"/>
    <s v="Hyderabad"/>
    <x v="1"/>
    <x v="10"/>
    <s v="Max Bookcases 881"/>
    <x v="2"/>
    <s v="anomaly"/>
    <n v="61"/>
    <n v="0.05"/>
    <x v="153"/>
    <x v="153"/>
    <x v="153"/>
    <x v="116"/>
    <s v="09-11-24"/>
    <x v="7"/>
    <x v="0"/>
    <s v=" "/>
    <n v="61"/>
    <x v="0"/>
  </r>
  <r>
    <n v="8142.97"/>
    <x v="2"/>
    <x v="1"/>
    <m/>
    <x v="159"/>
    <s v="30-01-25"/>
    <s v="04-02-25"/>
    <s v="CUST-7717"/>
    <s v="Priya Menon"/>
    <x v="2"/>
    <x v="0"/>
    <s v="Haryana"/>
    <s v="Gurugram"/>
    <x v="1"/>
    <x v="4"/>
    <s v="Elite Chairs 998"/>
    <x v="1"/>
    <s v="  "/>
    <n v="5"/>
    <n v="0.15"/>
    <x v="154"/>
    <x v="154"/>
    <x v="154"/>
    <x v="42"/>
    <s v="04-02-25"/>
    <x v="9"/>
    <x v="2"/>
    <s v="anomaly"/>
    <n v="5"/>
    <x v="0"/>
  </r>
  <r>
    <n v="751.96"/>
    <x v="2"/>
    <x v="1"/>
    <m/>
    <x v="160"/>
    <s v="08-10-25"/>
    <s v="10-06-25"/>
    <s v="CUST-4932"/>
    <s v="Vikram Iyer"/>
    <x v="1"/>
    <x v="3"/>
    <s v="Maharashtra"/>
    <s v="Mumbai"/>
    <x v="0"/>
    <x v="0"/>
    <s v="Max Paper 113"/>
    <x v="0"/>
    <s v="anomaly"/>
    <n v="-120"/>
    <n v="0.05"/>
    <x v="155"/>
    <x v="155"/>
    <x v="155"/>
    <x v="117"/>
    <s v="10-06-25"/>
    <x v="5"/>
    <x v="2"/>
    <s v=" "/>
    <n v="-120"/>
    <x v="0"/>
  </r>
  <r>
    <n v="736.01"/>
    <x v="2"/>
    <x v="1"/>
    <m/>
    <x v="161"/>
    <s v="24-07-25"/>
    <s v="30-07-25"/>
    <s v="CUST-2367"/>
    <s v="Arjun Bose"/>
    <x v="0"/>
    <x v="3"/>
    <s v="Rajasthan"/>
    <s v="Udaipur"/>
    <x v="0"/>
    <x v="9"/>
    <s v="Smart Binders 267"/>
    <x v="3"/>
    <s v="anomaly"/>
    <n v="6"/>
    <n v="0"/>
    <x v="156"/>
    <x v="156"/>
    <x v="156"/>
    <x v="118"/>
    <s v="30-07-25"/>
    <x v="0"/>
    <x v="2"/>
    <s v=" "/>
    <n v="6"/>
    <x v="0"/>
  </r>
  <r>
    <n v="9358.31"/>
    <x v="2"/>
    <x v="2"/>
    <m/>
    <x v="162"/>
    <s v="09-03-24"/>
    <s v="14-03-24"/>
    <s v="CUST-4830"/>
    <s v="Neha Gupta"/>
    <x v="1"/>
    <x v="3"/>
    <s v="Goa"/>
    <s v="Panaji"/>
    <x v="1"/>
    <x v="3"/>
    <s v="Pro Furnishings 108"/>
    <x v="0"/>
    <s v="anomaly"/>
    <n v="5"/>
    <n v="0"/>
    <x v="157"/>
    <x v="157"/>
    <x v="157"/>
    <x v="119"/>
    <s v="14-03-24"/>
    <x v="10"/>
    <x v="0"/>
    <s v=" "/>
    <n v="5"/>
    <x v="0"/>
  </r>
  <r>
    <n v="3201.51"/>
    <x v="2"/>
    <x v="2"/>
    <m/>
    <x v="163"/>
    <s v="invalid date"/>
    <s v="26-09-25"/>
    <s v="CUST-2548"/>
    <s v="Rohan Mehta"/>
    <x v="3"/>
    <x v="3"/>
    <s v="Gujarat"/>
    <s v="Ahmedabad"/>
    <x v="1"/>
    <x v="1"/>
    <s v="Elite Tables 389"/>
    <x v="4"/>
    <s v="Invalid"/>
    <s v="invalid date"/>
    <n v="0.1"/>
    <x v="158"/>
    <x v="158"/>
    <x v="158"/>
    <x v="1"/>
    <s v="26-09-25"/>
    <x v="1"/>
    <x v="1"/>
    <s v="Invalid"/>
    <s v="invalid date"/>
    <x v="0"/>
  </r>
  <r>
    <n v="817.83"/>
    <x v="0"/>
    <x v="0"/>
    <m/>
    <x v="164"/>
    <s v="09-09-25"/>
    <s v="invalid date"/>
    <s v="CUST-3833"/>
    <s v="Rahul Verma"/>
    <x v="1"/>
    <x v="1"/>
    <s v="West Bengal"/>
    <s v="Kolkata"/>
    <x v="1"/>
    <x v="10"/>
    <s v="Pro Bookcases 595"/>
    <x v="0"/>
    <s v="Invalid"/>
    <s v="invalid date"/>
    <n v="0.25"/>
    <x v="159"/>
    <x v="159"/>
    <x v="159"/>
    <x v="120"/>
    <s v="invalid date"/>
    <x v="7"/>
    <x v="2"/>
    <s v="Invalid"/>
    <s v="invalid date"/>
    <x v="0"/>
  </r>
  <r>
    <n v="3798.05"/>
    <x v="0"/>
    <x v="0"/>
    <m/>
    <x v="165"/>
    <s v="invalid date"/>
    <s v="29-11-24"/>
    <s v="CUST-4598"/>
    <s v="Mira Das"/>
    <x v="3"/>
    <x v="1"/>
    <s v="Bihar"/>
    <s v="Patna"/>
    <x v="1"/>
    <x v="4"/>
    <s v="Max Chairs 148"/>
    <x v="3"/>
    <s v="Invalid"/>
    <s v="invalid date"/>
    <n v="0.25"/>
    <x v="160"/>
    <x v="160"/>
    <x v="160"/>
    <x v="1"/>
    <s v="29-11-24"/>
    <x v="1"/>
    <x v="1"/>
    <s v="Invalid"/>
    <s v="invalid date"/>
    <x v="0"/>
  </r>
  <r>
    <n v="596.74"/>
    <x v="0"/>
    <x v="0"/>
    <m/>
    <x v="166"/>
    <s v="20-02-25"/>
    <s v="26-02-25"/>
    <s v="CUST-7215"/>
    <s v="Karan Malhotra"/>
    <x v="1"/>
    <x v="3"/>
    <s v="Gujarat"/>
    <s v="Ahmedabad"/>
    <x v="0"/>
    <x v="7"/>
    <s v="Basic Labels 671"/>
    <x v="2"/>
    <s v="anomaly"/>
    <n v="6"/>
    <n v="0.2"/>
    <x v="161"/>
    <x v="161"/>
    <x v="161"/>
    <x v="121"/>
    <s v="26-02-25"/>
    <x v="6"/>
    <x v="2"/>
    <s v=" "/>
    <n v="6"/>
    <x v="0"/>
  </r>
  <r>
    <n v="5280.07"/>
    <x v="0"/>
    <x v="2"/>
    <m/>
    <x v="167"/>
    <s v="18-08-25"/>
    <s v="invalid date"/>
    <s v="CUST-7770"/>
    <s v="Arjun Bose"/>
    <x v="3"/>
    <x v="2"/>
    <s v="Karnataka"/>
    <s v="Bengaluru"/>
    <x v="0"/>
    <x v="8"/>
    <s v="Elite Storage 628"/>
    <x v="2"/>
    <s v="Invalid"/>
    <s v="invalid date"/>
    <n v="0.15"/>
    <x v="162"/>
    <x v="162"/>
    <x v="162"/>
    <x v="122"/>
    <s v="invalid date"/>
    <x v="2"/>
    <x v="2"/>
    <s v="Invalid"/>
    <s v="invalid date"/>
    <x v="0"/>
  </r>
  <r>
    <n v="531.39"/>
    <x v="0"/>
    <x v="1"/>
    <m/>
    <x v="168"/>
    <s v="invalid date"/>
    <s v="23-01-25"/>
    <s v="CUST-9756"/>
    <s v="Kabir Singh"/>
    <x v="0"/>
    <x v="3"/>
    <s v="Maharashtra"/>
    <s v="Mumbai"/>
    <x v="2"/>
    <x v="5"/>
    <s v="Eco Accessories 590"/>
    <x v="1"/>
    <s v="Invalid"/>
    <s v="invalid date"/>
    <n v="0.2"/>
    <x v="163"/>
    <x v="163"/>
    <x v="163"/>
    <x v="1"/>
    <s v="23-01-25"/>
    <x v="1"/>
    <x v="1"/>
    <s v="Invalid"/>
    <s v="invalid date"/>
    <x v="0"/>
  </r>
  <r>
    <n v="2036.35"/>
    <x v="2"/>
    <x v="2"/>
    <m/>
    <x v="169"/>
    <s v="13-09-25"/>
    <s v="invalid date"/>
    <s v="CUST-2261"/>
    <s v="Diya Patel"/>
    <x v="0"/>
    <x v="1"/>
    <s v="Assam"/>
    <s v="Guwahati"/>
    <x v="0"/>
    <x v="2"/>
    <s v="Pro Art 734"/>
    <x v="3"/>
    <s v="Invalid"/>
    <s v="invalid date"/>
    <n v="0.05"/>
    <x v="164"/>
    <x v="164"/>
    <x v="164"/>
    <x v="123"/>
    <s v="invalid date"/>
    <x v="7"/>
    <x v="2"/>
    <s v="Invalid"/>
    <s v="invalid date"/>
    <x v="0"/>
  </r>
  <r>
    <n v="1203.96"/>
    <x v="0"/>
    <x v="0"/>
    <m/>
    <x v="170"/>
    <s v="07-09-25"/>
    <s v="invalid date"/>
    <s v="CUST-3734"/>
    <s v="Rohan Mehta"/>
    <x v="2"/>
    <x v="1"/>
    <s v="Bihar"/>
    <s v="Patna"/>
    <x v="2"/>
    <x v="6"/>
    <s v="Eco Copiers 102"/>
    <x v="3"/>
    <s v="Invalid"/>
    <s v="invalid date"/>
    <n v="0"/>
    <x v="165"/>
    <x v="165"/>
    <x v="165"/>
    <x v="9"/>
    <s v="invalid date"/>
    <x v="7"/>
    <x v="2"/>
    <s v="Invalid"/>
    <s v="invalid date"/>
    <x v="0"/>
  </r>
  <r>
    <n v="4631.71"/>
    <x v="0"/>
    <x v="0"/>
    <m/>
    <x v="171"/>
    <s v="23-02-25"/>
    <s v="invalid date"/>
    <s v="CUST-3436"/>
    <s v="Karan Malhotra"/>
    <x v="2"/>
    <x v="1"/>
    <s v="Bihar"/>
    <s v="Patna"/>
    <x v="0"/>
    <x v="7"/>
    <s v="Basic Labels 876"/>
    <x v="1"/>
    <s v="Invalid"/>
    <s v="invalid date"/>
    <n v="0.25"/>
    <x v="166"/>
    <x v="166"/>
    <x v="166"/>
    <x v="7"/>
    <s v="invalid date"/>
    <x v="6"/>
    <x v="2"/>
    <s v="Invalid"/>
    <s v="invalid date"/>
    <x v="0"/>
  </r>
  <r>
    <n v="7862.59"/>
    <x v="1"/>
    <x v="2"/>
    <m/>
    <x v="172"/>
    <s v="02-08-25"/>
    <s v="10-08-25"/>
    <s v="CUST-4845"/>
    <s v="Karan Malhotra"/>
    <x v="2"/>
    <x v="0"/>
    <s v="Delhi"/>
    <s v="New Delhi"/>
    <x v="1"/>
    <x v="3"/>
    <s v="Prime Furnishings 381"/>
    <x v="1"/>
    <s v="anomaly"/>
    <n v="8"/>
    <n v="0.1"/>
    <x v="167"/>
    <x v="167"/>
    <x v="167"/>
    <x v="124"/>
    <s v="10-08-25"/>
    <x v="2"/>
    <x v="2"/>
    <s v=" "/>
    <n v="8"/>
    <x v="0"/>
  </r>
  <r>
    <n v="348.12"/>
    <x v="0"/>
    <x v="0"/>
    <m/>
    <x v="173"/>
    <s v="02-05-24"/>
    <s v="08-05-24"/>
    <s v="CUST-6153"/>
    <s v="Priya Menon"/>
    <x v="3"/>
    <x v="0"/>
    <s v="Punjab"/>
    <s v="Ludhiana"/>
    <x v="2"/>
    <x v="6"/>
    <s v="Prime Copiers 440"/>
    <x v="0"/>
    <s v="anomaly"/>
    <n v="6"/>
    <n v="0.25"/>
    <x v="168"/>
    <x v="168"/>
    <x v="168"/>
    <x v="125"/>
    <s v="08-05-24"/>
    <x v="4"/>
    <x v="0"/>
    <s v=" "/>
    <n v="6"/>
    <x v="0"/>
  </r>
  <r>
    <n v="3495.95"/>
    <x v="2"/>
    <x v="2"/>
    <m/>
    <x v="174"/>
    <s v="28-09-25"/>
    <s v="04-10-25"/>
    <s v="CUST-5475"/>
    <s v="Karan Malhotra"/>
    <x v="1"/>
    <x v="2"/>
    <s v="Karnataka"/>
    <s v="Bengaluru"/>
    <x v="1"/>
    <x v="10"/>
    <s v="Pro Bookcases 319"/>
    <x v="2"/>
    <s v="  "/>
    <n v="6"/>
    <n v="0.15"/>
    <x v="169"/>
    <x v="169"/>
    <x v="169"/>
    <x v="126"/>
    <s v="04-10-25"/>
    <x v="7"/>
    <x v="2"/>
    <s v="anomaly"/>
    <n v="6"/>
    <x v="0"/>
  </r>
  <r>
    <n v="4892.3900000000003"/>
    <x v="0"/>
    <x v="2"/>
    <m/>
    <x v="175"/>
    <s v="27-01-24"/>
    <s v="03-02-24"/>
    <s v="CUST-5580"/>
    <s v="Arjun Bose"/>
    <x v="1"/>
    <x v="1"/>
    <s v="Bihar"/>
    <s v="Patna"/>
    <x v="2"/>
    <x v="12"/>
    <s v="Basic Machines 584"/>
    <x v="1"/>
    <s v="  "/>
    <n v="7"/>
    <n v="0.15"/>
    <x v="170"/>
    <x v="170"/>
    <x v="170"/>
    <x v="100"/>
    <s v="03-02-24"/>
    <x v="9"/>
    <x v="0"/>
    <s v="anomaly"/>
    <n v="7"/>
    <x v="0"/>
  </r>
  <r>
    <n v="10318.370000000001"/>
    <x v="0"/>
    <x v="0"/>
    <m/>
    <x v="176"/>
    <s v="18-03-25"/>
    <s v="invalid date"/>
    <s v="CUST-3027"/>
    <s v="Vikram Iyer"/>
    <x v="2"/>
    <x v="1"/>
    <s v="Jharkhand"/>
    <s v="Ranchi"/>
    <x v="1"/>
    <x v="10"/>
    <s v="Pro Bookcases 612"/>
    <x v="3"/>
    <s v="Invalid"/>
    <s v="invalid date"/>
    <n v="0.15"/>
    <x v="171"/>
    <x v="171"/>
    <x v="171"/>
    <x v="127"/>
    <s v="invalid date"/>
    <x v="10"/>
    <x v="2"/>
    <s v="Invalid"/>
    <s v="invalid date"/>
    <x v="0"/>
  </r>
  <r>
    <n v="10172.879999999999"/>
    <x v="0"/>
    <x v="0"/>
    <m/>
    <x v="177"/>
    <s v="01-06-24"/>
    <s v="06-03-24"/>
    <s v="CUST-4399"/>
    <s v="Sneha Kapoor"/>
    <x v="3"/>
    <x v="4"/>
    <s v="Bihar"/>
    <s v="Patna"/>
    <x v="0"/>
    <x v="2"/>
    <s v="Classic Art 573"/>
    <x v="1"/>
    <s v="anomaly"/>
    <n v="-87"/>
    <n v="0"/>
    <x v="172"/>
    <x v="172"/>
    <x v="172"/>
    <x v="128"/>
    <s v="06-03-24"/>
    <x v="11"/>
    <x v="0"/>
    <s v=" "/>
    <n v="-87"/>
    <x v="0"/>
  </r>
  <r>
    <n v="2394.52"/>
    <x v="0"/>
    <x v="0"/>
    <m/>
    <x v="178"/>
    <s v="30-09-24"/>
    <s v="30-09-24"/>
    <s v="CUST-3092"/>
    <s v="Isha Nair"/>
    <x v="2"/>
    <x v="2"/>
    <s v="Telangana"/>
    <s v="Hyderabad"/>
    <x v="0"/>
    <x v="2"/>
    <s v="Eco Art 854"/>
    <x v="3"/>
    <s v="  "/>
    <n v="0"/>
    <n v="0"/>
    <x v="173"/>
    <x v="173"/>
    <x v="173"/>
    <x v="129"/>
    <s v="30-09-24"/>
    <x v="7"/>
    <x v="0"/>
    <s v=" "/>
    <n v="0"/>
    <x v="0"/>
  </r>
  <r>
    <n v="4042.14"/>
    <x v="1"/>
    <x v="2"/>
    <m/>
    <x v="179"/>
    <s v="15-03-24"/>
    <s v="invalid date"/>
    <s v="CUST-1778"/>
    <s v="Ananya Rao"/>
    <x v="1"/>
    <x v="2"/>
    <s v="Tamil Nadu"/>
    <s v="Chennai"/>
    <x v="1"/>
    <x v="3"/>
    <s v="Classic Furnishings 996"/>
    <x v="3"/>
    <s v="Invalid"/>
    <s v="invalid date"/>
    <n v="0.25"/>
    <x v="174"/>
    <x v="174"/>
    <x v="174"/>
    <x v="130"/>
    <s v="invalid date"/>
    <x v="10"/>
    <x v="0"/>
    <s v="Invalid"/>
    <s v="invalid date"/>
    <x v="0"/>
  </r>
  <r>
    <n v="2279.42"/>
    <x v="0"/>
    <x v="0"/>
    <m/>
    <x v="180"/>
    <s v="26-08-24"/>
    <s v="26-08-24"/>
    <s v="CUST-3787"/>
    <s v="Mira Das"/>
    <x v="3"/>
    <x v="0"/>
    <s v="Uttar Pradesh"/>
    <s v="Noida"/>
    <x v="0"/>
    <x v="9"/>
    <s v="Prime Binders 735"/>
    <x v="2"/>
    <s v="  "/>
    <n v="0"/>
    <n v="0.1"/>
    <x v="175"/>
    <x v="175"/>
    <x v="175"/>
    <x v="131"/>
    <s v="26-08-24"/>
    <x v="2"/>
    <x v="0"/>
    <s v=" "/>
    <n v="0"/>
    <x v="0"/>
  </r>
  <r>
    <n v="4219.49"/>
    <x v="0"/>
    <x v="0"/>
    <m/>
    <x v="181"/>
    <s v="09-09-25"/>
    <s v="10-09-25"/>
    <s v="CUST-5119"/>
    <s v="Priya Menon"/>
    <x v="3"/>
    <x v="2"/>
    <s v="Tamil Nadu"/>
    <s v="Chennai"/>
    <x v="0"/>
    <x v="2"/>
    <s v="Pro Art 587"/>
    <x v="0"/>
    <s v="anomaly"/>
    <n v="1"/>
    <n v="0"/>
    <x v="176"/>
    <x v="176"/>
    <x v="176"/>
    <x v="120"/>
    <s v="10-09-25"/>
    <x v="7"/>
    <x v="2"/>
    <s v=" "/>
    <n v="1"/>
    <x v="0"/>
  </r>
  <r>
    <n v="1722.73"/>
    <x v="0"/>
    <x v="0"/>
    <m/>
    <x v="182"/>
    <s v="16-10-24"/>
    <s v="16-10-24"/>
    <s v="CUST-4121"/>
    <s v="Ananya Rao"/>
    <x v="3"/>
    <x v="1"/>
    <s v="Bihar"/>
    <s v="Patna"/>
    <x v="2"/>
    <x v="12"/>
    <s v="Basic Machines 575"/>
    <x v="3"/>
    <s v="  "/>
    <n v="0"/>
    <n v="0"/>
    <x v="177"/>
    <x v="177"/>
    <x v="177"/>
    <x v="132"/>
    <s v="16-10-24"/>
    <x v="5"/>
    <x v="0"/>
    <s v=" "/>
    <n v="0"/>
    <x v="0"/>
  </r>
  <r>
    <n v="4579.33"/>
    <x v="0"/>
    <x v="2"/>
    <m/>
    <x v="183"/>
    <s v="24-06-25"/>
    <s v="27-06-25"/>
    <s v="CUST-3366"/>
    <s v="Vikram Iyer"/>
    <x v="3"/>
    <x v="2"/>
    <s v="Telangana"/>
    <s v="Hyderabad"/>
    <x v="2"/>
    <x v="6"/>
    <s v="Elite Copiers 788"/>
    <x v="3"/>
    <s v="anomaly"/>
    <n v="3"/>
    <n v="0.2"/>
    <x v="178"/>
    <x v="178"/>
    <x v="178"/>
    <x v="133"/>
    <s v="27-06-25"/>
    <x v="11"/>
    <x v="2"/>
    <s v=" "/>
    <n v="3"/>
    <x v="0"/>
  </r>
  <r>
    <n v="756.8"/>
    <x v="1"/>
    <x v="2"/>
    <m/>
    <x v="184"/>
    <s v="02-04-24"/>
    <s v="06-04-24"/>
    <s v="CUST-1358"/>
    <s v="Vikram Iyer"/>
    <x v="2"/>
    <x v="3"/>
    <s v="Madhya Pradesh"/>
    <s v="Indore"/>
    <x v="1"/>
    <x v="10"/>
    <s v="Max Bookcases 472"/>
    <x v="3"/>
    <s v="anomaly"/>
    <n v="4"/>
    <n v="0"/>
    <x v="179"/>
    <x v="179"/>
    <x v="179"/>
    <x v="134"/>
    <s v="06-04-24"/>
    <x v="12"/>
    <x v="0"/>
    <s v=" "/>
    <n v="4"/>
    <x v="0"/>
  </r>
  <r>
    <n v="267.79000000000002"/>
    <x v="0"/>
    <x v="0"/>
    <m/>
    <x v="185"/>
    <s v="11-05-24"/>
    <s v="13-11-24"/>
    <s v="CUST-4968"/>
    <s v="Arjun Bose"/>
    <x v="0"/>
    <x v="4"/>
    <s v="Punjab"/>
    <s v="Ludhiana"/>
    <x v="0"/>
    <x v="7"/>
    <s v="Smart Labels 475"/>
    <x v="0"/>
    <s v="anomaly"/>
    <n v="186"/>
    <n v="0.2"/>
    <x v="180"/>
    <x v="180"/>
    <x v="180"/>
    <x v="8"/>
    <s v="13-11-24"/>
    <x v="4"/>
    <x v="0"/>
    <s v=" "/>
    <n v="186"/>
    <x v="0"/>
  </r>
  <r>
    <n v="3828.78"/>
    <x v="0"/>
    <x v="0"/>
    <m/>
    <x v="186"/>
    <s v="19-07-24"/>
    <s v="20-07-24"/>
    <s v="CUST-2778"/>
    <s v="Vikram Iyer"/>
    <x v="0"/>
    <x v="2"/>
    <s v="Tamil Nadu"/>
    <s v="Chennai"/>
    <x v="1"/>
    <x v="1"/>
    <s v="Basic Tables 417"/>
    <x v="2"/>
    <s v="anomaly"/>
    <n v="1"/>
    <n v="0.05"/>
    <x v="181"/>
    <x v="181"/>
    <x v="181"/>
    <x v="40"/>
    <s v="20-07-24"/>
    <x v="0"/>
    <x v="0"/>
    <s v=" "/>
    <n v="1"/>
    <x v="0"/>
  </r>
  <r>
    <n v="2501.2600000000002"/>
    <x v="0"/>
    <x v="2"/>
    <m/>
    <x v="187"/>
    <s v="01-05-25"/>
    <s v="02-05-25"/>
    <s v="CUST-3109"/>
    <s v="Mira Das"/>
    <x v="0"/>
    <x v="3"/>
    <s v="Madhya Pradesh"/>
    <s v="Indore"/>
    <x v="1"/>
    <x v="4"/>
    <s v="Pro Chairs 844"/>
    <x v="1"/>
    <s v="anomaly"/>
    <n v="1"/>
    <n v="0"/>
    <x v="182"/>
    <x v="182"/>
    <x v="182"/>
    <x v="135"/>
    <s v="02-05-25"/>
    <x v="4"/>
    <x v="2"/>
    <s v=" "/>
    <n v="1"/>
    <x v="0"/>
  </r>
  <r>
    <n v="1484.14"/>
    <x v="0"/>
    <x v="0"/>
    <m/>
    <x v="188"/>
    <s v="21-05-25"/>
    <s v="28-05-25"/>
    <s v="CUST-3422"/>
    <s v="Priya Menon"/>
    <x v="2"/>
    <x v="1"/>
    <s v="West Bengal"/>
    <s v="Kolkata"/>
    <x v="1"/>
    <x v="10"/>
    <s v="Elite Bookcases 883"/>
    <x v="1"/>
    <s v="anomaly"/>
    <n v="7"/>
    <n v="0.1"/>
    <x v="183"/>
    <x v="183"/>
    <x v="183"/>
    <x v="136"/>
    <s v="28-05-25"/>
    <x v="4"/>
    <x v="2"/>
    <s v=" "/>
    <n v="7"/>
    <x v="0"/>
  </r>
  <r>
    <n v="8512.15"/>
    <x v="0"/>
    <x v="0"/>
    <m/>
    <x v="189"/>
    <s v="06-05-25"/>
    <s v="07-05-25"/>
    <s v="CUST-3375"/>
    <s v="Arjun Bose"/>
    <x v="0"/>
    <x v="3"/>
    <s v="Rajasthan"/>
    <s v="Udaipur"/>
    <x v="1"/>
    <x v="10"/>
    <s v="Basic Bookcases 754"/>
    <x v="2"/>
    <s v="anomaly"/>
    <n v="1"/>
    <n v="0"/>
    <x v="184"/>
    <x v="184"/>
    <x v="184"/>
    <x v="137"/>
    <s v="07-05-25"/>
    <x v="4"/>
    <x v="2"/>
    <s v=" "/>
    <n v="1"/>
    <x v="0"/>
  </r>
  <r>
    <n v="514.91999999999996"/>
    <x v="0"/>
    <x v="0"/>
    <m/>
    <x v="190"/>
    <s v="20-04-25"/>
    <s v="invalid date"/>
    <s v="CUST-5138"/>
    <s v="Aditi Sen"/>
    <x v="0"/>
    <x v="2"/>
    <s v="Tamil Nadu"/>
    <s v="Chennai"/>
    <x v="0"/>
    <x v="8"/>
    <s v="Eco Storage 158"/>
    <x v="2"/>
    <s v="Invalid"/>
    <s v="invalid date"/>
    <n v="0.1"/>
    <x v="185"/>
    <x v="185"/>
    <x v="185"/>
    <x v="138"/>
    <s v="invalid date"/>
    <x v="12"/>
    <x v="2"/>
    <s v="Invalid"/>
    <s v="invalid date"/>
    <x v="0"/>
  </r>
  <r>
    <n v="6452.72"/>
    <x v="0"/>
    <x v="0"/>
    <m/>
    <x v="191"/>
    <s v="19-10-24"/>
    <s v="24-10-24"/>
    <s v="CUST-7410"/>
    <s v="Sneha Kapoor"/>
    <x v="1"/>
    <x v="2"/>
    <s v="Tamil Nadu"/>
    <s v="Chennai"/>
    <x v="1"/>
    <x v="10"/>
    <s v="Prime Bookcases 602"/>
    <x v="0"/>
    <s v="anomaly"/>
    <n v="5"/>
    <s v="invalid"/>
    <x v="2"/>
    <x v="2"/>
    <x v="2"/>
    <x v="139"/>
    <s v="24-10-24"/>
    <x v="5"/>
    <x v="0"/>
    <s v=" "/>
    <n v="5"/>
    <x v="0"/>
  </r>
  <r>
    <n v="1544.07"/>
    <x v="0"/>
    <x v="0"/>
    <m/>
    <x v="192"/>
    <s v="09-12-24"/>
    <s v="invalid date"/>
    <s v="CUST-7115"/>
    <s v="Isha Nair"/>
    <x v="3"/>
    <x v="3"/>
    <s v="Gujarat"/>
    <s v="Ahmedabad"/>
    <x v="1"/>
    <x v="4"/>
    <s v="Eco Chairs 438"/>
    <x v="2"/>
    <s v="Invalid"/>
    <s v="invalid date"/>
    <n v="0"/>
    <x v="186"/>
    <x v="186"/>
    <x v="186"/>
    <x v="140"/>
    <s v="invalid date"/>
    <x v="8"/>
    <x v="0"/>
    <s v="Invalid"/>
    <s v="invalid date"/>
    <x v="0"/>
  </r>
  <r>
    <n v="3378.6"/>
    <x v="1"/>
    <x v="2"/>
    <m/>
    <x v="193"/>
    <s v="23-06-24"/>
    <s v="28-06-24"/>
    <s v="CUST-9853"/>
    <s v="Priya Menon"/>
    <x v="1"/>
    <x v="0"/>
    <s v="Punjab"/>
    <s v="Ludhiana"/>
    <x v="2"/>
    <x v="6"/>
    <s v="Prime Copiers 142"/>
    <x v="1"/>
    <s v="anomaly"/>
    <n v="5"/>
    <n v="0.2"/>
    <x v="187"/>
    <x v="187"/>
    <x v="187"/>
    <x v="141"/>
    <s v="28-06-24"/>
    <x v="11"/>
    <x v="0"/>
    <s v=" "/>
    <n v="5"/>
    <x v="0"/>
  </r>
  <r>
    <n v="1905.11"/>
    <x v="2"/>
    <x v="2"/>
    <m/>
    <x v="194"/>
    <s v="28-01-25"/>
    <s v="invalid date"/>
    <s v="CUST-3637"/>
    <s v="Priya Menon"/>
    <x v="0"/>
    <x v="3"/>
    <s v="Maharashtra"/>
    <s v="Mumbai"/>
    <x v="1"/>
    <x v="3"/>
    <s v="Prime Furnishings 433"/>
    <x v="2"/>
    <s v="Invalid"/>
    <s v="invalid date"/>
    <n v="0.05"/>
    <x v="188"/>
    <x v="188"/>
    <x v="188"/>
    <x v="142"/>
    <s v="invalid date"/>
    <x v="9"/>
    <x v="2"/>
    <s v="Invalid"/>
    <s v="invalid date"/>
    <x v="0"/>
  </r>
  <r>
    <n v="2037.31"/>
    <x v="0"/>
    <x v="0"/>
    <m/>
    <x v="195"/>
    <s v="22-07-25"/>
    <s v="invalid date"/>
    <s v="CUST-4328"/>
    <s v="Neha Gupta"/>
    <x v="3"/>
    <x v="2"/>
    <s v="Andhra Pradesh"/>
    <s v="Vijayawada"/>
    <x v="1"/>
    <x v="3"/>
    <s v="Smart Furnishings 685"/>
    <x v="1"/>
    <s v="Invalid"/>
    <s v="invalid date"/>
    <n v="0"/>
    <x v="189"/>
    <x v="189"/>
    <x v="189"/>
    <x v="143"/>
    <s v="invalid date"/>
    <x v="0"/>
    <x v="2"/>
    <s v="Invalid"/>
    <s v="invalid date"/>
    <x v="0"/>
  </r>
  <r>
    <n v="755.04"/>
    <x v="0"/>
    <x v="0"/>
    <m/>
    <x v="196"/>
    <s v="22-01-24"/>
    <s v="25-01-24"/>
    <s v="CUST-8028"/>
    <s v="Kabir Singh"/>
    <x v="3"/>
    <x v="0"/>
    <s v="Uttar Pradesh"/>
    <s v="Noida"/>
    <x v="0"/>
    <x v="8"/>
    <s v="Elite Storage 915"/>
    <x v="2"/>
    <s v="anomaly"/>
    <n v="3"/>
    <n v="0.1"/>
    <x v="190"/>
    <x v="190"/>
    <x v="190"/>
    <x v="144"/>
    <s v="25-01-24"/>
    <x v="9"/>
    <x v="0"/>
    <s v=" "/>
    <n v="3"/>
    <x v="0"/>
  </r>
  <r>
    <n v="3333.62"/>
    <x v="0"/>
    <x v="0"/>
    <m/>
    <x v="197"/>
    <s v="31-03-25"/>
    <s v="07-04-25"/>
    <s v="CUST-6106"/>
    <s v="Rahul Verma"/>
    <x v="1"/>
    <x v="1"/>
    <s v="Bihar"/>
    <s v="Patna"/>
    <x v="0"/>
    <x v="8"/>
    <s v="Basic Storage 961"/>
    <x v="0"/>
    <s v="  "/>
    <n v="7"/>
    <n v="0.15"/>
    <x v="191"/>
    <x v="191"/>
    <x v="191"/>
    <x v="47"/>
    <s v="07-04-25"/>
    <x v="10"/>
    <x v="2"/>
    <s v="anomaly"/>
    <n v="7"/>
    <x v="0"/>
  </r>
  <r>
    <n v="448.38"/>
    <x v="3"/>
    <x v="1"/>
    <m/>
    <x v="198"/>
    <s v="05-06-24"/>
    <s v="06-06-24"/>
    <s v="CUST-7820"/>
    <s v="Sneha Kapoor"/>
    <x v="0"/>
    <x v="3"/>
    <s v="Gujarat"/>
    <s v="Ahmedabad"/>
    <x v="0"/>
    <x v="2"/>
    <s v="Classic Art 968"/>
    <x v="0"/>
    <s v="anomaly"/>
    <n v="1"/>
    <n v="0.05"/>
    <x v="192"/>
    <x v="192"/>
    <x v="192"/>
    <x v="78"/>
    <s v="06-06-24"/>
    <x v="11"/>
    <x v="0"/>
    <s v=" "/>
    <n v="1"/>
    <x v="0"/>
  </r>
  <r>
    <n v="4397.47"/>
    <x v="0"/>
    <x v="0"/>
    <m/>
    <x v="199"/>
    <s v="03-12-24"/>
    <s v="12-03-24"/>
    <s v="CUST-4536"/>
    <s v="Rahul Verma"/>
    <x v="3"/>
    <x v="1"/>
    <s v="Bihar"/>
    <s v="Patna"/>
    <x v="2"/>
    <x v="12"/>
    <s v="Prime Machines 806"/>
    <x v="4"/>
    <s v="anomaly"/>
    <n v="-266"/>
    <n v="0.25"/>
    <x v="193"/>
    <x v="193"/>
    <x v="193"/>
    <x v="36"/>
    <s v="12-03-24"/>
    <x v="8"/>
    <x v="0"/>
    <s v=" "/>
    <n v="-266"/>
    <x v="0"/>
  </r>
  <r>
    <n v="3710.9"/>
    <x v="2"/>
    <x v="1"/>
    <m/>
    <x v="200"/>
    <s v="27-06-25"/>
    <s v="05-07-25"/>
    <s v="CUST-7047"/>
    <s v="Priya Menon"/>
    <x v="1"/>
    <x v="0"/>
    <s v="Rajasthan"/>
    <s v="Jaipur"/>
    <x v="2"/>
    <x v="6"/>
    <s v="Classic Copiers 479"/>
    <x v="2"/>
    <s v="  "/>
    <n v="8"/>
    <n v="0.1"/>
    <x v="194"/>
    <x v="194"/>
    <x v="194"/>
    <x v="145"/>
    <s v="05-07-25"/>
    <x v="11"/>
    <x v="2"/>
    <s v="anomaly"/>
    <n v="8"/>
    <x v="0"/>
  </r>
  <r>
    <n v="1801.85"/>
    <x v="1"/>
    <x v="1"/>
    <m/>
    <x v="201"/>
    <s v="26-07-25"/>
    <s v="08-03-25"/>
    <s v="CUST-8005"/>
    <s v="Vikram Iyer"/>
    <x v="0"/>
    <x v="3"/>
    <s v="Madhya Pradesh"/>
    <s v="Indore"/>
    <x v="0"/>
    <x v="7"/>
    <s v="Basic Labels 511"/>
    <x v="0"/>
    <s v="  "/>
    <n v="-140"/>
    <s v="invalid"/>
    <x v="2"/>
    <x v="2"/>
    <x v="2"/>
    <x v="146"/>
    <s v="08-03-25"/>
    <x v="0"/>
    <x v="2"/>
    <s v="anomaly"/>
    <n v="-140"/>
    <x v="0"/>
  </r>
  <r>
    <n v="1941.08"/>
    <x v="0"/>
    <x v="0"/>
    <m/>
    <x v="202"/>
    <s v="28-03-25"/>
    <s v="28-03-25"/>
    <s v="CUST-9378"/>
    <s v="Sneha Kapoor"/>
    <x v="2"/>
    <x v="3"/>
    <s v="Goa"/>
    <s v="Panaji"/>
    <x v="2"/>
    <x v="5"/>
    <s v="Prime Accessories 733"/>
    <x v="3"/>
    <s v="  "/>
    <n v="0"/>
    <n v="0.05"/>
    <x v="195"/>
    <x v="195"/>
    <x v="195"/>
    <x v="147"/>
    <s v="28-03-25"/>
    <x v="10"/>
    <x v="2"/>
    <s v=" "/>
    <n v="0"/>
    <x v="0"/>
  </r>
  <r>
    <n v="151.25"/>
    <x v="0"/>
    <x v="0"/>
    <m/>
    <x v="203"/>
    <s v="28-03-24"/>
    <s v="30-03-24"/>
    <s v="CUST-3384"/>
    <s v="Sneha Kapoor"/>
    <x v="2"/>
    <x v="3"/>
    <s v="Rajasthan"/>
    <s v="Udaipur"/>
    <x v="2"/>
    <x v="5"/>
    <s v="Max Accessories 186"/>
    <x v="0"/>
    <s v="anomaly"/>
    <n v="2"/>
    <n v="0.15"/>
    <x v="196"/>
    <x v="196"/>
    <x v="196"/>
    <x v="148"/>
    <s v="30-03-24"/>
    <x v="10"/>
    <x v="0"/>
    <s v=" "/>
    <n v="2"/>
    <x v="0"/>
  </r>
  <r>
    <n v="406.16"/>
    <x v="0"/>
    <x v="0"/>
    <m/>
    <x v="204"/>
    <s v="20-07-25"/>
    <s v="23-07-25"/>
    <s v="CUST-1986"/>
    <s v="Mira Das"/>
    <x v="3"/>
    <x v="1"/>
    <s v="West Bengal"/>
    <s v="Kolkata"/>
    <x v="1"/>
    <x v="1"/>
    <s v="Elite Tables 318"/>
    <x v="0"/>
    <s v="anomaly"/>
    <n v="3"/>
    <n v="0.15"/>
    <x v="197"/>
    <x v="197"/>
    <x v="197"/>
    <x v="149"/>
    <s v="23-07-25"/>
    <x v="0"/>
    <x v="2"/>
    <s v=" "/>
    <n v="3"/>
    <x v="0"/>
  </r>
  <r>
    <n v="863.24"/>
    <x v="0"/>
    <x v="0"/>
    <m/>
    <x v="205"/>
    <s v="21-04-25"/>
    <s v="invalid date"/>
    <s v="CUST-3338"/>
    <s v="Ananya Rao"/>
    <x v="0"/>
    <x v="3"/>
    <s v="Maharashtra"/>
    <s v="Mumbai"/>
    <x v="0"/>
    <x v="7"/>
    <s v="Smart Labels 354"/>
    <x v="1"/>
    <s v="Invalid"/>
    <s v="invalid date"/>
    <n v="0.2"/>
    <x v="198"/>
    <x v="198"/>
    <x v="198"/>
    <x v="150"/>
    <s v="invalid date"/>
    <x v="12"/>
    <x v="2"/>
    <s v="Invalid"/>
    <s v="invalid date"/>
    <x v="0"/>
  </r>
  <r>
    <n v="143.88"/>
    <x v="0"/>
    <x v="0"/>
    <m/>
    <x v="206"/>
    <s v="invalid date"/>
    <s v="20-05-25"/>
    <s v="CUST-2343"/>
    <s v="Diya Patel"/>
    <x v="1"/>
    <x v="0"/>
    <s v="Uttar Pradesh"/>
    <s v="Noida"/>
    <x v="1"/>
    <x v="3"/>
    <s v="Pro Furnishings 981"/>
    <x v="2"/>
    <s v="Invalid"/>
    <s v="invalid date"/>
    <n v="0"/>
    <x v="199"/>
    <x v="199"/>
    <x v="199"/>
    <x v="1"/>
    <s v="20-05-25"/>
    <x v="1"/>
    <x v="1"/>
    <s v="Invalid"/>
    <s v="invalid date"/>
    <x v="0"/>
  </r>
  <r>
    <n v="756.31"/>
    <x v="0"/>
    <x v="0"/>
    <m/>
    <x v="207"/>
    <s v="10-07-24"/>
    <s v="16-07-24"/>
    <s v="CUST-3362"/>
    <s v="Aarav Sharma"/>
    <x v="3"/>
    <x v="3"/>
    <s v="Goa"/>
    <s v="Panaji"/>
    <x v="1"/>
    <x v="10"/>
    <s v="Eco Bookcases 671"/>
    <x v="0"/>
    <s v="anomaly"/>
    <n v="6"/>
    <n v="0.2"/>
    <x v="200"/>
    <x v="200"/>
    <x v="200"/>
    <x v="151"/>
    <s v="16-07-24"/>
    <x v="0"/>
    <x v="0"/>
    <s v=" "/>
    <n v="6"/>
    <x v="0"/>
  </r>
  <r>
    <n v="364.92"/>
    <x v="0"/>
    <x v="0"/>
    <m/>
    <x v="208"/>
    <s v="invalid date"/>
    <s v="05-07-25"/>
    <s v="CUST-3662"/>
    <s v="Diya Patel"/>
    <x v="0"/>
    <x v="0"/>
    <s v="Punjab"/>
    <s v="Ludhiana"/>
    <x v="1"/>
    <x v="4"/>
    <s v="Max Chairs 151"/>
    <x v="1"/>
    <s v="Invalid"/>
    <s v="invalid date"/>
    <n v="0"/>
    <x v="201"/>
    <x v="201"/>
    <x v="201"/>
    <x v="1"/>
    <s v="05-07-25"/>
    <x v="1"/>
    <x v="1"/>
    <s v="Invalid"/>
    <s v="invalid date"/>
    <x v="0"/>
  </r>
  <r>
    <n v="2365.46"/>
    <x v="0"/>
    <x v="0"/>
    <m/>
    <x v="209"/>
    <s v="invalid date"/>
    <s v="invalid date"/>
    <s v="CUST-4947"/>
    <s v="Rohan Mehta"/>
    <x v="1"/>
    <x v="2"/>
    <s v="Andhra Pradesh"/>
    <s v="Vijayawada"/>
    <x v="0"/>
    <x v="0"/>
    <s v="Prime Paper 903"/>
    <x v="2"/>
    <s v="Invalid"/>
    <s v="invalid date"/>
    <n v="0.1"/>
    <x v="202"/>
    <x v="202"/>
    <x v="202"/>
    <x v="1"/>
    <s v="invalid date"/>
    <x v="1"/>
    <x v="1"/>
    <s v="Invalid"/>
    <s v="invalid date"/>
    <x v="0"/>
  </r>
  <r>
    <n v="1194.29"/>
    <x v="3"/>
    <x v="2"/>
    <m/>
    <x v="210"/>
    <s v="invalid date"/>
    <s v="18-03-24"/>
    <s v="CUST-3076"/>
    <s v="Kabir Singh"/>
    <x v="3"/>
    <x v="2"/>
    <s v="Karnataka"/>
    <s v="Bengaluru"/>
    <x v="2"/>
    <x v="12"/>
    <s v="Classic Machines 944"/>
    <x v="0"/>
    <s v="Invalid"/>
    <s v="invalid date"/>
    <n v="0"/>
    <x v="203"/>
    <x v="203"/>
    <x v="203"/>
    <x v="1"/>
    <s v="18-03-24"/>
    <x v="1"/>
    <x v="1"/>
    <s v="Invalid"/>
    <s v="invalid date"/>
    <x v="0"/>
  </r>
  <r>
    <n v="4135.24"/>
    <x v="0"/>
    <x v="0"/>
    <m/>
    <x v="211"/>
    <s v="invalid date"/>
    <s v="invalid date"/>
    <s v="CUST-2222"/>
    <s v="Rohan Mehta"/>
    <x v="2"/>
    <x v="1"/>
    <s v="West Bengal"/>
    <s v="Kolkata"/>
    <x v="2"/>
    <x v="6"/>
    <s v="Basic Copiers 222"/>
    <x v="0"/>
    <s v="Invalid"/>
    <s v="invalid date"/>
    <n v="0.2"/>
    <x v="204"/>
    <x v="204"/>
    <x v="204"/>
    <x v="1"/>
    <s v="invalid date"/>
    <x v="1"/>
    <x v="1"/>
    <s v="Invalid"/>
    <s v="invalid date"/>
    <x v="0"/>
  </r>
  <r>
    <n v="83.91"/>
    <x v="0"/>
    <x v="0"/>
    <m/>
    <x v="212"/>
    <s v="invalid date"/>
    <s v="21-09-24"/>
    <s v="CUST-3610"/>
    <s v="Ananya Rao"/>
    <x v="1"/>
    <x v="1"/>
    <s v="Odisha"/>
    <s v="Bhubaneswar"/>
    <x v="2"/>
    <x v="11"/>
    <s v="Max Phones 329"/>
    <x v="1"/>
    <s v="Invalid"/>
    <s v="invalid date"/>
    <n v="0.15"/>
    <x v="205"/>
    <x v="205"/>
    <x v="205"/>
    <x v="1"/>
    <s v="21-09-24"/>
    <x v="1"/>
    <x v="1"/>
    <s v="Invalid"/>
    <s v="invalid date"/>
    <x v="0"/>
  </r>
  <r>
    <n v="2570.6799999999998"/>
    <x v="0"/>
    <x v="0"/>
    <m/>
    <x v="213"/>
    <s v="15-05-24"/>
    <s v="21-05-24"/>
    <s v="CUST-9136"/>
    <s v="Isha Nair"/>
    <x v="1"/>
    <x v="1"/>
    <s v="Bihar"/>
    <s v="Patna"/>
    <x v="2"/>
    <x v="5"/>
    <s v="Classic Accessories 840"/>
    <x v="0"/>
    <s v="anomaly"/>
    <n v="6"/>
    <n v="0.2"/>
    <x v="206"/>
    <x v="206"/>
    <x v="206"/>
    <x v="152"/>
    <s v="21-05-24"/>
    <x v="4"/>
    <x v="0"/>
    <s v=" "/>
    <n v="6"/>
    <x v="0"/>
  </r>
  <r>
    <n v="138.31"/>
    <x v="0"/>
    <x v="0"/>
    <m/>
    <x v="214"/>
    <s v="17-03-24"/>
    <s v="23-03-24"/>
    <s v="CUST-1301"/>
    <s v="Rahul Verma"/>
    <x v="0"/>
    <x v="0"/>
    <s v="Haryana"/>
    <s v="Gurugram"/>
    <x v="2"/>
    <x v="5"/>
    <s v="Classic Accessories 757"/>
    <x v="2"/>
    <s v="anomaly"/>
    <n v="6"/>
    <n v="0.05"/>
    <x v="207"/>
    <x v="207"/>
    <x v="207"/>
    <x v="153"/>
    <s v="23-03-24"/>
    <x v="10"/>
    <x v="0"/>
    <s v=" "/>
    <n v="6"/>
    <x v="0"/>
  </r>
  <r>
    <n v="8298.39"/>
    <x v="0"/>
    <x v="0"/>
    <m/>
    <x v="215"/>
    <s v="01-03-24"/>
    <s v="04-03-24"/>
    <s v="CUST-8603"/>
    <s v="Mira Das"/>
    <x v="0"/>
    <x v="3"/>
    <s v="Madhya Pradesh"/>
    <s v="Indore"/>
    <x v="0"/>
    <x v="0"/>
    <s v="Prime Paper 286"/>
    <x v="2"/>
    <s v="anomaly"/>
    <n v="3"/>
    <n v="0.25"/>
    <x v="208"/>
    <x v="208"/>
    <x v="208"/>
    <x v="154"/>
    <s v="04-03-24"/>
    <x v="10"/>
    <x v="0"/>
    <s v=" "/>
    <n v="3"/>
    <x v="0"/>
  </r>
  <r>
    <n v="3396.31"/>
    <x v="3"/>
    <x v="2"/>
    <m/>
    <x v="216"/>
    <s v="04-10-25"/>
    <s v="15-04-25"/>
    <s v="CUST-4330"/>
    <s v="Isha Nair"/>
    <x v="0"/>
    <x v="3"/>
    <s v="Gujarat"/>
    <s v="Ahmedabad"/>
    <x v="1"/>
    <x v="1"/>
    <s v="Basic Tables 400"/>
    <x v="3"/>
    <s v="anomaly"/>
    <n v="-172"/>
    <n v="0.25"/>
    <x v="209"/>
    <x v="209"/>
    <x v="209"/>
    <x v="6"/>
    <s v="15-04-25"/>
    <x v="5"/>
    <x v="2"/>
    <s v=" "/>
    <n v="-172"/>
    <x v="0"/>
  </r>
  <r>
    <n v="1198.96"/>
    <x v="1"/>
    <x v="1"/>
    <m/>
    <x v="217"/>
    <s v="01-04-25"/>
    <s v="04-08-25"/>
    <s v="CUST-4533"/>
    <s v="Aditi Sen"/>
    <x v="0"/>
    <x v="1"/>
    <s v="Odisha"/>
    <s v="Bhubaneswar"/>
    <x v="1"/>
    <x v="10"/>
    <s v="Basic Bookcases 405"/>
    <x v="0"/>
    <s v="anomaly"/>
    <n v="125"/>
    <n v="0.1"/>
    <x v="210"/>
    <x v="210"/>
    <x v="210"/>
    <x v="155"/>
    <s v="04-08-25"/>
    <x v="12"/>
    <x v="2"/>
    <s v=" "/>
    <n v="125"/>
    <x v="0"/>
  </r>
  <r>
    <n v="534.47"/>
    <x v="0"/>
    <x v="0"/>
    <m/>
    <x v="218"/>
    <s v="26-02-25"/>
    <s v="27-02-25"/>
    <s v="CUST-8270"/>
    <s v="Priya Menon"/>
    <x v="2"/>
    <x v="3"/>
    <s v="Gujarat"/>
    <s v="Ahmedabad"/>
    <x v="1"/>
    <x v="10"/>
    <s v="Classic Bookcases 139"/>
    <x v="3"/>
    <s v="anomaly"/>
    <n v="1"/>
    <n v="0"/>
    <x v="211"/>
    <x v="211"/>
    <x v="211"/>
    <x v="156"/>
    <s v="27-02-25"/>
    <x v="6"/>
    <x v="2"/>
    <s v=" "/>
    <n v="1"/>
    <x v="0"/>
  </r>
  <r>
    <n v="81.56"/>
    <x v="0"/>
    <x v="0"/>
    <m/>
    <x v="219"/>
    <s v="18-06-24"/>
    <s v="invalid date"/>
    <s v="CUST-1472"/>
    <s v="Rahul Verma"/>
    <x v="0"/>
    <x v="1"/>
    <s v="Bihar"/>
    <s v="Patna"/>
    <x v="2"/>
    <x v="12"/>
    <s v="Elite Machines 290"/>
    <x v="2"/>
    <s v="Invalid"/>
    <s v="invalid date"/>
    <s v="invalid"/>
    <x v="2"/>
    <x v="2"/>
    <x v="2"/>
    <x v="157"/>
    <s v="invalid date"/>
    <x v="11"/>
    <x v="0"/>
    <s v="Invalid"/>
    <s v="invalid date"/>
    <x v="0"/>
  </r>
  <r>
    <n v="3486.11"/>
    <x v="1"/>
    <x v="1"/>
    <m/>
    <x v="220"/>
    <s v="09-03-24"/>
    <s v="09-03-24"/>
    <s v="CUST-1031"/>
    <s v="Sneha Kapoor"/>
    <x v="0"/>
    <x v="2"/>
    <s v="Kerala"/>
    <s v="Kochi"/>
    <x v="0"/>
    <x v="8"/>
    <s v="Elite Storage 925"/>
    <x v="2"/>
    <s v="  "/>
    <n v="0"/>
    <n v="0.15"/>
    <x v="212"/>
    <x v="212"/>
    <x v="212"/>
    <x v="119"/>
    <s v="09-03-24"/>
    <x v="10"/>
    <x v="0"/>
    <s v=" "/>
    <n v="0"/>
    <x v="0"/>
  </r>
  <r>
    <n v="1348.21"/>
    <x v="0"/>
    <x v="0"/>
    <m/>
    <x v="221"/>
    <s v="12-01-25"/>
    <s v="15-01-25"/>
    <s v="CUST-2495"/>
    <s v="Mira Das"/>
    <x v="2"/>
    <x v="2"/>
    <s v="Karnataka"/>
    <s v="Bengaluru"/>
    <x v="1"/>
    <x v="4"/>
    <s v="Classic Chairs 231"/>
    <x v="1"/>
    <s v="anomaly"/>
    <n v="3"/>
    <n v="0.2"/>
    <x v="213"/>
    <x v="213"/>
    <x v="213"/>
    <x v="158"/>
    <s v="15-01-25"/>
    <x v="9"/>
    <x v="2"/>
    <s v=" "/>
    <n v="3"/>
    <x v="0"/>
  </r>
  <r>
    <n v="8119.45"/>
    <x v="0"/>
    <x v="0"/>
    <m/>
    <x v="222"/>
    <s v="invalid date"/>
    <s v="02-05-25"/>
    <s v="CUST-4583"/>
    <s v="Vikram Iyer"/>
    <x v="1"/>
    <x v="3"/>
    <s v="Goa"/>
    <s v="Panaji"/>
    <x v="0"/>
    <x v="8"/>
    <s v="Prime Storage 818"/>
    <x v="2"/>
    <s v="Invalid"/>
    <s v="invalid date"/>
    <n v="0"/>
    <x v="214"/>
    <x v="214"/>
    <x v="214"/>
    <x v="1"/>
    <s v="02-05-25"/>
    <x v="1"/>
    <x v="1"/>
    <s v="Invalid"/>
    <s v="invalid date"/>
    <x v="0"/>
  </r>
  <r>
    <n v="522.39"/>
    <x v="2"/>
    <x v="2"/>
    <m/>
    <x v="223"/>
    <s v="19-02-25"/>
    <s v="invalid date"/>
    <s v="CUST-5319"/>
    <s v="Mira Das"/>
    <x v="2"/>
    <x v="3"/>
    <s v="Maharashtra"/>
    <s v="Mumbai"/>
    <x v="1"/>
    <x v="3"/>
    <s v="Elite Furnishings 449"/>
    <x v="2"/>
    <s v="Invalid"/>
    <s v="invalid date"/>
    <n v="0.2"/>
    <x v="215"/>
    <x v="215"/>
    <x v="215"/>
    <x v="159"/>
    <s v="invalid date"/>
    <x v="6"/>
    <x v="2"/>
    <s v="Invalid"/>
    <s v="invalid date"/>
    <x v="0"/>
  </r>
  <r>
    <n v="5151"/>
    <x v="0"/>
    <x v="1"/>
    <m/>
    <x v="224"/>
    <s v="10-02-25"/>
    <s v="08-10-25"/>
    <s v="CUST-9871"/>
    <s v="Isha Nair"/>
    <x v="1"/>
    <x v="0"/>
    <s v="Punjab"/>
    <s v="Ludhiana"/>
    <x v="1"/>
    <x v="3"/>
    <s v="Classic Furnishings 109"/>
    <x v="3"/>
    <s v="  "/>
    <n v="240"/>
    <n v="0.25"/>
    <x v="216"/>
    <x v="216"/>
    <x v="216"/>
    <x v="160"/>
    <s v="08-10-25"/>
    <x v="6"/>
    <x v="2"/>
    <s v="anomaly"/>
    <n v="240"/>
    <x v="0"/>
  </r>
  <r>
    <n v="787.57"/>
    <x v="0"/>
    <x v="0"/>
    <m/>
    <x v="225"/>
    <s v="02-09-24"/>
    <s v="10-09-24"/>
    <s v="CUST-1266"/>
    <s v="Mira Das"/>
    <x v="2"/>
    <x v="3"/>
    <s v="Goa"/>
    <s v="Panaji"/>
    <x v="2"/>
    <x v="11"/>
    <s v="Classic Phones 548"/>
    <x v="3"/>
    <s v="anomaly"/>
    <n v="8"/>
    <n v="0.15"/>
    <x v="217"/>
    <x v="217"/>
    <x v="217"/>
    <x v="161"/>
    <s v="10-09-24"/>
    <x v="7"/>
    <x v="0"/>
    <s v=" "/>
    <n v="8"/>
    <x v="0"/>
  </r>
  <r>
    <n v="877.21"/>
    <x v="0"/>
    <x v="0"/>
    <m/>
    <x v="226"/>
    <s v="10-04-25"/>
    <s v="15-04-25"/>
    <s v="CUST-2545"/>
    <s v="Diya Patel"/>
    <x v="3"/>
    <x v="4"/>
    <s v="Kerala"/>
    <s v="Kochi"/>
    <x v="2"/>
    <x v="6"/>
    <s v="Max Copiers 363"/>
    <x v="1"/>
    <s v="anomaly"/>
    <n v="5"/>
    <n v="0.1"/>
    <x v="218"/>
    <x v="218"/>
    <x v="218"/>
    <x v="162"/>
    <s v="15-04-25"/>
    <x v="12"/>
    <x v="2"/>
    <s v=" "/>
    <n v="5"/>
    <x v="0"/>
  </r>
  <r>
    <n v="573.4"/>
    <x v="0"/>
    <x v="0"/>
    <m/>
    <x v="227"/>
    <s v="05-07-24"/>
    <s v="12-07-24"/>
    <s v="CUST-2819"/>
    <s v="Ananya Rao"/>
    <x v="1"/>
    <x v="3"/>
    <s v="Goa"/>
    <s v="Panaji"/>
    <x v="0"/>
    <x v="9"/>
    <s v="Prime Binders 507"/>
    <x v="2"/>
    <s v="anomaly"/>
    <n v="7"/>
    <n v="0.15"/>
    <x v="219"/>
    <x v="219"/>
    <x v="219"/>
    <x v="163"/>
    <s v="12-07-24"/>
    <x v="0"/>
    <x v="0"/>
    <s v=" "/>
    <n v="7"/>
    <x v="0"/>
  </r>
  <r>
    <n v="1163.6600000000001"/>
    <x v="0"/>
    <x v="0"/>
    <m/>
    <x v="228"/>
    <s v="24-04-24"/>
    <s v="28-04-24"/>
    <s v="CUST-1076"/>
    <s v="Karan Malhotra"/>
    <x v="1"/>
    <x v="2"/>
    <s v="Telangana"/>
    <s v="Hyderabad"/>
    <x v="0"/>
    <x v="7"/>
    <s v="Smart Labels 914"/>
    <x v="0"/>
    <s v="anomaly"/>
    <n v="4"/>
    <n v="0.15"/>
    <x v="220"/>
    <x v="220"/>
    <x v="220"/>
    <x v="45"/>
    <s v="28-04-24"/>
    <x v="12"/>
    <x v="0"/>
    <s v=" "/>
    <n v="4"/>
    <x v="0"/>
  </r>
  <r>
    <n v="3122.75"/>
    <x v="1"/>
    <x v="2"/>
    <m/>
    <x v="229"/>
    <s v="28-06-25"/>
    <s v="07-04-25"/>
    <s v="CUST-1943"/>
    <s v="Rohan Mehta"/>
    <x v="0"/>
    <x v="2"/>
    <s v="Telangana"/>
    <s v="Hyderabad"/>
    <x v="1"/>
    <x v="10"/>
    <s v="Smart Bookcases 662"/>
    <x v="2"/>
    <s v="  "/>
    <n v="-82"/>
    <n v="0"/>
    <x v="221"/>
    <x v="221"/>
    <x v="221"/>
    <x v="164"/>
    <s v="07-04-25"/>
    <x v="11"/>
    <x v="2"/>
    <s v="anomaly"/>
    <n v="-82"/>
    <x v="0"/>
  </r>
  <r>
    <n v="2249.4299999999998"/>
    <x v="0"/>
    <x v="0"/>
    <m/>
    <x v="230"/>
    <s v="28-05-24"/>
    <s v="03-06-24"/>
    <s v="CUST-3434"/>
    <s v="Neha Gupta"/>
    <x v="1"/>
    <x v="0"/>
    <s v="Rajasthan"/>
    <s v="Jaipur"/>
    <x v="0"/>
    <x v="0"/>
    <s v="Eco Paper 937"/>
    <x v="3"/>
    <s v="  "/>
    <n v="6"/>
    <n v="0.1"/>
    <x v="222"/>
    <x v="222"/>
    <x v="222"/>
    <x v="165"/>
    <s v="03-06-24"/>
    <x v="4"/>
    <x v="0"/>
    <s v="anomaly"/>
    <n v="6"/>
    <x v="0"/>
  </r>
  <r>
    <n v="4299.2"/>
    <x v="1"/>
    <x v="1"/>
    <m/>
    <x v="231"/>
    <s v="02-05-24"/>
    <s v="05-02-24"/>
    <s v="CUST-9139"/>
    <s v="Ananya Rao"/>
    <x v="2"/>
    <x v="0"/>
    <s v="Rajasthan"/>
    <s v="Jaipur"/>
    <x v="0"/>
    <x v="7"/>
    <s v="Max Labels 370"/>
    <x v="2"/>
    <s v="anomaly"/>
    <n v="-87"/>
    <n v="0.25"/>
    <x v="223"/>
    <x v="223"/>
    <x v="223"/>
    <x v="125"/>
    <s v="05-02-24"/>
    <x v="4"/>
    <x v="0"/>
    <s v=" "/>
    <n v="-87"/>
    <x v="0"/>
  </r>
  <r>
    <n v="110.54"/>
    <x v="0"/>
    <x v="0"/>
    <m/>
    <x v="232"/>
    <s v="04-06-25"/>
    <s v="10-06-25"/>
    <s v="CUST-5341"/>
    <s v="Rahul Verma"/>
    <x v="0"/>
    <x v="2"/>
    <s v="Andhra Pradesh"/>
    <s v="Vijayawada"/>
    <x v="2"/>
    <x v="11"/>
    <s v="Classic Phones 530"/>
    <x v="3"/>
    <s v="anomaly"/>
    <n v="6"/>
    <n v="0.25"/>
    <x v="224"/>
    <x v="224"/>
    <x v="224"/>
    <x v="166"/>
    <s v="10-06-25"/>
    <x v="11"/>
    <x v="2"/>
    <s v=" "/>
    <n v="6"/>
    <x v="0"/>
  </r>
  <r>
    <n v="4859.0200000000004"/>
    <x v="0"/>
    <x v="0"/>
    <m/>
    <x v="233"/>
    <s v="14-10-24"/>
    <s v="invalid date"/>
    <s v="CUST-3710"/>
    <s v="Vikram Iyer"/>
    <x v="2"/>
    <x v="2"/>
    <s v="Karnataka"/>
    <s v="Bengaluru"/>
    <x v="1"/>
    <x v="10"/>
    <s v="Smart Bookcases 328"/>
    <x v="4"/>
    <s v="Invalid"/>
    <s v="invalid date"/>
    <n v="0"/>
    <x v="225"/>
    <x v="225"/>
    <x v="225"/>
    <x v="167"/>
    <s v="invalid date"/>
    <x v="5"/>
    <x v="0"/>
    <s v="Invalid"/>
    <s v="invalid date"/>
    <x v="0"/>
  </r>
  <r>
    <n v="1701.77"/>
    <x v="0"/>
    <x v="0"/>
    <m/>
    <x v="234"/>
    <s v="09-02-24"/>
    <s v="03-09-24"/>
    <s v="CUST-9754"/>
    <s v="Kabir Singh"/>
    <x v="3"/>
    <x v="0"/>
    <s v="Delhi"/>
    <s v="New Delhi"/>
    <x v="1"/>
    <x v="3"/>
    <s v="Eco Furnishings 981"/>
    <x v="2"/>
    <s v="  "/>
    <n v="207"/>
    <n v="0.1"/>
    <x v="226"/>
    <x v="226"/>
    <x v="226"/>
    <x v="26"/>
    <s v="03-09-24"/>
    <x v="6"/>
    <x v="0"/>
    <s v="anomaly"/>
    <n v="207"/>
    <x v="0"/>
  </r>
  <r>
    <n v="4081.07"/>
    <x v="0"/>
    <x v="0"/>
    <m/>
    <x v="235"/>
    <s v="11-02-24"/>
    <s v="11-03-24"/>
    <s v="CUST-6256"/>
    <s v="Rahul Verma"/>
    <x v="1"/>
    <x v="3"/>
    <s v="Rajasthan"/>
    <s v="Udaipur"/>
    <x v="0"/>
    <x v="8"/>
    <s v="Basic Storage 195"/>
    <x v="3"/>
    <s v="anomaly"/>
    <n v="29"/>
    <n v="0.05"/>
    <x v="227"/>
    <x v="227"/>
    <x v="227"/>
    <x v="62"/>
    <s v="11-03-24"/>
    <x v="6"/>
    <x v="0"/>
    <s v=" "/>
    <n v="29"/>
    <x v="0"/>
  </r>
  <r>
    <n v="5843.29"/>
    <x v="0"/>
    <x v="0"/>
    <m/>
    <x v="236"/>
    <s v="invalid date"/>
    <s v="21-10-24"/>
    <s v="CUST-7113"/>
    <s v="Priya Menon"/>
    <x v="2"/>
    <x v="0"/>
    <s v="Uttar Pradesh"/>
    <s v="Noida"/>
    <x v="1"/>
    <x v="10"/>
    <s v="Elite Bookcases 907"/>
    <x v="2"/>
    <s v="Invalid"/>
    <s v="invalid date"/>
    <n v="0"/>
    <x v="228"/>
    <x v="228"/>
    <x v="228"/>
    <x v="1"/>
    <s v="21-10-24"/>
    <x v="1"/>
    <x v="1"/>
    <s v="Invalid"/>
    <s v="invalid date"/>
    <x v="0"/>
  </r>
  <r>
    <n v="7467.82"/>
    <x v="0"/>
    <x v="0"/>
    <m/>
    <x v="237"/>
    <s v="27-08-24"/>
    <s v="27-08-24"/>
    <s v="CUST-3827"/>
    <s v="Mira Das"/>
    <x v="0"/>
    <x v="0"/>
    <s v="Haryana"/>
    <s v="Gurugram"/>
    <x v="2"/>
    <x v="6"/>
    <s v="Smart Copiers 471"/>
    <x v="3"/>
    <s v="  "/>
    <n v="0"/>
    <n v="0"/>
    <x v="229"/>
    <x v="229"/>
    <x v="229"/>
    <x v="168"/>
    <s v="27-08-24"/>
    <x v="2"/>
    <x v="0"/>
    <s v=" "/>
    <n v="0"/>
    <x v="0"/>
  </r>
  <r>
    <n v="7794.83"/>
    <x v="0"/>
    <x v="0"/>
    <m/>
    <x v="238"/>
    <s v="01-12-24"/>
    <s v="invalid date"/>
    <s v="CUST-2375"/>
    <s v="Arjun Bose"/>
    <x v="0"/>
    <x v="2"/>
    <s v="Andhra Pradesh"/>
    <s v="Vijayawada"/>
    <x v="0"/>
    <x v="8"/>
    <s v="Prime Storage 625"/>
    <x v="2"/>
    <s v="Invalid"/>
    <s v="invalid date"/>
    <s v="invalid"/>
    <x v="2"/>
    <x v="2"/>
    <x v="2"/>
    <x v="169"/>
    <s v="invalid date"/>
    <x v="8"/>
    <x v="0"/>
    <s v="Invalid"/>
    <s v="invalid date"/>
    <x v="0"/>
  </r>
  <r>
    <n v="856.61"/>
    <x v="0"/>
    <x v="0"/>
    <m/>
    <x v="239"/>
    <s v="21-09-24"/>
    <s v="invalid date"/>
    <s v="CUST-2233"/>
    <s v="Kabir Singh"/>
    <x v="2"/>
    <x v="2"/>
    <s v="Karnataka"/>
    <s v="Bengaluru"/>
    <x v="2"/>
    <x v="12"/>
    <s v="Smart Machines 801"/>
    <x v="2"/>
    <s v="Invalid"/>
    <s v="invalid date"/>
    <n v="0.2"/>
    <x v="230"/>
    <x v="230"/>
    <x v="230"/>
    <x v="170"/>
    <s v="invalid date"/>
    <x v="7"/>
    <x v="0"/>
    <s v="Invalid"/>
    <s v="invalid date"/>
    <x v="0"/>
  </r>
  <r>
    <n v="6907.71"/>
    <x v="0"/>
    <x v="0"/>
    <m/>
    <x v="240"/>
    <s v="17-12-24"/>
    <s v="23-12-24"/>
    <s v="CUST-9778"/>
    <s v="Aarav Sharma"/>
    <x v="2"/>
    <x v="2"/>
    <s v="Telangana"/>
    <s v="Hyderabad"/>
    <x v="0"/>
    <x v="9"/>
    <s v="Max Binders 170"/>
    <x v="2"/>
    <s v="anomaly"/>
    <n v="6"/>
    <n v="0"/>
    <x v="231"/>
    <x v="231"/>
    <x v="231"/>
    <x v="171"/>
    <s v="23-12-24"/>
    <x v="8"/>
    <x v="0"/>
    <s v=" "/>
    <n v="6"/>
    <x v="0"/>
  </r>
  <r>
    <n v="522.38"/>
    <x v="2"/>
    <x v="2"/>
    <m/>
    <x v="241"/>
    <s v="07-06-25"/>
    <s v="06-07-25"/>
    <s v="CUST-6949"/>
    <s v="Sneha Kapoor"/>
    <x v="2"/>
    <x v="0"/>
    <s v="Haryana"/>
    <s v="Gurugram"/>
    <x v="0"/>
    <x v="8"/>
    <s v="Basic Storage 737"/>
    <x v="3"/>
    <s v="  "/>
    <n v="29"/>
    <n v="0.25"/>
    <x v="232"/>
    <x v="232"/>
    <x v="232"/>
    <x v="172"/>
    <s v="06-07-25"/>
    <x v="11"/>
    <x v="2"/>
    <s v="anomaly"/>
    <n v="29"/>
    <x v="0"/>
  </r>
  <r>
    <n v="1446.33"/>
    <x v="0"/>
    <x v="0"/>
    <m/>
    <x v="242"/>
    <s v="07-02-25"/>
    <s v="07-02-25"/>
    <s v="CUST-3430"/>
    <s v="Arjun Bose"/>
    <x v="0"/>
    <x v="0"/>
    <s v="Uttar Pradesh"/>
    <s v="Noida"/>
    <x v="0"/>
    <x v="2"/>
    <s v="Classic Art 126"/>
    <x v="0"/>
    <s v="  "/>
    <n v="0"/>
    <n v="0.05"/>
    <x v="233"/>
    <x v="233"/>
    <x v="233"/>
    <x v="173"/>
    <s v="07-02-25"/>
    <x v="6"/>
    <x v="2"/>
    <s v=" "/>
    <n v="0"/>
    <x v="0"/>
  </r>
  <r>
    <n v="1540.31"/>
    <x v="0"/>
    <x v="0"/>
    <m/>
    <x v="243"/>
    <s v="29-07-25"/>
    <s v="02-08-25"/>
    <s v="CUST-6310"/>
    <s v="Sneha Kapoor"/>
    <x v="1"/>
    <x v="4"/>
    <s v="Madhya Pradesh"/>
    <s v="Indore"/>
    <x v="2"/>
    <x v="5"/>
    <s v="Prime Accessories 243"/>
    <x v="2"/>
    <s v="  "/>
    <n v="4"/>
    <n v="0.1"/>
    <x v="234"/>
    <x v="234"/>
    <x v="234"/>
    <x v="32"/>
    <s v="02-08-25"/>
    <x v="0"/>
    <x v="2"/>
    <s v="anomaly"/>
    <n v="4"/>
    <x v="0"/>
  </r>
  <r>
    <n v="2070.46"/>
    <x v="0"/>
    <x v="0"/>
    <m/>
    <x v="244"/>
    <s v="invalid date"/>
    <s v="24-08-24"/>
    <s v="CUST-6008"/>
    <s v="Neha Gupta"/>
    <x v="0"/>
    <x v="2"/>
    <s v="Telangana"/>
    <s v="Hyderabad"/>
    <x v="1"/>
    <x v="10"/>
    <s v="Eco Bookcases 768"/>
    <x v="1"/>
    <s v="Invalid"/>
    <s v="invalid date"/>
    <n v="0"/>
    <x v="235"/>
    <x v="235"/>
    <x v="235"/>
    <x v="1"/>
    <s v="24-08-24"/>
    <x v="1"/>
    <x v="1"/>
    <s v="Invalid"/>
    <s v="invalid date"/>
    <x v="0"/>
  </r>
  <r>
    <n v="4349.51"/>
    <x v="0"/>
    <x v="0"/>
    <m/>
    <x v="245"/>
    <s v="invalid date"/>
    <s v="24-10-24"/>
    <s v="CUST-1704"/>
    <s v="Neha Gupta"/>
    <x v="3"/>
    <x v="2"/>
    <s v="Kerala"/>
    <s v="Kochi"/>
    <x v="1"/>
    <x v="4"/>
    <s v="Pro Chairs 316"/>
    <x v="0"/>
    <s v="Invalid"/>
    <s v="invalid date"/>
    <n v="0"/>
    <x v="236"/>
    <x v="236"/>
    <x v="236"/>
    <x v="1"/>
    <s v="24-10-24"/>
    <x v="1"/>
    <x v="1"/>
    <s v="Invalid"/>
    <s v="invalid date"/>
    <x v="0"/>
  </r>
  <r>
    <n v="77.37"/>
    <x v="1"/>
    <x v="1"/>
    <m/>
    <x v="246"/>
    <s v="04-05-24"/>
    <s v="09-05-24"/>
    <s v="CUST-1827"/>
    <s v="Ananya Rao"/>
    <x v="2"/>
    <x v="0"/>
    <s v="Punjab"/>
    <s v="Ludhiana"/>
    <x v="2"/>
    <x v="12"/>
    <s v="Classic Machines 819"/>
    <x v="1"/>
    <s v="anomaly"/>
    <n v="5"/>
    <n v="0.25"/>
    <x v="237"/>
    <x v="237"/>
    <x v="237"/>
    <x v="174"/>
    <s v="09-05-24"/>
    <x v="4"/>
    <x v="0"/>
    <s v=" "/>
    <n v="5"/>
    <x v="0"/>
  </r>
  <r>
    <n v="2459.56"/>
    <x v="0"/>
    <x v="0"/>
    <m/>
    <x v="247"/>
    <s v="invalid date"/>
    <s v="01-08-24"/>
    <s v="CUST-6663"/>
    <s v="Rahul Verma"/>
    <x v="2"/>
    <x v="0"/>
    <s v="Rajasthan"/>
    <s v="Jaipur"/>
    <x v="2"/>
    <x v="5"/>
    <s v="Smart Accessories 572"/>
    <x v="0"/>
    <s v="Invalid"/>
    <s v="invalid date"/>
    <n v="0.25"/>
    <x v="238"/>
    <x v="238"/>
    <x v="238"/>
    <x v="1"/>
    <s v="01-08-24"/>
    <x v="1"/>
    <x v="1"/>
    <s v="Invalid"/>
    <s v="invalid date"/>
    <x v="0"/>
  </r>
  <r>
    <n v="1143.69"/>
    <x v="0"/>
    <x v="0"/>
    <m/>
    <x v="248"/>
    <s v="06-02-24"/>
    <s v="07-06-24"/>
    <s v="CUST-6278"/>
    <s v="Rohan Mehta"/>
    <x v="3"/>
    <x v="1"/>
    <s v="Odisha"/>
    <s v="Bhubaneswar"/>
    <x v="0"/>
    <x v="7"/>
    <s v="Basic Labels 432"/>
    <x v="0"/>
    <s v="anomaly"/>
    <n v="122"/>
    <n v="0.15"/>
    <x v="239"/>
    <x v="239"/>
    <x v="239"/>
    <x v="175"/>
    <s v="07-06-24"/>
    <x v="6"/>
    <x v="0"/>
    <s v=" "/>
    <n v="122"/>
    <x v="0"/>
  </r>
  <r>
    <n v="3294.55"/>
    <x v="0"/>
    <x v="0"/>
    <m/>
    <x v="249"/>
    <s v="08-01-25"/>
    <s v="08-02-25"/>
    <s v="CUST-2305"/>
    <s v="Mira Das"/>
    <x v="2"/>
    <x v="0"/>
    <s v="Rajasthan"/>
    <s v="Jaipur"/>
    <x v="1"/>
    <x v="3"/>
    <s v="Classic Furnishings 378"/>
    <x v="2"/>
    <s v="anomaly"/>
    <n v="31"/>
    <n v="0.2"/>
    <x v="240"/>
    <x v="240"/>
    <x v="240"/>
    <x v="176"/>
    <s v="08-02-25"/>
    <x v="9"/>
    <x v="2"/>
    <s v=" "/>
    <n v="31"/>
    <x v="0"/>
  </r>
  <r>
    <n v="2441.25"/>
    <x v="2"/>
    <x v="2"/>
    <m/>
    <x v="250"/>
    <s v="invalid date"/>
    <s v="invalid date"/>
    <s v="CUST-5351"/>
    <s v="Arjun Bose"/>
    <x v="1"/>
    <x v="1"/>
    <s v="West Bengal"/>
    <s v="Kolkata"/>
    <x v="1"/>
    <x v="3"/>
    <s v="Prime Furnishings 781"/>
    <x v="3"/>
    <s v="Invalid"/>
    <s v="invalid date"/>
    <n v="0.15"/>
    <x v="241"/>
    <x v="241"/>
    <x v="241"/>
    <x v="1"/>
    <s v="invalid date"/>
    <x v="1"/>
    <x v="1"/>
    <s v="Invalid"/>
    <s v="invalid date"/>
    <x v="0"/>
  </r>
  <r>
    <n v="1251.8599999999999"/>
    <x v="0"/>
    <x v="0"/>
    <m/>
    <x v="251"/>
    <s v="06-04-25"/>
    <s v="04-10-25"/>
    <s v="CUST-6268"/>
    <s v="Ananya Rao"/>
    <x v="2"/>
    <x v="3"/>
    <s v="Gujarat"/>
    <s v="Ahmedabad"/>
    <x v="1"/>
    <x v="1"/>
    <s v="Prime Tables 263"/>
    <x v="0"/>
    <s v="  "/>
    <n v="181"/>
    <n v="0"/>
    <x v="242"/>
    <x v="242"/>
    <x v="242"/>
    <x v="177"/>
    <s v="04-10-25"/>
    <x v="12"/>
    <x v="2"/>
    <s v="anomaly"/>
    <n v="181"/>
    <x v="0"/>
  </r>
  <r>
    <n v="725.85"/>
    <x v="2"/>
    <x v="2"/>
    <m/>
    <x v="252"/>
    <s v="25-06-25"/>
    <s v="28-06-25"/>
    <s v="CUST-2103"/>
    <s v="Arjun Bose"/>
    <x v="2"/>
    <x v="0"/>
    <s v="Haryana"/>
    <s v="Gurugram"/>
    <x v="0"/>
    <x v="8"/>
    <s v="Basic Storage 269"/>
    <x v="2"/>
    <s v="anomaly"/>
    <n v="3"/>
    <n v="0.2"/>
    <x v="243"/>
    <x v="243"/>
    <x v="243"/>
    <x v="178"/>
    <s v="28-06-25"/>
    <x v="11"/>
    <x v="2"/>
    <s v=" "/>
    <n v="3"/>
    <x v="0"/>
  </r>
  <r>
    <n v="1472.89"/>
    <x v="1"/>
    <x v="1"/>
    <m/>
    <x v="253"/>
    <s v="12-09-24"/>
    <s v="invalid date"/>
    <s v="CUST-5394"/>
    <s v="Priya Menon"/>
    <x v="1"/>
    <x v="0"/>
    <s v="Rajasthan"/>
    <s v="Jaipur"/>
    <x v="2"/>
    <x v="11"/>
    <s v="Classic Phones 442"/>
    <x v="1"/>
    <s v="Invalid"/>
    <s v="invalid date"/>
    <n v="0.05"/>
    <x v="244"/>
    <x v="244"/>
    <x v="244"/>
    <x v="179"/>
    <s v="invalid date"/>
    <x v="7"/>
    <x v="0"/>
    <s v="Invalid"/>
    <s v="invalid date"/>
    <x v="0"/>
  </r>
  <r>
    <n v="2470.56"/>
    <x v="0"/>
    <x v="2"/>
    <m/>
    <x v="254"/>
    <s v="01-01-25"/>
    <s v="03-01-25"/>
    <s v="CUST-6853"/>
    <s v="Ananya Rao"/>
    <x v="0"/>
    <x v="3"/>
    <s v="Madhya Pradesh"/>
    <s v="Indore"/>
    <x v="2"/>
    <x v="5"/>
    <s v="Elite Accessories 978"/>
    <x v="1"/>
    <s v="anomaly"/>
    <n v="2"/>
    <n v="0.2"/>
    <x v="245"/>
    <x v="245"/>
    <x v="245"/>
    <x v="180"/>
    <s v="03-01-25"/>
    <x v="9"/>
    <x v="2"/>
    <s v=" "/>
    <n v="2"/>
    <x v="0"/>
  </r>
  <r>
    <n v="3475.88"/>
    <x v="0"/>
    <x v="0"/>
    <m/>
    <x v="255"/>
    <s v="04-02-25"/>
    <s v="02-10-25"/>
    <s v="CUST-1549"/>
    <s v="Isha Nair"/>
    <x v="2"/>
    <x v="3"/>
    <s v="Maharashtra"/>
    <s v="Mumbai"/>
    <x v="2"/>
    <x v="11"/>
    <s v="Eco Phones 132"/>
    <x v="2"/>
    <s v="  "/>
    <n v="240"/>
    <n v="0"/>
    <x v="246"/>
    <x v="246"/>
    <x v="246"/>
    <x v="181"/>
    <s v="02-10-25"/>
    <x v="6"/>
    <x v="2"/>
    <s v="anomaly"/>
    <n v="240"/>
    <x v="0"/>
  </r>
  <r>
    <n v="7288.72"/>
    <x v="0"/>
    <x v="0"/>
    <m/>
    <x v="256"/>
    <s v="05-11-24"/>
    <s v="03-11-24"/>
    <s v="CUST-8411"/>
    <s v="Ananya Rao"/>
    <x v="0"/>
    <x v="1"/>
    <s v="West Bengal"/>
    <s v="Kolkata"/>
    <x v="1"/>
    <x v="1"/>
    <s v="Prime Tables 481"/>
    <x v="2"/>
    <s v="  "/>
    <n v="-2"/>
    <n v="0.05"/>
    <x v="247"/>
    <x v="247"/>
    <x v="247"/>
    <x v="182"/>
    <s v="03-11-24"/>
    <x v="3"/>
    <x v="0"/>
    <s v="anomaly"/>
    <n v="-2"/>
    <x v="0"/>
  </r>
  <r>
    <n v="1378.63"/>
    <x v="0"/>
    <x v="1"/>
    <m/>
    <x v="257"/>
    <s v="09-08-25"/>
    <s v="12-08-25"/>
    <s v="CUST-5615"/>
    <s v="Diya Patel"/>
    <x v="2"/>
    <x v="2"/>
    <s v="Karnataka"/>
    <s v="Bengaluru"/>
    <x v="2"/>
    <x v="5"/>
    <s v="Smart Accessories 180"/>
    <x v="0"/>
    <s v="anomaly"/>
    <n v="3"/>
    <n v="0"/>
    <x v="248"/>
    <x v="248"/>
    <x v="248"/>
    <x v="183"/>
    <s v="12-08-25"/>
    <x v="2"/>
    <x v="2"/>
    <s v=" "/>
    <n v="3"/>
    <x v="0"/>
  </r>
  <r>
    <n v="1273.0999999999999"/>
    <x v="0"/>
    <x v="0"/>
    <m/>
    <x v="258"/>
    <s v="30-12-24"/>
    <s v="04-01-25"/>
    <s v="CUST-8467"/>
    <s v="Sneha Kapoor"/>
    <x v="2"/>
    <x v="2"/>
    <s v="Tamil Nadu"/>
    <s v="Chennai"/>
    <x v="1"/>
    <x v="1"/>
    <s v="Smart Tables 774"/>
    <x v="1"/>
    <s v="  "/>
    <n v="5"/>
    <n v="0.25"/>
    <x v="249"/>
    <x v="249"/>
    <x v="249"/>
    <x v="184"/>
    <s v="04-01-25"/>
    <x v="8"/>
    <x v="0"/>
    <s v="anomaly"/>
    <n v="5"/>
    <x v="0"/>
  </r>
  <r>
    <n v="7827.95"/>
    <x v="0"/>
    <x v="0"/>
    <m/>
    <x v="259"/>
    <s v="invalid date"/>
    <s v="29-06-24"/>
    <s v="CUST-5174"/>
    <s v="Neha Gupta"/>
    <x v="0"/>
    <x v="2"/>
    <s v="Tamil Nadu"/>
    <s v="Chennai"/>
    <x v="2"/>
    <x v="12"/>
    <s v="Prime Machines 793"/>
    <x v="3"/>
    <s v="Invalid"/>
    <s v="invalid date"/>
    <n v="0.2"/>
    <x v="250"/>
    <x v="250"/>
    <x v="250"/>
    <x v="1"/>
    <s v="29-06-24"/>
    <x v="1"/>
    <x v="1"/>
    <s v="Invalid"/>
    <s v="invalid date"/>
    <x v="0"/>
  </r>
  <r>
    <n v="4318.7299999999996"/>
    <x v="3"/>
    <x v="2"/>
    <m/>
    <x v="260"/>
    <s v="23-09-25"/>
    <s v="invalid date"/>
    <s v="CUST-3543"/>
    <s v="Aditi Sen"/>
    <x v="2"/>
    <x v="1"/>
    <s v="West Bengal"/>
    <s v="Kolkata"/>
    <x v="0"/>
    <x v="9"/>
    <s v="Elite Binders 827"/>
    <x v="1"/>
    <s v="Invalid"/>
    <s v="invalid date"/>
    <n v="0.25"/>
    <x v="251"/>
    <x v="251"/>
    <x v="251"/>
    <x v="114"/>
    <s v="invalid date"/>
    <x v="7"/>
    <x v="2"/>
    <s v="Invalid"/>
    <s v="invalid date"/>
    <x v="0"/>
  </r>
  <r>
    <n v="660.27"/>
    <x v="3"/>
    <x v="1"/>
    <m/>
    <x v="261"/>
    <s v="invalid date"/>
    <s v="invalid date"/>
    <s v="CUST-7623"/>
    <s v="Sneha Kapoor"/>
    <x v="2"/>
    <x v="0"/>
    <s v="Rajasthan"/>
    <s v="Jaipur"/>
    <x v="0"/>
    <x v="7"/>
    <s v="Prime Labels 326"/>
    <x v="3"/>
    <s v="Invalid"/>
    <s v="invalid date"/>
    <n v="0.2"/>
    <x v="252"/>
    <x v="252"/>
    <x v="252"/>
    <x v="1"/>
    <s v="invalid date"/>
    <x v="1"/>
    <x v="1"/>
    <s v="Invalid"/>
    <s v="invalid date"/>
    <x v="0"/>
  </r>
  <r>
    <n v="4818.09"/>
    <x v="2"/>
    <x v="2"/>
    <m/>
    <x v="262"/>
    <s v="26-05-25"/>
    <s v="01-06-25"/>
    <s v="CUST-6153"/>
    <s v="Arjun Bose"/>
    <x v="1"/>
    <x v="0"/>
    <s v="Delhi"/>
    <s v="New Delhi"/>
    <x v="2"/>
    <x v="11"/>
    <s v="Eco Phones 245"/>
    <x v="1"/>
    <s v="  "/>
    <n v="6"/>
    <n v="0"/>
    <x v="253"/>
    <x v="253"/>
    <x v="253"/>
    <x v="185"/>
    <s v="01-06-25"/>
    <x v="4"/>
    <x v="2"/>
    <s v="anomaly"/>
    <n v="6"/>
    <x v="0"/>
  </r>
  <r>
    <n v="10291.790000000001"/>
    <x v="2"/>
    <x v="2"/>
    <m/>
    <x v="263"/>
    <s v="06-08-25"/>
    <s v="10-08-25"/>
    <s v="CUST-8265"/>
    <s v="Rohan Mehta"/>
    <x v="1"/>
    <x v="0"/>
    <s v="Delhi"/>
    <s v="New Delhi"/>
    <x v="0"/>
    <x v="9"/>
    <s v="Smart Binders 905"/>
    <x v="0"/>
    <s v="anomaly"/>
    <n v="4"/>
    <n v="0.1"/>
    <x v="254"/>
    <x v="254"/>
    <x v="254"/>
    <x v="186"/>
    <s v="10-08-25"/>
    <x v="2"/>
    <x v="2"/>
    <s v=" "/>
    <n v="4"/>
    <x v="0"/>
  </r>
  <r>
    <n v="2084.64"/>
    <x v="0"/>
    <x v="0"/>
    <m/>
    <x v="264"/>
    <s v="16-05-24"/>
    <s v="invalid date"/>
    <s v="CUST-4750"/>
    <s v="Diya Patel"/>
    <x v="1"/>
    <x v="1"/>
    <s v="Bihar"/>
    <s v="Patna"/>
    <x v="2"/>
    <x v="6"/>
    <s v="Pro Copiers 599"/>
    <x v="3"/>
    <s v="Invalid"/>
    <s v="invalid date"/>
    <n v="0"/>
    <x v="255"/>
    <x v="255"/>
    <x v="255"/>
    <x v="187"/>
    <s v="invalid date"/>
    <x v="4"/>
    <x v="0"/>
    <s v="Invalid"/>
    <s v="invalid date"/>
    <x v="0"/>
  </r>
  <r>
    <n v="209.88"/>
    <x v="1"/>
    <x v="1"/>
    <m/>
    <x v="265"/>
    <s v="14-11-24"/>
    <s v="invalid date"/>
    <s v="CUST-3974"/>
    <s v="Priya Menon"/>
    <x v="2"/>
    <x v="1"/>
    <s v="Bihar"/>
    <s v="Patna"/>
    <x v="1"/>
    <x v="10"/>
    <s v="Basic Bookcases 570"/>
    <x v="1"/>
    <s v="Invalid"/>
    <s v="invalid date"/>
    <n v="0.15"/>
    <x v="256"/>
    <x v="256"/>
    <x v="256"/>
    <x v="188"/>
    <s v="invalid date"/>
    <x v="3"/>
    <x v="0"/>
    <s v="Invalid"/>
    <s v="invalid date"/>
    <x v="0"/>
  </r>
  <r>
    <n v="2847.15"/>
    <x v="0"/>
    <x v="0"/>
    <m/>
    <x v="266"/>
    <s v="03-05-25"/>
    <s v="10-05-25"/>
    <s v="CUST-7114"/>
    <s v="Neha Gupta"/>
    <x v="3"/>
    <x v="3"/>
    <s v="Maharashtra"/>
    <s v="Mumbai"/>
    <x v="0"/>
    <x v="8"/>
    <s v="Classic Storage 926"/>
    <x v="0"/>
    <s v="anomaly"/>
    <n v="7"/>
    <n v="0"/>
    <x v="257"/>
    <x v="257"/>
    <x v="257"/>
    <x v="189"/>
    <s v="10-05-25"/>
    <x v="4"/>
    <x v="2"/>
    <s v=" "/>
    <n v="7"/>
    <x v="0"/>
  </r>
  <r>
    <n v="228.18"/>
    <x v="0"/>
    <x v="0"/>
    <m/>
    <x v="267"/>
    <s v="28-05-25"/>
    <s v="04-06-25"/>
    <s v="CUST-4431"/>
    <s v="Diya Patel"/>
    <x v="2"/>
    <x v="1"/>
    <s v="Jharkhand"/>
    <s v="Ranchi"/>
    <x v="1"/>
    <x v="3"/>
    <s v="Basic Furnishings 372"/>
    <x v="2"/>
    <s v="  "/>
    <n v="7"/>
    <n v="0.25"/>
    <x v="258"/>
    <x v="258"/>
    <x v="258"/>
    <x v="190"/>
    <s v="04-06-25"/>
    <x v="4"/>
    <x v="2"/>
    <s v="anomaly"/>
    <n v="7"/>
    <x v="0"/>
  </r>
  <r>
    <n v="1194.45"/>
    <x v="0"/>
    <x v="0"/>
    <m/>
    <x v="268"/>
    <s v="invalid date"/>
    <s v="invalid date"/>
    <s v="CUST-1488"/>
    <s v="Aarav Sharma"/>
    <x v="3"/>
    <x v="0"/>
    <s v="Punjab"/>
    <s v="Ludhiana"/>
    <x v="2"/>
    <x v="5"/>
    <s v="Prime Accessories 367"/>
    <x v="2"/>
    <s v="Invalid"/>
    <s v="invalid date"/>
    <n v="0.25"/>
    <x v="259"/>
    <x v="259"/>
    <x v="259"/>
    <x v="1"/>
    <s v="invalid date"/>
    <x v="1"/>
    <x v="1"/>
    <s v="Invalid"/>
    <s v="invalid date"/>
    <x v="0"/>
  </r>
  <r>
    <n v="603.97"/>
    <x v="0"/>
    <x v="0"/>
    <m/>
    <x v="269"/>
    <s v="02-10-25"/>
    <s v="02-12-25"/>
    <s v="CUST-1586"/>
    <s v="Rahul Verma"/>
    <x v="1"/>
    <x v="3"/>
    <s v="Rajasthan"/>
    <s v="Udaipur"/>
    <x v="1"/>
    <x v="1"/>
    <s v="Max Tables 526"/>
    <x v="1"/>
    <s v="anomaly"/>
    <n v="61"/>
    <n v="0"/>
    <x v="260"/>
    <x v="260"/>
    <x v="260"/>
    <x v="191"/>
    <s v="02-12-25"/>
    <x v="5"/>
    <x v="2"/>
    <s v=" "/>
    <n v="61"/>
    <x v="0"/>
  </r>
  <r>
    <n v="962.11"/>
    <x v="0"/>
    <x v="0"/>
    <m/>
    <x v="270"/>
    <s v="01-12-24"/>
    <s v="13-01-24"/>
    <s v="CUST-2487"/>
    <s v="Aditi Sen"/>
    <x v="2"/>
    <x v="0"/>
    <s v="Uttar Pradesh"/>
    <s v="Noida"/>
    <x v="2"/>
    <x v="12"/>
    <s v="Prime Machines 794"/>
    <x v="1"/>
    <s v="anomaly"/>
    <n v="-323"/>
    <n v="0"/>
    <x v="261"/>
    <x v="261"/>
    <x v="261"/>
    <x v="169"/>
    <s v="13-01-24"/>
    <x v="8"/>
    <x v="0"/>
    <s v=" "/>
    <n v="-323"/>
    <x v="0"/>
  </r>
  <r>
    <n v="2053.06"/>
    <x v="3"/>
    <x v="1"/>
    <m/>
    <x v="271"/>
    <s v="21-12-24"/>
    <s v="25-12-24"/>
    <s v="CUST-8009"/>
    <s v="Aditi Sen"/>
    <x v="0"/>
    <x v="2"/>
    <s v="Telangana"/>
    <s v="Hyderabad"/>
    <x v="0"/>
    <x v="9"/>
    <s v="Max Binders 927"/>
    <x v="3"/>
    <s v="anomaly"/>
    <n v="4"/>
    <n v="0"/>
    <x v="262"/>
    <x v="262"/>
    <x v="262"/>
    <x v="192"/>
    <s v="25-12-24"/>
    <x v="8"/>
    <x v="0"/>
    <s v=" "/>
    <n v="4"/>
    <x v="0"/>
  </r>
  <r>
    <n v="1213.48"/>
    <x v="0"/>
    <x v="0"/>
    <m/>
    <x v="272"/>
    <s v="invalid date"/>
    <s v="24-08-24"/>
    <s v="CUST-7389"/>
    <s v="Arjun Bose"/>
    <x v="0"/>
    <x v="2"/>
    <s v="Andhra Pradesh"/>
    <s v="Vijayawada"/>
    <x v="1"/>
    <x v="4"/>
    <s v="Eco Chairs 314"/>
    <x v="2"/>
    <s v="Invalid"/>
    <s v="invalid date"/>
    <n v="0.1"/>
    <x v="263"/>
    <x v="263"/>
    <x v="263"/>
    <x v="1"/>
    <s v="24-08-24"/>
    <x v="1"/>
    <x v="1"/>
    <s v="Invalid"/>
    <s v="invalid date"/>
    <x v="0"/>
  </r>
  <r>
    <n v="7289.31"/>
    <x v="0"/>
    <x v="2"/>
    <m/>
    <x v="273"/>
    <s v="invalid date"/>
    <s v="13-02-25"/>
    <s v="CUST-8249"/>
    <s v="Isha Nair"/>
    <x v="0"/>
    <x v="1"/>
    <s v="Bihar"/>
    <s v="Patna"/>
    <x v="0"/>
    <x v="0"/>
    <s v="Basic Paper 657"/>
    <x v="0"/>
    <s v="Invalid"/>
    <s v="invalid date"/>
    <n v="0"/>
    <x v="264"/>
    <x v="264"/>
    <x v="264"/>
    <x v="1"/>
    <s v="13-02-25"/>
    <x v="1"/>
    <x v="1"/>
    <s v="Invalid"/>
    <s v="invalid date"/>
    <x v="0"/>
  </r>
  <r>
    <n v="6167.53"/>
    <x v="3"/>
    <x v="2"/>
    <m/>
    <x v="274"/>
    <s v="07-04-24"/>
    <s v="14-04-24"/>
    <s v="CUST-4202"/>
    <s v="Rohan Mehta"/>
    <x v="0"/>
    <x v="2"/>
    <s v="Kerala"/>
    <s v="Kochi"/>
    <x v="2"/>
    <x v="6"/>
    <s v="Pro Copiers 406"/>
    <x v="3"/>
    <s v="anomaly"/>
    <n v="7"/>
    <n v="0.15"/>
    <x v="265"/>
    <x v="265"/>
    <x v="265"/>
    <x v="193"/>
    <s v="14-04-24"/>
    <x v="12"/>
    <x v="0"/>
    <s v=" "/>
    <n v="7"/>
    <x v="0"/>
  </r>
  <r>
    <n v="319.58999999999997"/>
    <x v="0"/>
    <x v="0"/>
    <m/>
    <x v="275"/>
    <s v="15-02-24"/>
    <s v="invalid date"/>
    <s v="CUST-2875"/>
    <s v="Priya Menon"/>
    <x v="1"/>
    <x v="1"/>
    <s v="West Bengal"/>
    <s v="Kolkata"/>
    <x v="1"/>
    <x v="3"/>
    <s v="Eco Furnishings 678"/>
    <x v="1"/>
    <s v="Invalid"/>
    <s v="invalid date"/>
    <n v="0"/>
    <x v="266"/>
    <x v="266"/>
    <x v="266"/>
    <x v="94"/>
    <s v="invalid date"/>
    <x v="6"/>
    <x v="0"/>
    <s v="Invalid"/>
    <s v="invalid date"/>
    <x v="0"/>
  </r>
  <r>
    <n v="6848.36"/>
    <x v="0"/>
    <x v="0"/>
    <m/>
    <x v="276"/>
    <s v="22-01-24"/>
    <s v="23-01-24"/>
    <s v="CUST-7039"/>
    <s v="Aarav Sharma"/>
    <x v="1"/>
    <x v="4"/>
    <s v="Assam"/>
    <s v="Guwahati"/>
    <x v="1"/>
    <x v="4"/>
    <s v="Basic Chairs 141"/>
    <x v="0"/>
    <s v="anomaly"/>
    <n v="1"/>
    <s v="invalid"/>
    <x v="2"/>
    <x v="2"/>
    <x v="2"/>
    <x v="144"/>
    <s v="23-01-24"/>
    <x v="9"/>
    <x v="0"/>
    <s v=" "/>
    <n v="1"/>
    <x v="0"/>
  </r>
  <r>
    <n v="811.1"/>
    <x v="2"/>
    <x v="1"/>
    <m/>
    <x v="277"/>
    <s v="04-06-25"/>
    <s v="04-06-25"/>
    <s v="CUST-2819"/>
    <s v="Isha Nair"/>
    <x v="2"/>
    <x v="0"/>
    <s v="Haryana"/>
    <s v="Gurugram"/>
    <x v="2"/>
    <x v="5"/>
    <s v="Elite Accessories 291"/>
    <x v="0"/>
    <s v="  "/>
    <n v="0"/>
    <n v="0.15"/>
    <x v="267"/>
    <x v="267"/>
    <x v="267"/>
    <x v="166"/>
    <s v="04-06-25"/>
    <x v="11"/>
    <x v="2"/>
    <s v=" "/>
    <n v="0"/>
    <x v="0"/>
  </r>
  <r>
    <n v="1632.35"/>
    <x v="0"/>
    <x v="2"/>
    <m/>
    <x v="278"/>
    <s v="07-03-25"/>
    <s v="14-03-25"/>
    <s v="CUST-8242"/>
    <s v="Priya Menon"/>
    <x v="1"/>
    <x v="0"/>
    <s v="Delhi"/>
    <s v="New Delhi"/>
    <x v="2"/>
    <x v="5"/>
    <s v="Pro Accessories 207"/>
    <x v="1"/>
    <s v="anomaly"/>
    <n v="7"/>
    <n v="0.05"/>
    <x v="268"/>
    <x v="268"/>
    <x v="268"/>
    <x v="194"/>
    <s v="14-03-25"/>
    <x v="10"/>
    <x v="2"/>
    <s v=" "/>
    <n v="7"/>
    <x v="0"/>
  </r>
  <r>
    <n v="1386.99"/>
    <x v="0"/>
    <x v="0"/>
    <m/>
    <x v="279"/>
    <s v="04-09-24"/>
    <s v="10-04-24"/>
    <s v="CUST-4571"/>
    <s v="Rohan Mehta"/>
    <x v="1"/>
    <x v="3"/>
    <s v="Maharashtra"/>
    <s v="Mumbai"/>
    <x v="0"/>
    <x v="8"/>
    <s v="Max Storage 564"/>
    <x v="2"/>
    <s v="anomaly"/>
    <n v="-147"/>
    <n v="0.05"/>
    <x v="269"/>
    <x v="269"/>
    <x v="269"/>
    <x v="195"/>
    <s v="10-04-24"/>
    <x v="7"/>
    <x v="0"/>
    <s v=" "/>
    <n v="-147"/>
    <x v="0"/>
  </r>
  <r>
    <n v="3777.65"/>
    <x v="0"/>
    <x v="0"/>
    <m/>
    <x v="280"/>
    <s v="invalid date"/>
    <s v="26-12-24"/>
    <s v="CUST-4098"/>
    <s v="Aditi Sen"/>
    <x v="0"/>
    <x v="2"/>
    <s v="Karnataka"/>
    <s v="Bengaluru"/>
    <x v="2"/>
    <x v="6"/>
    <s v="Prime Copiers 961"/>
    <x v="3"/>
    <s v="Invalid"/>
    <s v="invalid date"/>
    <n v="0"/>
    <x v="270"/>
    <x v="270"/>
    <x v="270"/>
    <x v="1"/>
    <s v="26-12-24"/>
    <x v="1"/>
    <x v="1"/>
    <s v="Invalid"/>
    <s v="invalid date"/>
    <x v="0"/>
  </r>
  <r>
    <n v="5241.51"/>
    <x v="0"/>
    <x v="0"/>
    <m/>
    <x v="281"/>
    <s v="25-07-25"/>
    <s v="invalid date"/>
    <s v="CUST-2052"/>
    <s v="Kabir Singh"/>
    <x v="0"/>
    <x v="1"/>
    <s v="Jharkhand"/>
    <s v="Ranchi"/>
    <x v="0"/>
    <x v="9"/>
    <s v="Basic Binders 637"/>
    <x v="0"/>
    <s v="Invalid"/>
    <s v="invalid date"/>
    <n v="0.2"/>
    <x v="271"/>
    <x v="271"/>
    <x v="271"/>
    <x v="196"/>
    <s v="invalid date"/>
    <x v="0"/>
    <x v="2"/>
    <s v="Invalid"/>
    <s v="invalid date"/>
    <x v="0"/>
  </r>
  <r>
    <n v="1375.67"/>
    <x v="0"/>
    <x v="0"/>
    <m/>
    <x v="282"/>
    <s v="01-10-24"/>
    <s v="10-02-24"/>
    <s v="CUST-9445"/>
    <s v="Karan Malhotra"/>
    <x v="3"/>
    <x v="1"/>
    <s v="Assam"/>
    <s v="Guwahati"/>
    <x v="1"/>
    <x v="1"/>
    <s v="Classic Tables 811"/>
    <x v="0"/>
    <s v="anomaly"/>
    <n v="-234"/>
    <n v="0"/>
    <x v="272"/>
    <x v="272"/>
    <x v="272"/>
    <x v="70"/>
    <s v="10-02-24"/>
    <x v="5"/>
    <x v="0"/>
    <s v=" "/>
    <n v="-234"/>
    <x v="0"/>
  </r>
  <r>
    <n v="780.54"/>
    <x v="0"/>
    <x v="0"/>
    <m/>
    <x v="283"/>
    <s v="invalid date"/>
    <s v="20-03-25"/>
    <s v="CUST-6568"/>
    <s v="Vikram Iyer"/>
    <x v="0"/>
    <x v="3"/>
    <s v="Maharashtra"/>
    <s v="Mumbai"/>
    <x v="1"/>
    <x v="3"/>
    <s v="Classic Furnishings 819"/>
    <x v="2"/>
    <s v="Invalid"/>
    <s v="invalid date"/>
    <n v="0"/>
    <x v="273"/>
    <x v="273"/>
    <x v="273"/>
    <x v="1"/>
    <s v="20-03-25"/>
    <x v="1"/>
    <x v="1"/>
    <s v="Invalid"/>
    <s v="invalid date"/>
    <x v="0"/>
  </r>
  <r>
    <n v="1591.03"/>
    <x v="0"/>
    <x v="2"/>
    <m/>
    <x v="284"/>
    <s v="12-08-24"/>
    <s v="invalid date"/>
    <s v="CUST-2076"/>
    <s v="Karan Malhotra"/>
    <x v="0"/>
    <x v="1"/>
    <s v="Odisha"/>
    <s v="Bhubaneswar"/>
    <x v="1"/>
    <x v="1"/>
    <s v="Prime Tables 542"/>
    <x v="1"/>
    <s v="Invalid"/>
    <s v="invalid date"/>
    <n v="0"/>
    <x v="274"/>
    <x v="274"/>
    <x v="274"/>
    <x v="41"/>
    <s v="invalid date"/>
    <x v="2"/>
    <x v="0"/>
    <s v="Invalid"/>
    <s v="invalid date"/>
    <x v="0"/>
  </r>
  <r>
    <n v="5915.09"/>
    <x v="0"/>
    <x v="0"/>
    <m/>
    <x v="285"/>
    <s v="15-08-25"/>
    <s v="20-08-25"/>
    <s v="CUST-5610"/>
    <s v="Neha Gupta"/>
    <x v="3"/>
    <x v="0"/>
    <s v="Rajasthan"/>
    <s v="Jaipur"/>
    <x v="0"/>
    <x v="8"/>
    <s v="Basic Storage 771"/>
    <x v="3"/>
    <s v="anomaly"/>
    <n v="5"/>
    <n v="0"/>
    <x v="275"/>
    <x v="275"/>
    <x v="275"/>
    <x v="197"/>
    <s v="20-08-25"/>
    <x v="2"/>
    <x v="2"/>
    <s v=" "/>
    <n v="5"/>
    <x v="0"/>
  </r>
  <r>
    <n v="1931.36"/>
    <x v="2"/>
    <x v="2"/>
    <m/>
    <x v="286"/>
    <s v="28-02-24"/>
    <s v="03-02-24"/>
    <s v="CUST-5823"/>
    <s v="Priya Menon"/>
    <x v="1"/>
    <x v="0"/>
    <s v="Delhi"/>
    <s v="New Delhi"/>
    <x v="1"/>
    <x v="3"/>
    <s v="Pro Furnishings 848"/>
    <x v="2"/>
    <s v="  "/>
    <n v="-25"/>
    <n v="0.1"/>
    <x v="276"/>
    <x v="276"/>
    <x v="276"/>
    <x v="198"/>
    <s v="03-02-24"/>
    <x v="6"/>
    <x v="0"/>
    <s v="anomaly"/>
    <n v="-25"/>
    <x v="0"/>
  </r>
  <r>
    <n v="2005.39"/>
    <x v="0"/>
    <x v="1"/>
    <m/>
    <x v="287"/>
    <s v="09-05-24"/>
    <s v="07-09-24"/>
    <s v="CUST-7095"/>
    <s v="Neha Gupta"/>
    <x v="1"/>
    <x v="2"/>
    <s v="Tamil Nadu"/>
    <s v="Chennai"/>
    <x v="2"/>
    <x v="6"/>
    <s v="Prime Copiers 924"/>
    <x v="3"/>
    <s v="  "/>
    <n v="121"/>
    <n v="0.15"/>
    <x v="277"/>
    <x v="277"/>
    <x v="277"/>
    <x v="199"/>
    <s v="07-09-24"/>
    <x v="4"/>
    <x v="0"/>
    <s v="anomaly"/>
    <n v="121"/>
    <x v="0"/>
  </r>
  <r>
    <n v="2507.1999999999998"/>
    <x v="0"/>
    <x v="0"/>
    <m/>
    <x v="288"/>
    <s v="24-06-24"/>
    <s v="24-06-24"/>
    <s v="CUST-4805"/>
    <s v="Rohan Mehta"/>
    <x v="1"/>
    <x v="1"/>
    <s v="Bihar"/>
    <s v="Patna"/>
    <x v="0"/>
    <x v="9"/>
    <s v="Classic Binders 721"/>
    <x v="1"/>
    <s v="  "/>
    <n v="0"/>
    <n v="0.15"/>
    <x v="278"/>
    <x v="278"/>
    <x v="278"/>
    <x v="200"/>
    <s v="24-06-24"/>
    <x v="11"/>
    <x v="0"/>
    <s v=" "/>
    <n v="0"/>
    <x v="0"/>
  </r>
  <r>
    <n v="1239.74"/>
    <x v="0"/>
    <x v="0"/>
    <m/>
    <x v="289"/>
    <s v="19-06-25"/>
    <s v="invalid date"/>
    <s v="CUST-9114"/>
    <s v="Karan Malhotra"/>
    <x v="3"/>
    <x v="2"/>
    <s v="Tamil Nadu"/>
    <s v="Chennai"/>
    <x v="1"/>
    <x v="10"/>
    <s v="Basic Bookcases 823"/>
    <x v="2"/>
    <s v="Invalid"/>
    <s v="invalid date"/>
    <n v="0.05"/>
    <x v="279"/>
    <x v="279"/>
    <x v="279"/>
    <x v="201"/>
    <s v="invalid date"/>
    <x v="11"/>
    <x v="2"/>
    <s v="Invalid"/>
    <s v="invalid date"/>
    <x v="0"/>
  </r>
  <r>
    <n v="687.25"/>
    <x v="0"/>
    <x v="0"/>
    <m/>
    <x v="290"/>
    <s v="22-08-25"/>
    <s v="26-08-25"/>
    <s v="CUST-8557"/>
    <s v="Diya Patel"/>
    <x v="3"/>
    <x v="1"/>
    <s v="Jharkhand"/>
    <s v="Ranchi"/>
    <x v="1"/>
    <x v="1"/>
    <s v="Classic Tables 178"/>
    <x v="3"/>
    <s v="anomaly"/>
    <n v="4"/>
    <n v="0.1"/>
    <x v="280"/>
    <x v="280"/>
    <x v="280"/>
    <x v="61"/>
    <s v="26-08-25"/>
    <x v="2"/>
    <x v="2"/>
    <s v=" "/>
    <n v="4"/>
    <x v="0"/>
  </r>
  <r>
    <n v="1955.94"/>
    <x v="0"/>
    <x v="0"/>
    <m/>
    <x v="291"/>
    <s v="04-05-24"/>
    <s v="10-04-24"/>
    <s v="CUST-2860"/>
    <s v="Priya Menon"/>
    <x v="3"/>
    <x v="0"/>
    <s v="Rajasthan"/>
    <s v="Jaipur"/>
    <x v="0"/>
    <x v="9"/>
    <s v="Eco Binders 153"/>
    <x v="3"/>
    <s v="anomaly"/>
    <n v="-24"/>
    <n v="0.25"/>
    <x v="281"/>
    <x v="281"/>
    <x v="281"/>
    <x v="174"/>
    <s v="10-04-24"/>
    <x v="4"/>
    <x v="0"/>
    <s v=" "/>
    <n v="-24"/>
    <x v="0"/>
  </r>
  <r>
    <n v="9118.66"/>
    <x v="2"/>
    <x v="1"/>
    <m/>
    <x v="292"/>
    <s v="28-02-25"/>
    <s v="03-03-25"/>
    <s v="CUST-7837"/>
    <s v="Kabir Singh"/>
    <x v="3"/>
    <x v="0"/>
    <s v="Haryana"/>
    <s v="Gurugram"/>
    <x v="0"/>
    <x v="2"/>
    <s v="Classic Art 183"/>
    <x v="1"/>
    <s v="  "/>
    <n v="3"/>
    <n v="0"/>
    <x v="282"/>
    <x v="282"/>
    <x v="282"/>
    <x v="202"/>
    <s v="03-03-25"/>
    <x v="6"/>
    <x v="2"/>
    <s v="anomaly"/>
    <n v="3"/>
    <x v="0"/>
  </r>
  <r>
    <n v="1821.83"/>
    <x v="0"/>
    <x v="0"/>
    <m/>
    <x v="293"/>
    <s v="03-07-24"/>
    <s v="11-03-24"/>
    <s v="CUST-7010"/>
    <s v="Arjun Bose"/>
    <x v="3"/>
    <x v="2"/>
    <s v="Telangana"/>
    <s v="Hyderabad"/>
    <x v="2"/>
    <x v="11"/>
    <s v="Pro Phones 455"/>
    <x v="2"/>
    <s v="anomaly"/>
    <n v="-114"/>
    <s v="invalid"/>
    <x v="2"/>
    <x v="2"/>
    <x v="2"/>
    <x v="203"/>
    <s v="11-03-24"/>
    <x v="0"/>
    <x v="0"/>
    <s v=" "/>
    <n v="-114"/>
    <x v="0"/>
  </r>
  <r>
    <n v="6434.56"/>
    <x v="0"/>
    <x v="2"/>
    <m/>
    <x v="294"/>
    <s v="16-07-25"/>
    <s v="invalid date"/>
    <s v="CUST-4755"/>
    <s v="Priya Menon"/>
    <x v="0"/>
    <x v="1"/>
    <s v="Odisha"/>
    <s v="Bhubaneswar"/>
    <x v="2"/>
    <x v="11"/>
    <s v="Basic Phones 326"/>
    <x v="0"/>
    <s v="Invalid"/>
    <s v="invalid date"/>
    <n v="0.25"/>
    <x v="283"/>
    <x v="283"/>
    <x v="283"/>
    <x v="204"/>
    <s v="invalid date"/>
    <x v="0"/>
    <x v="2"/>
    <s v="Invalid"/>
    <s v="invalid date"/>
    <x v="0"/>
  </r>
  <r>
    <n v="3556.8"/>
    <x v="0"/>
    <x v="0"/>
    <m/>
    <x v="295"/>
    <s v="25-06-25"/>
    <s v="28-06-25"/>
    <s v="CUST-6778"/>
    <s v="Aditi Sen"/>
    <x v="1"/>
    <x v="1"/>
    <s v="Assam"/>
    <s v="Guwahati"/>
    <x v="0"/>
    <x v="9"/>
    <s v="Max Binders 587"/>
    <x v="3"/>
    <s v="anomaly"/>
    <n v="3"/>
    <n v="0.1"/>
    <x v="284"/>
    <x v="284"/>
    <x v="284"/>
    <x v="178"/>
    <s v="28-06-25"/>
    <x v="11"/>
    <x v="2"/>
    <s v=" "/>
    <n v="3"/>
    <x v="0"/>
  </r>
  <r>
    <n v="6971.24"/>
    <x v="0"/>
    <x v="0"/>
    <m/>
    <x v="296"/>
    <s v="24-05-25"/>
    <s v="invalid date"/>
    <s v="CUST-7629"/>
    <s v="Aditi Sen"/>
    <x v="3"/>
    <x v="0"/>
    <s v="Haryana"/>
    <s v="Gurugram"/>
    <x v="1"/>
    <x v="3"/>
    <s v="Basic Furnishings 617"/>
    <x v="1"/>
    <s v="Invalid"/>
    <s v="invalid date"/>
    <n v="0.15"/>
    <x v="285"/>
    <x v="285"/>
    <x v="285"/>
    <x v="205"/>
    <s v="invalid date"/>
    <x v="4"/>
    <x v="2"/>
    <s v="Invalid"/>
    <s v="invalid date"/>
    <x v="0"/>
  </r>
  <r>
    <n v="1971.87"/>
    <x v="0"/>
    <x v="0"/>
    <m/>
    <x v="297"/>
    <s v="29-10-24"/>
    <s v="06-11-24"/>
    <s v="CUST-6724"/>
    <s v="Sneha Kapoor"/>
    <x v="2"/>
    <x v="2"/>
    <s v="Tamil Nadu"/>
    <s v="Chennai"/>
    <x v="2"/>
    <x v="6"/>
    <s v="Prime Copiers 669"/>
    <x v="1"/>
    <s v="  "/>
    <n v="8"/>
    <n v="0.15"/>
    <x v="286"/>
    <x v="286"/>
    <x v="286"/>
    <x v="87"/>
    <s v="06-11-24"/>
    <x v="5"/>
    <x v="0"/>
    <s v="anomaly"/>
    <n v="8"/>
    <x v="0"/>
  </r>
  <r>
    <n v="341.59"/>
    <x v="3"/>
    <x v="2"/>
    <m/>
    <x v="298"/>
    <s v="23-01-25"/>
    <s v="26-01-25"/>
    <s v="CUST-2141"/>
    <s v="Isha Nair"/>
    <x v="0"/>
    <x v="2"/>
    <s v="Kerala"/>
    <s v="Kochi"/>
    <x v="2"/>
    <x v="6"/>
    <s v="Eco Copiers 894"/>
    <x v="2"/>
    <s v="anomaly"/>
    <n v="3"/>
    <n v="0.2"/>
    <x v="287"/>
    <x v="287"/>
    <x v="287"/>
    <x v="75"/>
    <s v="26-01-25"/>
    <x v="9"/>
    <x v="2"/>
    <s v=" "/>
    <n v="3"/>
    <x v="0"/>
  </r>
  <r>
    <n v="3774.71"/>
    <x v="0"/>
    <x v="0"/>
    <m/>
    <x v="299"/>
    <s v="06-11-24"/>
    <s v="12-11-24"/>
    <s v="CUST-7264"/>
    <s v="Rahul Verma"/>
    <x v="1"/>
    <x v="3"/>
    <s v="Gujarat"/>
    <s v="Ahmedabad"/>
    <x v="2"/>
    <x v="5"/>
    <s v="Max Accessories 145"/>
    <x v="3"/>
    <s v="anomaly"/>
    <n v="6"/>
    <n v="0.1"/>
    <x v="288"/>
    <x v="288"/>
    <x v="288"/>
    <x v="206"/>
    <s v="12-11-24"/>
    <x v="3"/>
    <x v="0"/>
    <s v=" "/>
    <n v="6"/>
    <x v="0"/>
  </r>
  <r>
    <n v="9439.15"/>
    <x v="0"/>
    <x v="0"/>
    <m/>
    <x v="300"/>
    <s v="15-04-24"/>
    <s v="invalid date"/>
    <s v="CUST-2668"/>
    <s v="Diya Patel"/>
    <x v="1"/>
    <x v="0"/>
    <s v="Punjab"/>
    <s v="Ludhiana"/>
    <x v="2"/>
    <x v="5"/>
    <s v="Classic Accessories 126"/>
    <x v="0"/>
    <s v="Invalid"/>
    <s v="invalid date"/>
    <n v="0.1"/>
    <x v="289"/>
    <x v="289"/>
    <x v="289"/>
    <x v="207"/>
    <s v="invalid date"/>
    <x v="12"/>
    <x v="0"/>
    <s v="Invalid"/>
    <s v="invalid date"/>
    <x v="0"/>
  </r>
  <r>
    <n v="2580.2399999999998"/>
    <x v="0"/>
    <x v="0"/>
    <m/>
    <x v="301"/>
    <s v="28-05-25"/>
    <s v="01-06-25"/>
    <s v="CUST-5599"/>
    <s v="Isha Nair"/>
    <x v="3"/>
    <x v="1"/>
    <s v="Bihar"/>
    <s v="Patna"/>
    <x v="2"/>
    <x v="11"/>
    <s v="Elite Phones 202"/>
    <x v="1"/>
    <s v="  "/>
    <n v="4"/>
    <n v="0.05"/>
    <x v="290"/>
    <x v="290"/>
    <x v="290"/>
    <x v="190"/>
    <s v="01-06-25"/>
    <x v="4"/>
    <x v="2"/>
    <s v="anomaly"/>
    <n v="4"/>
    <x v="0"/>
  </r>
  <r>
    <n v="1630.09"/>
    <x v="0"/>
    <x v="0"/>
    <m/>
    <x v="302"/>
    <s v="04-06-25"/>
    <s v="12-06-25"/>
    <s v="CUST-1623"/>
    <s v="Neha Gupta"/>
    <x v="0"/>
    <x v="3"/>
    <s v="Goa"/>
    <s v="Panaji"/>
    <x v="0"/>
    <x v="8"/>
    <s v="Elite Storage 535"/>
    <x v="1"/>
    <s v="anomaly"/>
    <n v="8"/>
    <n v="0.25"/>
    <x v="291"/>
    <x v="291"/>
    <x v="291"/>
    <x v="166"/>
    <s v="12-06-25"/>
    <x v="11"/>
    <x v="2"/>
    <s v=" "/>
    <n v="8"/>
    <x v="0"/>
  </r>
  <r>
    <n v="487.55"/>
    <x v="2"/>
    <x v="2"/>
    <m/>
    <x v="303"/>
    <s v="23-06-24"/>
    <s v="28-06-24"/>
    <s v="CUST-9035"/>
    <s v="Diya Patel"/>
    <x v="3"/>
    <x v="3"/>
    <s v="Gujarat"/>
    <s v="Ahmedabad"/>
    <x v="1"/>
    <x v="4"/>
    <s v="Elite Chairs 107"/>
    <x v="3"/>
    <s v="anomaly"/>
    <n v="5"/>
    <n v="0.1"/>
    <x v="292"/>
    <x v="292"/>
    <x v="292"/>
    <x v="141"/>
    <s v="28-06-24"/>
    <x v="11"/>
    <x v="0"/>
    <s v=" "/>
    <n v="5"/>
    <x v="0"/>
  </r>
  <r>
    <n v="2956.49"/>
    <x v="0"/>
    <x v="0"/>
    <m/>
    <x v="304"/>
    <s v="03-06-24"/>
    <s v="13-03-24"/>
    <s v="CUST-6286"/>
    <s v="Karan Malhotra"/>
    <x v="0"/>
    <x v="0"/>
    <s v="Punjab"/>
    <s v="Ludhiana"/>
    <x v="1"/>
    <x v="3"/>
    <s v="Pro Furnishings 991"/>
    <x v="3"/>
    <s v="anomaly"/>
    <n v="-82"/>
    <n v="0.1"/>
    <x v="293"/>
    <x v="293"/>
    <x v="293"/>
    <x v="208"/>
    <s v="13-03-24"/>
    <x v="11"/>
    <x v="0"/>
    <s v=" "/>
    <n v="-82"/>
    <x v="0"/>
  </r>
  <r>
    <n v="3447.48"/>
    <x v="0"/>
    <x v="1"/>
    <m/>
    <x v="305"/>
    <s v="01-05-24"/>
    <s v="05-02-24"/>
    <s v="CUST-7246"/>
    <s v="Ananya Rao"/>
    <x v="0"/>
    <x v="1"/>
    <s v="Assam"/>
    <s v="Guwahati"/>
    <x v="1"/>
    <x v="4"/>
    <s v="Eco Chairs 105"/>
    <x v="2"/>
    <s v="anomaly"/>
    <n v="-86"/>
    <s v="invalid"/>
    <x v="2"/>
    <x v="2"/>
    <x v="2"/>
    <x v="209"/>
    <s v="05-02-24"/>
    <x v="4"/>
    <x v="0"/>
    <s v=" "/>
    <n v="-86"/>
    <x v="0"/>
  </r>
  <r>
    <n v="4610.25"/>
    <x v="0"/>
    <x v="0"/>
    <m/>
    <x v="306"/>
    <s v="20-02-25"/>
    <s v="23-02-25"/>
    <s v="CUST-2589"/>
    <s v="Aarav Sharma"/>
    <x v="0"/>
    <x v="0"/>
    <s v="Rajasthan"/>
    <s v="Jaipur"/>
    <x v="2"/>
    <x v="11"/>
    <s v="Pro Phones 530"/>
    <x v="0"/>
    <s v="anomaly"/>
    <n v="3"/>
    <n v="0"/>
    <x v="294"/>
    <x v="294"/>
    <x v="294"/>
    <x v="121"/>
    <s v="23-02-25"/>
    <x v="6"/>
    <x v="2"/>
    <s v=" "/>
    <n v="3"/>
    <x v="0"/>
  </r>
  <r>
    <n v="10534.38"/>
    <x v="2"/>
    <x v="1"/>
    <m/>
    <x v="307"/>
    <s v="12-07-25"/>
    <s v="19-07-25"/>
    <s v="CUST-4153"/>
    <s v="Ananya Rao"/>
    <x v="2"/>
    <x v="0"/>
    <s v="Uttar Pradesh"/>
    <s v="Noida"/>
    <x v="1"/>
    <x v="1"/>
    <s v="Basic Tables 911"/>
    <x v="2"/>
    <s v="anomaly"/>
    <n v="7"/>
    <n v="0.2"/>
    <x v="295"/>
    <x v="295"/>
    <x v="295"/>
    <x v="83"/>
    <s v="19-07-25"/>
    <x v="0"/>
    <x v="2"/>
    <s v=" "/>
    <n v="7"/>
    <x v="0"/>
  </r>
  <r>
    <n v="775.53"/>
    <x v="0"/>
    <x v="0"/>
    <m/>
    <x v="308"/>
    <s v="13-06-25"/>
    <s v="19-06-25"/>
    <s v="CUST-6727"/>
    <s v="Rohan Mehta"/>
    <x v="0"/>
    <x v="0"/>
    <s v="Rajasthan"/>
    <s v="Jaipur"/>
    <x v="1"/>
    <x v="1"/>
    <s v="Classic Tables 224"/>
    <x v="2"/>
    <s v="anomaly"/>
    <n v="6"/>
    <n v="0.2"/>
    <x v="296"/>
    <x v="296"/>
    <x v="296"/>
    <x v="210"/>
    <s v="19-06-25"/>
    <x v="11"/>
    <x v="2"/>
    <s v=" "/>
    <n v="6"/>
    <x v="0"/>
  </r>
  <r>
    <n v="5736.24"/>
    <x v="0"/>
    <x v="1"/>
    <m/>
    <x v="309"/>
    <s v="invalid date"/>
    <s v="22-07-24"/>
    <s v="CUST-8860"/>
    <s v="Ananya Rao"/>
    <x v="0"/>
    <x v="2"/>
    <s v="Tamil Nadu"/>
    <s v="Chennai"/>
    <x v="1"/>
    <x v="1"/>
    <s v="Prime Tables 214"/>
    <x v="2"/>
    <s v="Invalid"/>
    <s v="invalid date"/>
    <n v="0.1"/>
    <x v="297"/>
    <x v="297"/>
    <x v="297"/>
    <x v="1"/>
    <s v="22-07-24"/>
    <x v="1"/>
    <x v="1"/>
    <s v="Invalid"/>
    <s v="invalid date"/>
    <x v="0"/>
  </r>
  <r>
    <n v="6849.75"/>
    <x v="0"/>
    <x v="0"/>
    <m/>
    <x v="310"/>
    <s v="04-07-24"/>
    <s v="08-07-24"/>
    <s v="CUST-3784"/>
    <s v="Rohan Mehta"/>
    <x v="1"/>
    <x v="2"/>
    <s v="Tamil Nadu"/>
    <s v="Chennai"/>
    <x v="2"/>
    <x v="12"/>
    <s v="Max Machines 988"/>
    <x v="2"/>
    <s v="anomaly"/>
    <n v="4"/>
    <n v="0"/>
    <x v="298"/>
    <x v="298"/>
    <x v="298"/>
    <x v="211"/>
    <s v="08-07-24"/>
    <x v="0"/>
    <x v="0"/>
    <s v=" "/>
    <n v="4"/>
    <x v="0"/>
  </r>
  <r>
    <n v="729.18"/>
    <x v="0"/>
    <x v="0"/>
    <m/>
    <x v="311"/>
    <s v="27-04-24"/>
    <s v="02-05-24"/>
    <s v="CUST-3545"/>
    <s v="Mira Das"/>
    <x v="2"/>
    <x v="2"/>
    <s v="Karnataka"/>
    <s v="Bengaluru"/>
    <x v="0"/>
    <x v="9"/>
    <s v="Max Binders 425"/>
    <x v="0"/>
    <s v="  "/>
    <n v="5"/>
    <n v="0.1"/>
    <x v="299"/>
    <x v="299"/>
    <x v="299"/>
    <x v="212"/>
    <s v="02-05-24"/>
    <x v="12"/>
    <x v="0"/>
    <s v="anomaly"/>
    <n v="5"/>
    <x v="0"/>
  </r>
  <r>
    <n v="5641.11"/>
    <x v="0"/>
    <x v="1"/>
    <m/>
    <x v="312"/>
    <s v="invalid date"/>
    <s v="04-08-24"/>
    <s v="CUST-4851"/>
    <s v="Karan Malhotra"/>
    <x v="1"/>
    <x v="1"/>
    <s v="Assam"/>
    <s v="Guwahati"/>
    <x v="2"/>
    <x v="11"/>
    <s v="Elite Phones 679"/>
    <x v="3"/>
    <s v="Invalid"/>
    <s v="invalid date"/>
    <n v="0"/>
    <x v="300"/>
    <x v="300"/>
    <x v="300"/>
    <x v="1"/>
    <s v="04-08-24"/>
    <x v="1"/>
    <x v="1"/>
    <s v="Invalid"/>
    <s v="invalid date"/>
    <x v="0"/>
  </r>
  <r>
    <n v="1771.18"/>
    <x v="1"/>
    <x v="1"/>
    <m/>
    <x v="313"/>
    <s v="30-05-25"/>
    <s v="31-05-25"/>
    <s v="CUST-4770"/>
    <s v="Rahul Verma"/>
    <x v="2"/>
    <x v="0"/>
    <s v="Uttar Pradesh"/>
    <s v="Noida"/>
    <x v="2"/>
    <x v="11"/>
    <s v="Pro Phones 764"/>
    <x v="2"/>
    <s v="anomaly"/>
    <n v="1"/>
    <n v="0.25"/>
    <x v="301"/>
    <x v="301"/>
    <x v="301"/>
    <x v="48"/>
    <s v="31-05-25"/>
    <x v="4"/>
    <x v="2"/>
    <s v=" "/>
    <n v="1"/>
    <x v="0"/>
  </r>
  <r>
    <n v="1109.19"/>
    <x v="3"/>
    <x v="2"/>
    <m/>
    <x v="314"/>
    <s v="invalid date"/>
    <s v="20-05-25"/>
    <s v="CUST-1945"/>
    <s v="Isha Nair"/>
    <x v="2"/>
    <x v="3"/>
    <s v="Madhya Pradesh"/>
    <s v="Indore"/>
    <x v="0"/>
    <x v="7"/>
    <s v="Elite Labels 544"/>
    <x v="3"/>
    <s v="Invalid"/>
    <s v="invalid date"/>
    <n v="0.15"/>
    <x v="302"/>
    <x v="302"/>
    <x v="302"/>
    <x v="1"/>
    <s v="20-05-25"/>
    <x v="1"/>
    <x v="1"/>
    <s v="Invalid"/>
    <s v="invalid date"/>
    <x v="0"/>
  </r>
  <r>
    <n v="11511.24"/>
    <x v="2"/>
    <x v="2"/>
    <m/>
    <x v="315"/>
    <s v="02-07-24"/>
    <s v="08-07-24"/>
    <s v="CUST-7565"/>
    <s v="Rohan Mehta"/>
    <x v="0"/>
    <x v="0"/>
    <s v="Delhi"/>
    <s v="New Delhi"/>
    <x v="0"/>
    <x v="0"/>
    <s v="Smart Paper 817"/>
    <x v="3"/>
    <s v="anomaly"/>
    <n v="6"/>
    <n v="0.05"/>
    <x v="303"/>
    <x v="303"/>
    <x v="303"/>
    <x v="213"/>
    <s v="08-07-24"/>
    <x v="0"/>
    <x v="0"/>
    <s v=" "/>
    <n v="6"/>
    <x v="0"/>
  </r>
  <r>
    <n v="1159.42"/>
    <x v="0"/>
    <x v="1"/>
    <m/>
    <x v="316"/>
    <s v="16-02-24"/>
    <s v="invalid date"/>
    <s v="CUST-9913"/>
    <s v="Karan Malhotra"/>
    <x v="2"/>
    <x v="0"/>
    <s v="Punjab"/>
    <s v="Ludhiana"/>
    <x v="0"/>
    <x v="7"/>
    <s v="Classic Labels 466"/>
    <x v="3"/>
    <s v="Invalid"/>
    <s v="invalid date"/>
    <n v="0.2"/>
    <x v="304"/>
    <x v="304"/>
    <x v="304"/>
    <x v="214"/>
    <s v="invalid date"/>
    <x v="6"/>
    <x v="0"/>
    <s v="Invalid"/>
    <s v="invalid date"/>
    <x v="0"/>
  </r>
  <r>
    <n v="8305.23"/>
    <x v="0"/>
    <x v="0"/>
    <m/>
    <x v="317"/>
    <s v="29-08-25"/>
    <s v="04-09-25"/>
    <s v="CUST-7992"/>
    <s v="Neha Gupta"/>
    <x v="2"/>
    <x v="2"/>
    <s v="Kerala"/>
    <s v="Kochi"/>
    <x v="1"/>
    <x v="1"/>
    <s v="Pro Tables 778"/>
    <x v="2"/>
    <s v="  "/>
    <n v="6"/>
    <n v="0.15"/>
    <x v="305"/>
    <x v="305"/>
    <x v="305"/>
    <x v="4"/>
    <s v="04-09-25"/>
    <x v="2"/>
    <x v="2"/>
    <s v="anomaly"/>
    <n v="6"/>
    <x v="0"/>
  </r>
  <r>
    <n v="2750.61"/>
    <x v="0"/>
    <x v="0"/>
    <m/>
    <x v="318"/>
    <s v="25-04-24"/>
    <s v="30-04-24"/>
    <s v="CUST-8877"/>
    <s v="Mira Das"/>
    <x v="1"/>
    <x v="2"/>
    <s v="Karnataka"/>
    <s v="Bengaluru"/>
    <x v="2"/>
    <x v="11"/>
    <s v="Basic Phones 789"/>
    <x v="3"/>
    <s v="anomaly"/>
    <n v="5"/>
    <n v="0.1"/>
    <x v="306"/>
    <x v="306"/>
    <x v="306"/>
    <x v="215"/>
    <s v="30-04-24"/>
    <x v="12"/>
    <x v="0"/>
    <s v=" "/>
    <n v="5"/>
    <x v="0"/>
  </r>
  <r>
    <n v="113.94"/>
    <x v="0"/>
    <x v="0"/>
    <m/>
    <x v="319"/>
    <s v="21-08-24"/>
    <s v="invalid date"/>
    <s v="CUST-4589"/>
    <s v="Diya Patel"/>
    <x v="0"/>
    <x v="3"/>
    <s v="Gujarat"/>
    <s v="Ahmedabad"/>
    <x v="0"/>
    <x v="9"/>
    <s v="Prime Binders 554"/>
    <x v="2"/>
    <s v="Invalid"/>
    <s v="invalid date"/>
    <n v="0"/>
    <x v="307"/>
    <x v="307"/>
    <x v="307"/>
    <x v="216"/>
    <s v="invalid date"/>
    <x v="2"/>
    <x v="0"/>
    <s v="Invalid"/>
    <s v="invalid date"/>
    <x v="0"/>
  </r>
  <r>
    <n v="1086.8800000000001"/>
    <x v="2"/>
    <x v="2"/>
    <m/>
    <x v="320"/>
    <s v="12-04-24"/>
    <s v="12-06-24"/>
    <s v="CUST-4667"/>
    <s v="Aarav Sharma"/>
    <x v="3"/>
    <x v="1"/>
    <s v="West Bengal"/>
    <s v="Kolkata"/>
    <x v="0"/>
    <x v="2"/>
    <s v="Classic Art 299"/>
    <x v="0"/>
    <s v="anomaly"/>
    <n v="61"/>
    <s v="invalid"/>
    <x v="2"/>
    <x v="2"/>
    <x v="2"/>
    <x v="217"/>
    <s v="12-06-24"/>
    <x v="12"/>
    <x v="0"/>
    <s v=" "/>
    <n v="61"/>
    <x v="0"/>
  </r>
  <r>
    <n v="939.52"/>
    <x v="3"/>
    <x v="1"/>
    <m/>
    <x v="321"/>
    <s v="invalid date"/>
    <s v="30-06-24"/>
    <s v="CUST-7821"/>
    <s v="Neha Gupta"/>
    <x v="1"/>
    <x v="3"/>
    <s v="Goa"/>
    <s v="Panaji"/>
    <x v="2"/>
    <x v="5"/>
    <s v="Eco Accessories 220"/>
    <x v="1"/>
    <s v="Invalid"/>
    <s v="invalid date"/>
    <n v="0"/>
    <x v="308"/>
    <x v="308"/>
    <x v="308"/>
    <x v="1"/>
    <s v="30-06-24"/>
    <x v="1"/>
    <x v="1"/>
    <s v="Invalid"/>
    <s v="invalid date"/>
    <x v="0"/>
  </r>
  <r>
    <n v="2960.72"/>
    <x v="0"/>
    <x v="0"/>
    <m/>
    <x v="322"/>
    <s v="12-11-24"/>
    <s v="12-11-24"/>
    <s v="CUST-8579"/>
    <s v="Isha Nair"/>
    <x v="0"/>
    <x v="0"/>
    <s v="Uttar Pradesh"/>
    <s v="Noida"/>
    <x v="2"/>
    <x v="11"/>
    <s v="Max Phones 422"/>
    <x v="0"/>
    <s v="  "/>
    <n v="0"/>
    <n v="0.15"/>
    <x v="309"/>
    <x v="309"/>
    <x v="309"/>
    <x v="34"/>
    <s v="12-11-24"/>
    <x v="3"/>
    <x v="0"/>
    <s v=" "/>
    <n v="0"/>
    <x v="0"/>
  </r>
  <r>
    <n v="3706.36"/>
    <x v="0"/>
    <x v="0"/>
    <m/>
    <x v="323"/>
    <s v="25-02-24"/>
    <s v="29-02-24"/>
    <s v="CUST-6909"/>
    <s v="Isha Nair"/>
    <x v="1"/>
    <x v="3"/>
    <s v="Goa"/>
    <s v="Panaji"/>
    <x v="1"/>
    <x v="3"/>
    <s v="Eco Furnishings 897"/>
    <x v="3"/>
    <s v="anomaly"/>
    <n v="4"/>
    <n v="0.15"/>
    <x v="310"/>
    <x v="310"/>
    <x v="310"/>
    <x v="218"/>
    <s v="29-02-24"/>
    <x v="6"/>
    <x v="0"/>
    <s v=" "/>
    <n v="4"/>
    <x v="0"/>
  </r>
  <r>
    <n v="300.89999999999998"/>
    <x v="0"/>
    <x v="2"/>
    <m/>
    <x v="324"/>
    <s v="31-07-25"/>
    <s v="02-08-25"/>
    <s v="CUST-7212"/>
    <s v="Rohan Mehta"/>
    <x v="3"/>
    <x v="2"/>
    <s v="Andhra Pradesh"/>
    <s v="Vijayawada"/>
    <x v="0"/>
    <x v="7"/>
    <s v="Basic Labels 102"/>
    <x v="1"/>
    <s v="  "/>
    <n v="2"/>
    <n v="0.15"/>
    <x v="311"/>
    <x v="311"/>
    <x v="311"/>
    <x v="219"/>
    <s v="02-08-25"/>
    <x v="0"/>
    <x v="2"/>
    <s v="anomaly"/>
    <n v="2"/>
    <x v="0"/>
  </r>
  <r>
    <n v="3694.08"/>
    <x v="0"/>
    <x v="0"/>
    <m/>
    <x v="325"/>
    <s v="invalid date"/>
    <s v="22-09-25"/>
    <s v="CUST-7980"/>
    <s v="Sneha Kapoor"/>
    <x v="3"/>
    <x v="1"/>
    <s v="West Bengal"/>
    <s v="Kolkata"/>
    <x v="2"/>
    <x v="6"/>
    <s v="Prime Copiers 170"/>
    <x v="0"/>
    <s v="Invalid"/>
    <s v="invalid date"/>
    <n v="0.15"/>
    <x v="312"/>
    <x v="312"/>
    <x v="312"/>
    <x v="1"/>
    <s v="22-09-25"/>
    <x v="1"/>
    <x v="1"/>
    <s v="Invalid"/>
    <s v="invalid date"/>
    <x v="0"/>
  </r>
  <r>
    <n v="3902.77"/>
    <x v="0"/>
    <x v="0"/>
    <m/>
    <x v="326"/>
    <s v="22-07-25"/>
    <s v="invalid date"/>
    <s v="CUST-1966"/>
    <s v="Sneha Kapoor"/>
    <x v="2"/>
    <x v="1"/>
    <s v="Jharkhand"/>
    <s v="Ranchi"/>
    <x v="1"/>
    <x v="3"/>
    <s v="Smart Furnishings 533"/>
    <x v="1"/>
    <s v="Invalid"/>
    <s v="invalid date"/>
    <n v="0.05"/>
    <x v="313"/>
    <x v="313"/>
    <x v="313"/>
    <x v="143"/>
    <s v="invalid date"/>
    <x v="0"/>
    <x v="2"/>
    <s v="Invalid"/>
    <s v="invalid date"/>
    <x v="0"/>
  </r>
  <r>
    <n v="1408.98"/>
    <x v="2"/>
    <x v="1"/>
    <m/>
    <x v="327"/>
    <s v="24-07-24"/>
    <s v="27-07-24"/>
    <s v="CUST-6163"/>
    <s v="Isha Nair"/>
    <x v="0"/>
    <x v="3"/>
    <s v="Rajasthan"/>
    <s v="Udaipur"/>
    <x v="2"/>
    <x v="5"/>
    <s v="Classic Accessories 489"/>
    <x v="0"/>
    <s v="anomaly"/>
    <n v="3"/>
    <n v="0.2"/>
    <x v="314"/>
    <x v="314"/>
    <x v="314"/>
    <x v="220"/>
    <s v="27-07-24"/>
    <x v="0"/>
    <x v="0"/>
    <s v=" "/>
    <n v="3"/>
    <x v="0"/>
  </r>
  <r>
    <n v="2769.78"/>
    <x v="0"/>
    <x v="0"/>
    <m/>
    <x v="328"/>
    <s v="29-05-25"/>
    <s v="04-06-25"/>
    <s v="CUST-7239"/>
    <s v="Diya Patel"/>
    <x v="0"/>
    <x v="3"/>
    <s v="Maharashtra"/>
    <s v="Mumbai"/>
    <x v="0"/>
    <x v="8"/>
    <s v="Smart Storage 439"/>
    <x v="2"/>
    <s v="  "/>
    <n v="6"/>
    <n v="0"/>
    <x v="315"/>
    <x v="315"/>
    <x v="315"/>
    <x v="221"/>
    <s v="04-06-25"/>
    <x v="4"/>
    <x v="2"/>
    <s v="anomaly"/>
    <n v="6"/>
    <x v="0"/>
  </r>
  <r>
    <n v="6751.09"/>
    <x v="0"/>
    <x v="0"/>
    <m/>
    <x v="329"/>
    <s v="12-05-25"/>
    <s v="18-05-25"/>
    <s v="CUST-9718"/>
    <s v="Neha Gupta"/>
    <x v="1"/>
    <x v="3"/>
    <s v="Maharashtra"/>
    <s v="Mumbai"/>
    <x v="0"/>
    <x v="8"/>
    <s v="Prime Storage 232"/>
    <x v="3"/>
    <s v="anomaly"/>
    <n v="6"/>
    <n v="0.05"/>
    <x v="316"/>
    <x v="316"/>
    <x v="316"/>
    <x v="222"/>
    <s v="18-05-25"/>
    <x v="4"/>
    <x v="2"/>
    <s v=" "/>
    <n v="6"/>
    <x v="0"/>
  </r>
  <r>
    <n v="279.2"/>
    <x v="3"/>
    <x v="1"/>
    <m/>
    <x v="330"/>
    <s v="invalid date"/>
    <s v="invalid date"/>
    <s v="CUST-1116"/>
    <s v="Arjun Bose"/>
    <x v="3"/>
    <x v="0"/>
    <s v="Punjab"/>
    <s v="Ludhiana"/>
    <x v="2"/>
    <x v="5"/>
    <s v="Prime Accessories 335"/>
    <x v="1"/>
    <s v="Invalid"/>
    <s v="invalid date"/>
    <n v="0"/>
    <x v="317"/>
    <x v="317"/>
    <x v="317"/>
    <x v="1"/>
    <s v="invalid date"/>
    <x v="1"/>
    <x v="1"/>
    <s v="Invalid"/>
    <s v="invalid date"/>
    <x v="0"/>
  </r>
  <r>
    <n v="4265.2700000000004"/>
    <x v="0"/>
    <x v="2"/>
    <m/>
    <x v="331"/>
    <s v="04-12-24"/>
    <s v="06-12-24"/>
    <s v="CUST-9346"/>
    <s v="Sneha Kapoor"/>
    <x v="3"/>
    <x v="1"/>
    <s v="Odisha"/>
    <s v="Bhubaneswar"/>
    <x v="0"/>
    <x v="9"/>
    <s v="Smart Binders 939"/>
    <x v="0"/>
    <s v="anomaly"/>
    <n v="2"/>
    <n v="0"/>
    <x v="318"/>
    <x v="318"/>
    <x v="318"/>
    <x v="223"/>
    <s v="06-12-24"/>
    <x v="8"/>
    <x v="0"/>
    <s v=" "/>
    <n v="2"/>
    <x v="0"/>
  </r>
  <r>
    <n v="1789.29"/>
    <x v="0"/>
    <x v="0"/>
    <m/>
    <x v="332"/>
    <s v="27-05-25"/>
    <s v="28-05-25"/>
    <s v="CUST-5332"/>
    <s v="Aarav Sharma"/>
    <x v="0"/>
    <x v="2"/>
    <s v="Andhra Pradesh"/>
    <s v="Vijayawada"/>
    <x v="2"/>
    <x v="12"/>
    <s v="Basic Machines 601"/>
    <x v="0"/>
    <s v="anomaly"/>
    <n v="1"/>
    <n v="0"/>
    <x v="319"/>
    <x v="319"/>
    <x v="319"/>
    <x v="224"/>
    <s v="28-05-25"/>
    <x v="4"/>
    <x v="2"/>
    <s v=" "/>
    <n v="1"/>
    <x v="0"/>
  </r>
  <r>
    <n v="1013"/>
    <x v="0"/>
    <x v="0"/>
    <m/>
    <x v="333"/>
    <s v="22-06-25"/>
    <s v="27-06-25"/>
    <s v="CUST-8081"/>
    <s v="Rohan Mehta"/>
    <x v="3"/>
    <x v="4"/>
    <s v="Delhi"/>
    <s v="New Delhi"/>
    <x v="2"/>
    <x v="11"/>
    <s v="Pro Phones 968"/>
    <x v="2"/>
    <s v="anomaly"/>
    <n v="5"/>
    <n v="0"/>
    <x v="320"/>
    <x v="320"/>
    <x v="320"/>
    <x v="225"/>
    <s v="27-06-25"/>
    <x v="11"/>
    <x v="2"/>
    <s v=" "/>
    <n v="5"/>
    <x v="0"/>
  </r>
  <r>
    <n v="3571.46"/>
    <x v="0"/>
    <x v="0"/>
    <m/>
    <x v="334"/>
    <s v="12-09-24"/>
    <s v="17-09-24"/>
    <s v="CUST-3062"/>
    <s v="Ananya Rao"/>
    <x v="0"/>
    <x v="1"/>
    <s v="Jharkhand"/>
    <s v="Ranchi"/>
    <x v="0"/>
    <x v="8"/>
    <s v="Pro Storage 563"/>
    <x v="2"/>
    <s v="anomaly"/>
    <n v="5"/>
    <n v="0.25"/>
    <x v="321"/>
    <x v="321"/>
    <x v="321"/>
    <x v="179"/>
    <s v="17-09-24"/>
    <x v="7"/>
    <x v="0"/>
    <s v=" "/>
    <n v="5"/>
    <x v="0"/>
  </r>
  <r>
    <n v="4751.87"/>
    <x v="0"/>
    <x v="0"/>
    <m/>
    <x v="335"/>
    <s v="invalid date"/>
    <s v="18-06-25"/>
    <s v="CUST-3621"/>
    <s v="Rahul Verma"/>
    <x v="3"/>
    <x v="3"/>
    <s v="Madhya Pradesh"/>
    <s v="Indore"/>
    <x v="0"/>
    <x v="0"/>
    <s v="Prime Paper 559"/>
    <x v="2"/>
    <s v="Invalid"/>
    <s v="invalid date"/>
    <n v="0.1"/>
    <x v="322"/>
    <x v="322"/>
    <x v="322"/>
    <x v="1"/>
    <s v="18-06-25"/>
    <x v="1"/>
    <x v="1"/>
    <s v="Invalid"/>
    <s v="invalid date"/>
    <x v="0"/>
  </r>
  <r>
    <n v="3593.41"/>
    <x v="0"/>
    <x v="0"/>
    <m/>
    <x v="336"/>
    <s v="17-03-24"/>
    <s v="invalid date"/>
    <s v="CUST-2103"/>
    <s v="Aarav Sharma"/>
    <x v="0"/>
    <x v="0"/>
    <s v="Rajasthan"/>
    <s v="Jaipur"/>
    <x v="2"/>
    <x v="6"/>
    <s v="Pro Copiers 999"/>
    <x v="2"/>
    <s v="Invalid"/>
    <s v="invalid date"/>
    <n v="0"/>
    <x v="323"/>
    <x v="323"/>
    <x v="323"/>
    <x v="153"/>
    <s v="invalid date"/>
    <x v="10"/>
    <x v="0"/>
    <s v="Invalid"/>
    <s v="invalid date"/>
    <x v="0"/>
  </r>
  <r>
    <n v="1262.8699999999999"/>
    <x v="0"/>
    <x v="0"/>
    <m/>
    <x v="337"/>
    <s v="12-08-24"/>
    <s v="18-08-24"/>
    <s v="CUST-4599"/>
    <s v="Ananya Rao"/>
    <x v="0"/>
    <x v="1"/>
    <s v="Assam"/>
    <s v="Guwahati"/>
    <x v="0"/>
    <x v="7"/>
    <s v="Classic Labels 206"/>
    <x v="1"/>
    <s v="anomaly"/>
    <n v="6"/>
    <n v="0"/>
    <x v="324"/>
    <x v="324"/>
    <x v="324"/>
    <x v="41"/>
    <s v="18-08-24"/>
    <x v="2"/>
    <x v="0"/>
    <s v=" "/>
    <n v="6"/>
    <x v="0"/>
  </r>
  <r>
    <n v="4591.63"/>
    <x v="0"/>
    <x v="0"/>
    <m/>
    <x v="338"/>
    <s v="08-12-24"/>
    <s v="12-08-24"/>
    <s v="CUST-3066"/>
    <s v="Arjun Bose"/>
    <x v="1"/>
    <x v="2"/>
    <s v="Andhra Pradesh"/>
    <s v="Vijayawada"/>
    <x v="2"/>
    <x v="5"/>
    <s v="Eco Accessories 315"/>
    <x v="2"/>
    <s v="anomaly"/>
    <n v="-118"/>
    <n v="0.25"/>
    <x v="325"/>
    <x v="325"/>
    <x v="325"/>
    <x v="226"/>
    <s v="12-08-24"/>
    <x v="8"/>
    <x v="0"/>
    <s v=" "/>
    <n v="-118"/>
    <x v="0"/>
  </r>
  <r>
    <n v="8387.7199999999993"/>
    <x v="0"/>
    <x v="0"/>
    <m/>
    <x v="339"/>
    <s v="20-02-25"/>
    <s v="22-02-25"/>
    <s v="CUST-2752"/>
    <s v="Neha Gupta"/>
    <x v="2"/>
    <x v="1"/>
    <s v="Jharkhand"/>
    <s v="Ranchi"/>
    <x v="1"/>
    <x v="10"/>
    <s v="Elite Bookcases 988"/>
    <x v="3"/>
    <s v="anomaly"/>
    <n v="2"/>
    <n v="0.2"/>
    <x v="326"/>
    <x v="326"/>
    <x v="326"/>
    <x v="121"/>
    <s v="22-02-25"/>
    <x v="6"/>
    <x v="2"/>
    <s v=" "/>
    <n v="2"/>
    <x v="0"/>
  </r>
  <r>
    <n v="6861.42"/>
    <x v="0"/>
    <x v="0"/>
    <m/>
    <x v="340"/>
    <s v="21-01-24"/>
    <s v="invalid date"/>
    <s v="CUST-6291"/>
    <s v="Neha Gupta"/>
    <x v="0"/>
    <x v="2"/>
    <s v="Karnataka"/>
    <s v="Bengaluru"/>
    <x v="0"/>
    <x v="9"/>
    <s v="Smart Binders 414"/>
    <x v="3"/>
    <s v="Invalid"/>
    <s v="invalid date"/>
    <n v="0.1"/>
    <x v="327"/>
    <x v="327"/>
    <x v="327"/>
    <x v="227"/>
    <s v="invalid date"/>
    <x v="9"/>
    <x v="0"/>
    <s v="Invalid"/>
    <s v="invalid date"/>
    <x v="0"/>
  </r>
  <r>
    <n v="1295.03"/>
    <x v="0"/>
    <x v="0"/>
    <m/>
    <x v="341"/>
    <s v="08-09-25"/>
    <s v="09-09-25"/>
    <s v="CUST-9969"/>
    <s v="Rohan Mehta"/>
    <x v="3"/>
    <x v="3"/>
    <s v="Gujarat"/>
    <s v="Ahmedabad"/>
    <x v="1"/>
    <x v="4"/>
    <s v="Eco Chairs 552"/>
    <x v="0"/>
    <s v="anomaly"/>
    <n v="1"/>
    <n v="0.05"/>
    <x v="328"/>
    <x v="328"/>
    <x v="328"/>
    <x v="228"/>
    <s v="09-09-25"/>
    <x v="7"/>
    <x v="2"/>
    <s v=" "/>
    <n v="1"/>
    <x v="0"/>
  </r>
  <r>
    <n v="3464.46"/>
    <x v="0"/>
    <x v="0"/>
    <m/>
    <x v="342"/>
    <s v="24-07-25"/>
    <s v="01-08-25"/>
    <s v="CUST-3335"/>
    <s v="Kabir Singh"/>
    <x v="1"/>
    <x v="1"/>
    <s v="Jharkhand"/>
    <s v="Ranchi"/>
    <x v="0"/>
    <x v="9"/>
    <s v="Smart Binders 574"/>
    <x v="2"/>
    <s v="  "/>
    <n v="8"/>
    <n v="0"/>
    <x v="329"/>
    <x v="329"/>
    <x v="329"/>
    <x v="118"/>
    <s v="01-08-25"/>
    <x v="0"/>
    <x v="2"/>
    <s v="anomaly"/>
    <n v="8"/>
    <x v="0"/>
  </r>
  <r>
    <n v="13321.45"/>
    <x v="0"/>
    <x v="0"/>
    <m/>
    <x v="343"/>
    <s v="10-03-25"/>
    <s v="08-10-25"/>
    <s v="CUST-7358"/>
    <s v="Aarav Sharma"/>
    <x v="2"/>
    <x v="3"/>
    <s v="Madhya Pradesh"/>
    <s v="Indore"/>
    <x v="2"/>
    <x v="12"/>
    <s v="Pro Machines 444"/>
    <x v="1"/>
    <s v="  "/>
    <n v="212"/>
    <n v="0.1"/>
    <x v="330"/>
    <x v="330"/>
    <x v="330"/>
    <x v="229"/>
    <s v="08-10-25"/>
    <x v="10"/>
    <x v="2"/>
    <s v="anomaly"/>
    <n v="212"/>
    <x v="0"/>
  </r>
  <r>
    <n v="10960.76"/>
    <x v="2"/>
    <x v="2"/>
    <m/>
    <x v="344"/>
    <s v="11-03-24"/>
    <s v="11-03-24"/>
    <s v="CUST-8025"/>
    <s v="Priya Menon"/>
    <x v="0"/>
    <x v="0"/>
    <s v="Punjab"/>
    <s v="Ludhiana"/>
    <x v="1"/>
    <x v="10"/>
    <s v="Elite Bookcases 184"/>
    <x v="1"/>
    <s v="  "/>
    <n v="0"/>
    <n v="0"/>
    <x v="331"/>
    <x v="331"/>
    <x v="331"/>
    <x v="230"/>
    <s v="11-03-24"/>
    <x v="10"/>
    <x v="0"/>
    <s v=" "/>
    <n v="0"/>
    <x v="0"/>
  </r>
  <r>
    <n v="1077.49"/>
    <x v="0"/>
    <x v="0"/>
    <m/>
    <x v="345"/>
    <s v="14-09-24"/>
    <s v="22-09-24"/>
    <s v="CUST-4634"/>
    <s v="Karan Malhotra"/>
    <x v="0"/>
    <x v="3"/>
    <s v="Madhya Pradesh"/>
    <s v="Indore"/>
    <x v="1"/>
    <x v="3"/>
    <s v="Elite Furnishings 138"/>
    <x v="0"/>
    <s v="anomaly"/>
    <n v="8"/>
    <n v="0"/>
    <x v="332"/>
    <x v="332"/>
    <x v="332"/>
    <x v="231"/>
    <s v="22-09-24"/>
    <x v="7"/>
    <x v="0"/>
    <s v=" "/>
    <n v="8"/>
    <x v="0"/>
  </r>
  <r>
    <n v="3457.39"/>
    <x v="0"/>
    <x v="0"/>
    <m/>
    <x v="346"/>
    <s v="22-07-25"/>
    <s v="28-07-25"/>
    <s v="CUST-3400"/>
    <s v="Rahul Verma"/>
    <x v="2"/>
    <x v="2"/>
    <s v="Kerala"/>
    <s v="Kochi"/>
    <x v="1"/>
    <x v="4"/>
    <s v="Eco Chairs 369"/>
    <x v="0"/>
    <s v="anomaly"/>
    <n v="6"/>
    <n v="0.2"/>
    <x v="333"/>
    <x v="333"/>
    <x v="333"/>
    <x v="143"/>
    <s v="28-07-25"/>
    <x v="0"/>
    <x v="2"/>
    <s v=" "/>
    <n v="6"/>
    <x v="0"/>
  </r>
  <r>
    <n v="1822.45"/>
    <x v="1"/>
    <x v="2"/>
    <m/>
    <x v="347"/>
    <s v="01-12-24"/>
    <s v="12-08-24"/>
    <s v="CUST-1172"/>
    <s v="Aarav Sharma"/>
    <x v="1"/>
    <x v="3"/>
    <s v="Goa"/>
    <s v="Panaji"/>
    <x v="1"/>
    <x v="4"/>
    <s v="Max Chairs 487"/>
    <x v="0"/>
    <s v="anomaly"/>
    <n v="-111"/>
    <n v="0.2"/>
    <x v="334"/>
    <x v="334"/>
    <x v="334"/>
    <x v="169"/>
    <s v="12-08-24"/>
    <x v="8"/>
    <x v="0"/>
    <s v=" "/>
    <n v="-111"/>
    <x v="0"/>
  </r>
  <r>
    <n v="4864.38"/>
    <x v="0"/>
    <x v="0"/>
    <m/>
    <x v="348"/>
    <s v="06-02-24"/>
    <s v="06-07-24"/>
    <s v="CUST-9517"/>
    <s v="Aarav Sharma"/>
    <x v="2"/>
    <x v="2"/>
    <s v="Karnataka"/>
    <s v="Bengaluru"/>
    <x v="2"/>
    <x v="11"/>
    <s v="Classic Phones 989"/>
    <x v="1"/>
    <s v="anomaly"/>
    <n v="151"/>
    <n v="0.25"/>
    <x v="335"/>
    <x v="335"/>
    <x v="335"/>
    <x v="175"/>
    <s v="06-07-24"/>
    <x v="6"/>
    <x v="0"/>
    <s v=" "/>
    <n v="151"/>
    <x v="0"/>
  </r>
  <r>
    <n v="4017.4"/>
    <x v="0"/>
    <x v="0"/>
    <m/>
    <x v="349"/>
    <s v="27-09-25"/>
    <s v="invalid date"/>
    <s v="CUST-6697"/>
    <s v="Kabir Singh"/>
    <x v="3"/>
    <x v="1"/>
    <s v="Jharkhand"/>
    <s v="Ranchi"/>
    <x v="1"/>
    <x v="3"/>
    <s v="Max Furnishings 628"/>
    <x v="0"/>
    <s v="Invalid"/>
    <s v="invalid date"/>
    <n v="0.25"/>
    <x v="336"/>
    <x v="336"/>
    <x v="336"/>
    <x v="66"/>
    <s v="invalid date"/>
    <x v="7"/>
    <x v="2"/>
    <s v="Invalid"/>
    <s v="invalid date"/>
    <x v="0"/>
  </r>
  <r>
    <n v="2143.1"/>
    <x v="1"/>
    <x v="2"/>
    <m/>
    <x v="350"/>
    <s v="07-01-24"/>
    <s v="14-01-24"/>
    <s v="CUST-7644"/>
    <s v="Sneha Kapoor"/>
    <x v="1"/>
    <x v="1"/>
    <s v="Jharkhand"/>
    <s v="Ranchi"/>
    <x v="1"/>
    <x v="3"/>
    <s v="Elite Furnishings 279"/>
    <x v="0"/>
    <s v="anomaly"/>
    <n v="7"/>
    <n v="0.1"/>
    <x v="337"/>
    <x v="337"/>
    <x v="337"/>
    <x v="232"/>
    <s v="14-01-24"/>
    <x v="9"/>
    <x v="0"/>
    <s v=" "/>
    <n v="7"/>
    <x v="0"/>
  </r>
  <r>
    <n v="1119.1400000000001"/>
    <x v="2"/>
    <x v="1"/>
    <m/>
    <x v="351"/>
    <s v="23-05-25"/>
    <s v="27-05-25"/>
    <s v="CUST-9963"/>
    <s v="Vikram Iyer"/>
    <x v="1"/>
    <x v="2"/>
    <s v="Telangana"/>
    <s v="Hyderabad"/>
    <x v="0"/>
    <x v="8"/>
    <s v="Pro Storage 847"/>
    <x v="2"/>
    <s v="anomaly"/>
    <n v="4"/>
    <n v="0.25"/>
    <x v="338"/>
    <x v="338"/>
    <x v="338"/>
    <x v="233"/>
    <s v="27-05-25"/>
    <x v="4"/>
    <x v="2"/>
    <s v=" "/>
    <n v="4"/>
    <x v="0"/>
  </r>
  <r>
    <n v="4259.0200000000004"/>
    <x v="0"/>
    <x v="0"/>
    <m/>
    <x v="352"/>
    <s v="15-08-25"/>
    <s v="invalid date"/>
    <s v="CUST-6382"/>
    <s v="Diya Patel"/>
    <x v="1"/>
    <x v="1"/>
    <s v="Assam"/>
    <s v="Guwahati"/>
    <x v="2"/>
    <x v="6"/>
    <s v="Elite Copiers 706"/>
    <x v="2"/>
    <s v="Invalid"/>
    <s v="invalid date"/>
    <n v="0.25"/>
    <x v="339"/>
    <x v="339"/>
    <x v="339"/>
    <x v="197"/>
    <s v="invalid date"/>
    <x v="2"/>
    <x v="2"/>
    <s v="Invalid"/>
    <s v="invalid date"/>
    <x v="0"/>
  </r>
  <r>
    <n v="4485.71"/>
    <x v="0"/>
    <x v="0"/>
    <m/>
    <x v="353"/>
    <s v="21-02-25"/>
    <s v="27-02-25"/>
    <s v="CUST-3253"/>
    <s v="Ananya Rao"/>
    <x v="0"/>
    <x v="0"/>
    <s v="Rajasthan"/>
    <s v="Jaipur"/>
    <x v="0"/>
    <x v="2"/>
    <s v="Prime Art 978"/>
    <x v="1"/>
    <s v="anomaly"/>
    <n v="6"/>
    <n v="0.2"/>
    <x v="340"/>
    <x v="340"/>
    <x v="340"/>
    <x v="234"/>
    <s v="27-02-25"/>
    <x v="6"/>
    <x v="2"/>
    <s v=" "/>
    <n v="6"/>
    <x v="0"/>
  </r>
  <r>
    <n v="7171.84"/>
    <x v="2"/>
    <x v="1"/>
    <m/>
    <x v="354"/>
    <s v="27-12-24"/>
    <s v="31-12-24"/>
    <s v="CUST-1058"/>
    <s v="Kabir Singh"/>
    <x v="2"/>
    <x v="0"/>
    <s v="Punjab"/>
    <s v="Ludhiana"/>
    <x v="1"/>
    <x v="3"/>
    <s v="Classic Furnishings 498"/>
    <x v="3"/>
    <s v="anomaly"/>
    <n v="4"/>
    <s v="invalid"/>
    <x v="2"/>
    <x v="2"/>
    <x v="2"/>
    <x v="14"/>
    <s v="31-12-24"/>
    <x v="8"/>
    <x v="0"/>
    <s v=" "/>
    <n v="4"/>
    <x v="0"/>
  </r>
  <r>
    <n v="6459.6"/>
    <x v="2"/>
    <x v="1"/>
    <m/>
    <x v="355"/>
    <s v="12-05-24"/>
    <s v="09-05-24"/>
    <s v="CUST-6414"/>
    <s v="Priya Menon"/>
    <x v="2"/>
    <x v="3"/>
    <s v="Rajasthan"/>
    <s v="Udaipur"/>
    <x v="1"/>
    <x v="1"/>
    <s v="Max Tables 829"/>
    <x v="3"/>
    <s v="  "/>
    <n v="-3"/>
    <n v="0"/>
    <x v="341"/>
    <x v="341"/>
    <x v="341"/>
    <x v="235"/>
    <s v="09-05-24"/>
    <x v="4"/>
    <x v="0"/>
    <s v="anomaly"/>
    <n v="-3"/>
    <x v="0"/>
  </r>
  <r>
    <n v="355.07"/>
    <x v="2"/>
    <x v="2"/>
    <m/>
    <x v="356"/>
    <s v="27-06-25"/>
    <s v="29-06-25"/>
    <s v="CUST-9268"/>
    <s v="Rohan Mehta"/>
    <x v="3"/>
    <x v="2"/>
    <s v="Telangana"/>
    <s v="Hyderabad"/>
    <x v="1"/>
    <x v="4"/>
    <s v="Eco Chairs 346"/>
    <x v="2"/>
    <s v="anomaly"/>
    <n v="2"/>
    <n v="0.2"/>
    <x v="342"/>
    <x v="342"/>
    <x v="342"/>
    <x v="145"/>
    <s v="29-06-25"/>
    <x v="11"/>
    <x v="2"/>
    <s v=" "/>
    <n v="2"/>
    <x v="0"/>
  </r>
  <r>
    <n v="652.16"/>
    <x v="0"/>
    <x v="1"/>
    <m/>
    <x v="357"/>
    <s v="21-01-25"/>
    <s v="invalid date"/>
    <s v="CUST-1363"/>
    <s v="Mira Das"/>
    <x v="3"/>
    <x v="2"/>
    <s v="Andhra Pradesh"/>
    <s v="Vijayawada"/>
    <x v="2"/>
    <x v="12"/>
    <s v="Max Machines 770"/>
    <x v="0"/>
    <s v="Invalid"/>
    <s v="invalid date"/>
    <n v="0"/>
    <x v="343"/>
    <x v="343"/>
    <x v="343"/>
    <x v="18"/>
    <s v="invalid date"/>
    <x v="9"/>
    <x v="2"/>
    <s v="Invalid"/>
    <s v="invalid date"/>
    <x v="0"/>
  </r>
  <r>
    <n v="1576.94"/>
    <x v="2"/>
    <x v="2"/>
    <m/>
    <x v="358"/>
    <s v="08-09-25"/>
    <s v="07-08-25"/>
    <s v="CUST-2477"/>
    <s v="Vikram Iyer"/>
    <x v="3"/>
    <x v="3"/>
    <s v="Gujarat"/>
    <s v="Ahmedabad"/>
    <x v="1"/>
    <x v="10"/>
    <s v="Smart Bookcases 134"/>
    <x v="0"/>
    <s v="  "/>
    <n v="-32"/>
    <n v="0.05"/>
    <x v="344"/>
    <x v="344"/>
    <x v="344"/>
    <x v="228"/>
    <s v="07-08-25"/>
    <x v="7"/>
    <x v="2"/>
    <s v="anomaly"/>
    <n v="-32"/>
    <x v="0"/>
  </r>
  <r>
    <n v="2025.99"/>
    <x v="0"/>
    <x v="0"/>
    <m/>
    <x v="359"/>
    <s v="21-08-24"/>
    <s v="22-08-24"/>
    <s v="CUST-9571"/>
    <s v="Isha Nair"/>
    <x v="0"/>
    <x v="2"/>
    <s v="Tamil Nadu"/>
    <s v="Chennai"/>
    <x v="2"/>
    <x v="11"/>
    <s v="Classic Phones 586"/>
    <x v="1"/>
    <s v="anomaly"/>
    <n v="1"/>
    <n v="0.1"/>
    <x v="345"/>
    <x v="345"/>
    <x v="345"/>
    <x v="216"/>
    <s v="22-08-24"/>
    <x v="2"/>
    <x v="0"/>
    <s v=" "/>
    <n v="1"/>
    <x v="0"/>
  </r>
  <r>
    <n v="3950.63"/>
    <x v="1"/>
    <x v="1"/>
    <m/>
    <x v="360"/>
    <s v="17-06-24"/>
    <s v="20-06-24"/>
    <s v="CUST-3690"/>
    <s v="Sneha Kapoor"/>
    <x v="1"/>
    <x v="3"/>
    <s v="Gujarat"/>
    <s v="Ahmedabad"/>
    <x v="1"/>
    <x v="3"/>
    <s v="Elite Furnishings 634"/>
    <x v="3"/>
    <s v="anomaly"/>
    <n v="3"/>
    <n v="0.2"/>
    <x v="346"/>
    <x v="346"/>
    <x v="346"/>
    <x v="33"/>
    <s v="20-06-24"/>
    <x v="11"/>
    <x v="0"/>
    <s v=" "/>
    <n v="3"/>
    <x v="0"/>
  </r>
  <r>
    <n v="15226"/>
    <x v="2"/>
    <x v="2"/>
    <m/>
    <x v="361"/>
    <s v="01-04-25"/>
    <s v="02-04-25"/>
    <s v="CUST-2909"/>
    <s v="Rohan Mehta"/>
    <x v="2"/>
    <x v="1"/>
    <s v="Odisha"/>
    <s v="Bhubaneswar"/>
    <x v="1"/>
    <x v="4"/>
    <s v="Basic Chairs 113"/>
    <x v="0"/>
    <s v="anomaly"/>
    <n v="1"/>
    <n v="0.05"/>
    <x v="347"/>
    <x v="347"/>
    <x v="347"/>
    <x v="155"/>
    <s v="02-04-25"/>
    <x v="12"/>
    <x v="2"/>
    <s v=" "/>
    <n v="1"/>
    <x v="0"/>
  </r>
  <r>
    <n v="289.92"/>
    <x v="0"/>
    <x v="0"/>
    <m/>
    <x v="362"/>
    <s v="23-08-24"/>
    <s v="25-08-24"/>
    <s v="CUST-6755"/>
    <s v="Vikram Iyer"/>
    <x v="0"/>
    <x v="3"/>
    <s v="Goa"/>
    <s v="Panaji"/>
    <x v="2"/>
    <x v="12"/>
    <s v="Elite Machines 216"/>
    <x v="1"/>
    <s v="anomaly"/>
    <n v="2"/>
    <n v="0.05"/>
    <x v="348"/>
    <x v="348"/>
    <x v="348"/>
    <x v="236"/>
    <s v="25-08-24"/>
    <x v="2"/>
    <x v="0"/>
    <s v=" "/>
    <n v="2"/>
    <x v="0"/>
  </r>
  <r>
    <n v="1662.28"/>
    <x v="0"/>
    <x v="0"/>
    <m/>
    <x v="363"/>
    <s v="07-07-25"/>
    <s v="07-12-25"/>
    <s v="CUST-1832"/>
    <s v="Diya Patel"/>
    <x v="2"/>
    <x v="1"/>
    <s v="West Bengal"/>
    <s v="Kolkata"/>
    <x v="1"/>
    <x v="1"/>
    <s v="Smart Tables 943"/>
    <x v="0"/>
    <s v="anomaly"/>
    <n v="153"/>
    <n v="0.25"/>
    <x v="349"/>
    <x v="349"/>
    <x v="349"/>
    <x v="237"/>
    <s v="07-12-25"/>
    <x v="0"/>
    <x v="2"/>
    <s v=" "/>
    <n v="153"/>
    <x v="0"/>
  </r>
  <r>
    <n v="2228.73"/>
    <x v="0"/>
    <x v="0"/>
    <m/>
    <x v="364"/>
    <s v="invalid date"/>
    <s v="24-03-25"/>
    <s v="CUST-4452"/>
    <s v="Aarav Sharma"/>
    <x v="1"/>
    <x v="2"/>
    <s v="Andhra Pradesh"/>
    <s v="Vijayawada"/>
    <x v="1"/>
    <x v="4"/>
    <s v="Prime Chairs 101"/>
    <x v="0"/>
    <s v="Invalid"/>
    <s v="invalid date"/>
    <n v="0"/>
    <x v="350"/>
    <x v="350"/>
    <x v="350"/>
    <x v="1"/>
    <s v="24-03-25"/>
    <x v="1"/>
    <x v="1"/>
    <s v="Invalid"/>
    <s v="invalid date"/>
    <x v="0"/>
  </r>
  <r>
    <n v="2849.03"/>
    <x v="0"/>
    <x v="0"/>
    <m/>
    <x v="365"/>
    <s v="15-06-24"/>
    <s v="21-06-24"/>
    <s v="CUST-2203"/>
    <s v="Aditi Sen"/>
    <x v="2"/>
    <x v="3"/>
    <s v="Goa"/>
    <s v="Panaji"/>
    <x v="2"/>
    <x v="5"/>
    <s v="Basic Accessories 774"/>
    <x v="2"/>
    <s v="anomaly"/>
    <n v="6"/>
    <n v="0"/>
    <x v="351"/>
    <x v="351"/>
    <x v="351"/>
    <x v="238"/>
    <s v="21-06-24"/>
    <x v="11"/>
    <x v="0"/>
    <s v=" "/>
    <n v="6"/>
    <x v="0"/>
  </r>
  <r>
    <n v="2968.81"/>
    <x v="0"/>
    <x v="0"/>
    <m/>
    <x v="366"/>
    <s v="16-01-25"/>
    <s v="22-01-25"/>
    <s v="CUST-5397"/>
    <s v="Sneha Kapoor"/>
    <x v="2"/>
    <x v="0"/>
    <s v="Rajasthan"/>
    <s v="Jaipur"/>
    <x v="1"/>
    <x v="1"/>
    <s v="Max Tables 478"/>
    <x v="1"/>
    <s v="anomaly"/>
    <n v="6"/>
    <n v="0"/>
    <x v="352"/>
    <x v="352"/>
    <x v="352"/>
    <x v="239"/>
    <s v="22-01-25"/>
    <x v="9"/>
    <x v="2"/>
    <s v=" "/>
    <n v="6"/>
    <x v="0"/>
  </r>
  <r>
    <n v="4936.8999999999996"/>
    <x v="3"/>
    <x v="1"/>
    <m/>
    <x v="367"/>
    <s v="15-03-24"/>
    <s v="invalid date"/>
    <s v="CUST-4696"/>
    <s v="Rohan Mehta"/>
    <x v="0"/>
    <x v="0"/>
    <s v="Delhi"/>
    <s v="New Delhi"/>
    <x v="0"/>
    <x v="2"/>
    <s v="Eco Art 646"/>
    <x v="3"/>
    <s v="Invalid"/>
    <s v="invalid date"/>
    <n v="0.15"/>
    <x v="353"/>
    <x v="353"/>
    <x v="353"/>
    <x v="130"/>
    <s v="invalid date"/>
    <x v="10"/>
    <x v="0"/>
    <s v="Invalid"/>
    <s v="invalid date"/>
    <x v="0"/>
  </r>
  <r>
    <n v="567.1"/>
    <x v="1"/>
    <x v="2"/>
    <m/>
    <x v="368"/>
    <s v="06-07-25"/>
    <s v="06-07-25"/>
    <s v="CUST-8246"/>
    <s v="Aarav Sharma"/>
    <x v="3"/>
    <x v="0"/>
    <s v="Rajasthan"/>
    <s v="Jaipur"/>
    <x v="2"/>
    <x v="5"/>
    <s v="Prime Accessories 962"/>
    <x v="1"/>
    <s v="  "/>
    <n v="0"/>
    <n v="0.05"/>
    <x v="354"/>
    <x v="354"/>
    <x v="354"/>
    <x v="240"/>
    <s v="06-07-25"/>
    <x v="0"/>
    <x v="2"/>
    <s v=" "/>
    <n v="0"/>
    <x v="0"/>
  </r>
  <r>
    <n v="2205.33"/>
    <x v="0"/>
    <x v="0"/>
    <m/>
    <x v="369"/>
    <s v="23-01-25"/>
    <s v="invalid date"/>
    <s v="CUST-5672"/>
    <s v="Priya Menon"/>
    <x v="0"/>
    <x v="0"/>
    <s v="Delhi"/>
    <s v="New Delhi"/>
    <x v="0"/>
    <x v="7"/>
    <s v="Eco Labels 646"/>
    <x v="3"/>
    <s v="Invalid"/>
    <s v="invalid date"/>
    <n v="0.15"/>
    <x v="355"/>
    <x v="355"/>
    <x v="355"/>
    <x v="75"/>
    <s v="invalid date"/>
    <x v="9"/>
    <x v="2"/>
    <s v="Invalid"/>
    <s v="invalid date"/>
    <x v="0"/>
  </r>
  <r>
    <n v="4300.75"/>
    <x v="0"/>
    <x v="0"/>
    <m/>
    <x v="370"/>
    <s v="invalid date"/>
    <s v="21-08-24"/>
    <s v="CUST-8521"/>
    <s v="Ananya Rao"/>
    <x v="1"/>
    <x v="3"/>
    <s v="Rajasthan"/>
    <s v="Udaipur"/>
    <x v="2"/>
    <x v="6"/>
    <s v="Classic Copiers 505"/>
    <x v="2"/>
    <s v="Invalid"/>
    <s v="invalid date"/>
    <n v="0.2"/>
    <x v="356"/>
    <x v="356"/>
    <x v="356"/>
    <x v="1"/>
    <s v="21-08-24"/>
    <x v="1"/>
    <x v="1"/>
    <s v="Invalid"/>
    <s v="invalid date"/>
    <x v="0"/>
  </r>
  <r>
    <n v="1635.33"/>
    <x v="1"/>
    <x v="1"/>
    <m/>
    <x v="371"/>
    <s v="22-01-24"/>
    <s v="24-01-24"/>
    <s v="CUST-2204"/>
    <s v="Diya Patel"/>
    <x v="3"/>
    <x v="3"/>
    <s v="Maharashtra"/>
    <s v="Mumbai"/>
    <x v="0"/>
    <x v="2"/>
    <s v="Pro Art 906"/>
    <x v="3"/>
    <s v="anomaly"/>
    <n v="2"/>
    <n v="0"/>
    <x v="357"/>
    <x v="357"/>
    <x v="357"/>
    <x v="144"/>
    <s v="24-01-24"/>
    <x v="9"/>
    <x v="0"/>
    <s v=" "/>
    <n v="2"/>
    <x v="0"/>
  </r>
  <r>
    <n v="2480.02"/>
    <x v="0"/>
    <x v="0"/>
    <m/>
    <x v="372"/>
    <s v="16-08-25"/>
    <s v="18-08-25"/>
    <s v="CUST-4399"/>
    <s v="Kabir Singh"/>
    <x v="0"/>
    <x v="1"/>
    <s v="Jharkhand"/>
    <s v="Ranchi"/>
    <x v="1"/>
    <x v="4"/>
    <s v="Max Chairs 181"/>
    <x v="1"/>
    <s v="anomaly"/>
    <n v="2"/>
    <n v="0"/>
    <x v="358"/>
    <x v="358"/>
    <x v="358"/>
    <x v="241"/>
    <s v="18-08-25"/>
    <x v="2"/>
    <x v="2"/>
    <s v=" "/>
    <n v="2"/>
    <x v="0"/>
  </r>
  <r>
    <n v="1472.75"/>
    <x v="0"/>
    <x v="0"/>
    <m/>
    <x v="373"/>
    <s v="13-04-25"/>
    <s v="13-04-25"/>
    <s v="CUST-8566"/>
    <s v="Sneha Kapoor"/>
    <x v="1"/>
    <x v="0"/>
    <s v="Uttar Pradesh"/>
    <s v="Noida"/>
    <x v="0"/>
    <x v="8"/>
    <s v="Prime Storage 951"/>
    <x v="0"/>
    <s v="  "/>
    <n v="0"/>
    <n v="0"/>
    <x v="359"/>
    <x v="359"/>
    <x v="359"/>
    <x v="242"/>
    <s v="13-04-25"/>
    <x v="12"/>
    <x v="2"/>
    <s v=" "/>
    <n v="0"/>
    <x v="0"/>
  </r>
  <r>
    <n v="6241.79"/>
    <x v="0"/>
    <x v="0"/>
    <m/>
    <x v="374"/>
    <s v="27-02-25"/>
    <s v="28-02-25"/>
    <s v="CUST-2358"/>
    <s v="Aditi Sen"/>
    <x v="1"/>
    <x v="0"/>
    <s v="Uttar Pradesh"/>
    <s v="Noida"/>
    <x v="0"/>
    <x v="7"/>
    <s v="Smart Labels 668"/>
    <x v="3"/>
    <s v="anomaly"/>
    <n v="1"/>
    <n v="0"/>
    <x v="360"/>
    <x v="360"/>
    <x v="360"/>
    <x v="243"/>
    <s v="28-02-25"/>
    <x v="6"/>
    <x v="2"/>
    <s v=" "/>
    <n v="1"/>
    <x v="0"/>
  </r>
  <r>
    <n v="370.99"/>
    <x v="0"/>
    <x v="0"/>
    <m/>
    <x v="375"/>
    <s v="31-12-24"/>
    <s v="04-01-25"/>
    <s v="CUST-2810"/>
    <s v="Vikram Iyer"/>
    <x v="0"/>
    <x v="0"/>
    <s v="Delhi"/>
    <s v="New Delhi"/>
    <x v="1"/>
    <x v="4"/>
    <s v="Pro Chairs 364"/>
    <x v="1"/>
    <s v="  "/>
    <n v="4"/>
    <n v="0.25"/>
    <x v="361"/>
    <x v="361"/>
    <x v="361"/>
    <x v="244"/>
    <s v="04-01-25"/>
    <x v="8"/>
    <x v="0"/>
    <s v="anomaly"/>
    <n v="4"/>
    <x v="0"/>
  </r>
  <r>
    <n v="1420.99"/>
    <x v="0"/>
    <x v="0"/>
    <m/>
    <x v="376"/>
    <s v="29-12-24"/>
    <s v="31-12-24"/>
    <s v="CUST-5166"/>
    <s v="Isha Nair"/>
    <x v="1"/>
    <x v="1"/>
    <s v="Bihar"/>
    <s v="Patna"/>
    <x v="1"/>
    <x v="4"/>
    <s v="Basic Chairs 248"/>
    <x v="2"/>
    <s v="anomaly"/>
    <n v="2"/>
    <n v="0.2"/>
    <x v="362"/>
    <x v="362"/>
    <x v="362"/>
    <x v="245"/>
    <s v="31-12-24"/>
    <x v="8"/>
    <x v="0"/>
    <s v=" "/>
    <n v="2"/>
    <x v="0"/>
  </r>
  <r>
    <n v="810.16"/>
    <x v="0"/>
    <x v="0"/>
    <m/>
    <x v="377"/>
    <s v="24-05-25"/>
    <s v="30-05-25"/>
    <s v="CUST-4875"/>
    <s v="Kabir Singh"/>
    <x v="1"/>
    <x v="1"/>
    <s v="Odisha"/>
    <s v="Bhubaneswar"/>
    <x v="0"/>
    <x v="8"/>
    <s v="Basic Storage 360"/>
    <x v="1"/>
    <s v="anomaly"/>
    <n v="6"/>
    <n v="0"/>
    <x v="363"/>
    <x v="363"/>
    <x v="363"/>
    <x v="205"/>
    <s v="30-05-25"/>
    <x v="4"/>
    <x v="2"/>
    <s v=" "/>
    <n v="6"/>
    <x v="0"/>
  </r>
  <r>
    <n v="2826.76"/>
    <x v="0"/>
    <x v="0"/>
    <m/>
    <x v="378"/>
    <s v="22-05-25"/>
    <s v="22-05-25"/>
    <s v="CUST-3154"/>
    <s v="Mira Das"/>
    <x v="0"/>
    <x v="3"/>
    <s v="Goa"/>
    <s v="Panaji"/>
    <x v="2"/>
    <x v="5"/>
    <s v="Basic Accessories 988"/>
    <x v="3"/>
    <s v="  "/>
    <n v="0"/>
    <n v="0"/>
    <x v="364"/>
    <x v="364"/>
    <x v="364"/>
    <x v="246"/>
    <s v="22-05-25"/>
    <x v="4"/>
    <x v="2"/>
    <s v=" "/>
    <n v="0"/>
    <x v="0"/>
  </r>
  <r>
    <n v="3157.22"/>
    <x v="0"/>
    <x v="0"/>
    <m/>
    <x v="379"/>
    <s v="invalid date"/>
    <s v="23-09-24"/>
    <s v="CUST-6405"/>
    <s v="Mira Das"/>
    <x v="1"/>
    <x v="2"/>
    <s v="Kerala"/>
    <s v="Kochi"/>
    <x v="0"/>
    <x v="0"/>
    <s v="Max Paper 334"/>
    <x v="3"/>
    <s v="Invalid"/>
    <s v="invalid date"/>
    <n v="0"/>
    <x v="365"/>
    <x v="365"/>
    <x v="365"/>
    <x v="1"/>
    <s v="23-09-24"/>
    <x v="1"/>
    <x v="1"/>
    <s v="Invalid"/>
    <s v="invalid date"/>
    <x v="0"/>
  </r>
  <r>
    <n v="3618.48"/>
    <x v="0"/>
    <x v="2"/>
    <m/>
    <x v="380"/>
    <s v="07-04-24"/>
    <s v="14-04-24"/>
    <s v="CUST-5779"/>
    <s v="Vikram Iyer"/>
    <x v="0"/>
    <x v="3"/>
    <s v="Maharashtra"/>
    <s v="Mumbai"/>
    <x v="1"/>
    <x v="10"/>
    <s v="Prime Bookcases 952"/>
    <x v="1"/>
    <s v="anomaly"/>
    <n v="7"/>
    <n v="0.25"/>
    <x v="366"/>
    <x v="366"/>
    <x v="366"/>
    <x v="193"/>
    <s v="14-04-24"/>
    <x v="12"/>
    <x v="0"/>
    <s v=" "/>
    <n v="7"/>
    <x v="0"/>
  </r>
  <r>
    <n v="5837.98"/>
    <x v="3"/>
    <x v="1"/>
    <m/>
    <x v="381"/>
    <s v="19-09-25"/>
    <s v="23-09-25"/>
    <s v="CUST-9943"/>
    <s v="Arjun Bose"/>
    <x v="3"/>
    <x v="0"/>
    <s v="Delhi"/>
    <s v="New Delhi"/>
    <x v="0"/>
    <x v="9"/>
    <s v="Prime Binders 523"/>
    <x v="3"/>
    <s v="anomaly"/>
    <n v="4"/>
    <n v="0.05"/>
    <x v="367"/>
    <x v="367"/>
    <x v="367"/>
    <x v="247"/>
    <s v="23-09-25"/>
    <x v="7"/>
    <x v="2"/>
    <s v=" "/>
    <n v="4"/>
    <x v="0"/>
  </r>
  <r>
    <n v="2068.5700000000002"/>
    <x v="0"/>
    <x v="0"/>
    <m/>
    <x v="382"/>
    <s v="04-03-25"/>
    <s v="03-08-25"/>
    <s v="CUST-7098"/>
    <s v="Arjun Bose"/>
    <x v="1"/>
    <x v="1"/>
    <s v="Bihar"/>
    <s v="Patna"/>
    <x v="2"/>
    <x v="11"/>
    <s v="Pro Phones 538"/>
    <x v="2"/>
    <s v="  "/>
    <n v="152"/>
    <n v="0.2"/>
    <x v="368"/>
    <x v="368"/>
    <x v="368"/>
    <x v="248"/>
    <s v="03-08-25"/>
    <x v="10"/>
    <x v="2"/>
    <s v="anomaly"/>
    <n v="152"/>
    <x v="0"/>
  </r>
  <r>
    <n v="1353.64"/>
    <x v="0"/>
    <x v="1"/>
    <m/>
    <x v="383"/>
    <s v="28-06-25"/>
    <s v="05-07-25"/>
    <s v="CUST-7438"/>
    <s v="Vikram Iyer"/>
    <x v="2"/>
    <x v="1"/>
    <s v="West Bengal"/>
    <s v="Kolkata"/>
    <x v="0"/>
    <x v="2"/>
    <s v="Basic Art 608"/>
    <x v="2"/>
    <s v="  "/>
    <n v="7"/>
    <n v="0"/>
    <x v="369"/>
    <x v="369"/>
    <x v="369"/>
    <x v="164"/>
    <s v="05-07-25"/>
    <x v="11"/>
    <x v="2"/>
    <s v="anomaly"/>
    <n v="7"/>
    <x v="0"/>
  </r>
  <r>
    <n v="1197.53"/>
    <x v="0"/>
    <x v="2"/>
    <m/>
    <x v="384"/>
    <s v="15-03-24"/>
    <s v="20-03-24"/>
    <s v="CUST-8432"/>
    <s v="Rohan Mehta"/>
    <x v="0"/>
    <x v="1"/>
    <s v="Jharkhand"/>
    <s v="Ranchi"/>
    <x v="2"/>
    <x v="6"/>
    <s v="Prime Copiers 820"/>
    <x v="3"/>
    <s v="anomaly"/>
    <n v="5"/>
    <n v="0.25"/>
    <x v="370"/>
    <x v="370"/>
    <x v="370"/>
    <x v="130"/>
    <s v="20-03-24"/>
    <x v="10"/>
    <x v="0"/>
    <s v=" "/>
    <n v="5"/>
    <x v="0"/>
  </r>
  <r>
    <n v="859.75"/>
    <x v="0"/>
    <x v="0"/>
    <m/>
    <x v="385"/>
    <s v="24-06-25"/>
    <s v="30-06-25"/>
    <s v="CUST-2834"/>
    <s v="Arjun Bose"/>
    <x v="0"/>
    <x v="0"/>
    <s v="Haryana"/>
    <s v="Gurugram"/>
    <x v="0"/>
    <x v="7"/>
    <s v="Classic Labels 670"/>
    <x v="3"/>
    <s v="anomaly"/>
    <n v="6"/>
    <n v="0.1"/>
    <x v="371"/>
    <x v="371"/>
    <x v="371"/>
    <x v="133"/>
    <s v="30-06-25"/>
    <x v="11"/>
    <x v="2"/>
    <s v=" "/>
    <n v="6"/>
    <x v="0"/>
  </r>
  <r>
    <n v="5700.57"/>
    <x v="0"/>
    <x v="0"/>
    <m/>
    <x v="386"/>
    <s v="02-12-25"/>
    <s v="14-02-25"/>
    <s v="CUST-4222"/>
    <s v="Sneha Kapoor"/>
    <x v="0"/>
    <x v="3"/>
    <s v="Maharashtra"/>
    <s v="Mumbai"/>
    <x v="1"/>
    <x v="3"/>
    <s v="Prime Furnishings 597"/>
    <x v="0"/>
    <s v="anomaly"/>
    <n v="-291"/>
    <n v="0.1"/>
    <x v="372"/>
    <x v="372"/>
    <x v="372"/>
    <x v="249"/>
    <s v="14-02-25"/>
    <x v="8"/>
    <x v="2"/>
    <s v=" "/>
    <n v="-291"/>
    <x v="0"/>
  </r>
  <r>
    <n v="431.81"/>
    <x v="2"/>
    <x v="1"/>
    <m/>
    <x v="387"/>
    <s v="10-08-25"/>
    <s v="invalid date"/>
    <s v="CUST-1053"/>
    <s v="Priya Menon"/>
    <x v="1"/>
    <x v="3"/>
    <s v="Madhya Pradesh"/>
    <s v="Indore"/>
    <x v="1"/>
    <x v="4"/>
    <s v="Prime Chairs 196"/>
    <x v="3"/>
    <s v="Invalid"/>
    <s v="invalid date"/>
    <n v="0"/>
    <x v="373"/>
    <x v="373"/>
    <x v="373"/>
    <x v="250"/>
    <s v="invalid date"/>
    <x v="2"/>
    <x v="2"/>
    <s v="Invalid"/>
    <s v="invalid date"/>
    <x v="0"/>
  </r>
  <r>
    <n v="2783.66"/>
    <x v="0"/>
    <x v="0"/>
    <m/>
    <x v="388"/>
    <s v="13-05-24"/>
    <s v="18-05-24"/>
    <s v="CUST-1457"/>
    <s v="Isha Nair"/>
    <x v="1"/>
    <x v="3"/>
    <s v="Gujarat"/>
    <s v="Ahmedabad"/>
    <x v="1"/>
    <x v="4"/>
    <s v="Elite Chairs 639"/>
    <x v="3"/>
    <s v="anomaly"/>
    <n v="5"/>
    <n v="0"/>
    <x v="374"/>
    <x v="374"/>
    <x v="374"/>
    <x v="251"/>
    <s v="18-05-24"/>
    <x v="4"/>
    <x v="0"/>
    <s v=" "/>
    <n v="5"/>
    <x v="0"/>
  </r>
  <r>
    <n v="2315.86"/>
    <x v="2"/>
    <x v="1"/>
    <m/>
    <x v="389"/>
    <s v="05-04-24"/>
    <s v="13-04-24"/>
    <s v="CUST-3930"/>
    <s v="Diya Patel"/>
    <x v="2"/>
    <x v="3"/>
    <s v="Gujarat"/>
    <s v="Ahmedabad"/>
    <x v="2"/>
    <x v="12"/>
    <s v="Elite Machines 563"/>
    <x v="0"/>
    <s v="anomaly"/>
    <n v="8"/>
    <n v="0.2"/>
    <x v="375"/>
    <x v="375"/>
    <x v="375"/>
    <x v="252"/>
    <s v="13-04-24"/>
    <x v="12"/>
    <x v="0"/>
    <s v=" "/>
    <n v="8"/>
    <x v="0"/>
  </r>
  <r>
    <n v="2695.44"/>
    <x v="0"/>
    <x v="0"/>
    <m/>
    <x v="390"/>
    <s v="06-11-24"/>
    <s v="11-11-24"/>
    <s v="CUST-7853"/>
    <s v="Isha Nair"/>
    <x v="0"/>
    <x v="3"/>
    <s v="Gujarat"/>
    <s v="Ahmedabad"/>
    <x v="1"/>
    <x v="3"/>
    <s v="Pro Furnishings 281"/>
    <x v="3"/>
    <s v="anomaly"/>
    <n v="5"/>
    <n v="0.2"/>
    <x v="376"/>
    <x v="376"/>
    <x v="376"/>
    <x v="206"/>
    <s v="11-11-24"/>
    <x v="3"/>
    <x v="0"/>
    <s v=" "/>
    <n v="5"/>
    <x v="0"/>
  </r>
  <r>
    <n v="148.99"/>
    <x v="0"/>
    <x v="0"/>
    <m/>
    <x v="391"/>
    <s v="14-02-25"/>
    <s v="14-02-25"/>
    <s v="CUST-2267"/>
    <s v="Diya Patel"/>
    <x v="0"/>
    <x v="2"/>
    <s v="Karnataka"/>
    <s v="Bengaluru"/>
    <x v="0"/>
    <x v="8"/>
    <s v="Eco Storage 285"/>
    <x v="2"/>
    <s v="  "/>
    <n v="0"/>
    <n v="0"/>
    <x v="377"/>
    <x v="377"/>
    <x v="377"/>
    <x v="253"/>
    <s v="14-02-25"/>
    <x v="6"/>
    <x v="2"/>
    <s v=" "/>
    <n v="0"/>
    <x v="0"/>
  </r>
  <r>
    <n v="11951.61"/>
    <x v="0"/>
    <x v="0"/>
    <m/>
    <x v="392"/>
    <s v="invalid date"/>
    <s v="22-02-24"/>
    <s v="CUST-6866"/>
    <s v="Aditi Sen"/>
    <x v="1"/>
    <x v="2"/>
    <s v="Kerala"/>
    <s v="Kochi"/>
    <x v="1"/>
    <x v="3"/>
    <s v="Classic Furnishings 746"/>
    <x v="1"/>
    <s v="Invalid"/>
    <s v="invalid date"/>
    <n v="0"/>
    <x v="378"/>
    <x v="378"/>
    <x v="378"/>
    <x v="1"/>
    <s v="22-02-24"/>
    <x v="1"/>
    <x v="1"/>
    <s v="Invalid"/>
    <s v="invalid date"/>
    <x v="0"/>
  </r>
  <r>
    <n v="712.67"/>
    <x v="0"/>
    <x v="0"/>
    <m/>
    <x v="393"/>
    <s v="23-08-24"/>
    <s v="invalid date"/>
    <s v="CUST-3160"/>
    <s v="Mira Das"/>
    <x v="2"/>
    <x v="0"/>
    <s v="Uttar Pradesh"/>
    <s v="Noida"/>
    <x v="0"/>
    <x v="7"/>
    <s v="Eco Labels 815"/>
    <x v="1"/>
    <s v="Invalid"/>
    <s v="invalid date"/>
    <n v="0.05"/>
    <x v="379"/>
    <x v="379"/>
    <x v="379"/>
    <x v="236"/>
    <s v="invalid date"/>
    <x v="2"/>
    <x v="0"/>
    <s v="Invalid"/>
    <s v="invalid date"/>
    <x v="0"/>
  </r>
  <r>
    <n v="6391.21"/>
    <x v="0"/>
    <x v="0"/>
    <m/>
    <x v="394"/>
    <s v="03-04-24"/>
    <s v="04-04-24"/>
    <s v="CUST-8444"/>
    <s v="Kabir Singh"/>
    <x v="0"/>
    <x v="3"/>
    <s v="Maharashtra"/>
    <s v="Mumbai"/>
    <x v="1"/>
    <x v="3"/>
    <s v="Prime Furnishings 879"/>
    <x v="2"/>
    <s v="anomaly"/>
    <n v="1"/>
    <n v="0"/>
    <x v="380"/>
    <x v="380"/>
    <x v="380"/>
    <x v="254"/>
    <s v="04-04-24"/>
    <x v="12"/>
    <x v="0"/>
    <s v=" "/>
    <n v="1"/>
    <x v="0"/>
  </r>
  <r>
    <n v="1616.14"/>
    <x v="0"/>
    <x v="0"/>
    <m/>
    <x v="395"/>
    <s v="06-06-24"/>
    <s v="06-07-24"/>
    <s v="CUST-4765"/>
    <s v="Rahul Verma"/>
    <x v="3"/>
    <x v="2"/>
    <s v="Tamil Nadu"/>
    <s v="Chennai"/>
    <x v="1"/>
    <x v="1"/>
    <s v="Pro Tables 142"/>
    <x v="1"/>
    <s v="anomaly"/>
    <n v="30"/>
    <n v="0.05"/>
    <x v="381"/>
    <x v="381"/>
    <x v="381"/>
    <x v="255"/>
    <s v="06-07-24"/>
    <x v="11"/>
    <x v="0"/>
    <s v=" "/>
    <n v="30"/>
    <x v="0"/>
  </r>
  <r>
    <n v="257.37"/>
    <x v="0"/>
    <x v="0"/>
    <m/>
    <x v="396"/>
    <s v="14-04-25"/>
    <s v="22-04-25"/>
    <s v="CUST-2280"/>
    <s v="Aditi Sen"/>
    <x v="1"/>
    <x v="2"/>
    <s v="Karnataka"/>
    <s v="Bengaluru"/>
    <x v="2"/>
    <x v="12"/>
    <s v="Prime Machines 267"/>
    <x v="3"/>
    <s v="anomaly"/>
    <n v="8"/>
    <n v="0.05"/>
    <x v="382"/>
    <x v="382"/>
    <x v="382"/>
    <x v="256"/>
    <s v="22-04-25"/>
    <x v="12"/>
    <x v="2"/>
    <s v=" "/>
    <n v="8"/>
    <x v="0"/>
  </r>
  <r>
    <n v="1320.02"/>
    <x v="0"/>
    <x v="0"/>
    <m/>
    <x v="397"/>
    <s v="09-06-25"/>
    <s v="10-06-25"/>
    <s v="CUST-3177"/>
    <s v="Sneha Kapoor"/>
    <x v="1"/>
    <x v="0"/>
    <s v="Uttar Pradesh"/>
    <s v="Noida"/>
    <x v="1"/>
    <x v="1"/>
    <s v="Eco Tables 378"/>
    <x v="0"/>
    <s v="anomaly"/>
    <n v="1"/>
    <n v="0"/>
    <x v="383"/>
    <x v="383"/>
    <x v="383"/>
    <x v="257"/>
    <s v="10-06-25"/>
    <x v="11"/>
    <x v="2"/>
    <s v=" "/>
    <n v="1"/>
    <x v="0"/>
  </r>
  <r>
    <n v="666.62"/>
    <x v="0"/>
    <x v="0"/>
    <m/>
    <x v="398"/>
    <s v="19-07-24"/>
    <s v="26-07-24"/>
    <s v="CUST-4718"/>
    <s v="Vikram Iyer"/>
    <x v="2"/>
    <x v="0"/>
    <s v="Punjab"/>
    <s v="Ludhiana"/>
    <x v="2"/>
    <x v="12"/>
    <s v="Elite Machines 523"/>
    <x v="1"/>
    <s v="anomaly"/>
    <n v="7"/>
    <n v="0.2"/>
    <x v="384"/>
    <x v="384"/>
    <x v="384"/>
    <x v="40"/>
    <s v="26-07-24"/>
    <x v="0"/>
    <x v="0"/>
    <s v=" "/>
    <n v="7"/>
    <x v="0"/>
  </r>
  <r>
    <n v="1275.1400000000001"/>
    <x v="0"/>
    <x v="0"/>
    <m/>
    <x v="399"/>
    <s v="invalid date"/>
    <s v="29-04-25"/>
    <s v="CUST-5647"/>
    <s v="Diya Patel"/>
    <x v="1"/>
    <x v="2"/>
    <s v="Andhra Pradesh"/>
    <s v="Vijayawada"/>
    <x v="0"/>
    <x v="0"/>
    <s v="Elite Paper 308"/>
    <x v="1"/>
    <s v="Invalid"/>
    <s v="invalid date"/>
    <n v="0.25"/>
    <x v="385"/>
    <x v="385"/>
    <x v="385"/>
    <x v="1"/>
    <s v="29-04-25"/>
    <x v="1"/>
    <x v="1"/>
    <s v="Invalid"/>
    <s v="invalid date"/>
    <x v="0"/>
  </r>
  <r>
    <n v="961.92"/>
    <x v="0"/>
    <x v="0"/>
    <m/>
    <x v="400"/>
    <s v="06-06-25"/>
    <s v="11-06-25"/>
    <s v="CUST-7150"/>
    <s v="Sneha Kapoor"/>
    <x v="1"/>
    <x v="0"/>
    <s v="Uttar Pradesh"/>
    <s v="Noida"/>
    <x v="0"/>
    <x v="0"/>
    <s v="Prime Paper 851"/>
    <x v="1"/>
    <s v="anomaly"/>
    <n v="5"/>
    <s v="invalid"/>
    <x v="2"/>
    <x v="2"/>
    <x v="2"/>
    <x v="258"/>
    <s v="11-06-25"/>
    <x v="11"/>
    <x v="2"/>
    <s v=" "/>
    <n v="5"/>
    <x v="0"/>
  </r>
  <r>
    <n v="2314.7800000000002"/>
    <x v="0"/>
    <x v="0"/>
    <m/>
    <x v="401"/>
    <s v="09-03-25"/>
    <s v="16-03-25"/>
    <s v="CUST-6694"/>
    <s v="Arjun Bose"/>
    <x v="1"/>
    <x v="1"/>
    <s v="Jharkhand"/>
    <s v="Ranchi"/>
    <x v="1"/>
    <x v="1"/>
    <s v="Classic Tables 151"/>
    <x v="1"/>
    <s v="anomaly"/>
    <n v="7"/>
    <n v="0"/>
    <x v="386"/>
    <x v="386"/>
    <x v="386"/>
    <x v="259"/>
    <s v="16-03-25"/>
    <x v="10"/>
    <x v="2"/>
    <s v=" "/>
    <n v="7"/>
    <x v="0"/>
  </r>
  <r>
    <n v="1288.01"/>
    <x v="0"/>
    <x v="0"/>
    <m/>
    <x v="402"/>
    <s v="22-03-24"/>
    <s v="invalid date"/>
    <s v="CUST-7680"/>
    <s v="Priya Menon"/>
    <x v="1"/>
    <x v="2"/>
    <s v="Karnataka"/>
    <s v="Bengaluru"/>
    <x v="1"/>
    <x v="1"/>
    <s v="Smart Tables 829"/>
    <x v="4"/>
    <s v="Invalid"/>
    <s v="invalid date"/>
    <n v="0"/>
    <x v="387"/>
    <x v="387"/>
    <x v="387"/>
    <x v="260"/>
    <s v="invalid date"/>
    <x v="10"/>
    <x v="0"/>
    <s v="Invalid"/>
    <s v="invalid date"/>
    <x v="0"/>
  </r>
  <r>
    <n v="6382.03"/>
    <x v="0"/>
    <x v="2"/>
    <m/>
    <x v="403"/>
    <s v="invalid date"/>
    <s v="04-10-24"/>
    <s v="CUST-2700"/>
    <s v="Arjun Bose"/>
    <x v="1"/>
    <x v="2"/>
    <s v="Kerala"/>
    <s v="Kochi"/>
    <x v="0"/>
    <x v="0"/>
    <s v="Classic Paper 237"/>
    <x v="1"/>
    <s v="Invalid"/>
    <s v="invalid date"/>
    <n v="0.05"/>
    <x v="388"/>
    <x v="388"/>
    <x v="388"/>
    <x v="1"/>
    <s v="04-10-24"/>
    <x v="1"/>
    <x v="1"/>
    <s v="Invalid"/>
    <s v="invalid date"/>
    <x v="0"/>
  </r>
  <r>
    <n v="152.47999999999999"/>
    <x v="0"/>
    <x v="0"/>
    <m/>
    <x v="404"/>
    <s v="27-01-24"/>
    <s v="02-03-24"/>
    <s v="CUST-2904"/>
    <s v="Aditi Sen"/>
    <x v="2"/>
    <x v="3"/>
    <s v="Rajasthan"/>
    <s v="Udaipur"/>
    <x v="1"/>
    <x v="4"/>
    <s v="Prime Chairs 891"/>
    <x v="1"/>
    <s v="  "/>
    <n v="35"/>
    <n v="0"/>
    <x v="389"/>
    <x v="389"/>
    <x v="389"/>
    <x v="100"/>
    <s v="02-03-24"/>
    <x v="9"/>
    <x v="0"/>
    <s v="anomaly"/>
    <n v="35"/>
    <x v="0"/>
  </r>
  <r>
    <n v="6229.1"/>
    <x v="0"/>
    <x v="0"/>
    <m/>
    <x v="405"/>
    <s v="invalid date"/>
    <s v="24-09-24"/>
    <s v="CUST-9961"/>
    <s v="Aditi Sen"/>
    <x v="3"/>
    <x v="3"/>
    <s v="Gujarat"/>
    <s v="Ahmedabad"/>
    <x v="1"/>
    <x v="10"/>
    <s v="Max Bookcases 812"/>
    <x v="4"/>
    <s v="Invalid"/>
    <s v="invalid date"/>
    <n v="0.1"/>
    <x v="390"/>
    <x v="390"/>
    <x v="390"/>
    <x v="1"/>
    <s v="24-09-24"/>
    <x v="1"/>
    <x v="1"/>
    <s v="Invalid"/>
    <s v="invalid date"/>
    <x v="0"/>
  </r>
  <r>
    <n v="2264.54"/>
    <x v="2"/>
    <x v="2"/>
    <m/>
    <x v="406"/>
    <s v="25-02-25"/>
    <s v="25-02-25"/>
    <s v="CUST-9909"/>
    <s v="Kabir Singh"/>
    <x v="1"/>
    <x v="3"/>
    <s v="Goa"/>
    <s v="Panaji"/>
    <x v="1"/>
    <x v="3"/>
    <s v="Basic Furnishings 164"/>
    <x v="3"/>
    <s v="  "/>
    <n v="0"/>
    <n v="0.25"/>
    <x v="391"/>
    <x v="391"/>
    <x v="391"/>
    <x v="261"/>
    <s v="25-02-25"/>
    <x v="6"/>
    <x v="2"/>
    <s v=" "/>
    <n v="0"/>
    <x v="0"/>
  </r>
  <r>
    <n v="2235.23"/>
    <x v="0"/>
    <x v="0"/>
    <m/>
    <x v="407"/>
    <s v="12-05-24"/>
    <s v="13-05-24"/>
    <s v="CUST-8520"/>
    <s v="Rahul Verma"/>
    <x v="2"/>
    <x v="3"/>
    <s v="Goa"/>
    <s v="Panaji"/>
    <x v="0"/>
    <x v="7"/>
    <s v="Smart Labels 261"/>
    <x v="0"/>
    <s v="anomaly"/>
    <n v="1"/>
    <n v="0"/>
    <x v="392"/>
    <x v="392"/>
    <x v="392"/>
    <x v="235"/>
    <s v="13-05-24"/>
    <x v="4"/>
    <x v="0"/>
    <s v=" "/>
    <n v="1"/>
    <x v="0"/>
  </r>
  <r>
    <n v="2506.35"/>
    <x v="3"/>
    <x v="2"/>
    <m/>
    <x v="408"/>
    <s v="08-01-25"/>
    <s v="08-03-25"/>
    <s v="CUST-5036"/>
    <s v="Sneha Kapoor"/>
    <x v="0"/>
    <x v="3"/>
    <s v="Maharashtra"/>
    <s v="Mumbai"/>
    <x v="1"/>
    <x v="4"/>
    <s v="Max Chairs 765"/>
    <x v="2"/>
    <s v="anomaly"/>
    <n v="59"/>
    <n v="0"/>
    <x v="393"/>
    <x v="393"/>
    <x v="393"/>
    <x v="176"/>
    <s v="08-03-25"/>
    <x v="9"/>
    <x v="2"/>
    <s v=" "/>
    <n v="59"/>
    <x v="0"/>
  </r>
  <r>
    <n v="675.51"/>
    <x v="1"/>
    <x v="2"/>
    <m/>
    <x v="409"/>
    <s v="13-02-25"/>
    <s v="15-02-25"/>
    <s v="CUST-7721"/>
    <s v="Karan Malhotra"/>
    <x v="0"/>
    <x v="1"/>
    <s v="Assam"/>
    <s v="Guwahati"/>
    <x v="2"/>
    <x v="5"/>
    <s v="Pro Accessories 686"/>
    <x v="1"/>
    <s v="anomaly"/>
    <n v="2"/>
    <n v="0.25"/>
    <x v="394"/>
    <x v="394"/>
    <x v="394"/>
    <x v="262"/>
    <s v="15-02-25"/>
    <x v="6"/>
    <x v="2"/>
    <s v=" "/>
    <n v="2"/>
    <x v="0"/>
  </r>
  <r>
    <n v="2604.31"/>
    <x v="0"/>
    <x v="0"/>
    <m/>
    <x v="410"/>
    <s v="12-04-24"/>
    <s v="20-04-24"/>
    <s v="CUST-9495"/>
    <s v="Diya Patel"/>
    <x v="0"/>
    <x v="3"/>
    <s v="Goa"/>
    <s v="Panaji"/>
    <x v="1"/>
    <x v="1"/>
    <s v="Smart Tables 100"/>
    <x v="2"/>
    <s v="anomaly"/>
    <n v="8"/>
    <n v="0.2"/>
    <x v="395"/>
    <x v="395"/>
    <x v="395"/>
    <x v="217"/>
    <s v="20-04-24"/>
    <x v="12"/>
    <x v="0"/>
    <s v=" "/>
    <n v="8"/>
    <x v="0"/>
  </r>
  <r>
    <n v="565.48"/>
    <x v="3"/>
    <x v="2"/>
    <m/>
    <x v="411"/>
    <s v="23-08-25"/>
    <s v="28-08-25"/>
    <s v="CUST-2855"/>
    <s v="Arjun Bose"/>
    <x v="3"/>
    <x v="3"/>
    <s v="Rajasthan"/>
    <s v="Udaipur"/>
    <x v="1"/>
    <x v="1"/>
    <s v="Basic Tables 615"/>
    <x v="2"/>
    <s v="anomaly"/>
    <n v="5"/>
    <n v="0.2"/>
    <x v="396"/>
    <x v="396"/>
    <x v="396"/>
    <x v="89"/>
    <s v="28-08-25"/>
    <x v="2"/>
    <x v="2"/>
    <s v=" "/>
    <n v="5"/>
    <x v="0"/>
  </r>
  <r>
    <n v="569.35"/>
    <x v="0"/>
    <x v="0"/>
    <m/>
    <x v="412"/>
    <s v="22-01-24"/>
    <s v="30-01-24"/>
    <s v="CUST-4329"/>
    <s v="Isha Nair"/>
    <x v="2"/>
    <x v="2"/>
    <s v="Karnataka"/>
    <s v="Bengaluru"/>
    <x v="1"/>
    <x v="4"/>
    <s v="Basic Chairs 790"/>
    <x v="1"/>
    <s v="anomaly"/>
    <n v="8"/>
    <n v="0.25"/>
    <x v="397"/>
    <x v="397"/>
    <x v="397"/>
    <x v="144"/>
    <s v="30-01-24"/>
    <x v="9"/>
    <x v="0"/>
    <s v=" "/>
    <n v="8"/>
    <x v="0"/>
  </r>
  <r>
    <n v="4610.51"/>
    <x v="2"/>
    <x v="1"/>
    <m/>
    <x v="413"/>
    <s v="13-08-25"/>
    <s v="17-08-25"/>
    <s v="CUST-5094"/>
    <s v="Neha Gupta"/>
    <x v="3"/>
    <x v="3"/>
    <s v="Madhya Pradesh"/>
    <s v="Indore"/>
    <x v="2"/>
    <x v="5"/>
    <s v="Smart Accessories 226"/>
    <x v="0"/>
    <s v="anomaly"/>
    <n v="4"/>
    <n v="0"/>
    <x v="398"/>
    <x v="398"/>
    <x v="398"/>
    <x v="25"/>
    <s v="17-08-25"/>
    <x v="2"/>
    <x v="2"/>
    <s v=" "/>
    <n v="4"/>
    <x v="0"/>
  </r>
  <r>
    <n v="3920.11"/>
    <x v="0"/>
    <x v="0"/>
    <m/>
    <x v="414"/>
    <s v="29-08-24"/>
    <s v="invalid date"/>
    <s v="CUST-4194"/>
    <s v="Arjun Bose"/>
    <x v="3"/>
    <x v="1"/>
    <s v="Assam"/>
    <s v="Guwahati"/>
    <x v="0"/>
    <x v="8"/>
    <s v="Max Storage 692"/>
    <x v="2"/>
    <s v="Invalid"/>
    <s v="invalid date"/>
    <n v="0.05"/>
    <x v="399"/>
    <x v="399"/>
    <x v="399"/>
    <x v="263"/>
    <s v="invalid date"/>
    <x v="2"/>
    <x v="0"/>
    <s v="Invalid"/>
    <s v="invalid date"/>
    <x v="0"/>
  </r>
  <r>
    <n v="2370.6999999999998"/>
    <x v="0"/>
    <x v="2"/>
    <m/>
    <x v="415"/>
    <s v="invalid date"/>
    <s v="27-01-24"/>
    <s v="CUST-7087"/>
    <s v="Aarav Sharma"/>
    <x v="2"/>
    <x v="2"/>
    <s v="Karnataka"/>
    <s v="Bengaluru"/>
    <x v="0"/>
    <x v="8"/>
    <s v="Basic Storage 684"/>
    <x v="1"/>
    <s v="Invalid"/>
    <s v="invalid date"/>
    <n v="0.15"/>
    <x v="400"/>
    <x v="400"/>
    <x v="400"/>
    <x v="1"/>
    <s v="27-01-24"/>
    <x v="1"/>
    <x v="1"/>
    <s v="Invalid"/>
    <s v="invalid date"/>
    <x v="0"/>
  </r>
  <r>
    <n v="947.35"/>
    <x v="0"/>
    <x v="0"/>
    <m/>
    <x v="416"/>
    <s v="08-01-25"/>
    <s v="16-01-25"/>
    <s v="CUST-7608"/>
    <s v="Neha Gupta"/>
    <x v="0"/>
    <x v="2"/>
    <s v="Telangana"/>
    <s v="Hyderabad"/>
    <x v="1"/>
    <x v="3"/>
    <s v="Smart Furnishings 152"/>
    <x v="2"/>
    <s v="anomaly"/>
    <n v="8"/>
    <n v="0.25"/>
    <x v="401"/>
    <x v="401"/>
    <x v="401"/>
    <x v="176"/>
    <s v="16-01-25"/>
    <x v="9"/>
    <x v="2"/>
    <s v=" "/>
    <n v="8"/>
    <x v="0"/>
  </r>
  <r>
    <n v="7348.65"/>
    <x v="0"/>
    <x v="0"/>
    <m/>
    <x v="417"/>
    <s v="invalid date"/>
    <s v="02-05-25"/>
    <s v="CUST-5269"/>
    <s v="Mira Das"/>
    <x v="0"/>
    <x v="3"/>
    <s v="Gujarat"/>
    <s v="Ahmedabad"/>
    <x v="0"/>
    <x v="2"/>
    <s v="Max Art 736"/>
    <x v="2"/>
    <s v="Invalid"/>
    <s v="invalid date"/>
    <n v="0.2"/>
    <x v="402"/>
    <x v="402"/>
    <x v="402"/>
    <x v="1"/>
    <s v="02-05-25"/>
    <x v="1"/>
    <x v="1"/>
    <s v="Invalid"/>
    <s v="invalid date"/>
    <x v="0"/>
  </r>
  <r>
    <n v="6630.41"/>
    <x v="3"/>
    <x v="1"/>
    <m/>
    <x v="418"/>
    <s v="11-09-24"/>
    <s v="invalid date"/>
    <s v="CUST-7925"/>
    <s v="Sneha Kapoor"/>
    <x v="2"/>
    <x v="1"/>
    <s v="Odisha"/>
    <s v="Bhubaneswar"/>
    <x v="2"/>
    <x v="6"/>
    <s v="Elite Copiers 971"/>
    <x v="3"/>
    <s v="Invalid"/>
    <s v="invalid date"/>
    <n v="0"/>
    <x v="403"/>
    <x v="403"/>
    <x v="403"/>
    <x v="264"/>
    <s v="invalid date"/>
    <x v="7"/>
    <x v="0"/>
    <s v="Invalid"/>
    <s v="invalid date"/>
    <x v="0"/>
  </r>
  <r>
    <n v="465.78"/>
    <x v="0"/>
    <x v="0"/>
    <m/>
    <x v="419"/>
    <s v="26-09-25"/>
    <s v="invalid date"/>
    <s v="CUST-6552"/>
    <s v="Sneha Kapoor"/>
    <x v="3"/>
    <x v="0"/>
    <s v="Haryana"/>
    <s v="Gurugram"/>
    <x v="2"/>
    <x v="11"/>
    <s v="Classic Phones 940"/>
    <x v="1"/>
    <s v="Invalid"/>
    <s v="invalid date"/>
    <n v="0.05"/>
    <x v="404"/>
    <x v="404"/>
    <x v="404"/>
    <x v="265"/>
    <s v="invalid date"/>
    <x v="7"/>
    <x v="2"/>
    <s v="Invalid"/>
    <s v="invalid date"/>
    <x v="0"/>
  </r>
  <r>
    <n v="694.93"/>
    <x v="2"/>
    <x v="1"/>
    <m/>
    <x v="420"/>
    <s v="18-03-25"/>
    <s v="19-03-25"/>
    <s v="CUST-7131"/>
    <s v="Isha Nair"/>
    <x v="2"/>
    <x v="2"/>
    <s v="Tamil Nadu"/>
    <s v="Chennai"/>
    <x v="2"/>
    <x v="12"/>
    <s v="Pro Machines 579"/>
    <x v="3"/>
    <s v="anomaly"/>
    <n v="1"/>
    <n v="0.25"/>
    <x v="405"/>
    <x v="405"/>
    <x v="405"/>
    <x v="127"/>
    <s v="19-03-25"/>
    <x v="10"/>
    <x v="2"/>
    <s v=" "/>
    <n v="1"/>
    <x v="0"/>
  </r>
  <r>
    <n v="782.36"/>
    <x v="2"/>
    <x v="2"/>
    <m/>
    <x v="421"/>
    <s v="invalid date"/>
    <s v="19-06-25"/>
    <s v="CUST-2779"/>
    <s v="Rohan Mehta"/>
    <x v="1"/>
    <x v="0"/>
    <s v="Delhi"/>
    <s v="New Delhi"/>
    <x v="0"/>
    <x v="9"/>
    <s v="Elite Binders 943"/>
    <x v="1"/>
    <s v="Invalid"/>
    <s v="invalid date"/>
    <n v="0.2"/>
    <x v="406"/>
    <x v="406"/>
    <x v="406"/>
    <x v="1"/>
    <s v="19-06-25"/>
    <x v="1"/>
    <x v="1"/>
    <s v="Invalid"/>
    <s v="invalid date"/>
    <x v="0"/>
  </r>
  <r>
    <n v="1420.6"/>
    <x v="0"/>
    <x v="0"/>
    <m/>
    <x v="422"/>
    <s v="09-03-25"/>
    <s v="06-09-25"/>
    <s v="CUST-6077"/>
    <s v="Kabir Singh"/>
    <x v="0"/>
    <x v="3"/>
    <s v="Madhya Pradesh"/>
    <s v="Indore"/>
    <x v="2"/>
    <x v="6"/>
    <s v="Elite Copiers 474"/>
    <x v="1"/>
    <s v="  "/>
    <n v="181"/>
    <n v="0.15"/>
    <x v="407"/>
    <x v="407"/>
    <x v="407"/>
    <x v="259"/>
    <s v="06-09-25"/>
    <x v="10"/>
    <x v="2"/>
    <s v="anomaly"/>
    <n v="181"/>
    <x v="0"/>
  </r>
  <r>
    <n v="9270.6"/>
    <x v="0"/>
    <x v="0"/>
    <m/>
    <x v="423"/>
    <s v="20-02-24"/>
    <s v="27-02-24"/>
    <s v="CUST-6169"/>
    <s v="Diya Patel"/>
    <x v="0"/>
    <x v="2"/>
    <s v="Kerala"/>
    <s v="Kochi"/>
    <x v="2"/>
    <x v="5"/>
    <s v="Prime Accessories 236"/>
    <x v="2"/>
    <s v="anomaly"/>
    <n v="7"/>
    <n v="0.2"/>
    <x v="408"/>
    <x v="408"/>
    <x v="408"/>
    <x v="86"/>
    <s v="27-02-24"/>
    <x v="6"/>
    <x v="0"/>
    <s v=" "/>
    <n v="7"/>
    <x v="0"/>
  </r>
  <r>
    <n v="2172.33"/>
    <x v="0"/>
    <x v="0"/>
    <m/>
    <x v="424"/>
    <s v="invalid date"/>
    <s v="29-06-24"/>
    <s v="CUST-8904"/>
    <s v="Neha Gupta"/>
    <x v="2"/>
    <x v="0"/>
    <s v="Punjab"/>
    <s v="Ludhiana"/>
    <x v="2"/>
    <x v="11"/>
    <s v="Prime Phones 881"/>
    <x v="3"/>
    <s v="Invalid"/>
    <s v="invalid date"/>
    <n v="0"/>
    <x v="409"/>
    <x v="409"/>
    <x v="409"/>
    <x v="1"/>
    <s v="29-06-24"/>
    <x v="1"/>
    <x v="1"/>
    <s v="Invalid"/>
    <s v="invalid date"/>
    <x v="0"/>
  </r>
  <r>
    <n v="544.72"/>
    <x v="1"/>
    <x v="1"/>
    <m/>
    <x v="425"/>
    <s v="26-09-24"/>
    <s v="invalid date"/>
    <s v="CUST-9586"/>
    <s v="Isha Nair"/>
    <x v="3"/>
    <x v="0"/>
    <s v="Delhi"/>
    <s v="New Delhi"/>
    <x v="0"/>
    <x v="7"/>
    <s v="Pro Labels 903"/>
    <x v="2"/>
    <s v="Invalid"/>
    <s v="invalid date"/>
    <n v="0.1"/>
    <x v="410"/>
    <x v="410"/>
    <x v="410"/>
    <x v="266"/>
    <s v="invalid date"/>
    <x v="7"/>
    <x v="0"/>
    <s v="Invalid"/>
    <s v="invalid date"/>
    <x v="0"/>
  </r>
  <r>
    <n v="8616.6200000000008"/>
    <x v="0"/>
    <x v="0"/>
    <m/>
    <x v="426"/>
    <s v="30-06-24"/>
    <s v="01-07-24"/>
    <s v="CUST-5431"/>
    <s v="Aditi Sen"/>
    <x v="0"/>
    <x v="0"/>
    <s v="Haryana"/>
    <s v="Gurugram"/>
    <x v="2"/>
    <x v="6"/>
    <s v="Max Copiers 402"/>
    <x v="1"/>
    <s v="  "/>
    <n v="1"/>
    <n v="0.1"/>
    <x v="411"/>
    <x v="411"/>
    <x v="411"/>
    <x v="267"/>
    <s v="01-07-24"/>
    <x v="11"/>
    <x v="0"/>
    <s v="anomaly"/>
    <n v="1"/>
    <x v="0"/>
  </r>
  <r>
    <n v="8824.7099999999991"/>
    <x v="0"/>
    <x v="0"/>
    <m/>
    <x v="427"/>
    <s v="22-04-25"/>
    <s v="24-04-25"/>
    <s v="CUST-8843"/>
    <s v="Isha Nair"/>
    <x v="2"/>
    <x v="4"/>
    <s v="Jharkhand"/>
    <s v="Ranchi"/>
    <x v="2"/>
    <x v="5"/>
    <s v="Prime Accessories 419"/>
    <x v="3"/>
    <s v="anomaly"/>
    <n v="2"/>
    <n v="0"/>
    <x v="412"/>
    <x v="412"/>
    <x v="412"/>
    <x v="268"/>
    <s v="24-04-25"/>
    <x v="12"/>
    <x v="2"/>
    <s v=" "/>
    <n v="2"/>
    <x v="0"/>
  </r>
  <r>
    <n v="752.66"/>
    <x v="2"/>
    <x v="1"/>
    <m/>
    <x v="428"/>
    <s v="15-03-25"/>
    <s v="22-03-25"/>
    <s v="CUST-7626"/>
    <s v="Karan Malhotra"/>
    <x v="1"/>
    <x v="1"/>
    <s v="West Bengal"/>
    <s v="Kolkata"/>
    <x v="2"/>
    <x v="11"/>
    <s v="Elite Phones 488"/>
    <x v="1"/>
    <s v="anomaly"/>
    <n v="7"/>
    <n v="0.25"/>
    <x v="413"/>
    <x v="413"/>
    <x v="413"/>
    <x v="269"/>
    <s v="22-03-25"/>
    <x v="10"/>
    <x v="2"/>
    <s v=" "/>
    <n v="7"/>
    <x v="0"/>
  </r>
  <r>
    <n v="3816.12"/>
    <x v="0"/>
    <x v="0"/>
    <m/>
    <x v="429"/>
    <s v="01-03-25"/>
    <s v="08-03-25"/>
    <s v="CUST-8562"/>
    <s v="Neha Gupta"/>
    <x v="3"/>
    <x v="0"/>
    <s v="Rajasthan"/>
    <s v="Jaipur"/>
    <x v="2"/>
    <x v="6"/>
    <s v="Prime Copiers 109"/>
    <x v="1"/>
    <s v="anomaly"/>
    <n v="7"/>
    <n v="0.25"/>
    <x v="414"/>
    <x v="414"/>
    <x v="414"/>
    <x v="270"/>
    <s v="08-03-25"/>
    <x v="10"/>
    <x v="2"/>
    <s v=" "/>
    <n v="7"/>
    <x v="0"/>
  </r>
  <r>
    <n v="763.38"/>
    <x v="0"/>
    <x v="0"/>
    <m/>
    <x v="430"/>
    <s v="30-08-24"/>
    <s v="02-09-24"/>
    <s v="CUST-2732"/>
    <s v="Neha Gupta"/>
    <x v="1"/>
    <x v="0"/>
    <s v="Haryana"/>
    <s v="Gurugram"/>
    <x v="0"/>
    <x v="0"/>
    <s v="Max Paper 576"/>
    <x v="0"/>
    <s v="  "/>
    <n v="3"/>
    <n v="0.15"/>
    <x v="415"/>
    <x v="415"/>
    <x v="415"/>
    <x v="271"/>
    <s v="02-09-24"/>
    <x v="2"/>
    <x v="0"/>
    <s v="anomaly"/>
    <n v="3"/>
    <x v="0"/>
  </r>
  <r>
    <n v="1656.92"/>
    <x v="0"/>
    <x v="0"/>
    <m/>
    <x v="431"/>
    <s v="10-02-24"/>
    <s v="invalid date"/>
    <s v="CUST-3989"/>
    <s v="Karan Malhotra"/>
    <x v="3"/>
    <x v="3"/>
    <s v="Goa"/>
    <s v="Panaji"/>
    <x v="2"/>
    <x v="12"/>
    <s v="Max Machines 412"/>
    <x v="1"/>
    <s v="Invalid"/>
    <s v="invalid date"/>
    <n v="0.25"/>
    <x v="416"/>
    <x v="416"/>
    <x v="416"/>
    <x v="272"/>
    <s v="invalid date"/>
    <x v="6"/>
    <x v="0"/>
    <s v="Invalid"/>
    <s v="invalid date"/>
    <x v="0"/>
  </r>
  <r>
    <n v="140.59"/>
    <x v="0"/>
    <x v="0"/>
    <m/>
    <x v="432"/>
    <s v="invalid date"/>
    <s v="02-09-24"/>
    <s v="CUST-3522"/>
    <s v="Priya Menon"/>
    <x v="1"/>
    <x v="3"/>
    <s v="Maharashtra"/>
    <s v="Mumbai"/>
    <x v="1"/>
    <x v="10"/>
    <s v="Classic Bookcases 291"/>
    <x v="3"/>
    <s v="Invalid"/>
    <s v="invalid date"/>
    <n v="0.05"/>
    <x v="417"/>
    <x v="417"/>
    <x v="417"/>
    <x v="1"/>
    <s v="02-09-24"/>
    <x v="1"/>
    <x v="1"/>
    <s v="Invalid"/>
    <s v="invalid date"/>
    <x v="0"/>
  </r>
  <r>
    <n v="1222.18"/>
    <x v="1"/>
    <x v="2"/>
    <m/>
    <x v="433"/>
    <s v="invalid date"/>
    <s v="20-04-24"/>
    <s v="CUST-7066"/>
    <s v="Priya Menon"/>
    <x v="2"/>
    <x v="2"/>
    <s v="Kerala"/>
    <s v="Kochi"/>
    <x v="0"/>
    <x v="2"/>
    <s v="Elite Art 946"/>
    <x v="0"/>
    <s v="Invalid"/>
    <s v="invalid date"/>
    <n v="0"/>
    <x v="418"/>
    <x v="418"/>
    <x v="418"/>
    <x v="1"/>
    <s v="20-04-24"/>
    <x v="1"/>
    <x v="1"/>
    <s v="Invalid"/>
    <s v="invalid date"/>
    <x v="0"/>
  </r>
  <r>
    <n v="1195.46"/>
    <x v="0"/>
    <x v="0"/>
    <m/>
    <x v="434"/>
    <s v="04-11-25"/>
    <s v="15-04-25"/>
    <s v="CUST-2351"/>
    <s v="Mira Das"/>
    <x v="3"/>
    <x v="0"/>
    <s v="Uttar Pradesh"/>
    <s v="Noida"/>
    <x v="2"/>
    <x v="5"/>
    <s v="Eco Accessories 705"/>
    <x v="0"/>
    <s v="anomaly"/>
    <n v="-203"/>
    <n v="0"/>
    <x v="419"/>
    <x v="419"/>
    <x v="419"/>
    <x v="273"/>
    <s v="15-04-25"/>
    <x v="3"/>
    <x v="2"/>
    <s v=" "/>
    <n v="-203"/>
    <x v="0"/>
  </r>
  <r>
    <n v="407.63"/>
    <x v="0"/>
    <x v="1"/>
    <m/>
    <x v="435"/>
    <s v="12-04-25"/>
    <s v="20-04-25"/>
    <s v="CUST-7291"/>
    <s v="Kabir Singh"/>
    <x v="3"/>
    <x v="0"/>
    <s v="Delhi"/>
    <s v="New Delhi"/>
    <x v="2"/>
    <x v="12"/>
    <s v="Max Machines 151"/>
    <x v="3"/>
    <s v="anomaly"/>
    <n v="8"/>
    <n v="0.15"/>
    <x v="420"/>
    <x v="420"/>
    <x v="420"/>
    <x v="274"/>
    <s v="20-04-25"/>
    <x v="12"/>
    <x v="2"/>
    <s v=" "/>
    <n v="8"/>
    <x v="0"/>
  </r>
  <r>
    <n v="2234.2600000000002"/>
    <x v="0"/>
    <x v="2"/>
    <m/>
    <x v="436"/>
    <s v="16-06-24"/>
    <s v="21-06-24"/>
    <s v="CUST-4492"/>
    <s v="Neha Gupta"/>
    <x v="0"/>
    <x v="2"/>
    <s v="Kerala"/>
    <s v="Kochi"/>
    <x v="1"/>
    <x v="3"/>
    <s v="Max Furnishings 803"/>
    <x v="1"/>
    <s v="anomaly"/>
    <n v="5"/>
    <n v="0.05"/>
    <x v="421"/>
    <x v="421"/>
    <x v="421"/>
    <x v="275"/>
    <s v="21-06-24"/>
    <x v="11"/>
    <x v="0"/>
    <s v=" "/>
    <n v="5"/>
    <x v="0"/>
  </r>
  <r>
    <n v="1298.4000000000001"/>
    <x v="3"/>
    <x v="2"/>
    <m/>
    <x v="437"/>
    <s v="15-02-24"/>
    <s v="18-02-24"/>
    <s v="CUST-5029"/>
    <s v="Aditi Sen"/>
    <x v="1"/>
    <x v="2"/>
    <s v="Kerala"/>
    <s v="Kochi"/>
    <x v="2"/>
    <x v="5"/>
    <s v="Max Accessories 423"/>
    <x v="1"/>
    <s v="anomaly"/>
    <n v="3"/>
    <n v="0.05"/>
    <x v="422"/>
    <x v="422"/>
    <x v="422"/>
    <x v="94"/>
    <s v="18-02-24"/>
    <x v="6"/>
    <x v="0"/>
    <s v=" "/>
    <n v="3"/>
    <x v="0"/>
  </r>
  <r>
    <n v="449.54"/>
    <x v="0"/>
    <x v="0"/>
    <m/>
    <x v="438"/>
    <s v="07-05-25"/>
    <s v="05-05-25"/>
    <s v="CUST-7252"/>
    <s v="Neha Gupta"/>
    <x v="2"/>
    <x v="1"/>
    <s v="Jharkhand"/>
    <s v="Ranchi"/>
    <x v="2"/>
    <x v="11"/>
    <s v="Elite Phones 276"/>
    <x v="3"/>
    <s v="  "/>
    <n v="-2"/>
    <n v="0.2"/>
    <x v="423"/>
    <x v="423"/>
    <x v="423"/>
    <x v="276"/>
    <s v="05-05-25"/>
    <x v="4"/>
    <x v="2"/>
    <s v="anomaly"/>
    <n v="-2"/>
    <x v="0"/>
  </r>
  <r>
    <n v="636.89"/>
    <x v="1"/>
    <x v="2"/>
    <m/>
    <x v="439"/>
    <s v="30-06-25"/>
    <s v="03-07-25"/>
    <s v="CUST-7346"/>
    <s v="Aarav Sharma"/>
    <x v="3"/>
    <x v="3"/>
    <s v="Goa"/>
    <s v="Panaji"/>
    <x v="0"/>
    <x v="8"/>
    <s v="Smart Storage 287"/>
    <x v="1"/>
    <s v="  "/>
    <n v="3"/>
    <n v="0"/>
    <x v="424"/>
    <x v="424"/>
    <x v="424"/>
    <x v="277"/>
    <s v="03-07-25"/>
    <x v="11"/>
    <x v="2"/>
    <s v="anomaly"/>
    <n v="3"/>
    <x v="0"/>
  </r>
  <r>
    <n v="5705.83"/>
    <x v="0"/>
    <x v="0"/>
    <m/>
    <x v="440"/>
    <s v="04-02-24"/>
    <s v="04-08-24"/>
    <s v="CUST-9039"/>
    <s v="Vikram Iyer"/>
    <x v="2"/>
    <x v="1"/>
    <s v="Odisha"/>
    <s v="Bhubaneswar"/>
    <x v="2"/>
    <x v="12"/>
    <s v="Basic Machines 610"/>
    <x v="0"/>
    <s v="anomaly"/>
    <n v="182"/>
    <n v="0.2"/>
    <x v="425"/>
    <x v="425"/>
    <x v="425"/>
    <x v="278"/>
    <s v="04-08-24"/>
    <x v="6"/>
    <x v="0"/>
    <s v=" "/>
    <n v="182"/>
    <x v="0"/>
  </r>
  <r>
    <n v="4532.99"/>
    <x v="0"/>
    <x v="1"/>
    <m/>
    <x v="441"/>
    <s v="03-10-24"/>
    <s v="03-10-24"/>
    <s v="CUST-3975"/>
    <s v="Karan Malhotra"/>
    <x v="0"/>
    <x v="1"/>
    <s v="Bihar"/>
    <s v="Patna"/>
    <x v="1"/>
    <x v="10"/>
    <s v="Elite Bookcases 393"/>
    <x v="3"/>
    <s v="  "/>
    <n v="0"/>
    <n v="0"/>
    <x v="426"/>
    <x v="426"/>
    <x v="426"/>
    <x v="279"/>
    <s v="03-10-24"/>
    <x v="5"/>
    <x v="0"/>
    <s v=" "/>
    <n v="0"/>
    <x v="0"/>
  </r>
  <r>
    <n v="823.14"/>
    <x v="0"/>
    <x v="0"/>
    <m/>
    <x v="442"/>
    <s v="12-01-25"/>
    <s v="19-01-25"/>
    <s v="CUST-6588"/>
    <s v="Aarav Sharma"/>
    <x v="0"/>
    <x v="1"/>
    <s v="Jharkhand"/>
    <s v="Ranchi"/>
    <x v="1"/>
    <x v="1"/>
    <s v="Prime Tables 242"/>
    <x v="2"/>
    <s v="anomaly"/>
    <n v="7"/>
    <n v="0"/>
    <x v="427"/>
    <x v="427"/>
    <x v="427"/>
    <x v="158"/>
    <s v="19-01-25"/>
    <x v="9"/>
    <x v="2"/>
    <s v=" "/>
    <n v="7"/>
    <x v="0"/>
  </r>
  <r>
    <n v="967.7"/>
    <x v="0"/>
    <x v="0"/>
    <m/>
    <x v="443"/>
    <s v="04-04-24"/>
    <s v="07-04-24"/>
    <s v="CUST-2207"/>
    <s v="Rohan Mehta"/>
    <x v="3"/>
    <x v="1"/>
    <s v="Odisha"/>
    <s v="Bhubaneswar"/>
    <x v="1"/>
    <x v="3"/>
    <s v="Basic Furnishings 563"/>
    <x v="2"/>
    <s v="anomaly"/>
    <n v="3"/>
    <n v="0.1"/>
    <x v="428"/>
    <x v="428"/>
    <x v="428"/>
    <x v="280"/>
    <s v="07-04-24"/>
    <x v="12"/>
    <x v="0"/>
    <s v=" "/>
    <n v="3"/>
    <x v="0"/>
  </r>
  <r>
    <n v="7934.99"/>
    <x v="0"/>
    <x v="0"/>
    <m/>
    <x v="444"/>
    <s v="12-08-25"/>
    <s v="16-08-25"/>
    <s v="CUST-4475"/>
    <s v="Ananya Rao"/>
    <x v="0"/>
    <x v="1"/>
    <s v="Assam"/>
    <s v="Guwahati"/>
    <x v="2"/>
    <x v="5"/>
    <s v="Prime Accessories 482"/>
    <x v="1"/>
    <s v="anomaly"/>
    <n v="4"/>
    <n v="0.05"/>
    <x v="429"/>
    <x v="429"/>
    <x v="429"/>
    <x v="281"/>
    <s v="16-08-25"/>
    <x v="2"/>
    <x v="2"/>
    <s v=" "/>
    <n v="4"/>
    <x v="0"/>
  </r>
  <r>
    <n v="881.68"/>
    <x v="0"/>
    <x v="0"/>
    <m/>
    <x v="445"/>
    <s v="05-09-24"/>
    <s v="05-05-24"/>
    <s v="CUST-1351"/>
    <s v="Arjun Bose"/>
    <x v="0"/>
    <x v="1"/>
    <s v="Assam"/>
    <s v="Guwahati"/>
    <x v="1"/>
    <x v="10"/>
    <s v="Eco Bookcases 215"/>
    <x v="1"/>
    <s v="  "/>
    <n v="-123"/>
    <n v="0.2"/>
    <x v="430"/>
    <x v="430"/>
    <x v="430"/>
    <x v="73"/>
    <s v="05-05-24"/>
    <x v="7"/>
    <x v="0"/>
    <s v="anomaly"/>
    <n v="-123"/>
    <x v="0"/>
  </r>
  <r>
    <n v="10185.89"/>
    <x v="0"/>
    <x v="0"/>
    <m/>
    <x v="446"/>
    <s v="18-09-25"/>
    <s v="19-09-25"/>
    <s v="CUST-9295"/>
    <s v="Sneha Kapoor"/>
    <x v="3"/>
    <x v="2"/>
    <s v="Andhra Pradesh"/>
    <s v="Vijayawada"/>
    <x v="0"/>
    <x v="8"/>
    <s v="Eco Storage 793"/>
    <x v="1"/>
    <s v="anomaly"/>
    <n v="1"/>
    <n v="0"/>
    <x v="431"/>
    <x v="431"/>
    <x v="431"/>
    <x v="282"/>
    <s v="19-09-25"/>
    <x v="7"/>
    <x v="2"/>
    <s v=" "/>
    <n v="1"/>
    <x v="0"/>
  </r>
  <r>
    <n v="8042.87"/>
    <x v="2"/>
    <x v="2"/>
    <m/>
    <x v="447"/>
    <s v="10-08-25"/>
    <s v="10-08-25"/>
    <s v="CUST-3614"/>
    <s v="Rohan Mehta"/>
    <x v="3"/>
    <x v="2"/>
    <s v="Telangana"/>
    <s v="Hyderabad"/>
    <x v="1"/>
    <x v="10"/>
    <s v="Basic Bookcases 182"/>
    <x v="3"/>
    <s v="  "/>
    <n v="0"/>
    <n v="0.15"/>
    <x v="432"/>
    <x v="432"/>
    <x v="432"/>
    <x v="250"/>
    <s v="10-08-25"/>
    <x v="2"/>
    <x v="2"/>
    <s v=" "/>
    <n v="0"/>
    <x v="0"/>
  </r>
  <r>
    <n v="97.49"/>
    <x v="0"/>
    <x v="0"/>
    <m/>
    <x v="448"/>
    <s v="invalid date"/>
    <s v="18-01-24"/>
    <s v="CUST-1932"/>
    <s v="Mira Das"/>
    <x v="1"/>
    <x v="2"/>
    <s v="Andhra Pradesh"/>
    <s v="Vijayawada"/>
    <x v="1"/>
    <x v="4"/>
    <s v="Prime Chairs 631"/>
    <x v="2"/>
    <s v="Invalid"/>
    <s v="invalid date"/>
    <n v="0.15"/>
    <x v="433"/>
    <x v="433"/>
    <x v="433"/>
    <x v="1"/>
    <s v="18-01-24"/>
    <x v="1"/>
    <x v="1"/>
    <s v="Invalid"/>
    <s v="invalid date"/>
    <x v="0"/>
  </r>
  <r>
    <n v="5350.89"/>
    <x v="0"/>
    <x v="0"/>
    <m/>
    <x v="449"/>
    <s v="06-06-24"/>
    <s v="13-06-24"/>
    <s v="CUST-5094"/>
    <s v="Aditi Sen"/>
    <x v="2"/>
    <x v="1"/>
    <s v="Assam"/>
    <s v="Guwahati"/>
    <x v="2"/>
    <x v="12"/>
    <s v="Basic Machines 808"/>
    <x v="0"/>
    <s v="anomaly"/>
    <n v="7"/>
    <n v="0"/>
    <x v="434"/>
    <x v="434"/>
    <x v="434"/>
    <x v="255"/>
    <s v="13-06-24"/>
    <x v="11"/>
    <x v="0"/>
    <s v=" "/>
    <n v="7"/>
    <x v="0"/>
  </r>
  <r>
    <n v="5472.98"/>
    <x v="0"/>
    <x v="0"/>
    <m/>
    <x v="450"/>
    <s v="06-12-25"/>
    <s v="19-06-25"/>
    <s v="CUST-8672"/>
    <s v="Ananya Rao"/>
    <x v="2"/>
    <x v="0"/>
    <s v="Delhi"/>
    <s v="New Delhi"/>
    <x v="1"/>
    <x v="4"/>
    <s v="Pro Chairs 302"/>
    <x v="3"/>
    <s v="anomaly"/>
    <n v="-170"/>
    <n v="0.25"/>
    <x v="435"/>
    <x v="435"/>
    <x v="435"/>
    <x v="283"/>
    <s v="19-06-25"/>
    <x v="8"/>
    <x v="2"/>
    <s v=" "/>
    <n v="-170"/>
    <x v="0"/>
  </r>
  <r>
    <n v="1912.13"/>
    <x v="0"/>
    <x v="1"/>
    <m/>
    <x v="451"/>
    <s v="24-03-24"/>
    <s v="26-03-24"/>
    <s v="CUST-3907"/>
    <s v="Rohan Mehta"/>
    <x v="1"/>
    <x v="0"/>
    <s v="Haryana"/>
    <s v="Gurugram"/>
    <x v="0"/>
    <x v="0"/>
    <s v="Classic Paper 272"/>
    <x v="0"/>
    <s v="anomaly"/>
    <n v="2"/>
    <n v="0.15"/>
    <x v="436"/>
    <x v="436"/>
    <x v="436"/>
    <x v="284"/>
    <s v="26-03-24"/>
    <x v="10"/>
    <x v="0"/>
    <s v=" "/>
    <n v="2"/>
    <x v="0"/>
  </r>
  <r>
    <n v="4035.05"/>
    <x v="0"/>
    <x v="0"/>
    <m/>
    <x v="452"/>
    <s v="10-05-24"/>
    <s v="16-05-24"/>
    <s v="CUST-8796"/>
    <s v="Diya Patel"/>
    <x v="3"/>
    <x v="1"/>
    <s v="Jharkhand"/>
    <s v="Ranchi"/>
    <x v="2"/>
    <x v="5"/>
    <s v="Smart Accessories 149"/>
    <x v="0"/>
    <s v="anomaly"/>
    <n v="6"/>
    <n v="0.2"/>
    <x v="437"/>
    <x v="437"/>
    <x v="437"/>
    <x v="285"/>
    <s v="16-05-24"/>
    <x v="4"/>
    <x v="0"/>
    <s v=" "/>
    <n v="6"/>
    <x v="0"/>
  </r>
  <r>
    <n v="2461.7399999999998"/>
    <x v="0"/>
    <x v="0"/>
    <m/>
    <x v="453"/>
    <s v="05-03-25"/>
    <s v="11-05-25"/>
    <s v="CUST-2317"/>
    <s v="Rohan Mehta"/>
    <x v="1"/>
    <x v="3"/>
    <s v="Madhya Pradesh"/>
    <s v="Indore"/>
    <x v="0"/>
    <x v="7"/>
    <s v="Elite Labels 322"/>
    <x v="1"/>
    <s v="anomaly"/>
    <n v="67"/>
    <n v="0"/>
    <x v="438"/>
    <x v="438"/>
    <x v="438"/>
    <x v="286"/>
    <s v="11-05-25"/>
    <x v="10"/>
    <x v="2"/>
    <s v=" "/>
    <n v="67"/>
    <x v="0"/>
  </r>
  <r>
    <n v="5059.2700000000004"/>
    <x v="0"/>
    <x v="0"/>
    <m/>
    <x v="454"/>
    <s v="23-03-25"/>
    <s v="28-03-25"/>
    <s v="CUST-8643"/>
    <s v="Vikram Iyer"/>
    <x v="1"/>
    <x v="0"/>
    <s v="Rajasthan"/>
    <s v="Jaipur"/>
    <x v="1"/>
    <x v="3"/>
    <s v="Max Furnishings 821"/>
    <x v="3"/>
    <s v="anomaly"/>
    <n v="5"/>
    <n v="0.15"/>
    <x v="439"/>
    <x v="439"/>
    <x v="439"/>
    <x v="287"/>
    <s v="28-03-25"/>
    <x v="10"/>
    <x v="2"/>
    <s v=" "/>
    <n v="5"/>
    <x v="0"/>
  </r>
  <r>
    <n v="1386.48"/>
    <x v="0"/>
    <x v="0"/>
    <m/>
    <x v="455"/>
    <s v="18-07-24"/>
    <s v="22-07-24"/>
    <s v="CUST-1800"/>
    <s v="Neha Gupta"/>
    <x v="1"/>
    <x v="2"/>
    <s v="Telangana"/>
    <s v="Hyderabad"/>
    <x v="0"/>
    <x v="2"/>
    <s v="Basic Art 556"/>
    <x v="3"/>
    <s v="anomaly"/>
    <n v="4"/>
    <n v="0"/>
    <x v="440"/>
    <x v="440"/>
    <x v="440"/>
    <x v="288"/>
    <s v="22-07-24"/>
    <x v="0"/>
    <x v="0"/>
    <s v=" "/>
    <n v="4"/>
    <x v="0"/>
  </r>
  <r>
    <n v="4447.26"/>
    <x v="0"/>
    <x v="2"/>
    <m/>
    <x v="456"/>
    <s v="20-02-24"/>
    <s v="20-02-24"/>
    <s v="CUST-7688"/>
    <s v="Neha Gupta"/>
    <x v="2"/>
    <x v="0"/>
    <s v="Uttar Pradesh"/>
    <s v="Noida"/>
    <x v="2"/>
    <x v="5"/>
    <s v="Smart Accessories 265"/>
    <x v="1"/>
    <s v="  "/>
    <n v="0"/>
    <n v="0.15"/>
    <x v="441"/>
    <x v="441"/>
    <x v="441"/>
    <x v="86"/>
    <s v="20-02-24"/>
    <x v="6"/>
    <x v="0"/>
    <s v=" "/>
    <n v="0"/>
    <x v="0"/>
  </r>
  <r>
    <n v="3356.97"/>
    <x v="0"/>
    <x v="0"/>
    <m/>
    <x v="457"/>
    <s v="05-04-24"/>
    <s v="04-05-24"/>
    <s v="CUST-4957"/>
    <s v="Mira Das"/>
    <x v="1"/>
    <x v="3"/>
    <s v="Goa"/>
    <s v="Panaji"/>
    <x v="1"/>
    <x v="1"/>
    <s v="Elite Tables 418"/>
    <x v="3"/>
    <s v="  "/>
    <n v="29"/>
    <n v="0"/>
    <x v="442"/>
    <x v="442"/>
    <x v="442"/>
    <x v="252"/>
    <s v="04-05-24"/>
    <x v="12"/>
    <x v="0"/>
    <s v="anomaly"/>
    <n v="29"/>
    <x v="0"/>
  </r>
  <r>
    <n v="3217.88"/>
    <x v="0"/>
    <x v="0"/>
    <m/>
    <x v="458"/>
    <s v="10-02-24"/>
    <s v="02-11-24"/>
    <s v="CUST-1263"/>
    <s v="Karan Malhotra"/>
    <x v="2"/>
    <x v="0"/>
    <s v="Rajasthan"/>
    <s v="Jaipur"/>
    <x v="2"/>
    <x v="11"/>
    <s v="Pro Phones 907"/>
    <x v="0"/>
    <s v="  "/>
    <n v="266"/>
    <n v="0.1"/>
    <x v="443"/>
    <x v="443"/>
    <x v="443"/>
    <x v="272"/>
    <s v="02-11-24"/>
    <x v="6"/>
    <x v="0"/>
    <s v="anomaly"/>
    <n v="266"/>
    <x v="0"/>
  </r>
  <r>
    <n v="1374.8"/>
    <x v="0"/>
    <x v="0"/>
    <m/>
    <x v="459"/>
    <s v="invalid date"/>
    <s v="04-04-24"/>
    <s v="CUST-4745"/>
    <s v="Ananya Rao"/>
    <x v="3"/>
    <x v="3"/>
    <s v="Goa"/>
    <s v="Panaji"/>
    <x v="0"/>
    <x v="0"/>
    <s v="Basic Paper 233"/>
    <x v="2"/>
    <s v="Invalid"/>
    <s v="invalid date"/>
    <n v="0"/>
    <x v="444"/>
    <x v="444"/>
    <x v="444"/>
    <x v="1"/>
    <s v="04-04-24"/>
    <x v="1"/>
    <x v="1"/>
    <s v="Invalid"/>
    <s v="invalid date"/>
    <x v="0"/>
  </r>
  <r>
    <n v="4232.8999999999996"/>
    <x v="0"/>
    <x v="0"/>
    <m/>
    <x v="460"/>
    <s v="30-09-25"/>
    <s v="06-10-25"/>
    <s v="CUST-5551"/>
    <s v="Aarav Sharma"/>
    <x v="2"/>
    <x v="4"/>
    <s v="Rajasthan"/>
    <s v="Jaipur"/>
    <x v="2"/>
    <x v="6"/>
    <s v="Eco Copiers 603"/>
    <x v="0"/>
    <s v="  "/>
    <n v="6"/>
    <n v="0.05"/>
    <x v="445"/>
    <x v="445"/>
    <x v="445"/>
    <x v="289"/>
    <s v="06-10-25"/>
    <x v="7"/>
    <x v="2"/>
    <s v="anomaly"/>
    <n v="6"/>
    <x v="0"/>
  </r>
  <r>
    <n v="1562.2"/>
    <x v="0"/>
    <x v="0"/>
    <m/>
    <x v="461"/>
    <s v="invalid date"/>
    <s v="invalid date"/>
    <s v="CUST-3659"/>
    <s v="Neha Gupta"/>
    <x v="2"/>
    <x v="2"/>
    <s v="Andhra Pradesh"/>
    <s v="Vijayawada"/>
    <x v="0"/>
    <x v="0"/>
    <s v="Max Paper 700"/>
    <x v="3"/>
    <s v="Invalid"/>
    <s v="invalid date"/>
    <n v="0.15"/>
    <x v="446"/>
    <x v="446"/>
    <x v="446"/>
    <x v="1"/>
    <s v="invalid date"/>
    <x v="1"/>
    <x v="1"/>
    <s v="Invalid"/>
    <s v="invalid date"/>
    <x v="0"/>
  </r>
  <r>
    <n v="644.51"/>
    <x v="0"/>
    <x v="0"/>
    <m/>
    <x v="462"/>
    <s v="invalid date"/>
    <s v="25-09-24"/>
    <s v="CUST-6594"/>
    <s v="Aarav Sharma"/>
    <x v="3"/>
    <x v="0"/>
    <s v="Delhi"/>
    <s v="New Delhi"/>
    <x v="0"/>
    <x v="9"/>
    <s v="Pro Binders 404"/>
    <x v="2"/>
    <s v="Invalid"/>
    <s v="invalid date"/>
    <n v="0.2"/>
    <x v="447"/>
    <x v="447"/>
    <x v="447"/>
    <x v="1"/>
    <s v="25-09-24"/>
    <x v="1"/>
    <x v="1"/>
    <s v="Invalid"/>
    <s v="invalid date"/>
    <x v="0"/>
  </r>
  <r>
    <n v="714.03"/>
    <x v="0"/>
    <x v="0"/>
    <m/>
    <x v="463"/>
    <s v="07-02-25"/>
    <s v="08-02-25"/>
    <s v="CUST-2626"/>
    <s v="Arjun Bose"/>
    <x v="2"/>
    <x v="3"/>
    <s v="Madhya Pradesh"/>
    <s v="Indore"/>
    <x v="2"/>
    <x v="11"/>
    <s v="Eco Phones 208"/>
    <x v="3"/>
    <s v="anomaly"/>
    <n v="1"/>
    <n v="0.2"/>
    <x v="448"/>
    <x v="448"/>
    <x v="448"/>
    <x v="173"/>
    <s v="08-02-25"/>
    <x v="6"/>
    <x v="2"/>
    <s v=" "/>
    <n v="1"/>
    <x v="0"/>
  </r>
  <r>
    <n v="3199.57"/>
    <x v="2"/>
    <x v="1"/>
    <m/>
    <x v="464"/>
    <s v="11-03-25"/>
    <s v="invalid date"/>
    <s v="CUST-7362"/>
    <s v="Arjun Bose"/>
    <x v="2"/>
    <x v="1"/>
    <s v="Bihar"/>
    <s v="Patna"/>
    <x v="0"/>
    <x v="0"/>
    <s v="Elite Paper 106"/>
    <x v="1"/>
    <s v="Invalid"/>
    <s v="invalid date"/>
    <n v="0.05"/>
    <x v="449"/>
    <x v="449"/>
    <x v="449"/>
    <x v="290"/>
    <s v="invalid date"/>
    <x v="10"/>
    <x v="2"/>
    <s v="Invalid"/>
    <s v="invalid date"/>
    <x v="0"/>
  </r>
  <r>
    <n v="1039.26"/>
    <x v="0"/>
    <x v="0"/>
    <m/>
    <x v="465"/>
    <s v="29-01-24"/>
    <s v="06-02-24"/>
    <s v="CUST-1748"/>
    <s v="Aarav Sharma"/>
    <x v="1"/>
    <x v="3"/>
    <s v="Madhya Pradesh"/>
    <s v="Indore"/>
    <x v="0"/>
    <x v="7"/>
    <s v="Eco Labels 914"/>
    <x v="3"/>
    <s v="  "/>
    <n v="8"/>
    <n v="0"/>
    <x v="450"/>
    <x v="450"/>
    <x v="450"/>
    <x v="291"/>
    <s v="06-02-24"/>
    <x v="9"/>
    <x v="0"/>
    <s v="anomaly"/>
    <n v="8"/>
    <x v="0"/>
  </r>
  <r>
    <n v="4356.63"/>
    <x v="0"/>
    <x v="0"/>
    <m/>
    <x v="466"/>
    <s v="04-01-24"/>
    <s v="01-08-24"/>
    <s v="CUST-2725"/>
    <s v="Mira Das"/>
    <x v="1"/>
    <x v="1"/>
    <s v="Bihar"/>
    <s v="Patna"/>
    <x v="2"/>
    <x v="5"/>
    <s v="Max Accessories 486"/>
    <x v="1"/>
    <s v="  "/>
    <n v="210"/>
    <n v="0.2"/>
    <x v="451"/>
    <x v="451"/>
    <x v="451"/>
    <x v="292"/>
    <s v="01-08-24"/>
    <x v="9"/>
    <x v="0"/>
    <s v="anomaly"/>
    <n v="210"/>
    <x v="0"/>
  </r>
  <r>
    <n v="3845.83"/>
    <x v="1"/>
    <x v="1"/>
    <m/>
    <x v="467"/>
    <s v="20-08-24"/>
    <s v="21-08-24"/>
    <s v="CUST-9470"/>
    <s v="Aditi Sen"/>
    <x v="2"/>
    <x v="1"/>
    <s v="Odisha"/>
    <s v="Bhubaneswar"/>
    <x v="2"/>
    <x v="6"/>
    <s v="Max Copiers 867"/>
    <x v="2"/>
    <s v="anomaly"/>
    <n v="1"/>
    <n v="0.1"/>
    <x v="452"/>
    <x v="452"/>
    <x v="452"/>
    <x v="293"/>
    <s v="21-08-24"/>
    <x v="2"/>
    <x v="0"/>
    <s v=" "/>
    <n v="1"/>
    <x v="0"/>
  </r>
  <r>
    <n v="1157.75"/>
    <x v="0"/>
    <x v="0"/>
    <m/>
    <x v="468"/>
    <s v="09-01-25"/>
    <s v="07-01-25"/>
    <s v="CUST-4176"/>
    <s v="Aarav Sharma"/>
    <x v="3"/>
    <x v="1"/>
    <s v="West Bengal"/>
    <s v="Kolkata"/>
    <x v="0"/>
    <x v="9"/>
    <s v="Pro Binders 555"/>
    <x v="0"/>
    <s v="  "/>
    <n v="-2"/>
    <n v="0"/>
    <x v="453"/>
    <x v="453"/>
    <x v="453"/>
    <x v="294"/>
    <s v="07-01-25"/>
    <x v="9"/>
    <x v="2"/>
    <s v="anomaly"/>
    <n v="-2"/>
    <x v="0"/>
  </r>
  <r>
    <n v="530.36"/>
    <x v="0"/>
    <x v="0"/>
    <m/>
    <x v="469"/>
    <s v="19-01-24"/>
    <s v="invalid date"/>
    <s v="CUST-3448"/>
    <s v="Aditi Sen"/>
    <x v="2"/>
    <x v="3"/>
    <s v="Goa"/>
    <s v="Panaji"/>
    <x v="2"/>
    <x v="6"/>
    <s v="Pro Copiers 971"/>
    <x v="2"/>
    <s v="Invalid"/>
    <s v="invalid date"/>
    <n v="0.1"/>
    <x v="454"/>
    <x v="454"/>
    <x v="454"/>
    <x v="295"/>
    <s v="invalid date"/>
    <x v="9"/>
    <x v="0"/>
    <s v="Invalid"/>
    <s v="invalid date"/>
    <x v="0"/>
  </r>
  <r>
    <n v="2613.7399999999998"/>
    <x v="0"/>
    <x v="0"/>
    <m/>
    <x v="470"/>
    <s v="28-07-24"/>
    <s v="invalid date"/>
    <s v="CUST-4970"/>
    <s v="Aditi Sen"/>
    <x v="0"/>
    <x v="0"/>
    <s v="Rajasthan"/>
    <s v="Jaipur"/>
    <x v="1"/>
    <x v="1"/>
    <s v="Pro Tables 833"/>
    <x v="1"/>
    <s v="Invalid"/>
    <s v="invalid date"/>
    <n v="0.2"/>
    <x v="455"/>
    <x v="455"/>
    <x v="455"/>
    <x v="296"/>
    <s v="invalid date"/>
    <x v="0"/>
    <x v="0"/>
    <s v="Invalid"/>
    <s v="invalid date"/>
    <x v="0"/>
  </r>
  <r>
    <n v="1807.85"/>
    <x v="0"/>
    <x v="0"/>
    <m/>
    <x v="471"/>
    <s v="11-02-24"/>
    <s v="invalid date"/>
    <s v="CUST-6147"/>
    <s v="Kabir Singh"/>
    <x v="0"/>
    <x v="2"/>
    <s v="Telangana"/>
    <s v="Hyderabad"/>
    <x v="0"/>
    <x v="9"/>
    <s v="Prime Binders 497"/>
    <x v="3"/>
    <s v="Invalid"/>
    <s v="invalid date"/>
    <n v="0.25"/>
    <x v="456"/>
    <x v="456"/>
    <x v="456"/>
    <x v="62"/>
    <s v="invalid date"/>
    <x v="6"/>
    <x v="0"/>
    <s v="Invalid"/>
    <s v="invalid date"/>
    <x v="0"/>
  </r>
  <r>
    <n v="750.01"/>
    <x v="0"/>
    <x v="0"/>
    <m/>
    <x v="472"/>
    <s v="02-03-24"/>
    <s v="03-07-24"/>
    <s v="CUST-7208"/>
    <s v="Rohan Mehta"/>
    <x v="2"/>
    <x v="1"/>
    <s v="Odisha"/>
    <s v="Bhubaneswar"/>
    <x v="0"/>
    <x v="8"/>
    <s v="Pro Storage 756"/>
    <x v="3"/>
    <s v="anomaly"/>
    <n v="123"/>
    <n v="0"/>
    <x v="457"/>
    <x v="457"/>
    <x v="457"/>
    <x v="297"/>
    <s v="03-07-24"/>
    <x v="10"/>
    <x v="0"/>
    <s v=" "/>
    <n v="123"/>
    <x v="0"/>
  </r>
  <r>
    <n v="364.78"/>
    <x v="0"/>
    <x v="0"/>
    <m/>
    <x v="473"/>
    <s v="13-11-24"/>
    <s v="13-11-24"/>
    <s v="CUST-2794"/>
    <s v="Priya Menon"/>
    <x v="0"/>
    <x v="3"/>
    <s v="Goa"/>
    <s v="Panaji"/>
    <x v="2"/>
    <x v="6"/>
    <s v="Max Copiers 829"/>
    <x v="3"/>
    <s v="  "/>
    <n v="0"/>
    <n v="0.2"/>
    <x v="458"/>
    <x v="458"/>
    <x v="458"/>
    <x v="298"/>
    <s v="13-11-24"/>
    <x v="3"/>
    <x v="0"/>
    <s v=" "/>
    <n v="0"/>
    <x v="0"/>
  </r>
  <r>
    <n v="2186.81"/>
    <x v="0"/>
    <x v="0"/>
    <m/>
    <x v="474"/>
    <s v="03-06-24"/>
    <s v="10-06-24"/>
    <s v="CUST-6249"/>
    <s v="Diya Patel"/>
    <x v="2"/>
    <x v="0"/>
    <s v="Punjab"/>
    <s v="Ludhiana"/>
    <x v="1"/>
    <x v="3"/>
    <s v="Prime Furnishings 827"/>
    <x v="3"/>
    <s v="anomaly"/>
    <n v="7"/>
    <n v="0"/>
    <x v="459"/>
    <x v="459"/>
    <x v="459"/>
    <x v="208"/>
    <s v="10-06-24"/>
    <x v="11"/>
    <x v="0"/>
    <s v=" "/>
    <n v="7"/>
    <x v="0"/>
  </r>
  <r>
    <n v="4399.54"/>
    <x v="2"/>
    <x v="2"/>
    <m/>
    <x v="475"/>
    <s v="03-01-25"/>
    <s v="08-03-25"/>
    <s v="CUST-5712"/>
    <s v="Vikram Iyer"/>
    <x v="0"/>
    <x v="1"/>
    <s v="West Bengal"/>
    <s v="Kolkata"/>
    <x v="1"/>
    <x v="4"/>
    <s v="Eco Chairs 365"/>
    <x v="1"/>
    <s v="anomaly"/>
    <n v="64"/>
    <n v="0.25"/>
    <x v="460"/>
    <x v="460"/>
    <x v="460"/>
    <x v="299"/>
    <s v="08-03-25"/>
    <x v="9"/>
    <x v="2"/>
    <s v=" "/>
    <n v="64"/>
    <x v="0"/>
  </r>
  <r>
    <n v="440.25"/>
    <x v="0"/>
    <x v="0"/>
    <m/>
    <x v="476"/>
    <s v="05-07-24"/>
    <s v="invalid date"/>
    <s v="CUST-3004"/>
    <s v="Sneha Kapoor"/>
    <x v="1"/>
    <x v="0"/>
    <s v="Rajasthan"/>
    <s v="Jaipur"/>
    <x v="0"/>
    <x v="8"/>
    <s v="Classic Storage 545"/>
    <x v="2"/>
    <s v="Invalid"/>
    <s v="invalid date"/>
    <n v="0.1"/>
    <x v="461"/>
    <x v="461"/>
    <x v="461"/>
    <x v="163"/>
    <s v="invalid date"/>
    <x v="0"/>
    <x v="0"/>
    <s v="Invalid"/>
    <s v="invalid date"/>
    <x v="0"/>
  </r>
  <r>
    <n v="2486.56"/>
    <x v="0"/>
    <x v="1"/>
    <m/>
    <x v="477"/>
    <s v="invalid date"/>
    <s v="28-08-25"/>
    <s v="CUST-6920"/>
    <s v="Vikram Iyer"/>
    <x v="2"/>
    <x v="3"/>
    <s v="Gujarat"/>
    <s v="Ahmedabad"/>
    <x v="1"/>
    <x v="4"/>
    <s v="Pro Chairs 186"/>
    <x v="3"/>
    <s v="Invalid"/>
    <s v="invalid date"/>
    <n v="0.1"/>
    <x v="462"/>
    <x v="462"/>
    <x v="462"/>
    <x v="1"/>
    <s v="28-08-25"/>
    <x v="1"/>
    <x v="1"/>
    <s v="Invalid"/>
    <s v="invalid date"/>
    <x v="0"/>
  </r>
  <r>
    <n v="11130.69"/>
    <x v="1"/>
    <x v="2"/>
    <m/>
    <x v="478"/>
    <s v="06-09-24"/>
    <s v="13-06-24"/>
    <s v="CUST-4838"/>
    <s v="Mira Das"/>
    <x v="3"/>
    <x v="4"/>
    <s v="Uttar Pradesh"/>
    <s v="Noida"/>
    <x v="2"/>
    <x v="12"/>
    <s v="Classic Machines 561"/>
    <x v="1"/>
    <s v="anomaly"/>
    <n v="-85"/>
    <n v="0.1"/>
    <x v="463"/>
    <x v="463"/>
    <x v="463"/>
    <x v="300"/>
    <s v="13-06-24"/>
    <x v="7"/>
    <x v="0"/>
    <s v=" "/>
    <n v="-85"/>
    <x v="0"/>
  </r>
  <r>
    <n v="617.34"/>
    <x v="0"/>
    <x v="0"/>
    <m/>
    <x v="479"/>
    <s v="23-02-24"/>
    <s v="20-02-24"/>
    <s v="CUST-7520"/>
    <s v="Arjun Bose"/>
    <x v="2"/>
    <x v="1"/>
    <s v="Odisha"/>
    <s v="Bhubaneswar"/>
    <x v="1"/>
    <x v="4"/>
    <s v="Max Chairs 594"/>
    <x v="0"/>
    <s v="  "/>
    <n v="-3"/>
    <n v="0"/>
    <x v="464"/>
    <x v="464"/>
    <x v="464"/>
    <x v="301"/>
    <s v="20-02-24"/>
    <x v="6"/>
    <x v="0"/>
    <s v="anomaly"/>
    <n v="-3"/>
    <x v="0"/>
  </r>
  <r>
    <n v="1811.29"/>
    <x v="0"/>
    <x v="0"/>
    <m/>
    <x v="480"/>
    <s v="05-01-25"/>
    <s v="09-01-25"/>
    <s v="CUST-9947"/>
    <s v="Neha Gupta"/>
    <x v="1"/>
    <x v="2"/>
    <s v="Tamil Nadu"/>
    <s v="Chennai"/>
    <x v="0"/>
    <x v="8"/>
    <s v="Eco Storage 923"/>
    <x v="4"/>
    <s v="anomaly"/>
    <n v="4"/>
    <n v="0"/>
    <x v="465"/>
    <x v="465"/>
    <x v="465"/>
    <x v="50"/>
    <s v="09-01-25"/>
    <x v="9"/>
    <x v="2"/>
    <s v=" "/>
    <n v="4"/>
    <x v="0"/>
  </r>
  <r>
    <n v="4263.1499999999996"/>
    <x v="0"/>
    <x v="0"/>
    <m/>
    <x v="481"/>
    <s v="05-06-25"/>
    <s v="invalid date"/>
    <s v="CUST-4403"/>
    <s v="Isha Nair"/>
    <x v="0"/>
    <x v="0"/>
    <s v="Uttar Pradesh"/>
    <s v="Noida"/>
    <x v="2"/>
    <x v="12"/>
    <s v="Classic Machines 287"/>
    <x v="1"/>
    <s v="Invalid"/>
    <s v="invalid date"/>
    <s v="invalid"/>
    <x v="2"/>
    <x v="2"/>
    <x v="2"/>
    <x v="302"/>
    <s v="invalid date"/>
    <x v="11"/>
    <x v="2"/>
    <s v="Invalid"/>
    <s v="invalid date"/>
    <x v="0"/>
  </r>
  <r>
    <n v="1037.96"/>
    <x v="0"/>
    <x v="0"/>
    <m/>
    <x v="482"/>
    <s v="invalid date"/>
    <s v="invalid date"/>
    <s v="CUST-3583"/>
    <s v="Priya Menon"/>
    <x v="0"/>
    <x v="2"/>
    <s v="Karnataka"/>
    <s v="Bengaluru"/>
    <x v="2"/>
    <x v="5"/>
    <s v="Basic Accessories 518"/>
    <x v="0"/>
    <s v="Invalid"/>
    <s v="invalid date"/>
    <n v="0.25"/>
    <x v="466"/>
    <x v="466"/>
    <x v="466"/>
    <x v="1"/>
    <s v="invalid date"/>
    <x v="1"/>
    <x v="1"/>
    <s v="Invalid"/>
    <s v="invalid date"/>
    <x v="0"/>
  </r>
  <r>
    <n v="266.89"/>
    <x v="0"/>
    <x v="0"/>
    <m/>
    <x v="483"/>
    <s v="25-12-24"/>
    <s v="25-12-24"/>
    <s v="CUST-9432"/>
    <s v="Mira Das"/>
    <x v="2"/>
    <x v="1"/>
    <s v="Bihar"/>
    <s v="Patna"/>
    <x v="2"/>
    <x v="6"/>
    <s v="Pro Copiers 984"/>
    <x v="3"/>
    <s v="  "/>
    <n v="0"/>
    <n v="0.15"/>
    <x v="467"/>
    <x v="467"/>
    <x v="467"/>
    <x v="303"/>
    <s v="25-12-24"/>
    <x v="8"/>
    <x v="0"/>
    <s v=" "/>
    <n v="0"/>
    <x v="0"/>
  </r>
  <r>
    <n v="2706.25"/>
    <x v="0"/>
    <x v="0"/>
    <m/>
    <x v="484"/>
    <s v="28-12-24"/>
    <s v="invalid date"/>
    <s v="CUST-1801"/>
    <s v="Mira Das"/>
    <x v="1"/>
    <x v="2"/>
    <s v="Andhra Pradesh"/>
    <s v="Vijayawada"/>
    <x v="1"/>
    <x v="3"/>
    <s v="Max Furnishings 297"/>
    <x v="2"/>
    <s v="Invalid"/>
    <s v="invalid date"/>
    <n v="0.25"/>
    <x v="468"/>
    <x v="468"/>
    <x v="468"/>
    <x v="304"/>
    <s v="invalid date"/>
    <x v="8"/>
    <x v="0"/>
    <s v="Invalid"/>
    <s v="invalid date"/>
    <x v="0"/>
  </r>
  <r>
    <n v="2069.9699999999998"/>
    <x v="0"/>
    <x v="0"/>
    <m/>
    <x v="485"/>
    <s v="22-01-25"/>
    <s v="23-01-25"/>
    <s v="CUST-1594"/>
    <s v="Rahul Verma"/>
    <x v="2"/>
    <x v="3"/>
    <s v="Goa"/>
    <s v="Panaji"/>
    <x v="1"/>
    <x v="10"/>
    <s v="Elite Bookcases 802"/>
    <x v="3"/>
    <s v="anomaly"/>
    <n v="1"/>
    <n v="0.25"/>
    <x v="469"/>
    <x v="469"/>
    <x v="469"/>
    <x v="305"/>
    <s v="23-01-25"/>
    <x v="9"/>
    <x v="2"/>
    <s v=" "/>
    <n v="1"/>
    <x v="0"/>
  </r>
  <r>
    <n v="1504.34"/>
    <x v="0"/>
    <x v="0"/>
    <m/>
    <x v="486"/>
    <s v="22-06-25"/>
    <s v="invalid date"/>
    <s v="CUST-8132"/>
    <s v="Rahul Verma"/>
    <x v="2"/>
    <x v="3"/>
    <s v="Goa"/>
    <s v="Panaji"/>
    <x v="1"/>
    <x v="1"/>
    <s v="Pro Tables 257"/>
    <x v="3"/>
    <s v="Invalid"/>
    <s v="invalid date"/>
    <n v="0.2"/>
    <x v="470"/>
    <x v="470"/>
    <x v="470"/>
    <x v="225"/>
    <s v="invalid date"/>
    <x v="11"/>
    <x v="2"/>
    <s v="Invalid"/>
    <s v="invalid date"/>
    <x v="0"/>
  </r>
  <r>
    <n v="1873.41"/>
    <x v="1"/>
    <x v="2"/>
    <m/>
    <x v="487"/>
    <s v="10-06-25"/>
    <s v="invalid date"/>
    <s v="CUST-7685"/>
    <s v="Rahul Verma"/>
    <x v="2"/>
    <x v="2"/>
    <s v="Telangana"/>
    <s v="Hyderabad"/>
    <x v="1"/>
    <x v="3"/>
    <s v="Prime Furnishings 299"/>
    <x v="3"/>
    <s v="Invalid"/>
    <s v="invalid date"/>
    <n v="0"/>
    <x v="471"/>
    <x v="471"/>
    <x v="471"/>
    <x v="306"/>
    <s v="invalid date"/>
    <x v="11"/>
    <x v="2"/>
    <s v="Invalid"/>
    <s v="invalid date"/>
    <x v="0"/>
  </r>
  <r>
    <n v="2699.12"/>
    <x v="0"/>
    <x v="0"/>
    <m/>
    <x v="488"/>
    <s v="14-10-24"/>
    <s v="20-10-24"/>
    <s v="CUST-2183"/>
    <s v="Aditi Sen"/>
    <x v="1"/>
    <x v="0"/>
    <s v="Rajasthan"/>
    <s v="Jaipur"/>
    <x v="1"/>
    <x v="1"/>
    <s v="Eco Tables 487"/>
    <x v="1"/>
    <s v="anomaly"/>
    <n v="6"/>
    <n v="0.2"/>
    <x v="472"/>
    <x v="472"/>
    <x v="472"/>
    <x v="167"/>
    <s v="20-10-24"/>
    <x v="5"/>
    <x v="0"/>
    <s v=" "/>
    <n v="6"/>
    <x v="0"/>
  </r>
  <r>
    <n v="99.22"/>
    <x v="0"/>
    <x v="0"/>
    <m/>
    <x v="489"/>
    <s v="07-02-24"/>
    <s v="12-02-24"/>
    <s v="CUST-1636"/>
    <s v="Arjun Bose"/>
    <x v="3"/>
    <x v="1"/>
    <s v="West Bengal"/>
    <s v="Kolkata"/>
    <x v="2"/>
    <x v="5"/>
    <s v="Prime Accessories 960"/>
    <x v="0"/>
    <s v="anomaly"/>
    <n v="5"/>
    <n v="0.2"/>
    <x v="473"/>
    <x v="473"/>
    <x v="473"/>
    <x v="51"/>
    <s v="12-02-24"/>
    <x v="6"/>
    <x v="0"/>
    <s v=" "/>
    <n v="5"/>
    <x v="0"/>
  </r>
  <r>
    <n v="804.38"/>
    <x v="0"/>
    <x v="0"/>
    <m/>
    <x v="490"/>
    <s v="16-09-24"/>
    <s v="invalid date"/>
    <s v="CUST-1350"/>
    <s v="Aditi Sen"/>
    <x v="0"/>
    <x v="3"/>
    <s v="Rajasthan"/>
    <s v="Udaipur"/>
    <x v="0"/>
    <x v="9"/>
    <s v="Smart Binders 191"/>
    <x v="2"/>
    <s v="Invalid"/>
    <s v="invalid date"/>
    <n v="0.15"/>
    <x v="474"/>
    <x v="474"/>
    <x v="474"/>
    <x v="307"/>
    <s v="invalid date"/>
    <x v="7"/>
    <x v="0"/>
    <s v="Invalid"/>
    <s v="invalid date"/>
    <x v="0"/>
  </r>
  <r>
    <n v="733.64"/>
    <x v="0"/>
    <x v="0"/>
    <m/>
    <x v="491"/>
    <s v="29-04-25"/>
    <s v="30-04-25"/>
    <s v="CUST-4101"/>
    <s v="Mira Das"/>
    <x v="2"/>
    <x v="2"/>
    <s v="Kerala"/>
    <s v="Kochi"/>
    <x v="2"/>
    <x v="5"/>
    <s v="Prime Accessories 118"/>
    <x v="3"/>
    <s v="anomaly"/>
    <n v="1"/>
    <n v="0.2"/>
    <x v="475"/>
    <x v="475"/>
    <x v="475"/>
    <x v="308"/>
    <s v="30-04-25"/>
    <x v="12"/>
    <x v="2"/>
    <s v=" "/>
    <n v="1"/>
    <x v="0"/>
  </r>
  <r>
    <n v="882.48"/>
    <x v="0"/>
    <x v="0"/>
    <m/>
    <x v="492"/>
    <s v="28-06-25"/>
    <s v="07-02-25"/>
    <s v="CUST-4679"/>
    <s v="Ananya Rao"/>
    <x v="2"/>
    <x v="2"/>
    <s v="Andhra Pradesh"/>
    <s v="Vijayawada"/>
    <x v="0"/>
    <x v="8"/>
    <s v="Elite Storage 331"/>
    <x v="0"/>
    <s v="  "/>
    <n v="-141"/>
    <n v="0.25"/>
    <x v="476"/>
    <x v="476"/>
    <x v="476"/>
    <x v="164"/>
    <s v="07-02-25"/>
    <x v="11"/>
    <x v="2"/>
    <s v="anomaly"/>
    <n v="-141"/>
    <x v="0"/>
  </r>
  <r>
    <n v="4184.29"/>
    <x v="0"/>
    <x v="0"/>
    <m/>
    <x v="493"/>
    <s v="13-02-25"/>
    <s v="13-02-25"/>
    <s v="CUST-3765"/>
    <s v="Kabir Singh"/>
    <x v="2"/>
    <x v="1"/>
    <s v="Odisha"/>
    <s v="Bhubaneswar"/>
    <x v="0"/>
    <x v="0"/>
    <s v="Prime Paper 996"/>
    <x v="0"/>
    <s v="  "/>
    <n v="0"/>
    <n v="0.05"/>
    <x v="477"/>
    <x v="477"/>
    <x v="477"/>
    <x v="262"/>
    <s v="13-02-25"/>
    <x v="6"/>
    <x v="2"/>
    <s v=" "/>
    <n v="0"/>
    <x v="0"/>
  </r>
  <r>
    <n v="360.66"/>
    <x v="3"/>
    <x v="1"/>
    <m/>
    <x v="494"/>
    <s v="14-11-24"/>
    <s v="22-11-24"/>
    <s v="CUST-9056"/>
    <s v="Isha Nair"/>
    <x v="0"/>
    <x v="3"/>
    <s v="Madhya Pradesh"/>
    <s v="Indore"/>
    <x v="2"/>
    <x v="11"/>
    <s v="Smart Phones 125"/>
    <x v="3"/>
    <s v="anomaly"/>
    <n v="8"/>
    <s v="invalid"/>
    <x v="2"/>
    <x v="2"/>
    <x v="2"/>
    <x v="188"/>
    <s v="22-11-24"/>
    <x v="3"/>
    <x v="0"/>
    <s v=" "/>
    <n v="8"/>
    <x v="0"/>
  </r>
  <r>
    <n v="1365.48"/>
    <x v="1"/>
    <x v="2"/>
    <m/>
    <x v="495"/>
    <s v="05-09-24"/>
    <s v="invalid date"/>
    <s v="CUST-9801"/>
    <s v="Mira Das"/>
    <x v="1"/>
    <x v="1"/>
    <s v="Assam"/>
    <s v="Guwahati"/>
    <x v="2"/>
    <x v="11"/>
    <s v="Eco Phones 220"/>
    <x v="0"/>
    <s v="Invalid"/>
    <s v="invalid date"/>
    <n v="0.05"/>
    <x v="478"/>
    <x v="478"/>
    <x v="478"/>
    <x v="73"/>
    <s v="invalid date"/>
    <x v="7"/>
    <x v="0"/>
    <s v="Invalid"/>
    <s v="invalid date"/>
    <x v="0"/>
  </r>
  <r>
    <n v="2982.65"/>
    <x v="0"/>
    <x v="0"/>
    <m/>
    <x v="496"/>
    <s v="04-07-25"/>
    <s v="06-07-25"/>
    <s v="CUST-2038"/>
    <s v="Kabir Singh"/>
    <x v="1"/>
    <x v="1"/>
    <s v="Jharkhand"/>
    <s v="Ranchi"/>
    <x v="1"/>
    <x v="4"/>
    <s v="Eco Chairs 795"/>
    <x v="0"/>
    <s v="anomaly"/>
    <n v="2"/>
    <n v="0.1"/>
    <x v="479"/>
    <x v="479"/>
    <x v="479"/>
    <x v="309"/>
    <s v="06-07-25"/>
    <x v="0"/>
    <x v="2"/>
    <s v=" "/>
    <n v="2"/>
    <x v="0"/>
  </r>
  <r>
    <n v="457.07"/>
    <x v="0"/>
    <x v="1"/>
    <m/>
    <x v="497"/>
    <s v="29-08-24"/>
    <s v="29-08-24"/>
    <s v="CUST-1567"/>
    <s v="Sneha Kapoor"/>
    <x v="1"/>
    <x v="0"/>
    <s v="Uttar Pradesh"/>
    <s v="Noida"/>
    <x v="2"/>
    <x v="5"/>
    <s v="Smart Accessories 896"/>
    <x v="0"/>
    <s v="  "/>
    <n v="0"/>
    <n v="0.2"/>
    <x v="480"/>
    <x v="480"/>
    <x v="480"/>
    <x v="263"/>
    <s v="29-08-24"/>
    <x v="2"/>
    <x v="0"/>
    <s v=" "/>
    <n v="0"/>
    <x v="0"/>
  </r>
  <r>
    <n v="249.37"/>
    <x v="1"/>
    <x v="1"/>
    <m/>
    <x v="498"/>
    <s v="07-09-25"/>
    <s v="10-09-25"/>
    <s v="CUST-1190"/>
    <s v="Karan Malhotra"/>
    <x v="0"/>
    <x v="0"/>
    <s v="Punjab"/>
    <s v="Ludhiana"/>
    <x v="1"/>
    <x v="4"/>
    <s v="Basic Chairs 255"/>
    <x v="1"/>
    <s v="anomaly"/>
    <n v="3"/>
    <n v="0.05"/>
    <x v="481"/>
    <x v="481"/>
    <x v="481"/>
    <x v="9"/>
    <s v="10-09-25"/>
    <x v="7"/>
    <x v="2"/>
    <s v=" "/>
    <n v="3"/>
    <x v="0"/>
  </r>
  <r>
    <n v="1439.3"/>
    <x v="0"/>
    <x v="1"/>
    <m/>
    <x v="499"/>
    <s v="22-12-24"/>
    <s v="26-12-24"/>
    <s v="CUST-5604"/>
    <s v="Rahul Verma"/>
    <x v="3"/>
    <x v="0"/>
    <s v="Uttar Pradesh"/>
    <s v="Noida"/>
    <x v="1"/>
    <x v="4"/>
    <s v="Eco Chairs 210"/>
    <x v="3"/>
    <s v="anomaly"/>
    <n v="4"/>
    <n v="0"/>
    <x v="482"/>
    <x v="482"/>
    <x v="482"/>
    <x v="310"/>
    <s v="26-12-24"/>
    <x v="8"/>
    <x v="0"/>
    <s v=" "/>
    <n v="4"/>
    <x v="0"/>
  </r>
  <r>
    <n v="5586.76"/>
    <x v="0"/>
    <x v="0"/>
    <m/>
    <x v="500"/>
    <s v="invalid date"/>
    <s v="invalid date"/>
    <s v="CUST-7661"/>
    <s v="Sneha Kapoor"/>
    <x v="0"/>
    <x v="2"/>
    <s v="Kerala"/>
    <s v="Kochi"/>
    <x v="2"/>
    <x v="11"/>
    <s v="Prime Phones 533"/>
    <x v="1"/>
    <s v="Invalid"/>
    <s v="invalid date"/>
    <s v="invalid"/>
    <x v="2"/>
    <x v="2"/>
    <x v="2"/>
    <x v="1"/>
    <s v="invalid date"/>
    <x v="1"/>
    <x v="1"/>
    <s v="Invalid"/>
    <s v="invalid date"/>
    <x v="0"/>
  </r>
  <r>
    <n v="4210.43"/>
    <x v="0"/>
    <x v="0"/>
    <m/>
    <x v="501"/>
    <s v="11-08-24"/>
    <s v="invalid date"/>
    <s v="CUST-3710"/>
    <s v="Neha Gupta"/>
    <x v="0"/>
    <x v="1"/>
    <s v="Jharkhand"/>
    <s v="Ranchi"/>
    <x v="0"/>
    <x v="2"/>
    <s v="Elite Art 325"/>
    <x v="0"/>
    <s v="Invalid"/>
    <s v="invalid date"/>
    <n v="0.15"/>
    <x v="483"/>
    <x v="483"/>
    <x v="483"/>
    <x v="311"/>
    <s v="invalid date"/>
    <x v="2"/>
    <x v="0"/>
    <s v="Invalid"/>
    <s v="invalid date"/>
    <x v="0"/>
  </r>
  <r>
    <n v="1088.32"/>
    <x v="0"/>
    <x v="0"/>
    <m/>
    <x v="502"/>
    <s v="04-01-24"/>
    <s v="09-04-24"/>
    <s v="CUST-1534"/>
    <s v="Priya Menon"/>
    <x v="1"/>
    <x v="1"/>
    <s v="Odisha"/>
    <s v="Bhubaneswar"/>
    <x v="2"/>
    <x v="6"/>
    <s v="Prime Copiers 557"/>
    <x v="0"/>
    <s v="anomaly"/>
    <n v="96"/>
    <n v="0.1"/>
    <x v="484"/>
    <x v="484"/>
    <x v="484"/>
    <x v="292"/>
    <s v="09-04-24"/>
    <x v="9"/>
    <x v="0"/>
    <s v=" "/>
    <n v="96"/>
    <x v="0"/>
  </r>
  <r>
    <n v="3433.77"/>
    <x v="0"/>
    <x v="0"/>
    <m/>
    <x v="503"/>
    <s v="28-09-24"/>
    <s v="05-10-24"/>
    <s v="CUST-7422"/>
    <s v="Aarav Sharma"/>
    <x v="0"/>
    <x v="2"/>
    <s v="Tamil Nadu"/>
    <s v="Chennai"/>
    <x v="2"/>
    <x v="11"/>
    <s v="Smart Phones 674"/>
    <x v="3"/>
    <s v="  "/>
    <n v="7"/>
    <n v="0.1"/>
    <x v="485"/>
    <x v="485"/>
    <x v="485"/>
    <x v="312"/>
    <s v="05-10-24"/>
    <x v="7"/>
    <x v="0"/>
    <s v="anomaly"/>
    <n v="7"/>
    <x v="0"/>
  </r>
  <r>
    <n v="2888.26"/>
    <x v="0"/>
    <x v="0"/>
    <m/>
    <x v="504"/>
    <s v="12-02-25"/>
    <s v="17-02-25"/>
    <s v="CUST-9693"/>
    <s v="Arjun Bose"/>
    <x v="2"/>
    <x v="3"/>
    <s v="Gujarat"/>
    <s v="Ahmedabad"/>
    <x v="0"/>
    <x v="2"/>
    <s v="Elite Art 553"/>
    <x v="3"/>
    <s v="anomaly"/>
    <n v="5"/>
    <n v="0"/>
    <x v="486"/>
    <x v="486"/>
    <x v="486"/>
    <x v="313"/>
    <s v="17-02-25"/>
    <x v="6"/>
    <x v="2"/>
    <s v=" "/>
    <n v="5"/>
    <x v="0"/>
  </r>
  <r>
    <n v="4262.49"/>
    <x v="0"/>
    <x v="1"/>
    <m/>
    <x v="505"/>
    <s v="09-11-24"/>
    <s v="14-11-24"/>
    <s v="CUST-5458"/>
    <s v="Neha Gupta"/>
    <x v="2"/>
    <x v="3"/>
    <s v="Madhya Pradesh"/>
    <s v="Indore"/>
    <x v="0"/>
    <x v="2"/>
    <s v="Classic Art 339"/>
    <x v="2"/>
    <s v="anomaly"/>
    <n v="5"/>
    <n v="0.2"/>
    <x v="487"/>
    <x v="487"/>
    <x v="487"/>
    <x v="314"/>
    <s v="14-11-24"/>
    <x v="3"/>
    <x v="0"/>
    <s v=" "/>
    <n v="5"/>
    <x v="0"/>
  </r>
  <r>
    <n v="363.57"/>
    <x v="1"/>
    <x v="2"/>
    <m/>
    <x v="506"/>
    <s v="15-12-24"/>
    <s v="15-12-24"/>
    <s v="CUST-3011"/>
    <s v="Aarav Sharma"/>
    <x v="1"/>
    <x v="0"/>
    <s v="Punjab"/>
    <s v="Ludhiana"/>
    <x v="1"/>
    <x v="3"/>
    <s v="Smart Furnishings 352"/>
    <x v="2"/>
    <s v="  "/>
    <n v="0"/>
    <n v="0.1"/>
    <x v="488"/>
    <x v="488"/>
    <x v="488"/>
    <x v="315"/>
    <s v="15-12-24"/>
    <x v="8"/>
    <x v="0"/>
    <s v=" "/>
    <n v="0"/>
    <x v="0"/>
  </r>
  <r>
    <n v="2156.91"/>
    <x v="0"/>
    <x v="0"/>
    <m/>
    <x v="507"/>
    <s v="15-04-25"/>
    <s v="22-04-25"/>
    <s v="CUST-1826"/>
    <s v="Isha Nair"/>
    <x v="1"/>
    <x v="0"/>
    <s v="Haryana"/>
    <s v="Gurugram"/>
    <x v="0"/>
    <x v="9"/>
    <s v="Classic Binders 602"/>
    <x v="1"/>
    <s v="anomaly"/>
    <n v="7"/>
    <n v="0.25"/>
    <x v="489"/>
    <x v="489"/>
    <x v="489"/>
    <x v="316"/>
    <s v="22-04-25"/>
    <x v="12"/>
    <x v="2"/>
    <s v=" "/>
    <n v="7"/>
    <x v="0"/>
  </r>
  <r>
    <n v="3144.37"/>
    <x v="0"/>
    <x v="0"/>
    <m/>
    <x v="508"/>
    <s v="31-03-24"/>
    <s v="07-04-24"/>
    <s v="CUST-3333"/>
    <s v="Isha Nair"/>
    <x v="1"/>
    <x v="0"/>
    <s v="Haryana"/>
    <s v="Gurugram"/>
    <x v="2"/>
    <x v="12"/>
    <s v="Smart Machines 853"/>
    <x v="0"/>
    <s v="  "/>
    <n v="7"/>
    <n v="0"/>
    <x v="490"/>
    <x v="490"/>
    <x v="490"/>
    <x v="317"/>
    <s v="07-04-24"/>
    <x v="10"/>
    <x v="0"/>
    <s v="anomaly"/>
    <n v="7"/>
    <x v="0"/>
  </r>
  <r>
    <n v="6020.32"/>
    <x v="0"/>
    <x v="0"/>
    <m/>
    <x v="509"/>
    <s v="12-05-25"/>
    <s v="invalid date"/>
    <s v="CUST-7901"/>
    <s v="Neha Gupta"/>
    <x v="0"/>
    <x v="3"/>
    <s v="Gujarat"/>
    <s v="Ahmedabad"/>
    <x v="2"/>
    <x v="12"/>
    <s v="Classic Machines 599"/>
    <x v="1"/>
    <s v="Invalid"/>
    <s v="invalid date"/>
    <n v="0.2"/>
    <x v="491"/>
    <x v="491"/>
    <x v="491"/>
    <x v="222"/>
    <s v="invalid date"/>
    <x v="4"/>
    <x v="2"/>
    <s v="Invalid"/>
    <s v="invalid date"/>
    <x v="0"/>
  </r>
  <r>
    <n v="1592.06"/>
    <x v="0"/>
    <x v="0"/>
    <m/>
    <x v="510"/>
    <s v="invalid date"/>
    <s v="21-10-24"/>
    <s v="CUST-9759"/>
    <s v="Aarav Sharma"/>
    <x v="0"/>
    <x v="2"/>
    <s v="Karnataka"/>
    <s v="Bengaluru"/>
    <x v="0"/>
    <x v="8"/>
    <s v="Pro Storage 373"/>
    <x v="0"/>
    <s v="Invalid"/>
    <s v="invalid date"/>
    <n v="0"/>
    <x v="492"/>
    <x v="492"/>
    <x v="492"/>
    <x v="1"/>
    <s v="21-10-24"/>
    <x v="1"/>
    <x v="1"/>
    <s v="Invalid"/>
    <s v="invalid date"/>
    <x v="0"/>
  </r>
  <r>
    <n v="1585.67"/>
    <x v="0"/>
    <x v="0"/>
    <m/>
    <x v="511"/>
    <s v="invalid date"/>
    <s v="26-10-24"/>
    <s v="CUST-7232"/>
    <s v="Sneha Kapoor"/>
    <x v="0"/>
    <x v="3"/>
    <s v="Madhya Pradesh"/>
    <s v="Indore"/>
    <x v="1"/>
    <x v="10"/>
    <s v="Smart Bookcases 920"/>
    <x v="3"/>
    <s v="Invalid"/>
    <s v="invalid date"/>
    <n v="0.25"/>
    <x v="493"/>
    <x v="493"/>
    <x v="493"/>
    <x v="1"/>
    <s v="26-10-24"/>
    <x v="1"/>
    <x v="1"/>
    <s v="Invalid"/>
    <s v="invalid date"/>
    <x v="0"/>
  </r>
  <r>
    <n v="2678.38"/>
    <x v="0"/>
    <x v="0"/>
    <m/>
    <x v="512"/>
    <s v="03-02-25"/>
    <s v="03-03-25"/>
    <s v="CUST-9943"/>
    <s v="Isha Nair"/>
    <x v="2"/>
    <x v="2"/>
    <s v="Kerala"/>
    <s v="Kochi"/>
    <x v="0"/>
    <x v="7"/>
    <s v="Pro Labels 849"/>
    <x v="0"/>
    <s v="anomaly"/>
    <n v="28"/>
    <n v="0.25"/>
    <x v="494"/>
    <x v="494"/>
    <x v="494"/>
    <x v="59"/>
    <s v="03-03-25"/>
    <x v="6"/>
    <x v="2"/>
    <s v=" "/>
    <n v="28"/>
    <x v="0"/>
  </r>
  <r>
    <n v="1848.79"/>
    <x v="0"/>
    <x v="0"/>
    <m/>
    <x v="513"/>
    <s v="27-06-25"/>
    <s v="07-02-25"/>
    <s v="CUST-8993"/>
    <s v="Aarav Sharma"/>
    <x v="2"/>
    <x v="2"/>
    <s v="Kerala"/>
    <s v="Kochi"/>
    <x v="2"/>
    <x v="5"/>
    <s v="Prime Accessories 849"/>
    <x v="2"/>
    <s v="  "/>
    <n v="-140"/>
    <n v="0.1"/>
    <x v="495"/>
    <x v="495"/>
    <x v="495"/>
    <x v="145"/>
    <s v="07-02-25"/>
    <x v="11"/>
    <x v="2"/>
    <s v="anomaly"/>
    <n v="-140"/>
    <x v="0"/>
  </r>
  <r>
    <n v="9229.2000000000007"/>
    <x v="0"/>
    <x v="0"/>
    <m/>
    <x v="514"/>
    <s v="18-11-24"/>
    <s v="22-11-24"/>
    <s v="CUST-7729"/>
    <s v="Karan Malhotra"/>
    <x v="3"/>
    <x v="2"/>
    <s v="Kerala"/>
    <s v="Kochi"/>
    <x v="2"/>
    <x v="5"/>
    <s v="Smart Accessories 388"/>
    <x v="3"/>
    <s v="anomaly"/>
    <n v="4"/>
    <n v="0.1"/>
    <x v="496"/>
    <x v="496"/>
    <x v="496"/>
    <x v="318"/>
    <s v="22-11-24"/>
    <x v="3"/>
    <x v="0"/>
    <s v=" "/>
    <n v="4"/>
    <x v="0"/>
  </r>
  <r>
    <n v="1483.38"/>
    <x v="0"/>
    <x v="0"/>
    <m/>
    <x v="515"/>
    <s v="04-11-25"/>
    <s v="11-04-25"/>
    <s v="CUST-9986"/>
    <s v="Rahul Verma"/>
    <x v="2"/>
    <x v="0"/>
    <s v="Delhi"/>
    <s v="New Delhi"/>
    <x v="0"/>
    <x v="0"/>
    <s v="Classic Paper 752"/>
    <x v="3"/>
    <s v="anomaly"/>
    <n v="-207"/>
    <s v="invalid"/>
    <x v="2"/>
    <x v="2"/>
    <x v="2"/>
    <x v="273"/>
    <s v="11-04-25"/>
    <x v="3"/>
    <x v="2"/>
    <s v=" "/>
    <n v="-207"/>
    <x v="0"/>
  </r>
  <r>
    <n v="647.36"/>
    <x v="3"/>
    <x v="2"/>
    <m/>
    <x v="516"/>
    <s v="invalid date"/>
    <s v="04-10-24"/>
    <s v="CUST-2731"/>
    <s v="Kabir Singh"/>
    <x v="3"/>
    <x v="0"/>
    <s v="Delhi"/>
    <s v="New Delhi"/>
    <x v="2"/>
    <x v="6"/>
    <s v="Classic Copiers 143"/>
    <x v="3"/>
    <s v="Invalid"/>
    <s v="invalid date"/>
    <n v="0"/>
    <x v="497"/>
    <x v="497"/>
    <x v="497"/>
    <x v="1"/>
    <s v="04-10-24"/>
    <x v="1"/>
    <x v="1"/>
    <s v="Invalid"/>
    <s v="invalid date"/>
    <x v="0"/>
  </r>
  <r>
    <n v="2655.84"/>
    <x v="1"/>
    <x v="2"/>
    <m/>
    <x v="517"/>
    <s v="25-05-25"/>
    <s v="27-05-25"/>
    <s v="CUST-4235"/>
    <s v="Rahul Verma"/>
    <x v="0"/>
    <x v="1"/>
    <s v="Odisha"/>
    <s v="Bhubaneswar"/>
    <x v="1"/>
    <x v="3"/>
    <s v="Basic Furnishings 386"/>
    <x v="0"/>
    <s v="anomaly"/>
    <n v="2"/>
    <n v="0.2"/>
    <x v="498"/>
    <x v="498"/>
    <x v="498"/>
    <x v="319"/>
    <s v="27-05-25"/>
    <x v="4"/>
    <x v="2"/>
    <s v=" "/>
    <n v="2"/>
    <x v="0"/>
  </r>
  <r>
    <n v="1887.21"/>
    <x v="0"/>
    <x v="1"/>
    <m/>
    <x v="518"/>
    <s v="30-04-25"/>
    <s v="26-04-25"/>
    <s v="CUST-3377"/>
    <s v="Diya Patel"/>
    <x v="2"/>
    <x v="1"/>
    <s v="Odisha"/>
    <s v="Bhubaneswar"/>
    <x v="1"/>
    <x v="1"/>
    <s v="Classic Tables 592"/>
    <x v="2"/>
    <s v="  "/>
    <n v="-4"/>
    <n v="0.25"/>
    <x v="499"/>
    <x v="499"/>
    <x v="499"/>
    <x v="320"/>
    <s v="26-04-25"/>
    <x v="12"/>
    <x v="2"/>
    <s v="anomaly"/>
    <n v="-4"/>
    <x v="0"/>
  </r>
  <r>
    <n v="5111.09"/>
    <x v="2"/>
    <x v="1"/>
    <m/>
    <x v="519"/>
    <s v="03-07-25"/>
    <s v="07-07-25"/>
    <s v="CUST-3258"/>
    <s v="Priya Menon"/>
    <x v="0"/>
    <x v="0"/>
    <s v="Uttar Pradesh"/>
    <s v="Noida"/>
    <x v="1"/>
    <x v="1"/>
    <s v="Pro Tables 412"/>
    <x v="3"/>
    <s v="anomaly"/>
    <n v="4"/>
    <n v="0.2"/>
    <x v="500"/>
    <x v="500"/>
    <x v="500"/>
    <x v="321"/>
    <s v="07-07-25"/>
    <x v="0"/>
    <x v="2"/>
    <s v=" "/>
    <n v="4"/>
    <x v="0"/>
  </r>
  <r>
    <n v="715.96"/>
    <x v="0"/>
    <x v="0"/>
    <m/>
    <x v="520"/>
    <s v="16-07-24"/>
    <s v="23-07-24"/>
    <s v="CUST-2155"/>
    <s v="Aarav Sharma"/>
    <x v="3"/>
    <x v="2"/>
    <s v="Karnataka"/>
    <s v="Bengaluru"/>
    <x v="2"/>
    <x v="12"/>
    <s v="Prime Machines 393"/>
    <x v="1"/>
    <s v="anomaly"/>
    <n v="7"/>
    <n v="0.05"/>
    <x v="501"/>
    <x v="501"/>
    <x v="501"/>
    <x v="322"/>
    <s v="23-07-24"/>
    <x v="0"/>
    <x v="0"/>
    <s v=" "/>
    <n v="7"/>
    <x v="0"/>
  </r>
  <r>
    <n v="3310.51"/>
    <x v="0"/>
    <x v="0"/>
    <m/>
    <x v="521"/>
    <s v="25-03-25"/>
    <s v="01-04-25"/>
    <s v="CUST-8012"/>
    <s v="Diya Patel"/>
    <x v="0"/>
    <x v="0"/>
    <s v="Punjab"/>
    <s v="Ludhiana"/>
    <x v="0"/>
    <x v="7"/>
    <s v="Classic Labels 776"/>
    <x v="0"/>
    <s v="  "/>
    <n v="7"/>
    <n v="0.05"/>
    <x v="502"/>
    <x v="502"/>
    <x v="502"/>
    <x v="323"/>
    <s v="01-04-25"/>
    <x v="10"/>
    <x v="2"/>
    <s v="anomaly"/>
    <n v="7"/>
    <x v="0"/>
  </r>
  <r>
    <n v="8495.0300000000007"/>
    <x v="0"/>
    <x v="0"/>
    <m/>
    <x v="522"/>
    <s v="invalid date"/>
    <s v="08-03-25"/>
    <s v="CUST-2917"/>
    <s v="Neha Gupta"/>
    <x v="1"/>
    <x v="1"/>
    <s v="Jharkhand"/>
    <s v="Ranchi"/>
    <x v="2"/>
    <x v="11"/>
    <s v="Max Phones 612"/>
    <x v="2"/>
    <s v="Invalid"/>
    <s v="invalid date"/>
    <n v="0"/>
    <x v="503"/>
    <x v="503"/>
    <x v="503"/>
    <x v="1"/>
    <s v="08-03-25"/>
    <x v="1"/>
    <x v="1"/>
    <s v="Invalid"/>
    <s v="invalid date"/>
    <x v="0"/>
  </r>
  <r>
    <n v="1150.9000000000001"/>
    <x v="0"/>
    <x v="2"/>
    <m/>
    <x v="523"/>
    <s v="02-04-24"/>
    <s v="03-04-24"/>
    <s v="CUST-4653"/>
    <s v="Kabir Singh"/>
    <x v="3"/>
    <x v="3"/>
    <s v="Goa"/>
    <s v="Panaji"/>
    <x v="0"/>
    <x v="0"/>
    <s v="Basic Paper 315"/>
    <x v="0"/>
    <s v="anomaly"/>
    <n v="1"/>
    <n v="0"/>
    <x v="504"/>
    <x v="504"/>
    <x v="504"/>
    <x v="134"/>
    <s v="03-04-24"/>
    <x v="12"/>
    <x v="0"/>
    <s v=" "/>
    <n v="1"/>
    <x v="0"/>
  </r>
  <r>
    <n v="12208.23"/>
    <x v="0"/>
    <x v="0"/>
    <m/>
    <x v="524"/>
    <s v="30-11-24"/>
    <s v="01-12-24"/>
    <s v="CUST-3311"/>
    <s v="Ananya Rao"/>
    <x v="2"/>
    <x v="3"/>
    <s v="Gujarat"/>
    <s v="Ahmedabad"/>
    <x v="1"/>
    <x v="4"/>
    <s v="Basic Chairs 333"/>
    <x v="2"/>
    <s v="  "/>
    <n v="1"/>
    <n v="0.1"/>
    <x v="505"/>
    <x v="505"/>
    <x v="505"/>
    <x v="324"/>
    <s v="01-12-24"/>
    <x v="3"/>
    <x v="0"/>
    <s v="anomaly"/>
    <n v="1"/>
    <x v="0"/>
  </r>
  <r>
    <n v="4297.3599999999997"/>
    <x v="0"/>
    <x v="0"/>
    <m/>
    <x v="525"/>
    <s v="invalid date"/>
    <s v="17-10-24"/>
    <s v="CUST-2924"/>
    <s v="Priya Menon"/>
    <x v="3"/>
    <x v="1"/>
    <s v="West Bengal"/>
    <s v="Kolkata"/>
    <x v="1"/>
    <x v="4"/>
    <s v="Prime Chairs 215"/>
    <x v="3"/>
    <s v="Invalid"/>
    <s v="invalid date"/>
    <n v="0.1"/>
    <x v="506"/>
    <x v="506"/>
    <x v="506"/>
    <x v="1"/>
    <s v="17-10-24"/>
    <x v="1"/>
    <x v="1"/>
    <s v="Invalid"/>
    <s v="invalid date"/>
    <x v="0"/>
  </r>
  <r>
    <n v="336.85"/>
    <x v="0"/>
    <x v="0"/>
    <m/>
    <x v="526"/>
    <s v="18-07-25"/>
    <s v="21-07-25"/>
    <s v="CUST-7198"/>
    <s v="Priya Menon"/>
    <x v="0"/>
    <x v="1"/>
    <s v="Odisha"/>
    <s v="Bhubaneswar"/>
    <x v="1"/>
    <x v="1"/>
    <s v="Elite Tables 815"/>
    <x v="0"/>
    <s v="anomaly"/>
    <n v="3"/>
    <n v="0"/>
    <x v="507"/>
    <x v="507"/>
    <x v="507"/>
    <x v="325"/>
    <s v="21-07-25"/>
    <x v="0"/>
    <x v="2"/>
    <s v=" "/>
    <n v="3"/>
    <x v="0"/>
  </r>
  <r>
    <n v="3726.2"/>
    <x v="0"/>
    <x v="0"/>
    <m/>
    <x v="527"/>
    <s v="01-10-25"/>
    <s v="05-10-25"/>
    <s v="CUST-3419"/>
    <s v="Aditi Sen"/>
    <x v="3"/>
    <x v="0"/>
    <s v="Haryana"/>
    <s v="Gurugram"/>
    <x v="0"/>
    <x v="0"/>
    <s v="Basic Paper 388"/>
    <x v="2"/>
    <s v="anomaly"/>
    <n v="4"/>
    <n v="0.15"/>
    <x v="508"/>
    <x v="508"/>
    <x v="508"/>
    <x v="326"/>
    <s v="05-10-25"/>
    <x v="5"/>
    <x v="2"/>
    <s v=" "/>
    <n v="4"/>
    <x v="0"/>
  </r>
  <r>
    <n v="8255.99"/>
    <x v="2"/>
    <x v="2"/>
    <m/>
    <x v="528"/>
    <s v="07-10-24"/>
    <s v="09-10-24"/>
    <s v="CUST-2390"/>
    <s v="Diya Patel"/>
    <x v="0"/>
    <x v="2"/>
    <s v="Tamil Nadu"/>
    <s v="Chennai"/>
    <x v="0"/>
    <x v="9"/>
    <s v="Eco Binders 855"/>
    <x v="3"/>
    <s v="anomaly"/>
    <n v="2"/>
    <n v="0.05"/>
    <x v="509"/>
    <x v="509"/>
    <x v="509"/>
    <x v="327"/>
    <s v="09-10-24"/>
    <x v="5"/>
    <x v="0"/>
    <s v=" "/>
    <n v="2"/>
    <x v="0"/>
  </r>
  <r>
    <n v="4253.29"/>
    <x v="0"/>
    <x v="0"/>
    <m/>
    <x v="529"/>
    <s v="06-02-24"/>
    <s v="08-02-24"/>
    <s v="CUST-3362"/>
    <s v="Karan Malhotra"/>
    <x v="0"/>
    <x v="1"/>
    <s v="Jharkhand"/>
    <s v="Ranchi"/>
    <x v="1"/>
    <x v="10"/>
    <s v="Classic Bookcases 947"/>
    <x v="0"/>
    <s v="anomaly"/>
    <n v="2"/>
    <n v="0"/>
    <x v="510"/>
    <x v="510"/>
    <x v="510"/>
    <x v="175"/>
    <s v="08-02-24"/>
    <x v="6"/>
    <x v="0"/>
    <s v=" "/>
    <n v="2"/>
    <x v="0"/>
  </r>
  <r>
    <n v="6310.68"/>
    <x v="0"/>
    <x v="0"/>
    <m/>
    <x v="530"/>
    <s v="invalid date"/>
    <s v="01-06-25"/>
    <s v="CUST-8177"/>
    <s v="Rahul Verma"/>
    <x v="3"/>
    <x v="2"/>
    <s v="Tamil Nadu"/>
    <s v="Chennai"/>
    <x v="0"/>
    <x v="9"/>
    <s v="Eco Binders 352"/>
    <x v="3"/>
    <s v="Invalid"/>
    <s v="invalid date"/>
    <n v="0.05"/>
    <x v="511"/>
    <x v="511"/>
    <x v="511"/>
    <x v="1"/>
    <s v="01-06-25"/>
    <x v="1"/>
    <x v="1"/>
    <s v="Invalid"/>
    <s v="invalid date"/>
    <x v="0"/>
  </r>
  <r>
    <n v="87.01"/>
    <x v="0"/>
    <x v="0"/>
    <m/>
    <x v="531"/>
    <s v="01-08-24"/>
    <s v="08-08-24"/>
    <s v="CUST-6357"/>
    <s v="Diya Patel"/>
    <x v="1"/>
    <x v="3"/>
    <s v="Maharashtra"/>
    <s v="Mumbai"/>
    <x v="0"/>
    <x v="8"/>
    <s v="Pro Storage 364"/>
    <x v="4"/>
    <s v="anomaly"/>
    <n v="7"/>
    <n v="0.1"/>
    <x v="512"/>
    <x v="512"/>
    <x v="512"/>
    <x v="328"/>
    <s v="08-08-24"/>
    <x v="2"/>
    <x v="0"/>
    <s v=" "/>
    <n v="7"/>
    <x v="0"/>
  </r>
  <r>
    <n v="7969.94"/>
    <x v="3"/>
    <x v="1"/>
    <m/>
    <x v="532"/>
    <s v="05-10-25"/>
    <s v="10-10-25"/>
    <s v="CUST-7690"/>
    <s v="Priya Menon"/>
    <x v="2"/>
    <x v="1"/>
    <s v="Assam"/>
    <s v="Guwahati"/>
    <x v="1"/>
    <x v="1"/>
    <s v="Classic Tables 213"/>
    <x v="0"/>
    <s v="anomaly"/>
    <n v="5"/>
    <n v="0.05"/>
    <x v="513"/>
    <x v="513"/>
    <x v="513"/>
    <x v="329"/>
    <s v="10-10-25"/>
    <x v="5"/>
    <x v="2"/>
    <s v=" "/>
    <n v="5"/>
    <x v="0"/>
  </r>
  <r>
    <n v="430.45"/>
    <x v="0"/>
    <x v="0"/>
    <m/>
    <x v="533"/>
    <s v="25-08-24"/>
    <s v="01-09-24"/>
    <s v="CUST-4487"/>
    <s v="Isha Nair"/>
    <x v="3"/>
    <x v="0"/>
    <s v="Rajasthan"/>
    <s v="Jaipur"/>
    <x v="1"/>
    <x v="1"/>
    <s v="Smart Tables 659"/>
    <x v="1"/>
    <s v="  "/>
    <n v="7"/>
    <n v="0.25"/>
    <x v="514"/>
    <x v="514"/>
    <x v="514"/>
    <x v="330"/>
    <s v="01-09-24"/>
    <x v="2"/>
    <x v="0"/>
    <s v="anomaly"/>
    <n v="7"/>
    <x v="0"/>
  </r>
  <r>
    <n v="2562.9"/>
    <x v="2"/>
    <x v="2"/>
    <m/>
    <x v="534"/>
    <s v="invalid date"/>
    <s v="05-05-25"/>
    <s v="CUST-8204"/>
    <s v="Rohan Mehta"/>
    <x v="3"/>
    <x v="1"/>
    <s v="Bihar"/>
    <s v="Patna"/>
    <x v="2"/>
    <x v="5"/>
    <s v="Classic Accessories 325"/>
    <x v="0"/>
    <s v="Invalid"/>
    <s v="invalid date"/>
    <n v="0.1"/>
    <x v="515"/>
    <x v="515"/>
    <x v="515"/>
    <x v="1"/>
    <s v="05-05-25"/>
    <x v="1"/>
    <x v="1"/>
    <s v="Invalid"/>
    <s v="invalid date"/>
    <x v="0"/>
  </r>
  <r>
    <n v="2214.7800000000002"/>
    <x v="0"/>
    <x v="0"/>
    <m/>
    <x v="535"/>
    <s v="19-05-24"/>
    <s v="21-05-24"/>
    <s v="CUST-1729"/>
    <s v="Diya Patel"/>
    <x v="1"/>
    <x v="3"/>
    <s v="Maharashtra"/>
    <s v="Mumbai"/>
    <x v="2"/>
    <x v="6"/>
    <s v="Eco Copiers 243"/>
    <x v="2"/>
    <s v="anomaly"/>
    <n v="2"/>
    <n v="0.2"/>
    <x v="516"/>
    <x v="516"/>
    <x v="516"/>
    <x v="331"/>
    <s v="21-05-24"/>
    <x v="4"/>
    <x v="0"/>
    <s v=" "/>
    <n v="2"/>
    <x v="0"/>
  </r>
  <r>
    <n v="7595.96"/>
    <x v="3"/>
    <x v="1"/>
    <m/>
    <x v="536"/>
    <s v="10-04-25"/>
    <s v="17-04-25"/>
    <s v="CUST-4269"/>
    <s v="Ananya Rao"/>
    <x v="1"/>
    <x v="3"/>
    <s v="Rajasthan"/>
    <s v="Udaipur"/>
    <x v="1"/>
    <x v="4"/>
    <s v="Elite Chairs 777"/>
    <x v="2"/>
    <s v="anomaly"/>
    <n v="7"/>
    <n v="0.25"/>
    <x v="517"/>
    <x v="517"/>
    <x v="517"/>
    <x v="162"/>
    <s v="17-04-25"/>
    <x v="12"/>
    <x v="2"/>
    <s v=" "/>
    <n v="7"/>
    <x v="0"/>
  </r>
  <r>
    <n v="467.05"/>
    <x v="3"/>
    <x v="1"/>
    <m/>
    <x v="537"/>
    <s v="22-01-24"/>
    <s v="30-01-24"/>
    <s v="CUST-1370"/>
    <s v="Ananya Rao"/>
    <x v="1"/>
    <x v="0"/>
    <s v="Haryana"/>
    <s v="Gurugram"/>
    <x v="0"/>
    <x v="2"/>
    <s v="Classic Art 772"/>
    <x v="1"/>
    <s v="anomaly"/>
    <n v="8"/>
    <n v="0.05"/>
    <x v="518"/>
    <x v="518"/>
    <x v="518"/>
    <x v="144"/>
    <s v="30-01-24"/>
    <x v="9"/>
    <x v="0"/>
    <s v=" "/>
    <n v="8"/>
    <x v="0"/>
  </r>
  <r>
    <n v="5250.12"/>
    <x v="0"/>
    <x v="0"/>
    <m/>
    <x v="538"/>
    <s v="25-09-24"/>
    <s v="01-10-24"/>
    <s v="CUST-5381"/>
    <s v="Diya Patel"/>
    <x v="1"/>
    <x v="1"/>
    <s v="Jharkhand"/>
    <s v="Ranchi"/>
    <x v="1"/>
    <x v="1"/>
    <s v="Elite Tables 888"/>
    <x v="0"/>
    <s v="  "/>
    <n v="6"/>
    <n v="0.15"/>
    <x v="519"/>
    <x v="519"/>
    <x v="519"/>
    <x v="92"/>
    <s v="01-10-24"/>
    <x v="7"/>
    <x v="0"/>
    <s v="anomaly"/>
    <n v="6"/>
    <x v="0"/>
  </r>
  <r>
    <n v="587.91"/>
    <x v="0"/>
    <x v="1"/>
    <m/>
    <x v="539"/>
    <s v="07-04-25"/>
    <s v="04-07-25"/>
    <s v="CUST-3694"/>
    <s v="Mira Das"/>
    <x v="1"/>
    <x v="2"/>
    <s v="Tamil Nadu"/>
    <s v="Chennai"/>
    <x v="1"/>
    <x v="4"/>
    <s v="Classic Chairs 666"/>
    <x v="3"/>
    <s v="  "/>
    <n v="88"/>
    <n v="0.1"/>
    <x v="520"/>
    <x v="520"/>
    <x v="520"/>
    <x v="332"/>
    <s v="04-07-25"/>
    <x v="12"/>
    <x v="2"/>
    <s v="anomaly"/>
    <n v="88"/>
    <x v="0"/>
  </r>
  <r>
    <n v="4453.5200000000004"/>
    <x v="0"/>
    <x v="0"/>
    <m/>
    <x v="540"/>
    <s v="26-02-24"/>
    <s v="23-02-24"/>
    <s v="CUST-7563"/>
    <s v="Kabir Singh"/>
    <x v="0"/>
    <x v="3"/>
    <s v="Gujarat"/>
    <s v="Ahmedabad"/>
    <x v="1"/>
    <x v="3"/>
    <s v="Basic Furnishings 350"/>
    <x v="3"/>
    <s v="  "/>
    <n v="-3"/>
    <n v="0.2"/>
    <x v="521"/>
    <x v="521"/>
    <x v="521"/>
    <x v="333"/>
    <s v="23-02-24"/>
    <x v="6"/>
    <x v="0"/>
    <s v="anomaly"/>
    <n v="-3"/>
    <x v="0"/>
  </r>
  <r>
    <n v="2894.59"/>
    <x v="0"/>
    <x v="2"/>
    <m/>
    <x v="541"/>
    <s v="08-07-25"/>
    <s v="09-07-25"/>
    <s v="CUST-4188"/>
    <s v="Sneha Kapoor"/>
    <x v="0"/>
    <x v="3"/>
    <s v="Maharashtra"/>
    <s v="Mumbai"/>
    <x v="2"/>
    <x v="6"/>
    <s v="Elite Copiers 831"/>
    <x v="1"/>
    <s v="anomaly"/>
    <n v="1"/>
    <n v="0"/>
    <x v="522"/>
    <x v="522"/>
    <x v="522"/>
    <x v="334"/>
    <s v="09-07-25"/>
    <x v="0"/>
    <x v="2"/>
    <s v=" "/>
    <n v="1"/>
    <x v="0"/>
  </r>
  <r>
    <n v="1394.05"/>
    <x v="0"/>
    <x v="1"/>
    <m/>
    <x v="542"/>
    <s v="invalid date"/>
    <s v="23-09-24"/>
    <s v="CUST-9376"/>
    <s v="Rahul Verma"/>
    <x v="3"/>
    <x v="2"/>
    <s v="Kerala"/>
    <s v="Kochi"/>
    <x v="1"/>
    <x v="10"/>
    <s v="Eco Bookcases 759"/>
    <x v="0"/>
    <s v="Invalid"/>
    <s v="invalid date"/>
    <n v="0.2"/>
    <x v="523"/>
    <x v="523"/>
    <x v="523"/>
    <x v="1"/>
    <s v="23-09-24"/>
    <x v="1"/>
    <x v="1"/>
    <s v="Invalid"/>
    <s v="invalid date"/>
    <x v="0"/>
  </r>
  <r>
    <n v="105.05"/>
    <x v="0"/>
    <x v="0"/>
    <m/>
    <x v="543"/>
    <s v="14-07-24"/>
    <s v="20-07-24"/>
    <s v="CUST-9094"/>
    <s v="Mira Das"/>
    <x v="0"/>
    <x v="1"/>
    <s v="Bihar"/>
    <s v="Patna"/>
    <x v="2"/>
    <x v="6"/>
    <s v="Max Copiers 440"/>
    <x v="1"/>
    <s v="anomaly"/>
    <n v="6"/>
    <n v="0.15"/>
    <x v="524"/>
    <x v="524"/>
    <x v="524"/>
    <x v="335"/>
    <s v="20-07-24"/>
    <x v="0"/>
    <x v="0"/>
    <s v=" "/>
    <n v="6"/>
    <x v="0"/>
  </r>
  <r>
    <n v="3397.38"/>
    <x v="0"/>
    <x v="1"/>
    <m/>
    <x v="544"/>
    <s v="29-01-25"/>
    <s v="02-05-25"/>
    <s v="CUST-2366"/>
    <s v="Ananya Rao"/>
    <x v="0"/>
    <x v="2"/>
    <s v="Kerala"/>
    <s v="Kochi"/>
    <x v="0"/>
    <x v="2"/>
    <s v="Smart Art 201"/>
    <x v="1"/>
    <s v="  "/>
    <n v="93"/>
    <n v="0.25"/>
    <x v="525"/>
    <x v="525"/>
    <x v="525"/>
    <x v="336"/>
    <s v="02-05-25"/>
    <x v="9"/>
    <x v="2"/>
    <s v="anomaly"/>
    <n v="93"/>
    <x v="0"/>
  </r>
  <r>
    <n v="3746.61"/>
    <x v="0"/>
    <x v="0"/>
    <m/>
    <x v="545"/>
    <s v="invalid date"/>
    <s v="30-05-24"/>
    <s v="CUST-7168"/>
    <s v="Kabir Singh"/>
    <x v="1"/>
    <x v="1"/>
    <s v="Jharkhand"/>
    <s v="Ranchi"/>
    <x v="0"/>
    <x v="8"/>
    <s v="Classic Storage 755"/>
    <x v="1"/>
    <s v="Invalid"/>
    <s v="invalid date"/>
    <n v="0.15"/>
    <x v="526"/>
    <x v="526"/>
    <x v="526"/>
    <x v="1"/>
    <s v="30-05-24"/>
    <x v="1"/>
    <x v="1"/>
    <s v="Invalid"/>
    <s v="invalid date"/>
    <x v="0"/>
  </r>
  <r>
    <n v="4395.17"/>
    <x v="0"/>
    <x v="0"/>
    <m/>
    <x v="546"/>
    <s v="14-08-25"/>
    <s v="22-08-25"/>
    <s v="CUST-8157"/>
    <s v="Arjun Bose"/>
    <x v="2"/>
    <x v="3"/>
    <s v="Gujarat"/>
    <s v="Ahmedabad"/>
    <x v="0"/>
    <x v="0"/>
    <s v="Prime Paper 143"/>
    <x v="2"/>
    <s v="anomaly"/>
    <n v="8"/>
    <n v="0.15"/>
    <x v="527"/>
    <x v="527"/>
    <x v="527"/>
    <x v="337"/>
    <s v="22-08-25"/>
    <x v="2"/>
    <x v="2"/>
    <s v=" "/>
    <n v="8"/>
    <x v="0"/>
  </r>
  <r>
    <n v="4993.8599999999997"/>
    <x v="0"/>
    <x v="0"/>
    <m/>
    <x v="547"/>
    <s v="16-05-24"/>
    <s v="23-05-24"/>
    <s v="CUST-9146"/>
    <s v="Neha Gupta"/>
    <x v="1"/>
    <x v="0"/>
    <s v="Uttar Pradesh"/>
    <s v="Noida"/>
    <x v="2"/>
    <x v="6"/>
    <s v="Max Copiers 607"/>
    <x v="3"/>
    <s v="anomaly"/>
    <n v="7"/>
    <n v="0.1"/>
    <x v="528"/>
    <x v="528"/>
    <x v="528"/>
    <x v="187"/>
    <s v="23-05-24"/>
    <x v="4"/>
    <x v="0"/>
    <s v=" "/>
    <n v="7"/>
    <x v="0"/>
  </r>
  <r>
    <n v="219.39"/>
    <x v="2"/>
    <x v="1"/>
    <m/>
    <x v="548"/>
    <s v="29-05-24"/>
    <s v="29-05-24"/>
    <s v="CUST-5129"/>
    <s v="Rohan Mehta"/>
    <x v="2"/>
    <x v="1"/>
    <s v="Bihar"/>
    <s v="Patna"/>
    <x v="1"/>
    <x v="10"/>
    <s v="Prime Bookcases 402"/>
    <x v="1"/>
    <s v="  "/>
    <n v="0"/>
    <n v="0"/>
    <x v="529"/>
    <x v="529"/>
    <x v="529"/>
    <x v="30"/>
    <s v="29-05-24"/>
    <x v="4"/>
    <x v="0"/>
    <s v=" "/>
    <n v="0"/>
    <x v="0"/>
  </r>
  <r>
    <n v="1999.29"/>
    <x v="0"/>
    <x v="0"/>
    <m/>
    <x v="549"/>
    <s v="10-11-25"/>
    <s v="13-10-25"/>
    <s v="CUST-6028"/>
    <s v="Mira Das"/>
    <x v="2"/>
    <x v="2"/>
    <s v="Telangana"/>
    <s v="Hyderabad"/>
    <x v="0"/>
    <x v="2"/>
    <s v="Pro Art 287"/>
    <x v="0"/>
    <s v="anomaly"/>
    <n v="-28"/>
    <n v="0.1"/>
    <x v="530"/>
    <x v="530"/>
    <x v="530"/>
    <x v="338"/>
    <s v="13-10-25"/>
    <x v="3"/>
    <x v="2"/>
    <s v=" "/>
    <n v="-28"/>
    <x v="0"/>
  </r>
  <r>
    <n v="3442.38"/>
    <x v="0"/>
    <x v="0"/>
    <m/>
    <x v="550"/>
    <s v="02-08-24"/>
    <s v="08-10-24"/>
    <s v="CUST-8687"/>
    <s v="Mira Das"/>
    <x v="3"/>
    <x v="1"/>
    <s v="Odisha"/>
    <s v="Bhubaneswar"/>
    <x v="2"/>
    <x v="5"/>
    <s v="Max Accessories 591"/>
    <x v="3"/>
    <s v="anomaly"/>
    <n v="67"/>
    <n v="0.2"/>
    <x v="531"/>
    <x v="531"/>
    <x v="531"/>
    <x v="72"/>
    <s v="08-10-24"/>
    <x v="2"/>
    <x v="0"/>
    <s v=" "/>
    <n v="67"/>
    <x v="0"/>
  </r>
  <r>
    <n v="2531.54"/>
    <x v="0"/>
    <x v="0"/>
    <m/>
    <x v="551"/>
    <s v="27-02-24"/>
    <s v="27-02-24"/>
    <s v="CUST-8172"/>
    <s v="Sneha Kapoor"/>
    <x v="0"/>
    <x v="1"/>
    <s v="Jharkhand"/>
    <s v="Ranchi"/>
    <x v="1"/>
    <x v="4"/>
    <s v="Elite Chairs 314"/>
    <x v="0"/>
    <s v="  "/>
    <n v="0"/>
    <n v="0.15"/>
    <x v="532"/>
    <x v="532"/>
    <x v="532"/>
    <x v="339"/>
    <s v="27-02-24"/>
    <x v="6"/>
    <x v="0"/>
    <s v=" "/>
    <n v="0"/>
    <x v="0"/>
  </r>
  <r>
    <n v="296.01"/>
    <x v="0"/>
    <x v="0"/>
    <m/>
    <x v="552"/>
    <s v="24-01-25"/>
    <s v="30-01-25"/>
    <s v="CUST-8861"/>
    <s v="Ananya Rao"/>
    <x v="2"/>
    <x v="1"/>
    <s v="West Bengal"/>
    <s v="Kolkata"/>
    <x v="2"/>
    <x v="6"/>
    <s v="Pro Copiers 246"/>
    <x v="3"/>
    <s v="anomaly"/>
    <n v="6"/>
    <s v="invalid"/>
    <x v="2"/>
    <x v="2"/>
    <x v="2"/>
    <x v="19"/>
    <s v="30-01-25"/>
    <x v="9"/>
    <x v="2"/>
    <s v=" "/>
    <n v="6"/>
    <x v="0"/>
  </r>
  <r>
    <n v="2115.17"/>
    <x v="0"/>
    <x v="0"/>
    <m/>
    <x v="553"/>
    <s v="invalid date"/>
    <s v="28-04-25"/>
    <s v="CUST-9241"/>
    <s v="Aarav Sharma"/>
    <x v="1"/>
    <x v="3"/>
    <s v="Gujarat"/>
    <s v="Ahmedabad"/>
    <x v="0"/>
    <x v="8"/>
    <s v="Pro Storage 128"/>
    <x v="2"/>
    <s v="Invalid"/>
    <s v="invalid date"/>
    <n v="0.25"/>
    <x v="533"/>
    <x v="533"/>
    <x v="533"/>
    <x v="1"/>
    <s v="28-04-25"/>
    <x v="1"/>
    <x v="1"/>
    <s v="Invalid"/>
    <s v="invalid date"/>
    <x v="0"/>
  </r>
  <r>
    <n v="1239.02"/>
    <x v="0"/>
    <x v="0"/>
    <m/>
    <x v="554"/>
    <s v="12-10-24"/>
    <s v="17-10-24"/>
    <s v="CUST-2126"/>
    <s v="Arjun Bose"/>
    <x v="0"/>
    <x v="4"/>
    <s v="Jharkhand"/>
    <s v="Ranchi"/>
    <x v="1"/>
    <x v="3"/>
    <s v="Prime Furnishings 892"/>
    <x v="3"/>
    <s v="anomaly"/>
    <n v="5"/>
    <n v="0.05"/>
    <x v="534"/>
    <x v="534"/>
    <x v="534"/>
    <x v="340"/>
    <s v="17-10-24"/>
    <x v="5"/>
    <x v="0"/>
    <s v=" "/>
    <n v="5"/>
    <x v="0"/>
  </r>
  <r>
    <n v="2339.8200000000002"/>
    <x v="0"/>
    <x v="0"/>
    <m/>
    <x v="555"/>
    <s v="04-02-25"/>
    <s v="10-02-25"/>
    <s v="CUST-7513"/>
    <s v="Ananya Rao"/>
    <x v="1"/>
    <x v="2"/>
    <s v="Telangana"/>
    <s v="Hyderabad"/>
    <x v="0"/>
    <x v="8"/>
    <s v="Prime Storage 689"/>
    <x v="3"/>
    <s v="anomaly"/>
    <n v="6"/>
    <n v="0.05"/>
    <x v="535"/>
    <x v="535"/>
    <x v="535"/>
    <x v="181"/>
    <s v="10-02-25"/>
    <x v="6"/>
    <x v="2"/>
    <s v=" "/>
    <n v="6"/>
    <x v="0"/>
  </r>
  <r>
    <n v="1816.23"/>
    <x v="0"/>
    <x v="2"/>
    <m/>
    <x v="556"/>
    <s v="23-06-24"/>
    <s v="29-06-24"/>
    <s v="CUST-1992"/>
    <s v="Neha Gupta"/>
    <x v="0"/>
    <x v="0"/>
    <s v="Haryana"/>
    <s v="Gurugram"/>
    <x v="1"/>
    <x v="1"/>
    <s v="Classic Tables 769"/>
    <x v="2"/>
    <s v="anomaly"/>
    <n v="6"/>
    <n v="0"/>
    <x v="536"/>
    <x v="536"/>
    <x v="536"/>
    <x v="141"/>
    <s v="29-06-24"/>
    <x v="11"/>
    <x v="0"/>
    <s v=" "/>
    <n v="6"/>
    <x v="0"/>
  </r>
  <r>
    <n v="7257.52"/>
    <x v="0"/>
    <x v="1"/>
    <m/>
    <x v="557"/>
    <s v="08-05-24"/>
    <s v="14-05-24"/>
    <s v="CUST-8848"/>
    <s v="Vikram Iyer"/>
    <x v="3"/>
    <x v="0"/>
    <s v="Haryana"/>
    <s v="Gurugram"/>
    <x v="2"/>
    <x v="11"/>
    <s v="Prime Phones 503"/>
    <x v="2"/>
    <s v="anomaly"/>
    <n v="6"/>
    <n v="0.05"/>
    <x v="537"/>
    <x v="537"/>
    <x v="537"/>
    <x v="341"/>
    <s v="14-05-24"/>
    <x v="4"/>
    <x v="0"/>
    <s v=" "/>
    <n v="6"/>
    <x v="0"/>
  </r>
  <r>
    <n v="5249.88"/>
    <x v="0"/>
    <x v="0"/>
    <m/>
    <x v="558"/>
    <s v="04-09-25"/>
    <s v="09-04-25"/>
    <s v="CUST-9368"/>
    <s v="Aditi Sen"/>
    <x v="2"/>
    <x v="0"/>
    <s v="Punjab"/>
    <s v="Ludhiana"/>
    <x v="2"/>
    <x v="12"/>
    <s v="Basic Machines 136"/>
    <x v="2"/>
    <s v="anomaly"/>
    <n v="-148"/>
    <n v="0.2"/>
    <x v="538"/>
    <x v="538"/>
    <x v="538"/>
    <x v="342"/>
    <s v="09-04-25"/>
    <x v="7"/>
    <x v="2"/>
    <s v=" "/>
    <n v="-148"/>
    <x v="0"/>
  </r>
  <r>
    <n v="5267.61"/>
    <x v="0"/>
    <x v="2"/>
    <m/>
    <x v="559"/>
    <s v="30-09-25"/>
    <s v="07-10-25"/>
    <s v="CUST-6797"/>
    <s v="Diya Patel"/>
    <x v="2"/>
    <x v="1"/>
    <s v="Bihar"/>
    <s v="Patna"/>
    <x v="2"/>
    <x v="6"/>
    <s v="Basic Copiers 512"/>
    <x v="0"/>
    <s v="  "/>
    <n v="7"/>
    <n v="0.1"/>
    <x v="539"/>
    <x v="539"/>
    <x v="539"/>
    <x v="289"/>
    <s v="07-10-25"/>
    <x v="7"/>
    <x v="2"/>
    <s v="anomaly"/>
    <n v="7"/>
    <x v="0"/>
  </r>
  <r>
    <n v="281.5"/>
    <x v="0"/>
    <x v="1"/>
    <m/>
    <x v="560"/>
    <s v="16-01-24"/>
    <s v="22-01-24"/>
    <s v="CUST-9333"/>
    <s v="Arjun Bose"/>
    <x v="0"/>
    <x v="3"/>
    <s v="Goa"/>
    <s v="Panaji"/>
    <x v="0"/>
    <x v="8"/>
    <s v="Smart Storage 767"/>
    <x v="3"/>
    <s v="anomaly"/>
    <n v="6"/>
    <n v="0"/>
    <x v="540"/>
    <x v="540"/>
    <x v="540"/>
    <x v="343"/>
    <s v="22-01-24"/>
    <x v="9"/>
    <x v="0"/>
    <s v=" "/>
    <n v="6"/>
    <x v="0"/>
  </r>
  <r>
    <n v="509.03"/>
    <x v="2"/>
    <x v="2"/>
    <m/>
    <x v="561"/>
    <s v="14-07-25"/>
    <s v="18-07-25"/>
    <s v="CUST-6654"/>
    <s v="Aditi Sen"/>
    <x v="0"/>
    <x v="0"/>
    <s v="Punjab"/>
    <s v="Ludhiana"/>
    <x v="2"/>
    <x v="6"/>
    <s v="Eco Copiers 954"/>
    <x v="2"/>
    <s v="anomaly"/>
    <n v="4"/>
    <n v="0"/>
    <x v="541"/>
    <x v="541"/>
    <x v="541"/>
    <x v="344"/>
    <s v="18-07-25"/>
    <x v="0"/>
    <x v="2"/>
    <s v=" "/>
    <n v="4"/>
    <x v="0"/>
  </r>
  <r>
    <n v="217.13"/>
    <x v="3"/>
    <x v="2"/>
    <m/>
    <x v="562"/>
    <s v="10-05-24"/>
    <s v="16-05-24"/>
    <s v="CUST-8622"/>
    <s v="Karan Malhotra"/>
    <x v="0"/>
    <x v="0"/>
    <s v="Punjab"/>
    <s v="Ludhiana"/>
    <x v="0"/>
    <x v="9"/>
    <s v="Elite Binders 143"/>
    <x v="1"/>
    <s v="anomaly"/>
    <n v="6"/>
    <n v="0.2"/>
    <x v="542"/>
    <x v="542"/>
    <x v="542"/>
    <x v="285"/>
    <s v="16-05-24"/>
    <x v="4"/>
    <x v="0"/>
    <s v=" "/>
    <n v="6"/>
    <x v="0"/>
  </r>
  <r>
    <n v="1076.6500000000001"/>
    <x v="2"/>
    <x v="1"/>
    <m/>
    <x v="563"/>
    <s v="05-06-24"/>
    <s v="12-05-24"/>
    <s v="CUST-8776"/>
    <s v="Arjun Bose"/>
    <x v="2"/>
    <x v="3"/>
    <s v="Goa"/>
    <s v="Panaji"/>
    <x v="1"/>
    <x v="1"/>
    <s v="Classic Tables 560"/>
    <x v="3"/>
    <s v="anomaly"/>
    <n v="-24"/>
    <n v="0.2"/>
    <x v="543"/>
    <x v="543"/>
    <x v="543"/>
    <x v="78"/>
    <s v="12-05-24"/>
    <x v="11"/>
    <x v="0"/>
    <s v=" "/>
    <n v="-24"/>
    <x v="0"/>
  </r>
  <r>
    <n v="505.68"/>
    <x v="0"/>
    <x v="0"/>
    <m/>
    <x v="564"/>
    <s v="11-10-24"/>
    <s v="14-11-24"/>
    <s v="CUST-9100"/>
    <s v="Sneha Kapoor"/>
    <x v="2"/>
    <x v="2"/>
    <s v="Andhra Pradesh"/>
    <s v="Vijayawada"/>
    <x v="1"/>
    <x v="1"/>
    <s v="Basic Tables 759"/>
    <x v="2"/>
    <s v="anomaly"/>
    <n v="34"/>
    <n v="0.2"/>
    <x v="544"/>
    <x v="544"/>
    <x v="544"/>
    <x v="22"/>
    <s v="14-11-24"/>
    <x v="5"/>
    <x v="0"/>
    <s v=" "/>
    <n v="34"/>
    <x v="0"/>
  </r>
  <r>
    <n v="2219.73"/>
    <x v="1"/>
    <x v="1"/>
    <m/>
    <x v="565"/>
    <s v="07-08-25"/>
    <s v="13-08-25"/>
    <s v="CUST-5601"/>
    <s v="Mira Das"/>
    <x v="2"/>
    <x v="0"/>
    <s v="Delhi"/>
    <s v="New Delhi"/>
    <x v="2"/>
    <x v="11"/>
    <s v="Prime Phones 564"/>
    <x v="3"/>
    <s v="anomaly"/>
    <n v="6"/>
    <n v="0.2"/>
    <x v="545"/>
    <x v="545"/>
    <x v="545"/>
    <x v="65"/>
    <s v="13-08-25"/>
    <x v="2"/>
    <x v="2"/>
    <s v=" "/>
    <n v="6"/>
    <x v="0"/>
  </r>
  <r>
    <n v="860.29"/>
    <x v="3"/>
    <x v="2"/>
    <m/>
    <x v="566"/>
    <s v="11-08-24"/>
    <s v="19-08-24"/>
    <s v="CUST-5246"/>
    <s v="Sneha Kapoor"/>
    <x v="1"/>
    <x v="3"/>
    <s v="Maharashtra"/>
    <s v="Mumbai"/>
    <x v="0"/>
    <x v="0"/>
    <s v="Smart Paper 807"/>
    <x v="1"/>
    <s v="anomaly"/>
    <n v="8"/>
    <n v="0.1"/>
    <x v="546"/>
    <x v="546"/>
    <x v="546"/>
    <x v="311"/>
    <s v="19-08-24"/>
    <x v="2"/>
    <x v="0"/>
    <s v=" "/>
    <n v="8"/>
    <x v="0"/>
  </r>
  <r>
    <n v="573.47"/>
    <x v="0"/>
    <x v="0"/>
    <m/>
    <x v="567"/>
    <s v="06-02-24"/>
    <s v="10-02-24"/>
    <s v="CUST-3128"/>
    <s v="Arjun Bose"/>
    <x v="3"/>
    <x v="0"/>
    <s v="Uttar Pradesh"/>
    <s v="Noida"/>
    <x v="1"/>
    <x v="3"/>
    <s v="Pro Furnishings 108"/>
    <x v="1"/>
    <s v="anomaly"/>
    <n v="4"/>
    <n v="0.05"/>
    <x v="547"/>
    <x v="547"/>
    <x v="547"/>
    <x v="175"/>
    <s v="10-02-24"/>
    <x v="6"/>
    <x v="0"/>
    <s v=" "/>
    <n v="4"/>
    <x v="0"/>
  </r>
  <r>
    <n v="886.61"/>
    <x v="0"/>
    <x v="0"/>
    <m/>
    <x v="568"/>
    <s v="21-01-24"/>
    <s v="24-01-24"/>
    <s v="CUST-4604"/>
    <s v="Kabir Singh"/>
    <x v="2"/>
    <x v="0"/>
    <s v="Punjab"/>
    <s v="Ludhiana"/>
    <x v="2"/>
    <x v="12"/>
    <s v="Classic Machines 522"/>
    <x v="1"/>
    <s v="anomaly"/>
    <n v="3"/>
    <n v="0.25"/>
    <x v="548"/>
    <x v="548"/>
    <x v="548"/>
    <x v="227"/>
    <s v="24-01-24"/>
    <x v="9"/>
    <x v="0"/>
    <s v=" "/>
    <n v="3"/>
    <x v="0"/>
  </r>
  <r>
    <n v="2723.9"/>
    <x v="1"/>
    <x v="2"/>
    <m/>
    <x v="569"/>
    <s v="09-08-25"/>
    <s v="10-09-25"/>
    <s v="CUST-2586"/>
    <s v="Rahul Verma"/>
    <x v="3"/>
    <x v="3"/>
    <s v="Maharashtra"/>
    <s v="Mumbai"/>
    <x v="1"/>
    <x v="3"/>
    <s v="Elite Furnishings 822"/>
    <x v="3"/>
    <s v="anomaly"/>
    <n v="32"/>
    <n v="0.25"/>
    <x v="549"/>
    <x v="549"/>
    <x v="549"/>
    <x v="183"/>
    <s v="10-09-25"/>
    <x v="2"/>
    <x v="2"/>
    <s v=" "/>
    <n v="32"/>
    <x v="0"/>
  </r>
  <r>
    <n v="2534.92"/>
    <x v="3"/>
    <x v="2"/>
    <m/>
    <x v="570"/>
    <s v="18-08-25"/>
    <s v="invalid date"/>
    <s v="CUST-6585"/>
    <s v="Arjun Bose"/>
    <x v="0"/>
    <x v="1"/>
    <s v="Jharkhand"/>
    <s v="Ranchi"/>
    <x v="1"/>
    <x v="3"/>
    <s v="Max Furnishings 647"/>
    <x v="0"/>
    <s v="Invalid"/>
    <s v="invalid date"/>
    <n v="0.25"/>
    <x v="550"/>
    <x v="550"/>
    <x v="550"/>
    <x v="122"/>
    <s v="invalid date"/>
    <x v="2"/>
    <x v="2"/>
    <s v="Invalid"/>
    <s v="invalid date"/>
    <x v="0"/>
  </r>
  <r>
    <n v="8141.24"/>
    <x v="3"/>
    <x v="2"/>
    <m/>
    <x v="571"/>
    <s v="10-02-25"/>
    <s v="14-02-25"/>
    <s v="CUST-3425"/>
    <s v="Priya Menon"/>
    <x v="1"/>
    <x v="0"/>
    <s v="Uttar Pradesh"/>
    <s v="Noida"/>
    <x v="2"/>
    <x v="11"/>
    <s v="Prime Phones 895"/>
    <x v="4"/>
    <s v="anomaly"/>
    <n v="4"/>
    <n v="0"/>
    <x v="551"/>
    <x v="551"/>
    <x v="551"/>
    <x v="160"/>
    <s v="14-02-25"/>
    <x v="6"/>
    <x v="2"/>
    <s v=" "/>
    <n v="4"/>
    <x v="0"/>
  </r>
  <r>
    <n v="767.54"/>
    <x v="0"/>
    <x v="0"/>
    <m/>
    <x v="572"/>
    <s v="01-02-24"/>
    <s v="09-01-24"/>
    <s v="CUST-8633"/>
    <s v="Diya Patel"/>
    <x v="2"/>
    <x v="0"/>
    <s v="Delhi"/>
    <s v="New Delhi"/>
    <x v="2"/>
    <x v="11"/>
    <s v="Eco Phones 368"/>
    <x v="3"/>
    <s v="anomaly"/>
    <n v="-23"/>
    <n v="0.2"/>
    <x v="552"/>
    <x v="552"/>
    <x v="552"/>
    <x v="345"/>
    <s v="09-01-24"/>
    <x v="6"/>
    <x v="0"/>
    <s v=" "/>
    <n v="-23"/>
    <x v="0"/>
  </r>
  <r>
    <n v="250.98"/>
    <x v="0"/>
    <x v="0"/>
    <m/>
    <x v="573"/>
    <s v="invalid date"/>
    <s v="invalid date"/>
    <s v="CUST-8243"/>
    <s v="Isha Nair"/>
    <x v="0"/>
    <x v="2"/>
    <s v="Andhra Pradesh"/>
    <s v="Vijayawada"/>
    <x v="2"/>
    <x v="11"/>
    <s v="Pro Phones 644"/>
    <x v="3"/>
    <s v="Invalid"/>
    <s v="invalid date"/>
    <n v="0"/>
    <x v="553"/>
    <x v="553"/>
    <x v="553"/>
    <x v="1"/>
    <s v="invalid date"/>
    <x v="1"/>
    <x v="1"/>
    <s v="Invalid"/>
    <s v="invalid date"/>
    <x v="0"/>
  </r>
  <r>
    <n v="1350.76"/>
    <x v="0"/>
    <x v="0"/>
    <m/>
    <x v="574"/>
    <s v="20-02-24"/>
    <s v="25-02-24"/>
    <s v="CUST-9139"/>
    <s v="Diya Patel"/>
    <x v="3"/>
    <x v="0"/>
    <s v="Punjab"/>
    <s v="Ludhiana"/>
    <x v="2"/>
    <x v="12"/>
    <s v="Smart Machines 566"/>
    <x v="3"/>
    <s v="anomaly"/>
    <n v="5"/>
    <n v="0"/>
    <x v="554"/>
    <x v="554"/>
    <x v="554"/>
    <x v="86"/>
    <s v="25-02-24"/>
    <x v="6"/>
    <x v="0"/>
    <s v=" "/>
    <n v="5"/>
    <x v="0"/>
  </r>
  <r>
    <n v="808.51"/>
    <x v="3"/>
    <x v="2"/>
    <m/>
    <x v="575"/>
    <s v="11-03-25"/>
    <s v="14-03-25"/>
    <s v="CUST-5496"/>
    <s v="Sneha Kapoor"/>
    <x v="3"/>
    <x v="2"/>
    <s v="Kerala"/>
    <s v="Kochi"/>
    <x v="1"/>
    <x v="3"/>
    <s v="Elite Furnishings 173"/>
    <x v="1"/>
    <s v="anomaly"/>
    <n v="3"/>
    <n v="0.2"/>
    <x v="555"/>
    <x v="555"/>
    <x v="555"/>
    <x v="290"/>
    <s v="14-03-25"/>
    <x v="10"/>
    <x v="2"/>
    <s v=" "/>
    <n v="3"/>
    <x v="0"/>
  </r>
  <r>
    <n v="3992.35"/>
    <x v="1"/>
    <x v="2"/>
    <m/>
    <x v="576"/>
    <s v="17-02-24"/>
    <s v="invalid date"/>
    <s v="CUST-2228"/>
    <s v="Rohan Mehta"/>
    <x v="3"/>
    <x v="4"/>
    <s v="Bihar"/>
    <s v="Patna"/>
    <x v="0"/>
    <x v="9"/>
    <s v="Smart Binders 417"/>
    <x v="3"/>
    <s v="Invalid"/>
    <s v="invalid date"/>
    <n v="0"/>
    <x v="556"/>
    <x v="556"/>
    <x v="556"/>
    <x v="346"/>
    <s v="invalid date"/>
    <x v="6"/>
    <x v="0"/>
    <s v="Invalid"/>
    <s v="invalid date"/>
    <x v="0"/>
  </r>
  <r>
    <n v="744.25"/>
    <x v="0"/>
    <x v="0"/>
    <m/>
    <x v="577"/>
    <s v="invalid date"/>
    <s v="03-09-25"/>
    <s v="CUST-4151"/>
    <s v="Priya Menon"/>
    <x v="2"/>
    <x v="3"/>
    <s v="Madhya Pradesh"/>
    <s v="Indore"/>
    <x v="1"/>
    <x v="3"/>
    <s v="Smart Furnishings 714"/>
    <x v="3"/>
    <s v="Invalid"/>
    <s v="invalid date"/>
    <n v="0"/>
    <x v="557"/>
    <x v="557"/>
    <x v="557"/>
    <x v="1"/>
    <s v="03-09-25"/>
    <x v="1"/>
    <x v="1"/>
    <s v="Invalid"/>
    <s v="invalid date"/>
    <x v="0"/>
  </r>
  <r>
    <n v="5351.45"/>
    <x v="0"/>
    <x v="0"/>
    <m/>
    <x v="578"/>
    <s v="21-02-24"/>
    <s v="23-02-24"/>
    <s v="CUST-4900"/>
    <s v="Neha Gupta"/>
    <x v="1"/>
    <x v="3"/>
    <s v="Gujarat"/>
    <s v="Ahmedabad"/>
    <x v="2"/>
    <x v="6"/>
    <s v="Elite Copiers 682"/>
    <x v="2"/>
    <s v="anomaly"/>
    <n v="2"/>
    <n v="0.05"/>
    <x v="558"/>
    <x v="558"/>
    <x v="558"/>
    <x v="347"/>
    <s v="23-02-24"/>
    <x v="6"/>
    <x v="0"/>
    <s v=" "/>
    <n v="2"/>
    <x v="0"/>
  </r>
  <r>
    <n v="593.97"/>
    <x v="0"/>
    <x v="0"/>
    <m/>
    <x v="579"/>
    <s v="19-06-24"/>
    <s v="24-06-24"/>
    <s v="CUST-9617"/>
    <s v="Aarav Sharma"/>
    <x v="1"/>
    <x v="2"/>
    <s v="Tamil Nadu"/>
    <s v="Chennai"/>
    <x v="0"/>
    <x v="8"/>
    <s v="Pro Storage 482"/>
    <x v="1"/>
    <s v="anomaly"/>
    <n v="5"/>
    <n v="0"/>
    <x v="559"/>
    <x v="559"/>
    <x v="559"/>
    <x v="348"/>
    <s v="24-06-24"/>
    <x v="11"/>
    <x v="0"/>
    <s v=" "/>
    <n v="5"/>
    <x v="0"/>
  </r>
  <r>
    <n v="155.82"/>
    <x v="3"/>
    <x v="2"/>
    <m/>
    <x v="580"/>
    <s v="06-03-25"/>
    <s v="invalid date"/>
    <s v="CUST-7958"/>
    <s v="Kabir Singh"/>
    <x v="0"/>
    <x v="2"/>
    <s v="Kerala"/>
    <s v="Kochi"/>
    <x v="1"/>
    <x v="4"/>
    <s v="Pro Chairs 888"/>
    <x v="3"/>
    <s v="Invalid"/>
    <s v="invalid date"/>
    <n v="0.15"/>
    <x v="560"/>
    <x v="560"/>
    <x v="560"/>
    <x v="349"/>
    <s v="invalid date"/>
    <x v="10"/>
    <x v="2"/>
    <s v="Invalid"/>
    <s v="invalid date"/>
    <x v="0"/>
  </r>
  <r>
    <n v="6358.01"/>
    <x v="1"/>
    <x v="2"/>
    <m/>
    <x v="581"/>
    <s v="09-08-25"/>
    <s v="08-10-25"/>
    <s v="CUST-9931"/>
    <s v="Neha Gupta"/>
    <x v="0"/>
    <x v="0"/>
    <s v="Delhi"/>
    <s v="New Delhi"/>
    <x v="0"/>
    <x v="2"/>
    <s v="Classic Art 611"/>
    <x v="0"/>
    <s v="  "/>
    <n v="60"/>
    <n v="0"/>
    <x v="561"/>
    <x v="561"/>
    <x v="561"/>
    <x v="183"/>
    <s v="08-10-25"/>
    <x v="2"/>
    <x v="2"/>
    <s v="anomaly"/>
    <n v="60"/>
    <x v="0"/>
  </r>
  <r>
    <n v="1150.48"/>
    <x v="2"/>
    <x v="2"/>
    <m/>
    <x v="582"/>
    <s v="15-10-24"/>
    <s v="invalid date"/>
    <s v="CUST-2088"/>
    <s v="Ananya Rao"/>
    <x v="0"/>
    <x v="1"/>
    <s v="Odisha"/>
    <s v="Bhubaneswar"/>
    <x v="0"/>
    <x v="2"/>
    <s v="Basic Art 174"/>
    <x v="2"/>
    <s v="Invalid"/>
    <s v="invalid date"/>
    <n v="0"/>
    <x v="562"/>
    <x v="562"/>
    <x v="562"/>
    <x v="350"/>
    <s v="invalid date"/>
    <x v="5"/>
    <x v="0"/>
    <s v="Invalid"/>
    <s v="invalid date"/>
    <x v="0"/>
  </r>
  <r>
    <n v="883.64"/>
    <x v="3"/>
    <x v="2"/>
    <m/>
    <x v="583"/>
    <s v="28-02-24"/>
    <s v="invalid date"/>
    <s v="CUST-1686"/>
    <s v="Rohan Mehta"/>
    <x v="1"/>
    <x v="1"/>
    <s v="West Bengal"/>
    <s v="Kolkata"/>
    <x v="0"/>
    <x v="8"/>
    <s v="Classic Storage 451"/>
    <x v="2"/>
    <s v="Invalid"/>
    <s v="invalid date"/>
    <n v="0.2"/>
    <x v="563"/>
    <x v="563"/>
    <x v="563"/>
    <x v="198"/>
    <s v="invalid date"/>
    <x v="6"/>
    <x v="0"/>
    <s v="Invalid"/>
    <s v="invalid date"/>
    <x v="0"/>
  </r>
  <r>
    <n v="253.4"/>
    <x v="2"/>
    <x v="2"/>
    <m/>
    <x v="584"/>
    <s v="08-04-24"/>
    <s v="10-08-24"/>
    <s v="CUST-4894"/>
    <s v="Vikram Iyer"/>
    <x v="0"/>
    <x v="1"/>
    <s v="Bihar"/>
    <s v="Patna"/>
    <x v="0"/>
    <x v="2"/>
    <s v="Pro Art 172"/>
    <x v="1"/>
    <s v="anomaly"/>
    <n v="124"/>
    <n v="0.15"/>
    <x v="564"/>
    <x v="564"/>
    <x v="564"/>
    <x v="351"/>
    <s v="10-08-24"/>
    <x v="12"/>
    <x v="0"/>
    <s v=" "/>
    <n v="124"/>
    <x v="0"/>
  </r>
  <r>
    <n v="5602.8"/>
    <x v="0"/>
    <x v="0"/>
    <m/>
    <x v="585"/>
    <s v="22-06-25"/>
    <s v="25-06-25"/>
    <s v="CUST-5201"/>
    <s v="Diya Patel"/>
    <x v="1"/>
    <x v="3"/>
    <s v="Maharashtra"/>
    <s v="Mumbai"/>
    <x v="2"/>
    <x v="11"/>
    <s v="Prime Phones 744"/>
    <x v="2"/>
    <s v="anomaly"/>
    <n v="3"/>
    <n v="0"/>
    <x v="565"/>
    <x v="565"/>
    <x v="565"/>
    <x v="225"/>
    <s v="25-06-25"/>
    <x v="11"/>
    <x v="2"/>
    <s v=" "/>
    <n v="3"/>
    <x v="0"/>
  </r>
  <r>
    <n v="1287.2"/>
    <x v="0"/>
    <x v="0"/>
    <m/>
    <x v="586"/>
    <s v="12-04-25"/>
    <s v="12-04-25"/>
    <s v="CUST-8626"/>
    <s v="Mira Das"/>
    <x v="3"/>
    <x v="0"/>
    <s v="Punjab"/>
    <s v="Ludhiana"/>
    <x v="0"/>
    <x v="9"/>
    <s v="Prime Binders 249"/>
    <x v="0"/>
    <s v="  "/>
    <n v="0"/>
    <n v="0.2"/>
    <x v="566"/>
    <x v="566"/>
    <x v="566"/>
    <x v="274"/>
    <s v="12-04-25"/>
    <x v="12"/>
    <x v="2"/>
    <s v=" "/>
    <n v="0"/>
    <x v="0"/>
  </r>
  <r>
    <n v="664.24"/>
    <x v="1"/>
    <x v="1"/>
    <m/>
    <x v="587"/>
    <s v="23-07-25"/>
    <s v="31-07-25"/>
    <s v="CUST-1013"/>
    <s v="Kabir Singh"/>
    <x v="3"/>
    <x v="3"/>
    <s v="Madhya Pradesh"/>
    <s v="Indore"/>
    <x v="2"/>
    <x v="5"/>
    <s v="Eco Accessories 948"/>
    <x v="2"/>
    <s v="anomaly"/>
    <n v="8"/>
    <n v="0.15"/>
    <x v="567"/>
    <x v="567"/>
    <x v="567"/>
    <x v="352"/>
    <s v="31-07-25"/>
    <x v="0"/>
    <x v="2"/>
    <s v=" "/>
    <n v="8"/>
    <x v="0"/>
  </r>
  <r>
    <n v="11116.91"/>
    <x v="1"/>
    <x v="1"/>
    <m/>
    <x v="588"/>
    <s v="11-03-25"/>
    <s v="15-03-25"/>
    <s v="CUST-3601"/>
    <s v="Aarav Sharma"/>
    <x v="3"/>
    <x v="2"/>
    <s v="Karnataka"/>
    <s v="Bengaluru"/>
    <x v="2"/>
    <x v="5"/>
    <s v="Classic Accessories 458"/>
    <x v="0"/>
    <s v="anomaly"/>
    <n v="4"/>
    <n v="0.1"/>
    <x v="568"/>
    <x v="568"/>
    <x v="568"/>
    <x v="290"/>
    <s v="15-03-25"/>
    <x v="10"/>
    <x v="2"/>
    <s v=" "/>
    <n v="4"/>
    <x v="0"/>
  </r>
  <r>
    <n v="248.13"/>
    <x v="0"/>
    <x v="0"/>
    <m/>
    <x v="589"/>
    <s v="06-12-24"/>
    <s v="12-12-24"/>
    <s v="CUST-7846"/>
    <s v="Rohan Mehta"/>
    <x v="2"/>
    <x v="0"/>
    <s v="Uttar Pradesh"/>
    <s v="Noida"/>
    <x v="2"/>
    <x v="11"/>
    <s v="Max Phones 318"/>
    <x v="2"/>
    <s v="anomaly"/>
    <n v="6"/>
    <n v="0"/>
    <x v="569"/>
    <x v="569"/>
    <x v="569"/>
    <x v="353"/>
    <s v="12-12-24"/>
    <x v="8"/>
    <x v="0"/>
    <s v=" "/>
    <n v="6"/>
    <x v="0"/>
  </r>
  <r>
    <n v="4684.45"/>
    <x v="2"/>
    <x v="1"/>
    <m/>
    <x v="590"/>
    <s v="29-05-24"/>
    <s v="29-05-24"/>
    <s v="CUST-3433"/>
    <s v="Aarav Sharma"/>
    <x v="3"/>
    <x v="0"/>
    <s v="Delhi"/>
    <s v="New Delhi"/>
    <x v="1"/>
    <x v="4"/>
    <s v="Elite Chairs 372"/>
    <x v="1"/>
    <s v="  "/>
    <n v="0"/>
    <n v="0"/>
    <x v="570"/>
    <x v="570"/>
    <x v="570"/>
    <x v="30"/>
    <s v="29-05-24"/>
    <x v="4"/>
    <x v="0"/>
    <s v=" "/>
    <n v="0"/>
    <x v="0"/>
  </r>
  <r>
    <n v="4603.3599999999997"/>
    <x v="3"/>
    <x v="2"/>
    <m/>
    <x v="591"/>
    <s v="22-02-24"/>
    <s v="24-02-24"/>
    <s v="CUST-2423"/>
    <s v="Sneha Kapoor"/>
    <x v="0"/>
    <x v="2"/>
    <s v="Karnataka"/>
    <s v="Bengaluru"/>
    <x v="2"/>
    <x v="6"/>
    <s v="Eco Copiers 324"/>
    <x v="2"/>
    <s v="anomaly"/>
    <n v="2"/>
    <n v="0"/>
    <x v="571"/>
    <x v="571"/>
    <x v="571"/>
    <x v="354"/>
    <s v="24-02-24"/>
    <x v="6"/>
    <x v="0"/>
    <s v=" "/>
    <n v="2"/>
    <x v="0"/>
  </r>
  <r>
    <n v="7493.56"/>
    <x v="0"/>
    <x v="0"/>
    <m/>
    <x v="592"/>
    <s v="04-03-24"/>
    <s v="09-03-24"/>
    <s v="CUST-3559"/>
    <s v="Mira Das"/>
    <x v="0"/>
    <x v="1"/>
    <s v="West Bengal"/>
    <s v="Kolkata"/>
    <x v="2"/>
    <x v="5"/>
    <s v="Classic Accessories 131"/>
    <x v="1"/>
    <s v="anomaly"/>
    <n v="5"/>
    <n v="0.15"/>
    <x v="572"/>
    <x v="572"/>
    <x v="572"/>
    <x v="21"/>
    <s v="09-03-24"/>
    <x v="10"/>
    <x v="0"/>
    <s v=" "/>
    <n v="5"/>
    <x v="0"/>
  </r>
  <r>
    <n v="12104.66"/>
    <x v="0"/>
    <x v="0"/>
    <m/>
    <x v="593"/>
    <s v="invalid date"/>
    <s v="29-09-25"/>
    <s v="CUST-2917"/>
    <s v="Arjun Bose"/>
    <x v="3"/>
    <x v="0"/>
    <s v="Uttar Pradesh"/>
    <s v="Noida"/>
    <x v="1"/>
    <x v="1"/>
    <s v="Eco Tables 550"/>
    <x v="0"/>
    <s v="Invalid"/>
    <s v="invalid date"/>
    <n v="0.25"/>
    <x v="573"/>
    <x v="573"/>
    <x v="573"/>
    <x v="1"/>
    <s v="29-09-25"/>
    <x v="1"/>
    <x v="1"/>
    <s v="Invalid"/>
    <s v="invalid date"/>
    <x v="0"/>
  </r>
  <r>
    <n v="2244.9699999999998"/>
    <x v="0"/>
    <x v="0"/>
    <m/>
    <x v="594"/>
    <s v="19-09-24"/>
    <s v="21-09-24"/>
    <s v="CUST-6850"/>
    <s v="Karan Malhotra"/>
    <x v="1"/>
    <x v="1"/>
    <s v="West Bengal"/>
    <s v="Kolkata"/>
    <x v="1"/>
    <x v="4"/>
    <s v="Basic Chairs 932"/>
    <x v="2"/>
    <s v="anomaly"/>
    <n v="2"/>
    <n v="0"/>
    <x v="574"/>
    <x v="574"/>
    <x v="574"/>
    <x v="355"/>
    <s v="21-09-24"/>
    <x v="7"/>
    <x v="0"/>
    <s v=" "/>
    <n v="2"/>
    <x v="0"/>
  </r>
  <r>
    <n v="3380.03"/>
    <x v="0"/>
    <x v="0"/>
    <m/>
    <x v="595"/>
    <s v="02-11-25"/>
    <s v="16-02-25"/>
    <s v="CUST-5566"/>
    <s v="Mira Das"/>
    <x v="2"/>
    <x v="0"/>
    <s v="Uttar Pradesh"/>
    <s v="Noida"/>
    <x v="2"/>
    <x v="11"/>
    <s v="Classic Phones 294"/>
    <x v="2"/>
    <s v="anomaly"/>
    <n v="-259"/>
    <n v="0.1"/>
    <x v="575"/>
    <x v="575"/>
    <x v="575"/>
    <x v="356"/>
    <s v="16-02-25"/>
    <x v="3"/>
    <x v="2"/>
    <s v=" "/>
    <n v="-259"/>
    <x v="0"/>
  </r>
  <r>
    <n v="5273.81"/>
    <x v="0"/>
    <x v="0"/>
    <m/>
    <x v="596"/>
    <s v="10-04-24"/>
    <s v="invalid date"/>
    <s v="CUST-2593"/>
    <s v="Aditi Sen"/>
    <x v="0"/>
    <x v="2"/>
    <s v="Kerala"/>
    <s v="Kochi"/>
    <x v="1"/>
    <x v="4"/>
    <s v="Elite Chairs 700"/>
    <x v="0"/>
    <s v="Invalid"/>
    <s v="invalid date"/>
    <n v="0.25"/>
    <x v="576"/>
    <x v="576"/>
    <x v="576"/>
    <x v="357"/>
    <s v="invalid date"/>
    <x v="12"/>
    <x v="0"/>
    <s v="Invalid"/>
    <s v="invalid date"/>
    <x v="0"/>
  </r>
  <r>
    <n v="592.70000000000005"/>
    <x v="0"/>
    <x v="0"/>
    <m/>
    <x v="597"/>
    <s v="08-07-25"/>
    <s v="07-08-25"/>
    <s v="CUST-6957"/>
    <s v="Aditi Sen"/>
    <x v="0"/>
    <x v="2"/>
    <s v="Telangana"/>
    <s v="Hyderabad"/>
    <x v="2"/>
    <x v="6"/>
    <s v="Prime Copiers 969"/>
    <x v="1"/>
    <s v="  "/>
    <n v="30"/>
    <n v="0.25"/>
    <x v="577"/>
    <x v="577"/>
    <x v="577"/>
    <x v="334"/>
    <s v="07-08-25"/>
    <x v="0"/>
    <x v="2"/>
    <s v="anomaly"/>
    <n v="30"/>
    <x v="0"/>
  </r>
  <r>
    <n v="681.38"/>
    <x v="0"/>
    <x v="0"/>
    <m/>
    <x v="598"/>
    <s v="invalid date"/>
    <s v="invalid date"/>
    <s v="CUST-8498"/>
    <s v="Ananya Rao"/>
    <x v="2"/>
    <x v="1"/>
    <s v="West Bengal"/>
    <s v="Kolkata"/>
    <x v="2"/>
    <x v="6"/>
    <s v="Eco Copiers 268"/>
    <x v="1"/>
    <s v="Invalid"/>
    <s v="invalid date"/>
    <n v="0.25"/>
    <x v="578"/>
    <x v="578"/>
    <x v="578"/>
    <x v="1"/>
    <s v="invalid date"/>
    <x v="1"/>
    <x v="1"/>
    <s v="Invalid"/>
    <s v="invalid date"/>
    <x v="0"/>
  </r>
  <r>
    <n v="861.25"/>
    <x v="0"/>
    <x v="0"/>
    <m/>
    <x v="599"/>
    <s v="19-08-24"/>
    <s v="21-08-24"/>
    <s v="CUST-2612"/>
    <s v="Arjun Bose"/>
    <x v="0"/>
    <x v="0"/>
    <s v="Punjab"/>
    <s v="Ludhiana"/>
    <x v="2"/>
    <x v="11"/>
    <s v="Pro Phones 588"/>
    <x v="2"/>
    <s v="anomaly"/>
    <n v="2"/>
    <n v="0.25"/>
    <x v="579"/>
    <x v="579"/>
    <x v="579"/>
    <x v="358"/>
    <s v="21-08-24"/>
    <x v="2"/>
    <x v="0"/>
    <s v=" "/>
    <n v="2"/>
    <x v="0"/>
  </r>
  <r>
    <n v="1985.53"/>
    <x v="0"/>
    <x v="0"/>
    <m/>
    <x v="600"/>
    <s v="05-03-25"/>
    <s v="12-03-25"/>
    <s v="CUST-6013"/>
    <s v="Ananya Rao"/>
    <x v="2"/>
    <x v="3"/>
    <s v="Madhya Pradesh"/>
    <s v="Indore"/>
    <x v="0"/>
    <x v="8"/>
    <s v="Prime Storage 432"/>
    <x v="1"/>
    <s v="anomaly"/>
    <n v="7"/>
    <n v="0"/>
    <x v="580"/>
    <x v="580"/>
    <x v="580"/>
    <x v="286"/>
    <s v="12-03-25"/>
    <x v="10"/>
    <x v="2"/>
    <s v=" "/>
    <n v="7"/>
    <x v="0"/>
  </r>
  <r>
    <n v="2856.09"/>
    <x v="0"/>
    <x v="0"/>
    <m/>
    <x v="601"/>
    <s v="26-01-24"/>
    <s v="invalid date"/>
    <s v="CUST-8289"/>
    <s v="Ananya Rao"/>
    <x v="3"/>
    <x v="1"/>
    <s v="West Bengal"/>
    <s v="Kolkata"/>
    <x v="0"/>
    <x v="0"/>
    <s v="Basic Paper 452"/>
    <x v="0"/>
    <s v="Invalid"/>
    <s v="invalid date"/>
    <n v="0.2"/>
    <x v="581"/>
    <x v="581"/>
    <x v="581"/>
    <x v="80"/>
    <s v="invalid date"/>
    <x v="9"/>
    <x v="0"/>
    <s v="Invalid"/>
    <s v="invalid date"/>
    <x v="0"/>
  </r>
  <r>
    <n v="5396.67"/>
    <x v="0"/>
    <x v="0"/>
    <m/>
    <x v="602"/>
    <s v="23-10-24"/>
    <s v="30-10-24"/>
    <s v="CUST-5668"/>
    <s v="Aarav Sharma"/>
    <x v="0"/>
    <x v="1"/>
    <s v="Jharkhand"/>
    <s v="Ranchi"/>
    <x v="2"/>
    <x v="6"/>
    <s v="Max Copiers 477"/>
    <x v="0"/>
    <s v="anomaly"/>
    <n v="7"/>
    <n v="0.15"/>
    <x v="582"/>
    <x v="582"/>
    <x v="582"/>
    <x v="359"/>
    <s v="30-10-24"/>
    <x v="5"/>
    <x v="0"/>
    <s v=" "/>
    <n v="7"/>
    <x v="0"/>
  </r>
  <r>
    <n v="8410.01"/>
    <x v="2"/>
    <x v="1"/>
    <m/>
    <x v="603"/>
    <s v="01-03-25"/>
    <s v="11-01-25"/>
    <s v="CUST-5808"/>
    <s v="Vikram Iyer"/>
    <x v="2"/>
    <x v="1"/>
    <s v="Bihar"/>
    <s v="Patna"/>
    <x v="2"/>
    <x v="5"/>
    <s v="Prime Accessories 300"/>
    <x v="2"/>
    <s v="anomaly"/>
    <n v="-49"/>
    <n v="0.05"/>
    <x v="583"/>
    <x v="583"/>
    <x v="583"/>
    <x v="270"/>
    <s v="11-01-25"/>
    <x v="10"/>
    <x v="2"/>
    <s v=" "/>
    <n v="-49"/>
    <x v="0"/>
  </r>
  <r>
    <n v="1375.67"/>
    <x v="0"/>
    <x v="0"/>
    <m/>
    <x v="604"/>
    <s v="05-02-25"/>
    <s v="02-06-25"/>
    <s v="CUST-4526"/>
    <s v="Ananya Rao"/>
    <x v="0"/>
    <x v="3"/>
    <s v="Madhya Pradesh"/>
    <s v="Indore"/>
    <x v="0"/>
    <x v="9"/>
    <s v="Max Binders 547"/>
    <x v="1"/>
    <s v="  "/>
    <n v="117"/>
    <n v="0"/>
    <x v="584"/>
    <x v="584"/>
    <x v="584"/>
    <x v="84"/>
    <s v="02-06-25"/>
    <x v="6"/>
    <x v="2"/>
    <s v="anomaly"/>
    <n v="117"/>
    <x v="0"/>
  </r>
  <r>
    <n v="1111.99"/>
    <x v="0"/>
    <x v="1"/>
    <m/>
    <x v="605"/>
    <s v="09-07-25"/>
    <s v="13-07-25"/>
    <s v="CUST-4447"/>
    <s v="Kabir Singh"/>
    <x v="2"/>
    <x v="3"/>
    <s v="Goa"/>
    <s v="Panaji"/>
    <x v="1"/>
    <x v="3"/>
    <s v="Pro Furnishings 267"/>
    <x v="0"/>
    <s v="anomaly"/>
    <n v="4"/>
    <s v="invalid"/>
    <x v="2"/>
    <x v="2"/>
    <x v="2"/>
    <x v="360"/>
    <s v="13-07-25"/>
    <x v="0"/>
    <x v="2"/>
    <s v=" "/>
    <n v="4"/>
    <x v="0"/>
  </r>
  <r>
    <n v="2515.42"/>
    <x v="0"/>
    <x v="0"/>
    <m/>
    <x v="606"/>
    <s v="22-02-25"/>
    <s v="invalid date"/>
    <s v="CUST-2698"/>
    <s v="Rahul Verma"/>
    <x v="3"/>
    <x v="3"/>
    <s v="Madhya Pradesh"/>
    <s v="Indore"/>
    <x v="2"/>
    <x v="6"/>
    <s v="Max Copiers 520"/>
    <x v="1"/>
    <s v="Invalid"/>
    <s v="invalid date"/>
    <n v="0.25"/>
    <x v="585"/>
    <x v="585"/>
    <x v="585"/>
    <x v="361"/>
    <s v="invalid date"/>
    <x v="6"/>
    <x v="2"/>
    <s v="Invalid"/>
    <s v="invalid date"/>
    <x v="0"/>
  </r>
  <r>
    <n v="1195.32"/>
    <x v="0"/>
    <x v="0"/>
    <m/>
    <x v="607"/>
    <s v="16-02-25"/>
    <s v="22-02-25"/>
    <s v="CUST-6297"/>
    <s v="Sneha Kapoor"/>
    <x v="3"/>
    <x v="1"/>
    <s v="Bihar"/>
    <s v="Patna"/>
    <x v="0"/>
    <x v="8"/>
    <s v="Max Storage 424"/>
    <x v="1"/>
    <s v="anomaly"/>
    <n v="6"/>
    <n v="0.15"/>
    <x v="586"/>
    <x v="586"/>
    <x v="586"/>
    <x v="362"/>
    <s v="22-02-25"/>
    <x v="6"/>
    <x v="2"/>
    <s v=" "/>
    <n v="6"/>
    <x v="0"/>
  </r>
  <r>
    <n v="7716.32"/>
    <x v="0"/>
    <x v="0"/>
    <m/>
    <x v="608"/>
    <s v="21-06-24"/>
    <s v="23-06-24"/>
    <s v="CUST-7690"/>
    <s v="Karan Malhotra"/>
    <x v="3"/>
    <x v="3"/>
    <s v="Goa"/>
    <s v="Panaji"/>
    <x v="1"/>
    <x v="3"/>
    <s v="Elite Furnishings 706"/>
    <x v="0"/>
    <s v="anomaly"/>
    <n v="2"/>
    <n v="0"/>
    <x v="587"/>
    <x v="587"/>
    <x v="587"/>
    <x v="363"/>
    <s v="23-06-24"/>
    <x v="11"/>
    <x v="0"/>
    <s v=" "/>
    <n v="2"/>
    <x v="0"/>
  </r>
  <r>
    <n v="5296.96"/>
    <x v="0"/>
    <x v="0"/>
    <m/>
    <x v="609"/>
    <s v="08-01-25"/>
    <s v="12-01-25"/>
    <s v="CUST-4380"/>
    <s v="Sneha Kapoor"/>
    <x v="3"/>
    <x v="2"/>
    <s v="Karnataka"/>
    <s v="Bengaluru"/>
    <x v="1"/>
    <x v="4"/>
    <s v="Pro Chairs 908"/>
    <x v="3"/>
    <s v="anomaly"/>
    <n v="4"/>
    <n v="0"/>
    <x v="588"/>
    <x v="588"/>
    <x v="588"/>
    <x v="176"/>
    <s v="12-01-25"/>
    <x v="9"/>
    <x v="2"/>
    <s v=" "/>
    <n v="4"/>
    <x v="0"/>
  </r>
  <r>
    <n v="1014.29"/>
    <x v="0"/>
    <x v="0"/>
    <m/>
    <x v="610"/>
    <s v="20-05-24"/>
    <s v="invalid date"/>
    <s v="CUST-2779"/>
    <s v="Karan Malhotra"/>
    <x v="3"/>
    <x v="3"/>
    <s v="Madhya Pradesh"/>
    <s v="Indore"/>
    <x v="1"/>
    <x v="4"/>
    <s v="Pro Chairs 712"/>
    <x v="3"/>
    <s v="Invalid"/>
    <s v="invalid date"/>
    <n v="0.1"/>
    <x v="589"/>
    <x v="589"/>
    <x v="589"/>
    <x v="364"/>
    <s v="invalid date"/>
    <x v="4"/>
    <x v="0"/>
    <s v="Invalid"/>
    <s v="invalid date"/>
    <x v="0"/>
  </r>
  <r>
    <n v="809.79"/>
    <x v="0"/>
    <x v="0"/>
    <m/>
    <x v="611"/>
    <s v="08-07-25"/>
    <s v="15-07-25"/>
    <s v="CUST-6108"/>
    <s v="Ananya Rao"/>
    <x v="1"/>
    <x v="0"/>
    <s v="Rajasthan"/>
    <s v="Jaipur"/>
    <x v="0"/>
    <x v="9"/>
    <s v="Max Binders 785"/>
    <x v="1"/>
    <s v="anomaly"/>
    <n v="7"/>
    <n v="0.1"/>
    <x v="590"/>
    <x v="590"/>
    <x v="590"/>
    <x v="334"/>
    <s v="15-07-25"/>
    <x v="0"/>
    <x v="2"/>
    <s v=" "/>
    <n v="7"/>
    <x v="0"/>
  </r>
  <r>
    <n v="1648.22"/>
    <x v="0"/>
    <x v="0"/>
    <m/>
    <x v="612"/>
    <s v="06-04-25"/>
    <s v="13-04-25"/>
    <s v="CUST-5663"/>
    <s v="Aditi Sen"/>
    <x v="0"/>
    <x v="4"/>
    <s v="Odisha"/>
    <s v="Bhubaneswar"/>
    <x v="2"/>
    <x v="11"/>
    <s v="Elite Phones 239"/>
    <x v="3"/>
    <s v="anomaly"/>
    <n v="7"/>
    <n v="0"/>
    <x v="591"/>
    <x v="591"/>
    <x v="591"/>
    <x v="177"/>
    <s v="13-04-25"/>
    <x v="12"/>
    <x v="2"/>
    <s v=" "/>
    <n v="7"/>
    <x v="0"/>
  </r>
  <r>
    <n v="8016.37"/>
    <x v="0"/>
    <x v="0"/>
    <m/>
    <x v="613"/>
    <s v="05-10-24"/>
    <s v="10-10-24"/>
    <s v="CUST-9311"/>
    <s v="Diya Patel"/>
    <x v="3"/>
    <x v="3"/>
    <s v="Gujarat"/>
    <s v="Ahmedabad"/>
    <x v="2"/>
    <x v="12"/>
    <s v="Basic Machines 413"/>
    <x v="1"/>
    <s v="anomaly"/>
    <n v="5"/>
    <n v="0.25"/>
    <x v="592"/>
    <x v="592"/>
    <x v="592"/>
    <x v="365"/>
    <s v="10-10-24"/>
    <x v="5"/>
    <x v="0"/>
    <s v=" "/>
    <n v="5"/>
    <x v="0"/>
  </r>
  <r>
    <n v="3728.84"/>
    <x v="1"/>
    <x v="1"/>
    <m/>
    <x v="614"/>
    <s v="11-02-24"/>
    <s v="19-02-24"/>
    <s v="CUST-8154"/>
    <s v="Ananya Rao"/>
    <x v="3"/>
    <x v="2"/>
    <s v="Telangana"/>
    <s v="Hyderabad"/>
    <x v="1"/>
    <x v="4"/>
    <s v="Elite Chairs 140"/>
    <x v="3"/>
    <s v="anomaly"/>
    <n v="8"/>
    <n v="0.25"/>
    <x v="593"/>
    <x v="593"/>
    <x v="593"/>
    <x v="62"/>
    <s v="19-02-24"/>
    <x v="6"/>
    <x v="0"/>
    <s v=" "/>
    <n v="8"/>
    <x v="0"/>
  </r>
  <r>
    <n v="1322.09"/>
    <x v="0"/>
    <x v="0"/>
    <m/>
    <x v="615"/>
    <s v="04-10-24"/>
    <s v="10-07-24"/>
    <s v="CUST-4462"/>
    <s v="Rahul Verma"/>
    <x v="2"/>
    <x v="2"/>
    <s v="Kerala"/>
    <s v="Kochi"/>
    <x v="0"/>
    <x v="2"/>
    <s v="Basic Art 771"/>
    <x v="0"/>
    <s v="anomaly"/>
    <n v="-86"/>
    <n v="0.1"/>
    <x v="594"/>
    <x v="594"/>
    <x v="594"/>
    <x v="366"/>
    <s v="10-07-24"/>
    <x v="5"/>
    <x v="0"/>
    <s v=" "/>
    <n v="-86"/>
    <x v="0"/>
  </r>
  <r>
    <n v="7002.06"/>
    <x v="0"/>
    <x v="0"/>
    <m/>
    <x v="616"/>
    <s v="16-08-24"/>
    <s v="19-08-24"/>
    <s v="CUST-4660"/>
    <s v="Kabir Singh"/>
    <x v="0"/>
    <x v="2"/>
    <s v="Telangana"/>
    <s v="Hyderabad"/>
    <x v="0"/>
    <x v="0"/>
    <s v="Prime Paper 664"/>
    <x v="3"/>
    <s v="anomaly"/>
    <n v="3"/>
    <n v="0.2"/>
    <x v="595"/>
    <x v="595"/>
    <x v="595"/>
    <x v="367"/>
    <s v="19-08-24"/>
    <x v="2"/>
    <x v="0"/>
    <s v=" "/>
    <n v="3"/>
    <x v="0"/>
  </r>
  <r>
    <n v="4326.34"/>
    <x v="0"/>
    <x v="0"/>
    <m/>
    <x v="617"/>
    <s v="invalid date"/>
    <s v="30-09-24"/>
    <s v="CUST-9002"/>
    <s v="Mira Das"/>
    <x v="3"/>
    <x v="2"/>
    <s v="Telangana"/>
    <s v="Hyderabad"/>
    <x v="2"/>
    <x v="11"/>
    <s v="Pro Phones 226"/>
    <x v="3"/>
    <s v="Invalid"/>
    <s v="invalid date"/>
    <n v="0"/>
    <x v="596"/>
    <x v="596"/>
    <x v="596"/>
    <x v="1"/>
    <s v="30-09-24"/>
    <x v="1"/>
    <x v="1"/>
    <s v="Invalid"/>
    <s v="invalid date"/>
    <x v="0"/>
  </r>
  <r>
    <n v="2082.44"/>
    <x v="3"/>
    <x v="1"/>
    <m/>
    <x v="618"/>
    <s v="23-07-24"/>
    <s v="30-07-24"/>
    <s v="CUST-1057"/>
    <s v="Kabir Singh"/>
    <x v="2"/>
    <x v="0"/>
    <s v="Rajasthan"/>
    <s v="Jaipur"/>
    <x v="1"/>
    <x v="1"/>
    <s v="Basic Tables 684"/>
    <x v="1"/>
    <s v="anomaly"/>
    <n v="7"/>
    <n v="0.25"/>
    <x v="597"/>
    <x v="597"/>
    <x v="597"/>
    <x v="368"/>
    <s v="30-07-24"/>
    <x v="0"/>
    <x v="0"/>
    <s v=" "/>
    <n v="7"/>
    <x v="0"/>
  </r>
  <r>
    <n v="483.47"/>
    <x v="1"/>
    <x v="2"/>
    <m/>
    <x v="619"/>
    <s v="invalid date"/>
    <s v="27-11-24"/>
    <s v="CUST-9596"/>
    <s v="Priya Menon"/>
    <x v="2"/>
    <x v="2"/>
    <s v="Tamil Nadu"/>
    <s v="Chennai"/>
    <x v="0"/>
    <x v="9"/>
    <s v="Prime Binders 938"/>
    <x v="2"/>
    <s v="Invalid"/>
    <s v="invalid date"/>
    <n v="0.2"/>
    <x v="598"/>
    <x v="598"/>
    <x v="598"/>
    <x v="1"/>
    <s v="27-11-24"/>
    <x v="1"/>
    <x v="1"/>
    <s v="Invalid"/>
    <s v="invalid date"/>
    <x v="0"/>
  </r>
  <r>
    <n v="1662.28"/>
    <x v="0"/>
    <x v="0"/>
    <m/>
    <x v="620"/>
    <s v="18-08-24"/>
    <s v="invalid date"/>
    <s v="CUST-6947"/>
    <s v="Vikram Iyer"/>
    <x v="0"/>
    <x v="0"/>
    <s v="Uttar Pradesh"/>
    <s v="Noida"/>
    <x v="2"/>
    <x v="12"/>
    <s v="Classic Machines 337"/>
    <x v="3"/>
    <s v="Invalid"/>
    <s v="invalid date"/>
    <n v="0"/>
    <x v="599"/>
    <x v="599"/>
    <x v="599"/>
    <x v="369"/>
    <s v="invalid date"/>
    <x v="2"/>
    <x v="0"/>
    <s v="Invalid"/>
    <s v="invalid date"/>
    <x v="0"/>
  </r>
  <r>
    <n v="2146.11"/>
    <x v="0"/>
    <x v="0"/>
    <m/>
    <x v="621"/>
    <s v="28-11-24"/>
    <s v="06-12-24"/>
    <s v="CUST-7236"/>
    <s v="Aditi Sen"/>
    <x v="0"/>
    <x v="3"/>
    <s v="Maharashtra"/>
    <s v="Mumbai"/>
    <x v="1"/>
    <x v="4"/>
    <s v="Max Chairs 748"/>
    <x v="1"/>
    <s v="  "/>
    <n v="8"/>
    <n v="0"/>
    <x v="600"/>
    <x v="600"/>
    <x v="600"/>
    <x v="3"/>
    <s v="06-12-24"/>
    <x v="3"/>
    <x v="0"/>
    <s v="anomaly"/>
    <n v="8"/>
    <x v="0"/>
  </r>
  <r>
    <n v="3804.09"/>
    <x v="0"/>
    <x v="0"/>
    <m/>
    <x v="622"/>
    <s v="29-01-25"/>
    <s v="06-02-25"/>
    <s v="CUST-1127"/>
    <s v="Vikram Iyer"/>
    <x v="0"/>
    <x v="1"/>
    <s v="Bihar"/>
    <s v="Patna"/>
    <x v="0"/>
    <x v="8"/>
    <s v="Basic Storage 934"/>
    <x v="3"/>
    <s v="  "/>
    <n v="8"/>
    <n v="0.05"/>
    <x v="601"/>
    <x v="601"/>
    <x v="601"/>
    <x v="336"/>
    <s v="06-02-25"/>
    <x v="9"/>
    <x v="2"/>
    <s v="anomaly"/>
    <n v="8"/>
    <x v="0"/>
  </r>
  <r>
    <n v="2817.62"/>
    <x v="0"/>
    <x v="0"/>
    <m/>
    <x v="623"/>
    <s v="08-08-24"/>
    <s v="14-08-24"/>
    <s v="CUST-6262"/>
    <s v="Vikram Iyer"/>
    <x v="3"/>
    <x v="0"/>
    <s v="Punjab"/>
    <s v="Ludhiana"/>
    <x v="0"/>
    <x v="8"/>
    <s v="Pro Storage 509"/>
    <x v="0"/>
    <s v="anomaly"/>
    <n v="6"/>
    <n v="0.05"/>
    <x v="602"/>
    <x v="602"/>
    <x v="602"/>
    <x v="370"/>
    <s v="14-08-24"/>
    <x v="2"/>
    <x v="0"/>
    <s v=" "/>
    <n v="6"/>
    <x v="0"/>
  </r>
  <r>
    <n v="2994.11"/>
    <x v="0"/>
    <x v="0"/>
    <m/>
    <x v="624"/>
    <s v="invalid date"/>
    <s v="01-02-24"/>
    <s v="CUST-5070"/>
    <s v="Neha Gupta"/>
    <x v="3"/>
    <x v="1"/>
    <s v="Assam"/>
    <s v="Guwahati"/>
    <x v="1"/>
    <x v="4"/>
    <s v="Prime Chairs 765"/>
    <x v="2"/>
    <s v="Invalid"/>
    <s v="invalid date"/>
    <n v="0.05"/>
    <x v="603"/>
    <x v="603"/>
    <x v="603"/>
    <x v="1"/>
    <s v="01-02-24"/>
    <x v="1"/>
    <x v="1"/>
    <s v="Invalid"/>
    <s v="invalid date"/>
    <x v="0"/>
  </r>
  <r>
    <n v="282.49"/>
    <x v="0"/>
    <x v="0"/>
    <m/>
    <x v="625"/>
    <s v="invalid date"/>
    <s v="21-12-24"/>
    <s v="CUST-7946"/>
    <s v="Diya Patel"/>
    <x v="2"/>
    <x v="3"/>
    <s v="Rajasthan"/>
    <s v="Udaipur"/>
    <x v="1"/>
    <x v="4"/>
    <s v="Elite Chairs 358"/>
    <x v="1"/>
    <s v="Invalid"/>
    <s v="invalid date"/>
    <n v="0.2"/>
    <x v="604"/>
    <x v="604"/>
    <x v="604"/>
    <x v="1"/>
    <s v="21-12-24"/>
    <x v="1"/>
    <x v="1"/>
    <s v="Invalid"/>
    <s v="invalid date"/>
    <x v="0"/>
  </r>
  <r>
    <n v="2541.71"/>
    <x v="2"/>
    <x v="2"/>
    <m/>
    <x v="626"/>
    <s v="04-06-25"/>
    <s v="06-07-25"/>
    <s v="CUST-1793"/>
    <s v="Sneha Kapoor"/>
    <x v="3"/>
    <x v="1"/>
    <s v="Assam"/>
    <s v="Guwahati"/>
    <x v="2"/>
    <x v="12"/>
    <s v="Elite Machines 971"/>
    <x v="3"/>
    <s v="anomaly"/>
    <n v="32"/>
    <n v="0"/>
    <x v="605"/>
    <x v="605"/>
    <x v="605"/>
    <x v="166"/>
    <s v="06-07-25"/>
    <x v="11"/>
    <x v="2"/>
    <s v=" "/>
    <n v="32"/>
    <x v="0"/>
  </r>
  <r>
    <n v="869.11"/>
    <x v="2"/>
    <x v="1"/>
    <m/>
    <x v="627"/>
    <s v="invalid date"/>
    <s v="21-02-25"/>
    <s v="CUST-8839"/>
    <s v="Karan Malhotra"/>
    <x v="1"/>
    <x v="2"/>
    <s v="Kerala"/>
    <s v="Kochi"/>
    <x v="2"/>
    <x v="11"/>
    <s v="Max Phones 825"/>
    <x v="0"/>
    <s v="Invalid"/>
    <s v="invalid date"/>
    <n v="0.15"/>
    <x v="606"/>
    <x v="606"/>
    <x v="606"/>
    <x v="1"/>
    <s v="21-02-25"/>
    <x v="1"/>
    <x v="1"/>
    <s v="Invalid"/>
    <s v="invalid date"/>
    <x v="0"/>
  </r>
  <r>
    <n v="973.07"/>
    <x v="0"/>
    <x v="0"/>
    <m/>
    <x v="628"/>
    <s v="05-10-25"/>
    <s v="12-10-25"/>
    <s v="CUST-6725"/>
    <s v="Ananya Rao"/>
    <x v="3"/>
    <x v="1"/>
    <s v="Jharkhand"/>
    <s v="Ranchi"/>
    <x v="2"/>
    <x v="5"/>
    <s v="Eco Accessories 933"/>
    <x v="1"/>
    <s v="anomaly"/>
    <n v="7"/>
    <n v="0.05"/>
    <x v="607"/>
    <x v="607"/>
    <x v="607"/>
    <x v="329"/>
    <s v="12-10-25"/>
    <x v="5"/>
    <x v="2"/>
    <s v=" "/>
    <n v="7"/>
    <x v="0"/>
  </r>
  <r>
    <n v="4778.97"/>
    <x v="0"/>
    <x v="0"/>
    <m/>
    <x v="629"/>
    <s v="09-10-25"/>
    <s v="14-09-25"/>
    <s v="CUST-3793"/>
    <s v="Arjun Bose"/>
    <x v="3"/>
    <x v="3"/>
    <s v="Gujarat"/>
    <s v="Ahmedabad"/>
    <x v="1"/>
    <x v="1"/>
    <s v="Max Tables 908"/>
    <x v="1"/>
    <s v="anomaly"/>
    <n v="-25"/>
    <n v="0.15"/>
    <x v="608"/>
    <x v="608"/>
    <x v="608"/>
    <x v="371"/>
    <s v="14-09-25"/>
    <x v="5"/>
    <x v="2"/>
    <s v=" "/>
    <n v="-25"/>
    <x v="0"/>
  </r>
  <r>
    <n v="1714.92"/>
    <x v="0"/>
    <x v="0"/>
    <m/>
    <x v="630"/>
    <s v="09-04-24"/>
    <s v="10-04-24"/>
    <s v="CUST-6075"/>
    <s v="Priya Menon"/>
    <x v="2"/>
    <x v="1"/>
    <s v="Assam"/>
    <s v="Guwahati"/>
    <x v="0"/>
    <x v="0"/>
    <s v="Elite Paper 239"/>
    <x v="3"/>
    <s v="anomaly"/>
    <n v="1"/>
    <n v="0.1"/>
    <x v="609"/>
    <x v="609"/>
    <x v="609"/>
    <x v="60"/>
    <s v="10-04-24"/>
    <x v="12"/>
    <x v="0"/>
    <s v=" "/>
    <n v="1"/>
    <x v="0"/>
  </r>
  <r>
    <n v="8886.32"/>
    <x v="0"/>
    <x v="0"/>
    <m/>
    <x v="631"/>
    <s v="10-04-24"/>
    <s v="15-04-24"/>
    <s v="CUST-6381"/>
    <s v="Aarav Sharma"/>
    <x v="3"/>
    <x v="3"/>
    <s v="Rajasthan"/>
    <s v="Udaipur"/>
    <x v="1"/>
    <x v="4"/>
    <s v="Eco Chairs 452"/>
    <x v="3"/>
    <s v="anomaly"/>
    <n v="5"/>
    <n v="0.1"/>
    <x v="610"/>
    <x v="610"/>
    <x v="610"/>
    <x v="357"/>
    <s v="15-04-24"/>
    <x v="12"/>
    <x v="0"/>
    <s v=" "/>
    <n v="5"/>
    <x v="0"/>
  </r>
  <r>
    <n v="2694.34"/>
    <x v="0"/>
    <x v="0"/>
    <m/>
    <x v="632"/>
    <s v="15-04-25"/>
    <s v="16-04-25"/>
    <s v="CUST-4593"/>
    <s v="Sneha Kapoor"/>
    <x v="1"/>
    <x v="2"/>
    <s v="Karnataka"/>
    <s v="Bengaluru"/>
    <x v="1"/>
    <x v="3"/>
    <s v="Smart Furnishings 721"/>
    <x v="2"/>
    <s v="anomaly"/>
    <n v="1"/>
    <n v="0"/>
    <x v="611"/>
    <x v="611"/>
    <x v="611"/>
    <x v="316"/>
    <s v="16-04-25"/>
    <x v="12"/>
    <x v="2"/>
    <s v=" "/>
    <n v="1"/>
    <x v="0"/>
  </r>
  <r>
    <n v="572.14"/>
    <x v="0"/>
    <x v="0"/>
    <m/>
    <x v="633"/>
    <s v="invalid date"/>
    <s v="20-04-25"/>
    <s v="CUST-5043"/>
    <s v="Aarav Sharma"/>
    <x v="1"/>
    <x v="2"/>
    <s v="Tamil Nadu"/>
    <s v="Chennai"/>
    <x v="2"/>
    <x v="5"/>
    <s v="Basic Accessories 729"/>
    <x v="0"/>
    <s v="Invalid"/>
    <s v="invalid date"/>
    <n v="0.15"/>
    <x v="612"/>
    <x v="612"/>
    <x v="612"/>
    <x v="1"/>
    <s v="20-04-25"/>
    <x v="1"/>
    <x v="1"/>
    <s v="Invalid"/>
    <s v="invalid date"/>
    <x v="0"/>
  </r>
  <r>
    <n v="4119.47"/>
    <x v="0"/>
    <x v="0"/>
    <m/>
    <x v="634"/>
    <s v="01-11-25"/>
    <s v="12-01-25"/>
    <s v="CUST-4722"/>
    <s v="Aditi Sen"/>
    <x v="0"/>
    <x v="2"/>
    <s v="Telangana"/>
    <s v="Hyderabad"/>
    <x v="1"/>
    <x v="4"/>
    <s v="Classic Chairs 220"/>
    <x v="0"/>
    <s v="anomaly"/>
    <n v="-293"/>
    <n v="0.05"/>
    <x v="613"/>
    <x v="613"/>
    <x v="613"/>
    <x v="372"/>
    <s v="12-01-25"/>
    <x v="3"/>
    <x v="2"/>
    <s v=" "/>
    <n v="-293"/>
    <x v="0"/>
  </r>
  <r>
    <n v="5990.79"/>
    <x v="0"/>
    <x v="0"/>
    <m/>
    <x v="635"/>
    <s v="20-05-24"/>
    <s v="25-05-24"/>
    <s v="CUST-7931"/>
    <s v="Mira Das"/>
    <x v="2"/>
    <x v="2"/>
    <s v="Andhra Pradesh"/>
    <s v="Vijayawada"/>
    <x v="1"/>
    <x v="4"/>
    <s v="Max Chairs 305"/>
    <x v="1"/>
    <s v="anomaly"/>
    <n v="5"/>
    <n v="0.25"/>
    <x v="614"/>
    <x v="614"/>
    <x v="614"/>
    <x v="364"/>
    <s v="25-05-24"/>
    <x v="4"/>
    <x v="0"/>
    <s v=" "/>
    <n v="5"/>
    <x v="0"/>
  </r>
  <r>
    <n v="2789.31"/>
    <x v="0"/>
    <x v="0"/>
    <m/>
    <x v="636"/>
    <s v="02-10-24"/>
    <s v="09-10-24"/>
    <s v="CUST-7221"/>
    <s v="Ananya Rao"/>
    <x v="0"/>
    <x v="2"/>
    <s v="Tamil Nadu"/>
    <s v="Chennai"/>
    <x v="0"/>
    <x v="0"/>
    <s v="Smart Paper 872"/>
    <x v="3"/>
    <s v="anomaly"/>
    <n v="7"/>
    <n v="0.15"/>
    <x v="615"/>
    <x v="615"/>
    <x v="615"/>
    <x v="373"/>
    <s v="09-10-24"/>
    <x v="5"/>
    <x v="0"/>
    <s v=" "/>
    <n v="7"/>
    <x v="0"/>
  </r>
  <r>
    <n v="1974.87"/>
    <x v="0"/>
    <x v="0"/>
    <m/>
    <x v="637"/>
    <s v="26-05-24"/>
    <s v="26-05-24"/>
    <s v="CUST-2594"/>
    <s v="Rahul Verma"/>
    <x v="1"/>
    <x v="3"/>
    <s v="Goa"/>
    <s v="Panaji"/>
    <x v="2"/>
    <x v="6"/>
    <s v="Max Copiers 994"/>
    <x v="2"/>
    <s v="  "/>
    <n v="0"/>
    <n v="0.2"/>
    <x v="616"/>
    <x v="616"/>
    <x v="616"/>
    <x v="374"/>
    <s v="26-05-24"/>
    <x v="4"/>
    <x v="0"/>
    <s v=" "/>
    <n v="0"/>
    <x v="0"/>
  </r>
  <r>
    <n v="3111.52"/>
    <x v="3"/>
    <x v="2"/>
    <m/>
    <x v="638"/>
    <s v="26-01-24"/>
    <s v="31-01-24"/>
    <s v="CUST-2111"/>
    <s v="Karan Malhotra"/>
    <x v="2"/>
    <x v="2"/>
    <s v="Kerala"/>
    <s v="Kochi"/>
    <x v="0"/>
    <x v="8"/>
    <s v="Pro Storage 744"/>
    <x v="0"/>
    <s v="anomaly"/>
    <n v="5"/>
    <n v="0.2"/>
    <x v="617"/>
    <x v="617"/>
    <x v="617"/>
    <x v="80"/>
    <s v="31-01-24"/>
    <x v="9"/>
    <x v="0"/>
    <s v=" "/>
    <n v="5"/>
    <x v="0"/>
  </r>
  <r>
    <n v="468.79"/>
    <x v="0"/>
    <x v="0"/>
    <m/>
    <x v="639"/>
    <s v="invalid date"/>
    <s v="31-12-24"/>
    <s v="CUST-6829"/>
    <s v="Isha Nair"/>
    <x v="1"/>
    <x v="1"/>
    <s v="Odisha"/>
    <s v="Bhubaneswar"/>
    <x v="1"/>
    <x v="4"/>
    <s v="Elite Chairs 744"/>
    <x v="0"/>
    <s v="Invalid"/>
    <s v="invalid date"/>
    <n v="0.05"/>
    <x v="618"/>
    <x v="618"/>
    <x v="618"/>
    <x v="1"/>
    <s v="31-12-24"/>
    <x v="1"/>
    <x v="1"/>
    <s v="Invalid"/>
    <s v="invalid date"/>
    <x v="0"/>
  </r>
  <r>
    <n v="343.77"/>
    <x v="0"/>
    <x v="0"/>
    <m/>
    <x v="640"/>
    <s v="14-01-25"/>
    <s v="17-01-25"/>
    <s v="CUST-5061"/>
    <s v="Vikram Iyer"/>
    <x v="0"/>
    <x v="3"/>
    <s v="Goa"/>
    <s v="Panaji"/>
    <x v="0"/>
    <x v="8"/>
    <s v="Basic Storage 973"/>
    <x v="2"/>
    <s v="anomaly"/>
    <n v="3"/>
    <n v="0.2"/>
    <x v="619"/>
    <x v="619"/>
    <x v="619"/>
    <x v="375"/>
    <s v="17-01-25"/>
    <x v="9"/>
    <x v="2"/>
    <s v=" "/>
    <n v="3"/>
    <x v="0"/>
  </r>
  <r>
    <n v="2843.87"/>
    <x v="0"/>
    <x v="0"/>
    <m/>
    <x v="641"/>
    <s v="09-04-25"/>
    <s v="14-04-25"/>
    <s v="CUST-7915"/>
    <s v="Karan Malhotra"/>
    <x v="0"/>
    <x v="0"/>
    <s v="Delhi"/>
    <s v="New Delhi"/>
    <x v="1"/>
    <x v="3"/>
    <s v="Smart Furnishings 783"/>
    <x v="1"/>
    <s v="anomaly"/>
    <n v="5"/>
    <n v="0"/>
    <x v="620"/>
    <x v="620"/>
    <x v="620"/>
    <x v="376"/>
    <s v="14-04-25"/>
    <x v="12"/>
    <x v="2"/>
    <s v=" "/>
    <n v="5"/>
    <x v="0"/>
  </r>
  <r>
    <n v="3270.03"/>
    <x v="3"/>
    <x v="2"/>
    <m/>
    <x v="642"/>
    <s v="invalid date"/>
    <s v="invalid date"/>
    <s v="CUST-1940"/>
    <s v="Isha Nair"/>
    <x v="3"/>
    <x v="1"/>
    <s v="Assam"/>
    <s v="Guwahati"/>
    <x v="0"/>
    <x v="9"/>
    <s v="Prime Binders 287"/>
    <x v="0"/>
    <s v="Invalid"/>
    <s v="invalid date"/>
    <n v="0.25"/>
    <x v="621"/>
    <x v="621"/>
    <x v="621"/>
    <x v="1"/>
    <s v="invalid date"/>
    <x v="1"/>
    <x v="1"/>
    <s v="Invalid"/>
    <s v="invalid date"/>
    <x v="0"/>
  </r>
  <r>
    <n v="10046.06"/>
    <x v="3"/>
    <x v="2"/>
    <m/>
    <x v="643"/>
    <s v="05-02-24"/>
    <s v="13-02-24"/>
    <s v="CUST-1986"/>
    <s v="Aarav Sharma"/>
    <x v="3"/>
    <x v="0"/>
    <s v="Uttar Pradesh"/>
    <s v="Noida"/>
    <x v="0"/>
    <x v="7"/>
    <s v="Elite Labels 654"/>
    <x v="3"/>
    <s v="anomaly"/>
    <n v="8"/>
    <n v="0.15"/>
    <x v="622"/>
    <x v="622"/>
    <x v="622"/>
    <x v="377"/>
    <s v="13-02-24"/>
    <x v="6"/>
    <x v="0"/>
    <s v=" "/>
    <n v="8"/>
    <x v="0"/>
  </r>
  <r>
    <n v="3335.16"/>
    <x v="0"/>
    <x v="0"/>
    <m/>
    <x v="644"/>
    <s v="10-04-25"/>
    <s v="invalid date"/>
    <s v="CUST-5549"/>
    <s v="Vikram Iyer"/>
    <x v="0"/>
    <x v="1"/>
    <s v="West Bengal"/>
    <s v="Kolkata"/>
    <x v="1"/>
    <x v="4"/>
    <s v="Pro Chairs 812"/>
    <x v="3"/>
    <s v="Invalid"/>
    <s v="invalid date"/>
    <n v="0.05"/>
    <x v="623"/>
    <x v="623"/>
    <x v="623"/>
    <x v="162"/>
    <s v="invalid date"/>
    <x v="12"/>
    <x v="2"/>
    <s v="Invalid"/>
    <s v="invalid date"/>
    <x v="0"/>
  </r>
  <r>
    <n v="5133.22"/>
    <x v="0"/>
    <x v="0"/>
    <m/>
    <x v="645"/>
    <s v="04-01-24"/>
    <s v="09-01-24"/>
    <s v="CUST-2314"/>
    <s v="Kabir Singh"/>
    <x v="0"/>
    <x v="1"/>
    <s v="Bihar"/>
    <s v="Patna"/>
    <x v="1"/>
    <x v="4"/>
    <s v="Basic Chairs 480"/>
    <x v="0"/>
    <s v="anomaly"/>
    <n v="5"/>
    <n v="0.1"/>
    <x v="624"/>
    <x v="624"/>
    <x v="624"/>
    <x v="292"/>
    <s v="09-01-24"/>
    <x v="9"/>
    <x v="0"/>
    <s v=" "/>
    <n v="5"/>
    <x v="0"/>
  </r>
  <r>
    <n v="503.59"/>
    <x v="0"/>
    <x v="0"/>
    <m/>
    <x v="646"/>
    <s v="invalid date"/>
    <s v="24-09-24"/>
    <s v="CUST-6360"/>
    <s v="Vikram Iyer"/>
    <x v="1"/>
    <x v="1"/>
    <s v="Jharkhand"/>
    <s v="Ranchi"/>
    <x v="2"/>
    <x v="12"/>
    <s v="Elite Machines 955"/>
    <x v="2"/>
    <s v="Invalid"/>
    <s v="invalid date"/>
    <n v="0.25"/>
    <x v="625"/>
    <x v="625"/>
    <x v="625"/>
    <x v="1"/>
    <s v="24-09-24"/>
    <x v="1"/>
    <x v="1"/>
    <s v="Invalid"/>
    <s v="invalid date"/>
    <x v="0"/>
  </r>
  <r>
    <n v="3569.02"/>
    <x v="0"/>
    <x v="0"/>
    <m/>
    <x v="647"/>
    <s v="01-01-25"/>
    <s v="09-01-25"/>
    <s v="CUST-9942"/>
    <s v="Rohan Mehta"/>
    <x v="1"/>
    <x v="0"/>
    <s v="Punjab"/>
    <s v="Ludhiana"/>
    <x v="0"/>
    <x v="2"/>
    <s v="Prime Art 461"/>
    <x v="2"/>
    <s v="anomaly"/>
    <n v="8"/>
    <n v="0.15"/>
    <x v="626"/>
    <x v="626"/>
    <x v="626"/>
    <x v="180"/>
    <s v="09-01-25"/>
    <x v="9"/>
    <x v="2"/>
    <s v=" "/>
    <n v="8"/>
    <x v="0"/>
  </r>
  <r>
    <n v="1548.62"/>
    <x v="3"/>
    <x v="2"/>
    <m/>
    <x v="648"/>
    <s v="21-04-24"/>
    <s v="24-04-24"/>
    <s v="CUST-1808"/>
    <s v="Neha Gupta"/>
    <x v="1"/>
    <x v="2"/>
    <s v="Andhra Pradesh"/>
    <s v="Vijayawada"/>
    <x v="0"/>
    <x v="2"/>
    <s v="Prime Art 301"/>
    <x v="1"/>
    <s v="anomaly"/>
    <n v="3"/>
    <n v="0.2"/>
    <x v="627"/>
    <x v="627"/>
    <x v="627"/>
    <x v="378"/>
    <s v="24-04-24"/>
    <x v="12"/>
    <x v="0"/>
    <s v=" "/>
    <n v="3"/>
    <x v="0"/>
  </r>
  <r>
    <n v="2940.64"/>
    <x v="0"/>
    <x v="0"/>
    <m/>
    <x v="649"/>
    <s v="11-08-25"/>
    <s v="19-08-25"/>
    <s v="CUST-7277"/>
    <s v="Kabir Singh"/>
    <x v="1"/>
    <x v="2"/>
    <s v="Kerala"/>
    <s v="Kochi"/>
    <x v="2"/>
    <x v="5"/>
    <s v="Classic Accessories 354"/>
    <x v="3"/>
    <s v="anomaly"/>
    <n v="8"/>
    <n v="0.25"/>
    <x v="628"/>
    <x v="628"/>
    <x v="628"/>
    <x v="379"/>
    <s v="19-08-25"/>
    <x v="2"/>
    <x v="2"/>
    <s v=" "/>
    <n v="8"/>
    <x v="0"/>
  </r>
  <r>
    <n v="5828.59"/>
    <x v="3"/>
    <x v="2"/>
    <m/>
    <x v="650"/>
    <s v="invalid date"/>
    <s v="21-04-24"/>
    <s v="CUST-7744"/>
    <s v="Aarav Sharma"/>
    <x v="3"/>
    <x v="1"/>
    <s v="Bihar"/>
    <s v="Patna"/>
    <x v="2"/>
    <x v="5"/>
    <s v="Basic Accessories 210"/>
    <x v="1"/>
    <s v="Invalid"/>
    <s v="invalid date"/>
    <n v="0.15"/>
    <x v="629"/>
    <x v="629"/>
    <x v="629"/>
    <x v="1"/>
    <s v="21-04-24"/>
    <x v="1"/>
    <x v="1"/>
    <s v="Invalid"/>
    <s v="invalid date"/>
    <x v="0"/>
  </r>
  <r>
    <n v="798.93"/>
    <x v="0"/>
    <x v="0"/>
    <m/>
    <x v="651"/>
    <s v="06-08-25"/>
    <s v="09-08-25"/>
    <s v="CUST-2660"/>
    <s v="Mira Das"/>
    <x v="1"/>
    <x v="2"/>
    <s v="Andhra Pradesh"/>
    <s v="Vijayawada"/>
    <x v="0"/>
    <x v="0"/>
    <s v="Smart Paper 364"/>
    <x v="0"/>
    <s v="anomaly"/>
    <n v="3"/>
    <n v="0"/>
    <x v="630"/>
    <x v="630"/>
    <x v="630"/>
    <x v="186"/>
    <s v="09-08-25"/>
    <x v="2"/>
    <x v="2"/>
    <s v=" "/>
    <n v="3"/>
    <x v="0"/>
  </r>
  <r>
    <n v="7228.54"/>
    <x v="0"/>
    <x v="0"/>
    <m/>
    <x v="652"/>
    <s v="invalid date"/>
    <s v="21-03-25"/>
    <s v="CUST-8177"/>
    <s v="Sneha Kapoor"/>
    <x v="0"/>
    <x v="0"/>
    <s v="Uttar Pradesh"/>
    <s v="Noida"/>
    <x v="0"/>
    <x v="9"/>
    <s v="Smart Binders 999"/>
    <x v="3"/>
    <s v="Invalid"/>
    <s v="invalid date"/>
    <n v="0.15"/>
    <x v="631"/>
    <x v="631"/>
    <x v="631"/>
    <x v="1"/>
    <s v="21-03-25"/>
    <x v="1"/>
    <x v="1"/>
    <s v="Invalid"/>
    <s v="invalid date"/>
    <x v="0"/>
  </r>
  <r>
    <n v="5950.38"/>
    <x v="0"/>
    <x v="0"/>
    <m/>
    <x v="653"/>
    <s v="04-04-25"/>
    <s v="04-07-25"/>
    <s v="CUST-3970"/>
    <s v="Priya Menon"/>
    <x v="1"/>
    <x v="2"/>
    <s v="Tamil Nadu"/>
    <s v="Chennai"/>
    <x v="2"/>
    <x v="6"/>
    <s v="Max Copiers 356"/>
    <x v="0"/>
    <s v="anomaly"/>
    <n v="91"/>
    <n v="0.15"/>
    <x v="632"/>
    <x v="632"/>
    <x v="632"/>
    <x v="380"/>
    <s v="04-07-25"/>
    <x v="12"/>
    <x v="2"/>
    <s v=" "/>
    <n v="91"/>
    <x v="0"/>
  </r>
  <r>
    <n v="393.66"/>
    <x v="0"/>
    <x v="0"/>
    <m/>
    <x v="654"/>
    <s v="10-12-25"/>
    <s v="16-10-25"/>
    <s v="CUST-8249"/>
    <s v="Diya Patel"/>
    <x v="2"/>
    <x v="1"/>
    <s v="Bihar"/>
    <s v="Patna"/>
    <x v="2"/>
    <x v="12"/>
    <s v="Classic Machines 639"/>
    <x v="1"/>
    <s v="anomaly"/>
    <n v="-55"/>
    <n v="0.2"/>
    <x v="633"/>
    <x v="633"/>
    <x v="633"/>
    <x v="381"/>
    <s v="16-10-25"/>
    <x v="8"/>
    <x v="2"/>
    <s v=" "/>
    <n v="-55"/>
    <x v="0"/>
  </r>
  <r>
    <n v="3483.27"/>
    <x v="0"/>
    <x v="0"/>
    <m/>
    <x v="655"/>
    <s v="invalid date"/>
    <s v="invalid date"/>
    <s v="CUST-8039"/>
    <s v="Neha Gupta"/>
    <x v="3"/>
    <x v="1"/>
    <s v="West Bengal"/>
    <s v="Kolkata"/>
    <x v="1"/>
    <x v="3"/>
    <s v="Smart Furnishings 748"/>
    <x v="3"/>
    <s v="Invalid"/>
    <s v="invalid date"/>
    <n v="0"/>
    <x v="634"/>
    <x v="634"/>
    <x v="634"/>
    <x v="1"/>
    <s v="invalid date"/>
    <x v="1"/>
    <x v="1"/>
    <s v="Invalid"/>
    <s v="invalid date"/>
    <x v="0"/>
  </r>
  <r>
    <n v="2207.6799999999998"/>
    <x v="0"/>
    <x v="0"/>
    <m/>
    <x v="656"/>
    <s v="07-05-24"/>
    <s v="invalid date"/>
    <s v="CUST-4446"/>
    <s v="Neha Gupta"/>
    <x v="1"/>
    <x v="0"/>
    <s v="Haryana"/>
    <s v="Gurugram"/>
    <x v="2"/>
    <x v="12"/>
    <s v="Pro Machines 589"/>
    <x v="1"/>
    <s v="Invalid"/>
    <s v="invalid date"/>
    <s v="invalid"/>
    <x v="2"/>
    <x v="2"/>
    <x v="2"/>
    <x v="382"/>
    <s v="invalid date"/>
    <x v="4"/>
    <x v="0"/>
    <s v="Invalid"/>
    <s v="invalid date"/>
    <x v="0"/>
  </r>
  <r>
    <n v="741.59"/>
    <x v="0"/>
    <x v="0"/>
    <m/>
    <x v="657"/>
    <s v="08-07-25"/>
    <s v="10-08-25"/>
    <s v="CUST-7787"/>
    <s v="Aditi Sen"/>
    <x v="3"/>
    <x v="1"/>
    <s v="Bihar"/>
    <s v="Patna"/>
    <x v="0"/>
    <x v="8"/>
    <s v="Eco Storage 316"/>
    <x v="0"/>
    <s v="anomaly"/>
    <n v="33"/>
    <n v="0.2"/>
    <x v="635"/>
    <x v="635"/>
    <x v="635"/>
    <x v="334"/>
    <s v="10-08-25"/>
    <x v="0"/>
    <x v="2"/>
    <s v=" "/>
    <n v="33"/>
    <x v="0"/>
  </r>
  <r>
    <n v="7276.11"/>
    <x v="1"/>
    <x v="1"/>
    <m/>
    <x v="658"/>
    <s v="09-06-25"/>
    <s v="06-12-25"/>
    <s v="CUST-9074"/>
    <s v="Sneha Kapoor"/>
    <x v="0"/>
    <x v="4"/>
    <s v="Bihar"/>
    <s v="Patna"/>
    <x v="0"/>
    <x v="2"/>
    <s v="Eco Art 763"/>
    <x v="2"/>
    <s v="  "/>
    <n v="180"/>
    <n v="0"/>
    <x v="636"/>
    <x v="636"/>
    <x v="636"/>
    <x v="257"/>
    <s v="06-12-25"/>
    <x v="11"/>
    <x v="2"/>
    <s v="anomaly"/>
    <n v="180"/>
    <x v="0"/>
  </r>
  <r>
    <n v="197.02"/>
    <x v="1"/>
    <x v="1"/>
    <m/>
    <x v="659"/>
    <s v="21-01-25"/>
    <s v="22-01-25"/>
    <s v="CUST-8330"/>
    <s v="Diya Patel"/>
    <x v="2"/>
    <x v="2"/>
    <s v="Karnataka"/>
    <s v="Bengaluru"/>
    <x v="2"/>
    <x v="11"/>
    <s v="Pro Phones 356"/>
    <x v="0"/>
    <s v="anomaly"/>
    <n v="1"/>
    <n v="0.2"/>
    <x v="637"/>
    <x v="637"/>
    <x v="637"/>
    <x v="18"/>
    <s v="22-01-25"/>
    <x v="9"/>
    <x v="2"/>
    <s v=" "/>
    <n v="1"/>
    <x v="0"/>
  </r>
  <r>
    <n v="6770.2"/>
    <x v="0"/>
    <x v="0"/>
    <m/>
    <x v="660"/>
    <s v="invalid date"/>
    <s v="15-07-25"/>
    <s v="CUST-5638"/>
    <s v="Arjun Bose"/>
    <x v="1"/>
    <x v="1"/>
    <s v="Jharkhand"/>
    <s v="Ranchi"/>
    <x v="2"/>
    <x v="11"/>
    <s v="Basic Phones 865"/>
    <x v="1"/>
    <s v="Invalid"/>
    <s v="invalid date"/>
    <n v="0.1"/>
    <x v="638"/>
    <x v="638"/>
    <x v="638"/>
    <x v="1"/>
    <s v="15-07-25"/>
    <x v="1"/>
    <x v="1"/>
    <s v="Invalid"/>
    <s v="invalid date"/>
    <x v="0"/>
  </r>
  <r>
    <n v="687.6"/>
    <x v="0"/>
    <x v="0"/>
    <m/>
    <x v="661"/>
    <s v="17-05-24"/>
    <s v="22-05-24"/>
    <s v="CUST-4537"/>
    <s v="Sneha Kapoor"/>
    <x v="0"/>
    <x v="2"/>
    <s v="Andhra Pradesh"/>
    <s v="Vijayawada"/>
    <x v="2"/>
    <x v="12"/>
    <s v="Max Machines 595"/>
    <x v="0"/>
    <s v="anomaly"/>
    <n v="5"/>
    <n v="0"/>
    <x v="639"/>
    <x v="639"/>
    <x v="639"/>
    <x v="383"/>
    <s v="22-05-24"/>
    <x v="4"/>
    <x v="0"/>
    <s v=" "/>
    <n v="5"/>
    <x v="0"/>
  </r>
  <r>
    <n v="2308.63"/>
    <x v="0"/>
    <x v="0"/>
    <m/>
    <x v="662"/>
    <s v="14-01-24"/>
    <s v="18-01-24"/>
    <s v="CUST-3181"/>
    <s v="Mira Das"/>
    <x v="3"/>
    <x v="3"/>
    <s v="Rajasthan"/>
    <s v="Udaipur"/>
    <x v="2"/>
    <x v="12"/>
    <s v="Elite Machines 367"/>
    <x v="1"/>
    <s v="anomaly"/>
    <n v="4"/>
    <n v="0.1"/>
    <x v="640"/>
    <x v="640"/>
    <x v="640"/>
    <x v="384"/>
    <s v="18-01-24"/>
    <x v="9"/>
    <x v="0"/>
    <s v=" "/>
    <n v="4"/>
    <x v="0"/>
  </r>
  <r>
    <n v="1624.54"/>
    <x v="0"/>
    <x v="0"/>
    <m/>
    <x v="663"/>
    <s v="05-02-24"/>
    <s v="08-05-24"/>
    <s v="CUST-1015"/>
    <s v="Rahul Verma"/>
    <x v="3"/>
    <x v="1"/>
    <s v="Jharkhand"/>
    <s v="Ranchi"/>
    <x v="2"/>
    <x v="6"/>
    <s v="Basic Copiers 787"/>
    <x v="0"/>
    <s v="anomaly"/>
    <n v="93"/>
    <s v="invalid"/>
    <x v="2"/>
    <x v="2"/>
    <x v="2"/>
    <x v="377"/>
    <s v="08-05-24"/>
    <x v="6"/>
    <x v="0"/>
    <s v=" "/>
    <n v="93"/>
    <x v="0"/>
  </r>
  <r>
    <n v="471.17"/>
    <x v="0"/>
    <x v="0"/>
    <m/>
    <x v="664"/>
    <s v="07-12-24"/>
    <s v="10-12-24"/>
    <s v="CUST-2709"/>
    <s v="Mira Das"/>
    <x v="3"/>
    <x v="2"/>
    <s v="Telangana"/>
    <s v="Hyderabad"/>
    <x v="2"/>
    <x v="5"/>
    <s v="Max Accessories 903"/>
    <x v="3"/>
    <s v="anomaly"/>
    <n v="3"/>
    <n v="0.2"/>
    <x v="641"/>
    <x v="641"/>
    <x v="641"/>
    <x v="385"/>
    <s v="10-12-24"/>
    <x v="8"/>
    <x v="0"/>
    <s v=" "/>
    <n v="3"/>
    <x v="0"/>
  </r>
  <r>
    <n v="2057.5100000000002"/>
    <x v="3"/>
    <x v="1"/>
    <m/>
    <x v="665"/>
    <s v="13-01-25"/>
    <s v="invalid date"/>
    <s v="CUST-1197"/>
    <s v="Rahul Verma"/>
    <x v="3"/>
    <x v="3"/>
    <s v="Gujarat"/>
    <s v="Ahmedabad"/>
    <x v="0"/>
    <x v="2"/>
    <s v="Max Art 660"/>
    <x v="3"/>
    <s v="Invalid"/>
    <s v="invalid date"/>
    <n v="0.1"/>
    <x v="642"/>
    <x v="642"/>
    <x v="642"/>
    <x v="386"/>
    <s v="invalid date"/>
    <x v="9"/>
    <x v="2"/>
    <s v="Invalid"/>
    <s v="invalid date"/>
    <x v="0"/>
  </r>
  <r>
    <n v="42.35"/>
    <x v="0"/>
    <x v="0"/>
    <m/>
    <x v="666"/>
    <s v="21-06-24"/>
    <s v="invalid date"/>
    <s v="CUST-7758"/>
    <s v="Rohan Mehta"/>
    <x v="1"/>
    <x v="0"/>
    <s v="Punjab"/>
    <s v="Ludhiana"/>
    <x v="2"/>
    <x v="6"/>
    <s v="Classic Copiers 908"/>
    <x v="1"/>
    <s v="Invalid"/>
    <s v="invalid date"/>
    <n v="0.05"/>
    <x v="643"/>
    <x v="643"/>
    <x v="643"/>
    <x v="363"/>
    <s v="invalid date"/>
    <x v="11"/>
    <x v="0"/>
    <s v="Invalid"/>
    <s v="invalid date"/>
    <x v="0"/>
  </r>
  <r>
    <n v="719.61"/>
    <x v="2"/>
    <x v="2"/>
    <m/>
    <x v="667"/>
    <s v="20-05-25"/>
    <s v="27-05-25"/>
    <s v="CUST-3912"/>
    <s v="Diya Patel"/>
    <x v="1"/>
    <x v="1"/>
    <s v="Bihar"/>
    <s v="Patna"/>
    <x v="2"/>
    <x v="12"/>
    <s v="Pro Machines 706"/>
    <x v="3"/>
    <s v="anomaly"/>
    <n v="7"/>
    <n v="0"/>
    <x v="644"/>
    <x v="644"/>
    <x v="644"/>
    <x v="10"/>
    <s v="27-05-25"/>
    <x v="4"/>
    <x v="2"/>
    <s v=" "/>
    <n v="7"/>
    <x v="0"/>
  </r>
  <r>
    <n v="528.73"/>
    <x v="0"/>
    <x v="0"/>
    <m/>
    <x v="668"/>
    <s v="invalid date"/>
    <s v="23-11-24"/>
    <s v="CUST-4190"/>
    <s v="Mira Das"/>
    <x v="2"/>
    <x v="3"/>
    <s v="Gujarat"/>
    <s v="Ahmedabad"/>
    <x v="0"/>
    <x v="0"/>
    <s v="Pro Paper 187"/>
    <x v="0"/>
    <s v="Invalid"/>
    <s v="invalid date"/>
    <n v="0.2"/>
    <x v="645"/>
    <x v="645"/>
    <x v="645"/>
    <x v="1"/>
    <s v="23-11-24"/>
    <x v="1"/>
    <x v="1"/>
    <s v="Invalid"/>
    <s v="invalid date"/>
    <x v="0"/>
  </r>
  <r>
    <n v="1875.71"/>
    <x v="0"/>
    <x v="0"/>
    <m/>
    <x v="669"/>
    <s v="24-03-24"/>
    <s v="01-04-24"/>
    <s v="CUST-7568"/>
    <s v="Ananya Rao"/>
    <x v="3"/>
    <x v="3"/>
    <s v="Maharashtra"/>
    <s v="Mumbai"/>
    <x v="1"/>
    <x v="1"/>
    <s v="Classic Tables 606"/>
    <x v="0"/>
    <s v="  "/>
    <n v="8"/>
    <n v="0.25"/>
    <x v="646"/>
    <x v="646"/>
    <x v="646"/>
    <x v="284"/>
    <s v="01-04-24"/>
    <x v="10"/>
    <x v="0"/>
    <s v="anomaly"/>
    <n v="8"/>
    <x v="0"/>
  </r>
  <r>
    <n v="2615.63"/>
    <x v="0"/>
    <x v="0"/>
    <m/>
    <x v="670"/>
    <s v="02-02-25"/>
    <s v="06-02-25"/>
    <s v="CUST-5604"/>
    <s v="Sneha Kapoor"/>
    <x v="2"/>
    <x v="0"/>
    <s v="Uttar Pradesh"/>
    <s v="Noida"/>
    <x v="1"/>
    <x v="1"/>
    <s v="Smart Tables 835"/>
    <x v="3"/>
    <s v="anomaly"/>
    <n v="4"/>
    <n v="0.1"/>
    <x v="647"/>
    <x v="647"/>
    <x v="647"/>
    <x v="387"/>
    <s v="06-02-25"/>
    <x v="6"/>
    <x v="2"/>
    <s v=" "/>
    <n v="4"/>
    <x v="0"/>
  </r>
  <r>
    <n v="13465.18"/>
    <x v="0"/>
    <x v="0"/>
    <m/>
    <x v="671"/>
    <s v="22-03-24"/>
    <s v="27-03-24"/>
    <s v="CUST-3293"/>
    <s v="Aditi Sen"/>
    <x v="3"/>
    <x v="3"/>
    <s v="Goa"/>
    <s v="Panaji"/>
    <x v="2"/>
    <x v="6"/>
    <s v="Classic Copiers 583"/>
    <x v="0"/>
    <s v="anomaly"/>
    <n v="5"/>
    <n v="0.05"/>
    <x v="648"/>
    <x v="648"/>
    <x v="648"/>
    <x v="260"/>
    <s v="27-03-24"/>
    <x v="10"/>
    <x v="0"/>
    <s v=" "/>
    <n v="5"/>
    <x v="0"/>
  </r>
  <r>
    <n v="4145.91"/>
    <x v="0"/>
    <x v="2"/>
    <m/>
    <x v="672"/>
    <s v="04-09-24"/>
    <s v="05-09-24"/>
    <s v="CUST-8180"/>
    <s v="Aditi Sen"/>
    <x v="2"/>
    <x v="3"/>
    <s v="Madhya Pradesh"/>
    <s v="Indore"/>
    <x v="1"/>
    <x v="4"/>
    <s v="Classic Chairs 460"/>
    <x v="3"/>
    <s v="anomaly"/>
    <n v="1"/>
    <n v="0.05"/>
    <x v="649"/>
    <x v="649"/>
    <x v="649"/>
    <x v="195"/>
    <s v="05-09-24"/>
    <x v="7"/>
    <x v="0"/>
    <s v=" "/>
    <n v="1"/>
    <x v="0"/>
  </r>
  <r>
    <n v="5376.08"/>
    <x v="0"/>
    <x v="0"/>
    <m/>
    <x v="673"/>
    <s v="13-02-25"/>
    <s v="16-02-25"/>
    <s v="CUST-2807"/>
    <s v="Arjun Bose"/>
    <x v="1"/>
    <x v="3"/>
    <s v="Rajasthan"/>
    <s v="Udaipur"/>
    <x v="1"/>
    <x v="10"/>
    <s v="Classic Bookcases 488"/>
    <x v="0"/>
    <s v="anomaly"/>
    <n v="3"/>
    <n v="0.15"/>
    <x v="650"/>
    <x v="650"/>
    <x v="650"/>
    <x v="262"/>
    <s v="16-02-25"/>
    <x v="6"/>
    <x v="2"/>
    <s v=" "/>
    <n v="3"/>
    <x v="0"/>
  </r>
  <r>
    <n v="402.89"/>
    <x v="2"/>
    <x v="2"/>
    <m/>
    <x v="674"/>
    <s v="18-05-24"/>
    <s v="21-05-24"/>
    <s v="CUST-4081"/>
    <s v="Vikram Iyer"/>
    <x v="2"/>
    <x v="1"/>
    <s v="Jharkhand"/>
    <s v="Ranchi"/>
    <x v="2"/>
    <x v="5"/>
    <s v="Basic Accessories 944"/>
    <x v="0"/>
    <s v="anomaly"/>
    <n v="3"/>
    <n v="0"/>
    <x v="651"/>
    <x v="651"/>
    <x v="651"/>
    <x v="388"/>
    <s v="21-05-24"/>
    <x v="4"/>
    <x v="0"/>
    <s v=" "/>
    <n v="3"/>
    <x v="0"/>
  </r>
  <r>
    <n v="1078.55"/>
    <x v="0"/>
    <x v="0"/>
    <m/>
    <x v="675"/>
    <s v="07-06-25"/>
    <s v="06-10-25"/>
    <s v="CUST-5061"/>
    <s v="Aarav Sharma"/>
    <x v="0"/>
    <x v="0"/>
    <s v="Rajasthan"/>
    <s v="Jaipur"/>
    <x v="1"/>
    <x v="3"/>
    <s v="Eco Furnishings 217"/>
    <x v="1"/>
    <s v="  "/>
    <n v="121"/>
    <n v="0"/>
    <x v="652"/>
    <x v="652"/>
    <x v="652"/>
    <x v="172"/>
    <s v="06-10-25"/>
    <x v="11"/>
    <x v="2"/>
    <s v="anomaly"/>
    <n v="121"/>
    <x v="0"/>
  </r>
  <r>
    <n v="5375.83"/>
    <x v="0"/>
    <x v="0"/>
    <m/>
    <x v="676"/>
    <s v="09-11-25"/>
    <s v="invalid date"/>
    <s v="CUST-9212"/>
    <s v="Rahul Verma"/>
    <x v="1"/>
    <x v="0"/>
    <s v="Delhi"/>
    <s v="New Delhi"/>
    <x v="2"/>
    <x v="11"/>
    <s v="Smart Phones 967"/>
    <x v="1"/>
    <s v="Invalid"/>
    <s v="invalid date"/>
    <n v="0.15"/>
    <x v="653"/>
    <x v="653"/>
    <x v="653"/>
    <x v="389"/>
    <s v="invalid date"/>
    <x v="3"/>
    <x v="2"/>
    <s v="Invalid"/>
    <s v="invalid date"/>
    <x v="0"/>
  </r>
  <r>
    <n v="2918.55"/>
    <x v="0"/>
    <x v="0"/>
    <m/>
    <x v="677"/>
    <s v="22-06-24"/>
    <s v="27-06-24"/>
    <s v="CUST-4655"/>
    <s v="Isha Nair"/>
    <x v="3"/>
    <x v="2"/>
    <s v="Karnataka"/>
    <s v="Bengaluru"/>
    <x v="1"/>
    <x v="4"/>
    <s v="Smart Chairs 610"/>
    <x v="1"/>
    <s v="anomaly"/>
    <n v="5"/>
    <n v="0"/>
    <x v="654"/>
    <x v="654"/>
    <x v="654"/>
    <x v="390"/>
    <s v="27-06-24"/>
    <x v="11"/>
    <x v="0"/>
    <s v=" "/>
    <n v="5"/>
    <x v="0"/>
  </r>
  <r>
    <n v="9465.2900000000009"/>
    <x v="0"/>
    <x v="0"/>
    <m/>
    <x v="678"/>
    <s v="24-11-24"/>
    <s v="12-01-24"/>
    <s v="CUST-1674"/>
    <s v="Kabir Singh"/>
    <x v="2"/>
    <x v="2"/>
    <s v="Karnataka"/>
    <s v="Bengaluru"/>
    <x v="1"/>
    <x v="1"/>
    <s v="Prime Tables 123"/>
    <x v="0"/>
    <s v="  "/>
    <n v="-317"/>
    <n v="0.15"/>
    <x v="655"/>
    <x v="655"/>
    <x v="655"/>
    <x v="391"/>
    <s v="12-01-24"/>
    <x v="3"/>
    <x v="0"/>
    <s v="anomaly"/>
    <n v="-317"/>
    <x v="0"/>
  </r>
  <r>
    <n v="1478.66"/>
    <x v="1"/>
    <x v="1"/>
    <m/>
    <x v="679"/>
    <s v="16-08-25"/>
    <s v="23-08-25"/>
    <s v="CUST-2897"/>
    <s v="Rohan Mehta"/>
    <x v="2"/>
    <x v="0"/>
    <s v="Punjab"/>
    <s v="Ludhiana"/>
    <x v="2"/>
    <x v="6"/>
    <s v="Smart Copiers 579"/>
    <x v="1"/>
    <s v="anomaly"/>
    <n v="7"/>
    <s v="invalid"/>
    <x v="2"/>
    <x v="2"/>
    <x v="2"/>
    <x v="241"/>
    <s v="23-08-25"/>
    <x v="2"/>
    <x v="2"/>
    <s v=" "/>
    <n v="7"/>
    <x v="0"/>
  </r>
  <r>
    <n v="2752.57"/>
    <x v="0"/>
    <x v="0"/>
    <m/>
    <x v="680"/>
    <s v="29-05-24"/>
    <s v="05-06-24"/>
    <s v="CUST-1136"/>
    <s v="Kabir Singh"/>
    <x v="2"/>
    <x v="2"/>
    <s v="Tamil Nadu"/>
    <s v="Chennai"/>
    <x v="2"/>
    <x v="5"/>
    <s v="Eco Accessories 658"/>
    <x v="2"/>
    <s v="  "/>
    <n v="7"/>
    <n v="0"/>
    <x v="656"/>
    <x v="656"/>
    <x v="656"/>
    <x v="30"/>
    <s v="05-06-24"/>
    <x v="4"/>
    <x v="0"/>
    <s v="anomaly"/>
    <n v="7"/>
    <x v="0"/>
  </r>
  <r>
    <n v="1818.36"/>
    <x v="0"/>
    <x v="1"/>
    <m/>
    <x v="681"/>
    <s v="07-04-24"/>
    <s v="10-07-24"/>
    <s v="CUST-1376"/>
    <s v="Vikram Iyer"/>
    <x v="2"/>
    <x v="0"/>
    <s v="Delhi"/>
    <s v="New Delhi"/>
    <x v="1"/>
    <x v="1"/>
    <s v="Smart Tables 777"/>
    <x v="0"/>
    <s v="anomaly"/>
    <n v="94"/>
    <n v="0"/>
    <x v="657"/>
    <x v="657"/>
    <x v="657"/>
    <x v="193"/>
    <s v="10-07-24"/>
    <x v="12"/>
    <x v="0"/>
    <s v=" "/>
    <n v="94"/>
    <x v="0"/>
  </r>
  <r>
    <n v="3270.06"/>
    <x v="0"/>
    <x v="0"/>
    <m/>
    <x v="682"/>
    <s v="05-02-25"/>
    <s v="05-02-25"/>
    <s v="CUST-1553"/>
    <s v="Ananya Rao"/>
    <x v="2"/>
    <x v="0"/>
    <s v="Haryana"/>
    <s v="Gurugram"/>
    <x v="0"/>
    <x v="8"/>
    <s v="Eco Storage 861"/>
    <x v="1"/>
    <s v="  "/>
    <n v="0"/>
    <n v="0"/>
    <x v="658"/>
    <x v="658"/>
    <x v="658"/>
    <x v="84"/>
    <s v="05-02-25"/>
    <x v="6"/>
    <x v="2"/>
    <s v=" "/>
    <n v="0"/>
    <x v="0"/>
  </r>
  <r>
    <n v="2390.9299999999998"/>
    <x v="1"/>
    <x v="1"/>
    <m/>
    <x v="683"/>
    <s v="20-07-25"/>
    <s v="24-07-25"/>
    <s v="CUST-5704"/>
    <s v="Arjun Bose"/>
    <x v="1"/>
    <x v="2"/>
    <s v="Telangana"/>
    <s v="Hyderabad"/>
    <x v="1"/>
    <x v="3"/>
    <s v="Eco Furnishings 875"/>
    <x v="0"/>
    <s v="anomaly"/>
    <n v="4"/>
    <n v="0.2"/>
    <x v="659"/>
    <x v="659"/>
    <x v="659"/>
    <x v="149"/>
    <s v="24-07-25"/>
    <x v="0"/>
    <x v="2"/>
    <s v=" "/>
    <n v="4"/>
    <x v="0"/>
  </r>
  <r>
    <n v="7465.76"/>
    <x v="1"/>
    <x v="1"/>
    <m/>
    <x v="684"/>
    <s v="21-07-25"/>
    <s v="21-07-25"/>
    <s v="CUST-6738"/>
    <s v="Isha Nair"/>
    <x v="3"/>
    <x v="2"/>
    <s v="Tamil Nadu"/>
    <s v="Chennai"/>
    <x v="1"/>
    <x v="10"/>
    <s v="Prime Bookcases 784"/>
    <x v="2"/>
    <s v="  "/>
    <n v="0"/>
    <n v="0.2"/>
    <x v="660"/>
    <x v="660"/>
    <x v="660"/>
    <x v="392"/>
    <s v="21-07-25"/>
    <x v="0"/>
    <x v="2"/>
    <s v=" "/>
    <n v="0"/>
    <x v="0"/>
  </r>
  <r>
    <n v="1020.22"/>
    <x v="3"/>
    <x v="1"/>
    <m/>
    <x v="685"/>
    <s v="01-10-25"/>
    <s v="03-10-25"/>
    <s v="CUST-2586"/>
    <s v="Neha Gupta"/>
    <x v="2"/>
    <x v="3"/>
    <s v="Goa"/>
    <s v="Panaji"/>
    <x v="0"/>
    <x v="2"/>
    <s v="Classic Art 380"/>
    <x v="3"/>
    <s v="anomaly"/>
    <n v="2"/>
    <s v="invalid"/>
    <x v="2"/>
    <x v="2"/>
    <x v="2"/>
    <x v="326"/>
    <s v="03-10-25"/>
    <x v="5"/>
    <x v="2"/>
    <s v=" "/>
    <n v="2"/>
    <x v="0"/>
  </r>
  <r>
    <n v="2043.34"/>
    <x v="0"/>
    <x v="0"/>
    <m/>
    <x v="686"/>
    <s v="25-03-24"/>
    <s v="04-02-24"/>
    <s v="CUST-3127"/>
    <s v="Sneha Kapoor"/>
    <x v="3"/>
    <x v="2"/>
    <s v="Tamil Nadu"/>
    <s v="Chennai"/>
    <x v="2"/>
    <x v="6"/>
    <s v="Pro Copiers 502"/>
    <x v="3"/>
    <s v="  "/>
    <n v="-50"/>
    <n v="0"/>
    <x v="661"/>
    <x v="661"/>
    <x v="661"/>
    <x v="393"/>
    <s v="04-02-24"/>
    <x v="10"/>
    <x v="0"/>
    <s v="anomaly"/>
    <n v="-50"/>
    <x v="0"/>
  </r>
  <r>
    <n v="190.52"/>
    <x v="3"/>
    <x v="1"/>
    <m/>
    <x v="687"/>
    <s v="08-10-25"/>
    <s v="13-10-25"/>
    <s v="CUST-9347"/>
    <s v="Mira Das"/>
    <x v="3"/>
    <x v="0"/>
    <s v="Punjab"/>
    <s v="Ludhiana"/>
    <x v="1"/>
    <x v="1"/>
    <s v="Prime Tables 604"/>
    <x v="2"/>
    <s v="anomaly"/>
    <n v="5"/>
    <n v="0"/>
    <x v="662"/>
    <x v="662"/>
    <x v="662"/>
    <x v="117"/>
    <s v="13-10-25"/>
    <x v="5"/>
    <x v="2"/>
    <s v=" "/>
    <n v="5"/>
    <x v="0"/>
  </r>
  <r>
    <n v="2910.84"/>
    <x v="0"/>
    <x v="0"/>
    <m/>
    <x v="688"/>
    <s v="26-02-25"/>
    <s v="27-02-25"/>
    <s v="CUST-8575"/>
    <s v="Neha Gupta"/>
    <x v="3"/>
    <x v="0"/>
    <s v="Haryana"/>
    <s v="Gurugram"/>
    <x v="0"/>
    <x v="2"/>
    <s v="Basic Art 798"/>
    <x v="0"/>
    <s v="anomaly"/>
    <n v="1"/>
    <n v="0.15"/>
    <x v="663"/>
    <x v="663"/>
    <x v="663"/>
    <x v="156"/>
    <s v="27-02-25"/>
    <x v="6"/>
    <x v="2"/>
    <s v=" "/>
    <n v="1"/>
    <x v="0"/>
  </r>
  <r>
    <n v="1442.64"/>
    <x v="3"/>
    <x v="1"/>
    <m/>
    <x v="689"/>
    <s v="05-10-24"/>
    <s v="06-10-24"/>
    <s v="CUST-4382"/>
    <s v="Rohan Mehta"/>
    <x v="1"/>
    <x v="0"/>
    <s v="Punjab"/>
    <s v="Ludhiana"/>
    <x v="1"/>
    <x v="1"/>
    <s v="Elite Tables 717"/>
    <x v="3"/>
    <s v="anomaly"/>
    <n v="1"/>
    <n v="0.15"/>
    <x v="664"/>
    <x v="664"/>
    <x v="664"/>
    <x v="365"/>
    <s v="06-10-24"/>
    <x v="5"/>
    <x v="0"/>
    <s v=" "/>
    <n v="1"/>
    <x v="0"/>
  </r>
  <r>
    <n v="665.23"/>
    <x v="3"/>
    <x v="2"/>
    <m/>
    <x v="690"/>
    <s v="09-11-24"/>
    <s v="15-09-24"/>
    <s v="CUST-6815"/>
    <s v="Sneha Kapoor"/>
    <x v="2"/>
    <x v="2"/>
    <s v="Tamil Nadu"/>
    <s v="Chennai"/>
    <x v="0"/>
    <x v="2"/>
    <s v="Max Art 725"/>
    <x v="3"/>
    <s v="anomaly"/>
    <n v="-55"/>
    <n v="0"/>
    <x v="665"/>
    <x v="665"/>
    <x v="665"/>
    <x v="314"/>
    <s v="15-09-24"/>
    <x v="3"/>
    <x v="0"/>
    <s v=" "/>
    <n v="-55"/>
    <x v="0"/>
  </r>
  <r>
    <n v="3668.97"/>
    <x v="0"/>
    <x v="0"/>
    <m/>
    <x v="691"/>
    <s v="15-12-24"/>
    <s v="16-12-24"/>
    <s v="CUST-7309"/>
    <s v="Rohan Mehta"/>
    <x v="0"/>
    <x v="1"/>
    <s v="Odisha"/>
    <s v="Bhubaneswar"/>
    <x v="2"/>
    <x v="6"/>
    <s v="Smart Copiers 456"/>
    <x v="0"/>
    <s v="anomaly"/>
    <n v="1"/>
    <n v="0.05"/>
    <x v="666"/>
    <x v="666"/>
    <x v="666"/>
    <x v="315"/>
    <s v="16-12-24"/>
    <x v="8"/>
    <x v="0"/>
    <s v=" "/>
    <n v="1"/>
    <x v="0"/>
  </r>
  <r>
    <n v="2612.64"/>
    <x v="0"/>
    <x v="0"/>
    <m/>
    <x v="692"/>
    <s v="05-10-25"/>
    <s v="10-10-25"/>
    <s v="CUST-9531"/>
    <s v="Isha Nair"/>
    <x v="2"/>
    <x v="2"/>
    <s v="Karnataka"/>
    <s v="Bengaluru"/>
    <x v="1"/>
    <x v="3"/>
    <s v="Prime Furnishings 883"/>
    <x v="0"/>
    <s v="anomaly"/>
    <n v="5"/>
    <n v="0.1"/>
    <x v="667"/>
    <x v="667"/>
    <x v="667"/>
    <x v="329"/>
    <s v="10-10-25"/>
    <x v="5"/>
    <x v="2"/>
    <s v=" "/>
    <n v="5"/>
    <x v="0"/>
  </r>
  <r>
    <n v="3790.88"/>
    <x v="0"/>
    <x v="0"/>
    <m/>
    <x v="693"/>
    <s v="03-04-25"/>
    <s v="11-04-25"/>
    <s v="CUST-6032"/>
    <s v="Arjun Bose"/>
    <x v="0"/>
    <x v="2"/>
    <s v="Tamil Nadu"/>
    <s v="Chennai"/>
    <x v="1"/>
    <x v="10"/>
    <s v="Smart Bookcases 828"/>
    <x v="0"/>
    <s v="anomaly"/>
    <n v="8"/>
    <n v="0.05"/>
    <x v="668"/>
    <x v="668"/>
    <x v="668"/>
    <x v="394"/>
    <s v="11-04-25"/>
    <x v="12"/>
    <x v="2"/>
    <s v=" "/>
    <n v="8"/>
    <x v="0"/>
  </r>
  <r>
    <n v="2001.81"/>
    <x v="0"/>
    <x v="0"/>
    <m/>
    <x v="694"/>
    <s v="01-08-25"/>
    <s v="09-08-25"/>
    <s v="CUST-8025"/>
    <s v="Isha Nair"/>
    <x v="0"/>
    <x v="2"/>
    <s v="Andhra Pradesh"/>
    <s v="Vijayawada"/>
    <x v="0"/>
    <x v="8"/>
    <s v="Classic Storage 291"/>
    <x v="2"/>
    <s v="anomaly"/>
    <n v="8"/>
    <n v="0.15"/>
    <x v="669"/>
    <x v="669"/>
    <x v="669"/>
    <x v="395"/>
    <s v="09-08-25"/>
    <x v="2"/>
    <x v="2"/>
    <s v=" "/>
    <n v="8"/>
    <x v="0"/>
  </r>
  <r>
    <n v="403.23"/>
    <x v="0"/>
    <x v="0"/>
    <m/>
    <x v="695"/>
    <s v="01-07-24"/>
    <s v="01-07-24"/>
    <s v="CUST-6257"/>
    <s v="Aarav Sharma"/>
    <x v="0"/>
    <x v="3"/>
    <s v="Madhya Pradesh"/>
    <s v="Indore"/>
    <x v="2"/>
    <x v="12"/>
    <s v="Prime Machines 102"/>
    <x v="3"/>
    <s v="  "/>
    <n v="0"/>
    <n v="0"/>
    <x v="670"/>
    <x v="670"/>
    <x v="670"/>
    <x v="17"/>
    <s v="01-07-24"/>
    <x v="0"/>
    <x v="0"/>
    <s v=" "/>
    <n v="0"/>
    <x v="0"/>
  </r>
  <r>
    <n v="1363.28"/>
    <x v="0"/>
    <x v="0"/>
    <m/>
    <x v="696"/>
    <s v="22-09-25"/>
    <s v="25-09-25"/>
    <s v="CUST-7812"/>
    <s v="Isha Nair"/>
    <x v="1"/>
    <x v="2"/>
    <s v="Kerala"/>
    <s v="Kochi"/>
    <x v="2"/>
    <x v="11"/>
    <s v="Classic Phones 842"/>
    <x v="4"/>
    <s v="anomaly"/>
    <n v="3"/>
    <n v="0.25"/>
    <x v="671"/>
    <x v="671"/>
    <x v="671"/>
    <x v="396"/>
    <s v="25-09-25"/>
    <x v="7"/>
    <x v="2"/>
    <s v=" "/>
    <n v="3"/>
    <x v="0"/>
  </r>
  <r>
    <n v="1128.24"/>
    <x v="1"/>
    <x v="2"/>
    <m/>
    <x v="697"/>
    <s v="03-01-25"/>
    <s v="07-03-25"/>
    <s v="CUST-6205"/>
    <s v="Arjun Bose"/>
    <x v="2"/>
    <x v="2"/>
    <s v="Andhra Pradesh"/>
    <s v="Vijayawada"/>
    <x v="0"/>
    <x v="7"/>
    <s v="Max Labels 970"/>
    <x v="2"/>
    <s v="anomaly"/>
    <n v="63"/>
    <n v="0"/>
    <x v="672"/>
    <x v="672"/>
    <x v="672"/>
    <x v="299"/>
    <s v="07-03-25"/>
    <x v="9"/>
    <x v="2"/>
    <s v=" "/>
    <n v="63"/>
    <x v="0"/>
  </r>
  <r>
    <n v="4003.38"/>
    <x v="0"/>
    <x v="2"/>
    <m/>
    <x v="698"/>
    <s v="14-09-24"/>
    <s v="14-09-24"/>
    <s v="CUST-5357"/>
    <s v="Mira Das"/>
    <x v="2"/>
    <x v="0"/>
    <s v="Rajasthan"/>
    <s v="Jaipur"/>
    <x v="2"/>
    <x v="12"/>
    <s v="Classic Machines 648"/>
    <x v="3"/>
    <s v="  "/>
    <n v="0"/>
    <n v="0.15"/>
    <x v="673"/>
    <x v="673"/>
    <x v="673"/>
    <x v="231"/>
    <s v="14-09-24"/>
    <x v="7"/>
    <x v="0"/>
    <s v=" "/>
    <n v="0"/>
    <x v="0"/>
  </r>
  <r>
    <n v="1652.18"/>
    <x v="0"/>
    <x v="0"/>
    <m/>
    <x v="699"/>
    <s v="11-06-24"/>
    <s v="11-06-24"/>
    <s v="CUST-9802"/>
    <s v="Arjun Bose"/>
    <x v="1"/>
    <x v="2"/>
    <s v="Karnataka"/>
    <s v="Bengaluru"/>
    <x v="1"/>
    <x v="10"/>
    <s v="Max Bookcases 565"/>
    <x v="3"/>
    <s v="  "/>
    <n v="0"/>
    <n v="0.25"/>
    <x v="674"/>
    <x v="674"/>
    <x v="674"/>
    <x v="397"/>
    <s v="11-06-24"/>
    <x v="11"/>
    <x v="0"/>
    <s v=" "/>
    <n v="0"/>
    <x v="0"/>
  </r>
  <r>
    <n v="3100.82"/>
    <x v="0"/>
    <x v="0"/>
    <m/>
    <x v="700"/>
    <s v="18-09-24"/>
    <s v="invalid date"/>
    <s v="CUST-5646"/>
    <s v="Neha Gupta"/>
    <x v="2"/>
    <x v="1"/>
    <s v="West Bengal"/>
    <s v="Kolkata"/>
    <x v="2"/>
    <x v="12"/>
    <s v="Basic Machines 220"/>
    <x v="3"/>
    <s v="Invalid"/>
    <s v="invalid date"/>
    <n v="0.15"/>
    <x v="675"/>
    <x v="675"/>
    <x v="675"/>
    <x v="398"/>
    <s v="invalid date"/>
    <x v="7"/>
    <x v="0"/>
    <s v="Invalid"/>
    <s v="invalid date"/>
    <x v="0"/>
  </r>
  <r>
    <n v="1888.77"/>
    <x v="0"/>
    <x v="2"/>
    <m/>
    <x v="701"/>
    <s v="30-04-24"/>
    <s v="04-05-24"/>
    <s v="CUST-7171"/>
    <s v="Rohan Mehta"/>
    <x v="1"/>
    <x v="3"/>
    <s v="Gujarat"/>
    <s v="Ahmedabad"/>
    <x v="0"/>
    <x v="2"/>
    <s v="Pro Art 151"/>
    <x v="1"/>
    <s v="  "/>
    <n v="4"/>
    <n v="0"/>
    <x v="676"/>
    <x v="676"/>
    <x v="676"/>
    <x v="399"/>
    <s v="04-05-24"/>
    <x v="12"/>
    <x v="0"/>
    <s v="anomaly"/>
    <n v="4"/>
    <x v="0"/>
  </r>
  <r>
    <n v="872.74"/>
    <x v="0"/>
    <x v="0"/>
    <m/>
    <x v="702"/>
    <s v="02-02-25"/>
    <s v="02-06-25"/>
    <s v="CUST-5231"/>
    <s v="Karan Malhotra"/>
    <x v="1"/>
    <x v="3"/>
    <s v="Rajasthan"/>
    <s v="Udaipur"/>
    <x v="1"/>
    <x v="1"/>
    <s v="Pro Tables 980"/>
    <x v="0"/>
    <s v="anomaly"/>
    <n v="120"/>
    <n v="0.1"/>
    <x v="677"/>
    <x v="677"/>
    <x v="677"/>
    <x v="387"/>
    <s v="02-06-25"/>
    <x v="6"/>
    <x v="2"/>
    <s v=" "/>
    <n v="120"/>
    <x v="0"/>
  </r>
  <r>
    <n v="180.68"/>
    <x v="0"/>
    <x v="0"/>
    <m/>
    <x v="703"/>
    <s v="19-10-24"/>
    <s v="20-10-24"/>
    <s v="CUST-8734"/>
    <s v="Aditi Sen"/>
    <x v="2"/>
    <x v="0"/>
    <s v="Rajasthan"/>
    <s v="Jaipur"/>
    <x v="1"/>
    <x v="1"/>
    <s v="Classic Tables 997"/>
    <x v="2"/>
    <s v="anomaly"/>
    <n v="1"/>
    <n v="0.1"/>
    <x v="678"/>
    <x v="678"/>
    <x v="678"/>
    <x v="139"/>
    <s v="20-10-24"/>
    <x v="5"/>
    <x v="0"/>
    <s v=" "/>
    <n v="1"/>
    <x v="0"/>
  </r>
  <r>
    <n v="581.45000000000005"/>
    <x v="0"/>
    <x v="0"/>
    <m/>
    <x v="704"/>
    <s v="13-03-24"/>
    <s v="invalid date"/>
    <s v="CUST-4916"/>
    <s v="Priya Menon"/>
    <x v="3"/>
    <x v="2"/>
    <s v="Tamil Nadu"/>
    <s v="Chennai"/>
    <x v="1"/>
    <x v="10"/>
    <s v="Max Bookcases 738"/>
    <x v="4"/>
    <s v="Invalid"/>
    <s v="invalid date"/>
    <n v="0.15"/>
    <x v="679"/>
    <x v="679"/>
    <x v="679"/>
    <x v="400"/>
    <s v="invalid date"/>
    <x v="10"/>
    <x v="0"/>
    <s v="Invalid"/>
    <s v="invalid date"/>
    <x v="0"/>
  </r>
  <r>
    <n v="4663.43"/>
    <x v="0"/>
    <x v="0"/>
    <m/>
    <x v="705"/>
    <s v="08-09-24"/>
    <s v="invalid date"/>
    <s v="CUST-3289"/>
    <s v="Rohan Mehta"/>
    <x v="0"/>
    <x v="0"/>
    <s v="Rajasthan"/>
    <s v="Jaipur"/>
    <x v="0"/>
    <x v="9"/>
    <s v="Max Binders 411"/>
    <x v="3"/>
    <s v="Invalid"/>
    <s v="invalid date"/>
    <n v="0.05"/>
    <x v="680"/>
    <x v="680"/>
    <x v="680"/>
    <x v="401"/>
    <s v="invalid date"/>
    <x v="7"/>
    <x v="0"/>
    <s v="Invalid"/>
    <s v="invalid date"/>
    <x v="0"/>
  </r>
  <r>
    <n v="547.20000000000005"/>
    <x v="0"/>
    <x v="0"/>
    <m/>
    <x v="706"/>
    <s v="24-06-24"/>
    <s v="28-06-24"/>
    <s v="CUST-4928"/>
    <s v="Isha Nair"/>
    <x v="1"/>
    <x v="1"/>
    <s v="Odisha"/>
    <s v="Bhubaneswar"/>
    <x v="0"/>
    <x v="0"/>
    <s v="Max Paper 343"/>
    <x v="1"/>
    <s v="anomaly"/>
    <n v="4"/>
    <n v="0.1"/>
    <x v="681"/>
    <x v="681"/>
    <x v="681"/>
    <x v="200"/>
    <s v="28-06-24"/>
    <x v="11"/>
    <x v="0"/>
    <s v=" "/>
    <n v="4"/>
    <x v="0"/>
  </r>
  <r>
    <n v="5073.6499999999996"/>
    <x v="0"/>
    <x v="0"/>
    <m/>
    <x v="707"/>
    <s v="24-06-25"/>
    <s v="invalid date"/>
    <s v="CUST-4902"/>
    <s v="Vikram Iyer"/>
    <x v="0"/>
    <x v="0"/>
    <s v="Rajasthan"/>
    <s v="Jaipur"/>
    <x v="2"/>
    <x v="5"/>
    <s v="Pro Accessories 485"/>
    <x v="1"/>
    <s v="Invalid"/>
    <s v="invalid date"/>
    <s v="invalid"/>
    <x v="2"/>
    <x v="2"/>
    <x v="2"/>
    <x v="133"/>
    <s v="invalid date"/>
    <x v="11"/>
    <x v="2"/>
    <s v="Invalid"/>
    <s v="invalid date"/>
    <x v="0"/>
  </r>
  <r>
    <n v="3325.32"/>
    <x v="0"/>
    <x v="0"/>
    <m/>
    <x v="708"/>
    <s v="invalid date"/>
    <s v="26-03-25"/>
    <s v="CUST-6504"/>
    <s v="Sneha Kapoor"/>
    <x v="0"/>
    <x v="1"/>
    <s v="Assam"/>
    <s v="Guwahati"/>
    <x v="1"/>
    <x v="10"/>
    <s v="Elite Bookcases 113"/>
    <x v="2"/>
    <s v="Invalid"/>
    <s v="invalid date"/>
    <n v="0.05"/>
    <x v="682"/>
    <x v="682"/>
    <x v="682"/>
    <x v="1"/>
    <s v="26-03-25"/>
    <x v="1"/>
    <x v="1"/>
    <s v="Invalid"/>
    <s v="invalid date"/>
    <x v="0"/>
  </r>
  <r>
    <n v="1692.77"/>
    <x v="0"/>
    <x v="1"/>
    <m/>
    <x v="709"/>
    <s v="19-01-25"/>
    <s v="23-01-25"/>
    <s v="CUST-8036"/>
    <s v="Kabir Singh"/>
    <x v="3"/>
    <x v="0"/>
    <s v="Punjab"/>
    <s v="Ludhiana"/>
    <x v="2"/>
    <x v="11"/>
    <s v="Eco Phones 787"/>
    <x v="1"/>
    <s v="anomaly"/>
    <n v="4"/>
    <n v="0.15"/>
    <x v="683"/>
    <x v="683"/>
    <x v="683"/>
    <x v="20"/>
    <s v="23-01-25"/>
    <x v="9"/>
    <x v="2"/>
    <s v=" "/>
    <n v="4"/>
    <x v="0"/>
  </r>
  <r>
    <n v="1464.27"/>
    <x v="0"/>
    <x v="0"/>
    <m/>
    <x v="710"/>
    <s v="07-12-24"/>
    <s v="invalid date"/>
    <s v="CUST-7199"/>
    <s v="Vikram Iyer"/>
    <x v="2"/>
    <x v="0"/>
    <s v="Punjab"/>
    <s v="Ludhiana"/>
    <x v="0"/>
    <x v="2"/>
    <s v="Smart Art 279"/>
    <x v="0"/>
    <s v="Invalid"/>
    <s v="invalid date"/>
    <n v="0.05"/>
    <x v="684"/>
    <x v="684"/>
    <x v="684"/>
    <x v="385"/>
    <s v="invalid date"/>
    <x v="8"/>
    <x v="0"/>
    <s v="Invalid"/>
    <s v="invalid date"/>
    <x v="0"/>
  </r>
  <r>
    <n v="1716.27"/>
    <x v="2"/>
    <x v="2"/>
    <m/>
    <x v="711"/>
    <s v="02-02-25"/>
    <s v="02-02-25"/>
    <s v="CUST-6176"/>
    <s v="Kabir Singh"/>
    <x v="2"/>
    <x v="1"/>
    <s v="West Bengal"/>
    <s v="Kolkata"/>
    <x v="2"/>
    <x v="12"/>
    <s v="Basic Machines 172"/>
    <x v="2"/>
    <s v="  "/>
    <n v="0"/>
    <n v="0.05"/>
    <x v="685"/>
    <x v="685"/>
    <x v="685"/>
    <x v="387"/>
    <s v="02-02-25"/>
    <x v="6"/>
    <x v="2"/>
    <s v=" "/>
    <n v="0"/>
    <x v="0"/>
  </r>
  <r>
    <n v="2803.36"/>
    <x v="0"/>
    <x v="0"/>
    <m/>
    <x v="712"/>
    <s v="10-02-24"/>
    <s v="18-02-24"/>
    <s v="CUST-5127"/>
    <s v="Isha Nair"/>
    <x v="3"/>
    <x v="3"/>
    <s v="Madhya Pradesh"/>
    <s v="Indore"/>
    <x v="1"/>
    <x v="4"/>
    <s v="Smart Chairs 259"/>
    <x v="2"/>
    <s v="anomaly"/>
    <n v="8"/>
    <n v="0"/>
    <x v="686"/>
    <x v="686"/>
    <x v="686"/>
    <x v="272"/>
    <s v="18-02-24"/>
    <x v="6"/>
    <x v="0"/>
    <s v=" "/>
    <n v="8"/>
    <x v="0"/>
  </r>
  <r>
    <n v="85.35"/>
    <x v="0"/>
    <x v="0"/>
    <m/>
    <x v="713"/>
    <s v="06-06-25"/>
    <s v="06-10-25"/>
    <s v="CUST-2548"/>
    <s v="Mira Das"/>
    <x v="0"/>
    <x v="3"/>
    <s v="Rajasthan"/>
    <s v="Udaipur"/>
    <x v="2"/>
    <x v="12"/>
    <s v="Pro Machines 987"/>
    <x v="0"/>
    <s v="anomaly"/>
    <n v="122"/>
    <n v="0.25"/>
    <x v="687"/>
    <x v="687"/>
    <x v="687"/>
    <x v="258"/>
    <s v="06-10-25"/>
    <x v="11"/>
    <x v="2"/>
    <s v=" "/>
    <n v="122"/>
    <x v="0"/>
  </r>
  <r>
    <n v="4700.4799999999996"/>
    <x v="0"/>
    <x v="0"/>
    <m/>
    <x v="714"/>
    <s v="22-03-25"/>
    <s v="23-03-25"/>
    <s v="CUST-9902"/>
    <s v="Karan Malhotra"/>
    <x v="3"/>
    <x v="0"/>
    <s v="Delhi"/>
    <s v="New Delhi"/>
    <x v="2"/>
    <x v="6"/>
    <s v="Pro Copiers 206"/>
    <x v="3"/>
    <s v="anomaly"/>
    <n v="1"/>
    <n v="0"/>
    <x v="688"/>
    <x v="688"/>
    <x v="688"/>
    <x v="402"/>
    <s v="23-03-25"/>
    <x v="10"/>
    <x v="2"/>
    <s v=" "/>
    <n v="1"/>
    <x v="0"/>
  </r>
  <r>
    <n v="4409.6000000000004"/>
    <x v="1"/>
    <x v="1"/>
    <m/>
    <x v="715"/>
    <s v="22-08-25"/>
    <s v="27-08-25"/>
    <s v="CUST-7446"/>
    <s v="Priya Menon"/>
    <x v="0"/>
    <x v="0"/>
    <s v="Haryana"/>
    <s v="Gurugram"/>
    <x v="1"/>
    <x v="4"/>
    <s v="Max Chairs 372"/>
    <x v="0"/>
    <s v="anomaly"/>
    <n v="5"/>
    <n v="0"/>
    <x v="689"/>
    <x v="689"/>
    <x v="689"/>
    <x v="61"/>
    <s v="27-08-25"/>
    <x v="2"/>
    <x v="2"/>
    <s v=" "/>
    <n v="5"/>
    <x v="0"/>
  </r>
  <r>
    <n v="1054.94"/>
    <x v="0"/>
    <x v="0"/>
    <m/>
    <x v="716"/>
    <s v="26-08-25"/>
    <s v="31-08-25"/>
    <s v="CUST-7540"/>
    <s v="Diya Patel"/>
    <x v="1"/>
    <x v="0"/>
    <s v="Haryana"/>
    <s v="Gurugram"/>
    <x v="2"/>
    <x v="11"/>
    <s v="Basic Phones 496"/>
    <x v="2"/>
    <s v="anomaly"/>
    <n v="5"/>
    <n v="0.15"/>
    <x v="690"/>
    <x v="690"/>
    <x v="690"/>
    <x v="403"/>
    <s v="31-08-25"/>
    <x v="2"/>
    <x v="2"/>
    <s v=" "/>
    <n v="5"/>
    <x v="0"/>
  </r>
  <r>
    <n v="6860"/>
    <x v="2"/>
    <x v="1"/>
    <m/>
    <x v="717"/>
    <s v="12-10-25"/>
    <s v="15-10-25"/>
    <s v="CUST-8351"/>
    <s v="Kabir Singh"/>
    <x v="1"/>
    <x v="0"/>
    <s v="Haryana"/>
    <s v="Gurugram"/>
    <x v="2"/>
    <x v="12"/>
    <s v="Prime Machines 612"/>
    <x v="3"/>
    <s v="anomaly"/>
    <n v="3"/>
    <n v="0.2"/>
    <x v="691"/>
    <x v="691"/>
    <x v="691"/>
    <x v="13"/>
    <s v="15-10-25"/>
    <x v="5"/>
    <x v="2"/>
    <s v=" "/>
    <n v="3"/>
    <x v="0"/>
  </r>
  <r>
    <n v="1061.1300000000001"/>
    <x v="0"/>
    <x v="0"/>
    <m/>
    <x v="718"/>
    <s v="06-09-24"/>
    <s v="09-09-24"/>
    <s v="CUST-3918"/>
    <s v="Mira Das"/>
    <x v="0"/>
    <x v="3"/>
    <s v="Maharashtra"/>
    <s v="Mumbai"/>
    <x v="0"/>
    <x v="2"/>
    <s v="Smart Art 866"/>
    <x v="1"/>
    <s v="anomaly"/>
    <n v="3"/>
    <n v="0.2"/>
    <x v="692"/>
    <x v="692"/>
    <x v="692"/>
    <x v="300"/>
    <s v="09-09-24"/>
    <x v="7"/>
    <x v="0"/>
    <s v=" "/>
    <n v="3"/>
    <x v="0"/>
  </r>
  <r>
    <n v="1530.94"/>
    <x v="0"/>
    <x v="0"/>
    <m/>
    <x v="719"/>
    <s v="08-09-25"/>
    <s v="09-09-25"/>
    <s v="CUST-3190"/>
    <s v="Kabir Singh"/>
    <x v="2"/>
    <x v="3"/>
    <s v="Gujarat"/>
    <s v="Ahmedabad"/>
    <x v="0"/>
    <x v="2"/>
    <s v="Pro Art 447"/>
    <x v="1"/>
    <s v="anomaly"/>
    <n v="1"/>
    <n v="0.2"/>
    <x v="693"/>
    <x v="693"/>
    <x v="693"/>
    <x v="228"/>
    <s v="09-09-25"/>
    <x v="7"/>
    <x v="2"/>
    <s v=" "/>
    <n v="1"/>
    <x v="0"/>
  </r>
  <r>
    <n v="2780.27"/>
    <x v="0"/>
    <x v="0"/>
    <m/>
    <x v="720"/>
    <s v="16-07-24"/>
    <s v="invalid date"/>
    <s v="CUST-1991"/>
    <s v="Aditi Sen"/>
    <x v="3"/>
    <x v="3"/>
    <s v="Madhya Pradesh"/>
    <s v="Indore"/>
    <x v="2"/>
    <x v="6"/>
    <s v="Smart Copiers 196"/>
    <x v="1"/>
    <s v="Invalid"/>
    <s v="invalid date"/>
    <n v="0.15"/>
    <x v="694"/>
    <x v="694"/>
    <x v="694"/>
    <x v="322"/>
    <s v="invalid date"/>
    <x v="0"/>
    <x v="0"/>
    <s v="Invalid"/>
    <s v="invalid date"/>
    <x v="0"/>
  </r>
  <r>
    <n v="3361.72"/>
    <x v="0"/>
    <x v="0"/>
    <m/>
    <x v="721"/>
    <s v="19-06-25"/>
    <s v="23-06-25"/>
    <s v="CUST-7606"/>
    <s v="Sneha Kapoor"/>
    <x v="0"/>
    <x v="2"/>
    <s v="Karnataka"/>
    <s v="Bengaluru"/>
    <x v="2"/>
    <x v="6"/>
    <s v="Pro Copiers 532"/>
    <x v="2"/>
    <s v="anomaly"/>
    <n v="4"/>
    <n v="0"/>
    <x v="695"/>
    <x v="695"/>
    <x v="695"/>
    <x v="201"/>
    <s v="23-06-25"/>
    <x v="11"/>
    <x v="2"/>
    <s v=" "/>
    <n v="4"/>
    <x v="0"/>
  </r>
  <r>
    <n v="1800"/>
    <x v="1"/>
    <x v="1"/>
    <m/>
    <x v="722"/>
    <s v="07-10-24"/>
    <s v="10-10-24"/>
    <s v="CUST-8844"/>
    <s v="Vikram Iyer"/>
    <x v="0"/>
    <x v="1"/>
    <s v="West Bengal"/>
    <s v="Kolkata"/>
    <x v="1"/>
    <x v="4"/>
    <s v="Eco Chairs 442"/>
    <x v="0"/>
    <s v="anomaly"/>
    <n v="3"/>
    <n v="0"/>
    <x v="696"/>
    <x v="696"/>
    <x v="696"/>
    <x v="327"/>
    <s v="10-10-24"/>
    <x v="5"/>
    <x v="0"/>
    <s v=" "/>
    <n v="3"/>
    <x v="0"/>
  </r>
  <r>
    <n v="4044.19"/>
    <x v="3"/>
    <x v="2"/>
    <m/>
    <x v="723"/>
    <s v="10-06-25"/>
    <s v="13-10-25"/>
    <s v="CUST-4335"/>
    <s v="Kabir Singh"/>
    <x v="3"/>
    <x v="1"/>
    <s v="Jharkhand"/>
    <s v="Ranchi"/>
    <x v="2"/>
    <x v="5"/>
    <s v="Eco Accessories 364"/>
    <x v="3"/>
    <s v="anomaly"/>
    <n v="125"/>
    <n v="0.05"/>
    <x v="697"/>
    <x v="697"/>
    <x v="697"/>
    <x v="306"/>
    <s v="13-10-25"/>
    <x v="11"/>
    <x v="2"/>
    <s v=" "/>
    <n v="125"/>
    <x v="0"/>
  </r>
  <r>
    <n v="262.52"/>
    <x v="0"/>
    <x v="0"/>
    <m/>
    <x v="724"/>
    <s v="02-10-24"/>
    <s v="16-02-24"/>
    <s v="CUST-5891"/>
    <s v="Karan Malhotra"/>
    <x v="0"/>
    <x v="3"/>
    <s v="Goa"/>
    <s v="Panaji"/>
    <x v="1"/>
    <x v="3"/>
    <s v="Elite Furnishings 921"/>
    <x v="0"/>
    <s v="anomaly"/>
    <n v="-229"/>
    <n v="0"/>
    <x v="698"/>
    <x v="698"/>
    <x v="698"/>
    <x v="373"/>
    <s v="16-02-24"/>
    <x v="5"/>
    <x v="0"/>
    <s v=" "/>
    <n v="-229"/>
    <x v="0"/>
  </r>
  <r>
    <n v="6421.61"/>
    <x v="0"/>
    <x v="0"/>
    <m/>
    <x v="725"/>
    <s v="10-05-25"/>
    <s v="12-10-25"/>
    <s v="CUST-6371"/>
    <s v="Priya Menon"/>
    <x v="2"/>
    <x v="2"/>
    <s v="Karnataka"/>
    <s v="Bengaluru"/>
    <x v="1"/>
    <x v="1"/>
    <s v="Max Tables 309"/>
    <x v="0"/>
    <s v="anomaly"/>
    <n v="155"/>
    <n v="0"/>
    <x v="699"/>
    <x v="699"/>
    <x v="699"/>
    <x v="404"/>
    <s v="12-10-25"/>
    <x v="4"/>
    <x v="2"/>
    <s v=" "/>
    <n v="155"/>
    <x v="0"/>
  </r>
  <r>
    <n v="2692.78"/>
    <x v="2"/>
    <x v="2"/>
    <m/>
    <x v="726"/>
    <s v="17-01-24"/>
    <s v="invalid date"/>
    <s v="CUST-6655"/>
    <s v="Kabir Singh"/>
    <x v="3"/>
    <x v="3"/>
    <s v="Gujarat"/>
    <s v="Ahmedabad"/>
    <x v="2"/>
    <x v="11"/>
    <s v="Pro Phones 857"/>
    <x v="3"/>
    <s v="Invalid"/>
    <s v="invalid date"/>
    <n v="0.2"/>
    <x v="700"/>
    <x v="700"/>
    <x v="700"/>
    <x v="405"/>
    <s v="invalid date"/>
    <x v="9"/>
    <x v="0"/>
    <s v="Invalid"/>
    <s v="invalid date"/>
    <x v="0"/>
  </r>
  <r>
    <n v="9095.17"/>
    <x v="0"/>
    <x v="0"/>
    <m/>
    <x v="727"/>
    <s v="13-10-24"/>
    <s v="13-10-24"/>
    <s v="CUST-6492"/>
    <s v="Aarav Sharma"/>
    <x v="1"/>
    <x v="1"/>
    <s v="Assam"/>
    <s v="Guwahati"/>
    <x v="2"/>
    <x v="5"/>
    <s v="Max Accessories 567"/>
    <x v="0"/>
    <s v="  "/>
    <n v="0"/>
    <n v="0.05"/>
    <x v="701"/>
    <x v="701"/>
    <x v="701"/>
    <x v="406"/>
    <s v="13-10-24"/>
    <x v="5"/>
    <x v="0"/>
    <s v=" "/>
    <n v="0"/>
    <x v="0"/>
  </r>
  <r>
    <n v="813.74"/>
    <x v="0"/>
    <x v="0"/>
    <m/>
    <x v="728"/>
    <s v="04-01-24"/>
    <s v="07-01-24"/>
    <s v="CUST-1154"/>
    <s v="Sneha Kapoor"/>
    <x v="1"/>
    <x v="2"/>
    <s v="Karnataka"/>
    <s v="Bengaluru"/>
    <x v="2"/>
    <x v="12"/>
    <s v="Max Machines 200"/>
    <x v="2"/>
    <s v="anomaly"/>
    <n v="3"/>
    <n v="0.15"/>
    <x v="702"/>
    <x v="702"/>
    <x v="702"/>
    <x v="292"/>
    <s v="07-01-24"/>
    <x v="9"/>
    <x v="0"/>
    <s v=" "/>
    <n v="3"/>
    <x v="0"/>
  </r>
  <r>
    <n v="3717.69"/>
    <x v="0"/>
    <x v="0"/>
    <m/>
    <x v="729"/>
    <s v="17-05-25"/>
    <s v="25-05-25"/>
    <s v="CUST-8713"/>
    <s v="Ananya Rao"/>
    <x v="2"/>
    <x v="2"/>
    <s v="Tamil Nadu"/>
    <s v="Chennai"/>
    <x v="2"/>
    <x v="12"/>
    <s v="Pro Machines 563"/>
    <x v="1"/>
    <s v="anomaly"/>
    <n v="8"/>
    <n v="0.15"/>
    <x v="703"/>
    <x v="703"/>
    <x v="703"/>
    <x v="407"/>
    <s v="25-05-25"/>
    <x v="4"/>
    <x v="2"/>
    <s v=" "/>
    <n v="8"/>
    <x v="0"/>
  </r>
  <r>
    <n v="431.86"/>
    <x v="1"/>
    <x v="2"/>
    <m/>
    <x v="730"/>
    <s v="invalid date"/>
    <s v="24-06-25"/>
    <s v="CUST-6765"/>
    <s v="Arjun Bose"/>
    <x v="0"/>
    <x v="1"/>
    <s v="West Bengal"/>
    <s v="Kolkata"/>
    <x v="0"/>
    <x v="2"/>
    <s v="Elite Art 696"/>
    <x v="0"/>
    <s v="Invalid"/>
    <s v="invalid date"/>
    <n v="0.15"/>
    <x v="704"/>
    <x v="704"/>
    <x v="704"/>
    <x v="1"/>
    <s v="24-06-25"/>
    <x v="1"/>
    <x v="1"/>
    <s v="Invalid"/>
    <s v="invalid date"/>
    <x v="0"/>
  </r>
  <r>
    <n v="5510.61"/>
    <x v="0"/>
    <x v="0"/>
    <m/>
    <x v="731"/>
    <s v="17-03-24"/>
    <s v="19-03-24"/>
    <s v="CUST-6849"/>
    <s v="Ananya Rao"/>
    <x v="2"/>
    <x v="1"/>
    <s v="Odisha"/>
    <s v="Bhubaneswar"/>
    <x v="0"/>
    <x v="9"/>
    <s v="Eco Binders 178"/>
    <x v="2"/>
    <s v="anomaly"/>
    <n v="2"/>
    <n v="0.1"/>
    <x v="705"/>
    <x v="705"/>
    <x v="705"/>
    <x v="153"/>
    <s v="19-03-24"/>
    <x v="10"/>
    <x v="0"/>
    <s v=" "/>
    <n v="2"/>
    <x v="0"/>
  </r>
  <r>
    <n v="6191.13"/>
    <x v="0"/>
    <x v="0"/>
    <m/>
    <x v="732"/>
    <s v="28-11-24"/>
    <s v="06-12-24"/>
    <s v="CUST-4973"/>
    <s v="Arjun Bose"/>
    <x v="1"/>
    <x v="0"/>
    <s v="Punjab"/>
    <s v="Ludhiana"/>
    <x v="2"/>
    <x v="11"/>
    <s v="Max Phones 678"/>
    <x v="3"/>
    <s v="  "/>
    <n v="8"/>
    <n v="0"/>
    <x v="706"/>
    <x v="706"/>
    <x v="706"/>
    <x v="3"/>
    <s v="06-12-24"/>
    <x v="3"/>
    <x v="0"/>
    <s v="anomaly"/>
    <n v="8"/>
    <x v="0"/>
  </r>
  <r>
    <n v="9843.74"/>
    <x v="0"/>
    <x v="0"/>
    <m/>
    <x v="733"/>
    <s v="21-06-24"/>
    <s v="28-06-24"/>
    <s v="CUST-2394"/>
    <s v="Aarav Sharma"/>
    <x v="3"/>
    <x v="0"/>
    <s v="Rajasthan"/>
    <s v="Jaipur"/>
    <x v="1"/>
    <x v="3"/>
    <s v="Classic Furnishings 582"/>
    <x v="2"/>
    <s v="anomaly"/>
    <n v="7"/>
    <n v="0"/>
    <x v="707"/>
    <x v="707"/>
    <x v="707"/>
    <x v="363"/>
    <s v="28-06-24"/>
    <x v="11"/>
    <x v="0"/>
    <s v=" "/>
    <n v="7"/>
    <x v="0"/>
  </r>
  <r>
    <n v="2680.68"/>
    <x v="0"/>
    <x v="0"/>
    <m/>
    <x v="734"/>
    <s v="24-08-24"/>
    <s v="24-08-24"/>
    <s v="CUST-5406"/>
    <s v="Ananya Rao"/>
    <x v="1"/>
    <x v="0"/>
    <s v="Rajasthan"/>
    <s v="Jaipur"/>
    <x v="2"/>
    <x v="5"/>
    <s v="Classic Accessories 981"/>
    <x v="2"/>
    <s v="  "/>
    <n v="0"/>
    <n v="0.2"/>
    <x v="708"/>
    <x v="708"/>
    <x v="708"/>
    <x v="408"/>
    <s v="24-08-24"/>
    <x v="2"/>
    <x v="0"/>
    <s v=" "/>
    <n v="0"/>
    <x v="0"/>
  </r>
  <r>
    <n v="1122.92"/>
    <x v="0"/>
    <x v="0"/>
    <m/>
    <x v="735"/>
    <s v="11-08-24"/>
    <s v="19-08-24"/>
    <s v="CUST-1963"/>
    <s v="Mira Das"/>
    <x v="0"/>
    <x v="3"/>
    <s v="Maharashtra"/>
    <s v="Mumbai"/>
    <x v="1"/>
    <x v="1"/>
    <s v="Classic Tables 534"/>
    <x v="3"/>
    <s v="anomaly"/>
    <n v="8"/>
    <n v="0.2"/>
    <x v="709"/>
    <x v="709"/>
    <x v="709"/>
    <x v="311"/>
    <s v="19-08-24"/>
    <x v="2"/>
    <x v="0"/>
    <s v=" "/>
    <n v="8"/>
    <x v="0"/>
  </r>
  <r>
    <n v="1005.05"/>
    <x v="0"/>
    <x v="0"/>
    <m/>
    <x v="736"/>
    <s v="06-12-24"/>
    <s v="09-12-24"/>
    <s v="CUST-9017"/>
    <s v="Aditi Sen"/>
    <x v="0"/>
    <x v="3"/>
    <s v="Maharashtra"/>
    <s v="Mumbai"/>
    <x v="1"/>
    <x v="4"/>
    <s v="Pro Chairs 383"/>
    <x v="0"/>
    <s v="anomaly"/>
    <n v="3"/>
    <n v="0.1"/>
    <x v="710"/>
    <x v="710"/>
    <x v="710"/>
    <x v="353"/>
    <s v="09-12-24"/>
    <x v="8"/>
    <x v="0"/>
    <s v=" "/>
    <n v="3"/>
    <x v="0"/>
  </r>
  <r>
    <n v="963.62"/>
    <x v="0"/>
    <x v="0"/>
    <m/>
    <x v="737"/>
    <s v="10-02-24"/>
    <s v="10-02-24"/>
    <s v="CUST-7967"/>
    <s v="Isha Nair"/>
    <x v="3"/>
    <x v="3"/>
    <s v="Maharashtra"/>
    <s v="Mumbai"/>
    <x v="1"/>
    <x v="4"/>
    <s v="Max Chairs 845"/>
    <x v="1"/>
    <s v="  "/>
    <n v="0"/>
    <n v="0"/>
    <x v="711"/>
    <x v="711"/>
    <x v="711"/>
    <x v="272"/>
    <s v="10-02-24"/>
    <x v="6"/>
    <x v="0"/>
    <s v=" "/>
    <n v="0"/>
    <x v="0"/>
  </r>
  <r>
    <n v="889.35"/>
    <x v="0"/>
    <x v="0"/>
    <m/>
    <x v="738"/>
    <s v="20-02-25"/>
    <s v="invalid date"/>
    <s v="CUST-5334"/>
    <s v="Priya Menon"/>
    <x v="2"/>
    <x v="2"/>
    <s v="Kerala"/>
    <s v="Kochi"/>
    <x v="0"/>
    <x v="0"/>
    <s v="Prime Paper 307"/>
    <x v="2"/>
    <s v="Invalid"/>
    <s v="invalid date"/>
    <n v="0"/>
    <x v="712"/>
    <x v="712"/>
    <x v="712"/>
    <x v="121"/>
    <s v="invalid date"/>
    <x v="6"/>
    <x v="2"/>
    <s v="Invalid"/>
    <s v="invalid date"/>
    <x v="0"/>
  </r>
  <r>
    <n v="3901.26"/>
    <x v="0"/>
    <x v="0"/>
    <m/>
    <x v="739"/>
    <s v="03-12-24"/>
    <s v="12-10-24"/>
    <s v="CUST-5846"/>
    <s v="Neha Gupta"/>
    <x v="2"/>
    <x v="0"/>
    <s v="Rajasthan"/>
    <s v="Jaipur"/>
    <x v="2"/>
    <x v="11"/>
    <s v="Basic Phones 859"/>
    <x v="3"/>
    <s v="anomaly"/>
    <n v="-52"/>
    <n v="0.05"/>
    <x v="713"/>
    <x v="713"/>
    <x v="713"/>
    <x v="36"/>
    <s v="12-10-24"/>
    <x v="8"/>
    <x v="0"/>
    <s v=" "/>
    <n v="-52"/>
    <x v="0"/>
  </r>
  <r>
    <n v="2750.3"/>
    <x v="0"/>
    <x v="0"/>
    <m/>
    <x v="740"/>
    <s v="02-04-24"/>
    <s v="04-02-24"/>
    <s v="CUST-7932"/>
    <s v="Sneha Kapoor"/>
    <x v="1"/>
    <x v="3"/>
    <s v="Maharashtra"/>
    <s v="Mumbai"/>
    <x v="1"/>
    <x v="4"/>
    <s v="Eco Chairs 883"/>
    <x v="2"/>
    <s v="anomaly"/>
    <n v="-58"/>
    <n v="0.1"/>
    <x v="714"/>
    <x v="714"/>
    <x v="714"/>
    <x v="134"/>
    <s v="04-02-24"/>
    <x v="12"/>
    <x v="0"/>
    <s v=" "/>
    <n v="-58"/>
    <x v="0"/>
  </r>
  <r>
    <n v="1486.35"/>
    <x v="0"/>
    <x v="1"/>
    <m/>
    <x v="741"/>
    <s v="invalid date"/>
    <s v="25-04-25"/>
    <s v="CUST-3285"/>
    <s v="Isha Nair"/>
    <x v="3"/>
    <x v="2"/>
    <s v="Tamil Nadu"/>
    <s v="Chennai"/>
    <x v="1"/>
    <x v="4"/>
    <s v="Max Chairs 706"/>
    <x v="0"/>
    <s v="Invalid"/>
    <s v="invalid date"/>
    <n v="0"/>
    <x v="715"/>
    <x v="715"/>
    <x v="715"/>
    <x v="1"/>
    <s v="25-04-25"/>
    <x v="1"/>
    <x v="1"/>
    <s v="Invalid"/>
    <s v="invalid date"/>
    <x v="0"/>
  </r>
  <r>
    <n v="3130.42"/>
    <x v="0"/>
    <x v="0"/>
    <m/>
    <x v="742"/>
    <s v="invalid date"/>
    <s v="22-10-24"/>
    <s v="CUST-6368"/>
    <s v="Karan Malhotra"/>
    <x v="2"/>
    <x v="1"/>
    <s v="Odisha"/>
    <s v="Bhubaneswar"/>
    <x v="0"/>
    <x v="0"/>
    <s v="Prime Paper 768"/>
    <x v="3"/>
    <s v="Invalid"/>
    <s v="invalid date"/>
    <n v="0"/>
    <x v="716"/>
    <x v="716"/>
    <x v="716"/>
    <x v="1"/>
    <s v="22-10-24"/>
    <x v="1"/>
    <x v="1"/>
    <s v="Invalid"/>
    <s v="invalid date"/>
    <x v="0"/>
  </r>
  <r>
    <n v="475.66"/>
    <x v="0"/>
    <x v="0"/>
    <m/>
    <x v="743"/>
    <s v="02-12-25"/>
    <s v="14-02-25"/>
    <s v="CUST-6231"/>
    <s v="Sneha Kapoor"/>
    <x v="0"/>
    <x v="0"/>
    <s v="Uttar Pradesh"/>
    <s v="Noida"/>
    <x v="0"/>
    <x v="2"/>
    <s v="Basic Art 764"/>
    <x v="3"/>
    <s v="anomaly"/>
    <n v="-291"/>
    <n v="0.25"/>
    <x v="717"/>
    <x v="717"/>
    <x v="717"/>
    <x v="249"/>
    <s v="14-02-25"/>
    <x v="8"/>
    <x v="2"/>
    <s v=" "/>
    <n v="-291"/>
    <x v="0"/>
  </r>
  <r>
    <n v="1898.43"/>
    <x v="0"/>
    <x v="1"/>
    <m/>
    <x v="744"/>
    <s v="17-08-25"/>
    <s v="20-08-25"/>
    <s v="CUST-2021"/>
    <s v="Mira Das"/>
    <x v="3"/>
    <x v="0"/>
    <s v="Punjab"/>
    <s v="Ludhiana"/>
    <x v="0"/>
    <x v="9"/>
    <s v="Prime Binders 181"/>
    <x v="2"/>
    <s v="anomaly"/>
    <n v="3"/>
    <n v="0.1"/>
    <x v="718"/>
    <x v="718"/>
    <x v="718"/>
    <x v="409"/>
    <s v="20-08-25"/>
    <x v="2"/>
    <x v="2"/>
    <s v=" "/>
    <n v="3"/>
    <x v="0"/>
  </r>
  <r>
    <n v="677.1"/>
    <x v="0"/>
    <x v="0"/>
    <m/>
    <x v="745"/>
    <s v="24-10-24"/>
    <s v="28-10-24"/>
    <s v="CUST-1493"/>
    <s v="Mira Das"/>
    <x v="1"/>
    <x v="1"/>
    <s v="Assam"/>
    <s v="Guwahati"/>
    <x v="2"/>
    <x v="6"/>
    <s v="Max Copiers 866"/>
    <x v="3"/>
    <s v="anomaly"/>
    <n v="4"/>
    <n v="0.2"/>
    <x v="719"/>
    <x v="719"/>
    <x v="719"/>
    <x v="410"/>
    <s v="28-10-24"/>
    <x v="5"/>
    <x v="0"/>
    <s v=" "/>
    <n v="4"/>
    <x v="0"/>
  </r>
  <r>
    <n v="2029.89"/>
    <x v="0"/>
    <x v="0"/>
    <m/>
    <x v="746"/>
    <s v="04-01-25"/>
    <s v="10-01-25"/>
    <s v="CUST-2314"/>
    <s v="Aarav Sharma"/>
    <x v="3"/>
    <x v="1"/>
    <s v="West Bengal"/>
    <s v="Kolkata"/>
    <x v="0"/>
    <x v="0"/>
    <s v="Pro Paper 662"/>
    <x v="3"/>
    <s v="anomaly"/>
    <n v="6"/>
    <n v="0.2"/>
    <x v="720"/>
    <x v="720"/>
    <x v="720"/>
    <x v="411"/>
    <s v="10-01-25"/>
    <x v="9"/>
    <x v="2"/>
    <s v=" "/>
    <n v="6"/>
    <x v="0"/>
  </r>
  <r>
    <n v="4445.0600000000004"/>
    <x v="0"/>
    <x v="0"/>
    <m/>
    <x v="747"/>
    <s v="01-05-24"/>
    <s v="07-05-24"/>
    <s v="CUST-8416"/>
    <s v="Isha Nair"/>
    <x v="3"/>
    <x v="1"/>
    <s v="Odisha"/>
    <s v="Bhubaneswar"/>
    <x v="0"/>
    <x v="0"/>
    <s v="Classic Paper 388"/>
    <x v="1"/>
    <s v="anomaly"/>
    <n v="6"/>
    <n v="0.15"/>
    <x v="721"/>
    <x v="721"/>
    <x v="721"/>
    <x v="209"/>
    <s v="07-05-24"/>
    <x v="4"/>
    <x v="0"/>
    <s v=" "/>
    <n v="6"/>
    <x v="0"/>
  </r>
  <r>
    <n v="821.2"/>
    <x v="0"/>
    <x v="0"/>
    <m/>
    <x v="748"/>
    <s v="30-05-24"/>
    <s v="invalid date"/>
    <s v="CUST-3103"/>
    <s v="Diya Patel"/>
    <x v="3"/>
    <x v="0"/>
    <s v="Haryana"/>
    <s v="Gurugram"/>
    <x v="2"/>
    <x v="11"/>
    <s v="Pro Phones 765"/>
    <x v="0"/>
    <s v="Invalid"/>
    <s v="invalid date"/>
    <n v="0.25"/>
    <x v="722"/>
    <x v="722"/>
    <x v="722"/>
    <x v="412"/>
    <s v="invalid date"/>
    <x v="4"/>
    <x v="0"/>
    <s v="Invalid"/>
    <s v="invalid date"/>
    <x v="0"/>
  </r>
  <r>
    <n v="403.4"/>
    <x v="0"/>
    <x v="0"/>
    <m/>
    <x v="749"/>
    <s v="21-03-24"/>
    <s v="25-03-24"/>
    <s v="CUST-4457"/>
    <s v="Aditi Sen"/>
    <x v="3"/>
    <x v="1"/>
    <s v="Assam"/>
    <s v="Guwahati"/>
    <x v="2"/>
    <x v="12"/>
    <s v="Classic Machines 543"/>
    <x v="3"/>
    <s v="anomaly"/>
    <n v="4"/>
    <n v="0.15"/>
    <x v="723"/>
    <x v="723"/>
    <x v="723"/>
    <x v="413"/>
    <s v="25-03-24"/>
    <x v="10"/>
    <x v="0"/>
    <s v=" "/>
    <n v="4"/>
    <x v="0"/>
  </r>
  <r>
    <n v="3971.8"/>
    <x v="0"/>
    <x v="0"/>
    <m/>
    <x v="750"/>
    <s v="06-02-25"/>
    <s v="02-06-25"/>
    <s v="CUST-7036"/>
    <s v="Aarav Sharma"/>
    <x v="3"/>
    <x v="2"/>
    <s v="Telangana"/>
    <s v="Hyderabad"/>
    <x v="2"/>
    <x v="5"/>
    <s v="Max Accessories 291"/>
    <x v="2"/>
    <s v="  "/>
    <n v="116"/>
    <n v="0.15"/>
    <x v="724"/>
    <x v="724"/>
    <x v="724"/>
    <x v="414"/>
    <s v="02-06-25"/>
    <x v="6"/>
    <x v="2"/>
    <s v="anomaly"/>
    <n v="116"/>
    <x v="0"/>
  </r>
  <r>
    <n v="1507.66"/>
    <x v="0"/>
    <x v="0"/>
    <m/>
    <x v="751"/>
    <s v="18-07-25"/>
    <s v="19-07-25"/>
    <s v="CUST-8512"/>
    <s v="Priya Menon"/>
    <x v="3"/>
    <x v="4"/>
    <s v="Uttar Pradesh"/>
    <s v="Noida"/>
    <x v="2"/>
    <x v="12"/>
    <s v="Eco Machines 414"/>
    <x v="4"/>
    <s v="anomaly"/>
    <n v="1"/>
    <n v="0.05"/>
    <x v="725"/>
    <x v="725"/>
    <x v="725"/>
    <x v="325"/>
    <s v="19-07-25"/>
    <x v="0"/>
    <x v="2"/>
    <s v=" "/>
    <n v="1"/>
    <x v="0"/>
  </r>
  <r>
    <n v="3337.5"/>
    <x v="0"/>
    <x v="0"/>
    <m/>
    <x v="752"/>
    <s v="24-03-24"/>
    <s v="27-03-24"/>
    <s v="CUST-6345"/>
    <s v="Aditi Sen"/>
    <x v="2"/>
    <x v="3"/>
    <s v="Gujarat"/>
    <s v="Ahmedabad"/>
    <x v="0"/>
    <x v="8"/>
    <s v="Basic Storage 273"/>
    <x v="2"/>
    <s v="anomaly"/>
    <n v="3"/>
    <n v="0.05"/>
    <x v="726"/>
    <x v="726"/>
    <x v="726"/>
    <x v="284"/>
    <s v="27-03-24"/>
    <x v="10"/>
    <x v="0"/>
    <s v=" "/>
    <n v="3"/>
    <x v="0"/>
  </r>
  <r>
    <n v="745.43"/>
    <x v="3"/>
    <x v="2"/>
    <m/>
    <x v="753"/>
    <s v="11-08-24"/>
    <s v="10-08-24"/>
    <s v="CUST-4505"/>
    <s v="Aditi Sen"/>
    <x v="2"/>
    <x v="0"/>
    <s v="Delhi"/>
    <s v="New Delhi"/>
    <x v="1"/>
    <x v="3"/>
    <s v="Elite Furnishings 588"/>
    <x v="0"/>
    <s v="  "/>
    <n v="-1"/>
    <n v="0.15"/>
    <x v="727"/>
    <x v="727"/>
    <x v="727"/>
    <x v="311"/>
    <s v="10-08-24"/>
    <x v="2"/>
    <x v="0"/>
    <s v="anomaly"/>
    <n v="-1"/>
    <x v="0"/>
  </r>
  <r>
    <n v="466.45"/>
    <x v="0"/>
    <x v="0"/>
    <m/>
    <x v="754"/>
    <s v="06-04-25"/>
    <s v="06-04-25"/>
    <s v="CUST-7960"/>
    <s v="Neha Gupta"/>
    <x v="2"/>
    <x v="2"/>
    <s v="Kerala"/>
    <s v="Kochi"/>
    <x v="0"/>
    <x v="8"/>
    <s v="Elite Storage 857"/>
    <x v="3"/>
    <s v="  "/>
    <n v="0"/>
    <n v="0.25"/>
    <x v="728"/>
    <x v="728"/>
    <x v="728"/>
    <x v="177"/>
    <s v="06-04-25"/>
    <x v="12"/>
    <x v="2"/>
    <s v=" "/>
    <n v="0"/>
    <x v="0"/>
  </r>
  <r>
    <n v="1931.98"/>
    <x v="0"/>
    <x v="0"/>
    <m/>
    <x v="755"/>
    <s v="20-07-25"/>
    <s v="24-07-25"/>
    <s v="CUST-3365"/>
    <s v="Priya Menon"/>
    <x v="3"/>
    <x v="3"/>
    <s v="Madhya Pradesh"/>
    <s v="Indore"/>
    <x v="0"/>
    <x v="8"/>
    <s v="Prime Storage 183"/>
    <x v="0"/>
    <s v="anomaly"/>
    <n v="4"/>
    <n v="0.2"/>
    <x v="729"/>
    <x v="729"/>
    <x v="729"/>
    <x v="149"/>
    <s v="24-07-25"/>
    <x v="0"/>
    <x v="2"/>
    <s v=" "/>
    <n v="4"/>
    <x v="0"/>
  </r>
  <r>
    <n v="1734.27"/>
    <x v="0"/>
    <x v="2"/>
    <m/>
    <x v="756"/>
    <s v="invalid date"/>
    <s v="11-01-24"/>
    <s v="CUST-1557"/>
    <s v="Rohan Mehta"/>
    <x v="0"/>
    <x v="0"/>
    <s v="Rajasthan"/>
    <s v="Jaipur"/>
    <x v="2"/>
    <x v="5"/>
    <s v="Smart Accessories 362"/>
    <x v="1"/>
    <s v="Invalid"/>
    <s v="invalid date"/>
    <n v="0.2"/>
    <x v="730"/>
    <x v="730"/>
    <x v="730"/>
    <x v="1"/>
    <s v="11-01-24"/>
    <x v="1"/>
    <x v="1"/>
    <s v="Invalid"/>
    <s v="invalid date"/>
    <x v="0"/>
  </r>
  <r>
    <n v="1899.43"/>
    <x v="3"/>
    <x v="1"/>
    <m/>
    <x v="757"/>
    <s v="01-08-25"/>
    <s v="03-08-25"/>
    <s v="CUST-3058"/>
    <s v="Aditi Sen"/>
    <x v="1"/>
    <x v="2"/>
    <s v="Kerala"/>
    <s v="Kochi"/>
    <x v="1"/>
    <x v="10"/>
    <s v="Classic Bookcases 310"/>
    <x v="3"/>
    <s v="anomaly"/>
    <n v="2"/>
    <n v="0.25"/>
    <x v="731"/>
    <x v="731"/>
    <x v="731"/>
    <x v="395"/>
    <s v="03-08-25"/>
    <x v="2"/>
    <x v="2"/>
    <s v=" "/>
    <n v="2"/>
    <x v="0"/>
  </r>
  <r>
    <n v="754.28"/>
    <x v="0"/>
    <x v="0"/>
    <m/>
    <x v="758"/>
    <s v="02-05-24"/>
    <s v="10-05-24"/>
    <s v="CUST-6076"/>
    <s v="Aarav Sharma"/>
    <x v="1"/>
    <x v="2"/>
    <s v="Karnataka"/>
    <s v="Bengaluru"/>
    <x v="1"/>
    <x v="4"/>
    <s v="Prime Chairs 721"/>
    <x v="3"/>
    <s v="anomaly"/>
    <n v="8"/>
    <n v="0"/>
    <x v="732"/>
    <x v="732"/>
    <x v="732"/>
    <x v="125"/>
    <s v="10-05-24"/>
    <x v="4"/>
    <x v="0"/>
    <s v=" "/>
    <n v="8"/>
    <x v="0"/>
  </r>
  <r>
    <n v="5509.08"/>
    <x v="0"/>
    <x v="0"/>
    <m/>
    <x v="759"/>
    <s v="19-07-24"/>
    <s v="26-07-24"/>
    <s v="CUST-2098"/>
    <s v="Arjun Bose"/>
    <x v="3"/>
    <x v="2"/>
    <s v="Karnataka"/>
    <s v="Bengaluru"/>
    <x v="1"/>
    <x v="1"/>
    <s v="Prime Tables 797"/>
    <x v="0"/>
    <s v="anomaly"/>
    <n v="7"/>
    <n v="0.25"/>
    <x v="733"/>
    <x v="733"/>
    <x v="733"/>
    <x v="40"/>
    <s v="26-07-24"/>
    <x v="0"/>
    <x v="0"/>
    <s v=" "/>
    <n v="7"/>
    <x v="0"/>
  </r>
  <r>
    <n v="5861.49"/>
    <x v="2"/>
    <x v="2"/>
    <m/>
    <x v="760"/>
    <s v="28-08-24"/>
    <s v="02-09-24"/>
    <s v="CUST-7193"/>
    <s v="Aditi Sen"/>
    <x v="3"/>
    <x v="1"/>
    <s v="Assam"/>
    <s v="Guwahati"/>
    <x v="0"/>
    <x v="2"/>
    <s v="Max Art 926"/>
    <x v="0"/>
    <s v="  "/>
    <n v="5"/>
    <n v="0"/>
    <x v="734"/>
    <x v="734"/>
    <x v="734"/>
    <x v="415"/>
    <s v="02-09-24"/>
    <x v="2"/>
    <x v="0"/>
    <s v="anomaly"/>
    <n v="5"/>
    <x v="0"/>
  </r>
  <r>
    <n v="2456.75"/>
    <x v="0"/>
    <x v="0"/>
    <m/>
    <x v="761"/>
    <s v="27-08-25"/>
    <s v="invalid date"/>
    <s v="CUST-8948"/>
    <s v="Isha Nair"/>
    <x v="0"/>
    <x v="2"/>
    <s v="Karnataka"/>
    <s v="Bengaluru"/>
    <x v="2"/>
    <x v="12"/>
    <s v="Max Machines 364"/>
    <x v="2"/>
    <s v="Invalid"/>
    <s v="invalid date"/>
    <n v="0"/>
    <x v="735"/>
    <x v="735"/>
    <x v="735"/>
    <x v="416"/>
    <s v="invalid date"/>
    <x v="2"/>
    <x v="2"/>
    <s v="Invalid"/>
    <s v="invalid date"/>
    <x v="0"/>
  </r>
  <r>
    <n v="1135.1500000000001"/>
    <x v="1"/>
    <x v="2"/>
    <m/>
    <x v="762"/>
    <s v="01-01-24"/>
    <s v="05-01-24"/>
    <s v="CUST-6921"/>
    <s v="Diya Patel"/>
    <x v="2"/>
    <x v="3"/>
    <s v="Madhya Pradesh"/>
    <s v="Indore"/>
    <x v="2"/>
    <x v="12"/>
    <s v="Classic Machines 122"/>
    <x v="0"/>
    <s v="anomaly"/>
    <n v="4"/>
    <n v="0.2"/>
    <x v="736"/>
    <x v="736"/>
    <x v="736"/>
    <x v="417"/>
    <s v="05-01-24"/>
    <x v="9"/>
    <x v="0"/>
    <s v=" "/>
    <n v="4"/>
    <x v="0"/>
  </r>
  <r>
    <n v="4373.34"/>
    <x v="0"/>
    <x v="0"/>
    <m/>
    <x v="763"/>
    <s v="23-08-25"/>
    <s v="25-08-25"/>
    <s v="CUST-4086"/>
    <s v="Diya Patel"/>
    <x v="0"/>
    <x v="0"/>
    <s v="Rajasthan"/>
    <s v="Jaipur"/>
    <x v="1"/>
    <x v="3"/>
    <s v="Elite Furnishings 169"/>
    <x v="1"/>
    <s v="anomaly"/>
    <n v="2"/>
    <n v="0"/>
    <x v="737"/>
    <x v="737"/>
    <x v="737"/>
    <x v="89"/>
    <s v="25-08-25"/>
    <x v="2"/>
    <x v="2"/>
    <s v=" "/>
    <n v="2"/>
    <x v="0"/>
  </r>
  <r>
    <n v="3552.97"/>
    <x v="0"/>
    <x v="0"/>
    <m/>
    <x v="764"/>
    <s v="13-04-25"/>
    <s v="13-04-25"/>
    <s v="CUST-5174"/>
    <s v="Priya Menon"/>
    <x v="2"/>
    <x v="2"/>
    <s v="Kerala"/>
    <s v="Kochi"/>
    <x v="1"/>
    <x v="10"/>
    <s v="Pro Bookcases 615"/>
    <x v="2"/>
    <s v="  "/>
    <n v="0"/>
    <n v="0.05"/>
    <x v="738"/>
    <x v="738"/>
    <x v="738"/>
    <x v="242"/>
    <s v="13-04-25"/>
    <x v="12"/>
    <x v="2"/>
    <s v=" "/>
    <n v="0"/>
    <x v="0"/>
  </r>
  <r>
    <n v="609.54999999999995"/>
    <x v="0"/>
    <x v="0"/>
    <m/>
    <x v="765"/>
    <s v="29-06-25"/>
    <s v="03-07-25"/>
    <s v="CUST-8747"/>
    <s v="Vikram Iyer"/>
    <x v="2"/>
    <x v="1"/>
    <s v="Jharkhand"/>
    <s v="Ranchi"/>
    <x v="0"/>
    <x v="7"/>
    <s v="Max Labels 136"/>
    <x v="2"/>
    <s v="  "/>
    <n v="4"/>
    <n v="0"/>
    <x v="739"/>
    <x v="739"/>
    <x v="739"/>
    <x v="418"/>
    <s v="03-07-25"/>
    <x v="11"/>
    <x v="2"/>
    <s v="anomaly"/>
    <n v="4"/>
    <x v="0"/>
  </r>
  <r>
    <n v="7421.58"/>
    <x v="0"/>
    <x v="1"/>
    <m/>
    <x v="766"/>
    <s v="17-09-24"/>
    <s v="24-09-24"/>
    <s v="CUST-3156"/>
    <s v="Mira Das"/>
    <x v="2"/>
    <x v="3"/>
    <s v="Gujarat"/>
    <s v="Ahmedabad"/>
    <x v="0"/>
    <x v="2"/>
    <s v="Prime Art 380"/>
    <x v="0"/>
    <s v="anomaly"/>
    <n v="7"/>
    <n v="0.2"/>
    <x v="740"/>
    <x v="740"/>
    <x v="740"/>
    <x v="419"/>
    <s v="24-09-24"/>
    <x v="7"/>
    <x v="0"/>
    <s v=" "/>
    <n v="7"/>
    <x v="0"/>
  </r>
  <r>
    <n v="350.34"/>
    <x v="0"/>
    <x v="0"/>
    <m/>
    <x v="767"/>
    <s v="03-05-24"/>
    <s v="05-06-24"/>
    <s v="CUST-2043"/>
    <s v="Ananya Rao"/>
    <x v="3"/>
    <x v="0"/>
    <s v="Uttar Pradesh"/>
    <s v="Noida"/>
    <x v="0"/>
    <x v="9"/>
    <s v="Classic Binders 234"/>
    <x v="3"/>
    <s v="anomaly"/>
    <n v="33"/>
    <n v="0.25"/>
    <x v="741"/>
    <x v="741"/>
    <x v="741"/>
    <x v="420"/>
    <s v="05-06-24"/>
    <x v="4"/>
    <x v="0"/>
    <s v=" "/>
    <n v="33"/>
    <x v="0"/>
  </r>
  <r>
    <n v="3387.24"/>
    <x v="0"/>
    <x v="0"/>
    <m/>
    <x v="768"/>
    <s v="02-04-25"/>
    <s v="04-04-25"/>
    <s v="CUST-8808"/>
    <s v="Sneha Kapoor"/>
    <x v="3"/>
    <x v="1"/>
    <s v="Jharkhand"/>
    <s v="Ranchi"/>
    <x v="0"/>
    <x v="0"/>
    <s v="Classic Paper 280"/>
    <x v="1"/>
    <s v="anomaly"/>
    <n v="2"/>
    <n v="0.1"/>
    <x v="742"/>
    <x v="742"/>
    <x v="742"/>
    <x v="421"/>
    <s v="04-04-25"/>
    <x v="12"/>
    <x v="2"/>
    <s v=" "/>
    <n v="2"/>
    <x v="0"/>
  </r>
  <r>
    <n v="3057.03"/>
    <x v="0"/>
    <x v="0"/>
    <m/>
    <x v="769"/>
    <s v="05-11-24"/>
    <s v="13-05-24"/>
    <s v="CUST-1293"/>
    <s v="Priya Menon"/>
    <x v="3"/>
    <x v="3"/>
    <s v="Goa"/>
    <s v="Panaji"/>
    <x v="1"/>
    <x v="10"/>
    <s v="Classic Bookcases 922"/>
    <x v="1"/>
    <s v="anomaly"/>
    <n v="-176"/>
    <n v="0.25"/>
    <x v="743"/>
    <x v="743"/>
    <x v="743"/>
    <x v="182"/>
    <s v="13-05-24"/>
    <x v="3"/>
    <x v="0"/>
    <s v=" "/>
    <n v="-176"/>
    <x v="0"/>
  </r>
  <r>
    <n v="730.18"/>
    <x v="0"/>
    <x v="0"/>
    <m/>
    <x v="770"/>
    <s v="invalid date"/>
    <s v="17-02-24"/>
    <s v="CUST-8384"/>
    <s v="Neha Gupta"/>
    <x v="0"/>
    <x v="0"/>
    <s v="Uttar Pradesh"/>
    <s v="Noida"/>
    <x v="2"/>
    <x v="6"/>
    <s v="Eco Copiers 396"/>
    <x v="2"/>
    <s v="Invalid"/>
    <s v="invalid date"/>
    <n v="0"/>
    <x v="744"/>
    <x v="744"/>
    <x v="744"/>
    <x v="1"/>
    <s v="17-02-24"/>
    <x v="1"/>
    <x v="1"/>
    <s v="Invalid"/>
    <s v="invalid date"/>
    <x v="0"/>
  </r>
  <r>
    <n v="2873.54"/>
    <x v="0"/>
    <x v="0"/>
    <m/>
    <x v="771"/>
    <s v="12-07-24"/>
    <s v="14-07-24"/>
    <s v="CUST-7861"/>
    <s v="Ananya Rao"/>
    <x v="0"/>
    <x v="0"/>
    <s v="Haryana"/>
    <s v="Gurugram"/>
    <x v="2"/>
    <x v="12"/>
    <s v="Basic Machines 401"/>
    <x v="0"/>
    <s v="anomaly"/>
    <n v="2"/>
    <n v="0"/>
    <x v="745"/>
    <x v="745"/>
    <x v="745"/>
    <x v="422"/>
    <s v="14-07-24"/>
    <x v="0"/>
    <x v="0"/>
    <s v=" "/>
    <n v="2"/>
    <x v="0"/>
  </r>
  <r>
    <n v="947.77"/>
    <x v="2"/>
    <x v="1"/>
    <m/>
    <x v="772"/>
    <s v="invalid date"/>
    <s v="19-07-25"/>
    <s v="CUST-8422"/>
    <s v="Diya Patel"/>
    <x v="0"/>
    <x v="2"/>
    <s v="Tamil Nadu"/>
    <s v="Chennai"/>
    <x v="1"/>
    <x v="4"/>
    <s v="Basic Chairs 279"/>
    <x v="1"/>
    <s v="Invalid"/>
    <s v="invalid date"/>
    <n v="0.05"/>
    <x v="746"/>
    <x v="746"/>
    <x v="746"/>
    <x v="1"/>
    <s v="19-07-25"/>
    <x v="1"/>
    <x v="1"/>
    <s v="Invalid"/>
    <s v="invalid date"/>
    <x v="0"/>
  </r>
  <r>
    <n v="3245.3"/>
    <x v="0"/>
    <x v="0"/>
    <m/>
    <x v="773"/>
    <s v="21-02-25"/>
    <s v="21-02-25"/>
    <s v="CUST-4766"/>
    <s v="Karan Malhotra"/>
    <x v="3"/>
    <x v="3"/>
    <s v="Gujarat"/>
    <s v="Ahmedabad"/>
    <x v="2"/>
    <x v="11"/>
    <s v="Basic Phones 753"/>
    <x v="4"/>
    <s v="  "/>
    <n v="0"/>
    <n v="0.2"/>
    <x v="747"/>
    <x v="747"/>
    <x v="747"/>
    <x v="234"/>
    <s v="21-02-25"/>
    <x v="6"/>
    <x v="2"/>
    <s v=" "/>
    <n v="0"/>
    <x v="0"/>
  </r>
  <r>
    <n v="3063.3"/>
    <x v="0"/>
    <x v="0"/>
    <m/>
    <x v="774"/>
    <s v="07-08-25"/>
    <s v="07-08-25"/>
    <s v="CUST-1182"/>
    <s v="Kabir Singh"/>
    <x v="0"/>
    <x v="3"/>
    <s v="Rajasthan"/>
    <s v="Udaipur"/>
    <x v="2"/>
    <x v="12"/>
    <s v="Smart Machines 789"/>
    <x v="4"/>
    <s v="  "/>
    <n v="0"/>
    <n v="0.2"/>
    <x v="748"/>
    <x v="748"/>
    <x v="748"/>
    <x v="65"/>
    <s v="07-08-25"/>
    <x v="2"/>
    <x v="2"/>
    <s v=" "/>
    <n v="0"/>
    <x v="0"/>
  </r>
  <r>
    <n v="9845.82"/>
    <x v="0"/>
    <x v="0"/>
    <m/>
    <x v="775"/>
    <s v="14-04-24"/>
    <s v="22-04-24"/>
    <s v="CUST-4461"/>
    <s v="Arjun Bose"/>
    <x v="0"/>
    <x v="0"/>
    <s v="Haryana"/>
    <s v="Gurugram"/>
    <x v="2"/>
    <x v="5"/>
    <s v="Elite Accessories 312"/>
    <x v="3"/>
    <s v="anomaly"/>
    <n v="8"/>
    <n v="0.25"/>
    <x v="749"/>
    <x v="749"/>
    <x v="749"/>
    <x v="423"/>
    <s v="22-04-24"/>
    <x v="12"/>
    <x v="0"/>
    <s v=" "/>
    <n v="8"/>
    <x v="0"/>
  </r>
  <r>
    <n v="9183.93"/>
    <x v="0"/>
    <x v="0"/>
    <m/>
    <x v="776"/>
    <s v="08-06-25"/>
    <s v="invalid date"/>
    <s v="CUST-9690"/>
    <s v="Aditi Sen"/>
    <x v="1"/>
    <x v="0"/>
    <s v="Rajasthan"/>
    <s v="Jaipur"/>
    <x v="2"/>
    <x v="6"/>
    <s v="Eco Copiers 528"/>
    <x v="0"/>
    <s v="Invalid"/>
    <s v="invalid date"/>
    <n v="0"/>
    <x v="750"/>
    <x v="750"/>
    <x v="750"/>
    <x v="424"/>
    <s v="invalid date"/>
    <x v="11"/>
    <x v="2"/>
    <s v="Invalid"/>
    <s v="invalid date"/>
    <x v="0"/>
  </r>
  <r>
    <n v="1535"/>
    <x v="3"/>
    <x v="1"/>
    <m/>
    <x v="777"/>
    <s v="04-02-24"/>
    <s v="06-02-24"/>
    <s v="CUST-6879"/>
    <s v="Kabir Singh"/>
    <x v="1"/>
    <x v="3"/>
    <s v="Madhya Pradesh"/>
    <s v="Indore"/>
    <x v="2"/>
    <x v="5"/>
    <s v="Elite Accessories 226"/>
    <x v="0"/>
    <s v="anomaly"/>
    <n v="2"/>
    <n v="0.15"/>
    <x v="751"/>
    <x v="751"/>
    <x v="751"/>
    <x v="278"/>
    <s v="06-02-24"/>
    <x v="6"/>
    <x v="0"/>
    <s v=" "/>
    <n v="2"/>
    <x v="0"/>
  </r>
  <r>
    <n v="1034.95"/>
    <x v="0"/>
    <x v="0"/>
    <m/>
    <x v="778"/>
    <s v="invalid date"/>
    <s v="24-07-24"/>
    <s v="CUST-4714"/>
    <s v="Karan Malhotra"/>
    <x v="1"/>
    <x v="0"/>
    <s v="Haryana"/>
    <s v="Gurugram"/>
    <x v="2"/>
    <x v="6"/>
    <s v="Pro Copiers 298"/>
    <x v="0"/>
    <s v="Invalid"/>
    <s v="invalid date"/>
    <n v="0"/>
    <x v="752"/>
    <x v="752"/>
    <x v="752"/>
    <x v="1"/>
    <s v="24-07-24"/>
    <x v="1"/>
    <x v="1"/>
    <s v="Invalid"/>
    <s v="invalid date"/>
    <x v="0"/>
  </r>
  <r>
    <n v="3410.55"/>
    <x v="0"/>
    <x v="0"/>
    <m/>
    <x v="779"/>
    <s v="invalid date"/>
    <s v="20-01-24"/>
    <s v="CUST-7547"/>
    <s v="Priya Menon"/>
    <x v="1"/>
    <x v="2"/>
    <s v="Andhra Pradesh"/>
    <s v="Vijayawada"/>
    <x v="1"/>
    <x v="4"/>
    <s v="Prime Chairs 331"/>
    <x v="3"/>
    <s v="Invalid"/>
    <s v="invalid date"/>
    <n v="0.05"/>
    <x v="753"/>
    <x v="753"/>
    <x v="753"/>
    <x v="1"/>
    <s v="20-01-24"/>
    <x v="1"/>
    <x v="1"/>
    <s v="Invalid"/>
    <s v="invalid date"/>
    <x v="0"/>
  </r>
  <r>
    <n v="386.42"/>
    <x v="0"/>
    <x v="0"/>
    <m/>
    <x v="780"/>
    <s v="04-08-24"/>
    <s v="08-10-24"/>
    <s v="CUST-3288"/>
    <s v="Diya Patel"/>
    <x v="1"/>
    <x v="3"/>
    <s v="Rajasthan"/>
    <s v="Udaipur"/>
    <x v="1"/>
    <x v="4"/>
    <s v="Classic Chairs 798"/>
    <x v="1"/>
    <s v="anomaly"/>
    <n v="65"/>
    <n v="0.2"/>
    <x v="754"/>
    <x v="754"/>
    <x v="754"/>
    <x v="425"/>
    <s v="08-10-24"/>
    <x v="2"/>
    <x v="0"/>
    <s v=" "/>
    <n v="65"/>
    <x v="0"/>
  </r>
  <r>
    <n v="258.92"/>
    <x v="2"/>
    <x v="2"/>
    <m/>
    <x v="781"/>
    <s v="02-02-24"/>
    <s v="10-02-24"/>
    <s v="CUST-8597"/>
    <s v="Karan Malhotra"/>
    <x v="3"/>
    <x v="3"/>
    <s v="Rajasthan"/>
    <s v="Udaipur"/>
    <x v="0"/>
    <x v="7"/>
    <s v="Classic Labels 204"/>
    <x v="2"/>
    <s v="anomaly"/>
    <n v="8"/>
    <n v="0.25"/>
    <x v="755"/>
    <x v="755"/>
    <x v="755"/>
    <x v="426"/>
    <s v="10-02-24"/>
    <x v="6"/>
    <x v="0"/>
    <s v=" "/>
    <n v="8"/>
    <x v="0"/>
  </r>
  <r>
    <n v="341.03"/>
    <x v="0"/>
    <x v="0"/>
    <m/>
    <x v="782"/>
    <s v="14-03-25"/>
    <s v="invalid date"/>
    <s v="CUST-9085"/>
    <s v="Mira Das"/>
    <x v="2"/>
    <x v="1"/>
    <s v="West Bengal"/>
    <s v="Kolkata"/>
    <x v="2"/>
    <x v="6"/>
    <s v="Basic Copiers 254"/>
    <x v="3"/>
    <s v="Invalid"/>
    <s v="invalid date"/>
    <n v="0.15"/>
    <x v="756"/>
    <x v="756"/>
    <x v="756"/>
    <x v="427"/>
    <s v="invalid date"/>
    <x v="10"/>
    <x v="2"/>
    <s v="Invalid"/>
    <s v="invalid date"/>
    <x v="0"/>
  </r>
  <r>
    <n v="546.13"/>
    <x v="0"/>
    <x v="0"/>
    <m/>
    <x v="783"/>
    <s v="07-06-24"/>
    <s v="07-06-24"/>
    <s v="CUST-7746"/>
    <s v="Aarav Sharma"/>
    <x v="1"/>
    <x v="1"/>
    <s v="Bihar"/>
    <s v="Patna"/>
    <x v="0"/>
    <x v="2"/>
    <s v="Basic Art 709"/>
    <x v="0"/>
    <s v="  "/>
    <n v="0"/>
    <n v="0.05"/>
    <x v="757"/>
    <x v="757"/>
    <x v="757"/>
    <x v="108"/>
    <s v="07-06-24"/>
    <x v="11"/>
    <x v="0"/>
    <s v=" "/>
    <n v="0"/>
    <x v="0"/>
  </r>
  <r>
    <n v="504.42"/>
    <x v="0"/>
    <x v="0"/>
    <m/>
    <x v="784"/>
    <s v="10-04-25"/>
    <s v="05-10-25"/>
    <s v="CUST-3119"/>
    <s v="Priya Menon"/>
    <x v="2"/>
    <x v="0"/>
    <s v="Punjab"/>
    <s v="Ludhiana"/>
    <x v="2"/>
    <x v="6"/>
    <s v="Max Copiers 551"/>
    <x v="2"/>
    <s v="  "/>
    <n v="178"/>
    <n v="0.05"/>
    <x v="758"/>
    <x v="758"/>
    <x v="758"/>
    <x v="162"/>
    <s v="05-10-25"/>
    <x v="12"/>
    <x v="2"/>
    <s v="anomaly"/>
    <n v="178"/>
    <x v="0"/>
  </r>
  <r>
    <n v="1275.55"/>
    <x v="3"/>
    <x v="1"/>
    <m/>
    <x v="785"/>
    <s v="23-05-24"/>
    <s v="29-05-24"/>
    <s v="CUST-7518"/>
    <s v="Diya Patel"/>
    <x v="1"/>
    <x v="0"/>
    <s v="Haryana"/>
    <s v="Gurugram"/>
    <x v="0"/>
    <x v="8"/>
    <s v="Eco Storage 183"/>
    <x v="1"/>
    <s v="anomaly"/>
    <n v="6"/>
    <n v="0.25"/>
    <x v="759"/>
    <x v="759"/>
    <x v="759"/>
    <x v="428"/>
    <s v="29-05-24"/>
    <x v="4"/>
    <x v="0"/>
    <s v=" "/>
    <n v="6"/>
    <x v="0"/>
  </r>
  <r>
    <n v="653.66"/>
    <x v="1"/>
    <x v="2"/>
    <m/>
    <x v="786"/>
    <s v="07-06-25"/>
    <s v="08-07-25"/>
    <s v="CUST-1343"/>
    <s v="Ananya Rao"/>
    <x v="2"/>
    <x v="0"/>
    <s v="Rajasthan"/>
    <s v="Jaipur"/>
    <x v="1"/>
    <x v="3"/>
    <s v="Pro Furnishings 233"/>
    <x v="4"/>
    <s v="anomaly"/>
    <n v="31"/>
    <n v="0.05"/>
    <x v="760"/>
    <x v="760"/>
    <x v="760"/>
    <x v="172"/>
    <s v="08-07-25"/>
    <x v="11"/>
    <x v="2"/>
    <s v=" "/>
    <n v="31"/>
    <x v="0"/>
  </r>
  <r>
    <n v="2150.39"/>
    <x v="0"/>
    <x v="0"/>
    <m/>
    <x v="787"/>
    <s v="12-09-24"/>
    <s v="18-09-24"/>
    <s v="CUST-7548"/>
    <s v="Ananya Rao"/>
    <x v="3"/>
    <x v="1"/>
    <s v="Bihar"/>
    <s v="Patna"/>
    <x v="0"/>
    <x v="0"/>
    <s v="Prime Paper 878"/>
    <x v="0"/>
    <s v="anomaly"/>
    <n v="6"/>
    <n v="0.05"/>
    <x v="761"/>
    <x v="761"/>
    <x v="761"/>
    <x v="179"/>
    <s v="18-09-24"/>
    <x v="7"/>
    <x v="0"/>
    <s v=" "/>
    <n v="6"/>
    <x v="0"/>
  </r>
  <r>
    <n v="6364.96"/>
    <x v="3"/>
    <x v="2"/>
    <m/>
    <x v="788"/>
    <s v="01-08-24"/>
    <s v="02-08-24"/>
    <s v="CUST-3631"/>
    <s v="Isha Nair"/>
    <x v="2"/>
    <x v="0"/>
    <s v="Uttar Pradesh"/>
    <s v="Noida"/>
    <x v="1"/>
    <x v="4"/>
    <s v="Smart Chairs 353"/>
    <x v="3"/>
    <s v="anomaly"/>
    <n v="1"/>
    <n v="0.1"/>
    <x v="762"/>
    <x v="762"/>
    <x v="762"/>
    <x v="328"/>
    <s v="02-08-24"/>
    <x v="2"/>
    <x v="0"/>
    <s v=" "/>
    <n v="1"/>
    <x v="0"/>
  </r>
  <r>
    <n v="4683.41"/>
    <x v="0"/>
    <x v="0"/>
    <m/>
    <x v="789"/>
    <s v="07-03-25"/>
    <s v="08-03-25"/>
    <s v="CUST-1453"/>
    <s v="Priya Menon"/>
    <x v="3"/>
    <x v="4"/>
    <s v="Rajasthan"/>
    <s v="Udaipur"/>
    <x v="2"/>
    <x v="6"/>
    <s v="Smart Copiers 408"/>
    <x v="1"/>
    <s v="anomaly"/>
    <n v="1"/>
    <n v="0"/>
    <x v="763"/>
    <x v="763"/>
    <x v="763"/>
    <x v="194"/>
    <s v="08-03-25"/>
    <x v="10"/>
    <x v="2"/>
    <s v=" "/>
    <n v="1"/>
    <x v="0"/>
  </r>
  <r>
    <n v="943.66"/>
    <x v="0"/>
    <x v="0"/>
    <m/>
    <x v="790"/>
    <s v="31-05-24"/>
    <s v="02-06-24"/>
    <s v="CUST-1951"/>
    <s v="Rahul Verma"/>
    <x v="2"/>
    <x v="2"/>
    <s v="Andhra Pradesh"/>
    <s v="Vijayawada"/>
    <x v="0"/>
    <x v="2"/>
    <s v="Classic Art 781"/>
    <x v="3"/>
    <s v="  "/>
    <n v="2"/>
    <n v="0.2"/>
    <x v="764"/>
    <x v="764"/>
    <x v="764"/>
    <x v="106"/>
    <s v="02-06-24"/>
    <x v="4"/>
    <x v="0"/>
    <s v="anomaly"/>
    <n v="2"/>
    <x v="0"/>
  </r>
  <r>
    <n v="4083.21"/>
    <x v="0"/>
    <x v="0"/>
    <m/>
    <x v="791"/>
    <s v="02-10-24"/>
    <s v="06-10-24"/>
    <s v="CUST-6300"/>
    <s v="Rahul Verma"/>
    <x v="3"/>
    <x v="2"/>
    <s v="Karnataka"/>
    <s v="Bengaluru"/>
    <x v="1"/>
    <x v="10"/>
    <s v="Eco Bookcases 144"/>
    <x v="1"/>
    <s v="anomaly"/>
    <n v="4"/>
    <n v="0.25"/>
    <x v="765"/>
    <x v="765"/>
    <x v="765"/>
    <x v="373"/>
    <s v="06-10-24"/>
    <x v="5"/>
    <x v="0"/>
    <s v=" "/>
    <n v="4"/>
    <x v="0"/>
  </r>
  <r>
    <n v="1064.92"/>
    <x v="0"/>
    <x v="2"/>
    <m/>
    <x v="792"/>
    <s v="04-06-25"/>
    <s v="08-06-25"/>
    <s v="CUST-1417"/>
    <s v="Arjun Bose"/>
    <x v="1"/>
    <x v="1"/>
    <s v="Assam"/>
    <s v="Guwahati"/>
    <x v="1"/>
    <x v="3"/>
    <s v="Elite Furnishings 852"/>
    <x v="0"/>
    <s v="anomaly"/>
    <n v="4"/>
    <n v="0.2"/>
    <x v="766"/>
    <x v="766"/>
    <x v="766"/>
    <x v="166"/>
    <s v="08-06-25"/>
    <x v="11"/>
    <x v="2"/>
    <s v=" "/>
    <n v="4"/>
    <x v="0"/>
  </r>
  <r>
    <n v="6103.13"/>
    <x v="0"/>
    <x v="0"/>
    <m/>
    <x v="793"/>
    <s v="28-05-24"/>
    <s v="03-06-24"/>
    <s v="CUST-5421"/>
    <s v="Vikram Iyer"/>
    <x v="2"/>
    <x v="0"/>
    <s v="Rajasthan"/>
    <s v="Jaipur"/>
    <x v="2"/>
    <x v="6"/>
    <s v="Basic Copiers 238"/>
    <x v="0"/>
    <s v="  "/>
    <n v="6"/>
    <n v="0"/>
    <x v="767"/>
    <x v="767"/>
    <x v="767"/>
    <x v="165"/>
    <s v="03-06-24"/>
    <x v="4"/>
    <x v="0"/>
    <s v="anomaly"/>
    <n v="6"/>
    <x v="0"/>
  </r>
  <r>
    <n v="2408.9699999999998"/>
    <x v="0"/>
    <x v="0"/>
    <m/>
    <x v="794"/>
    <s v="22-06-25"/>
    <s v="24-06-25"/>
    <s v="CUST-2829"/>
    <s v="Sneha Kapoor"/>
    <x v="2"/>
    <x v="1"/>
    <s v="Assam"/>
    <s v="Guwahati"/>
    <x v="0"/>
    <x v="0"/>
    <s v="Elite Paper 847"/>
    <x v="3"/>
    <s v="anomaly"/>
    <n v="2"/>
    <n v="0.15"/>
    <x v="768"/>
    <x v="768"/>
    <x v="768"/>
    <x v="225"/>
    <s v="24-06-25"/>
    <x v="11"/>
    <x v="2"/>
    <s v=" "/>
    <n v="2"/>
    <x v="0"/>
  </r>
  <r>
    <n v="9168.35"/>
    <x v="1"/>
    <x v="1"/>
    <m/>
    <x v="795"/>
    <s v="30-07-24"/>
    <s v="30-07-24"/>
    <s v="CUST-6529"/>
    <s v="Diya Patel"/>
    <x v="3"/>
    <x v="1"/>
    <s v="Odisha"/>
    <s v="Bhubaneswar"/>
    <x v="2"/>
    <x v="6"/>
    <s v="Pro Copiers 653"/>
    <x v="1"/>
    <s v="  "/>
    <n v="0"/>
    <n v="0"/>
    <x v="769"/>
    <x v="769"/>
    <x v="769"/>
    <x v="71"/>
    <s v="30-07-24"/>
    <x v="0"/>
    <x v="0"/>
    <s v=" "/>
    <n v="0"/>
    <x v="0"/>
  </r>
  <r>
    <n v="3357.87"/>
    <x v="0"/>
    <x v="0"/>
    <m/>
    <x v="796"/>
    <s v="invalid date"/>
    <s v="30-03-24"/>
    <s v="CUST-3126"/>
    <s v="Rohan Mehta"/>
    <x v="1"/>
    <x v="2"/>
    <s v="Andhra Pradesh"/>
    <s v="Vijayawada"/>
    <x v="2"/>
    <x v="12"/>
    <s v="Elite Machines 459"/>
    <x v="2"/>
    <s v="Invalid"/>
    <s v="invalid date"/>
    <n v="0.15"/>
    <x v="770"/>
    <x v="770"/>
    <x v="770"/>
    <x v="1"/>
    <s v="30-03-24"/>
    <x v="1"/>
    <x v="1"/>
    <s v="Invalid"/>
    <s v="invalid date"/>
    <x v="0"/>
  </r>
  <r>
    <n v="3164.49"/>
    <x v="3"/>
    <x v="1"/>
    <m/>
    <x v="797"/>
    <s v="18-04-24"/>
    <s v="22-04-24"/>
    <s v="CUST-3991"/>
    <s v="Aarav Sharma"/>
    <x v="0"/>
    <x v="1"/>
    <s v="Odisha"/>
    <s v="Bhubaneswar"/>
    <x v="0"/>
    <x v="9"/>
    <s v="Elite Binders 764"/>
    <x v="2"/>
    <s v="anomaly"/>
    <n v="4"/>
    <n v="0"/>
    <x v="771"/>
    <x v="771"/>
    <x v="771"/>
    <x v="429"/>
    <s v="22-04-24"/>
    <x v="12"/>
    <x v="0"/>
    <s v=" "/>
    <n v="4"/>
    <x v="0"/>
  </r>
  <r>
    <n v="5697.95"/>
    <x v="0"/>
    <x v="0"/>
    <m/>
    <x v="798"/>
    <s v="11-07-25"/>
    <s v="09-07-25"/>
    <s v="CUST-7553"/>
    <s v="Aditi Sen"/>
    <x v="2"/>
    <x v="0"/>
    <s v="Delhi"/>
    <s v="New Delhi"/>
    <x v="1"/>
    <x v="3"/>
    <s v="Classic Furnishings 348"/>
    <x v="3"/>
    <s v="  "/>
    <n v="-2"/>
    <n v="0"/>
    <x v="772"/>
    <x v="772"/>
    <x v="772"/>
    <x v="430"/>
    <s v="09-07-25"/>
    <x v="0"/>
    <x v="2"/>
    <s v="anomaly"/>
    <n v="-2"/>
    <x v="0"/>
  </r>
  <r>
    <n v="707.79"/>
    <x v="0"/>
    <x v="2"/>
    <m/>
    <x v="799"/>
    <s v="10-10-24"/>
    <s v="17-10-24"/>
    <s v="CUST-8527"/>
    <s v="Isha Nair"/>
    <x v="3"/>
    <x v="0"/>
    <s v="Haryana"/>
    <s v="Gurugram"/>
    <x v="2"/>
    <x v="5"/>
    <s v="Smart Accessories 487"/>
    <x v="4"/>
    <s v="anomaly"/>
    <n v="7"/>
    <n v="0.05"/>
    <x v="773"/>
    <x v="773"/>
    <x v="773"/>
    <x v="35"/>
    <s v="17-10-24"/>
    <x v="5"/>
    <x v="0"/>
    <s v=" "/>
    <n v="7"/>
    <x v="0"/>
  </r>
  <r>
    <n v="4498.88"/>
    <x v="0"/>
    <x v="0"/>
    <m/>
    <x v="800"/>
    <s v="01-03-24"/>
    <s v="07-03-24"/>
    <s v="CUST-5015"/>
    <s v="Vikram Iyer"/>
    <x v="1"/>
    <x v="3"/>
    <s v="Maharashtra"/>
    <s v="Mumbai"/>
    <x v="0"/>
    <x v="8"/>
    <s v="Elite Storage 825"/>
    <x v="0"/>
    <s v="anomaly"/>
    <n v="6"/>
    <n v="0.15"/>
    <x v="774"/>
    <x v="774"/>
    <x v="774"/>
    <x v="154"/>
    <s v="07-03-24"/>
    <x v="10"/>
    <x v="0"/>
    <s v=" "/>
    <n v="6"/>
    <x v="0"/>
  </r>
  <r>
    <n v="2040.87"/>
    <x v="2"/>
    <x v="1"/>
    <m/>
    <x v="801"/>
    <s v="08-10-25"/>
    <s v="15-10-25"/>
    <s v="CUST-3344"/>
    <s v="Aarav Sharma"/>
    <x v="3"/>
    <x v="1"/>
    <s v="Odisha"/>
    <s v="Bhubaneswar"/>
    <x v="2"/>
    <x v="5"/>
    <s v="Pro Accessories 500"/>
    <x v="0"/>
    <s v="anomaly"/>
    <n v="7"/>
    <n v="0.2"/>
    <x v="775"/>
    <x v="775"/>
    <x v="775"/>
    <x v="117"/>
    <s v="15-10-25"/>
    <x v="5"/>
    <x v="2"/>
    <s v=" "/>
    <n v="7"/>
    <x v="0"/>
  </r>
  <r>
    <n v="3396.84"/>
    <x v="3"/>
    <x v="2"/>
    <m/>
    <x v="802"/>
    <s v="16-02-25"/>
    <s v="16-02-25"/>
    <s v="CUST-5866"/>
    <s v="Rohan Mehta"/>
    <x v="1"/>
    <x v="1"/>
    <s v="Assam"/>
    <s v="Guwahati"/>
    <x v="1"/>
    <x v="3"/>
    <s v="Pro Furnishings 909"/>
    <x v="0"/>
    <s v="  "/>
    <n v="0"/>
    <n v="0"/>
    <x v="776"/>
    <x v="776"/>
    <x v="776"/>
    <x v="362"/>
    <s v="16-02-25"/>
    <x v="6"/>
    <x v="2"/>
    <s v=" "/>
    <n v="0"/>
    <x v="0"/>
  </r>
  <r>
    <n v="1737.83"/>
    <x v="0"/>
    <x v="0"/>
    <m/>
    <x v="803"/>
    <s v="09-12-24"/>
    <s v="13-12-24"/>
    <s v="CUST-7180"/>
    <s v="Rohan Mehta"/>
    <x v="0"/>
    <x v="4"/>
    <s v="Jharkhand"/>
    <s v="Ranchi"/>
    <x v="0"/>
    <x v="7"/>
    <s v="Basic Labels 359"/>
    <x v="2"/>
    <s v="anomaly"/>
    <n v="4"/>
    <n v="0"/>
    <x v="777"/>
    <x v="777"/>
    <x v="777"/>
    <x v="140"/>
    <s v="13-12-24"/>
    <x v="8"/>
    <x v="0"/>
    <s v=" "/>
    <n v="4"/>
    <x v="0"/>
  </r>
  <r>
    <n v="441.01"/>
    <x v="0"/>
    <x v="0"/>
    <m/>
    <x v="804"/>
    <s v="10-09-25"/>
    <s v="18-09-25"/>
    <s v="CUST-8745"/>
    <s v="Rahul Verma"/>
    <x v="3"/>
    <x v="2"/>
    <s v="Telangana"/>
    <s v="Hyderabad"/>
    <x v="1"/>
    <x v="3"/>
    <s v="Eco Furnishings 541"/>
    <x v="3"/>
    <s v="anomaly"/>
    <n v="8"/>
    <n v="0.05"/>
    <x v="778"/>
    <x v="778"/>
    <x v="778"/>
    <x v="431"/>
    <s v="18-09-25"/>
    <x v="7"/>
    <x v="2"/>
    <s v=" "/>
    <n v="8"/>
    <x v="0"/>
  </r>
  <r>
    <n v="444"/>
    <x v="0"/>
    <x v="0"/>
    <m/>
    <x v="805"/>
    <s v="06-04-25"/>
    <s v="07-04-25"/>
    <s v="CUST-2098"/>
    <s v="Priya Menon"/>
    <x v="3"/>
    <x v="1"/>
    <s v="Assam"/>
    <s v="Guwahati"/>
    <x v="0"/>
    <x v="9"/>
    <s v="Classic Binders 103"/>
    <x v="0"/>
    <s v="anomaly"/>
    <n v="1"/>
    <n v="0.25"/>
    <x v="779"/>
    <x v="779"/>
    <x v="779"/>
    <x v="177"/>
    <s v="07-04-25"/>
    <x v="12"/>
    <x v="2"/>
    <s v=" "/>
    <n v="1"/>
    <x v="0"/>
  </r>
  <r>
    <n v="1032.43"/>
    <x v="3"/>
    <x v="1"/>
    <m/>
    <x v="806"/>
    <s v="09-11-24"/>
    <s v="15-11-24"/>
    <s v="CUST-3704"/>
    <s v="Isha Nair"/>
    <x v="3"/>
    <x v="0"/>
    <s v="Rajasthan"/>
    <s v="Jaipur"/>
    <x v="2"/>
    <x v="6"/>
    <s v="Max Copiers 560"/>
    <x v="3"/>
    <s v="anomaly"/>
    <n v="6"/>
    <n v="0.2"/>
    <x v="780"/>
    <x v="780"/>
    <x v="780"/>
    <x v="314"/>
    <s v="15-11-24"/>
    <x v="3"/>
    <x v="0"/>
    <s v=" "/>
    <n v="6"/>
    <x v="0"/>
  </r>
  <r>
    <n v="655.43"/>
    <x v="0"/>
    <x v="0"/>
    <m/>
    <x v="807"/>
    <s v="07-02-25"/>
    <s v="08-02-25"/>
    <s v="CUST-5884"/>
    <s v="Karan Malhotra"/>
    <x v="1"/>
    <x v="2"/>
    <s v="Telangana"/>
    <s v="Hyderabad"/>
    <x v="0"/>
    <x v="7"/>
    <s v="Smart Labels 436"/>
    <x v="3"/>
    <s v="anomaly"/>
    <n v="1"/>
    <n v="0.1"/>
    <x v="781"/>
    <x v="781"/>
    <x v="781"/>
    <x v="173"/>
    <s v="08-02-25"/>
    <x v="6"/>
    <x v="2"/>
    <s v=" "/>
    <n v="1"/>
    <x v="0"/>
  </r>
  <r>
    <n v="995.44"/>
    <x v="0"/>
    <x v="0"/>
    <m/>
    <x v="808"/>
    <s v="31-08-25"/>
    <s v="28-08-25"/>
    <s v="CUST-7503"/>
    <s v="Aarav Sharma"/>
    <x v="1"/>
    <x v="2"/>
    <s v="Tamil Nadu"/>
    <s v="Chennai"/>
    <x v="1"/>
    <x v="3"/>
    <s v="Pro Furnishings 386"/>
    <x v="2"/>
    <s v="  "/>
    <n v="-3"/>
    <n v="0.2"/>
    <x v="782"/>
    <x v="782"/>
    <x v="782"/>
    <x v="432"/>
    <s v="28-08-25"/>
    <x v="2"/>
    <x v="2"/>
    <s v="anomaly"/>
    <n v="-3"/>
    <x v="0"/>
  </r>
  <r>
    <n v="2291.89"/>
    <x v="0"/>
    <x v="0"/>
    <m/>
    <x v="809"/>
    <s v="25-06-25"/>
    <s v="25-06-25"/>
    <s v="CUST-6973"/>
    <s v="Arjun Bose"/>
    <x v="1"/>
    <x v="4"/>
    <s v="Punjab"/>
    <s v="Ludhiana"/>
    <x v="0"/>
    <x v="9"/>
    <s v="Eco Binders 601"/>
    <x v="0"/>
    <s v="  "/>
    <n v="0"/>
    <n v="0.1"/>
    <x v="783"/>
    <x v="783"/>
    <x v="783"/>
    <x v="178"/>
    <s v="25-06-25"/>
    <x v="11"/>
    <x v="2"/>
    <s v=" "/>
    <n v="0"/>
    <x v="0"/>
  </r>
  <r>
    <n v="892.38"/>
    <x v="0"/>
    <x v="0"/>
    <m/>
    <x v="810"/>
    <s v="04-03-24"/>
    <s v="08-04-24"/>
    <s v="CUST-4653"/>
    <s v="Kabir Singh"/>
    <x v="3"/>
    <x v="3"/>
    <s v="Gujarat"/>
    <s v="Ahmedabad"/>
    <x v="2"/>
    <x v="6"/>
    <s v="Pro Copiers 867"/>
    <x v="2"/>
    <s v="anomaly"/>
    <n v="35"/>
    <n v="0.25"/>
    <x v="784"/>
    <x v="784"/>
    <x v="784"/>
    <x v="21"/>
    <s v="08-04-24"/>
    <x v="10"/>
    <x v="0"/>
    <s v=" "/>
    <n v="35"/>
    <x v="0"/>
  </r>
  <r>
    <n v="1101.33"/>
    <x v="0"/>
    <x v="0"/>
    <m/>
    <x v="811"/>
    <s v="12-12-24"/>
    <s v="19-12-24"/>
    <s v="CUST-3303"/>
    <s v="Rohan Mehta"/>
    <x v="3"/>
    <x v="0"/>
    <s v="Haryana"/>
    <s v="Gurugram"/>
    <x v="2"/>
    <x v="5"/>
    <s v="Eco Accessories 122"/>
    <x v="2"/>
    <s v="anomaly"/>
    <n v="7"/>
    <n v="0.2"/>
    <x v="785"/>
    <x v="785"/>
    <x v="785"/>
    <x v="433"/>
    <s v="19-12-24"/>
    <x v="8"/>
    <x v="0"/>
    <s v=" "/>
    <n v="7"/>
    <x v="0"/>
  </r>
  <r>
    <n v="3705.63"/>
    <x v="0"/>
    <x v="0"/>
    <m/>
    <x v="812"/>
    <s v="15-06-24"/>
    <s v="20-06-24"/>
    <s v="CUST-5754"/>
    <s v="Sneha Kapoor"/>
    <x v="1"/>
    <x v="1"/>
    <s v="Jharkhand"/>
    <s v="Ranchi"/>
    <x v="1"/>
    <x v="1"/>
    <s v="Basic Tables 127"/>
    <x v="2"/>
    <s v="anomaly"/>
    <n v="5"/>
    <n v="0"/>
    <x v="786"/>
    <x v="786"/>
    <x v="786"/>
    <x v="238"/>
    <s v="20-06-24"/>
    <x v="11"/>
    <x v="0"/>
    <s v=" "/>
    <n v="5"/>
    <x v="0"/>
  </r>
  <r>
    <n v="1079.47"/>
    <x v="0"/>
    <x v="0"/>
    <m/>
    <x v="813"/>
    <s v="04-06-25"/>
    <s v="10-04-25"/>
    <s v="CUST-7848"/>
    <s v="Rohan Mehta"/>
    <x v="0"/>
    <x v="1"/>
    <s v="Odisha"/>
    <s v="Bhubaneswar"/>
    <x v="1"/>
    <x v="10"/>
    <s v="Elite Bookcases 988"/>
    <x v="3"/>
    <s v="anomaly"/>
    <n v="-55"/>
    <n v="0"/>
    <x v="787"/>
    <x v="787"/>
    <x v="787"/>
    <x v="166"/>
    <s v="10-04-25"/>
    <x v="11"/>
    <x v="2"/>
    <s v=" "/>
    <n v="-55"/>
    <x v="0"/>
  </r>
  <r>
    <n v="924.21"/>
    <x v="0"/>
    <x v="0"/>
    <m/>
    <x v="814"/>
    <s v="06-08-25"/>
    <s v="11-08-25"/>
    <s v="CUST-9048"/>
    <s v="Arjun Bose"/>
    <x v="0"/>
    <x v="3"/>
    <s v="Madhya Pradesh"/>
    <s v="Indore"/>
    <x v="0"/>
    <x v="7"/>
    <s v="Smart Labels 126"/>
    <x v="2"/>
    <s v="anomaly"/>
    <n v="5"/>
    <n v="0.25"/>
    <x v="788"/>
    <x v="788"/>
    <x v="788"/>
    <x v="186"/>
    <s v="11-08-25"/>
    <x v="2"/>
    <x v="2"/>
    <s v=" "/>
    <n v="5"/>
    <x v="0"/>
  </r>
  <r>
    <n v="1128.75"/>
    <x v="2"/>
    <x v="1"/>
    <m/>
    <x v="815"/>
    <s v="04-01-24"/>
    <s v="08-04-24"/>
    <s v="CUST-2951"/>
    <s v="Diya Patel"/>
    <x v="0"/>
    <x v="1"/>
    <s v="Odisha"/>
    <s v="Bhubaneswar"/>
    <x v="2"/>
    <x v="12"/>
    <s v="Max Machines 569"/>
    <x v="3"/>
    <s v="anomaly"/>
    <n v="95"/>
    <n v="0.15"/>
    <x v="789"/>
    <x v="789"/>
    <x v="789"/>
    <x v="292"/>
    <s v="08-04-24"/>
    <x v="9"/>
    <x v="0"/>
    <s v=" "/>
    <n v="95"/>
    <x v="0"/>
  </r>
  <r>
    <n v="288.37"/>
    <x v="0"/>
    <x v="0"/>
    <m/>
    <x v="816"/>
    <s v="invalid date"/>
    <s v="30-11-24"/>
    <s v="CUST-3072"/>
    <s v="Rahul Verma"/>
    <x v="1"/>
    <x v="1"/>
    <s v="Jharkhand"/>
    <s v="Ranchi"/>
    <x v="1"/>
    <x v="3"/>
    <s v="Basic Furnishings 306"/>
    <x v="2"/>
    <s v="Invalid"/>
    <s v="invalid date"/>
    <n v="0.1"/>
    <x v="790"/>
    <x v="790"/>
    <x v="790"/>
    <x v="1"/>
    <s v="30-11-24"/>
    <x v="1"/>
    <x v="1"/>
    <s v="Invalid"/>
    <s v="invalid date"/>
    <x v="0"/>
  </r>
  <r>
    <n v="3519.81"/>
    <x v="0"/>
    <x v="0"/>
    <m/>
    <x v="817"/>
    <s v="05-04-25"/>
    <s v="04-05-25"/>
    <s v="CUST-2221"/>
    <s v="Sneha Kapoor"/>
    <x v="0"/>
    <x v="1"/>
    <s v="Bihar"/>
    <s v="Patna"/>
    <x v="0"/>
    <x v="9"/>
    <s v="Classic Binders 873"/>
    <x v="3"/>
    <s v="  "/>
    <n v="29"/>
    <n v="0.25"/>
    <x v="791"/>
    <x v="791"/>
    <x v="791"/>
    <x v="434"/>
    <s v="04-05-25"/>
    <x v="12"/>
    <x v="2"/>
    <s v="anomaly"/>
    <n v="29"/>
    <x v="0"/>
  </r>
  <r>
    <n v="2590.0100000000002"/>
    <x v="0"/>
    <x v="0"/>
    <m/>
    <x v="818"/>
    <s v="29-09-24"/>
    <s v="05-10-24"/>
    <s v="CUST-3943"/>
    <s v="Priya Menon"/>
    <x v="1"/>
    <x v="3"/>
    <s v="Maharashtra"/>
    <s v="Mumbai"/>
    <x v="0"/>
    <x v="7"/>
    <s v="Pro Labels 611"/>
    <x v="2"/>
    <s v="  "/>
    <n v="6"/>
    <s v="invalid"/>
    <x v="2"/>
    <x v="2"/>
    <x v="2"/>
    <x v="435"/>
    <s v="05-10-24"/>
    <x v="7"/>
    <x v="0"/>
    <s v="anomaly"/>
    <n v="6"/>
    <x v="0"/>
  </r>
  <r>
    <n v="7065.64"/>
    <x v="3"/>
    <x v="1"/>
    <m/>
    <x v="819"/>
    <s v="invalid date"/>
    <s v="31-07-24"/>
    <s v="CUST-7510"/>
    <s v="Karan Malhotra"/>
    <x v="3"/>
    <x v="2"/>
    <s v="Kerala"/>
    <s v="Kochi"/>
    <x v="2"/>
    <x v="12"/>
    <s v="Prime Machines 524"/>
    <x v="3"/>
    <s v="Invalid"/>
    <s v="invalid date"/>
    <n v="0"/>
    <x v="792"/>
    <x v="792"/>
    <x v="792"/>
    <x v="1"/>
    <s v="31-07-24"/>
    <x v="1"/>
    <x v="1"/>
    <s v="Invalid"/>
    <s v="invalid date"/>
    <x v="0"/>
  </r>
  <r>
    <n v="74.88"/>
    <x v="0"/>
    <x v="0"/>
    <m/>
    <x v="820"/>
    <s v="06-02-25"/>
    <s v="10-02-25"/>
    <s v="CUST-2041"/>
    <s v="Ananya Rao"/>
    <x v="3"/>
    <x v="0"/>
    <s v="Uttar Pradesh"/>
    <s v="Noida"/>
    <x v="1"/>
    <x v="10"/>
    <s v="Classic Bookcases 882"/>
    <x v="3"/>
    <s v="anomaly"/>
    <n v="4"/>
    <n v="0.2"/>
    <x v="793"/>
    <x v="793"/>
    <x v="793"/>
    <x v="414"/>
    <s v="10-02-25"/>
    <x v="6"/>
    <x v="2"/>
    <s v=" "/>
    <n v="4"/>
    <x v="0"/>
  </r>
  <r>
    <n v="1767.8"/>
    <x v="0"/>
    <x v="0"/>
    <m/>
    <x v="821"/>
    <s v="03-07-24"/>
    <s v="06-07-24"/>
    <s v="CUST-4466"/>
    <s v="Aarav Sharma"/>
    <x v="2"/>
    <x v="2"/>
    <s v="Karnataka"/>
    <s v="Bengaluru"/>
    <x v="2"/>
    <x v="5"/>
    <s v="Classic Accessories 471"/>
    <x v="2"/>
    <s v="anomaly"/>
    <n v="3"/>
    <n v="0.2"/>
    <x v="794"/>
    <x v="794"/>
    <x v="794"/>
    <x v="203"/>
    <s v="06-07-24"/>
    <x v="0"/>
    <x v="0"/>
    <s v=" "/>
    <n v="3"/>
    <x v="0"/>
  </r>
  <r>
    <n v="1612.11"/>
    <x v="2"/>
    <x v="2"/>
    <m/>
    <x v="822"/>
    <s v="10-12-24"/>
    <s v="08-10-24"/>
    <s v="CUST-3188"/>
    <s v="Mira Das"/>
    <x v="2"/>
    <x v="1"/>
    <s v="Assam"/>
    <s v="Guwahati"/>
    <x v="1"/>
    <x v="3"/>
    <s v="Smart Furnishings 175"/>
    <x v="0"/>
    <s v="  "/>
    <n v="-63"/>
    <n v="0.2"/>
    <x v="795"/>
    <x v="795"/>
    <x v="795"/>
    <x v="436"/>
    <s v="08-10-24"/>
    <x v="8"/>
    <x v="0"/>
    <s v="anomaly"/>
    <n v="-63"/>
    <x v="0"/>
  </r>
  <r>
    <n v="746.69"/>
    <x v="0"/>
    <x v="0"/>
    <m/>
    <x v="823"/>
    <s v="06-01-25"/>
    <s v="12-01-25"/>
    <s v="CUST-6638"/>
    <s v="Mira Das"/>
    <x v="3"/>
    <x v="3"/>
    <s v="Goa"/>
    <s v="Panaji"/>
    <x v="0"/>
    <x v="0"/>
    <s v="Basic Paper 899"/>
    <x v="1"/>
    <s v="anomaly"/>
    <n v="6"/>
    <n v="0.15"/>
    <x v="796"/>
    <x v="796"/>
    <x v="796"/>
    <x v="437"/>
    <s v="12-01-25"/>
    <x v="9"/>
    <x v="2"/>
    <s v=" "/>
    <n v="6"/>
    <x v="0"/>
  </r>
  <r>
    <n v="4794.79"/>
    <x v="0"/>
    <x v="0"/>
    <m/>
    <x v="824"/>
    <s v="21-03-25"/>
    <s v="22-03-25"/>
    <s v="CUST-3540"/>
    <s v="Priya Menon"/>
    <x v="0"/>
    <x v="3"/>
    <s v="Goa"/>
    <s v="Panaji"/>
    <x v="0"/>
    <x v="0"/>
    <s v="Pro Paper 267"/>
    <x v="2"/>
    <s v="anomaly"/>
    <n v="1"/>
    <n v="0.05"/>
    <x v="797"/>
    <x v="797"/>
    <x v="797"/>
    <x v="438"/>
    <s v="22-03-25"/>
    <x v="10"/>
    <x v="2"/>
    <s v=" "/>
    <n v="1"/>
    <x v="0"/>
  </r>
  <r>
    <n v="885.94"/>
    <x v="0"/>
    <x v="0"/>
    <m/>
    <x v="825"/>
    <s v="16-04-25"/>
    <s v="17-04-25"/>
    <s v="CUST-3351"/>
    <s v="Vikram Iyer"/>
    <x v="1"/>
    <x v="0"/>
    <s v="Uttar Pradesh"/>
    <s v="Noida"/>
    <x v="2"/>
    <x v="12"/>
    <s v="Basic Machines 832"/>
    <x v="2"/>
    <s v="anomaly"/>
    <n v="1"/>
    <n v="0"/>
    <x v="798"/>
    <x v="798"/>
    <x v="798"/>
    <x v="439"/>
    <s v="17-04-25"/>
    <x v="12"/>
    <x v="2"/>
    <s v=" "/>
    <n v="1"/>
    <x v="0"/>
  </r>
  <r>
    <n v="2643.72"/>
    <x v="0"/>
    <x v="0"/>
    <m/>
    <x v="826"/>
    <s v="10-08-25"/>
    <s v="14-08-25"/>
    <s v="CUST-4375"/>
    <s v="Aditi Sen"/>
    <x v="0"/>
    <x v="3"/>
    <s v="Rajasthan"/>
    <s v="Udaipur"/>
    <x v="2"/>
    <x v="5"/>
    <s v="Elite Accessories 790"/>
    <x v="3"/>
    <s v="anomaly"/>
    <n v="4"/>
    <n v="0.25"/>
    <x v="799"/>
    <x v="799"/>
    <x v="799"/>
    <x v="250"/>
    <s v="14-08-25"/>
    <x v="2"/>
    <x v="2"/>
    <s v=" "/>
    <n v="4"/>
    <x v="0"/>
  </r>
  <r>
    <n v="113.2"/>
    <x v="0"/>
    <x v="1"/>
    <m/>
    <x v="827"/>
    <s v="24-11-24"/>
    <s v="01-12-24"/>
    <s v="CUST-5125"/>
    <s v="Priya Menon"/>
    <x v="3"/>
    <x v="2"/>
    <s v="Tamil Nadu"/>
    <s v="Chennai"/>
    <x v="0"/>
    <x v="0"/>
    <s v="Basic Paper 707"/>
    <x v="1"/>
    <s v="  "/>
    <n v="7"/>
    <n v="0.25"/>
    <x v="800"/>
    <x v="800"/>
    <x v="800"/>
    <x v="391"/>
    <s v="01-12-24"/>
    <x v="3"/>
    <x v="0"/>
    <s v="anomaly"/>
    <n v="7"/>
    <x v="0"/>
  </r>
  <r>
    <n v="10999.59"/>
    <x v="3"/>
    <x v="1"/>
    <m/>
    <x v="828"/>
    <s v="10-10-25"/>
    <s v="11-10-25"/>
    <s v="CUST-6010"/>
    <s v="Karan Malhotra"/>
    <x v="2"/>
    <x v="1"/>
    <s v="Odisha"/>
    <s v="Bhubaneswar"/>
    <x v="1"/>
    <x v="4"/>
    <s v="Elite Chairs 979"/>
    <x v="0"/>
    <s v="anomaly"/>
    <n v="1"/>
    <n v="0.05"/>
    <x v="801"/>
    <x v="801"/>
    <x v="801"/>
    <x v="37"/>
    <s v="11-10-25"/>
    <x v="5"/>
    <x v="2"/>
    <s v=" "/>
    <n v="1"/>
    <x v="0"/>
  </r>
  <r>
    <n v="2010.28"/>
    <x v="0"/>
    <x v="0"/>
    <m/>
    <x v="829"/>
    <s v="invalid date"/>
    <s v="28-02-24"/>
    <s v="CUST-9036"/>
    <s v="Aditi Sen"/>
    <x v="1"/>
    <x v="3"/>
    <s v="Goa"/>
    <s v="Panaji"/>
    <x v="1"/>
    <x v="3"/>
    <s v="Pro Furnishings 192"/>
    <x v="0"/>
    <s v="Invalid"/>
    <s v="invalid date"/>
    <n v="0.1"/>
    <x v="802"/>
    <x v="802"/>
    <x v="802"/>
    <x v="1"/>
    <s v="28-02-24"/>
    <x v="1"/>
    <x v="1"/>
    <s v="Invalid"/>
    <s v="invalid date"/>
    <x v="0"/>
  </r>
  <r>
    <n v="2798.61"/>
    <x v="0"/>
    <x v="0"/>
    <m/>
    <x v="830"/>
    <s v="15-07-25"/>
    <s v="18-07-25"/>
    <s v="CUST-7929"/>
    <s v="Aditi Sen"/>
    <x v="1"/>
    <x v="4"/>
    <s v="Tamil Nadu"/>
    <s v="Chennai"/>
    <x v="2"/>
    <x v="12"/>
    <s v="Smart Machines 951"/>
    <x v="2"/>
    <s v="anomaly"/>
    <n v="3"/>
    <n v="0.1"/>
    <x v="803"/>
    <x v="803"/>
    <x v="803"/>
    <x v="440"/>
    <s v="18-07-25"/>
    <x v="0"/>
    <x v="2"/>
    <s v=" "/>
    <n v="3"/>
    <x v="0"/>
  </r>
  <r>
    <n v="10671.19"/>
    <x v="3"/>
    <x v="2"/>
    <m/>
    <x v="831"/>
    <s v="04-03-25"/>
    <s v="03-04-25"/>
    <s v="CUST-1106"/>
    <s v="Diya Patel"/>
    <x v="3"/>
    <x v="4"/>
    <s v="Haryana"/>
    <s v="Gurugram"/>
    <x v="1"/>
    <x v="4"/>
    <s v="Smart Chairs 794"/>
    <x v="2"/>
    <s v="  "/>
    <n v="30"/>
    <n v="0.15"/>
    <x v="804"/>
    <x v="804"/>
    <x v="804"/>
    <x v="248"/>
    <s v="03-04-25"/>
    <x v="10"/>
    <x v="2"/>
    <s v="anomaly"/>
    <n v="30"/>
    <x v="0"/>
  </r>
  <r>
    <n v="10879.46"/>
    <x v="0"/>
    <x v="0"/>
    <m/>
    <x v="832"/>
    <s v="26-05-25"/>
    <s v="28-05-25"/>
    <s v="CUST-9557"/>
    <s v="Kabir Singh"/>
    <x v="1"/>
    <x v="2"/>
    <s v="Andhra Pradesh"/>
    <s v="Vijayawada"/>
    <x v="2"/>
    <x v="11"/>
    <s v="Max Phones 919"/>
    <x v="0"/>
    <s v="anomaly"/>
    <n v="2"/>
    <n v="0.05"/>
    <x v="805"/>
    <x v="805"/>
    <x v="805"/>
    <x v="185"/>
    <s v="28-05-25"/>
    <x v="4"/>
    <x v="2"/>
    <s v=" "/>
    <n v="2"/>
    <x v="0"/>
  </r>
  <r>
    <n v="5586.63"/>
    <x v="0"/>
    <x v="0"/>
    <m/>
    <x v="833"/>
    <s v="04-06-24"/>
    <s v="06-04-24"/>
    <s v="CUST-2689"/>
    <s v="Rahul Verma"/>
    <x v="3"/>
    <x v="1"/>
    <s v="West Bengal"/>
    <s v="Kolkata"/>
    <x v="1"/>
    <x v="10"/>
    <s v="Basic Bookcases 499"/>
    <x v="2"/>
    <s v="anomaly"/>
    <n v="-59"/>
    <n v="0"/>
    <x v="806"/>
    <x v="806"/>
    <x v="806"/>
    <x v="441"/>
    <s v="06-04-24"/>
    <x v="11"/>
    <x v="0"/>
    <s v=" "/>
    <n v="-59"/>
    <x v="0"/>
  </r>
  <r>
    <n v="1279.79"/>
    <x v="0"/>
    <x v="0"/>
    <m/>
    <x v="834"/>
    <s v="18-10-24"/>
    <s v="22-10-24"/>
    <s v="CUST-2879"/>
    <s v="Aarav Sharma"/>
    <x v="3"/>
    <x v="2"/>
    <s v="Telangana"/>
    <s v="Hyderabad"/>
    <x v="0"/>
    <x v="2"/>
    <s v="Basic Art 143"/>
    <x v="2"/>
    <s v="anomaly"/>
    <n v="4"/>
    <n v="0"/>
    <x v="807"/>
    <x v="807"/>
    <x v="807"/>
    <x v="442"/>
    <s v="22-10-24"/>
    <x v="5"/>
    <x v="0"/>
    <s v=" "/>
    <n v="4"/>
    <x v="0"/>
  </r>
  <r>
    <n v="4365.67"/>
    <x v="0"/>
    <x v="0"/>
    <m/>
    <x v="835"/>
    <s v="invalid date"/>
    <s v="04-10-25"/>
    <s v="CUST-5150"/>
    <s v="Priya Menon"/>
    <x v="1"/>
    <x v="1"/>
    <s v="Assam"/>
    <s v="Guwahati"/>
    <x v="2"/>
    <x v="11"/>
    <s v="Prime Phones 338"/>
    <x v="0"/>
    <s v="Invalid"/>
    <s v="invalid date"/>
    <n v="0.05"/>
    <x v="808"/>
    <x v="808"/>
    <x v="808"/>
    <x v="1"/>
    <s v="04-10-25"/>
    <x v="1"/>
    <x v="1"/>
    <s v="Invalid"/>
    <s v="invalid date"/>
    <x v="0"/>
  </r>
  <r>
    <n v="223.36"/>
    <x v="0"/>
    <x v="0"/>
    <m/>
    <x v="836"/>
    <s v="15-12-24"/>
    <s v="18-12-24"/>
    <s v="CUST-9776"/>
    <s v="Isha Nair"/>
    <x v="1"/>
    <x v="0"/>
    <s v="Rajasthan"/>
    <s v="Jaipur"/>
    <x v="0"/>
    <x v="7"/>
    <s v="Smart Labels 814"/>
    <x v="0"/>
    <s v="anomaly"/>
    <n v="3"/>
    <n v="0"/>
    <x v="809"/>
    <x v="809"/>
    <x v="809"/>
    <x v="315"/>
    <s v="18-12-24"/>
    <x v="8"/>
    <x v="0"/>
    <s v=" "/>
    <n v="3"/>
    <x v="0"/>
  </r>
  <r>
    <n v="2859.3"/>
    <x v="0"/>
    <x v="0"/>
    <m/>
    <x v="837"/>
    <s v="27-09-25"/>
    <s v="invalid date"/>
    <s v="CUST-2551"/>
    <s v="Karan Malhotra"/>
    <x v="3"/>
    <x v="3"/>
    <s v="Maharashtra"/>
    <s v="Mumbai"/>
    <x v="0"/>
    <x v="0"/>
    <s v="Prime Paper 812"/>
    <x v="2"/>
    <s v="Invalid"/>
    <s v="invalid date"/>
    <n v="0.25"/>
    <x v="810"/>
    <x v="810"/>
    <x v="810"/>
    <x v="66"/>
    <s v="invalid date"/>
    <x v="7"/>
    <x v="2"/>
    <s v="Invalid"/>
    <s v="invalid date"/>
    <x v="0"/>
  </r>
  <r>
    <n v="636.54999999999995"/>
    <x v="0"/>
    <x v="2"/>
    <m/>
    <x v="838"/>
    <s v="04-03-25"/>
    <s v="07-04-25"/>
    <s v="CUST-4708"/>
    <s v="Ananya Rao"/>
    <x v="1"/>
    <x v="3"/>
    <s v="Goa"/>
    <s v="Panaji"/>
    <x v="0"/>
    <x v="0"/>
    <s v="Pro Paper 355"/>
    <x v="1"/>
    <s v="anomaly"/>
    <n v="34"/>
    <n v="0"/>
    <x v="811"/>
    <x v="811"/>
    <x v="811"/>
    <x v="248"/>
    <s v="07-04-25"/>
    <x v="10"/>
    <x v="2"/>
    <s v=" "/>
    <n v="34"/>
    <x v="0"/>
  </r>
  <r>
    <n v="1632.18"/>
    <x v="0"/>
    <x v="0"/>
    <m/>
    <x v="839"/>
    <s v="invalid date"/>
    <s v="22-09-24"/>
    <s v="CUST-8206"/>
    <s v="Rohan Mehta"/>
    <x v="3"/>
    <x v="1"/>
    <s v="Odisha"/>
    <s v="Bhubaneswar"/>
    <x v="2"/>
    <x v="11"/>
    <s v="Basic Phones 398"/>
    <x v="3"/>
    <s v="Invalid"/>
    <s v="invalid date"/>
    <n v="0.1"/>
    <x v="812"/>
    <x v="812"/>
    <x v="812"/>
    <x v="1"/>
    <s v="22-09-24"/>
    <x v="1"/>
    <x v="1"/>
    <s v="Invalid"/>
    <s v="invalid date"/>
    <x v="0"/>
  </r>
  <r>
    <n v="1655.76"/>
    <x v="0"/>
    <x v="0"/>
    <m/>
    <x v="840"/>
    <s v="19-09-25"/>
    <s v="19-09-25"/>
    <s v="CUST-1297"/>
    <s v="Neha Gupta"/>
    <x v="3"/>
    <x v="0"/>
    <s v="Delhi"/>
    <s v="New Delhi"/>
    <x v="1"/>
    <x v="4"/>
    <s v="Classic Chairs 204"/>
    <x v="1"/>
    <s v="  "/>
    <n v="0"/>
    <n v="0"/>
    <x v="813"/>
    <x v="813"/>
    <x v="813"/>
    <x v="247"/>
    <s v="19-09-25"/>
    <x v="7"/>
    <x v="2"/>
    <s v=" "/>
    <n v="0"/>
    <x v="0"/>
  </r>
  <r>
    <n v="5250.7"/>
    <x v="0"/>
    <x v="0"/>
    <m/>
    <x v="841"/>
    <s v="06-02-25"/>
    <s v="12-02-25"/>
    <s v="CUST-7558"/>
    <s v="Ananya Rao"/>
    <x v="1"/>
    <x v="1"/>
    <s v="Bihar"/>
    <s v="Patna"/>
    <x v="0"/>
    <x v="2"/>
    <s v="Max Art 339"/>
    <x v="3"/>
    <s v="anomaly"/>
    <n v="6"/>
    <n v="0.25"/>
    <x v="814"/>
    <x v="814"/>
    <x v="814"/>
    <x v="414"/>
    <s v="12-02-25"/>
    <x v="6"/>
    <x v="2"/>
    <s v=" "/>
    <n v="6"/>
    <x v="0"/>
  </r>
  <r>
    <n v="2319.29"/>
    <x v="0"/>
    <x v="2"/>
    <m/>
    <x v="842"/>
    <s v="31-03-24"/>
    <s v="invalid date"/>
    <s v="CUST-1798"/>
    <s v="Kabir Singh"/>
    <x v="0"/>
    <x v="0"/>
    <s v="Haryana"/>
    <s v="Gurugram"/>
    <x v="2"/>
    <x v="12"/>
    <s v="Smart Machines 581"/>
    <x v="2"/>
    <s v="Invalid"/>
    <s v="invalid date"/>
    <n v="0.15"/>
    <x v="815"/>
    <x v="815"/>
    <x v="815"/>
    <x v="317"/>
    <s v="invalid date"/>
    <x v="10"/>
    <x v="0"/>
    <s v="Invalid"/>
    <s v="invalid date"/>
    <x v="0"/>
  </r>
  <r>
    <n v="11989.58"/>
    <x v="0"/>
    <x v="0"/>
    <m/>
    <x v="843"/>
    <s v="18-07-25"/>
    <s v="25-07-25"/>
    <s v="CUST-7333"/>
    <s v="Priya Menon"/>
    <x v="1"/>
    <x v="0"/>
    <s v="Uttar Pradesh"/>
    <s v="Noida"/>
    <x v="2"/>
    <x v="11"/>
    <s v="Prime Phones 482"/>
    <x v="2"/>
    <s v="anomaly"/>
    <n v="7"/>
    <s v="invalid"/>
    <x v="2"/>
    <x v="2"/>
    <x v="2"/>
    <x v="325"/>
    <s v="25-07-25"/>
    <x v="0"/>
    <x v="2"/>
    <s v=" "/>
    <n v="7"/>
    <x v="0"/>
  </r>
  <r>
    <n v="1298.81"/>
    <x v="0"/>
    <x v="0"/>
    <m/>
    <x v="844"/>
    <s v="20-01-25"/>
    <s v="25-01-25"/>
    <s v="CUST-2086"/>
    <s v="Aditi Sen"/>
    <x v="3"/>
    <x v="3"/>
    <s v="Goa"/>
    <s v="Panaji"/>
    <x v="0"/>
    <x v="2"/>
    <s v="Pro Art 588"/>
    <x v="2"/>
    <s v="anomaly"/>
    <n v="5"/>
    <n v="0"/>
    <x v="816"/>
    <x v="816"/>
    <x v="816"/>
    <x v="443"/>
    <s v="25-01-25"/>
    <x v="9"/>
    <x v="2"/>
    <s v=" "/>
    <n v="5"/>
    <x v="0"/>
  </r>
  <r>
    <n v="7251.97"/>
    <x v="2"/>
    <x v="2"/>
    <m/>
    <x v="845"/>
    <s v="23-02-24"/>
    <s v="27-02-24"/>
    <s v="CUST-2367"/>
    <s v="Karan Malhotra"/>
    <x v="0"/>
    <x v="1"/>
    <s v="Odisha"/>
    <s v="Bhubaneswar"/>
    <x v="1"/>
    <x v="1"/>
    <s v="Eco Tables 792"/>
    <x v="2"/>
    <s v="anomaly"/>
    <n v="4"/>
    <n v="0.25"/>
    <x v="817"/>
    <x v="817"/>
    <x v="817"/>
    <x v="301"/>
    <s v="27-02-24"/>
    <x v="6"/>
    <x v="0"/>
    <s v=" "/>
    <n v="4"/>
    <x v="0"/>
  </r>
  <r>
    <n v="2374.36"/>
    <x v="2"/>
    <x v="2"/>
    <m/>
    <x v="846"/>
    <s v="14-04-24"/>
    <s v="22-04-24"/>
    <s v="CUST-6522"/>
    <s v="Priya Menon"/>
    <x v="1"/>
    <x v="3"/>
    <s v="Gujarat"/>
    <s v="Ahmedabad"/>
    <x v="1"/>
    <x v="10"/>
    <s v="Prime Bookcases 177"/>
    <x v="3"/>
    <s v="anomaly"/>
    <n v="8"/>
    <n v="0"/>
    <x v="818"/>
    <x v="818"/>
    <x v="818"/>
    <x v="423"/>
    <s v="22-04-24"/>
    <x v="12"/>
    <x v="0"/>
    <s v=" "/>
    <n v="8"/>
    <x v="0"/>
  </r>
  <r>
    <n v="93.94"/>
    <x v="0"/>
    <x v="0"/>
    <m/>
    <x v="847"/>
    <s v="20-05-25"/>
    <s v="invalid date"/>
    <s v="CUST-8329"/>
    <s v="Diya Patel"/>
    <x v="3"/>
    <x v="1"/>
    <s v="Odisha"/>
    <s v="Bhubaneswar"/>
    <x v="1"/>
    <x v="1"/>
    <s v="Pro Tables 828"/>
    <x v="0"/>
    <s v="Invalid"/>
    <s v="invalid date"/>
    <n v="0.2"/>
    <x v="819"/>
    <x v="819"/>
    <x v="819"/>
    <x v="10"/>
    <s v="invalid date"/>
    <x v="4"/>
    <x v="2"/>
    <s v="Invalid"/>
    <s v="invalid date"/>
    <x v="0"/>
  </r>
  <r>
    <n v="224.7"/>
    <x v="0"/>
    <x v="0"/>
    <m/>
    <x v="848"/>
    <s v="27-05-25"/>
    <s v="29-05-25"/>
    <s v="CUST-4426"/>
    <s v="Rahul Verma"/>
    <x v="3"/>
    <x v="2"/>
    <s v="Tamil Nadu"/>
    <s v="Chennai"/>
    <x v="1"/>
    <x v="3"/>
    <s v="Elite Furnishings 480"/>
    <x v="0"/>
    <s v="anomaly"/>
    <n v="2"/>
    <n v="0.25"/>
    <x v="820"/>
    <x v="820"/>
    <x v="820"/>
    <x v="224"/>
    <s v="29-05-25"/>
    <x v="4"/>
    <x v="2"/>
    <s v=" "/>
    <n v="2"/>
    <x v="0"/>
  </r>
  <r>
    <n v="396.58"/>
    <x v="0"/>
    <x v="0"/>
    <m/>
    <x v="849"/>
    <s v="06-03-24"/>
    <s v="12-03-24"/>
    <s v="CUST-3360"/>
    <s v="Isha Nair"/>
    <x v="3"/>
    <x v="3"/>
    <s v="Gujarat"/>
    <s v="Ahmedabad"/>
    <x v="1"/>
    <x v="10"/>
    <s v="Prime Bookcases 755"/>
    <x v="3"/>
    <s v="anomaly"/>
    <n v="6"/>
    <n v="0.2"/>
    <x v="821"/>
    <x v="821"/>
    <x v="821"/>
    <x v="444"/>
    <s v="12-03-24"/>
    <x v="10"/>
    <x v="0"/>
    <s v=" "/>
    <n v="6"/>
    <x v="0"/>
  </r>
  <r>
    <n v="1049.17"/>
    <x v="0"/>
    <x v="0"/>
    <m/>
    <x v="850"/>
    <s v="30-06-24"/>
    <s v="03-07-24"/>
    <s v="CUST-2623"/>
    <s v="Priya Menon"/>
    <x v="3"/>
    <x v="1"/>
    <s v="West Bengal"/>
    <s v="Kolkata"/>
    <x v="0"/>
    <x v="0"/>
    <s v="Prime Paper 317"/>
    <x v="2"/>
    <s v="  "/>
    <n v="3"/>
    <n v="0"/>
    <x v="822"/>
    <x v="822"/>
    <x v="822"/>
    <x v="267"/>
    <s v="03-07-24"/>
    <x v="11"/>
    <x v="0"/>
    <s v="anomaly"/>
    <n v="3"/>
    <x v="0"/>
  </r>
  <r>
    <n v="267.33"/>
    <x v="0"/>
    <x v="0"/>
    <m/>
    <x v="851"/>
    <s v="26-03-24"/>
    <s v="01-04-24"/>
    <s v="CUST-3175"/>
    <s v="Karan Malhotra"/>
    <x v="1"/>
    <x v="3"/>
    <s v="Gujarat"/>
    <s v="Ahmedabad"/>
    <x v="2"/>
    <x v="5"/>
    <s v="Classic Accessories 933"/>
    <x v="2"/>
    <s v="  "/>
    <n v="6"/>
    <n v="0.2"/>
    <x v="823"/>
    <x v="823"/>
    <x v="823"/>
    <x v="445"/>
    <s v="01-04-24"/>
    <x v="10"/>
    <x v="0"/>
    <s v="anomaly"/>
    <n v="6"/>
    <x v="0"/>
  </r>
  <r>
    <n v="9477.39"/>
    <x v="2"/>
    <x v="1"/>
    <m/>
    <x v="852"/>
    <s v="01-04-24"/>
    <s v="08-04-24"/>
    <s v="CUST-9630"/>
    <s v="Ananya Rao"/>
    <x v="0"/>
    <x v="1"/>
    <s v="Assam"/>
    <s v="Guwahati"/>
    <x v="1"/>
    <x v="1"/>
    <s v="Smart Tables 513"/>
    <x v="0"/>
    <s v="anomaly"/>
    <n v="7"/>
    <n v="0.15"/>
    <x v="824"/>
    <x v="824"/>
    <x v="824"/>
    <x v="446"/>
    <s v="08-04-24"/>
    <x v="12"/>
    <x v="0"/>
    <s v=" "/>
    <n v="7"/>
    <x v="0"/>
  </r>
  <r>
    <n v="595.42999999999995"/>
    <x v="0"/>
    <x v="0"/>
    <m/>
    <x v="853"/>
    <s v="16-05-25"/>
    <s v="invalid date"/>
    <s v="CUST-8274"/>
    <s v="Arjun Bose"/>
    <x v="2"/>
    <x v="2"/>
    <s v="Tamil Nadu"/>
    <s v="Chennai"/>
    <x v="2"/>
    <x v="5"/>
    <s v="Elite Accessories 708"/>
    <x v="1"/>
    <s v="Invalid"/>
    <s v="invalid date"/>
    <n v="0.2"/>
    <x v="825"/>
    <x v="825"/>
    <x v="825"/>
    <x v="447"/>
    <s v="invalid date"/>
    <x v="4"/>
    <x v="2"/>
    <s v="Invalid"/>
    <s v="invalid date"/>
    <x v="0"/>
  </r>
  <r>
    <n v="3242.11"/>
    <x v="0"/>
    <x v="0"/>
    <m/>
    <x v="854"/>
    <s v="invalid date"/>
    <s v="04-02-25"/>
    <s v="CUST-2514"/>
    <s v="Priya Menon"/>
    <x v="0"/>
    <x v="2"/>
    <s v="Karnataka"/>
    <s v="Bengaluru"/>
    <x v="1"/>
    <x v="10"/>
    <s v="Max Bookcases 381"/>
    <x v="0"/>
    <s v="Invalid"/>
    <s v="invalid date"/>
    <n v="0.05"/>
    <x v="826"/>
    <x v="826"/>
    <x v="826"/>
    <x v="1"/>
    <s v="04-02-25"/>
    <x v="1"/>
    <x v="1"/>
    <s v="Invalid"/>
    <s v="invalid date"/>
    <x v="0"/>
  </r>
  <r>
    <n v="1009.27"/>
    <x v="0"/>
    <x v="0"/>
    <m/>
    <x v="855"/>
    <s v="25-07-24"/>
    <s v="02-08-24"/>
    <s v="CUST-2752"/>
    <s v="Rahul Verma"/>
    <x v="0"/>
    <x v="0"/>
    <s v="Rajasthan"/>
    <s v="Jaipur"/>
    <x v="0"/>
    <x v="7"/>
    <s v="Classic Labels 215"/>
    <x v="0"/>
    <s v="  "/>
    <n v="8"/>
    <n v="0.25"/>
    <x v="827"/>
    <x v="827"/>
    <x v="827"/>
    <x v="448"/>
    <s v="02-08-24"/>
    <x v="0"/>
    <x v="0"/>
    <s v="anomaly"/>
    <n v="8"/>
    <x v="0"/>
  </r>
  <r>
    <n v="218.75"/>
    <x v="3"/>
    <x v="1"/>
    <m/>
    <x v="856"/>
    <s v="12-06-24"/>
    <s v="19-06-24"/>
    <s v="CUST-5647"/>
    <s v="Rohan Mehta"/>
    <x v="3"/>
    <x v="2"/>
    <s v="Tamil Nadu"/>
    <s v="Chennai"/>
    <x v="0"/>
    <x v="8"/>
    <s v="Classic Storage 918"/>
    <x v="3"/>
    <s v="anomaly"/>
    <n v="7"/>
    <s v="invalid"/>
    <x v="2"/>
    <x v="2"/>
    <x v="2"/>
    <x v="96"/>
    <s v="19-06-24"/>
    <x v="11"/>
    <x v="0"/>
    <s v=" "/>
    <n v="7"/>
    <x v="0"/>
  </r>
  <r>
    <n v="2013.37"/>
    <x v="0"/>
    <x v="0"/>
    <m/>
    <x v="857"/>
    <s v="04-06-24"/>
    <s v="04-06-24"/>
    <s v="CUST-8575"/>
    <s v="Sneha Kapoor"/>
    <x v="3"/>
    <x v="2"/>
    <s v="Kerala"/>
    <s v="Kochi"/>
    <x v="0"/>
    <x v="8"/>
    <s v="Max Storage 223"/>
    <x v="2"/>
    <s v="  "/>
    <n v="0"/>
    <n v="0.25"/>
    <x v="828"/>
    <x v="828"/>
    <x v="828"/>
    <x v="441"/>
    <s v="04-06-24"/>
    <x v="11"/>
    <x v="0"/>
    <s v=" "/>
    <n v="0"/>
    <x v="0"/>
  </r>
  <r>
    <n v="4494.6400000000003"/>
    <x v="0"/>
    <x v="0"/>
    <m/>
    <x v="858"/>
    <s v="05-02-24"/>
    <s v="09-05-24"/>
    <s v="CUST-9576"/>
    <s v="Arjun Bose"/>
    <x v="0"/>
    <x v="1"/>
    <s v="Odisha"/>
    <s v="Bhubaneswar"/>
    <x v="2"/>
    <x v="5"/>
    <s v="Basic Accessories 602"/>
    <x v="0"/>
    <s v="anomaly"/>
    <n v="94"/>
    <n v="0"/>
    <x v="829"/>
    <x v="829"/>
    <x v="829"/>
    <x v="377"/>
    <s v="09-05-24"/>
    <x v="6"/>
    <x v="0"/>
    <s v=" "/>
    <n v="94"/>
    <x v="0"/>
  </r>
  <r>
    <n v="8792.7000000000007"/>
    <x v="0"/>
    <x v="0"/>
    <m/>
    <x v="859"/>
    <s v="invalid date"/>
    <s v="01-11-24"/>
    <s v="CUST-2395"/>
    <s v="Aditi Sen"/>
    <x v="2"/>
    <x v="2"/>
    <s v="Tamil Nadu"/>
    <s v="Chennai"/>
    <x v="2"/>
    <x v="11"/>
    <s v="Elite Phones 394"/>
    <x v="3"/>
    <s v="Invalid"/>
    <s v="invalid date"/>
    <n v="0.05"/>
    <x v="830"/>
    <x v="830"/>
    <x v="830"/>
    <x v="1"/>
    <s v="01-11-24"/>
    <x v="1"/>
    <x v="1"/>
    <s v="Invalid"/>
    <s v="invalid date"/>
    <x v="0"/>
  </r>
  <r>
    <n v="1877.95"/>
    <x v="0"/>
    <x v="0"/>
    <m/>
    <x v="860"/>
    <s v="02-02-24"/>
    <s v="04-02-24"/>
    <s v="CUST-8941"/>
    <s v="Vikram Iyer"/>
    <x v="3"/>
    <x v="0"/>
    <s v="Uttar Pradesh"/>
    <s v="Noida"/>
    <x v="0"/>
    <x v="8"/>
    <s v="Classic Storage 194"/>
    <x v="0"/>
    <s v="anomaly"/>
    <n v="2"/>
    <n v="0.05"/>
    <x v="831"/>
    <x v="831"/>
    <x v="831"/>
    <x v="426"/>
    <s v="04-02-24"/>
    <x v="6"/>
    <x v="0"/>
    <s v=" "/>
    <n v="2"/>
    <x v="0"/>
  </r>
  <r>
    <n v="4666.7700000000004"/>
    <x v="0"/>
    <x v="0"/>
    <m/>
    <x v="861"/>
    <s v="08-03-25"/>
    <s v="09-03-25"/>
    <s v="CUST-9448"/>
    <s v="Priya Menon"/>
    <x v="3"/>
    <x v="0"/>
    <s v="Delhi"/>
    <s v="New Delhi"/>
    <x v="1"/>
    <x v="3"/>
    <s v="Smart Furnishings 892"/>
    <x v="1"/>
    <s v="anomaly"/>
    <n v="1"/>
    <n v="0.2"/>
    <x v="832"/>
    <x v="832"/>
    <x v="832"/>
    <x v="449"/>
    <s v="09-03-25"/>
    <x v="10"/>
    <x v="2"/>
    <s v=" "/>
    <n v="1"/>
    <x v="0"/>
  </r>
  <r>
    <n v="2177.8200000000002"/>
    <x v="0"/>
    <x v="1"/>
    <m/>
    <x v="862"/>
    <s v="26-03-25"/>
    <s v="31-03-25"/>
    <s v="CUST-8354"/>
    <s v="Priya Menon"/>
    <x v="1"/>
    <x v="1"/>
    <s v="Jharkhand"/>
    <s v="Ranchi"/>
    <x v="0"/>
    <x v="9"/>
    <s v="Pro Binders 488"/>
    <x v="2"/>
    <s v="anomaly"/>
    <n v="5"/>
    <n v="0"/>
    <x v="833"/>
    <x v="833"/>
    <x v="833"/>
    <x v="450"/>
    <s v="31-03-25"/>
    <x v="10"/>
    <x v="2"/>
    <s v=" "/>
    <n v="5"/>
    <x v="0"/>
  </r>
  <r>
    <n v="2045.78"/>
    <x v="0"/>
    <x v="0"/>
    <m/>
    <x v="863"/>
    <s v="09-06-25"/>
    <s v="09-08-25"/>
    <s v="CUST-2200"/>
    <s v="Aarav Sharma"/>
    <x v="3"/>
    <x v="3"/>
    <s v="Madhya Pradesh"/>
    <s v="Indore"/>
    <x v="1"/>
    <x v="3"/>
    <s v="Prime Furnishings 679"/>
    <x v="1"/>
    <s v="anomaly"/>
    <n v="61"/>
    <n v="0"/>
    <x v="834"/>
    <x v="834"/>
    <x v="834"/>
    <x v="257"/>
    <s v="09-08-25"/>
    <x v="11"/>
    <x v="2"/>
    <s v=" "/>
    <n v="61"/>
    <x v="0"/>
  </r>
  <r>
    <n v="2402.9899999999998"/>
    <x v="0"/>
    <x v="0"/>
    <m/>
    <x v="864"/>
    <s v="02-09-25"/>
    <s v="05-09-25"/>
    <s v="CUST-1178"/>
    <s v="Vikram Iyer"/>
    <x v="0"/>
    <x v="2"/>
    <s v="Tamil Nadu"/>
    <s v="Chennai"/>
    <x v="2"/>
    <x v="11"/>
    <s v="Smart Phones 158"/>
    <x v="2"/>
    <s v="anomaly"/>
    <n v="3"/>
    <n v="0"/>
    <x v="835"/>
    <x v="835"/>
    <x v="835"/>
    <x v="451"/>
    <s v="05-09-25"/>
    <x v="7"/>
    <x v="2"/>
    <s v=" "/>
    <n v="3"/>
    <x v="0"/>
  </r>
  <r>
    <n v="2326.0300000000002"/>
    <x v="0"/>
    <x v="0"/>
    <m/>
    <x v="865"/>
    <s v="06-02-25"/>
    <s v="14-02-25"/>
    <s v="CUST-8099"/>
    <s v="Kabir Singh"/>
    <x v="0"/>
    <x v="3"/>
    <s v="Maharashtra"/>
    <s v="Mumbai"/>
    <x v="0"/>
    <x v="7"/>
    <s v="Classic Labels 218"/>
    <x v="0"/>
    <s v="anomaly"/>
    <n v="8"/>
    <n v="0"/>
    <x v="836"/>
    <x v="836"/>
    <x v="836"/>
    <x v="414"/>
    <s v="14-02-25"/>
    <x v="6"/>
    <x v="2"/>
    <s v=" "/>
    <n v="8"/>
    <x v="0"/>
  </r>
  <r>
    <n v="5544.48"/>
    <x v="2"/>
    <x v="1"/>
    <m/>
    <x v="866"/>
    <s v="invalid date"/>
    <s v="06-03-25"/>
    <s v="CUST-7596"/>
    <s v="Priya Menon"/>
    <x v="0"/>
    <x v="1"/>
    <s v="Bihar"/>
    <s v="Patna"/>
    <x v="1"/>
    <x v="10"/>
    <s v="Smart Bookcases 552"/>
    <x v="2"/>
    <s v="Invalid"/>
    <s v="invalid date"/>
    <n v="0.2"/>
    <x v="837"/>
    <x v="837"/>
    <x v="837"/>
    <x v="1"/>
    <s v="06-03-25"/>
    <x v="1"/>
    <x v="1"/>
    <s v="Invalid"/>
    <s v="invalid date"/>
    <x v="0"/>
  </r>
  <r>
    <n v="824.01"/>
    <x v="3"/>
    <x v="1"/>
    <m/>
    <x v="867"/>
    <s v="21-11-24"/>
    <s v="22-11-24"/>
    <s v="CUST-2328"/>
    <s v="Rahul Verma"/>
    <x v="3"/>
    <x v="2"/>
    <s v="Andhra Pradesh"/>
    <s v="Vijayawada"/>
    <x v="2"/>
    <x v="5"/>
    <s v="Eco Accessories 389"/>
    <x v="1"/>
    <s v="anomaly"/>
    <n v="1"/>
    <n v="0.25"/>
    <x v="838"/>
    <x v="838"/>
    <x v="838"/>
    <x v="452"/>
    <s v="22-11-24"/>
    <x v="3"/>
    <x v="0"/>
    <s v=" "/>
    <n v="1"/>
    <x v="0"/>
  </r>
  <r>
    <n v="829.58"/>
    <x v="0"/>
    <x v="0"/>
    <m/>
    <x v="868"/>
    <s v="11-04-25"/>
    <s v="15-04-25"/>
    <s v="CUST-8483"/>
    <s v="Vikram Iyer"/>
    <x v="3"/>
    <x v="2"/>
    <s v="Karnataka"/>
    <s v="Bengaluru"/>
    <x v="0"/>
    <x v="8"/>
    <s v="Elite Storage 187"/>
    <x v="1"/>
    <s v="anomaly"/>
    <n v="4"/>
    <n v="0.05"/>
    <x v="839"/>
    <x v="839"/>
    <x v="839"/>
    <x v="109"/>
    <s v="15-04-25"/>
    <x v="12"/>
    <x v="2"/>
    <s v=" "/>
    <n v="4"/>
    <x v="0"/>
  </r>
  <r>
    <n v="1927.51"/>
    <x v="0"/>
    <x v="0"/>
    <m/>
    <x v="869"/>
    <s v="03-06-25"/>
    <s v="07-03-25"/>
    <s v="CUST-2388"/>
    <s v="Rohan Mehta"/>
    <x v="3"/>
    <x v="4"/>
    <s v="Delhi"/>
    <s v="New Delhi"/>
    <x v="1"/>
    <x v="4"/>
    <s v="Max Chairs 487"/>
    <x v="1"/>
    <s v="anomaly"/>
    <n v="-88"/>
    <n v="0.1"/>
    <x v="840"/>
    <x v="840"/>
    <x v="840"/>
    <x v="453"/>
    <s v="07-03-25"/>
    <x v="11"/>
    <x v="2"/>
    <s v=" "/>
    <n v="-88"/>
    <x v="0"/>
  </r>
  <r>
    <n v="4982.17"/>
    <x v="0"/>
    <x v="1"/>
    <m/>
    <x v="870"/>
    <s v="06-06-25"/>
    <s v="07-06-25"/>
    <s v="CUST-7054"/>
    <s v="Vikram Iyer"/>
    <x v="2"/>
    <x v="3"/>
    <s v="Goa"/>
    <s v="Panaji"/>
    <x v="1"/>
    <x v="1"/>
    <s v="Max Tables 281"/>
    <x v="3"/>
    <s v="anomaly"/>
    <n v="1"/>
    <n v="0.15"/>
    <x v="841"/>
    <x v="841"/>
    <x v="841"/>
    <x v="258"/>
    <s v="07-06-25"/>
    <x v="11"/>
    <x v="2"/>
    <s v=" "/>
    <n v="1"/>
    <x v="0"/>
  </r>
  <r>
    <n v="7217.45"/>
    <x v="1"/>
    <x v="1"/>
    <m/>
    <x v="871"/>
    <s v="invalid date"/>
    <s v="22-02-24"/>
    <s v="CUST-4375"/>
    <s v="Neha Gupta"/>
    <x v="1"/>
    <x v="2"/>
    <s v="Telangana"/>
    <s v="Hyderabad"/>
    <x v="2"/>
    <x v="5"/>
    <s v="Pro Accessories 325"/>
    <x v="2"/>
    <s v="Invalid"/>
    <s v="invalid date"/>
    <n v="0"/>
    <x v="842"/>
    <x v="842"/>
    <x v="842"/>
    <x v="1"/>
    <s v="22-02-24"/>
    <x v="1"/>
    <x v="1"/>
    <s v="Invalid"/>
    <s v="invalid date"/>
    <x v="0"/>
  </r>
  <r>
    <n v="3156.52"/>
    <x v="0"/>
    <x v="0"/>
    <m/>
    <x v="872"/>
    <s v="11-01-24"/>
    <s v="02-11-24"/>
    <s v="CUST-6262"/>
    <s v="Karan Malhotra"/>
    <x v="2"/>
    <x v="1"/>
    <s v="West Bengal"/>
    <s v="Kolkata"/>
    <x v="1"/>
    <x v="3"/>
    <s v="Prime Furnishings 178"/>
    <x v="3"/>
    <s v="  "/>
    <n v="296"/>
    <n v="0.2"/>
    <x v="843"/>
    <x v="843"/>
    <x v="843"/>
    <x v="454"/>
    <s v="02-11-24"/>
    <x v="9"/>
    <x v="0"/>
    <s v="anomaly"/>
    <n v="296"/>
    <x v="0"/>
  </r>
  <r>
    <n v="1854.05"/>
    <x v="0"/>
    <x v="0"/>
    <m/>
    <x v="873"/>
    <s v="01-02-25"/>
    <s v="08-02-25"/>
    <s v="CUST-8160"/>
    <s v="Aditi Sen"/>
    <x v="3"/>
    <x v="3"/>
    <s v="Gujarat"/>
    <s v="Ahmedabad"/>
    <x v="0"/>
    <x v="8"/>
    <s v="Elite Storage 144"/>
    <x v="0"/>
    <s v="anomaly"/>
    <n v="7"/>
    <n v="0.1"/>
    <x v="844"/>
    <x v="844"/>
    <x v="844"/>
    <x v="85"/>
    <s v="08-02-25"/>
    <x v="6"/>
    <x v="2"/>
    <s v=" "/>
    <n v="7"/>
    <x v="0"/>
  </r>
  <r>
    <n v="9118.91"/>
    <x v="0"/>
    <x v="0"/>
    <m/>
    <x v="874"/>
    <s v="15-07-25"/>
    <s v="16-07-25"/>
    <s v="CUST-8770"/>
    <s v="Vikram Iyer"/>
    <x v="1"/>
    <x v="3"/>
    <s v="Maharashtra"/>
    <s v="Mumbai"/>
    <x v="0"/>
    <x v="0"/>
    <s v="Elite Paper 309"/>
    <x v="3"/>
    <s v="anomaly"/>
    <n v="1"/>
    <n v="0.05"/>
    <x v="845"/>
    <x v="845"/>
    <x v="845"/>
    <x v="440"/>
    <s v="16-07-25"/>
    <x v="0"/>
    <x v="2"/>
    <s v=" "/>
    <n v="1"/>
    <x v="0"/>
  </r>
  <r>
    <n v="6901.84"/>
    <x v="0"/>
    <x v="0"/>
    <m/>
    <x v="875"/>
    <s v="10-08-24"/>
    <s v="08-11-24"/>
    <s v="CUST-6928"/>
    <s v="Mira Das"/>
    <x v="2"/>
    <x v="3"/>
    <s v="Maharashtra"/>
    <s v="Mumbai"/>
    <x v="2"/>
    <x v="6"/>
    <s v="Elite Copiers 752"/>
    <x v="2"/>
    <s v="  "/>
    <n v="90"/>
    <n v="0.2"/>
    <x v="846"/>
    <x v="846"/>
    <x v="846"/>
    <x v="67"/>
    <s v="08-11-24"/>
    <x v="2"/>
    <x v="0"/>
    <s v="anomaly"/>
    <n v="90"/>
    <x v="0"/>
  </r>
  <r>
    <n v="6352.75"/>
    <x v="0"/>
    <x v="0"/>
    <m/>
    <x v="876"/>
    <s v="invalid date"/>
    <s v="20-11-24"/>
    <s v="CUST-9044"/>
    <s v="Priya Menon"/>
    <x v="0"/>
    <x v="3"/>
    <s v="Rajasthan"/>
    <s v="Udaipur"/>
    <x v="1"/>
    <x v="4"/>
    <s v="Pro Chairs 316"/>
    <x v="2"/>
    <s v="Invalid"/>
    <s v="invalid date"/>
    <n v="0"/>
    <x v="847"/>
    <x v="847"/>
    <x v="847"/>
    <x v="1"/>
    <s v="20-11-24"/>
    <x v="1"/>
    <x v="1"/>
    <s v="Invalid"/>
    <s v="invalid date"/>
    <x v="0"/>
  </r>
  <r>
    <n v="951.17"/>
    <x v="0"/>
    <x v="0"/>
    <m/>
    <x v="877"/>
    <s v="26-08-25"/>
    <s v="03-09-25"/>
    <s v="CUST-7146"/>
    <s v="Aarav Sharma"/>
    <x v="0"/>
    <x v="3"/>
    <s v="Rajasthan"/>
    <s v="Udaipur"/>
    <x v="0"/>
    <x v="8"/>
    <s v="Max Storage 438"/>
    <x v="0"/>
    <s v="  "/>
    <n v="8"/>
    <n v="0.1"/>
    <x v="848"/>
    <x v="848"/>
    <x v="848"/>
    <x v="403"/>
    <s v="03-09-25"/>
    <x v="2"/>
    <x v="2"/>
    <s v="anomaly"/>
    <n v="8"/>
    <x v="0"/>
  </r>
  <r>
    <n v="2512.44"/>
    <x v="0"/>
    <x v="0"/>
    <m/>
    <x v="878"/>
    <s v="22-01-24"/>
    <s v="22-01-24"/>
    <s v="CUST-8534"/>
    <s v="Karan Malhotra"/>
    <x v="2"/>
    <x v="1"/>
    <s v="West Bengal"/>
    <s v="Kolkata"/>
    <x v="0"/>
    <x v="0"/>
    <s v="Basic Paper 904"/>
    <x v="2"/>
    <s v="  "/>
    <n v="0"/>
    <n v="0.05"/>
    <x v="849"/>
    <x v="849"/>
    <x v="849"/>
    <x v="144"/>
    <s v="22-01-24"/>
    <x v="9"/>
    <x v="0"/>
    <s v=" "/>
    <n v="0"/>
    <x v="0"/>
  </r>
  <r>
    <n v="1594.72"/>
    <x v="0"/>
    <x v="0"/>
    <m/>
    <x v="879"/>
    <s v="27-08-25"/>
    <s v="invalid date"/>
    <s v="CUST-4486"/>
    <s v="Ananya Rao"/>
    <x v="3"/>
    <x v="0"/>
    <s v="Uttar Pradesh"/>
    <s v="Noida"/>
    <x v="0"/>
    <x v="2"/>
    <s v="Smart Art 990"/>
    <x v="3"/>
    <s v="Invalid"/>
    <s v="invalid date"/>
    <n v="0.15"/>
    <x v="850"/>
    <x v="850"/>
    <x v="850"/>
    <x v="416"/>
    <s v="invalid date"/>
    <x v="2"/>
    <x v="2"/>
    <s v="Invalid"/>
    <s v="invalid date"/>
    <x v="0"/>
  </r>
  <r>
    <n v="2537.5100000000002"/>
    <x v="0"/>
    <x v="0"/>
    <m/>
    <x v="880"/>
    <s v="08-03-24"/>
    <s v="invalid date"/>
    <s v="CUST-5287"/>
    <s v="Aarav Sharma"/>
    <x v="1"/>
    <x v="4"/>
    <s v="Punjab"/>
    <s v="Ludhiana"/>
    <x v="1"/>
    <x v="4"/>
    <s v="Basic Chairs 327"/>
    <x v="2"/>
    <s v="Invalid"/>
    <s v="invalid date"/>
    <n v="0"/>
    <x v="851"/>
    <x v="851"/>
    <x v="851"/>
    <x v="455"/>
    <s v="invalid date"/>
    <x v="10"/>
    <x v="0"/>
    <s v="Invalid"/>
    <s v="invalid date"/>
    <x v="0"/>
  </r>
  <r>
    <n v="7562.87"/>
    <x v="0"/>
    <x v="0"/>
    <m/>
    <x v="881"/>
    <s v="01-12-24"/>
    <s v="05-12-24"/>
    <s v="CUST-3445"/>
    <s v="Ananya Rao"/>
    <x v="1"/>
    <x v="2"/>
    <s v="Andhra Pradesh"/>
    <s v="Vijayawada"/>
    <x v="2"/>
    <x v="6"/>
    <s v="Eco Copiers 987"/>
    <x v="0"/>
    <s v="anomaly"/>
    <n v="4"/>
    <n v="0.25"/>
    <x v="852"/>
    <x v="852"/>
    <x v="852"/>
    <x v="169"/>
    <s v="05-12-24"/>
    <x v="8"/>
    <x v="0"/>
    <s v=" "/>
    <n v="4"/>
    <x v="0"/>
  </r>
  <r>
    <n v="2755.27"/>
    <x v="2"/>
    <x v="2"/>
    <m/>
    <x v="882"/>
    <s v="02-02-25"/>
    <s v="02-10-25"/>
    <s v="CUST-4983"/>
    <s v="Sneha Kapoor"/>
    <x v="2"/>
    <x v="1"/>
    <s v="Bihar"/>
    <s v="Patna"/>
    <x v="2"/>
    <x v="5"/>
    <s v="Basic Accessories 607"/>
    <x v="3"/>
    <s v="anomaly"/>
    <n v="242"/>
    <n v="0"/>
    <x v="853"/>
    <x v="853"/>
    <x v="853"/>
    <x v="387"/>
    <s v="02-10-25"/>
    <x v="6"/>
    <x v="2"/>
    <s v=" "/>
    <n v="242"/>
    <x v="0"/>
  </r>
  <r>
    <n v="517.26"/>
    <x v="0"/>
    <x v="0"/>
    <m/>
    <x v="883"/>
    <s v="28-04-25"/>
    <s v="05-01-25"/>
    <s v="CUST-2597"/>
    <s v="Aarav Sharma"/>
    <x v="1"/>
    <x v="3"/>
    <s v="Goa"/>
    <s v="Panaji"/>
    <x v="0"/>
    <x v="8"/>
    <s v="Classic Storage 211"/>
    <x v="1"/>
    <s v="  "/>
    <n v="-113"/>
    <n v="0"/>
    <x v="854"/>
    <x v="854"/>
    <x v="854"/>
    <x v="456"/>
    <s v="05-01-25"/>
    <x v="12"/>
    <x v="2"/>
    <s v="anomaly"/>
    <n v="-113"/>
    <x v="0"/>
  </r>
  <r>
    <n v="1155.72"/>
    <x v="0"/>
    <x v="0"/>
    <m/>
    <x v="884"/>
    <s v="18-01-25"/>
    <s v="25-01-25"/>
    <s v="CUST-7505"/>
    <s v="Neha Gupta"/>
    <x v="3"/>
    <x v="2"/>
    <s v="Karnataka"/>
    <s v="Bengaluru"/>
    <x v="0"/>
    <x v="8"/>
    <s v="Eco Storage 783"/>
    <x v="1"/>
    <s v="anomaly"/>
    <n v="7"/>
    <n v="0.15"/>
    <x v="855"/>
    <x v="855"/>
    <x v="855"/>
    <x v="457"/>
    <s v="25-01-25"/>
    <x v="9"/>
    <x v="2"/>
    <s v=" "/>
    <n v="7"/>
    <x v="0"/>
  </r>
  <r>
    <n v="467.42"/>
    <x v="0"/>
    <x v="0"/>
    <m/>
    <x v="885"/>
    <s v="05-01-24"/>
    <s v="05-01-24"/>
    <s v="CUST-3446"/>
    <s v="Diya Patel"/>
    <x v="0"/>
    <x v="0"/>
    <s v="Rajasthan"/>
    <s v="Jaipur"/>
    <x v="1"/>
    <x v="1"/>
    <s v="Pro Tables 866"/>
    <x v="3"/>
    <s v="  "/>
    <n v="0"/>
    <n v="0.25"/>
    <x v="856"/>
    <x v="856"/>
    <x v="856"/>
    <x v="458"/>
    <s v="05-01-24"/>
    <x v="9"/>
    <x v="0"/>
    <s v=" "/>
    <n v="0"/>
    <x v="0"/>
  </r>
  <r>
    <n v="6023.38"/>
    <x v="0"/>
    <x v="1"/>
    <m/>
    <x v="886"/>
    <s v="26-04-25"/>
    <s v="03-05-25"/>
    <s v="CUST-3549"/>
    <s v="Arjun Bose"/>
    <x v="3"/>
    <x v="2"/>
    <s v="Tamil Nadu"/>
    <s v="Chennai"/>
    <x v="2"/>
    <x v="5"/>
    <s v="Max Accessories 541"/>
    <x v="2"/>
    <s v="  "/>
    <n v="7"/>
    <n v="0.15"/>
    <x v="857"/>
    <x v="857"/>
    <x v="857"/>
    <x v="459"/>
    <s v="03-05-25"/>
    <x v="12"/>
    <x v="2"/>
    <s v="anomaly"/>
    <n v="7"/>
    <x v="0"/>
  </r>
  <r>
    <n v="6546.24"/>
    <x v="0"/>
    <x v="0"/>
    <m/>
    <x v="887"/>
    <s v="12-06-24"/>
    <s v="18-06-24"/>
    <s v="CUST-2795"/>
    <s v="Aarav Sharma"/>
    <x v="1"/>
    <x v="2"/>
    <s v="Andhra Pradesh"/>
    <s v="Vijayawada"/>
    <x v="0"/>
    <x v="2"/>
    <s v="Prime Art 596"/>
    <x v="3"/>
    <s v="anomaly"/>
    <n v="6"/>
    <n v="0"/>
    <x v="858"/>
    <x v="858"/>
    <x v="858"/>
    <x v="96"/>
    <s v="18-06-24"/>
    <x v="11"/>
    <x v="0"/>
    <s v=" "/>
    <n v="6"/>
    <x v="0"/>
  </r>
  <r>
    <n v="1905.54"/>
    <x v="1"/>
    <x v="1"/>
    <m/>
    <x v="888"/>
    <s v="06-08-25"/>
    <s v="07-08-25"/>
    <s v="CUST-1081"/>
    <s v="Rahul Verma"/>
    <x v="1"/>
    <x v="3"/>
    <s v="Maharashtra"/>
    <s v="Mumbai"/>
    <x v="0"/>
    <x v="2"/>
    <s v="Pro Art 620"/>
    <x v="3"/>
    <s v="anomaly"/>
    <n v="1"/>
    <n v="0.1"/>
    <x v="859"/>
    <x v="859"/>
    <x v="859"/>
    <x v="186"/>
    <s v="07-08-25"/>
    <x v="2"/>
    <x v="2"/>
    <s v=" "/>
    <n v="1"/>
    <x v="0"/>
  </r>
  <r>
    <n v="1235.21"/>
    <x v="0"/>
    <x v="2"/>
    <m/>
    <x v="889"/>
    <s v="10-03-25"/>
    <s v="03-11-25"/>
    <s v="CUST-8467"/>
    <s v="Aditi Sen"/>
    <x v="3"/>
    <x v="3"/>
    <s v="Madhya Pradesh"/>
    <s v="Indore"/>
    <x v="0"/>
    <x v="8"/>
    <s v="Prime Storage 806"/>
    <x v="2"/>
    <s v="  "/>
    <n v="238"/>
    <n v="0.25"/>
    <x v="860"/>
    <x v="860"/>
    <x v="860"/>
    <x v="229"/>
    <s v="03-11-25"/>
    <x v="10"/>
    <x v="2"/>
    <s v="anomaly"/>
    <n v="238"/>
    <x v="0"/>
  </r>
  <r>
    <n v="2319.77"/>
    <x v="0"/>
    <x v="0"/>
    <m/>
    <x v="890"/>
    <s v="15-05-24"/>
    <s v="21-05-24"/>
    <s v="CUST-3992"/>
    <s v="Karan Malhotra"/>
    <x v="0"/>
    <x v="3"/>
    <s v="Goa"/>
    <s v="Panaji"/>
    <x v="0"/>
    <x v="8"/>
    <s v="Smart Storage 288"/>
    <x v="3"/>
    <s v="anomaly"/>
    <n v="6"/>
    <n v="0.2"/>
    <x v="861"/>
    <x v="861"/>
    <x v="861"/>
    <x v="152"/>
    <s v="21-05-24"/>
    <x v="4"/>
    <x v="0"/>
    <s v=" "/>
    <n v="6"/>
    <x v="0"/>
  </r>
  <r>
    <n v="4415.9399999999996"/>
    <x v="3"/>
    <x v="1"/>
    <m/>
    <x v="891"/>
    <s v="08-10-24"/>
    <s v="09-10-24"/>
    <s v="CUST-6647"/>
    <s v="Kabir Singh"/>
    <x v="2"/>
    <x v="2"/>
    <s v="Tamil Nadu"/>
    <s v="Chennai"/>
    <x v="2"/>
    <x v="12"/>
    <s v="Elite Machines 281"/>
    <x v="1"/>
    <s v="anomaly"/>
    <n v="1"/>
    <n v="0.1"/>
    <x v="862"/>
    <x v="862"/>
    <x v="862"/>
    <x v="460"/>
    <s v="09-10-24"/>
    <x v="5"/>
    <x v="0"/>
    <s v=" "/>
    <n v="1"/>
    <x v="0"/>
  </r>
  <r>
    <n v="157.65"/>
    <x v="0"/>
    <x v="0"/>
    <m/>
    <x v="892"/>
    <s v="04-12-25"/>
    <s v="invalid date"/>
    <s v="CUST-5087"/>
    <s v="Isha Nair"/>
    <x v="1"/>
    <x v="1"/>
    <s v="Jharkhand"/>
    <s v="Ranchi"/>
    <x v="2"/>
    <x v="6"/>
    <s v="Elite Copiers 221"/>
    <x v="1"/>
    <s v="Invalid"/>
    <s v="invalid date"/>
    <n v="0.2"/>
    <x v="863"/>
    <x v="863"/>
    <x v="863"/>
    <x v="461"/>
    <s v="invalid date"/>
    <x v="8"/>
    <x v="2"/>
    <s v="Invalid"/>
    <s v="invalid date"/>
    <x v="0"/>
  </r>
  <r>
    <n v="281.52999999999997"/>
    <x v="0"/>
    <x v="2"/>
    <m/>
    <x v="893"/>
    <s v="06-06-24"/>
    <s v="08-06-24"/>
    <s v="CUST-9297"/>
    <s v="Aarav Sharma"/>
    <x v="2"/>
    <x v="2"/>
    <s v="Karnataka"/>
    <s v="Bengaluru"/>
    <x v="1"/>
    <x v="1"/>
    <s v="Max Tables 291"/>
    <x v="0"/>
    <s v="anomaly"/>
    <n v="2"/>
    <n v="0.05"/>
    <x v="864"/>
    <x v="864"/>
    <x v="864"/>
    <x v="255"/>
    <s v="08-06-24"/>
    <x v="11"/>
    <x v="0"/>
    <s v=" "/>
    <n v="2"/>
    <x v="0"/>
  </r>
  <r>
    <n v="8812.3700000000008"/>
    <x v="0"/>
    <x v="0"/>
    <m/>
    <x v="894"/>
    <s v="22-02-24"/>
    <s v="invalid date"/>
    <s v="CUST-7996"/>
    <s v="Isha Nair"/>
    <x v="3"/>
    <x v="2"/>
    <s v="Telangana"/>
    <s v="Hyderabad"/>
    <x v="1"/>
    <x v="1"/>
    <s v="Classic Tables 638"/>
    <x v="2"/>
    <s v="Invalid"/>
    <s v="invalid date"/>
    <n v="0"/>
    <x v="865"/>
    <x v="865"/>
    <x v="865"/>
    <x v="354"/>
    <s v="invalid date"/>
    <x v="6"/>
    <x v="0"/>
    <s v="Invalid"/>
    <s v="invalid date"/>
    <x v="0"/>
  </r>
  <r>
    <n v="976.12"/>
    <x v="2"/>
    <x v="2"/>
    <m/>
    <x v="895"/>
    <s v="05-11-24"/>
    <s v="11-10-24"/>
    <s v="CUST-4117"/>
    <s v="Arjun Bose"/>
    <x v="0"/>
    <x v="2"/>
    <s v="Kerala"/>
    <s v="Kochi"/>
    <x v="1"/>
    <x v="4"/>
    <s v="Basic Chairs 212"/>
    <x v="1"/>
    <s v="anomaly"/>
    <n v="-25"/>
    <n v="0.15"/>
    <x v="866"/>
    <x v="866"/>
    <x v="866"/>
    <x v="182"/>
    <s v="11-10-24"/>
    <x v="3"/>
    <x v="0"/>
    <s v=" "/>
    <n v="-25"/>
    <x v="0"/>
  </r>
  <r>
    <n v="680.32"/>
    <x v="3"/>
    <x v="2"/>
    <m/>
    <x v="896"/>
    <s v="invalid date"/>
    <s v="25-12-24"/>
    <s v="CUST-4848"/>
    <s v="Ananya Rao"/>
    <x v="1"/>
    <x v="2"/>
    <s v="Tamil Nadu"/>
    <s v="Chennai"/>
    <x v="2"/>
    <x v="6"/>
    <s v="Max Copiers 121"/>
    <x v="0"/>
    <s v="Invalid"/>
    <s v="invalid date"/>
    <n v="0.05"/>
    <x v="867"/>
    <x v="867"/>
    <x v="867"/>
    <x v="1"/>
    <s v="25-12-24"/>
    <x v="1"/>
    <x v="1"/>
    <s v="Invalid"/>
    <s v="invalid date"/>
    <x v="0"/>
  </r>
  <r>
    <n v="1162.8399999999999"/>
    <x v="0"/>
    <x v="0"/>
    <m/>
    <x v="897"/>
    <s v="invalid date"/>
    <s v="03-05-25"/>
    <s v="CUST-2897"/>
    <s v="Rohan Mehta"/>
    <x v="2"/>
    <x v="0"/>
    <s v="Haryana"/>
    <s v="Gurugram"/>
    <x v="0"/>
    <x v="0"/>
    <s v="Eco Paper 747"/>
    <x v="2"/>
    <s v="Invalid"/>
    <s v="invalid date"/>
    <n v="0.05"/>
    <x v="868"/>
    <x v="868"/>
    <x v="868"/>
    <x v="1"/>
    <s v="03-05-25"/>
    <x v="1"/>
    <x v="1"/>
    <s v="Invalid"/>
    <s v="invalid date"/>
    <x v="0"/>
  </r>
  <r>
    <n v="1070.67"/>
    <x v="0"/>
    <x v="0"/>
    <m/>
    <x v="898"/>
    <s v="02-06-24"/>
    <s v="06-08-24"/>
    <s v="CUST-6046"/>
    <s v="Vikram Iyer"/>
    <x v="0"/>
    <x v="0"/>
    <s v="Delhi"/>
    <s v="New Delhi"/>
    <x v="1"/>
    <x v="1"/>
    <s v="Classic Tables 535"/>
    <x v="2"/>
    <s v="anomaly"/>
    <n v="65"/>
    <n v="0.2"/>
    <x v="869"/>
    <x v="869"/>
    <x v="869"/>
    <x v="462"/>
    <s v="06-08-24"/>
    <x v="11"/>
    <x v="0"/>
    <s v=" "/>
    <n v="65"/>
    <x v="0"/>
  </r>
  <r>
    <n v="1024.6400000000001"/>
    <x v="3"/>
    <x v="1"/>
    <m/>
    <x v="899"/>
    <s v="27-05-25"/>
    <s v="06-03-25"/>
    <s v="CUST-3789"/>
    <s v="Karan Malhotra"/>
    <x v="0"/>
    <x v="0"/>
    <s v="Punjab"/>
    <s v="Ludhiana"/>
    <x v="1"/>
    <x v="4"/>
    <s v="Elite Chairs 971"/>
    <x v="2"/>
    <s v="  "/>
    <n v="-82"/>
    <n v="0.25"/>
    <x v="870"/>
    <x v="870"/>
    <x v="870"/>
    <x v="224"/>
    <s v="06-03-25"/>
    <x v="4"/>
    <x v="2"/>
    <s v="anomaly"/>
    <n v="-82"/>
    <x v="0"/>
  </r>
  <r>
    <n v="1088.32"/>
    <x v="0"/>
    <x v="0"/>
    <m/>
    <x v="502"/>
    <s v="04-01-24"/>
    <s v="09-04-24"/>
    <s v="CUST-1534"/>
    <s v="Priya Menon"/>
    <x v="1"/>
    <x v="1"/>
    <s v="Odisha"/>
    <s v="Bhubaneswar"/>
    <x v="2"/>
    <x v="6"/>
    <s v="Prime Copiers 557"/>
    <x v="0"/>
    <s v="anomaly"/>
    <n v="96"/>
    <m/>
    <x v="871"/>
    <x v="871"/>
    <x v="871"/>
    <x v="463"/>
    <m/>
    <x v="13"/>
    <x v="3"/>
    <m/>
    <m/>
    <x v="1"/>
  </r>
  <r>
    <n v="681.38"/>
    <x v="0"/>
    <x v="0"/>
    <m/>
    <x v="598"/>
    <s v="invalid date"/>
    <s v="invalid date"/>
    <s v="CUST-8498"/>
    <s v="Ananya Rao"/>
    <x v="2"/>
    <x v="1"/>
    <s v="West Bengal"/>
    <s v="Kolkata"/>
    <x v="2"/>
    <x v="6"/>
    <s v="Eco Copiers 268"/>
    <x v="1"/>
    <s v="Invalid"/>
    <s v="invalid date"/>
    <m/>
    <x v="871"/>
    <x v="871"/>
    <x v="871"/>
    <x v="463"/>
    <m/>
    <x v="13"/>
    <x v="3"/>
    <m/>
    <m/>
    <x v="1"/>
  </r>
  <r>
    <n v="2001.81"/>
    <x v="0"/>
    <x v="0"/>
    <m/>
    <x v="694"/>
    <s v="01-08-25"/>
    <s v="09-08-25"/>
    <s v="CUST-8025"/>
    <s v="Isha Nair"/>
    <x v="0"/>
    <x v="2"/>
    <s v="Andhra Pradesh"/>
    <s v="Vijayawada"/>
    <x v="0"/>
    <x v="8"/>
    <s v="Classic Storage 291"/>
    <x v="2"/>
    <s v="anomaly"/>
    <n v="8"/>
    <m/>
    <x v="871"/>
    <x v="871"/>
    <x v="871"/>
    <x v="463"/>
    <m/>
    <x v="13"/>
    <x v="3"/>
    <m/>
    <m/>
    <x v="1"/>
  </r>
  <r>
    <n v="581.45000000000005"/>
    <x v="0"/>
    <x v="0"/>
    <m/>
    <x v="704"/>
    <s v="13-03-24"/>
    <s v="invalid date"/>
    <s v="CUST-4916"/>
    <s v="Priya Menon"/>
    <x v="3"/>
    <x v="2"/>
    <s v="Tamil Nadu"/>
    <s v="Chennai"/>
    <x v="1"/>
    <x v="10"/>
    <s v="Max Bookcases 738"/>
    <x v="4"/>
    <s v="Invalid"/>
    <s v="invalid date"/>
    <m/>
    <x v="871"/>
    <x v="871"/>
    <x v="871"/>
    <x v="463"/>
    <m/>
    <x v="13"/>
    <x v="3"/>
    <m/>
    <m/>
    <x v="1"/>
  </r>
  <r>
    <n v="6848.36"/>
    <x v="0"/>
    <x v="0"/>
    <m/>
    <x v="276"/>
    <s v="22-01-24"/>
    <s v="23-01-24"/>
    <s v="CUST-7039"/>
    <s v="Aarav Sharma"/>
    <x v="1"/>
    <x v="4"/>
    <s v="Assam"/>
    <s v="Guwahati"/>
    <x v="1"/>
    <x v="4"/>
    <s v="Basic Chairs 141"/>
    <x v="0"/>
    <s v="anomaly"/>
    <n v="1"/>
    <m/>
    <x v="871"/>
    <x v="871"/>
    <x v="871"/>
    <x v="463"/>
    <m/>
    <x v="13"/>
    <x v="3"/>
    <m/>
    <m/>
    <x v="1"/>
  </r>
  <r>
    <n v="2694.34"/>
    <x v="0"/>
    <x v="0"/>
    <m/>
    <x v="632"/>
    <s v="15-04-25"/>
    <s v="16-04-25"/>
    <s v="CUST-4593"/>
    <s v="Sneha Kapoor"/>
    <x v="1"/>
    <x v="2"/>
    <s v="Karnataka"/>
    <s v="Bengaluru"/>
    <x v="1"/>
    <x v="3"/>
    <s v="Smart Furnishings 721"/>
    <x v="2"/>
    <s v="anomaly"/>
    <n v="1"/>
    <m/>
    <x v="871"/>
    <x v="871"/>
    <x v="871"/>
    <x v="463"/>
    <m/>
    <x v="13"/>
    <x v="3"/>
    <m/>
    <m/>
    <x v="1"/>
  </r>
  <r>
    <n v="3717.69"/>
    <x v="0"/>
    <x v="0"/>
    <m/>
    <x v="729"/>
    <s v="17-05-25"/>
    <s v="25-05-25"/>
    <s v="CUST-8713"/>
    <s v="Ananya Rao"/>
    <x v="2"/>
    <x v="2"/>
    <s v="Tamil Nadu"/>
    <s v="Chennai"/>
    <x v="2"/>
    <x v="12"/>
    <s v="Pro Machines 563"/>
    <x v="1"/>
    <s v="anomaly"/>
    <n v="8"/>
    <m/>
    <x v="871"/>
    <x v="871"/>
    <x v="871"/>
    <x v="463"/>
    <m/>
    <x v="13"/>
    <x v="3"/>
    <m/>
    <m/>
    <x v="1"/>
  </r>
  <r>
    <n v="6055.07"/>
    <x v="0"/>
    <x v="0"/>
    <m/>
    <x v="133"/>
    <s v="13-12-24"/>
    <s v="invalid date"/>
    <s v="CUST-9441"/>
    <s v="Karan Malhotra"/>
    <x v="0"/>
    <x v="3"/>
    <s v="Goa"/>
    <s v="Panaji"/>
    <x v="2"/>
    <x v="11"/>
    <s v="Prime Phones 419"/>
    <x v="0"/>
    <s v="Invalid"/>
    <s v="invalid date"/>
    <m/>
    <x v="871"/>
    <x v="871"/>
    <x v="871"/>
    <x v="463"/>
    <m/>
    <x v="13"/>
    <x v="3"/>
    <m/>
    <m/>
    <x v="1"/>
  </r>
  <r>
    <n v="1530.94"/>
    <x v="0"/>
    <x v="0"/>
    <m/>
    <x v="719"/>
    <s v="08-09-25"/>
    <s v="09-09-25"/>
    <s v="CUST-3190"/>
    <s v="Kabir Singh"/>
    <x v="2"/>
    <x v="3"/>
    <s v="Gujarat"/>
    <s v="Ahmedabad"/>
    <x v="0"/>
    <x v="2"/>
    <s v="Pro Art 447"/>
    <x v="1"/>
    <s v="anomaly"/>
    <n v="1"/>
    <m/>
    <x v="871"/>
    <x v="871"/>
    <x v="871"/>
    <x v="463"/>
    <m/>
    <x v="13"/>
    <x v="3"/>
    <m/>
    <m/>
    <x v="1"/>
  </r>
  <r>
    <n v="1275.1400000000001"/>
    <x v="0"/>
    <x v="0"/>
    <m/>
    <x v="399"/>
    <s v="invalid date"/>
    <s v="29-04-25"/>
    <s v="CUST-5647"/>
    <s v="Diya Patel"/>
    <x v="1"/>
    <x v="2"/>
    <s v="Andhra Pradesh"/>
    <s v="Vijayawada"/>
    <x v="0"/>
    <x v="0"/>
    <s v="Elite Paper 308"/>
    <x v="1"/>
    <s v="Invalid"/>
    <s v="invalid date"/>
    <m/>
    <x v="871"/>
    <x v="871"/>
    <x v="871"/>
    <x v="463"/>
    <m/>
    <x v="13"/>
    <x v="3"/>
    <m/>
    <m/>
    <x v="1"/>
  </r>
  <r>
    <n v="180.78"/>
    <x v="1"/>
    <x v="1"/>
    <m/>
    <x v="123"/>
    <s v="invalid date"/>
    <s v="25-05-24"/>
    <s v="CUST-1007"/>
    <s v="Sneha Kapoor"/>
    <x v="1"/>
    <x v="0"/>
    <s v="Punjab"/>
    <s v="Ludhiana"/>
    <x v="2"/>
    <x v="6"/>
    <s v="Max Copiers 970"/>
    <x v="1"/>
    <s v="Invalid"/>
    <s v="invalid date"/>
    <m/>
    <x v="871"/>
    <x v="871"/>
    <x v="871"/>
    <x v="463"/>
    <m/>
    <x v="13"/>
    <x v="3"/>
    <m/>
    <m/>
    <x v="1"/>
  </r>
  <r>
    <n v="2441.25"/>
    <x v="2"/>
    <x v="2"/>
    <m/>
    <x v="250"/>
    <s v="invalid date"/>
    <s v="invalid date"/>
    <s v="CUST-5351"/>
    <s v="Arjun Bose"/>
    <x v="1"/>
    <x v="1"/>
    <s v="West Bengal"/>
    <s v="Kolkata"/>
    <x v="1"/>
    <x v="3"/>
    <s v="Prime Furnishings 781"/>
    <x v="3"/>
    <s v="Invalid"/>
    <s v="invalid date"/>
    <m/>
    <x v="871"/>
    <x v="871"/>
    <x v="871"/>
    <x v="463"/>
    <m/>
    <x v="13"/>
    <x v="3"/>
    <m/>
    <m/>
    <x v="1"/>
  </r>
  <r>
    <n v="810.16"/>
    <x v="0"/>
    <x v="0"/>
    <m/>
    <x v="377"/>
    <s v="24-05-25"/>
    <s v="30-05-25"/>
    <s v="CUST-4875"/>
    <s v="Kabir Singh"/>
    <x v="1"/>
    <x v="1"/>
    <s v="Odisha"/>
    <s v="Bhubaneswar"/>
    <x v="0"/>
    <x v="8"/>
    <s v="Basic Storage 360"/>
    <x v="1"/>
    <s v="anomaly"/>
    <n v="6"/>
    <m/>
    <x v="871"/>
    <x v="871"/>
    <x v="871"/>
    <x v="463"/>
    <m/>
    <x v="13"/>
    <x v="3"/>
    <m/>
    <m/>
    <x v="1"/>
  </r>
  <r>
    <n v="3777.65"/>
    <x v="0"/>
    <x v="0"/>
    <m/>
    <x v="280"/>
    <s v="invalid date"/>
    <s v="26-12-24"/>
    <s v="CUST-4098"/>
    <s v="Aditi Sen"/>
    <x v="0"/>
    <x v="2"/>
    <s v="Karnataka"/>
    <s v="Bengaluru"/>
    <x v="2"/>
    <x v="6"/>
    <s v="Prime Copiers 961"/>
    <x v="3"/>
    <s v="Invalid"/>
    <s v="invalid date"/>
    <m/>
    <x v="871"/>
    <x v="871"/>
    <x v="871"/>
    <x v="463"/>
    <m/>
    <x v="13"/>
    <x v="3"/>
    <m/>
    <m/>
    <x v="1"/>
  </r>
  <r>
    <n v="2803.36"/>
    <x v="0"/>
    <x v="0"/>
    <m/>
    <x v="712"/>
    <s v="10-02-24"/>
    <s v="18-02-24"/>
    <s v="CUST-5127"/>
    <s v="Isha Nair"/>
    <x v="3"/>
    <x v="3"/>
    <s v="Madhya Pradesh"/>
    <s v="Indore"/>
    <x v="1"/>
    <x v="4"/>
    <s v="Smart Chairs 259"/>
    <x v="2"/>
    <s v="anomaly"/>
    <n v="8"/>
    <m/>
    <x v="871"/>
    <x v="871"/>
    <x v="871"/>
    <x v="463"/>
    <m/>
    <x v="13"/>
    <x v="3"/>
    <m/>
    <m/>
    <x v="1"/>
  </r>
  <r>
    <n v="1999.29"/>
    <x v="0"/>
    <x v="0"/>
    <m/>
    <x v="549"/>
    <s v="10-11-25"/>
    <s v="13-10-25"/>
    <s v="CUST-6028"/>
    <s v="Mira Das"/>
    <x v="2"/>
    <x v="2"/>
    <s v="Telangana"/>
    <s v="Hyderabad"/>
    <x v="0"/>
    <x v="2"/>
    <s v="Pro Art 287"/>
    <x v="0"/>
    <s v="anomaly"/>
    <n v="-28"/>
    <m/>
    <x v="871"/>
    <x v="871"/>
    <x v="871"/>
    <x v="463"/>
    <m/>
    <x v="13"/>
    <x v="3"/>
    <m/>
    <m/>
    <x v="1"/>
  </r>
  <r>
    <n v="396.58"/>
    <x v="0"/>
    <x v="0"/>
    <m/>
    <x v="849"/>
    <s v="06-03-24"/>
    <s v="12-03-24"/>
    <s v="CUST-3360"/>
    <s v="Isha Nair"/>
    <x v="3"/>
    <x v="3"/>
    <s v="Gujarat"/>
    <s v="Ahmedabad"/>
    <x v="1"/>
    <x v="10"/>
    <s v="Prime Bookcases 755"/>
    <x v="3"/>
    <s v="anomaly"/>
    <n v="6"/>
    <m/>
    <x v="871"/>
    <x v="871"/>
    <x v="871"/>
    <x v="463"/>
    <m/>
    <x v="13"/>
    <x v="3"/>
    <m/>
    <m/>
    <x v="1"/>
  </r>
  <r>
    <n v="2256.31"/>
    <x v="0"/>
    <x v="0"/>
    <m/>
    <x v="127"/>
    <s v="invalid date"/>
    <s v="26-01-25"/>
    <s v="CUST-6802"/>
    <s v="Priya Menon"/>
    <x v="2"/>
    <x v="3"/>
    <s v="Madhya Pradesh"/>
    <s v="Indore"/>
    <x v="0"/>
    <x v="8"/>
    <s v="Basic Storage 321"/>
    <x v="0"/>
    <s v="Invalid"/>
    <s v="invalid date"/>
    <m/>
    <x v="871"/>
    <x v="871"/>
    <x v="871"/>
    <x v="463"/>
    <m/>
    <x v="13"/>
    <x v="3"/>
    <m/>
    <m/>
    <x v="1"/>
  </r>
  <r>
    <n v="5375.83"/>
    <x v="0"/>
    <x v="0"/>
    <m/>
    <x v="676"/>
    <s v="09-11-25"/>
    <s v="invalid date"/>
    <s v="CUST-9212"/>
    <s v="Rahul Verma"/>
    <x v="1"/>
    <x v="0"/>
    <s v="Delhi"/>
    <s v="New Delhi"/>
    <x v="2"/>
    <x v="11"/>
    <s v="Smart Phones 967"/>
    <x v="1"/>
    <s v="Invalid"/>
    <s v="invalid date"/>
    <m/>
    <x v="871"/>
    <x v="871"/>
    <x v="871"/>
    <x v="463"/>
    <m/>
    <x v="13"/>
    <x v="3"/>
    <m/>
    <m/>
    <x v="1"/>
  </r>
  <r>
    <n v="1120.31"/>
    <x v="0"/>
    <x v="0"/>
    <m/>
    <x v="6"/>
    <s v="04-10-25"/>
    <s v="invalid date"/>
    <s v="CUST-3656"/>
    <s v="Neha Gupta"/>
    <x v="0"/>
    <x v="1"/>
    <s v="Odisha"/>
    <s v="Bhubaneswar"/>
    <x v="2"/>
    <x v="6"/>
    <s v="Eco Copiers 790"/>
    <x v="3"/>
    <s v="Invalid"/>
    <s v="invalid date"/>
    <m/>
    <x v="871"/>
    <x v="871"/>
    <x v="871"/>
    <x v="463"/>
    <m/>
    <x v="13"/>
    <x v="3"/>
    <m/>
    <m/>
    <x v="1"/>
  </r>
  <r>
    <n v="4265.2700000000004"/>
    <x v="0"/>
    <x v="0"/>
    <m/>
    <x v="331"/>
    <s v="04-12-24"/>
    <s v="06-12-24"/>
    <s v="CUST-9346"/>
    <s v="Sneha Kapoor"/>
    <x v="3"/>
    <x v="1"/>
    <s v="Odisha"/>
    <s v="Bhubaneswar"/>
    <x v="0"/>
    <x v="9"/>
    <s v="Smart Binders 939"/>
    <x v="0"/>
    <s v="anomaly"/>
    <n v="2"/>
    <m/>
    <x v="871"/>
    <x v="871"/>
    <x v="871"/>
    <x v="463"/>
    <m/>
    <x v="13"/>
    <x v="3"/>
    <m/>
    <m/>
    <x v="1"/>
  </r>
  <r>
    <n v="3858.82"/>
    <x v="0"/>
    <x v="2"/>
    <m/>
    <x v="90"/>
    <s v="invalid date"/>
    <s v="29-08-25"/>
    <s v="CUST-5909"/>
    <s v="Aarav Sharma"/>
    <x v="1"/>
    <x v="1"/>
    <s v="Bihar"/>
    <s v="Patna"/>
    <x v="2"/>
    <x v="6"/>
    <s v="Smart Copiers 556"/>
    <x v="2"/>
    <s v="Invalid"/>
    <s v="invalid date"/>
    <m/>
    <x v="871"/>
    <x v="871"/>
    <x v="871"/>
    <x v="463"/>
    <m/>
    <x v="13"/>
    <x v="3"/>
    <m/>
    <m/>
    <x v="1"/>
  </r>
  <r>
    <n v="1472.75"/>
    <x v="0"/>
    <x v="2"/>
    <m/>
    <x v="373"/>
    <s v="13-04-25"/>
    <s v="13-04-25"/>
    <s v="CUST-8566"/>
    <s v="Sneha Kapoor"/>
    <x v="1"/>
    <x v="0"/>
    <s v="Uttar Pradesh"/>
    <s v="Noida"/>
    <x v="0"/>
    <x v="8"/>
    <s v="Prime Storage 951"/>
    <x v="0"/>
    <s v="  "/>
    <n v="0"/>
    <m/>
    <x v="871"/>
    <x v="871"/>
    <x v="871"/>
    <x v="463"/>
    <m/>
    <x v="13"/>
    <x v="3"/>
    <m/>
    <m/>
    <x v="1"/>
  </r>
  <r>
    <n v="5151"/>
    <x v="0"/>
    <x v="2"/>
    <m/>
    <x v="224"/>
    <s v="10-02-25"/>
    <s v="08-10-25"/>
    <s v="CUST-9871"/>
    <s v="Isha Nair"/>
    <x v="1"/>
    <x v="0"/>
    <s v="Punjab"/>
    <s v="Ludhiana"/>
    <x v="1"/>
    <x v="3"/>
    <s v="Classic Furnishings 109"/>
    <x v="3"/>
    <s v="  "/>
    <n v="240"/>
    <m/>
    <x v="871"/>
    <x v="871"/>
    <x v="871"/>
    <x v="463"/>
    <m/>
    <x v="13"/>
    <x v="3"/>
    <m/>
    <m/>
    <x v="1"/>
  </r>
  <r>
    <n v="1109.19"/>
    <x v="3"/>
    <x v="0"/>
    <m/>
    <x v="314"/>
    <s v="invalid date"/>
    <s v="20-05-25"/>
    <s v="CUST-1945"/>
    <s v="Isha Nair"/>
    <x v="2"/>
    <x v="3"/>
    <s v="Madhya Pradesh"/>
    <s v="Indore"/>
    <x v="0"/>
    <x v="7"/>
    <s v="Elite Labels 544"/>
    <x v="3"/>
    <s v="Invalid"/>
    <s v="invalid date"/>
    <m/>
    <x v="871"/>
    <x v="871"/>
    <x v="871"/>
    <x v="463"/>
    <m/>
    <x v="13"/>
    <x v="3"/>
    <m/>
    <m/>
    <x v="1"/>
  </r>
  <r>
    <n v="1203.96"/>
    <x v="0"/>
    <x v="2"/>
    <m/>
    <x v="170"/>
    <s v="07-09-25"/>
    <s v="invalid date"/>
    <s v="CUST-3734"/>
    <s v="Rohan Mehta"/>
    <x v="2"/>
    <x v="1"/>
    <s v="Bihar"/>
    <s v="Patna"/>
    <x v="2"/>
    <x v="6"/>
    <s v="Eco Copiers 102"/>
    <x v="3"/>
    <s v="Invalid"/>
    <s v="invalid date"/>
    <m/>
    <x v="871"/>
    <x v="871"/>
    <x v="871"/>
    <x v="463"/>
    <m/>
    <x v="13"/>
    <x v="3"/>
    <m/>
    <m/>
    <x v="1"/>
  </r>
  <r>
    <n v="9270.6"/>
    <x v="0"/>
    <x v="2"/>
    <m/>
    <x v="423"/>
    <s v="20-02-24"/>
    <s v="27-02-24"/>
    <s v="CUST-6169"/>
    <s v="Diya Patel"/>
    <x v="0"/>
    <x v="2"/>
    <s v="Kerala"/>
    <s v="Kochi"/>
    <x v="2"/>
    <x v="5"/>
    <s v="Prime Accessories 236"/>
    <x v="2"/>
    <s v="anomaly"/>
    <n v="7"/>
    <m/>
    <x v="871"/>
    <x v="871"/>
    <x v="871"/>
    <x v="463"/>
    <m/>
    <x v="13"/>
    <x v="3"/>
    <m/>
    <m/>
    <x v="1"/>
  </r>
  <r>
    <n v="8141.24"/>
    <x v="3"/>
    <x v="0"/>
    <m/>
    <x v="571"/>
    <s v="10-02-25"/>
    <s v="14-02-25"/>
    <s v="CUST-3425"/>
    <s v="Priya Menon"/>
    <x v="1"/>
    <x v="0"/>
    <s v="Uttar Pradesh"/>
    <s v="Noida"/>
    <x v="2"/>
    <x v="11"/>
    <s v="Prime Phones 895"/>
    <x v="4"/>
    <s v="anomaly"/>
    <n v="4"/>
    <m/>
    <x v="871"/>
    <x v="871"/>
    <x v="871"/>
    <x v="463"/>
    <m/>
    <x v="13"/>
    <x v="3"/>
    <m/>
    <m/>
    <x v="1"/>
  </r>
  <r>
    <n v="1087.78"/>
    <x v="0"/>
    <x v="2"/>
    <m/>
    <x v="142"/>
    <s v="30-03-24"/>
    <s v="26-03-24"/>
    <s v="CUST-8944"/>
    <s v="Aditi Sen"/>
    <x v="3"/>
    <x v="0"/>
    <s v="Rajasthan"/>
    <s v="Jaipur"/>
    <x v="2"/>
    <x v="11"/>
    <s v="Classic Phones 142"/>
    <x v="0"/>
    <s v="  "/>
    <n v="-4"/>
    <m/>
    <x v="871"/>
    <x v="871"/>
    <x v="871"/>
    <x v="463"/>
    <m/>
    <x v="13"/>
    <x v="3"/>
    <m/>
    <m/>
    <x v="1"/>
  </r>
  <r>
    <n v="1213.48"/>
    <x v="0"/>
    <x v="2"/>
    <m/>
    <x v="272"/>
    <s v="invalid date"/>
    <s v="24-08-24"/>
    <s v="CUST-7389"/>
    <s v="Arjun Bose"/>
    <x v="0"/>
    <x v="2"/>
    <s v="Andhra Pradesh"/>
    <s v="Vijayawada"/>
    <x v="1"/>
    <x v="4"/>
    <s v="Eco Chairs 314"/>
    <x v="2"/>
    <s v="Invalid"/>
    <s v="invalid date"/>
    <m/>
    <x v="871"/>
    <x v="871"/>
    <x v="871"/>
    <x v="463"/>
    <m/>
    <x v="13"/>
    <x v="3"/>
    <m/>
    <m/>
    <x v="1"/>
  </r>
  <r>
    <n v="180.78"/>
    <x v="1"/>
    <x v="2"/>
    <m/>
    <x v="123"/>
    <s v="invalid date"/>
    <s v="25-05-24"/>
    <s v="CUST-1007"/>
    <s v="Sneha Kapoor"/>
    <x v="1"/>
    <x v="0"/>
    <s v="Punjab"/>
    <s v="Ludhiana"/>
    <x v="2"/>
    <x v="6"/>
    <s v="Max Copiers 970"/>
    <x v="1"/>
    <s v="Invalid"/>
    <s v="invalid date"/>
    <m/>
    <x v="871"/>
    <x v="871"/>
    <x v="871"/>
    <x v="463"/>
    <m/>
    <x v="13"/>
    <x v="3"/>
    <m/>
    <m/>
    <x v="1"/>
  </r>
  <r>
    <n v="4751.87"/>
    <x v="0"/>
    <x v="2"/>
    <m/>
    <x v="335"/>
    <s v="invalid date"/>
    <s v="18-06-25"/>
    <s v="CUST-3621"/>
    <s v="Rahul Verma"/>
    <x v="3"/>
    <x v="3"/>
    <s v="Madhya Pradesh"/>
    <s v="Indore"/>
    <x v="0"/>
    <x v="0"/>
    <s v="Prime Paper 559"/>
    <x v="2"/>
    <s v="Invalid"/>
    <s v="invalid date"/>
    <m/>
    <x v="871"/>
    <x v="871"/>
    <x v="871"/>
    <x v="463"/>
    <m/>
    <x v="13"/>
    <x v="3"/>
    <m/>
    <m/>
    <x v="1"/>
  </r>
  <r>
    <m/>
    <x v="4"/>
    <x v="3"/>
    <m/>
    <x v="900"/>
    <m/>
    <m/>
    <m/>
    <m/>
    <x v="4"/>
    <x v="5"/>
    <m/>
    <m/>
    <x v="3"/>
    <x v="13"/>
    <m/>
    <x v="5"/>
    <m/>
    <m/>
    <m/>
    <x v="871"/>
    <x v="871"/>
    <x v="871"/>
    <x v="463"/>
    <m/>
    <x v="13"/>
    <x v="3"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2ED99-E0C7-49D3-BB4A-7CB69E7A0688}" name="PivotTable1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_Year" colHeaderCaption="Order_Month">
  <location ref="B48:O52" firstHeaderRow="1" firstDataRow="2" firstDataCol="1" rowPageCount="4" colPageCount="1"/>
  <pivotFields count="30">
    <pivotField showAll="0"/>
    <pivotField axis="axisPage" multipleItemSelectionAllowed="1" showAll="0">
      <items count="6">
        <item h="1" x="3"/>
        <item x="0"/>
        <item x="2"/>
        <item x="1"/>
        <item h="1" x="4"/>
        <item t="default"/>
      </items>
    </pivotField>
    <pivotField axis="axisPage" multipleItemSelectionAllowed="1" showAll="0">
      <items count="5">
        <item x="1"/>
        <item h="1"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73">
        <item x="687"/>
        <item x="27"/>
        <item x="643"/>
        <item x="307"/>
        <item x="819"/>
        <item x="433"/>
        <item x="473"/>
        <item x="205"/>
        <item x="512"/>
        <item x="560"/>
        <item x="524"/>
        <item x="199"/>
        <item x="196"/>
        <item x="256"/>
        <item x="118"/>
        <item x="793"/>
        <item x="237"/>
        <item x="553"/>
        <item x="863"/>
        <item x="12"/>
        <item x="83"/>
        <item x="800"/>
        <item x="119"/>
        <item x="58"/>
        <item x="224"/>
        <item x="542"/>
        <item x="662"/>
        <item x="467"/>
        <item x="207"/>
        <item x="637"/>
        <item x="377"/>
        <item x="112"/>
        <item x="698"/>
        <item x="317"/>
        <item x="258"/>
        <item x="790"/>
        <item x="105"/>
        <item x="564"/>
        <item x="481"/>
        <item x="755"/>
        <item x="125"/>
        <item x="458"/>
        <item x="741"/>
        <item x="81"/>
        <item x="59"/>
        <item x="266"/>
        <item x="417"/>
        <item x="201"/>
        <item x="670"/>
        <item x="651"/>
        <item x="678"/>
        <item x="461"/>
        <item x="127"/>
        <item x="529"/>
        <item x="809"/>
        <item x="389"/>
        <item x="192"/>
        <item x="864"/>
        <item x="540"/>
        <item x="507"/>
        <item x="756"/>
        <item x="215"/>
        <item x="488"/>
        <item x="232"/>
        <item x="382"/>
        <item x="102"/>
        <item x="604"/>
        <item x="619"/>
        <item x="55"/>
        <item x="211"/>
        <item x="547"/>
        <item x="820"/>
        <item x="404"/>
        <item x="754"/>
        <item x="612"/>
        <item x="145"/>
        <item x="129"/>
        <item x="185"/>
        <item x="116"/>
        <item x="723"/>
        <item x="811"/>
        <item x="219"/>
        <item x="544"/>
        <item x="618"/>
        <item x="641"/>
        <item x="68"/>
        <item x="569"/>
        <item x="397"/>
        <item x="758"/>
        <item x="180"/>
        <item x="501"/>
        <item x="854"/>
        <item x="108"/>
        <item x="197"/>
        <item x="856"/>
        <item x="639"/>
        <item x="821"/>
        <item x="625"/>
        <item x="156"/>
        <item x="252"/>
        <item x="311"/>
        <item x="280"/>
        <item x="796"/>
        <item x="168"/>
        <item x="719"/>
        <item x="200"/>
        <item x="373"/>
        <item x="552"/>
        <item x="179"/>
        <item x="630"/>
        <item x="423"/>
        <item x="267"/>
        <item x="273"/>
        <item x="405"/>
        <item x="739"/>
        <item x="427"/>
        <item x="457"/>
        <item x="413"/>
        <item x="577"/>
        <item x="823"/>
        <item x="348"/>
        <item x="557"/>
        <item x="115"/>
        <item x="681"/>
        <item x="520"/>
        <item x="410"/>
        <item x="839"/>
        <item x="260"/>
        <item x="518"/>
        <item x="475"/>
        <item x="778"/>
        <item x="287"/>
        <item x="371"/>
        <item x="218"/>
        <item x="702"/>
        <item x="384"/>
        <item x="48"/>
        <item x="635"/>
        <item x="447"/>
        <item x="161"/>
        <item x="633"/>
        <item x="354"/>
        <item x="106"/>
        <item x="563"/>
        <item x="514"/>
        <item x="712"/>
        <item x="75"/>
        <item x="464"/>
        <item x="149"/>
        <item x="717"/>
        <item x="497"/>
        <item x="394"/>
        <item x="420"/>
        <item x="243"/>
        <item x="152"/>
        <item x="296"/>
        <item x="710"/>
        <item x="292"/>
        <item x="784"/>
        <item x="159"/>
        <item x="84"/>
        <item x="679"/>
        <item x="645"/>
        <item x="866"/>
        <item x="474"/>
        <item x="89"/>
        <item x="110"/>
        <item x="757"/>
        <item x="261"/>
        <item x="579"/>
        <item x="480"/>
        <item x="342"/>
        <item x="406"/>
        <item x="299"/>
        <item x="450"/>
        <item x="5"/>
        <item x="163"/>
        <item x="363"/>
        <item x="785"/>
        <item x="24"/>
        <item x="31"/>
        <item x="727"/>
        <item x="361"/>
        <item x="704"/>
        <item x="728"/>
        <item x="787"/>
        <item x="126"/>
        <item x="677"/>
        <item x="308"/>
        <item x="220"/>
        <item x="760"/>
        <item x="798"/>
        <item x="589"/>
        <item x="82"/>
        <item x="142"/>
        <item x="766"/>
        <item x="454"/>
        <item x="370"/>
        <item x="448"/>
        <item x="548"/>
        <item x="690"/>
        <item x="722"/>
        <item x="422"/>
        <item x="652"/>
        <item x="466"/>
        <item x="541"/>
        <item x="26"/>
        <item x="780"/>
        <item x="320"/>
        <item x="7"/>
        <item x="41"/>
        <item x="779"/>
        <item x="138"/>
        <item x="28"/>
        <item x="827"/>
        <item x="304"/>
        <item x="62"/>
        <item x="230"/>
        <item x="559"/>
        <item x="584"/>
        <item x="440"/>
        <item x="338"/>
        <item x="419"/>
        <item x="385"/>
        <item x="190"/>
        <item x="870"/>
        <item x="72"/>
        <item x="428"/>
        <item x="259"/>
        <item x="424"/>
        <item x="396"/>
        <item x="578"/>
        <item x="562"/>
        <item x="430"/>
        <item x="598"/>
        <item x="53"/>
        <item x="52"/>
        <item x="130"/>
        <item x="744"/>
        <item x="444"/>
        <item x="665"/>
        <item x="383"/>
        <item x="867"/>
        <item x="263"/>
        <item x="816"/>
        <item x="671"/>
        <item x="788"/>
        <item x="855"/>
        <item x="113"/>
        <item x="711"/>
        <item x="567"/>
        <item x="848"/>
        <item x="415"/>
        <item x="493"/>
        <item x="379"/>
        <item x="746"/>
        <item x="825"/>
        <item x="664"/>
        <item x="268"/>
        <item x="478"/>
        <item x="693"/>
        <item x="812"/>
        <item x="401"/>
        <item x="93"/>
        <item x="591"/>
        <item x="137"/>
        <item x="111"/>
        <item x="644"/>
        <item x="672"/>
        <item x="555"/>
        <item x="153"/>
        <item x="18"/>
        <item x="136"/>
        <item x="606"/>
        <item x="807"/>
        <item x="234"/>
        <item x="291"/>
        <item x="586"/>
        <item x="63"/>
        <item x="534"/>
        <item x="476"/>
        <item x="387"/>
        <item x="407"/>
        <item x="14"/>
        <item x="685"/>
        <item x="203"/>
        <item x="269"/>
        <item x="732"/>
        <item x="831"/>
        <item x="198"/>
        <item x="35"/>
        <item x="78"/>
        <item x="789"/>
        <item x="764"/>
        <item x="731"/>
        <item x="840"/>
        <item x="121"/>
        <item x="777"/>
        <item x="696"/>
        <item x="343"/>
        <item x="781"/>
        <item x="123"/>
        <item x="314"/>
        <item x="276"/>
        <item x="536"/>
        <item x="484"/>
        <item x="369"/>
        <item x="844"/>
        <item x="107"/>
        <item x="759"/>
        <item x="465"/>
        <item x="773"/>
        <item x="210"/>
        <item x="272"/>
        <item x="470"/>
        <item x="838"/>
        <item x="661"/>
        <item x="546"/>
        <item x="590"/>
        <item x="274"/>
        <item x="692"/>
        <item x="244"/>
        <item x="155"/>
        <item x="61"/>
        <item x="459"/>
        <item x="213"/>
        <item x="869"/>
        <item x="37"/>
        <item x="345"/>
        <item x="751"/>
        <item x="627"/>
        <item x="646"/>
        <item x="616"/>
        <item x="51"/>
        <item x="165"/>
        <item x="217"/>
        <item x="175"/>
        <item x="607"/>
        <item x="554"/>
        <item x="177"/>
        <item x="600"/>
        <item x="782"/>
        <item x="79"/>
        <item x="332"/>
        <item x="164"/>
        <item x="249"/>
        <item x="245"/>
        <item x="594"/>
        <item x="543"/>
        <item x="233"/>
        <item x="642"/>
        <item x="381"/>
        <item x="122"/>
        <item x="504"/>
        <item x="6"/>
        <item x="147"/>
        <item x="860"/>
        <item x="391"/>
        <item x="736"/>
        <item x="495"/>
        <item x="535"/>
        <item x="344"/>
        <item x="286"/>
        <item x="657"/>
        <item x="80"/>
        <item x="255"/>
        <item x="239"/>
        <item x="850"/>
        <item x="494"/>
        <item x="235"/>
        <item x="242"/>
        <item x="9"/>
        <item x="376"/>
        <item x="471"/>
        <item x="357"/>
        <item x="418"/>
        <item x="647"/>
        <item x="416"/>
        <item x="350"/>
        <item x="86"/>
        <item x="21"/>
        <item x="290"/>
        <item x="114"/>
        <item x="813"/>
        <item x="620"/>
        <item x="183"/>
        <item x="409"/>
        <item x="581"/>
        <item x="248"/>
        <item x="302"/>
        <item x="96"/>
        <item x="277"/>
        <item x="802"/>
        <item x="453"/>
        <item x="421"/>
        <item x="599"/>
        <item x="479"/>
        <item x="32"/>
        <item x="752"/>
        <item x="47"/>
        <item x="25"/>
        <item x="628"/>
        <item x="868"/>
        <item x="456"/>
        <item x="39"/>
        <item x="349"/>
        <item x="833"/>
        <item x="309"/>
        <item x="202"/>
        <item x="64"/>
        <item x="761"/>
        <item x="455"/>
        <item x="324"/>
        <item x="393"/>
        <item x="71"/>
        <item x="822"/>
        <item x="709"/>
        <item x="768"/>
        <item x="1"/>
        <item x="490"/>
        <item x="23"/>
        <item x="188"/>
        <item x="783"/>
        <item x="684"/>
        <item x="278"/>
        <item x="438"/>
        <item x="40"/>
        <item x="815"/>
        <item x="735"/>
        <item x="566"/>
        <item x="328"/>
        <item x="17"/>
        <item x="853"/>
        <item x="358"/>
        <item x="469"/>
        <item x="333"/>
        <item x="146"/>
        <item x="150"/>
        <item x="617"/>
        <item x="375"/>
        <item x="748"/>
        <item x="658"/>
        <item x="675"/>
        <item x="100"/>
        <item x="364"/>
        <item x="319"/>
        <item x="386"/>
        <item x="659"/>
        <item x="73"/>
        <item x="101"/>
        <item x="392"/>
        <item x="818"/>
        <item x="365"/>
        <item x="836"/>
        <item x="103"/>
        <item x="532"/>
        <item x="700"/>
        <item x="775"/>
        <item x="683"/>
        <item x="743"/>
        <item x="799"/>
        <item x="791"/>
        <item x="279"/>
        <item x="169"/>
        <item x="720"/>
        <item x="20"/>
        <item x="3"/>
        <item x="366"/>
        <item x="499"/>
        <item x="725"/>
        <item x="603"/>
        <item x="492"/>
        <item x="826"/>
        <item x="667"/>
        <item x="745"/>
        <item x="676"/>
        <item x="443"/>
        <item x="634"/>
        <item x="621"/>
        <item x="446"/>
        <item x="522"/>
        <item x="776"/>
        <item x="221"/>
        <item x="472"/>
        <item x="182"/>
        <item x="533"/>
        <item x="135"/>
        <item x="585"/>
        <item x="186"/>
        <item x="666"/>
        <item x="834"/>
        <item x="352"/>
        <item x="708"/>
        <item x="843"/>
        <item x="715"/>
        <item x="362"/>
        <item x="550"/>
        <item x="240"/>
        <item x="270"/>
        <item x="355"/>
        <item x="489"/>
        <item x="716"/>
        <item x="76"/>
        <item x="49"/>
        <item x="613"/>
        <item x="545"/>
        <item x="703"/>
        <item x="714"/>
        <item x="765"/>
        <item x="395"/>
        <item x="34"/>
        <item x="284"/>
        <item x="374"/>
        <item x="187"/>
        <item x="810"/>
        <item x="747"/>
        <item x="399"/>
        <item x="88"/>
        <item x="674"/>
        <item x="54"/>
        <item x="97"/>
        <item x="212"/>
        <item x="174"/>
        <item x="516"/>
        <item x="189"/>
        <item x="11"/>
        <item x="640"/>
        <item x="770"/>
        <item x="437"/>
        <item x="686"/>
        <item x="281"/>
        <item x="523"/>
        <item x="236"/>
        <item x="193"/>
        <item x="729"/>
        <item x="16"/>
        <item x="482"/>
        <item x="721"/>
        <item x="808"/>
        <item x="359"/>
        <item x="10"/>
        <item x="143"/>
        <item x="310"/>
        <item x="176"/>
        <item x="531"/>
        <item x="74"/>
        <item x="795"/>
        <item x="160"/>
        <item x="530"/>
        <item x="400"/>
        <item x="134"/>
        <item x="340"/>
        <item x="602"/>
        <item x="449"/>
        <item x="368"/>
        <item x="601"/>
        <item x="92"/>
        <item x="485"/>
        <item x="571"/>
        <item x="608"/>
        <item x="339"/>
        <item x="318"/>
        <item x="288"/>
        <item x="862"/>
        <item x="794"/>
        <item x="832"/>
        <item x="527"/>
        <item x="109"/>
        <item x="69"/>
        <item x="226"/>
        <item x="609"/>
        <item x="209"/>
        <item x="580"/>
        <item x="441"/>
        <item x="222"/>
        <item x="306"/>
        <item x="56"/>
        <item x="139"/>
        <item x="506"/>
        <item x="713"/>
        <item x="451"/>
        <item x="223"/>
        <item x="99"/>
        <item x="605"/>
        <item x="322"/>
        <item x="829"/>
        <item x="445"/>
        <item x="669"/>
        <item x="262"/>
        <item x="726"/>
        <item x="668"/>
        <item x="216"/>
        <item x="849"/>
        <item x="462"/>
        <item x="498"/>
        <item x="337"/>
        <item x="334"/>
        <item x="574"/>
        <item x="753"/>
        <item x="30"/>
        <item x="649"/>
        <item x="151"/>
        <item x="718"/>
        <item x="828"/>
        <item x="730"/>
        <item x="329"/>
        <item x="104"/>
        <item x="301"/>
        <item x="502"/>
        <item x="50"/>
        <item x="597"/>
        <item x="859"/>
        <item x="246"/>
        <item x="803"/>
        <item x="178"/>
        <item x="194"/>
        <item x="321"/>
        <item x="293"/>
        <item x="297"/>
        <item x="615"/>
        <item x="257"/>
        <item x="436"/>
        <item x="356"/>
        <item x="624"/>
        <item x="173"/>
        <item x="575"/>
        <item x="195"/>
        <item x="144"/>
        <item x="253"/>
        <item x="734"/>
        <item x="22"/>
        <item x="70"/>
        <item x="697"/>
        <item x="695"/>
        <item x="351"/>
        <item x="771"/>
        <item x="508"/>
        <item x="650"/>
        <item x="206"/>
        <item x="36"/>
        <item x="861"/>
        <item x="500"/>
        <item x="38"/>
        <item x="763"/>
        <item x="623"/>
        <item x="611"/>
        <item x="515"/>
        <item x="241"/>
        <item x="360"/>
        <item x="94"/>
        <item x="626"/>
        <item x="742"/>
        <item x="120"/>
        <item x="549"/>
        <item x="294"/>
        <item x="539"/>
        <item x="706"/>
        <item x="656"/>
        <item x="699"/>
        <item x="733"/>
        <item x="238"/>
        <item x="558"/>
        <item x="140"/>
        <item x="313"/>
        <item x="95"/>
        <item x="251"/>
        <item x="227"/>
        <item x="694"/>
        <item x="477"/>
        <item x="398"/>
        <item x="772"/>
        <item x="435"/>
        <item x="316"/>
        <item x="663"/>
        <item x="312"/>
        <item x="158"/>
        <item x="705"/>
        <item x="629"/>
        <item x="170"/>
        <item x="166"/>
        <item x="323"/>
        <item x="638"/>
        <item x="680"/>
        <item x="341"/>
        <item x="44"/>
        <item x="851"/>
        <item x="298"/>
        <item x="561"/>
        <item x="468"/>
        <item x="614"/>
        <item x="19"/>
        <item x="510"/>
        <item x="737"/>
        <item x="98"/>
        <item x="271"/>
        <item x="57"/>
        <item x="682"/>
        <item x="740"/>
        <item x="367"/>
        <item x="388"/>
        <item x="858"/>
        <item x="835"/>
        <item x="511"/>
        <item x="526"/>
        <item x="486"/>
        <item x="191"/>
        <item x="117"/>
        <item x="487"/>
        <item x="45"/>
        <item x="414"/>
        <item x="346"/>
        <item x="285"/>
        <item x="786"/>
        <item x="483"/>
        <item x="513"/>
        <item x="425"/>
        <item x="762"/>
        <item x="124"/>
        <item x="327"/>
        <item x="250"/>
        <item x="631"/>
        <item x="654"/>
        <item x="576"/>
        <item x="402"/>
        <item x="315"/>
        <item x="688"/>
        <item x="691"/>
        <item x="283"/>
        <item x="595"/>
        <item x="0"/>
        <item x="33"/>
        <item x="132"/>
        <item x="208"/>
        <item x="452"/>
        <item x="335"/>
        <item x="247"/>
        <item x="336"/>
        <item x="587"/>
        <item x="353"/>
        <item x="583"/>
        <item x="434"/>
        <item x="842"/>
        <item x="538"/>
        <item x="517"/>
        <item x="66"/>
        <item x="689"/>
        <item x="442"/>
        <item x="636"/>
        <item x="372"/>
        <item x="460"/>
        <item x="653"/>
        <item x="429"/>
        <item x="593"/>
        <item x="570"/>
        <item x="4"/>
        <item x="231"/>
        <item x="326"/>
        <item x="496"/>
        <item x="300"/>
        <item x="229"/>
        <item x="87"/>
        <item x="655"/>
        <item x="774"/>
        <item x="551"/>
        <item x="767"/>
        <item x="67"/>
        <item x="521"/>
        <item x="846"/>
        <item x="265"/>
        <item x="814"/>
        <item x="525"/>
        <item x="432"/>
        <item x="60"/>
        <item x="837"/>
        <item x="403"/>
        <item x="841"/>
        <item x="592"/>
        <item x="264"/>
        <item x="847"/>
        <item x="305"/>
        <item x="128"/>
        <item x="148"/>
        <item x="162"/>
        <item x="491"/>
        <item x="85"/>
        <item x="556"/>
        <item x="806"/>
        <item x="749"/>
        <item x="857"/>
        <item x="15"/>
        <item x="181"/>
        <item x="167"/>
        <item x="65"/>
        <item x="133"/>
        <item x="171"/>
        <item x="228"/>
        <item x="817"/>
        <item x="390"/>
        <item x="660"/>
        <item x="596"/>
        <item x="824"/>
        <item x="8"/>
        <item x="830"/>
        <item x="852"/>
        <item x="738"/>
        <item x="707"/>
        <item x="801"/>
        <item x="439"/>
        <item x="426"/>
        <item x="865"/>
        <item x="141"/>
        <item x="463"/>
        <item x="214"/>
        <item x="769"/>
        <item x="582"/>
        <item x="622"/>
        <item x="13"/>
        <item x="325"/>
        <item x="412"/>
        <item x="91"/>
        <item x="804"/>
        <item x="632"/>
        <item x="724"/>
        <item x="42"/>
        <item x="750"/>
        <item x="204"/>
        <item x="411"/>
        <item x="408"/>
        <item x="380"/>
        <item x="565"/>
        <item x="573"/>
        <item x="673"/>
        <item x="29"/>
        <item x="701"/>
        <item x="46"/>
        <item x="295"/>
        <item x="303"/>
        <item x="509"/>
        <item x="845"/>
        <item x="43"/>
        <item x="184"/>
        <item x="519"/>
        <item x="572"/>
        <item x="528"/>
        <item x="588"/>
        <item x="172"/>
        <item x="330"/>
        <item x="331"/>
        <item x="131"/>
        <item x="648"/>
        <item x="225"/>
        <item x="610"/>
        <item x="289"/>
        <item x="568"/>
        <item x="537"/>
        <item x="254"/>
        <item x="503"/>
        <item x="77"/>
        <item x="797"/>
        <item x="282"/>
        <item x="154"/>
        <item x="431"/>
        <item x="792"/>
        <item x="505"/>
        <item x="347"/>
        <item x="157"/>
        <item x="90"/>
        <item x="378"/>
        <item x="275"/>
        <item x="805"/>
        <item x="2"/>
        <item x="871"/>
        <item t="default"/>
      </items>
    </pivotField>
    <pivotField showAll="0"/>
    <pivotField showAll="0"/>
    <pivotField axis="axisPage" multipleItemSelectionAllowed="1" showAll="0">
      <items count="465">
        <item x="417"/>
        <item x="180"/>
        <item x="345"/>
        <item x="85"/>
        <item x="154"/>
        <item x="270"/>
        <item x="446"/>
        <item x="155"/>
        <item x="209"/>
        <item x="135"/>
        <item x="128"/>
        <item x="17"/>
        <item x="49"/>
        <item x="328"/>
        <item x="395"/>
        <item x="52"/>
        <item x="104"/>
        <item x="70"/>
        <item x="326"/>
        <item x="372"/>
        <item x="169"/>
        <item x="426"/>
        <item x="387"/>
        <item x="297"/>
        <item x="74"/>
        <item x="134"/>
        <item x="421"/>
        <item x="125"/>
        <item x="462"/>
        <item x="213"/>
        <item x="72"/>
        <item x="124"/>
        <item x="161"/>
        <item x="451"/>
        <item x="373"/>
        <item x="191"/>
        <item x="356"/>
        <item x="249"/>
        <item x="299"/>
        <item x="59"/>
        <item x="254"/>
        <item x="394"/>
        <item x="420"/>
        <item x="189"/>
        <item x="208"/>
        <item x="453"/>
        <item x="203"/>
        <item x="321"/>
        <item x="69"/>
        <item x="279"/>
        <item x="64"/>
        <item x="36"/>
        <item x="292"/>
        <item x="411"/>
        <item x="278"/>
        <item x="181"/>
        <item x="21"/>
        <item x="248"/>
        <item x="280"/>
        <item x="380"/>
        <item x="174"/>
        <item x="441"/>
        <item x="166"/>
        <item x="211"/>
        <item x="309"/>
        <item x="425"/>
        <item x="195"/>
        <item x="342"/>
        <item x="366"/>
        <item x="6"/>
        <item x="101"/>
        <item x="273"/>
        <item x="223"/>
        <item x="461"/>
        <item x="458"/>
        <item x="50"/>
        <item x="377"/>
        <item x="84"/>
        <item x="286"/>
        <item x="252"/>
        <item x="434"/>
        <item x="78"/>
        <item x="302"/>
        <item x="163"/>
        <item x="16"/>
        <item x="73"/>
        <item x="77"/>
        <item x="365"/>
        <item x="329"/>
        <item x="182"/>
        <item x="44"/>
        <item x="437"/>
        <item x="175"/>
        <item x="414"/>
        <item x="444"/>
        <item x="349"/>
        <item x="43"/>
        <item x="177"/>
        <item x="137"/>
        <item x="255"/>
        <item x="258"/>
        <item x="240"/>
        <item x="2"/>
        <item x="186"/>
        <item x="300"/>
        <item x="95"/>
        <item x="206"/>
        <item x="353"/>
        <item x="283"/>
        <item x="232"/>
        <item x="51"/>
        <item x="173"/>
        <item x="194"/>
        <item x="193"/>
        <item x="332"/>
        <item x="382"/>
        <item x="276"/>
        <item x="108"/>
        <item x="172"/>
        <item x="237"/>
        <item x="38"/>
        <item x="65"/>
        <item x="15"/>
        <item x="9"/>
        <item x="327"/>
        <item x="385"/>
        <item x="176"/>
        <item x="455"/>
        <item x="449"/>
        <item x="351"/>
        <item x="341"/>
        <item x="424"/>
        <item x="334"/>
        <item x="370"/>
        <item x="79"/>
        <item x="401"/>
        <item x="228"/>
        <item x="460"/>
        <item x="117"/>
        <item x="226"/>
        <item x="294"/>
        <item x="26"/>
        <item x="103"/>
        <item x="119"/>
        <item x="259"/>
        <item x="60"/>
        <item x="376"/>
        <item x="199"/>
        <item x="76"/>
        <item x="257"/>
        <item x="360"/>
        <item x="183"/>
        <item x="116"/>
        <item x="120"/>
        <item x="371"/>
        <item x="314"/>
        <item x="389"/>
        <item x="140"/>
        <item x="90"/>
        <item x="272"/>
        <item x="160"/>
        <item x="229"/>
        <item x="357"/>
        <item x="162"/>
        <item x="285"/>
        <item x="404"/>
        <item x="306"/>
        <item x="151"/>
        <item x="67"/>
        <item x="250"/>
        <item x="431"/>
        <item x="35"/>
        <item x="37"/>
        <item x="338"/>
        <item x="436"/>
        <item x="381"/>
        <item x="454"/>
        <item x="81"/>
        <item x="62"/>
        <item x="230"/>
        <item x="290"/>
        <item x="109"/>
        <item x="8"/>
        <item x="397"/>
        <item x="430"/>
        <item x="311"/>
        <item x="379"/>
        <item x="264"/>
        <item x="22"/>
        <item x="158"/>
        <item x="91"/>
        <item x="313"/>
        <item x="217"/>
        <item x="274"/>
        <item x="235"/>
        <item x="222"/>
        <item x="96"/>
        <item x="422"/>
        <item x="83"/>
        <item x="41"/>
        <item x="281"/>
        <item x="179"/>
        <item x="82"/>
        <item x="340"/>
        <item x="13"/>
        <item x="34"/>
        <item x="433"/>
        <item x="386"/>
        <item x="262"/>
        <item x="400"/>
        <item x="242"/>
        <item x="251"/>
        <item x="210"/>
        <item x="25"/>
        <item x="123"/>
        <item x="406"/>
        <item x="298"/>
        <item x="99"/>
        <item x="384"/>
        <item x="375"/>
        <item x="253"/>
        <item x="427"/>
        <item x="423"/>
        <item x="256"/>
        <item x="113"/>
        <item x="335"/>
        <item x="344"/>
        <item x="337"/>
        <item x="231"/>
        <item x="167"/>
        <item x="188"/>
        <item x="94"/>
        <item x="93"/>
        <item x="130"/>
        <item x="269"/>
        <item x="207"/>
        <item x="316"/>
        <item x="152"/>
        <item x="238"/>
        <item x="27"/>
        <item x="440"/>
        <item x="88"/>
        <item x="197"/>
        <item x="350"/>
        <item x="315"/>
        <item x="343"/>
        <item x="239"/>
        <item x="214"/>
        <item x="362"/>
        <item x="68"/>
        <item x="54"/>
        <item x="439"/>
        <item x="187"/>
        <item x="447"/>
        <item x="275"/>
        <item x="322"/>
        <item x="204"/>
        <item x="367"/>
        <item x="241"/>
        <item x="307"/>
        <item x="132"/>
        <item x="405"/>
        <item x="346"/>
        <item x="153"/>
        <item x="383"/>
        <item x="407"/>
        <item x="33"/>
        <item x="97"/>
        <item x="409"/>
        <item x="419"/>
        <item x="171"/>
        <item x="39"/>
        <item x="457"/>
        <item x="127"/>
        <item x="429"/>
        <item x="388"/>
        <item x="157"/>
        <item x="288"/>
        <item x="325"/>
        <item x="369"/>
        <item x="122"/>
        <item x="398"/>
        <item x="282"/>
        <item x="442"/>
        <item x="318"/>
        <item x="295"/>
        <item x="20"/>
        <item x="159"/>
        <item x="331"/>
        <item x="348"/>
        <item x="201"/>
        <item x="40"/>
        <item x="358"/>
        <item x="355"/>
        <item x="247"/>
        <item x="139"/>
        <item x="105"/>
        <item x="443"/>
        <item x="86"/>
        <item x="121"/>
        <item x="138"/>
        <item x="364"/>
        <item x="10"/>
        <item x="53"/>
        <item x="149"/>
        <item x="293"/>
        <item x="12"/>
        <item x="227"/>
        <item x="18"/>
        <item x="347"/>
        <item x="234"/>
        <item x="413"/>
        <item x="438"/>
        <item x="378"/>
        <item x="150"/>
        <item x="136"/>
        <item x="363"/>
        <item x="0"/>
        <item x="392"/>
        <item x="216"/>
        <item x="170"/>
        <item x="452"/>
        <item x="192"/>
        <item x="144"/>
        <item x="305"/>
        <item x="354"/>
        <item x="361"/>
        <item x="260"/>
        <item x="402"/>
        <item x="58"/>
        <item x="268"/>
        <item x="246"/>
        <item x="390"/>
        <item x="225"/>
        <item x="11"/>
        <item x="143"/>
        <item x="61"/>
        <item x="396"/>
        <item x="28"/>
        <item x="310"/>
        <item x="75"/>
        <item x="301"/>
        <item x="7"/>
        <item x="287"/>
        <item x="428"/>
        <item x="233"/>
        <item x="141"/>
        <item x="368"/>
        <item x="352"/>
        <item x="236"/>
        <item x="89"/>
        <item x="114"/>
        <item x="359"/>
        <item x="23"/>
        <item x="57"/>
        <item x="19"/>
        <item x="284"/>
        <item x="45"/>
        <item x="5"/>
        <item x="205"/>
        <item x="200"/>
        <item x="133"/>
        <item x="220"/>
        <item x="118"/>
        <item x="408"/>
        <item x="102"/>
        <item x="98"/>
        <item x="410"/>
        <item x="391"/>
        <item x="56"/>
        <item x="218"/>
        <item x="261"/>
        <item x="393"/>
        <item x="323"/>
        <item x="215"/>
        <item x="319"/>
        <item x="178"/>
        <item x="448"/>
        <item x="196"/>
        <item x="330"/>
        <item x="92"/>
        <item x="31"/>
        <item x="303"/>
        <item x="80"/>
        <item x="333"/>
        <item x="156"/>
        <item x="445"/>
        <item x="450"/>
        <item x="459"/>
        <item x="374"/>
        <item x="185"/>
        <item x="146"/>
        <item x="131"/>
        <item x="403"/>
        <item x="266"/>
        <item x="265"/>
        <item x="46"/>
        <item x="100"/>
        <item x="339"/>
        <item x="243"/>
        <item x="115"/>
        <item x="212"/>
        <item x="224"/>
        <item x="112"/>
        <item x="145"/>
        <item x="168"/>
        <item x="416"/>
        <item x="66"/>
        <item x="14"/>
        <item x="142"/>
        <item x="198"/>
        <item x="202"/>
        <item x="148"/>
        <item x="147"/>
        <item x="456"/>
        <item x="165"/>
        <item x="190"/>
        <item x="164"/>
        <item x="296"/>
        <item x="415"/>
        <item x="312"/>
        <item x="126"/>
        <item x="3"/>
        <item x="304"/>
        <item x="291"/>
        <item x="336"/>
        <item x="63"/>
        <item x="308"/>
        <item x="30"/>
        <item x="221"/>
        <item x="418"/>
        <item x="32"/>
        <item x="263"/>
        <item x="4"/>
        <item x="435"/>
        <item x="24"/>
        <item x="87"/>
        <item x="245"/>
        <item x="111"/>
        <item x="42"/>
        <item x="107"/>
        <item x="399"/>
        <item x="320"/>
        <item x="412"/>
        <item x="48"/>
        <item x="267"/>
        <item x="277"/>
        <item x="71"/>
        <item x="110"/>
        <item x="271"/>
        <item x="129"/>
        <item x="289"/>
        <item x="55"/>
        <item x="324"/>
        <item x="184"/>
        <item x="29"/>
        <item x="317"/>
        <item x="47"/>
        <item x="106"/>
        <item x="219"/>
        <item x="432"/>
        <item x="244"/>
        <item h="1" x="1"/>
        <item h="1" x="463"/>
        <item t="default"/>
      </items>
    </pivotField>
    <pivotField showAll="0"/>
    <pivotField axis="axisCol" showAll="0">
      <items count="15">
        <item x="9"/>
        <item x="6"/>
        <item x="10"/>
        <item x="12"/>
        <item x="4"/>
        <item x="11"/>
        <item x="0"/>
        <item x="2"/>
        <item x="7"/>
        <item x="5"/>
        <item x="3"/>
        <item x="8"/>
        <item x="1"/>
        <item x="1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26"/>
  </rowFields>
  <rowItems count="3">
    <i>
      <x/>
    </i>
    <i>
      <x v="1"/>
    </i>
    <i t="grand">
      <x/>
    </i>
  </rowItems>
  <colFields count="1">
    <field x="2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4">
    <pageField fld="29" hier="-1"/>
    <pageField fld="1" hier="-1"/>
    <pageField fld="2" hier="-1"/>
    <pageField fld="23" hier="-1"/>
  </pageFields>
  <dataFields count="1">
    <dataField name="Sum of calculated_sales" fld="20" baseField="26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AD1DB-517A-48B5-B3BF-7F3423B669EF}" name="PivotTable1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Region">
  <location ref="G32:N40" firstHeaderRow="1" firstDataRow="2" firstDataCol="2" rowPageCount="1" colPageCount="1"/>
  <pivotFields count="30">
    <pivotField showAll="0"/>
    <pivotField axis="axisRow" compact="0" subtotalTop="0" showAll="0">
      <items count="6">
        <item x="3"/>
        <item x="0"/>
        <item x="2"/>
        <item x="1"/>
        <item x="4"/>
        <item t="default"/>
      </items>
    </pivotField>
    <pivotField axis="axisRow" compact="0" subtotalTop="0" showAll="0">
      <items count="5">
        <item x="1"/>
        <item h="1" x="0"/>
        <item h="1" x="2"/>
        <item h="1" x="3"/>
        <item t="default"/>
      </items>
    </pivotField>
    <pivotField showAll="0"/>
    <pivotField dataField="1" showAll="0">
      <items count="902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x="90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7">
        <item x="1"/>
        <item x="0"/>
        <item x="2"/>
        <item x="4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2">
    <field x="2"/>
    <field x="1"/>
  </rowFields>
  <rowItems count="7">
    <i>
      <x/>
    </i>
    <i r="1">
      <x/>
    </i>
    <i r="1">
      <x v="1"/>
    </i>
    <i r="1">
      <x v="2"/>
    </i>
    <i r="1">
      <x v="3"/>
    </i>
    <i t="default">
      <x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9" hier="-1"/>
  </pageFields>
  <dataFields count="1">
    <dataField name="Count of order_id_1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C57A1-989D-45CC-A397-41A9622B7404}" name="PivotTable1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B37" firstHeaderRow="1" firstDataRow="1" firstDataCol="1" rowPageCount="3" colPageCount="1"/>
  <pivotFields count="30">
    <pivotField showAll="0"/>
    <pivotField axis="axisPage" multipleItemSelectionAllowed="1" showAll="0">
      <items count="6">
        <item h="1" x="3"/>
        <item x="0"/>
        <item x="2"/>
        <item x="1"/>
        <item h="1" x="4"/>
        <item t="default"/>
      </items>
    </pivotField>
    <pivotField axis="axisPage" multipleItemSelectionAllowed="1" showAll="0">
      <items count="5">
        <item h="1"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73">
        <item x="514"/>
        <item x="835"/>
        <item x="738"/>
        <item x="361"/>
        <item x="389"/>
        <item x="301"/>
        <item x="598"/>
        <item x="797"/>
        <item x="730"/>
        <item x="417"/>
        <item x="342"/>
        <item x="523"/>
        <item x="86"/>
        <item x="823"/>
        <item x="673"/>
        <item x="822"/>
        <item x="779"/>
        <item x="359"/>
        <item x="793"/>
        <item x="436"/>
        <item x="195"/>
        <item x="38"/>
        <item x="55"/>
        <item x="100"/>
        <item x="113"/>
        <item x="237"/>
        <item x="724"/>
        <item x="315"/>
        <item x="343"/>
        <item x="4"/>
        <item x="781"/>
        <item x="279"/>
        <item x="47"/>
        <item x="859"/>
        <item x="67"/>
        <item x="334"/>
        <item x="204"/>
        <item x="13"/>
        <item x="773"/>
        <item x="752"/>
        <item x="709"/>
        <item x="226"/>
        <item x="348"/>
        <item x="525"/>
        <item x="225"/>
        <item x="718"/>
        <item x="141"/>
        <item x="609"/>
        <item x="851"/>
        <item x="155"/>
        <item x="795"/>
        <item x="569"/>
        <item x="50"/>
        <item x="654"/>
        <item x="643"/>
        <item x="181"/>
        <item x="92"/>
        <item x="825"/>
        <item x="362"/>
        <item x="275"/>
        <item x="704"/>
        <item x="794"/>
        <item x="238"/>
        <item x="224"/>
        <item x="597"/>
        <item x="11"/>
        <item x="828"/>
        <item x="468"/>
        <item x="528"/>
        <item x="861"/>
        <item x="486"/>
        <item x="180"/>
        <item x="442"/>
        <item x="0"/>
        <item x="124"/>
        <item x="396"/>
        <item x="556"/>
        <item x="241"/>
        <item x="302"/>
        <item x="868"/>
        <item x="590"/>
        <item x="820"/>
        <item x="328"/>
        <item x="669"/>
        <item x="566"/>
        <item x="325"/>
        <item x="728"/>
        <item x="588"/>
        <item x="678"/>
        <item x="674"/>
        <item x="287"/>
        <item x="420"/>
        <item x="596"/>
        <item x="541"/>
        <item x="838"/>
        <item x="519"/>
        <item x="262"/>
        <item x="186"/>
        <item x="453"/>
        <item x="53"/>
        <item x="725"/>
        <item x="800"/>
        <item x="426"/>
        <item x="515"/>
        <item x="580"/>
        <item x="337"/>
        <item x="732"/>
        <item x="446"/>
        <item x="607"/>
        <item x="311"/>
        <item x="644"/>
        <item x="782"/>
        <item x="173"/>
        <item x="694"/>
        <item x="546"/>
        <item x="593"/>
        <item x="3"/>
        <item x="102"/>
        <item x="567"/>
        <item x="480"/>
        <item x="217"/>
        <item x="206"/>
        <item x="559"/>
        <item x="656"/>
        <item x="549"/>
        <item x="492"/>
        <item x="663"/>
        <item x="574"/>
        <item x="49"/>
        <item x="22"/>
        <item x="454"/>
        <item x="611"/>
        <item x="543"/>
        <item x="239"/>
        <item x="132"/>
        <item x="633"/>
        <item x="424"/>
        <item x="191"/>
        <item x="90"/>
        <item x="6"/>
        <item x="736"/>
        <item x="665"/>
        <item x="91"/>
        <item x="72"/>
        <item x="111"/>
        <item x="379"/>
        <item x="20"/>
        <item x="867"/>
        <item x="115"/>
        <item x="729"/>
        <item x="530"/>
        <item x="332"/>
        <item x="207"/>
        <item x="33"/>
        <item x="368"/>
        <item x="684"/>
        <item x="504"/>
        <item x="418"/>
        <item x="31"/>
        <item x="452"/>
        <item x="324"/>
        <item x="439"/>
        <item x="168"/>
        <item x="682"/>
        <item x="281"/>
        <item x="565"/>
        <item x="222"/>
        <item x="555"/>
        <item x="578"/>
        <item x="242"/>
        <item x="158"/>
        <item x="529"/>
        <item x="198"/>
        <item x="582"/>
        <item x="292"/>
        <item x="521"/>
        <item x="163"/>
        <item x="786"/>
        <item x="809"/>
        <item x="792"/>
        <item x="377"/>
        <item x="683"/>
        <item x="59"/>
        <item x="7"/>
        <item x="462"/>
        <item x="860"/>
        <item x="774"/>
        <item x="189"/>
        <item x="382"/>
        <item x="849"/>
        <item x="248"/>
        <item x="57"/>
        <item x="615"/>
        <item x="717"/>
        <item x="476"/>
        <item x="414"/>
        <item x="99"/>
        <item x="606"/>
        <item x="460"/>
        <item x="526"/>
        <item x="803"/>
        <item x="869"/>
        <item x="35"/>
        <item x="512"/>
        <item x="257"/>
        <item x="645"/>
        <item x="676"/>
        <item x="65"/>
        <item x="764"/>
        <item x="605"/>
        <item x="689"/>
        <item x="841"/>
        <item x="757"/>
        <item x="604"/>
        <item x="498"/>
        <item x="346"/>
        <item x="499"/>
        <item x="692"/>
        <item x="632"/>
        <item x="336"/>
        <item x="759"/>
        <item x="537"/>
        <item x="323"/>
        <item x="778"/>
        <item x="570"/>
        <item x="162"/>
        <item x="293"/>
        <item x="249"/>
        <item x="319"/>
        <item x="205"/>
        <item x="516"/>
        <item x="400"/>
        <item x="190"/>
        <item x="771"/>
        <item x="380"/>
        <item x="183"/>
        <item x="834"/>
        <item x="123"/>
        <item x="742"/>
        <item x="594"/>
        <item x="623"/>
        <item x="165"/>
        <item x="806"/>
        <item x="483"/>
        <item x="312"/>
        <item x="82"/>
        <item x="150"/>
        <item x="807"/>
        <item x="640"/>
        <item x="228"/>
        <item x="154"/>
        <item x="814"/>
        <item x="489"/>
        <item x="760"/>
        <item x="126"/>
        <item x="545"/>
        <item x="349"/>
        <item x="679"/>
        <item x="533"/>
        <item x="518"/>
        <item x="125"/>
        <item x="487"/>
        <item x="484"/>
        <item x="145"/>
        <item x="135"/>
        <item x="62"/>
        <item x="373"/>
        <item x="306"/>
        <item x="720"/>
        <item x="36"/>
        <item x="695"/>
        <item x="355"/>
        <item x="401"/>
        <item x="626"/>
        <item x="423"/>
        <item x="554"/>
        <item x="540"/>
        <item x="864"/>
        <item x="197"/>
        <item x="572"/>
        <item x="524"/>
        <item x="448"/>
        <item x="76"/>
        <item x="599"/>
        <item x="688"/>
        <item x="335"/>
        <item x="775"/>
        <item x="143"/>
        <item x="837"/>
        <item x="857"/>
        <item x="353"/>
        <item x="233"/>
        <item x="147"/>
        <item x="74"/>
        <item x="390"/>
        <item x="746"/>
        <item x="575"/>
        <item x="503"/>
        <item x="95"/>
        <item x="313"/>
        <item x="351"/>
        <item x="491"/>
        <item x="788"/>
        <item x="510"/>
        <item x="77"/>
        <item x="188"/>
        <item x="210"/>
        <item x="415"/>
        <item x="430"/>
        <item x="848"/>
        <item x="813"/>
        <item x="157"/>
        <item x="70"/>
        <item x="46"/>
        <item x="128"/>
        <item x="850"/>
        <item x="344"/>
        <item x="653"/>
        <item x="502"/>
        <item x="789"/>
        <item x="737"/>
        <item x="456"/>
        <item x="538"/>
        <item x="711"/>
        <item x="374"/>
        <item x="227"/>
        <item x="416"/>
        <item x="98"/>
        <item x="508"/>
        <item x="469"/>
        <item x="282"/>
        <item x="863"/>
        <item x="619"/>
        <item x="246"/>
        <item x="26"/>
        <item x="104"/>
        <item x="58"/>
        <item x="434"/>
        <item x="354"/>
        <item x="602"/>
        <item x="230"/>
        <item x="477"/>
        <item x="473"/>
        <item x="213"/>
        <item x="321"/>
        <item x="96"/>
        <item x="723"/>
        <item x="662"/>
        <item x="637"/>
        <item x="395"/>
        <item x="509"/>
        <item x="847"/>
        <item x="819"/>
        <item x="118"/>
        <item x="392"/>
        <item x="381"/>
        <item x="137"/>
        <item x="610"/>
        <item x="754"/>
        <item x="329"/>
        <item x="767"/>
        <item x="251"/>
        <item x="410"/>
        <item x="372"/>
        <item x="136"/>
        <item x="722"/>
        <item x="753"/>
        <item x="265"/>
        <item x="433"/>
        <item x="726"/>
        <item x="119"/>
        <item x="550"/>
        <item x="576"/>
        <item x="182"/>
        <item x="103"/>
        <item x="585"/>
        <item x="727"/>
        <item x="194"/>
        <item x="856"/>
        <item x="681"/>
        <item x="81"/>
        <item x="34"/>
        <item x="203"/>
        <item x="686"/>
        <item x="497"/>
        <item x="258"/>
        <item x="101"/>
        <item x="166"/>
        <item x="680"/>
        <item x="836"/>
        <item x="161"/>
        <item x="428"/>
        <item x="299"/>
        <item x="481"/>
        <item x="45"/>
        <item x="386"/>
        <item x="586"/>
        <item x="714"/>
        <item x="805"/>
        <item x="697"/>
        <item x="817"/>
        <item x="394"/>
        <item x="818"/>
        <item x="375"/>
        <item x="289"/>
        <item x="272"/>
        <item x="756"/>
        <item x="431"/>
        <item x="755"/>
        <item x="398"/>
        <item x="852"/>
        <item x="488"/>
        <item x="369"/>
        <item x="403"/>
        <item x="659"/>
        <item x="564"/>
        <item x="114"/>
        <item x="657"/>
        <item x="751"/>
        <item x="660"/>
        <item x="708"/>
        <item x="810"/>
        <item x="761"/>
        <item x="471"/>
        <item x="534"/>
        <item x="25"/>
        <item x="68"/>
        <item x="627"/>
        <item x="845"/>
        <item x="146"/>
        <item x="667"/>
        <item x="625"/>
        <item x="54"/>
        <item x="170"/>
        <item x="209"/>
        <item x="277"/>
        <item x="8"/>
        <item x="802"/>
        <item x="641"/>
        <item x="520"/>
        <item x="618"/>
        <item x="449"/>
        <item x="870"/>
        <item x="21"/>
        <item x="149"/>
        <item x="548"/>
        <item x="783"/>
        <item x="815"/>
        <item x="495"/>
        <item x="472"/>
        <item x="744"/>
        <item x="243"/>
        <item x="196"/>
        <item x="833"/>
        <item x="131"/>
        <item x="260"/>
        <item x="294"/>
        <item x="214"/>
        <item x="406"/>
        <item x="254"/>
        <item x="536"/>
        <item x="387"/>
        <item x="532"/>
        <item x="148"/>
        <item x="363"/>
        <item x="447"/>
        <item x="37"/>
        <item x="177"/>
        <item x="758"/>
        <item x="271"/>
        <item x="73"/>
        <item x="411"/>
        <item x="542"/>
        <item x="854"/>
        <item x="425"/>
        <item x="577"/>
        <item x="846"/>
        <item x="314"/>
        <item x="668"/>
        <item x="701"/>
        <item x="264"/>
        <item x="799"/>
        <item x="470"/>
        <item x="23"/>
        <item x="144"/>
        <item x="855"/>
        <item x="677"/>
        <item x="358"/>
        <item x="485"/>
        <item x="827"/>
        <item x="117"/>
        <item x="798"/>
        <item x="266"/>
        <item x="167"/>
        <item x="378"/>
        <item x="172"/>
        <item x="735"/>
        <item x="356"/>
        <item x="1"/>
        <item x="384"/>
        <item x="286"/>
        <item x="110"/>
        <item x="768"/>
        <item x="763"/>
        <item x="296"/>
        <item x="231"/>
        <item x="438"/>
        <item x="474"/>
        <item x="412"/>
        <item x="700"/>
        <item x="739"/>
        <item x="199"/>
        <item x="269"/>
        <item x="522"/>
        <item x="352"/>
        <item x="108"/>
        <item x="274"/>
        <item x="44"/>
        <item x="531"/>
        <item x="409"/>
        <item x="202"/>
        <item x="235"/>
        <item x="278"/>
        <item x="85"/>
        <item x="421"/>
        <item x="750"/>
        <item x="15"/>
        <item x="408"/>
        <item x="18"/>
        <item x="120"/>
        <item x="562"/>
        <item x="544"/>
        <item x="713"/>
        <item x="283"/>
        <item x="747"/>
        <item x="64"/>
        <item x="93"/>
        <item x="320"/>
        <item x="649"/>
        <item x="865"/>
        <item x="698"/>
        <item x="338"/>
        <item x="159"/>
        <item x="716"/>
        <item x="407"/>
        <item x="255"/>
        <item x="579"/>
        <item x="568"/>
        <item x="770"/>
        <item x="32"/>
        <item x="308"/>
        <item x="140"/>
        <item x="288"/>
        <item x="705"/>
        <item x="28"/>
        <item x="367"/>
        <item x="830"/>
        <item x="14"/>
        <item x="769"/>
        <item x="780"/>
        <item x="331"/>
        <item x="185"/>
        <item x="112"/>
        <item x="393"/>
        <item x="592"/>
        <item x="63"/>
        <item x="603"/>
        <item x="178"/>
        <item x="762"/>
        <item x="42"/>
        <item x="435"/>
        <item x="404"/>
        <item x="229"/>
        <item x="558"/>
        <item x="317"/>
        <item x="843"/>
        <item x="539"/>
        <item x="295"/>
        <item x="505"/>
        <item x="466"/>
        <item x="397"/>
        <item x="253"/>
        <item x="350"/>
        <item x="187"/>
        <item x="259"/>
        <item x="853"/>
        <item x="221"/>
        <item x="478"/>
        <item x="642"/>
        <item x="364"/>
        <item x="527"/>
        <item x="29"/>
        <item x="305"/>
        <item x="134"/>
        <item x="601"/>
        <item x="12"/>
        <item x="310"/>
        <item x="445"/>
        <item x="636"/>
        <item x="635"/>
        <item x="129"/>
        <item x="212"/>
        <item x="201"/>
        <item x="164"/>
        <item x="614"/>
        <item x="500"/>
        <item x="89"/>
        <item x="419"/>
        <item x="690"/>
        <item x="790"/>
        <item x="691"/>
        <item x="842"/>
        <item x="646"/>
        <item x="432"/>
        <item x="715"/>
        <item x="733"/>
        <item x="240"/>
        <item x="455"/>
        <item x="816"/>
        <item x="629"/>
        <item x="160"/>
        <item x="511"/>
        <item x="106"/>
        <item x="772"/>
        <item x="61"/>
        <item x="589"/>
        <item x="595"/>
        <item x="304"/>
        <item x="152"/>
        <item x="142"/>
        <item x="30"/>
        <item x="560"/>
        <item x="652"/>
        <item x="80"/>
        <item x="84"/>
        <item x="443"/>
        <item x="223"/>
        <item x="741"/>
        <item x="138"/>
        <item x="263"/>
        <item x="327"/>
        <item x="743"/>
        <item x="247"/>
        <item x="784"/>
        <item x="475"/>
        <item x="506"/>
        <item x="467"/>
        <item x="824"/>
        <item x="284"/>
        <item x="621"/>
        <item x="451"/>
        <item x="766"/>
        <item x="234"/>
        <item x="60"/>
        <item x="9"/>
        <item x="39"/>
        <item x="551"/>
        <item x="383"/>
        <item x="622"/>
        <item x="829"/>
        <item x="105"/>
        <item x="517"/>
        <item x="826"/>
        <item x="388"/>
        <item x="405"/>
        <item x="17"/>
        <item x="127"/>
        <item x="391"/>
        <item x="664"/>
        <item x="71"/>
        <item x="616"/>
        <item x="139"/>
        <item x="261"/>
        <item x="116"/>
        <item x="650"/>
        <item x="94"/>
        <item x="219"/>
        <item x="561"/>
        <item x="651"/>
        <item x="719"/>
        <item x="429"/>
        <item x="385"/>
        <item x="303"/>
        <item x="122"/>
        <item x="707"/>
        <item x="285"/>
        <item x="670"/>
        <item x="858"/>
        <item x="687"/>
        <item x="776"/>
        <item x="600"/>
        <item x="5"/>
        <item x="535"/>
        <item x="631"/>
        <item x="482"/>
        <item x="748"/>
        <item x="557"/>
        <item x="40"/>
        <item x="402"/>
        <item x="339"/>
        <item x="365"/>
        <item x="458"/>
        <item x="318"/>
        <item x="675"/>
        <item x="587"/>
        <item x="444"/>
        <item x="192"/>
        <item x="10"/>
        <item x="109"/>
        <item x="465"/>
        <item x="252"/>
        <item x="326"/>
        <item x="441"/>
        <item x="291"/>
        <item x="617"/>
        <item x="703"/>
        <item x="804"/>
        <item x="153"/>
        <item x="121"/>
        <item x="341"/>
        <item x="693"/>
        <item x="787"/>
        <item x="777"/>
        <item x="866"/>
        <item x="634"/>
        <item x="244"/>
        <item x="702"/>
        <item x="345"/>
        <item x="671"/>
        <item x="413"/>
        <item x="712"/>
        <item x="457"/>
        <item x="24"/>
        <item x="862"/>
        <item x="88"/>
        <item x="322"/>
        <item x="290"/>
        <item x="69"/>
        <item x="450"/>
        <item x="844"/>
        <item x="176"/>
        <item x="78"/>
        <item x="211"/>
        <item x="612"/>
        <item x="133"/>
        <item x="43"/>
        <item x="280"/>
        <item x="749"/>
        <item x="399"/>
        <item x="696"/>
        <item x="56"/>
        <item x="52"/>
        <item x="97"/>
        <item x="19"/>
        <item x="437"/>
        <item x="685"/>
        <item x="666"/>
        <item x="624"/>
        <item x="706"/>
        <item x="563"/>
        <item x="107"/>
        <item x="298"/>
        <item x="307"/>
        <item x="270"/>
        <item x="639"/>
        <item x="174"/>
        <item x="169"/>
        <item x="638"/>
        <item x="647"/>
        <item x="309"/>
        <item x="256"/>
        <item x="370"/>
        <item x="461"/>
        <item x="179"/>
        <item x="171"/>
        <item x="584"/>
        <item x="812"/>
        <item x="710"/>
        <item x="785"/>
        <item x="791"/>
        <item x="347"/>
        <item x="87"/>
        <item x="832"/>
        <item x="175"/>
        <item x="220"/>
        <item x="250"/>
        <item x="440"/>
        <item x="330"/>
        <item x="591"/>
        <item x="490"/>
        <item x="699"/>
        <item x="583"/>
        <item x="130"/>
        <item x="273"/>
        <item x="232"/>
        <item x="839"/>
        <item x="200"/>
        <item x="16"/>
        <item x="648"/>
        <item x="366"/>
        <item x="493"/>
        <item x="268"/>
        <item x="208"/>
        <item x="41"/>
        <item x="552"/>
        <item x="571"/>
        <item x="811"/>
        <item x="463"/>
        <item x="628"/>
        <item x="360"/>
        <item x="83"/>
        <item x="808"/>
        <item x="661"/>
        <item x="184"/>
        <item x="340"/>
        <item x="216"/>
        <item x="371"/>
        <item x="734"/>
        <item x="801"/>
        <item x="765"/>
        <item x="48"/>
        <item x="276"/>
        <item x="573"/>
        <item x="553"/>
        <item x="796"/>
        <item x="316"/>
        <item x="547"/>
        <item x="376"/>
        <item x="79"/>
        <item x="245"/>
        <item x="496"/>
        <item x="218"/>
        <item x="297"/>
        <item x="581"/>
        <item x="236"/>
        <item x="75"/>
        <item x="494"/>
        <item x="731"/>
        <item x="721"/>
        <item x="215"/>
        <item x="620"/>
        <item x="501"/>
        <item x="630"/>
        <item x="151"/>
        <item x="513"/>
        <item x="459"/>
        <item x="608"/>
        <item x="740"/>
        <item x="613"/>
        <item x="427"/>
        <item x="51"/>
        <item x="193"/>
        <item x="267"/>
        <item x="655"/>
        <item x="156"/>
        <item x="840"/>
        <item x="333"/>
        <item x="821"/>
        <item x="66"/>
        <item x="479"/>
        <item x="831"/>
        <item x="27"/>
        <item x="422"/>
        <item x="658"/>
        <item x="507"/>
        <item x="357"/>
        <item x="300"/>
        <item x="464"/>
        <item x="672"/>
        <item x="745"/>
        <item x="2"/>
        <item x="87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1" hier="-1"/>
    <pageField fld="2" hier="-1"/>
    <pageField fld="29" hier="-1"/>
  </pageFields>
  <dataFields count="1">
    <dataField name="Average of profit_margin" fld="22" subtotal="average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09F79-CF43-4C0D-8443-6DD5303E671E}" name="PivotTable10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 of Order_id Ship mode">
  <location ref="A15:B21" firstHeaderRow="1" firstDataRow="1" firstDataCol="1" rowPageCount="3" colPageCount="1"/>
  <pivotFields count="30">
    <pivotField showAll="0"/>
    <pivotField axis="axisPage" multipleItemSelectionAllowed="1" showAll="0">
      <items count="6">
        <item h="1" x="3"/>
        <item x="0"/>
        <item x="2"/>
        <item x="1"/>
        <item h="1" x="4"/>
        <item t="default"/>
      </items>
    </pivotField>
    <pivotField axis="axisPage" multipleItemSelectionAllowed="1" showAll="0">
      <items count="5">
        <item h="1" x="1"/>
        <item x="0"/>
        <item x="2"/>
        <item h="1" x="3"/>
        <item t="default"/>
      </items>
    </pivotField>
    <pivotField showAll="0"/>
    <pivotField dataField="1" showAll="0">
      <items count="902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x="9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1" hier="-1"/>
    <pageField fld="2" hier="-1"/>
    <pageField fld="29" hier="-1"/>
  </pageFields>
  <dataFields count="1">
    <dataField name="Total" fld="4" subtotal="count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1A2A1-B49F-4B9B-B298-A335AAA9E3C7}" name="PivotTable8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J24" firstHeaderRow="0" firstDataRow="1" firstDataCol="2" rowPageCount="2" colPageCount="1"/>
  <pivotFields count="30">
    <pivotField showAll="0"/>
    <pivotField axis="axisPage" multipleItemSelectionAllowed="1" showAll="0">
      <items count="6">
        <item h="1" x="3"/>
        <item x="0"/>
        <item x="2"/>
        <item x="1"/>
        <item h="1" x="4"/>
        <item t="default"/>
      </items>
    </pivotField>
    <pivotField axis="axisPage" multipleItemSelectionAllowed="1" showAll="0">
      <items count="5">
        <item h="1"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compact="0" subtotalTop="0" showAll="0">
      <items count="5">
        <item x="1"/>
        <item x="0"/>
        <item x="2"/>
        <item h="1" x="3"/>
        <item t="default"/>
      </items>
    </pivotField>
    <pivotField axis="axisRow" showAll="0">
      <items count="15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x="13"/>
        <item t="default"/>
      </items>
    </pivotField>
    <pivotField showAll="0"/>
    <pivotField showAll="0"/>
    <pivotField showAll="0"/>
    <pivotField showAll="0"/>
    <pivotField showAll="0"/>
    <pivotField dataField="1" showAll="0">
      <items count="873">
        <item x="687"/>
        <item x="27"/>
        <item x="643"/>
        <item x="307"/>
        <item x="819"/>
        <item x="433"/>
        <item x="473"/>
        <item x="205"/>
        <item x="512"/>
        <item x="560"/>
        <item x="524"/>
        <item x="199"/>
        <item x="196"/>
        <item x="256"/>
        <item x="118"/>
        <item x="793"/>
        <item x="237"/>
        <item x="553"/>
        <item x="863"/>
        <item x="12"/>
        <item x="83"/>
        <item x="800"/>
        <item x="119"/>
        <item x="58"/>
        <item x="224"/>
        <item x="542"/>
        <item x="662"/>
        <item x="467"/>
        <item x="207"/>
        <item x="637"/>
        <item x="377"/>
        <item x="112"/>
        <item x="698"/>
        <item x="317"/>
        <item x="258"/>
        <item x="790"/>
        <item x="105"/>
        <item x="564"/>
        <item x="481"/>
        <item x="755"/>
        <item x="125"/>
        <item x="458"/>
        <item x="741"/>
        <item x="81"/>
        <item x="59"/>
        <item x="266"/>
        <item x="417"/>
        <item x="201"/>
        <item x="670"/>
        <item x="651"/>
        <item x="678"/>
        <item x="461"/>
        <item x="127"/>
        <item x="529"/>
        <item x="809"/>
        <item x="389"/>
        <item x="192"/>
        <item x="864"/>
        <item x="540"/>
        <item x="507"/>
        <item x="756"/>
        <item x="215"/>
        <item x="488"/>
        <item x="232"/>
        <item x="382"/>
        <item x="102"/>
        <item x="604"/>
        <item x="619"/>
        <item x="55"/>
        <item x="211"/>
        <item x="547"/>
        <item x="820"/>
        <item x="404"/>
        <item x="754"/>
        <item x="612"/>
        <item x="145"/>
        <item x="129"/>
        <item x="185"/>
        <item x="116"/>
        <item x="723"/>
        <item x="811"/>
        <item x="219"/>
        <item x="544"/>
        <item x="618"/>
        <item x="641"/>
        <item x="68"/>
        <item x="569"/>
        <item x="397"/>
        <item x="758"/>
        <item x="180"/>
        <item x="501"/>
        <item x="854"/>
        <item x="108"/>
        <item x="197"/>
        <item x="856"/>
        <item x="639"/>
        <item x="821"/>
        <item x="625"/>
        <item x="156"/>
        <item x="252"/>
        <item x="311"/>
        <item x="280"/>
        <item x="796"/>
        <item x="168"/>
        <item x="719"/>
        <item x="200"/>
        <item x="373"/>
        <item x="552"/>
        <item x="179"/>
        <item x="630"/>
        <item x="423"/>
        <item x="267"/>
        <item x="273"/>
        <item x="405"/>
        <item x="739"/>
        <item x="427"/>
        <item x="457"/>
        <item x="413"/>
        <item x="577"/>
        <item x="823"/>
        <item x="348"/>
        <item x="557"/>
        <item x="115"/>
        <item x="681"/>
        <item x="520"/>
        <item x="410"/>
        <item x="839"/>
        <item x="260"/>
        <item x="518"/>
        <item x="475"/>
        <item x="778"/>
        <item x="287"/>
        <item x="371"/>
        <item x="218"/>
        <item x="702"/>
        <item x="384"/>
        <item x="48"/>
        <item x="635"/>
        <item x="447"/>
        <item x="161"/>
        <item x="633"/>
        <item x="354"/>
        <item x="106"/>
        <item x="563"/>
        <item x="514"/>
        <item x="712"/>
        <item x="75"/>
        <item x="464"/>
        <item x="149"/>
        <item x="717"/>
        <item x="497"/>
        <item x="394"/>
        <item x="420"/>
        <item x="243"/>
        <item x="152"/>
        <item x="296"/>
        <item x="710"/>
        <item x="292"/>
        <item x="784"/>
        <item x="159"/>
        <item x="84"/>
        <item x="679"/>
        <item x="645"/>
        <item x="866"/>
        <item x="474"/>
        <item x="89"/>
        <item x="110"/>
        <item x="757"/>
        <item x="261"/>
        <item x="579"/>
        <item x="480"/>
        <item x="342"/>
        <item x="406"/>
        <item x="299"/>
        <item x="450"/>
        <item x="5"/>
        <item x="163"/>
        <item x="363"/>
        <item x="785"/>
        <item x="24"/>
        <item x="31"/>
        <item x="727"/>
        <item x="361"/>
        <item x="704"/>
        <item x="728"/>
        <item x="787"/>
        <item x="126"/>
        <item x="677"/>
        <item x="308"/>
        <item x="220"/>
        <item x="760"/>
        <item x="798"/>
        <item x="589"/>
        <item x="82"/>
        <item x="142"/>
        <item x="766"/>
        <item x="454"/>
        <item x="370"/>
        <item x="448"/>
        <item x="548"/>
        <item x="690"/>
        <item x="722"/>
        <item x="422"/>
        <item x="652"/>
        <item x="466"/>
        <item x="541"/>
        <item x="26"/>
        <item x="780"/>
        <item x="320"/>
        <item x="7"/>
        <item x="41"/>
        <item x="779"/>
        <item x="138"/>
        <item x="28"/>
        <item x="827"/>
        <item x="304"/>
        <item x="62"/>
        <item x="230"/>
        <item x="559"/>
        <item x="584"/>
        <item x="440"/>
        <item x="338"/>
        <item x="419"/>
        <item x="385"/>
        <item x="190"/>
        <item x="870"/>
        <item x="72"/>
        <item x="428"/>
        <item x="259"/>
        <item x="424"/>
        <item x="396"/>
        <item x="578"/>
        <item x="562"/>
        <item x="430"/>
        <item x="598"/>
        <item x="53"/>
        <item x="52"/>
        <item x="130"/>
        <item x="744"/>
        <item x="444"/>
        <item x="665"/>
        <item x="383"/>
        <item x="867"/>
        <item x="263"/>
        <item x="816"/>
        <item x="671"/>
        <item x="788"/>
        <item x="855"/>
        <item x="113"/>
        <item x="711"/>
        <item x="567"/>
        <item x="848"/>
        <item x="415"/>
        <item x="493"/>
        <item x="379"/>
        <item x="746"/>
        <item x="825"/>
        <item x="664"/>
        <item x="268"/>
        <item x="478"/>
        <item x="693"/>
        <item x="812"/>
        <item x="401"/>
        <item x="93"/>
        <item x="591"/>
        <item x="137"/>
        <item x="111"/>
        <item x="644"/>
        <item x="672"/>
        <item x="555"/>
        <item x="153"/>
        <item x="18"/>
        <item x="136"/>
        <item x="606"/>
        <item x="807"/>
        <item x="234"/>
        <item x="291"/>
        <item x="586"/>
        <item x="63"/>
        <item x="534"/>
        <item x="476"/>
        <item x="387"/>
        <item x="407"/>
        <item x="14"/>
        <item x="685"/>
        <item x="203"/>
        <item x="269"/>
        <item x="732"/>
        <item x="831"/>
        <item x="198"/>
        <item x="35"/>
        <item x="78"/>
        <item x="789"/>
        <item x="764"/>
        <item x="731"/>
        <item x="840"/>
        <item x="121"/>
        <item x="777"/>
        <item x="696"/>
        <item x="343"/>
        <item x="781"/>
        <item x="123"/>
        <item x="314"/>
        <item x="276"/>
        <item x="536"/>
        <item x="484"/>
        <item x="369"/>
        <item x="844"/>
        <item x="107"/>
        <item x="759"/>
        <item x="465"/>
        <item x="773"/>
        <item x="210"/>
        <item x="272"/>
        <item x="470"/>
        <item x="838"/>
        <item x="661"/>
        <item x="546"/>
        <item x="590"/>
        <item x="274"/>
        <item x="692"/>
        <item x="244"/>
        <item x="155"/>
        <item x="61"/>
        <item x="459"/>
        <item x="213"/>
        <item x="869"/>
        <item x="37"/>
        <item x="345"/>
        <item x="751"/>
        <item x="627"/>
        <item x="646"/>
        <item x="616"/>
        <item x="51"/>
        <item x="165"/>
        <item x="217"/>
        <item x="175"/>
        <item x="607"/>
        <item x="554"/>
        <item x="177"/>
        <item x="600"/>
        <item x="782"/>
        <item x="79"/>
        <item x="332"/>
        <item x="164"/>
        <item x="249"/>
        <item x="245"/>
        <item x="594"/>
        <item x="543"/>
        <item x="233"/>
        <item x="642"/>
        <item x="381"/>
        <item x="122"/>
        <item x="504"/>
        <item x="6"/>
        <item x="147"/>
        <item x="860"/>
        <item x="391"/>
        <item x="736"/>
        <item x="495"/>
        <item x="535"/>
        <item x="344"/>
        <item x="286"/>
        <item x="657"/>
        <item x="80"/>
        <item x="255"/>
        <item x="239"/>
        <item x="850"/>
        <item x="494"/>
        <item x="235"/>
        <item x="242"/>
        <item x="9"/>
        <item x="376"/>
        <item x="471"/>
        <item x="357"/>
        <item x="418"/>
        <item x="647"/>
        <item x="416"/>
        <item x="350"/>
        <item x="86"/>
        <item x="21"/>
        <item x="290"/>
        <item x="114"/>
        <item x="813"/>
        <item x="620"/>
        <item x="183"/>
        <item x="409"/>
        <item x="581"/>
        <item x="248"/>
        <item x="302"/>
        <item x="96"/>
        <item x="277"/>
        <item x="802"/>
        <item x="453"/>
        <item x="421"/>
        <item x="599"/>
        <item x="479"/>
        <item x="32"/>
        <item x="752"/>
        <item x="47"/>
        <item x="25"/>
        <item x="628"/>
        <item x="868"/>
        <item x="456"/>
        <item x="39"/>
        <item x="349"/>
        <item x="833"/>
        <item x="309"/>
        <item x="202"/>
        <item x="64"/>
        <item x="761"/>
        <item x="455"/>
        <item x="324"/>
        <item x="393"/>
        <item x="71"/>
        <item x="822"/>
        <item x="709"/>
        <item x="768"/>
        <item x="1"/>
        <item x="490"/>
        <item x="23"/>
        <item x="188"/>
        <item x="783"/>
        <item x="684"/>
        <item x="278"/>
        <item x="438"/>
        <item x="40"/>
        <item x="815"/>
        <item x="735"/>
        <item x="566"/>
        <item x="328"/>
        <item x="17"/>
        <item x="853"/>
        <item x="358"/>
        <item x="469"/>
        <item x="333"/>
        <item x="146"/>
        <item x="150"/>
        <item x="617"/>
        <item x="375"/>
        <item x="748"/>
        <item x="658"/>
        <item x="675"/>
        <item x="100"/>
        <item x="364"/>
        <item x="319"/>
        <item x="386"/>
        <item x="659"/>
        <item x="73"/>
        <item x="101"/>
        <item x="392"/>
        <item x="818"/>
        <item x="365"/>
        <item x="836"/>
        <item x="103"/>
        <item x="532"/>
        <item x="700"/>
        <item x="775"/>
        <item x="683"/>
        <item x="743"/>
        <item x="799"/>
        <item x="791"/>
        <item x="279"/>
        <item x="169"/>
        <item x="720"/>
        <item x="20"/>
        <item x="3"/>
        <item x="366"/>
        <item x="499"/>
        <item x="725"/>
        <item x="603"/>
        <item x="492"/>
        <item x="826"/>
        <item x="667"/>
        <item x="745"/>
        <item x="676"/>
        <item x="443"/>
        <item x="634"/>
        <item x="621"/>
        <item x="446"/>
        <item x="522"/>
        <item x="776"/>
        <item x="221"/>
        <item x="472"/>
        <item x="182"/>
        <item x="533"/>
        <item x="135"/>
        <item x="585"/>
        <item x="186"/>
        <item x="666"/>
        <item x="834"/>
        <item x="352"/>
        <item x="708"/>
        <item x="843"/>
        <item x="715"/>
        <item x="362"/>
        <item x="550"/>
        <item x="240"/>
        <item x="270"/>
        <item x="355"/>
        <item x="489"/>
        <item x="716"/>
        <item x="76"/>
        <item x="49"/>
        <item x="613"/>
        <item x="545"/>
        <item x="703"/>
        <item x="714"/>
        <item x="765"/>
        <item x="395"/>
        <item x="34"/>
        <item x="284"/>
        <item x="374"/>
        <item x="187"/>
        <item x="810"/>
        <item x="747"/>
        <item x="399"/>
        <item x="88"/>
        <item x="674"/>
        <item x="54"/>
        <item x="97"/>
        <item x="212"/>
        <item x="174"/>
        <item x="516"/>
        <item x="189"/>
        <item x="11"/>
        <item x="640"/>
        <item x="770"/>
        <item x="437"/>
        <item x="686"/>
        <item x="281"/>
        <item x="523"/>
        <item x="236"/>
        <item x="193"/>
        <item x="729"/>
        <item x="16"/>
        <item x="482"/>
        <item x="721"/>
        <item x="808"/>
        <item x="359"/>
        <item x="10"/>
        <item x="143"/>
        <item x="310"/>
        <item x="176"/>
        <item x="531"/>
        <item x="74"/>
        <item x="795"/>
        <item x="160"/>
        <item x="530"/>
        <item x="400"/>
        <item x="134"/>
        <item x="340"/>
        <item x="602"/>
        <item x="449"/>
        <item x="368"/>
        <item x="601"/>
        <item x="92"/>
        <item x="485"/>
        <item x="571"/>
        <item x="608"/>
        <item x="339"/>
        <item x="318"/>
        <item x="288"/>
        <item x="862"/>
        <item x="794"/>
        <item x="832"/>
        <item x="527"/>
        <item x="109"/>
        <item x="69"/>
        <item x="226"/>
        <item x="609"/>
        <item x="209"/>
        <item x="580"/>
        <item x="441"/>
        <item x="222"/>
        <item x="306"/>
        <item x="56"/>
        <item x="139"/>
        <item x="506"/>
        <item x="713"/>
        <item x="451"/>
        <item x="223"/>
        <item x="99"/>
        <item x="605"/>
        <item x="322"/>
        <item x="829"/>
        <item x="445"/>
        <item x="669"/>
        <item x="262"/>
        <item x="726"/>
        <item x="668"/>
        <item x="216"/>
        <item x="849"/>
        <item x="462"/>
        <item x="498"/>
        <item x="337"/>
        <item x="334"/>
        <item x="574"/>
        <item x="753"/>
        <item x="30"/>
        <item x="649"/>
        <item x="151"/>
        <item x="718"/>
        <item x="828"/>
        <item x="730"/>
        <item x="329"/>
        <item x="104"/>
        <item x="301"/>
        <item x="502"/>
        <item x="50"/>
        <item x="597"/>
        <item x="859"/>
        <item x="246"/>
        <item x="803"/>
        <item x="178"/>
        <item x="194"/>
        <item x="321"/>
        <item x="293"/>
        <item x="297"/>
        <item x="615"/>
        <item x="257"/>
        <item x="436"/>
        <item x="356"/>
        <item x="624"/>
        <item x="173"/>
        <item x="575"/>
        <item x="195"/>
        <item x="144"/>
        <item x="253"/>
        <item x="734"/>
        <item x="22"/>
        <item x="70"/>
        <item x="697"/>
        <item x="695"/>
        <item x="351"/>
        <item x="771"/>
        <item x="508"/>
        <item x="650"/>
        <item x="206"/>
        <item x="36"/>
        <item x="861"/>
        <item x="500"/>
        <item x="38"/>
        <item x="763"/>
        <item x="623"/>
        <item x="611"/>
        <item x="515"/>
        <item x="241"/>
        <item x="360"/>
        <item x="94"/>
        <item x="626"/>
        <item x="742"/>
        <item x="120"/>
        <item x="549"/>
        <item x="294"/>
        <item x="539"/>
        <item x="706"/>
        <item x="656"/>
        <item x="699"/>
        <item x="733"/>
        <item x="238"/>
        <item x="558"/>
        <item x="140"/>
        <item x="313"/>
        <item x="95"/>
        <item x="251"/>
        <item x="227"/>
        <item x="694"/>
        <item x="477"/>
        <item x="398"/>
        <item x="772"/>
        <item x="435"/>
        <item x="316"/>
        <item x="663"/>
        <item x="312"/>
        <item x="158"/>
        <item x="705"/>
        <item x="629"/>
        <item x="170"/>
        <item x="166"/>
        <item x="323"/>
        <item x="638"/>
        <item x="680"/>
        <item x="341"/>
        <item x="44"/>
        <item x="851"/>
        <item x="298"/>
        <item x="561"/>
        <item x="468"/>
        <item x="614"/>
        <item x="19"/>
        <item x="510"/>
        <item x="737"/>
        <item x="98"/>
        <item x="271"/>
        <item x="57"/>
        <item x="682"/>
        <item x="740"/>
        <item x="367"/>
        <item x="388"/>
        <item x="858"/>
        <item x="835"/>
        <item x="511"/>
        <item x="526"/>
        <item x="486"/>
        <item x="191"/>
        <item x="117"/>
        <item x="487"/>
        <item x="45"/>
        <item x="414"/>
        <item x="346"/>
        <item x="285"/>
        <item x="786"/>
        <item x="483"/>
        <item x="513"/>
        <item x="425"/>
        <item x="762"/>
        <item x="124"/>
        <item x="327"/>
        <item x="250"/>
        <item x="631"/>
        <item x="654"/>
        <item x="576"/>
        <item x="402"/>
        <item x="315"/>
        <item x="688"/>
        <item x="691"/>
        <item x="283"/>
        <item x="595"/>
        <item x="0"/>
        <item x="33"/>
        <item x="132"/>
        <item x="208"/>
        <item x="452"/>
        <item x="335"/>
        <item x="247"/>
        <item x="336"/>
        <item x="587"/>
        <item x="353"/>
        <item x="583"/>
        <item x="434"/>
        <item x="842"/>
        <item x="538"/>
        <item x="517"/>
        <item x="66"/>
        <item x="689"/>
        <item x="442"/>
        <item x="636"/>
        <item x="372"/>
        <item x="460"/>
        <item x="653"/>
        <item x="429"/>
        <item x="593"/>
        <item x="570"/>
        <item x="4"/>
        <item x="231"/>
        <item x="326"/>
        <item x="496"/>
        <item x="300"/>
        <item x="229"/>
        <item x="87"/>
        <item x="655"/>
        <item x="774"/>
        <item x="551"/>
        <item x="767"/>
        <item x="67"/>
        <item x="521"/>
        <item x="846"/>
        <item x="265"/>
        <item x="814"/>
        <item x="525"/>
        <item x="432"/>
        <item x="60"/>
        <item x="837"/>
        <item x="403"/>
        <item x="841"/>
        <item x="592"/>
        <item x="264"/>
        <item x="847"/>
        <item x="305"/>
        <item x="128"/>
        <item x="148"/>
        <item x="162"/>
        <item x="491"/>
        <item x="85"/>
        <item x="556"/>
        <item x="806"/>
        <item x="749"/>
        <item x="857"/>
        <item x="15"/>
        <item x="181"/>
        <item x="167"/>
        <item x="65"/>
        <item x="133"/>
        <item x="171"/>
        <item x="228"/>
        <item x="817"/>
        <item x="390"/>
        <item x="660"/>
        <item x="596"/>
        <item x="824"/>
        <item x="8"/>
        <item x="830"/>
        <item x="852"/>
        <item x="738"/>
        <item x="707"/>
        <item x="801"/>
        <item x="439"/>
        <item x="426"/>
        <item x="865"/>
        <item x="141"/>
        <item x="463"/>
        <item x="214"/>
        <item x="769"/>
        <item x="582"/>
        <item x="622"/>
        <item x="13"/>
        <item x="325"/>
        <item x="412"/>
        <item x="91"/>
        <item x="804"/>
        <item x="632"/>
        <item x="724"/>
        <item x="42"/>
        <item x="750"/>
        <item x="204"/>
        <item x="411"/>
        <item x="408"/>
        <item x="380"/>
        <item x="565"/>
        <item x="573"/>
        <item x="673"/>
        <item x="29"/>
        <item x="701"/>
        <item x="46"/>
        <item x="295"/>
        <item x="303"/>
        <item x="509"/>
        <item x="845"/>
        <item x="43"/>
        <item x="184"/>
        <item x="519"/>
        <item x="572"/>
        <item x="528"/>
        <item x="588"/>
        <item x="172"/>
        <item x="330"/>
        <item x="331"/>
        <item x="131"/>
        <item x="648"/>
        <item x="225"/>
        <item x="610"/>
        <item x="289"/>
        <item x="568"/>
        <item x="537"/>
        <item x="254"/>
        <item x="503"/>
        <item x="77"/>
        <item x="797"/>
        <item x="282"/>
        <item x="154"/>
        <item x="431"/>
        <item x="792"/>
        <item x="505"/>
        <item x="347"/>
        <item x="157"/>
        <item x="90"/>
        <item x="378"/>
        <item x="275"/>
        <item x="805"/>
        <item x="2"/>
        <item x="871"/>
        <item t="default"/>
      </items>
    </pivotField>
    <pivotField dataField="1" showAll="0">
      <items count="873">
        <item x="514"/>
        <item x="643"/>
        <item x="793"/>
        <item x="237"/>
        <item x="205"/>
        <item x="687"/>
        <item x="512"/>
        <item x="819"/>
        <item x="433"/>
        <item x="27"/>
        <item x="473"/>
        <item x="524"/>
        <item x="224"/>
        <item x="800"/>
        <item x="307"/>
        <item x="207"/>
        <item x="417"/>
        <item x="118"/>
        <item x="199"/>
        <item x="377"/>
        <item x="196"/>
        <item x="389"/>
        <item x="560"/>
        <item x="863"/>
        <item x="58"/>
        <item x="678"/>
        <item x="119"/>
        <item x="55"/>
        <item x="662"/>
        <item x="637"/>
        <item x="59"/>
        <item x="256"/>
        <item x="125"/>
        <item x="12"/>
        <item x="542"/>
        <item x="529"/>
        <item x="809"/>
        <item x="820"/>
        <item x="102"/>
        <item x="258"/>
        <item x="569"/>
        <item x="481"/>
        <item x="553"/>
        <item x="564"/>
        <item x="382"/>
        <item x="755"/>
        <item x="698"/>
        <item x="83"/>
        <item x="467"/>
        <item x="823"/>
        <item x="180"/>
        <item x="112"/>
        <item x="81"/>
        <item x="317"/>
        <item x="540"/>
        <item x="864"/>
        <item x="604"/>
        <item x="790"/>
        <item x="348"/>
        <item x="311"/>
        <item x="105"/>
        <item x="266"/>
        <item x="756"/>
        <item x="287"/>
        <item x="145"/>
        <item x="619"/>
        <item x="168"/>
        <item x="741"/>
        <item x="342"/>
        <item x="488"/>
        <item x="458"/>
        <item x="201"/>
        <item x="115"/>
        <item x="361"/>
        <item x="754"/>
        <item x="633"/>
        <item x="651"/>
        <item x="670"/>
        <item x="723"/>
        <item x="197"/>
        <item x="420"/>
        <item x="127"/>
        <item x="373"/>
        <item x="704"/>
        <item x="461"/>
        <item x="778"/>
        <item x="779"/>
        <item x="192"/>
        <item x="423"/>
        <item x="480"/>
        <item x="404"/>
        <item x="728"/>
        <item x="518"/>
        <item x="856"/>
        <item x="618"/>
        <item x="68"/>
        <item x="641"/>
        <item x="717"/>
        <item x="598"/>
        <item x="292"/>
        <item x="625"/>
        <item x="758"/>
        <item x="544"/>
        <item x="541"/>
        <item x="31"/>
        <item x="185"/>
        <item x="854"/>
        <item x="232"/>
        <item x="215"/>
        <item x="129"/>
        <item x="645"/>
        <item x="113"/>
        <item x="454"/>
        <item x="163"/>
        <item x="211"/>
        <item x="410"/>
        <item x="108"/>
        <item x="757"/>
        <item x="681"/>
        <item x="507"/>
        <item x="396"/>
        <item x="116"/>
        <item x="354"/>
        <item x="397"/>
        <item x="612"/>
        <item x="219"/>
        <item x="547"/>
        <item x="679"/>
        <item x="520"/>
        <item x="577"/>
        <item x="559"/>
        <item x="825"/>
        <item x="161"/>
        <item x="260"/>
        <item x="53"/>
        <item x="739"/>
        <item x="7"/>
        <item x="811"/>
        <item x="424"/>
        <item x="72"/>
        <item x="447"/>
        <item x="497"/>
        <item x="126"/>
        <item x="82"/>
        <item x="343"/>
        <item x="760"/>
        <item x="781"/>
        <item x="252"/>
        <item x="567"/>
        <item x="665"/>
        <item x="384"/>
        <item x="394"/>
        <item x="719"/>
        <item x="867"/>
        <item x="578"/>
        <item x="149"/>
        <item x="280"/>
        <item x="639"/>
        <item x="405"/>
        <item x="773"/>
        <item x="379"/>
        <item x="448"/>
        <item x="501"/>
        <item x="644"/>
        <item x="243"/>
        <item x="299"/>
        <item x="821"/>
        <item x="475"/>
        <item x="156"/>
        <item x="635"/>
        <item x="557"/>
        <item x="727"/>
        <item x="796"/>
        <item x="457"/>
        <item x="155"/>
        <item x="413"/>
        <item x="732"/>
        <item x="190"/>
        <item x="200"/>
        <item x="179"/>
        <item x="111"/>
        <item x="62"/>
        <item x="552"/>
        <item x="106"/>
        <item x="296"/>
        <item x="273"/>
        <item x="406"/>
        <item x="26"/>
        <item x="630"/>
        <item x="474"/>
        <item x="555"/>
        <item x="590"/>
        <item x="363"/>
        <item x="110"/>
        <item x="267"/>
        <item x="702"/>
        <item x="159"/>
        <item x="722"/>
        <item x="427"/>
        <item x="838"/>
        <item x="839"/>
        <item x="230"/>
        <item x="371"/>
        <item x="546"/>
        <item x="579"/>
        <item x="198"/>
        <item x="606"/>
        <item x="152"/>
        <item x="677"/>
        <item x="218"/>
        <item x="430"/>
        <item x="476"/>
        <item x="563"/>
        <item x="48"/>
        <item x="798"/>
        <item x="548"/>
        <item x="89"/>
        <item x="712"/>
        <item x="784"/>
        <item x="84"/>
        <item x="86"/>
        <item x="788"/>
        <item x="35"/>
        <item x="308"/>
        <item x="764"/>
        <item x="401"/>
        <item x="746"/>
        <item x="848"/>
        <item x="415"/>
        <item x="261"/>
        <item x="711"/>
        <item x="428"/>
        <item x="807"/>
        <item x="75"/>
        <item x="217"/>
        <item x="607"/>
        <item x="866"/>
        <item x="5"/>
        <item x="782"/>
        <item x="710"/>
        <item x="827"/>
        <item x="320"/>
        <item x="589"/>
        <item x="759"/>
        <item x="47"/>
        <item x="123"/>
        <item x="870"/>
        <item x="780"/>
        <item x="752"/>
        <item x="142"/>
        <item x="466"/>
        <item x="450"/>
        <item x="822"/>
        <item x="24"/>
        <item x="690"/>
        <item x="692"/>
        <item x="766"/>
        <item x="869"/>
        <item x="744"/>
        <item x="543"/>
        <item x="332"/>
        <item x="28"/>
        <item x="652"/>
        <item x="787"/>
        <item x="137"/>
        <item x="484"/>
        <item x="785"/>
        <item x="302"/>
        <item x="338"/>
        <item x="6"/>
        <item x="709"/>
        <item x="789"/>
        <item x="736"/>
        <item x="136"/>
        <item x="239"/>
        <item x="562"/>
        <item x="504"/>
        <item x="100"/>
        <item x="138"/>
        <item x="855"/>
        <item x="453"/>
        <item x="304"/>
        <item x="868"/>
        <item x="220"/>
        <item x="464"/>
        <item x="203"/>
        <item x="259"/>
        <item x="586"/>
        <item x="419"/>
        <item x="370"/>
        <item x="210"/>
        <item x="165"/>
        <item x="418"/>
        <item x="860"/>
        <item x="534"/>
        <item x="279"/>
        <item x="242"/>
        <item x="249"/>
        <item x="385"/>
        <item x="566"/>
        <item x="387"/>
        <item x="328"/>
        <item x="422"/>
        <item x="816"/>
        <item x="41"/>
        <item x="263"/>
        <item x="383"/>
        <item x="594"/>
        <item x="93"/>
        <item x="213"/>
        <item x="554"/>
        <item x="369"/>
        <item x="18"/>
        <item x="478"/>
        <item x="444"/>
        <item x="584"/>
        <item x="272"/>
        <item x="248"/>
        <item x="440"/>
        <item x="269"/>
        <item x="536"/>
        <item x="523"/>
        <item x="314"/>
        <item x="324"/>
        <item x="407"/>
        <item x="362"/>
        <item x="52"/>
        <item x="671"/>
        <item x="63"/>
        <item x="14"/>
        <item x="664"/>
        <item x="233"/>
        <item x="684"/>
        <item x="359"/>
        <item x="130"/>
        <item x="183"/>
        <item x="147"/>
        <item x="470"/>
        <item x="725"/>
        <item x="3"/>
        <item x="693"/>
        <item x="751"/>
        <item x="234"/>
        <item x="186"/>
        <item x="627"/>
        <item x="37"/>
        <item x="446"/>
        <item x="344"/>
        <item x="493"/>
        <item x="11"/>
        <item x="274"/>
        <item x="492"/>
        <item x="850"/>
        <item x="20"/>
        <item x="153"/>
        <item x="795"/>
        <item x="381"/>
        <item x="291"/>
        <item x="812"/>
        <item x="268"/>
        <item x="591"/>
        <item x="674"/>
        <item x="813"/>
        <item x="416"/>
        <item x="349"/>
        <item x="599"/>
        <item x="92"/>
        <item x="683"/>
        <item x="226"/>
        <item x="609"/>
        <item x="685"/>
        <item x="177"/>
        <item x="49"/>
        <item x="730"/>
        <item x="121"/>
        <item x="777"/>
        <item x="78"/>
        <item x="794"/>
        <item x="301"/>
        <item x="61"/>
        <item x="319"/>
        <item x="96"/>
        <item x="696"/>
        <item x="456"/>
        <item x="465"/>
        <item x="657"/>
        <item x="334"/>
        <item x="150"/>
        <item x="495"/>
        <item x="844"/>
        <item x="471"/>
        <item x="646"/>
        <item x="831"/>
        <item x="499"/>
        <item x="676"/>
        <item x="107"/>
        <item x="718"/>
        <item x="731"/>
        <item x="188"/>
        <item x="859"/>
        <item x="436"/>
        <item x="114"/>
        <item x="244"/>
        <item x="840"/>
        <item x="276"/>
        <item x="729"/>
        <item x="195"/>
        <item x="21"/>
        <item x="281"/>
        <item x="286"/>
        <item x="616"/>
        <item x="580"/>
        <item x="50"/>
        <item x="530"/>
        <item x="669"/>
        <item x="277"/>
        <item x="802"/>
        <item x="828"/>
        <item x="345"/>
        <item x="720"/>
        <item x="164"/>
        <item x="189"/>
        <item x="775"/>
        <item x="661"/>
        <item x="834"/>
        <item x="262"/>
        <item x="642"/>
        <item x="38"/>
        <item x="25"/>
        <item x="368"/>
        <item x="469"/>
        <item x="235"/>
        <item x="597"/>
        <item x="255"/>
        <item x="533"/>
        <item x="672"/>
        <item x="135"/>
        <item x="337"/>
        <item x="600"/>
        <item x="761"/>
        <item x="489"/>
        <item x="409"/>
        <item x="833"/>
        <item x="459"/>
        <item x="355"/>
        <item x="516"/>
        <item x="545"/>
        <item x="350"/>
        <item x="421"/>
        <item x="392"/>
        <item x="574"/>
        <item x="80"/>
        <item x="222"/>
        <item x="122"/>
        <item x="391"/>
        <item x="76"/>
        <item x="175"/>
        <item x="783"/>
        <item x="51"/>
        <item x="103"/>
        <item x="101"/>
        <item x="640"/>
        <item x="386"/>
        <item x="32"/>
        <item x="375"/>
        <item x="815"/>
        <item x="861"/>
        <item x="836"/>
        <item x="9"/>
        <item x="535"/>
        <item x="146"/>
        <item x="202"/>
        <item x="23"/>
        <item x="400"/>
        <item x="818"/>
        <item x="659"/>
        <item x="173"/>
        <item x="835"/>
        <item x="1"/>
        <item x="768"/>
        <item x="64"/>
        <item x="79"/>
        <item x="241"/>
        <item x="735"/>
        <item x="238"/>
        <item x="438"/>
        <item x="245"/>
        <item x="358"/>
        <item x="99"/>
        <item x="462"/>
        <item x="182"/>
        <item x="393"/>
        <item x="278"/>
        <item x="849"/>
        <item x="374"/>
        <item x="585"/>
        <item x="73"/>
        <item x="532"/>
        <item x="550"/>
        <item x="851"/>
        <item x="22"/>
        <item x="605"/>
        <item x="515"/>
        <item x="206"/>
        <item x="143"/>
        <item x="290"/>
        <item x="74"/>
        <item x="395"/>
        <item x="39"/>
        <item x="667"/>
        <item x="455"/>
        <item x="647"/>
        <item x="799"/>
        <item x="498"/>
        <item x="494"/>
        <item x="708"/>
        <item x="700"/>
        <item x="611"/>
        <item x="376"/>
        <item x="472"/>
        <item x="468"/>
        <item x="34"/>
        <item x="549"/>
        <item x="71"/>
        <item x="714"/>
        <item x="306"/>
        <item x="656"/>
        <item x="853"/>
        <item x="315"/>
        <item x="694"/>
        <item x="615"/>
        <item x="803"/>
        <item x="686"/>
        <item x="602"/>
        <item x="364"/>
        <item x="620"/>
        <item x="257"/>
        <item x="581"/>
        <item x="810"/>
        <item x="486"/>
        <item x="522"/>
        <item x="54"/>
        <item x="663"/>
        <item x="654"/>
        <item x="17"/>
        <item x="628"/>
        <item x="40"/>
        <item x="293"/>
        <item x="309"/>
        <item x="352"/>
        <item x="479"/>
        <item x="603"/>
        <item x="743"/>
        <item x="748"/>
        <item x="124"/>
        <item x="675"/>
        <item x="4"/>
        <item x="617"/>
        <item x="221"/>
        <item x="716"/>
        <item x="490"/>
        <item x="843"/>
        <item x="365"/>
        <item x="771"/>
        <item x="357"/>
        <item x="449"/>
        <item x="158"/>
        <item x="0"/>
        <item x="443"/>
        <item x="67"/>
        <item x="826"/>
        <item x="747"/>
        <item x="715"/>
        <item x="621"/>
        <item x="240"/>
        <item x="502"/>
        <item x="682"/>
        <item x="191"/>
        <item x="623"/>
        <item x="726"/>
        <item x="104"/>
        <item x="442"/>
        <item x="770"/>
        <item x="695"/>
        <item x="187"/>
        <item x="575"/>
        <item x="742"/>
        <item x="209"/>
        <item x="776"/>
        <item x="525"/>
        <item x="753"/>
        <item x="36"/>
        <item x="485"/>
        <item x="531"/>
        <item x="333"/>
        <item x="329"/>
        <item x="246"/>
        <item x="634"/>
        <item x="212"/>
        <item x="169"/>
        <item x="791"/>
        <item x="351"/>
        <item x="57"/>
        <item x="738"/>
        <item x="284"/>
        <item x="626"/>
        <item x="70"/>
        <item x="321"/>
        <item x="323"/>
        <item x="366"/>
        <item x="658"/>
        <item x="666"/>
        <item x="132"/>
        <item x="312"/>
        <item x="786"/>
        <item x="310"/>
        <item x="194"/>
        <item x="703"/>
        <item x="508"/>
        <item x="593"/>
        <item x="134"/>
        <item x="33"/>
        <item x="526"/>
        <item x="288"/>
        <item x="270"/>
        <item x="668"/>
        <item x="160"/>
        <item x="601"/>
        <item x="414"/>
        <item x="181"/>
        <item x="452"/>
        <item x="88"/>
        <item x="713"/>
        <item x="313"/>
        <item x="95"/>
        <item x="399"/>
        <item x="482"/>
        <item x="527"/>
        <item x="346"/>
        <item x="724"/>
        <item x="97"/>
        <item x="556"/>
        <item x="673"/>
        <item x="141"/>
        <item x="10"/>
        <item x="437"/>
        <item x="174"/>
        <item x="697"/>
        <item x="13"/>
        <item x="227"/>
        <item x="765"/>
        <item x="613"/>
        <item x="204"/>
        <item x="649"/>
        <item x="477"/>
        <item x="483"/>
        <item x="176"/>
        <item x="445"/>
        <item x="510"/>
        <item x="339"/>
        <item x="487"/>
        <item x="318"/>
        <item x="144"/>
        <item x="506"/>
        <item x="223"/>
        <item x="356"/>
        <item x="16"/>
        <item x="251"/>
        <item x="596"/>
        <item x="336"/>
        <item x="236"/>
        <item x="451"/>
        <item x="109"/>
        <item x="808"/>
        <item x="139"/>
        <item x="737"/>
        <item x="193"/>
        <item x="460"/>
        <item x="689"/>
        <item x="862"/>
        <item x="98"/>
        <item x="829"/>
        <item x="721"/>
        <item x="441"/>
        <item x="521"/>
        <item x="30"/>
        <item x="340"/>
        <item x="774"/>
        <item x="69"/>
        <item x="426"/>
        <item x="178"/>
        <item x="325"/>
        <item x="571"/>
        <item x="294"/>
        <item x="398"/>
        <item x="166"/>
        <item x="680"/>
        <item x="832"/>
        <item x="56"/>
        <item x="763"/>
        <item x="570"/>
        <item x="688"/>
        <item x="322"/>
        <item x="608"/>
        <item x="797"/>
        <item x="253"/>
        <item x="225"/>
        <item x="335"/>
        <item x="170"/>
        <item x="353"/>
        <item x="120"/>
        <item x="841"/>
        <item x="528"/>
        <item x="745"/>
        <item x="439"/>
        <item x="91"/>
        <item x="500"/>
        <item x="216"/>
        <item x="45"/>
        <item x="271"/>
        <item x="140"/>
        <item x="538"/>
        <item x="519"/>
        <item x="814"/>
        <item x="539"/>
        <item x="576"/>
        <item x="162"/>
        <item x="65"/>
        <item x="588"/>
        <item x="434"/>
        <item x="558"/>
        <item x="653"/>
        <item x="650"/>
        <item x="151"/>
        <item x="582"/>
        <item x="44"/>
        <item x="435"/>
        <item x="624"/>
        <item x="733"/>
        <item x="705"/>
        <item x="837"/>
        <item x="806"/>
        <item x="94"/>
        <item x="565"/>
        <item x="117"/>
        <item x="772"/>
        <item x="372"/>
        <item x="425"/>
        <item x="297"/>
        <item x="629"/>
        <item x="367"/>
        <item x="228"/>
        <item x="734"/>
        <item x="275"/>
        <item x="632"/>
        <item x="614"/>
        <item x="491"/>
        <item x="857"/>
        <item x="128"/>
        <item x="767"/>
        <item x="265"/>
        <item x="706"/>
        <item x="390"/>
        <item x="360"/>
        <item x="511"/>
        <item x="847"/>
        <item x="561"/>
        <item x="762"/>
        <item x="388"/>
        <item x="380"/>
        <item x="699"/>
        <item x="283"/>
        <item x="341"/>
        <item x="858"/>
        <item x="403"/>
        <item x="316"/>
        <item x="638"/>
        <item x="19"/>
        <item x="298"/>
        <item x="691"/>
        <item x="327"/>
        <item x="846"/>
        <item x="231"/>
        <item x="90"/>
        <item x="285"/>
        <item x="595"/>
        <item x="792"/>
        <item x="842"/>
        <item x="631"/>
        <item x="148"/>
        <item x="817"/>
        <item x="537"/>
        <item x="636"/>
        <item x="247"/>
        <item x="264"/>
        <item x="402"/>
        <item x="740"/>
        <item x="660"/>
        <item x="229"/>
        <item x="572"/>
        <item x="46"/>
        <item x="852"/>
        <item x="517"/>
        <item x="587"/>
        <item x="8"/>
        <item x="250"/>
        <item x="167"/>
        <item x="85"/>
        <item x="429"/>
        <item x="513"/>
        <item x="592"/>
        <item x="432"/>
        <item x="15"/>
        <item x="214"/>
        <item x="551"/>
        <item x="154"/>
        <item x="509"/>
        <item x="208"/>
        <item x="305"/>
        <item x="60"/>
        <item x="326"/>
        <item x="583"/>
        <item x="503"/>
        <item x="411"/>
        <item x="77"/>
        <item x="830"/>
        <item x="865"/>
        <item x="412"/>
        <item x="610"/>
        <item x="66"/>
        <item x="87"/>
        <item x="701"/>
        <item x="282"/>
        <item x="845"/>
        <item x="769"/>
        <item x="750"/>
        <item x="496"/>
        <item x="408"/>
        <item x="157"/>
        <item x="289"/>
        <item x="655"/>
        <item x="824"/>
        <item x="42"/>
        <item x="131"/>
        <item x="707"/>
        <item x="749"/>
        <item x="133"/>
        <item x="622"/>
        <item x="29"/>
        <item x="172"/>
        <item x="431"/>
        <item x="254"/>
        <item x="171"/>
        <item x="295"/>
        <item x="804"/>
        <item x="300"/>
        <item x="805"/>
        <item x="331"/>
        <item x="801"/>
        <item x="568"/>
        <item x="463"/>
        <item x="303"/>
        <item x="378"/>
        <item x="573"/>
        <item x="505"/>
        <item x="43"/>
        <item x="184"/>
        <item x="330"/>
        <item x="648"/>
        <item x="347"/>
        <item x="2"/>
        <item x="8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3"/>
    <field x="14"/>
  </rowFields>
  <rowItems count="20">
    <i>
      <x/>
    </i>
    <i r="1">
      <x v="3"/>
    </i>
    <i r="1">
      <x v="4"/>
    </i>
    <i r="1">
      <x v="6"/>
    </i>
    <i r="1">
      <x v="12"/>
    </i>
    <i t="default">
      <x/>
    </i>
    <i>
      <x v="1"/>
    </i>
    <i r="1">
      <x v="1"/>
    </i>
    <i r="1">
      <x v="2"/>
    </i>
    <i r="1">
      <x v="7"/>
    </i>
    <i r="1">
      <x v="9"/>
    </i>
    <i r="1">
      <x v="11"/>
    </i>
    <i t="default">
      <x v="1"/>
    </i>
    <i>
      <x v="2"/>
    </i>
    <i r="1">
      <x/>
    </i>
    <i r="1">
      <x v="5"/>
    </i>
    <i r="1">
      <x v="8"/>
    </i>
    <i r="1">
      <x v="10"/>
    </i>
    <i t="default"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2" hier="-1"/>
  </pageFields>
  <dataFields count="2">
    <dataField name="Sum of calculated_sales" fld="20" baseField="13" baseItem="0" numFmtId="1"/>
    <dataField name="Sum of calculated_profit" fld="21" baseField="13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075B1-B8A6-4521-AAB5-E669DF24DF4A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0" firstHeaderRow="0" firstDataRow="1" firstDataCol="1" rowPageCount="2" colPageCount="1"/>
  <pivotFields count="48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3"/>
        <item x="0"/>
        <item x="2"/>
        <item x="1"/>
        <item h="1" x="4"/>
        <item t="default"/>
      </items>
    </pivotField>
    <pivotField axis="axisPage" multipleItemSelectionAllowed="1" showAll="0">
      <items count="5">
        <item h="1"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73">
        <item x="687"/>
        <item x="27"/>
        <item x="643"/>
        <item x="307"/>
        <item x="819"/>
        <item x="433"/>
        <item x="473"/>
        <item x="205"/>
        <item x="512"/>
        <item x="560"/>
        <item x="524"/>
        <item x="199"/>
        <item x="196"/>
        <item x="256"/>
        <item x="118"/>
        <item x="793"/>
        <item x="237"/>
        <item x="553"/>
        <item x="863"/>
        <item x="12"/>
        <item x="83"/>
        <item x="800"/>
        <item x="119"/>
        <item x="58"/>
        <item x="224"/>
        <item x="542"/>
        <item x="662"/>
        <item x="467"/>
        <item x="207"/>
        <item x="637"/>
        <item x="377"/>
        <item x="112"/>
        <item x="698"/>
        <item x="317"/>
        <item x="258"/>
        <item x="790"/>
        <item x="105"/>
        <item x="564"/>
        <item x="481"/>
        <item x="755"/>
        <item x="125"/>
        <item x="458"/>
        <item x="741"/>
        <item x="81"/>
        <item x="59"/>
        <item x="266"/>
        <item x="417"/>
        <item x="201"/>
        <item x="670"/>
        <item x="651"/>
        <item x="678"/>
        <item x="461"/>
        <item x="127"/>
        <item x="529"/>
        <item x="809"/>
        <item x="389"/>
        <item x="192"/>
        <item x="864"/>
        <item x="540"/>
        <item x="507"/>
        <item x="756"/>
        <item x="215"/>
        <item x="488"/>
        <item x="232"/>
        <item x="382"/>
        <item x="102"/>
        <item x="604"/>
        <item x="619"/>
        <item x="55"/>
        <item x="211"/>
        <item x="547"/>
        <item x="820"/>
        <item x="404"/>
        <item x="754"/>
        <item x="612"/>
        <item x="145"/>
        <item x="129"/>
        <item x="185"/>
        <item x="116"/>
        <item x="723"/>
        <item x="811"/>
        <item x="219"/>
        <item x="544"/>
        <item x="618"/>
        <item x="641"/>
        <item x="68"/>
        <item x="569"/>
        <item x="397"/>
        <item x="758"/>
        <item x="180"/>
        <item x="501"/>
        <item x="854"/>
        <item x="108"/>
        <item x="197"/>
        <item x="856"/>
        <item x="639"/>
        <item x="821"/>
        <item x="625"/>
        <item x="156"/>
        <item x="252"/>
        <item x="311"/>
        <item x="280"/>
        <item x="796"/>
        <item x="168"/>
        <item x="719"/>
        <item x="200"/>
        <item x="373"/>
        <item x="552"/>
        <item x="179"/>
        <item x="630"/>
        <item x="423"/>
        <item x="267"/>
        <item x="273"/>
        <item x="405"/>
        <item x="739"/>
        <item x="427"/>
        <item x="457"/>
        <item x="413"/>
        <item x="577"/>
        <item x="823"/>
        <item x="348"/>
        <item x="557"/>
        <item x="115"/>
        <item x="681"/>
        <item x="520"/>
        <item x="410"/>
        <item x="839"/>
        <item x="260"/>
        <item x="518"/>
        <item x="475"/>
        <item x="778"/>
        <item x="287"/>
        <item x="371"/>
        <item x="218"/>
        <item x="702"/>
        <item x="384"/>
        <item x="48"/>
        <item x="635"/>
        <item x="447"/>
        <item x="161"/>
        <item x="633"/>
        <item x="354"/>
        <item x="106"/>
        <item x="563"/>
        <item x="514"/>
        <item x="712"/>
        <item x="75"/>
        <item x="464"/>
        <item x="149"/>
        <item x="717"/>
        <item x="497"/>
        <item x="394"/>
        <item x="420"/>
        <item x="243"/>
        <item x="152"/>
        <item x="296"/>
        <item x="710"/>
        <item x="292"/>
        <item x="784"/>
        <item x="159"/>
        <item x="84"/>
        <item x="679"/>
        <item x="645"/>
        <item x="866"/>
        <item x="474"/>
        <item x="89"/>
        <item x="110"/>
        <item x="757"/>
        <item x="261"/>
        <item x="579"/>
        <item x="480"/>
        <item x="342"/>
        <item x="406"/>
        <item x="299"/>
        <item x="450"/>
        <item x="5"/>
        <item x="163"/>
        <item x="363"/>
        <item x="785"/>
        <item x="24"/>
        <item x="31"/>
        <item x="727"/>
        <item x="361"/>
        <item x="704"/>
        <item x="728"/>
        <item x="787"/>
        <item x="126"/>
        <item x="677"/>
        <item x="308"/>
        <item x="220"/>
        <item x="760"/>
        <item x="798"/>
        <item x="589"/>
        <item x="82"/>
        <item x="142"/>
        <item x="766"/>
        <item x="454"/>
        <item x="370"/>
        <item x="448"/>
        <item x="548"/>
        <item x="690"/>
        <item x="722"/>
        <item x="422"/>
        <item x="652"/>
        <item x="466"/>
        <item x="541"/>
        <item x="26"/>
        <item x="780"/>
        <item x="320"/>
        <item x="7"/>
        <item x="41"/>
        <item x="779"/>
        <item x="138"/>
        <item x="28"/>
        <item x="827"/>
        <item x="304"/>
        <item x="62"/>
        <item x="230"/>
        <item x="559"/>
        <item x="584"/>
        <item x="440"/>
        <item x="338"/>
        <item x="419"/>
        <item x="385"/>
        <item x="190"/>
        <item x="870"/>
        <item x="72"/>
        <item x="428"/>
        <item x="259"/>
        <item x="424"/>
        <item x="396"/>
        <item x="578"/>
        <item x="562"/>
        <item x="430"/>
        <item x="598"/>
        <item x="53"/>
        <item x="52"/>
        <item x="130"/>
        <item x="744"/>
        <item x="444"/>
        <item x="665"/>
        <item x="383"/>
        <item x="867"/>
        <item x="263"/>
        <item x="816"/>
        <item x="671"/>
        <item x="788"/>
        <item x="855"/>
        <item x="113"/>
        <item x="711"/>
        <item x="567"/>
        <item x="848"/>
        <item x="415"/>
        <item x="493"/>
        <item x="379"/>
        <item x="746"/>
        <item x="825"/>
        <item x="664"/>
        <item x="268"/>
        <item x="478"/>
        <item x="693"/>
        <item x="812"/>
        <item x="401"/>
        <item x="93"/>
        <item x="591"/>
        <item x="137"/>
        <item x="111"/>
        <item x="644"/>
        <item x="672"/>
        <item x="555"/>
        <item x="153"/>
        <item x="18"/>
        <item x="136"/>
        <item x="606"/>
        <item x="807"/>
        <item x="234"/>
        <item x="291"/>
        <item x="586"/>
        <item x="63"/>
        <item x="534"/>
        <item x="476"/>
        <item x="387"/>
        <item x="407"/>
        <item x="14"/>
        <item x="685"/>
        <item x="203"/>
        <item x="269"/>
        <item x="732"/>
        <item x="831"/>
        <item x="198"/>
        <item x="35"/>
        <item x="78"/>
        <item x="789"/>
        <item x="764"/>
        <item x="731"/>
        <item x="840"/>
        <item x="121"/>
        <item x="777"/>
        <item x="696"/>
        <item x="343"/>
        <item x="781"/>
        <item x="123"/>
        <item x="314"/>
        <item x="276"/>
        <item x="536"/>
        <item x="484"/>
        <item x="369"/>
        <item x="844"/>
        <item x="107"/>
        <item x="759"/>
        <item x="465"/>
        <item x="773"/>
        <item x="210"/>
        <item x="272"/>
        <item x="470"/>
        <item x="838"/>
        <item x="661"/>
        <item x="546"/>
        <item x="590"/>
        <item x="274"/>
        <item x="692"/>
        <item x="244"/>
        <item x="155"/>
        <item x="61"/>
        <item x="459"/>
        <item x="213"/>
        <item x="869"/>
        <item x="37"/>
        <item x="345"/>
        <item x="751"/>
        <item x="627"/>
        <item x="646"/>
        <item x="616"/>
        <item x="51"/>
        <item x="165"/>
        <item x="217"/>
        <item x="175"/>
        <item x="607"/>
        <item x="554"/>
        <item x="177"/>
        <item x="600"/>
        <item x="782"/>
        <item x="79"/>
        <item x="332"/>
        <item x="164"/>
        <item x="249"/>
        <item x="245"/>
        <item x="594"/>
        <item x="543"/>
        <item x="233"/>
        <item x="642"/>
        <item x="381"/>
        <item x="122"/>
        <item x="504"/>
        <item x="6"/>
        <item x="147"/>
        <item x="860"/>
        <item x="391"/>
        <item x="736"/>
        <item x="495"/>
        <item x="535"/>
        <item x="344"/>
        <item x="286"/>
        <item x="657"/>
        <item x="80"/>
        <item x="255"/>
        <item x="239"/>
        <item x="850"/>
        <item x="494"/>
        <item x="235"/>
        <item x="242"/>
        <item x="9"/>
        <item x="376"/>
        <item x="471"/>
        <item x="357"/>
        <item x="418"/>
        <item x="647"/>
        <item x="416"/>
        <item x="350"/>
        <item x="86"/>
        <item x="21"/>
        <item x="290"/>
        <item x="114"/>
        <item x="813"/>
        <item x="620"/>
        <item x="183"/>
        <item x="409"/>
        <item x="581"/>
        <item x="248"/>
        <item x="302"/>
        <item x="96"/>
        <item x="277"/>
        <item x="802"/>
        <item x="453"/>
        <item x="421"/>
        <item x="599"/>
        <item x="479"/>
        <item x="32"/>
        <item x="752"/>
        <item x="47"/>
        <item x="25"/>
        <item x="628"/>
        <item x="868"/>
        <item x="456"/>
        <item x="39"/>
        <item x="349"/>
        <item x="833"/>
        <item x="309"/>
        <item x="202"/>
        <item x="64"/>
        <item x="761"/>
        <item x="455"/>
        <item x="324"/>
        <item x="393"/>
        <item x="71"/>
        <item x="822"/>
        <item x="709"/>
        <item x="768"/>
        <item x="1"/>
        <item x="490"/>
        <item x="23"/>
        <item x="188"/>
        <item x="783"/>
        <item x="684"/>
        <item x="278"/>
        <item x="438"/>
        <item x="40"/>
        <item x="815"/>
        <item x="735"/>
        <item x="566"/>
        <item x="328"/>
        <item x="17"/>
        <item x="853"/>
        <item x="358"/>
        <item x="469"/>
        <item x="333"/>
        <item x="146"/>
        <item x="150"/>
        <item x="617"/>
        <item x="375"/>
        <item x="748"/>
        <item x="658"/>
        <item x="675"/>
        <item x="100"/>
        <item x="364"/>
        <item x="319"/>
        <item x="386"/>
        <item x="659"/>
        <item x="73"/>
        <item x="101"/>
        <item x="392"/>
        <item x="818"/>
        <item x="365"/>
        <item x="836"/>
        <item x="103"/>
        <item x="532"/>
        <item x="700"/>
        <item x="775"/>
        <item x="683"/>
        <item x="743"/>
        <item x="799"/>
        <item x="791"/>
        <item x="279"/>
        <item x="169"/>
        <item x="720"/>
        <item x="20"/>
        <item x="3"/>
        <item x="366"/>
        <item x="499"/>
        <item x="725"/>
        <item x="603"/>
        <item x="492"/>
        <item x="826"/>
        <item x="667"/>
        <item x="745"/>
        <item x="676"/>
        <item x="443"/>
        <item x="634"/>
        <item x="621"/>
        <item x="446"/>
        <item x="522"/>
        <item x="776"/>
        <item x="221"/>
        <item x="472"/>
        <item x="182"/>
        <item x="533"/>
        <item x="135"/>
        <item x="585"/>
        <item x="186"/>
        <item x="666"/>
        <item x="834"/>
        <item x="352"/>
        <item x="708"/>
        <item x="843"/>
        <item x="715"/>
        <item x="362"/>
        <item x="550"/>
        <item x="240"/>
        <item x="270"/>
        <item x="355"/>
        <item x="489"/>
        <item x="716"/>
        <item x="76"/>
        <item x="49"/>
        <item x="613"/>
        <item x="545"/>
        <item x="703"/>
        <item x="714"/>
        <item x="765"/>
        <item x="395"/>
        <item x="34"/>
        <item x="284"/>
        <item x="374"/>
        <item x="187"/>
        <item x="810"/>
        <item x="747"/>
        <item x="399"/>
        <item x="88"/>
        <item x="674"/>
        <item x="54"/>
        <item x="97"/>
        <item x="212"/>
        <item x="174"/>
        <item x="516"/>
        <item x="189"/>
        <item x="11"/>
        <item x="640"/>
        <item x="770"/>
        <item x="437"/>
        <item x="686"/>
        <item x="281"/>
        <item x="523"/>
        <item x="236"/>
        <item x="193"/>
        <item x="729"/>
        <item x="16"/>
        <item x="482"/>
        <item x="721"/>
        <item x="808"/>
        <item x="359"/>
        <item x="10"/>
        <item x="143"/>
        <item x="310"/>
        <item x="176"/>
        <item x="531"/>
        <item x="74"/>
        <item x="795"/>
        <item x="160"/>
        <item x="530"/>
        <item x="400"/>
        <item x="134"/>
        <item x="340"/>
        <item x="602"/>
        <item x="449"/>
        <item x="368"/>
        <item x="601"/>
        <item x="92"/>
        <item x="485"/>
        <item x="571"/>
        <item x="608"/>
        <item x="339"/>
        <item x="318"/>
        <item x="288"/>
        <item x="862"/>
        <item x="794"/>
        <item x="832"/>
        <item x="527"/>
        <item x="109"/>
        <item x="69"/>
        <item x="226"/>
        <item x="609"/>
        <item x="209"/>
        <item x="580"/>
        <item x="441"/>
        <item x="222"/>
        <item x="306"/>
        <item x="56"/>
        <item x="139"/>
        <item x="506"/>
        <item x="713"/>
        <item x="451"/>
        <item x="223"/>
        <item x="99"/>
        <item x="605"/>
        <item x="322"/>
        <item x="829"/>
        <item x="445"/>
        <item x="669"/>
        <item x="262"/>
        <item x="726"/>
        <item x="668"/>
        <item x="216"/>
        <item x="849"/>
        <item x="462"/>
        <item x="498"/>
        <item x="337"/>
        <item x="334"/>
        <item x="574"/>
        <item x="753"/>
        <item x="30"/>
        <item x="649"/>
        <item x="151"/>
        <item x="718"/>
        <item x="828"/>
        <item x="730"/>
        <item x="329"/>
        <item x="104"/>
        <item x="301"/>
        <item x="502"/>
        <item x="50"/>
        <item x="597"/>
        <item x="859"/>
        <item x="246"/>
        <item x="803"/>
        <item x="178"/>
        <item x="194"/>
        <item x="321"/>
        <item x="293"/>
        <item x="297"/>
        <item x="615"/>
        <item x="257"/>
        <item x="436"/>
        <item x="356"/>
        <item x="624"/>
        <item x="173"/>
        <item x="575"/>
        <item x="195"/>
        <item x="144"/>
        <item x="253"/>
        <item x="734"/>
        <item x="22"/>
        <item x="70"/>
        <item x="697"/>
        <item x="695"/>
        <item x="351"/>
        <item x="771"/>
        <item x="508"/>
        <item x="650"/>
        <item x="206"/>
        <item x="36"/>
        <item x="861"/>
        <item x="500"/>
        <item x="38"/>
        <item x="763"/>
        <item x="623"/>
        <item x="611"/>
        <item x="515"/>
        <item x="241"/>
        <item x="360"/>
        <item x="94"/>
        <item x="626"/>
        <item x="742"/>
        <item x="120"/>
        <item x="549"/>
        <item x="294"/>
        <item x="539"/>
        <item x="706"/>
        <item x="656"/>
        <item x="699"/>
        <item x="733"/>
        <item x="238"/>
        <item x="558"/>
        <item x="140"/>
        <item x="313"/>
        <item x="95"/>
        <item x="251"/>
        <item x="227"/>
        <item x="694"/>
        <item x="477"/>
        <item x="398"/>
        <item x="772"/>
        <item x="435"/>
        <item x="316"/>
        <item x="663"/>
        <item x="312"/>
        <item x="158"/>
        <item x="705"/>
        <item x="629"/>
        <item x="170"/>
        <item x="166"/>
        <item x="323"/>
        <item x="638"/>
        <item x="680"/>
        <item x="341"/>
        <item x="44"/>
        <item x="851"/>
        <item x="298"/>
        <item x="561"/>
        <item x="468"/>
        <item x="614"/>
        <item x="19"/>
        <item x="510"/>
        <item x="737"/>
        <item x="98"/>
        <item x="271"/>
        <item x="57"/>
        <item x="682"/>
        <item x="740"/>
        <item x="367"/>
        <item x="388"/>
        <item x="858"/>
        <item x="835"/>
        <item x="511"/>
        <item x="526"/>
        <item x="486"/>
        <item x="191"/>
        <item x="117"/>
        <item x="487"/>
        <item x="45"/>
        <item x="414"/>
        <item x="346"/>
        <item x="285"/>
        <item x="786"/>
        <item x="483"/>
        <item x="513"/>
        <item x="425"/>
        <item x="762"/>
        <item x="124"/>
        <item x="327"/>
        <item x="250"/>
        <item x="631"/>
        <item x="654"/>
        <item x="576"/>
        <item x="402"/>
        <item x="315"/>
        <item x="688"/>
        <item x="691"/>
        <item x="283"/>
        <item x="595"/>
        <item x="0"/>
        <item x="33"/>
        <item x="132"/>
        <item x="208"/>
        <item x="452"/>
        <item x="335"/>
        <item x="247"/>
        <item x="336"/>
        <item x="587"/>
        <item x="353"/>
        <item x="583"/>
        <item x="434"/>
        <item x="842"/>
        <item x="538"/>
        <item x="517"/>
        <item x="66"/>
        <item x="689"/>
        <item x="442"/>
        <item x="636"/>
        <item x="372"/>
        <item x="460"/>
        <item x="653"/>
        <item x="429"/>
        <item x="593"/>
        <item x="570"/>
        <item x="4"/>
        <item x="231"/>
        <item x="326"/>
        <item x="496"/>
        <item x="300"/>
        <item x="229"/>
        <item x="87"/>
        <item x="655"/>
        <item x="774"/>
        <item x="551"/>
        <item x="767"/>
        <item x="67"/>
        <item x="521"/>
        <item x="846"/>
        <item x="265"/>
        <item x="814"/>
        <item x="525"/>
        <item x="432"/>
        <item x="60"/>
        <item x="837"/>
        <item x="403"/>
        <item x="841"/>
        <item x="592"/>
        <item x="264"/>
        <item x="847"/>
        <item x="305"/>
        <item x="128"/>
        <item x="148"/>
        <item x="162"/>
        <item x="491"/>
        <item x="85"/>
        <item x="556"/>
        <item x="806"/>
        <item x="749"/>
        <item x="857"/>
        <item x="15"/>
        <item x="181"/>
        <item x="167"/>
        <item x="65"/>
        <item x="133"/>
        <item x="171"/>
        <item x="228"/>
        <item x="817"/>
        <item x="390"/>
        <item x="660"/>
        <item x="596"/>
        <item x="824"/>
        <item x="8"/>
        <item x="830"/>
        <item x="852"/>
        <item x="738"/>
        <item x="707"/>
        <item x="801"/>
        <item x="439"/>
        <item x="426"/>
        <item x="865"/>
        <item x="141"/>
        <item x="463"/>
        <item x="214"/>
        <item x="769"/>
        <item x="582"/>
        <item x="622"/>
        <item x="13"/>
        <item x="325"/>
        <item x="412"/>
        <item x="91"/>
        <item x="804"/>
        <item x="632"/>
        <item x="724"/>
        <item x="42"/>
        <item x="750"/>
        <item x="204"/>
        <item x="411"/>
        <item x="408"/>
        <item x="380"/>
        <item x="565"/>
        <item x="573"/>
        <item x="673"/>
        <item x="29"/>
        <item x="701"/>
        <item x="46"/>
        <item x="295"/>
        <item x="303"/>
        <item x="509"/>
        <item x="845"/>
        <item x="43"/>
        <item x="184"/>
        <item x="519"/>
        <item x="572"/>
        <item x="528"/>
        <item x="588"/>
        <item x="172"/>
        <item x="330"/>
        <item x="331"/>
        <item x="131"/>
        <item x="648"/>
        <item x="225"/>
        <item x="610"/>
        <item x="289"/>
        <item x="568"/>
        <item x="537"/>
        <item x="254"/>
        <item x="503"/>
        <item x="77"/>
        <item x="797"/>
        <item x="282"/>
        <item x="154"/>
        <item x="431"/>
        <item x="792"/>
        <item x="505"/>
        <item x="347"/>
        <item x="157"/>
        <item x="90"/>
        <item x="378"/>
        <item x="275"/>
        <item x="805"/>
        <item x="2"/>
        <item x="871"/>
        <item t="default"/>
      </items>
    </pivotField>
    <pivotField dataField="1" showAll="0">
      <items count="873">
        <item x="514"/>
        <item x="643"/>
        <item x="793"/>
        <item x="237"/>
        <item x="205"/>
        <item x="687"/>
        <item x="512"/>
        <item x="819"/>
        <item x="433"/>
        <item x="27"/>
        <item x="473"/>
        <item x="524"/>
        <item x="224"/>
        <item x="800"/>
        <item x="307"/>
        <item x="207"/>
        <item x="417"/>
        <item x="118"/>
        <item x="199"/>
        <item x="377"/>
        <item x="196"/>
        <item x="389"/>
        <item x="560"/>
        <item x="863"/>
        <item x="58"/>
        <item x="678"/>
        <item x="119"/>
        <item x="55"/>
        <item x="662"/>
        <item x="637"/>
        <item x="59"/>
        <item x="256"/>
        <item x="125"/>
        <item x="12"/>
        <item x="542"/>
        <item x="529"/>
        <item x="809"/>
        <item x="820"/>
        <item x="102"/>
        <item x="258"/>
        <item x="569"/>
        <item x="481"/>
        <item x="553"/>
        <item x="564"/>
        <item x="382"/>
        <item x="755"/>
        <item x="698"/>
        <item x="83"/>
        <item x="467"/>
        <item x="823"/>
        <item x="180"/>
        <item x="112"/>
        <item x="81"/>
        <item x="317"/>
        <item x="540"/>
        <item x="864"/>
        <item x="604"/>
        <item x="790"/>
        <item x="348"/>
        <item x="311"/>
        <item x="105"/>
        <item x="266"/>
        <item x="756"/>
        <item x="287"/>
        <item x="145"/>
        <item x="619"/>
        <item x="168"/>
        <item x="741"/>
        <item x="342"/>
        <item x="488"/>
        <item x="458"/>
        <item x="201"/>
        <item x="115"/>
        <item x="361"/>
        <item x="754"/>
        <item x="633"/>
        <item x="651"/>
        <item x="670"/>
        <item x="723"/>
        <item x="197"/>
        <item x="420"/>
        <item x="127"/>
        <item x="373"/>
        <item x="704"/>
        <item x="461"/>
        <item x="778"/>
        <item x="779"/>
        <item x="192"/>
        <item x="423"/>
        <item x="480"/>
        <item x="404"/>
        <item x="728"/>
        <item x="518"/>
        <item x="856"/>
        <item x="618"/>
        <item x="68"/>
        <item x="641"/>
        <item x="717"/>
        <item x="598"/>
        <item x="292"/>
        <item x="625"/>
        <item x="758"/>
        <item x="544"/>
        <item x="541"/>
        <item x="31"/>
        <item x="185"/>
        <item x="854"/>
        <item x="232"/>
        <item x="215"/>
        <item x="129"/>
        <item x="645"/>
        <item x="113"/>
        <item x="454"/>
        <item x="163"/>
        <item x="211"/>
        <item x="410"/>
        <item x="108"/>
        <item x="757"/>
        <item x="681"/>
        <item x="507"/>
        <item x="396"/>
        <item x="116"/>
        <item x="354"/>
        <item x="397"/>
        <item x="612"/>
        <item x="219"/>
        <item x="547"/>
        <item x="679"/>
        <item x="520"/>
        <item x="577"/>
        <item x="559"/>
        <item x="825"/>
        <item x="161"/>
        <item x="260"/>
        <item x="53"/>
        <item x="739"/>
        <item x="7"/>
        <item x="811"/>
        <item x="424"/>
        <item x="72"/>
        <item x="447"/>
        <item x="497"/>
        <item x="126"/>
        <item x="82"/>
        <item x="343"/>
        <item x="760"/>
        <item x="781"/>
        <item x="252"/>
        <item x="567"/>
        <item x="665"/>
        <item x="384"/>
        <item x="394"/>
        <item x="719"/>
        <item x="867"/>
        <item x="578"/>
        <item x="149"/>
        <item x="280"/>
        <item x="639"/>
        <item x="405"/>
        <item x="773"/>
        <item x="379"/>
        <item x="448"/>
        <item x="501"/>
        <item x="644"/>
        <item x="243"/>
        <item x="299"/>
        <item x="821"/>
        <item x="475"/>
        <item x="156"/>
        <item x="635"/>
        <item x="557"/>
        <item x="727"/>
        <item x="796"/>
        <item x="457"/>
        <item x="155"/>
        <item x="413"/>
        <item x="732"/>
        <item x="190"/>
        <item x="200"/>
        <item x="179"/>
        <item x="111"/>
        <item x="62"/>
        <item x="552"/>
        <item x="106"/>
        <item x="296"/>
        <item x="273"/>
        <item x="406"/>
        <item x="26"/>
        <item x="630"/>
        <item x="474"/>
        <item x="555"/>
        <item x="590"/>
        <item x="363"/>
        <item x="110"/>
        <item x="267"/>
        <item x="702"/>
        <item x="159"/>
        <item x="722"/>
        <item x="427"/>
        <item x="838"/>
        <item x="839"/>
        <item x="230"/>
        <item x="371"/>
        <item x="546"/>
        <item x="579"/>
        <item x="198"/>
        <item x="606"/>
        <item x="152"/>
        <item x="677"/>
        <item x="218"/>
        <item x="430"/>
        <item x="476"/>
        <item x="563"/>
        <item x="48"/>
        <item x="798"/>
        <item x="548"/>
        <item x="89"/>
        <item x="712"/>
        <item x="784"/>
        <item x="84"/>
        <item x="86"/>
        <item x="788"/>
        <item x="35"/>
        <item x="308"/>
        <item x="764"/>
        <item x="401"/>
        <item x="746"/>
        <item x="848"/>
        <item x="415"/>
        <item x="261"/>
        <item x="711"/>
        <item x="428"/>
        <item x="807"/>
        <item x="75"/>
        <item x="217"/>
        <item x="607"/>
        <item x="866"/>
        <item x="5"/>
        <item x="782"/>
        <item x="710"/>
        <item x="827"/>
        <item x="320"/>
        <item x="589"/>
        <item x="759"/>
        <item x="47"/>
        <item x="123"/>
        <item x="870"/>
        <item x="780"/>
        <item x="752"/>
        <item x="142"/>
        <item x="466"/>
        <item x="450"/>
        <item x="822"/>
        <item x="24"/>
        <item x="690"/>
        <item x="692"/>
        <item x="766"/>
        <item x="869"/>
        <item x="744"/>
        <item x="543"/>
        <item x="332"/>
        <item x="28"/>
        <item x="652"/>
        <item x="787"/>
        <item x="137"/>
        <item x="484"/>
        <item x="785"/>
        <item x="302"/>
        <item x="338"/>
        <item x="6"/>
        <item x="709"/>
        <item x="789"/>
        <item x="736"/>
        <item x="136"/>
        <item x="239"/>
        <item x="562"/>
        <item x="504"/>
        <item x="100"/>
        <item x="138"/>
        <item x="855"/>
        <item x="453"/>
        <item x="304"/>
        <item x="868"/>
        <item x="220"/>
        <item x="464"/>
        <item x="203"/>
        <item x="259"/>
        <item x="586"/>
        <item x="419"/>
        <item x="370"/>
        <item x="210"/>
        <item x="165"/>
        <item x="418"/>
        <item x="860"/>
        <item x="534"/>
        <item x="279"/>
        <item x="242"/>
        <item x="249"/>
        <item x="385"/>
        <item x="566"/>
        <item x="387"/>
        <item x="328"/>
        <item x="422"/>
        <item x="816"/>
        <item x="41"/>
        <item x="263"/>
        <item x="383"/>
        <item x="594"/>
        <item x="93"/>
        <item x="213"/>
        <item x="554"/>
        <item x="369"/>
        <item x="18"/>
        <item x="478"/>
        <item x="444"/>
        <item x="584"/>
        <item x="272"/>
        <item x="248"/>
        <item x="440"/>
        <item x="269"/>
        <item x="536"/>
        <item x="523"/>
        <item x="314"/>
        <item x="324"/>
        <item x="407"/>
        <item x="362"/>
        <item x="52"/>
        <item x="671"/>
        <item x="63"/>
        <item x="14"/>
        <item x="664"/>
        <item x="233"/>
        <item x="684"/>
        <item x="359"/>
        <item x="130"/>
        <item x="183"/>
        <item x="147"/>
        <item x="470"/>
        <item x="725"/>
        <item x="3"/>
        <item x="693"/>
        <item x="751"/>
        <item x="234"/>
        <item x="186"/>
        <item x="627"/>
        <item x="37"/>
        <item x="446"/>
        <item x="344"/>
        <item x="493"/>
        <item x="11"/>
        <item x="274"/>
        <item x="492"/>
        <item x="850"/>
        <item x="20"/>
        <item x="153"/>
        <item x="795"/>
        <item x="381"/>
        <item x="291"/>
        <item x="812"/>
        <item x="268"/>
        <item x="591"/>
        <item x="674"/>
        <item x="813"/>
        <item x="416"/>
        <item x="349"/>
        <item x="599"/>
        <item x="92"/>
        <item x="683"/>
        <item x="226"/>
        <item x="609"/>
        <item x="685"/>
        <item x="177"/>
        <item x="49"/>
        <item x="730"/>
        <item x="121"/>
        <item x="777"/>
        <item x="78"/>
        <item x="794"/>
        <item x="301"/>
        <item x="61"/>
        <item x="319"/>
        <item x="96"/>
        <item x="696"/>
        <item x="456"/>
        <item x="465"/>
        <item x="657"/>
        <item x="334"/>
        <item x="150"/>
        <item x="495"/>
        <item x="844"/>
        <item x="471"/>
        <item x="646"/>
        <item x="831"/>
        <item x="499"/>
        <item x="676"/>
        <item x="107"/>
        <item x="718"/>
        <item x="731"/>
        <item x="188"/>
        <item x="859"/>
        <item x="436"/>
        <item x="114"/>
        <item x="244"/>
        <item x="840"/>
        <item x="276"/>
        <item x="729"/>
        <item x="195"/>
        <item x="21"/>
        <item x="281"/>
        <item x="286"/>
        <item x="616"/>
        <item x="580"/>
        <item x="50"/>
        <item x="530"/>
        <item x="669"/>
        <item x="277"/>
        <item x="802"/>
        <item x="828"/>
        <item x="345"/>
        <item x="720"/>
        <item x="164"/>
        <item x="189"/>
        <item x="775"/>
        <item x="661"/>
        <item x="834"/>
        <item x="262"/>
        <item x="642"/>
        <item x="38"/>
        <item x="25"/>
        <item x="368"/>
        <item x="469"/>
        <item x="235"/>
        <item x="597"/>
        <item x="255"/>
        <item x="533"/>
        <item x="672"/>
        <item x="135"/>
        <item x="337"/>
        <item x="600"/>
        <item x="761"/>
        <item x="489"/>
        <item x="409"/>
        <item x="833"/>
        <item x="459"/>
        <item x="355"/>
        <item x="516"/>
        <item x="545"/>
        <item x="350"/>
        <item x="421"/>
        <item x="392"/>
        <item x="574"/>
        <item x="80"/>
        <item x="222"/>
        <item x="122"/>
        <item x="391"/>
        <item x="76"/>
        <item x="175"/>
        <item x="783"/>
        <item x="51"/>
        <item x="103"/>
        <item x="101"/>
        <item x="640"/>
        <item x="386"/>
        <item x="32"/>
        <item x="375"/>
        <item x="815"/>
        <item x="861"/>
        <item x="836"/>
        <item x="9"/>
        <item x="535"/>
        <item x="146"/>
        <item x="202"/>
        <item x="23"/>
        <item x="400"/>
        <item x="818"/>
        <item x="659"/>
        <item x="173"/>
        <item x="835"/>
        <item x="1"/>
        <item x="768"/>
        <item x="64"/>
        <item x="79"/>
        <item x="241"/>
        <item x="735"/>
        <item x="238"/>
        <item x="438"/>
        <item x="245"/>
        <item x="358"/>
        <item x="99"/>
        <item x="462"/>
        <item x="182"/>
        <item x="393"/>
        <item x="278"/>
        <item x="849"/>
        <item x="374"/>
        <item x="585"/>
        <item x="73"/>
        <item x="532"/>
        <item x="550"/>
        <item x="851"/>
        <item x="22"/>
        <item x="605"/>
        <item x="515"/>
        <item x="206"/>
        <item x="143"/>
        <item x="290"/>
        <item x="74"/>
        <item x="395"/>
        <item x="39"/>
        <item x="667"/>
        <item x="455"/>
        <item x="647"/>
        <item x="799"/>
        <item x="498"/>
        <item x="494"/>
        <item x="708"/>
        <item x="700"/>
        <item x="611"/>
        <item x="376"/>
        <item x="472"/>
        <item x="468"/>
        <item x="34"/>
        <item x="549"/>
        <item x="71"/>
        <item x="714"/>
        <item x="306"/>
        <item x="656"/>
        <item x="853"/>
        <item x="315"/>
        <item x="694"/>
        <item x="615"/>
        <item x="803"/>
        <item x="686"/>
        <item x="602"/>
        <item x="364"/>
        <item x="620"/>
        <item x="257"/>
        <item x="581"/>
        <item x="810"/>
        <item x="486"/>
        <item x="522"/>
        <item x="54"/>
        <item x="663"/>
        <item x="654"/>
        <item x="17"/>
        <item x="628"/>
        <item x="40"/>
        <item x="293"/>
        <item x="309"/>
        <item x="352"/>
        <item x="479"/>
        <item x="603"/>
        <item x="743"/>
        <item x="748"/>
        <item x="124"/>
        <item x="675"/>
        <item x="4"/>
        <item x="617"/>
        <item x="221"/>
        <item x="716"/>
        <item x="490"/>
        <item x="843"/>
        <item x="365"/>
        <item x="771"/>
        <item x="357"/>
        <item x="449"/>
        <item x="158"/>
        <item x="0"/>
        <item x="443"/>
        <item x="67"/>
        <item x="826"/>
        <item x="747"/>
        <item x="715"/>
        <item x="621"/>
        <item x="240"/>
        <item x="502"/>
        <item x="682"/>
        <item x="191"/>
        <item x="623"/>
        <item x="726"/>
        <item x="104"/>
        <item x="442"/>
        <item x="770"/>
        <item x="695"/>
        <item x="187"/>
        <item x="575"/>
        <item x="742"/>
        <item x="209"/>
        <item x="776"/>
        <item x="525"/>
        <item x="753"/>
        <item x="36"/>
        <item x="485"/>
        <item x="531"/>
        <item x="333"/>
        <item x="329"/>
        <item x="246"/>
        <item x="634"/>
        <item x="212"/>
        <item x="169"/>
        <item x="791"/>
        <item x="351"/>
        <item x="57"/>
        <item x="738"/>
        <item x="284"/>
        <item x="626"/>
        <item x="70"/>
        <item x="321"/>
        <item x="323"/>
        <item x="366"/>
        <item x="658"/>
        <item x="666"/>
        <item x="132"/>
        <item x="312"/>
        <item x="786"/>
        <item x="310"/>
        <item x="194"/>
        <item x="703"/>
        <item x="508"/>
        <item x="593"/>
        <item x="134"/>
        <item x="33"/>
        <item x="526"/>
        <item x="288"/>
        <item x="270"/>
        <item x="668"/>
        <item x="160"/>
        <item x="601"/>
        <item x="414"/>
        <item x="181"/>
        <item x="452"/>
        <item x="88"/>
        <item x="713"/>
        <item x="313"/>
        <item x="95"/>
        <item x="399"/>
        <item x="482"/>
        <item x="527"/>
        <item x="346"/>
        <item x="724"/>
        <item x="97"/>
        <item x="556"/>
        <item x="673"/>
        <item x="141"/>
        <item x="10"/>
        <item x="437"/>
        <item x="174"/>
        <item x="697"/>
        <item x="13"/>
        <item x="227"/>
        <item x="765"/>
        <item x="613"/>
        <item x="204"/>
        <item x="649"/>
        <item x="477"/>
        <item x="483"/>
        <item x="176"/>
        <item x="445"/>
        <item x="510"/>
        <item x="339"/>
        <item x="487"/>
        <item x="318"/>
        <item x="144"/>
        <item x="506"/>
        <item x="223"/>
        <item x="356"/>
        <item x="16"/>
        <item x="251"/>
        <item x="596"/>
        <item x="336"/>
        <item x="236"/>
        <item x="451"/>
        <item x="109"/>
        <item x="808"/>
        <item x="139"/>
        <item x="737"/>
        <item x="193"/>
        <item x="460"/>
        <item x="689"/>
        <item x="862"/>
        <item x="98"/>
        <item x="829"/>
        <item x="721"/>
        <item x="441"/>
        <item x="521"/>
        <item x="30"/>
        <item x="340"/>
        <item x="774"/>
        <item x="69"/>
        <item x="426"/>
        <item x="178"/>
        <item x="325"/>
        <item x="571"/>
        <item x="294"/>
        <item x="398"/>
        <item x="166"/>
        <item x="680"/>
        <item x="832"/>
        <item x="56"/>
        <item x="763"/>
        <item x="570"/>
        <item x="688"/>
        <item x="322"/>
        <item x="608"/>
        <item x="797"/>
        <item x="253"/>
        <item x="225"/>
        <item x="335"/>
        <item x="170"/>
        <item x="353"/>
        <item x="120"/>
        <item x="841"/>
        <item x="528"/>
        <item x="745"/>
        <item x="439"/>
        <item x="91"/>
        <item x="500"/>
        <item x="216"/>
        <item x="45"/>
        <item x="271"/>
        <item x="140"/>
        <item x="538"/>
        <item x="519"/>
        <item x="814"/>
        <item x="539"/>
        <item x="576"/>
        <item x="162"/>
        <item x="65"/>
        <item x="588"/>
        <item x="434"/>
        <item x="558"/>
        <item x="653"/>
        <item x="650"/>
        <item x="151"/>
        <item x="582"/>
        <item x="44"/>
        <item x="435"/>
        <item x="624"/>
        <item x="733"/>
        <item x="705"/>
        <item x="837"/>
        <item x="806"/>
        <item x="94"/>
        <item x="565"/>
        <item x="117"/>
        <item x="772"/>
        <item x="372"/>
        <item x="425"/>
        <item x="297"/>
        <item x="629"/>
        <item x="367"/>
        <item x="228"/>
        <item x="734"/>
        <item x="275"/>
        <item x="632"/>
        <item x="614"/>
        <item x="491"/>
        <item x="857"/>
        <item x="128"/>
        <item x="767"/>
        <item x="265"/>
        <item x="706"/>
        <item x="390"/>
        <item x="360"/>
        <item x="511"/>
        <item x="847"/>
        <item x="561"/>
        <item x="762"/>
        <item x="388"/>
        <item x="380"/>
        <item x="699"/>
        <item x="283"/>
        <item x="341"/>
        <item x="858"/>
        <item x="403"/>
        <item x="316"/>
        <item x="638"/>
        <item x="19"/>
        <item x="298"/>
        <item x="691"/>
        <item x="327"/>
        <item x="846"/>
        <item x="231"/>
        <item x="90"/>
        <item x="285"/>
        <item x="595"/>
        <item x="792"/>
        <item x="842"/>
        <item x="631"/>
        <item x="148"/>
        <item x="817"/>
        <item x="537"/>
        <item x="636"/>
        <item x="247"/>
        <item x="264"/>
        <item x="402"/>
        <item x="740"/>
        <item x="660"/>
        <item x="229"/>
        <item x="572"/>
        <item x="46"/>
        <item x="852"/>
        <item x="517"/>
        <item x="587"/>
        <item x="8"/>
        <item x="250"/>
        <item x="167"/>
        <item x="85"/>
        <item x="429"/>
        <item x="513"/>
        <item x="592"/>
        <item x="432"/>
        <item x="15"/>
        <item x="214"/>
        <item x="551"/>
        <item x="154"/>
        <item x="509"/>
        <item x="208"/>
        <item x="305"/>
        <item x="60"/>
        <item x="326"/>
        <item x="583"/>
        <item x="503"/>
        <item x="411"/>
        <item x="77"/>
        <item x="830"/>
        <item x="865"/>
        <item x="412"/>
        <item x="610"/>
        <item x="66"/>
        <item x="87"/>
        <item x="701"/>
        <item x="282"/>
        <item x="845"/>
        <item x="769"/>
        <item x="750"/>
        <item x="496"/>
        <item x="408"/>
        <item x="157"/>
        <item x="289"/>
        <item x="655"/>
        <item x="824"/>
        <item x="42"/>
        <item x="131"/>
        <item x="707"/>
        <item x="749"/>
        <item x="133"/>
        <item x="622"/>
        <item x="29"/>
        <item x="172"/>
        <item x="431"/>
        <item x="254"/>
        <item x="171"/>
        <item x="295"/>
        <item x="804"/>
        <item x="300"/>
        <item x="805"/>
        <item x="331"/>
        <item x="801"/>
        <item x="568"/>
        <item x="463"/>
        <item x="303"/>
        <item x="378"/>
        <item x="573"/>
        <item x="505"/>
        <item x="43"/>
        <item x="184"/>
        <item x="330"/>
        <item x="648"/>
        <item x="347"/>
        <item x="2"/>
        <item x="8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19" hier="-1"/>
    <pageField fld="20" hier="-1"/>
  </pageFields>
  <dataFields count="2">
    <dataField name="Sum of calculated_sales" fld="38" baseField="6" baseItem="0" numFmtId="1"/>
    <dataField name="Sum of calculated_profit" fld="39" baseField="6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BB8D-2355-4910-BB3C-EB309E032F7F}">
  <dimension ref="A1:O52"/>
  <sheetViews>
    <sheetView tabSelected="1" zoomScale="48" workbookViewId="0">
      <selection activeCell="P5" sqref="P5"/>
    </sheetView>
  </sheetViews>
  <sheetFormatPr defaultRowHeight="14.4"/>
  <cols>
    <col min="1" max="1" width="14.6640625" bestFit="1" customWidth="1"/>
    <col min="2" max="2" width="21.44140625" bestFit="1" customWidth="1"/>
    <col min="3" max="3" width="34.6640625" bestFit="1" customWidth="1"/>
    <col min="4" max="4" width="8.5546875" bestFit="1" customWidth="1"/>
    <col min="5" max="5" width="7.109375" bestFit="1" customWidth="1"/>
    <col min="6" max="6" width="7" bestFit="1" customWidth="1"/>
    <col min="7" max="7" width="7.109375" bestFit="1" customWidth="1"/>
    <col min="8" max="8" width="21.6640625" customWidth="1"/>
    <col min="9" max="9" width="11.21875" bestFit="1" customWidth="1"/>
    <col min="10" max="10" width="34" customWidth="1"/>
    <col min="11" max="11" width="10.33203125" bestFit="1" customWidth="1"/>
    <col min="12" max="12" width="12.33203125" customWidth="1"/>
    <col min="13" max="13" width="13.88671875" customWidth="1"/>
    <col min="14" max="14" width="16.109375" customWidth="1"/>
    <col min="15" max="15" width="15.5546875" customWidth="1"/>
    <col min="16" max="16" width="6" bestFit="1" customWidth="1"/>
    <col min="17" max="17" width="5.21875" bestFit="1" customWidth="1"/>
    <col min="18" max="18" width="9.33203125" bestFit="1" customWidth="1"/>
    <col min="19" max="19" width="9.88671875" bestFit="1" customWidth="1"/>
    <col min="20" max="20" width="5.88671875" bestFit="1" customWidth="1"/>
    <col min="21" max="21" width="6" bestFit="1" customWidth="1"/>
    <col min="22" max="22" width="5.21875" bestFit="1" customWidth="1"/>
    <col min="23" max="23" width="12.5546875" bestFit="1" customWidth="1"/>
    <col min="24" max="24" width="11.21875" bestFit="1" customWidth="1"/>
    <col min="25" max="25" width="5.88671875" bestFit="1" customWidth="1"/>
    <col min="26" max="26" width="6" bestFit="1" customWidth="1"/>
    <col min="27" max="27" width="9" bestFit="1" customWidth="1"/>
    <col min="28" max="28" width="5.21875" bestFit="1" customWidth="1"/>
    <col min="29" max="29" width="14" bestFit="1" customWidth="1"/>
    <col min="30" max="31" width="10.77734375" bestFit="1" customWidth="1"/>
    <col min="32" max="32" width="9.88671875" bestFit="1" customWidth="1"/>
    <col min="33" max="33" width="9" bestFit="1" customWidth="1"/>
    <col min="34" max="34" width="11.6640625" bestFit="1" customWidth="1"/>
    <col min="35" max="35" width="10.77734375" bestFit="1" customWidth="1"/>
  </cols>
  <sheetData>
    <row r="1" spans="1:10">
      <c r="A1" s="14" t="s">
        <v>19</v>
      </c>
      <c r="B1" t="s">
        <v>4728</v>
      </c>
      <c r="G1" s="14" t="s">
        <v>19</v>
      </c>
      <c r="H1" t="s">
        <v>4728</v>
      </c>
    </row>
    <row r="2" spans="1:10">
      <c r="A2" s="14" t="s">
        <v>20</v>
      </c>
      <c r="B2" t="s">
        <v>4728</v>
      </c>
      <c r="G2" s="14" t="s">
        <v>20</v>
      </c>
      <c r="H2" t="s">
        <v>4728</v>
      </c>
    </row>
    <row r="4" spans="1:10">
      <c r="A4" s="14" t="s">
        <v>4719</v>
      </c>
      <c r="B4" t="s">
        <v>4721</v>
      </c>
      <c r="C4" t="s">
        <v>4722</v>
      </c>
      <c r="G4" s="14" t="s">
        <v>4719</v>
      </c>
      <c r="H4" s="14" t="s">
        <v>10</v>
      </c>
      <c r="I4" t="s">
        <v>4721</v>
      </c>
      <c r="J4" t="s">
        <v>4722</v>
      </c>
    </row>
    <row r="5" spans="1:10">
      <c r="A5" s="15" t="s">
        <v>51</v>
      </c>
      <c r="B5" s="16">
        <v>1729052.3504999995</v>
      </c>
      <c r="C5" s="16">
        <v>524111.77050000016</v>
      </c>
      <c r="G5" s="15" t="s">
        <v>54</v>
      </c>
      <c r="I5" s="16"/>
      <c r="J5" s="16"/>
    </row>
    <row r="6" spans="1:10">
      <c r="A6" s="15" t="s">
        <v>36</v>
      </c>
      <c r="B6" s="16">
        <v>1455564.8795000007</v>
      </c>
      <c r="C6" s="16">
        <v>437958.02949999995</v>
      </c>
      <c r="H6" s="15" t="s">
        <v>214</v>
      </c>
      <c r="I6" s="16">
        <v>543612.74349999998</v>
      </c>
      <c r="J6" s="16">
        <v>162456.34349999999</v>
      </c>
    </row>
    <row r="7" spans="1:10">
      <c r="A7" s="15" t="s">
        <v>71</v>
      </c>
      <c r="B7" s="16">
        <v>1720674.0359999998</v>
      </c>
      <c r="C7" s="16">
        <v>501357.25600000005</v>
      </c>
      <c r="H7" s="15" t="s">
        <v>85</v>
      </c>
      <c r="I7" s="16">
        <v>661314.55799999984</v>
      </c>
      <c r="J7" s="16">
        <v>193996.27799999996</v>
      </c>
    </row>
    <row r="8" spans="1:10">
      <c r="A8" s="15" t="s">
        <v>82</v>
      </c>
      <c r="B8" s="16">
        <v>1761189.7499999984</v>
      </c>
      <c r="C8" s="16">
        <v>500039.17000000004</v>
      </c>
      <c r="H8" s="15" t="s">
        <v>74</v>
      </c>
      <c r="I8" s="16">
        <v>682994.38000000012</v>
      </c>
      <c r="J8" s="16">
        <v>194590.8</v>
      </c>
    </row>
    <row r="9" spans="1:10">
      <c r="A9" s="15" t="s">
        <v>4726</v>
      </c>
      <c r="B9" s="16">
        <v>224499.81450000007</v>
      </c>
      <c r="C9" s="16">
        <v>69492.874500000005</v>
      </c>
      <c r="H9" s="15" t="s">
        <v>55</v>
      </c>
      <c r="I9" s="16">
        <v>490992.91099999985</v>
      </c>
      <c r="J9" s="16">
        <v>147433.291</v>
      </c>
    </row>
    <row r="10" spans="1:10" ht="14.4" customHeight="1">
      <c r="A10" s="15" t="s">
        <v>4720</v>
      </c>
      <c r="B10" s="16">
        <v>6890980.8304999992</v>
      </c>
      <c r="C10" s="16">
        <v>2032959.1005000002</v>
      </c>
      <c r="G10" s="15" t="s">
        <v>4723</v>
      </c>
      <c r="I10" s="16">
        <v>2378914.5924999998</v>
      </c>
      <c r="J10" s="16">
        <v>698476.71249999991</v>
      </c>
    </row>
    <row r="11" spans="1:10">
      <c r="A11" s="14" t="s">
        <v>19</v>
      </c>
      <c r="B11" t="s">
        <v>4728</v>
      </c>
      <c r="G11" s="15" t="s">
        <v>39</v>
      </c>
      <c r="I11" s="16"/>
      <c r="J11" s="16"/>
    </row>
    <row r="12" spans="1:10">
      <c r="A12" s="14" t="s">
        <v>20</v>
      </c>
      <c r="B12" t="s">
        <v>4728</v>
      </c>
      <c r="H12" s="15" t="s">
        <v>63</v>
      </c>
      <c r="I12" s="16">
        <v>385477.33999999997</v>
      </c>
      <c r="J12" s="16">
        <v>112315.18999999996</v>
      </c>
    </row>
    <row r="13" spans="1:10">
      <c r="A13" s="14" t="s">
        <v>4103</v>
      </c>
      <c r="B13" t="s">
        <v>4109</v>
      </c>
      <c r="H13" s="15" t="s">
        <v>208</v>
      </c>
      <c r="I13" s="16">
        <v>415053.76400000002</v>
      </c>
      <c r="J13" s="16">
        <v>125961.144</v>
      </c>
    </row>
    <row r="14" spans="1:10">
      <c r="H14" s="15" t="s">
        <v>118</v>
      </c>
      <c r="I14" s="16">
        <v>232847.04149999993</v>
      </c>
      <c r="J14" s="16">
        <v>73359.181500000006</v>
      </c>
    </row>
    <row r="15" spans="1:10">
      <c r="A15" s="14" t="s">
        <v>4731</v>
      </c>
      <c r="B15" t="s">
        <v>4730</v>
      </c>
      <c r="H15" s="15" t="s">
        <v>40</v>
      </c>
      <c r="I15" s="16">
        <v>520234.12850000005</v>
      </c>
      <c r="J15" s="16">
        <v>148962.95850000001</v>
      </c>
    </row>
    <row r="16" spans="1:10">
      <c r="A16" s="15" t="s">
        <v>65</v>
      </c>
      <c r="B16" s="17">
        <v>178</v>
      </c>
      <c r="H16" s="15" t="s">
        <v>165</v>
      </c>
      <c r="I16" s="16">
        <v>593744.65650000004</v>
      </c>
      <c r="J16" s="16">
        <v>159479.57650000002</v>
      </c>
    </row>
    <row r="17" spans="1:10">
      <c r="A17" s="15" t="s">
        <v>57</v>
      </c>
      <c r="B17" s="17">
        <v>164</v>
      </c>
      <c r="G17" s="15" t="s">
        <v>4724</v>
      </c>
      <c r="I17" s="16">
        <v>2147356.9304999998</v>
      </c>
      <c r="J17" s="16">
        <v>620078.05050000001</v>
      </c>
    </row>
    <row r="18" spans="1:10">
      <c r="A18" s="15" t="s">
        <v>42</v>
      </c>
      <c r="B18" s="17">
        <v>174</v>
      </c>
      <c r="G18" s="15" t="s">
        <v>95</v>
      </c>
      <c r="I18" s="16"/>
      <c r="J18" s="16"/>
    </row>
    <row r="19" spans="1:10">
      <c r="A19" s="15" t="s">
        <v>76</v>
      </c>
      <c r="B19" s="17">
        <v>186</v>
      </c>
      <c r="H19" s="15" t="s">
        <v>96</v>
      </c>
      <c r="I19" s="16">
        <v>587540.05350000015</v>
      </c>
      <c r="J19" s="16">
        <v>173632.87350000002</v>
      </c>
    </row>
    <row r="20" spans="1:10">
      <c r="A20" s="15" t="s">
        <v>282</v>
      </c>
      <c r="B20" s="17">
        <v>18</v>
      </c>
      <c r="H20" s="15" t="s">
        <v>103</v>
      </c>
      <c r="I20" s="16">
        <v>721184.93500000017</v>
      </c>
      <c r="J20" s="16">
        <v>210977.58500000008</v>
      </c>
    </row>
    <row r="21" spans="1:10">
      <c r="A21" s="15" t="s">
        <v>4720</v>
      </c>
      <c r="B21" s="17">
        <v>720</v>
      </c>
      <c r="H21" s="15" t="s">
        <v>393</v>
      </c>
      <c r="I21" s="16">
        <v>500984.30949999997</v>
      </c>
      <c r="J21" s="16">
        <v>162334.23950000003</v>
      </c>
    </row>
    <row r="22" spans="1:10">
      <c r="H22" s="15" t="s">
        <v>233</v>
      </c>
      <c r="I22" s="16">
        <v>555000.00950000004</v>
      </c>
      <c r="J22" s="16">
        <v>167459.63949999999</v>
      </c>
    </row>
    <row r="23" spans="1:10">
      <c r="G23" s="15" t="s">
        <v>4725</v>
      </c>
      <c r="I23" s="16">
        <v>2364709.3075000006</v>
      </c>
      <c r="J23" s="16">
        <v>714404.33750000014</v>
      </c>
    </row>
    <row r="24" spans="1:10">
      <c r="G24" s="15" t="s">
        <v>4720</v>
      </c>
      <c r="I24" s="16">
        <v>6890980.8305000002</v>
      </c>
      <c r="J24" s="16">
        <v>2032959.1005000002</v>
      </c>
    </row>
    <row r="28" spans="1:10">
      <c r="A28" s="14" t="s">
        <v>19</v>
      </c>
      <c r="B28" t="s">
        <v>4728</v>
      </c>
    </row>
    <row r="29" spans="1:10">
      <c r="A29" s="14" t="s">
        <v>20</v>
      </c>
      <c r="B29" t="s">
        <v>4728</v>
      </c>
    </row>
    <row r="30" spans="1:10">
      <c r="A30" s="14" t="s">
        <v>4103</v>
      </c>
      <c r="B30" t="s">
        <v>4109</v>
      </c>
      <c r="G30" s="14" t="s">
        <v>4103</v>
      </c>
      <c r="H30" t="s">
        <v>4727</v>
      </c>
    </row>
    <row r="32" spans="1:10">
      <c r="A32" s="14" t="s">
        <v>4719</v>
      </c>
      <c r="B32" t="s">
        <v>4732</v>
      </c>
      <c r="G32" s="14" t="s">
        <v>4729</v>
      </c>
      <c r="I32" s="14" t="s">
        <v>4733</v>
      </c>
    </row>
    <row r="33" spans="1:14">
      <c r="A33" s="15" t="s">
        <v>35</v>
      </c>
      <c r="B33" s="18">
        <v>0.31418597198363168</v>
      </c>
      <c r="G33" s="14" t="s">
        <v>4719</v>
      </c>
      <c r="H33" s="14" t="s">
        <v>19</v>
      </c>
      <c r="I33" t="s">
        <v>51</v>
      </c>
      <c r="J33" t="s">
        <v>36</v>
      </c>
      <c r="K33" t="s">
        <v>71</v>
      </c>
      <c r="L33" t="s">
        <v>282</v>
      </c>
      <c r="M33" t="s">
        <v>82</v>
      </c>
      <c r="N33" t="s">
        <v>4720</v>
      </c>
    </row>
    <row r="34" spans="1:14">
      <c r="A34" s="15" t="s">
        <v>117</v>
      </c>
      <c r="B34" s="18">
        <v>0.29890447083396177</v>
      </c>
      <c r="G34" s="15" t="s">
        <v>87</v>
      </c>
      <c r="I34" s="17"/>
      <c r="J34" s="17"/>
      <c r="K34" s="17"/>
      <c r="L34" s="17"/>
      <c r="M34" s="17"/>
      <c r="N34" s="17"/>
    </row>
    <row r="35" spans="1:14">
      <c r="A35" s="15" t="s">
        <v>124</v>
      </c>
      <c r="B35" s="18">
        <v>0.30419080034674401</v>
      </c>
      <c r="H35" s="15" t="s">
        <v>210</v>
      </c>
      <c r="I35" s="17">
        <v>5</v>
      </c>
      <c r="J35" s="17">
        <v>12</v>
      </c>
      <c r="K35" s="17">
        <v>7</v>
      </c>
      <c r="L35" s="17">
        <v>1</v>
      </c>
      <c r="M35" s="17">
        <v>7</v>
      </c>
      <c r="N35" s="17">
        <v>32</v>
      </c>
    </row>
    <row r="36" spans="1:14">
      <c r="A36" s="15" t="s">
        <v>50</v>
      </c>
      <c r="B36" s="18">
        <v>0.29976987208884737</v>
      </c>
      <c r="H36" s="15" t="s">
        <v>43</v>
      </c>
      <c r="I36" s="17">
        <v>8</v>
      </c>
      <c r="J36" s="17">
        <v>11</v>
      </c>
      <c r="K36" s="17">
        <v>12</v>
      </c>
      <c r="L36" s="17"/>
      <c r="M36" s="17">
        <v>8</v>
      </c>
      <c r="N36" s="17">
        <v>39</v>
      </c>
    </row>
    <row r="37" spans="1:14">
      <c r="A37" s="15" t="s">
        <v>4720</v>
      </c>
      <c r="B37" s="18">
        <v>0.30423531868522108</v>
      </c>
      <c r="H37" s="15" t="s">
        <v>146</v>
      </c>
      <c r="I37" s="17">
        <v>11</v>
      </c>
      <c r="J37" s="17">
        <v>12</v>
      </c>
      <c r="K37" s="17">
        <v>5</v>
      </c>
      <c r="L37" s="17"/>
      <c r="M37" s="17">
        <v>9</v>
      </c>
      <c r="N37" s="17">
        <v>37</v>
      </c>
    </row>
    <row r="38" spans="1:14">
      <c r="H38" s="15" t="s">
        <v>133</v>
      </c>
      <c r="I38" s="17">
        <v>6</v>
      </c>
      <c r="J38" s="17">
        <v>14</v>
      </c>
      <c r="K38" s="17">
        <v>11</v>
      </c>
      <c r="L38" s="17">
        <v>1</v>
      </c>
      <c r="M38" s="17">
        <v>6</v>
      </c>
      <c r="N38" s="17">
        <v>38</v>
      </c>
    </row>
    <row r="39" spans="1:14">
      <c r="G39" s="15" t="s">
        <v>4734</v>
      </c>
      <c r="I39" s="17">
        <v>30</v>
      </c>
      <c r="J39" s="17">
        <v>49</v>
      </c>
      <c r="K39" s="17">
        <v>35</v>
      </c>
      <c r="L39" s="17">
        <v>2</v>
      </c>
      <c r="M39" s="17">
        <v>30</v>
      </c>
      <c r="N39" s="17">
        <v>146</v>
      </c>
    </row>
    <row r="40" spans="1:14">
      <c r="G40" s="15" t="s">
        <v>4720</v>
      </c>
      <c r="I40" s="17">
        <v>30</v>
      </c>
      <c r="J40" s="17">
        <v>49</v>
      </c>
      <c r="K40" s="17">
        <v>35</v>
      </c>
      <c r="L40" s="17">
        <v>2</v>
      </c>
      <c r="M40" s="17">
        <v>30</v>
      </c>
      <c r="N40" s="17">
        <v>146</v>
      </c>
    </row>
    <row r="43" spans="1:14">
      <c r="B43" s="14" t="s">
        <v>4103</v>
      </c>
      <c r="C43" t="s">
        <v>4109</v>
      </c>
    </row>
    <row r="44" spans="1:14">
      <c r="B44" s="14" t="s">
        <v>19</v>
      </c>
      <c r="C44" t="s">
        <v>4728</v>
      </c>
    </row>
    <row r="45" spans="1:14">
      <c r="B45" s="14" t="s">
        <v>20</v>
      </c>
      <c r="C45" t="s">
        <v>87</v>
      </c>
    </row>
    <row r="46" spans="1:14">
      <c r="B46" s="14" t="s">
        <v>4735</v>
      </c>
      <c r="C46" t="s">
        <v>4728</v>
      </c>
    </row>
    <row r="48" spans="1:14">
      <c r="B48" s="14" t="s">
        <v>4721</v>
      </c>
      <c r="C48" s="14" t="s">
        <v>4736</v>
      </c>
    </row>
    <row r="49" spans="2:15">
      <c r="B49" s="14" t="s">
        <v>4737</v>
      </c>
      <c r="C49" t="s">
        <v>4153</v>
      </c>
      <c r="D49" t="s">
        <v>4129</v>
      </c>
      <c r="E49" t="s">
        <v>4159</v>
      </c>
      <c r="F49" t="s">
        <v>4199</v>
      </c>
      <c r="G49" t="s">
        <v>4124</v>
      </c>
      <c r="H49" t="s">
        <v>4170</v>
      </c>
      <c r="I49" t="s">
        <v>4106</v>
      </c>
      <c r="J49" t="s">
        <v>4114</v>
      </c>
      <c r="K49" t="s">
        <v>4134</v>
      </c>
      <c r="L49" t="s">
        <v>4126</v>
      </c>
      <c r="M49" t="s">
        <v>4117</v>
      </c>
      <c r="N49" t="s">
        <v>4139</v>
      </c>
      <c r="O49" t="s">
        <v>4720</v>
      </c>
    </row>
    <row r="50" spans="2:15">
      <c r="B50" s="15" t="s">
        <v>4107</v>
      </c>
      <c r="C50" s="16">
        <v>12419.229499999999</v>
      </c>
      <c r="D50" s="16">
        <v>31514.048000000003</v>
      </c>
      <c r="E50" s="16">
        <v>36073.35</v>
      </c>
      <c r="F50" s="16">
        <v>38773.342500000006</v>
      </c>
      <c r="G50" s="16">
        <v>88401.958499999993</v>
      </c>
      <c r="H50" s="16">
        <v>49835.094000000005</v>
      </c>
      <c r="I50" s="16">
        <v>49989.155999999995</v>
      </c>
      <c r="J50" s="16">
        <v>21782.989000000001</v>
      </c>
      <c r="K50" s="16">
        <v>48294.120999999999</v>
      </c>
      <c r="L50" s="16">
        <v>32551.86</v>
      </c>
      <c r="M50" s="16">
        <v>18684.370000000003</v>
      </c>
      <c r="N50" s="16">
        <v>17603.087999999996</v>
      </c>
      <c r="O50" s="16">
        <v>445922.60649999994</v>
      </c>
    </row>
    <row r="51" spans="2:15">
      <c r="B51" s="15" t="s">
        <v>4120</v>
      </c>
      <c r="C51" s="16">
        <v>78411.899000000005</v>
      </c>
      <c r="D51" s="16">
        <v>53496.494999999995</v>
      </c>
      <c r="E51" s="16">
        <v>72554.453999999998</v>
      </c>
      <c r="F51" s="16">
        <v>40988.846000000005</v>
      </c>
      <c r="G51" s="16">
        <v>15726.059999999998</v>
      </c>
      <c r="H51" s="16">
        <v>61610.928500000009</v>
      </c>
      <c r="I51" s="16">
        <v>92684.774000000005</v>
      </c>
      <c r="J51" s="16">
        <v>100566.03699999998</v>
      </c>
      <c r="K51" s="16">
        <v>850.34500000000003</v>
      </c>
      <c r="L51" s="16">
        <v>31595.124</v>
      </c>
      <c r="M51" s="16"/>
      <c r="N51" s="16"/>
      <c r="O51" s="16">
        <v>548484.96249999991</v>
      </c>
    </row>
    <row r="52" spans="2:15">
      <c r="B52" s="15" t="s">
        <v>4720</v>
      </c>
      <c r="C52" s="16">
        <v>90831.128500000006</v>
      </c>
      <c r="D52" s="16">
        <v>85010.543000000005</v>
      </c>
      <c r="E52" s="16">
        <v>108627.804</v>
      </c>
      <c r="F52" s="16">
        <v>79762.188500000018</v>
      </c>
      <c r="G52" s="16">
        <v>104128.01849999999</v>
      </c>
      <c r="H52" s="16">
        <v>111446.02250000002</v>
      </c>
      <c r="I52" s="16">
        <v>142673.93</v>
      </c>
      <c r="J52" s="16">
        <v>122349.02599999998</v>
      </c>
      <c r="K52" s="16">
        <v>49144.466</v>
      </c>
      <c r="L52" s="16">
        <v>64146.983999999997</v>
      </c>
      <c r="M52" s="16">
        <v>18684.370000000003</v>
      </c>
      <c r="N52" s="16">
        <v>17603.087999999996</v>
      </c>
      <c r="O52" s="16">
        <v>994407.5689999999</v>
      </c>
    </row>
  </sheetData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D925-8382-48D7-BF55-DE13A4742408}">
  <dimension ref="A1:AV933"/>
  <sheetViews>
    <sheetView topLeftCell="AN1" workbookViewId="0">
      <selection activeCell="AJ10" sqref="AJ10"/>
    </sheetView>
  </sheetViews>
  <sheetFormatPr defaultRowHeight="14.4"/>
  <cols>
    <col min="1" max="21" width="17.77734375" customWidth="1"/>
    <col min="23" max="26" width="17.77734375" customWidth="1"/>
    <col min="27" max="27" width="19.21875" bestFit="1" customWidth="1"/>
    <col min="28" max="33" width="17.77734375" customWidth="1"/>
    <col min="34" max="34" width="22.77734375" bestFit="1" customWidth="1"/>
    <col min="35" max="35" width="17.77734375" customWidth="1"/>
    <col min="36" max="36" width="36.44140625" bestFit="1" customWidth="1"/>
    <col min="37" max="37" width="22.44140625" bestFit="1" customWidth="1"/>
    <col min="38" max="38" width="16.33203125" customWidth="1"/>
    <col min="39" max="39" width="15.33203125" customWidth="1"/>
    <col min="40" max="40" width="16.21875" customWidth="1"/>
    <col min="41" max="41" width="19.21875" customWidth="1"/>
    <col min="42" max="43" width="17.77734375" customWidth="1"/>
    <col min="44" max="44" width="19.44140625" customWidth="1"/>
    <col min="45" max="45" width="19.88671875" customWidth="1"/>
    <col min="46" max="46" width="26.5546875" customWidth="1"/>
    <col min="47" max="47" width="28.44140625" customWidth="1"/>
    <col min="48" max="48" width="31.21875" customWidth="1"/>
  </cols>
  <sheetData>
    <row r="1" spans="1:48" ht="22.3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7</v>
      </c>
      <c r="AE1" s="1" t="s">
        <v>8</v>
      </c>
      <c r="AF1" s="1" t="s">
        <v>9</v>
      </c>
      <c r="AG1" s="1" t="s">
        <v>10</v>
      </c>
      <c r="AH1" s="1" t="s">
        <v>11</v>
      </c>
      <c r="AI1" s="1" t="s">
        <v>12</v>
      </c>
      <c r="AJ1" s="2" t="s">
        <v>28</v>
      </c>
      <c r="AK1" s="1" t="s">
        <v>29</v>
      </c>
      <c r="AL1" s="6" t="s">
        <v>4097</v>
      </c>
      <c r="AM1" s="6" t="s">
        <v>4098</v>
      </c>
      <c r="AN1" s="6" t="s">
        <v>4099</v>
      </c>
      <c r="AO1" s="6" t="s">
        <v>4100</v>
      </c>
      <c r="AP1" s="7" t="s">
        <v>22</v>
      </c>
      <c r="AQ1" s="8" t="s">
        <v>23</v>
      </c>
      <c r="AR1" s="6" t="s">
        <v>4101</v>
      </c>
      <c r="AS1" s="6" t="s">
        <v>4102</v>
      </c>
      <c r="AT1" s="6" t="s">
        <v>28</v>
      </c>
      <c r="AU1" s="6" t="s">
        <v>29</v>
      </c>
      <c r="AV1" s="9" t="s">
        <v>4103</v>
      </c>
    </row>
    <row r="2" spans="1:48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43</v>
      </c>
      <c r="U2" t="s">
        <v>44</v>
      </c>
      <c r="W2" t="s">
        <v>30</v>
      </c>
      <c r="X2" t="str" cm="1">
        <f t="array" ref="X2:X933">IFERROR(TEXT(DATEVALUE(B2:B933), "dd-mm-yy"), "invalid date")</f>
        <v>21-07-24</v>
      </c>
      <c r="Y2" t="str" cm="1">
        <f t="array" ref="Y2:Y933">IFERROR(TEXT(DATEVALUE(C2:C933),"dd-mm-yy"), "invalid date")</f>
        <v>invalid date</v>
      </c>
      <c r="Z2" t="s">
        <v>33</v>
      </c>
      <c r="AA2" t="str" cm="1">
        <f t="array" ref="AA2:AA933">TRIM(E2:E933)</f>
        <v>Karan Malhotra</v>
      </c>
      <c r="AB2" t="str">
        <f>TRIM(PROPER(F:F))</f>
        <v>Consumer</v>
      </c>
      <c r="AC2" t="str">
        <f>TRIM(PROPER(G:G))</f>
        <v>North</v>
      </c>
      <c r="AD2" t="str">
        <f>TRIM(PROPER(H:H))</f>
        <v>Rajasthan</v>
      </c>
      <c r="AE2" t="str">
        <f>TRIM(PROPER(I:I))</f>
        <v>Jaipur</v>
      </c>
      <c r="AF2" t="str">
        <f>TRIM(PROPER(J:J))</f>
        <v>Office Supplies</v>
      </c>
      <c r="AG2" t="str">
        <f>TRIM(PROPER(K:K))</f>
        <v>Paper</v>
      </c>
      <c r="AH2" t="str">
        <f>TRIM(PROPER(L:L))</f>
        <v>Pro Paper 122</v>
      </c>
      <c r="AI2" t="str">
        <f>TRIM(PROPER(M:M))</f>
        <v>Second Class</v>
      </c>
      <c r="AJ2" s="3" t="str">
        <f>IF(OR(X:X="Invalid Date",Y:Y="Invalid Date"),"Invalid",(IF(X:X&lt;Y:Y,"anomaly", "  ")))</f>
        <v>Invalid</v>
      </c>
      <c r="AK2" t="str">
        <f>IFERROR(Y2-X2, "invalid date")</f>
        <v>invalid date</v>
      </c>
      <c r="AL2" s="10">
        <v>0.2</v>
      </c>
      <c r="AM2" s="11">
        <v>19049.28</v>
      </c>
      <c r="AN2" s="11">
        <v>3207.3899999999994</v>
      </c>
      <c r="AO2" s="10">
        <v>0.16837329284886357</v>
      </c>
      <c r="AP2" t="s">
        <v>4104</v>
      </c>
      <c r="AQ2" t="s">
        <v>4105</v>
      </c>
      <c r="AR2" t="s">
        <v>4106</v>
      </c>
      <c r="AS2" t="s">
        <v>4107</v>
      </c>
      <c r="AT2" t="s">
        <v>4108</v>
      </c>
      <c r="AU2" t="s">
        <v>4105</v>
      </c>
      <c r="AV2" t="s">
        <v>4109</v>
      </c>
    </row>
    <row r="3" spans="1:48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43</v>
      </c>
      <c r="U3" t="s">
        <v>44</v>
      </c>
      <c r="W3" t="s">
        <v>45</v>
      </c>
      <c r="X3" t="str">
        <v>invalid date</v>
      </c>
      <c r="Y3" t="str">
        <v>05-09-24</v>
      </c>
      <c r="Z3" t="s">
        <v>48</v>
      </c>
      <c r="AA3" t="str">
        <v>Mira Das</v>
      </c>
      <c r="AB3" t="str">
        <f>TRIM(PROPER(F:F))</f>
        <v>Small Business</v>
      </c>
      <c r="AC3" t="str">
        <f>TRIM(PROPER(G:G))</f>
        <v>East</v>
      </c>
      <c r="AD3" t="str">
        <f>TRIM(PROPER(H:H))</f>
        <v>Odisha</v>
      </c>
      <c r="AE3" t="str">
        <f>TRIM(PROPER(I:I))</f>
        <v>Bhubaneswar</v>
      </c>
      <c r="AF3" t="str">
        <f>TRIM(PROPER(J:J))</f>
        <v>Furniture</v>
      </c>
      <c r="AG3" t="str">
        <f>TRIM(PROPER(K:K))</f>
        <v>Tables</v>
      </c>
      <c r="AH3" t="str">
        <f>TRIM(PROPER(L:L))</f>
        <v>Pro Tables 258</v>
      </c>
      <c r="AI3" t="str">
        <f>TRIM(PROPER(M:M))</f>
        <v>Same Day</v>
      </c>
      <c r="AJ3" s="3" t="str">
        <f t="shared" ref="AJ3:AJ66" si="0">IF(OR(X:X="Invalid Date",Y:Y="Invalid Date"),"Invalid",(IF(X:X&lt;Y:Y,"anomaly", "  ")))</f>
        <v>Invalid</v>
      </c>
      <c r="AK3" t="str">
        <f>IFERROR(Y3-X3, "invalid date")</f>
        <v>invalid date</v>
      </c>
      <c r="AL3" s="10">
        <v>0</v>
      </c>
      <c r="AM3" s="11">
        <v>7312.5</v>
      </c>
      <c r="AN3" s="11">
        <v>2407.7700000000004</v>
      </c>
      <c r="AO3" s="10">
        <v>0.32926769230769237</v>
      </c>
      <c r="AP3" t="s">
        <v>4105</v>
      </c>
      <c r="AQ3" t="s">
        <v>4110</v>
      </c>
      <c r="AR3" t="s">
        <v>4105</v>
      </c>
      <c r="AS3" t="s">
        <v>4105</v>
      </c>
      <c r="AT3" t="s">
        <v>4108</v>
      </c>
      <c r="AU3" t="s">
        <v>4105</v>
      </c>
      <c r="AV3" t="s">
        <v>4109</v>
      </c>
    </row>
    <row r="4" spans="1:48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35</v>
      </c>
      <c r="G4" t="s">
        <v>51</v>
      </c>
      <c r="H4" t="s">
        <v>52</v>
      </c>
      <c r="I4" t="s">
        <v>53</v>
      </c>
      <c r="J4" t="s">
        <v>39</v>
      </c>
      <c r="K4" t="s">
        <v>63</v>
      </c>
      <c r="L4" t="s">
        <v>64</v>
      </c>
      <c r="M4" t="s">
        <v>65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43</v>
      </c>
      <c r="U4" t="s">
        <v>44</v>
      </c>
      <c r="W4" t="s">
        <v>58</v>
      </c>
      <c r="X4" t="str">
        <v>06-08-24</v>
      </c>
      <c r="Y4" t="str">
        <v>15-06-24</v>
      </c>
      <c r="Z4" t="s">
        <v>61</v>
      </c>
      <c r="AA4" t="str">
        <v>Isha Nair</v>
      </c>
      <c r="AB4" t="str">
        <f>TRIM(PROPER(F:F))</f>
        <v>Consumer</v>
      </c>
      <c r="AC4" t="str">
        <f>TRIM(PROPER(G:G))</f>
        <v>East</v>
      </c>
      <c r="AD4" t="str">
        <f>TRIM(PROPER(H:H))</f>
        <v>Odisha</v>
      </c>
      <c r="AE4" t="str">
        <f>TRIM(PROPER(I:I))</f>
        <v>Bhubaneswar</v>
      </c>
      <c r="AF4" t="str">
        <f>TRIM(PROPER(J:J))</f>
        <v>Office Supplies</v>
      </c>
      <c r="AG4" t="str">
        <f>TRIM(PROPER(K:K))</f>
        <v>Art</v>
      </c>
      <c r="AH4" t="str">
        <f>TRIM(PROPER(L:L))</f>
        <v>Elite Art 525</v>
      </c>
      <c r="AI4" t="str">
        <f>TRIM(PROPER(M:M))</f>
        <v>First Class</v>
      </c>
      <c r="AJ4" s="3" t="str">
        <f t="shared" si="0"/>
        <v>anomaly</v>
      </c>
      <c r="AK4">
        <f>IFERROR(Y4-X4, "invalid date")</f>
        <v>-52</v>
      </c>
      <c r="AL4" s="10" t="s">
        <v>191</v>
      </c>
      <c r="AM4" s="11" t="s">
        <v>4111</v>
      </c>
      <c r="AN4" s="11" t="s">
        <v>4111</v>
      </c>
      <c r="AO4" s="10" t="s">
        <v>4111</v>
      </c>
      <c r="AP4" t="s">
        <v>4112</v>
      </c>
      <c r="AQ4" t="s">
        <v>4113</v>
      </c>
      <c r="AR4" t="s">
        <v>4114</v>
      </c>
      <c r="AS4" t="s">
        <v>4107</v>
      </c>
      <c r="AT4" t="s">
        <v>4115</v>
      </c>
      <c r="AU4">
        <v>-52</v>
      </c>
      <c r="AV4" t="s">
        <v>4109</v>
      </c>
    </row>
    <row r="5" spans="1:48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50</v>
      </c>
      <c r="G5" t="s">
        <v>71</v>
      </c>
      <c r="H5" t="s">
        <v>72</v>
      </c>
      <c r="I5" t="s">
        <v>73</v>
      </c>
      <c r="J5" t="s">
        <v>54</v>
      </c>
      <c r="K5" t="s">
        <v>74</v>
      </c>
      <c r="L5" t="s">
        <v>75</v>
      </c>
      <c r="M5" t="s">
        <v>76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43</v>
      </c>
      <c r="U5" t="s">
        <v>44</v>
      </c>
      <c r="W5" t="s">
        <v>66</v>
      </c>
      <c r="X5" t="str">
        <v>28-11-24</v>
      </c>
      <c r="Y5" t="str">
        <v>invalid date</v>
      </c>
      <c r="Z5" t="s">
        <v>69</v>
      </c>
      <c r="AA5" t="str">
        <v>Arjun Bose</v>
      </c>
      <c r="AB5" t="str">
        <f>TRIM(PROPER(F:F))</f>
        <v>Small Business</v>
      </c>
      <c r="AC5" t="str">
        <f>TRIM(PROPER(G:G))</f>
        <v>South</v>
      </c>
      <c r="AD5" t="str">
        <f>TRIM(PROPER(H:H))</f>
        <v>Telangana</v>
      </c>
      <c r="AE5" t="str">
        <f>TRIM(PROPER(I:I))</f>
        <v>Hyderabad</v>
      </c>
      <c r="AF5" t="str">
        <f>TRIM(PROPER(J:J))</f>
        <v>Furniture</v>
      </c>
      <c r="AG5" t="str">
        <f>TRIM(PROPER(K:K))</f>
        <v>Furnishings</v>
      </c>
      <c r="AH5" t="str">
        <f>TRIM(PROPER(L:L))</f>
        <v>Smart Furnishings 294</v>
      </c>
      <c r="AI5" t="str">
        <f>TRIM(PROPER(M:M))</f>
        <v>Standard Class</v>
      </c>
      <c r="AJ5" s="3" t="str">
        <f t="shared" si="0"/>
        <v>Invalid</v>
      </c>
      <c r="AK5" t="str">
        <f>IFERROR(Y5-X5, "invalid date")</f>
        <v>invalid date</v>
      </c>
      <c r="AL5" s="10">
        <v>0.25</v>
      </c>
      <c r="AM5" s="11">
        <v>8317.9349999999995</v>
      </c>
      <c r="AN5" s="11">
        <v>1521.1649999999991</v>
      </c>
      <c r="AO5" s="10">
        <v>0.18287772145370204</v>
      </c>
      <c r="AP5" t="s">
        <v>4116</v>
      </c>
      <c r="AQ5" t="s">
        <v>4105</v>
      </c>
      <c r="AR5" t="s">
        <v>4117</v>
      </c>
      <c r="AS5" t="s">
        <v>4107</v>
      </c>
      <c r="AT5" t="s">
        <v>4108</v>
      </c>
      <c r="AU5" t="s">
        <v>4105</v>
      </c>
      <c r="AV5" t="s">
        <v>4109</v>
      </c>
    </row>
    <row r="6" spans="1:48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50</v>
      </c>
      <c r="G6" t="s">
        <v>82</v>
      </c>
      <c r="H6" t="s">
        <v>83</v>
      </c>
      <c r="I6" t="s">
        <v>84</v>
      </c>
      <c r="J6" t="s">
        <v>54</v>
      </c>
      <c r="K6" t="s">
        <v>85</v>
      </c>
      <c r="L6" t="s">
        <v>86</v>
      </c>
      <c r="M6" t="s">
        <v>65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43</v>
      </c>
      <c r="U6" t="s">
        <v>87</v>
      </c>
      <c r="W6" t="s">
        <v>77</v>
      </c>
      <c r="X6" t="str">
        <v>29-08-25</v>
      </c>
      <c r="Y6" t="str">
        <v>01-09-25</v>
      </c>
      <c r="Z6" t="s">
        <v>80</v>
      </c>
      <c r="AA6" t="str">
        <v>Ananya Rao</v>
      </c>
      <c r="AB6" t="str">
        <f>TRIM(PROPER(F:F))</f>
        <v>Small Business</v>
      </c>
      <c r="AC6" t="str">
        <f>TRIM(PROPER(G:G))</f>
        <v>West</v>
      </c>
      <c r="AD6" t="str">
        <f>TRIM(PROPER(H:H))</f>
        <v>Maharashtra</v>
      </c>
      <c r="AE6" t="str">
        <f>TRIM(PROPER(I:I))</f>
        <v>Mumbai</v>
      </c>
      <c r="AF6" t="str">
        <f>TRIM(PROPER(J:J))</f>
        <v>Furniture</v>
      </c>
      <c r="AG6" t="str">
        <f>TRIM(PROPER(K:K))</f>
        <v>Chairs</v>
      </c>
      <c r="AH6" t="str">
        <f>TRIM(PROPER(L:L))</f>
        <v>Elite Chairs 543</v>
      </c>
      <c r="AI6" t="str">
        <f>TRIM(PROPER(M:M))</f>
        <v>First Class</v>
      </c>
      <c r="AJ6" s="3" t="str">
        <f t="shared" si="0"/>
        <v xml:space="preserve">  </v>
      </c>
      <c r="AK6">
        <f>IFERROR(Y6-X6, "invalid date")</f>
        <v>3</v>
      </c>
      <c r="AL6" s="10">
        <v>0</v>
      </c>
      <c r="AM6" s="11">
        <v>20816.32</v>
      </c>
      <c r="AN6" s="11">
        <v>3110.9500000000007</v>
      </c>
      <c r="AO6" s="10">
        <v>0.14944764492475138</v>
      </c>
      <c r="AP6" t="s">
        <v>4118</v>
      </c>
      <c r="AQ6" t="s">
        <v>4119</v>
      </c>
      <c r="AR6" t="s">
        <v>4114</v>
      </c>
      <c r="AS6" t="s">
        <v>4120</v>
      </c>
      <c r="AT6" t="s">
        <v>4121</v>
      </c>
      <c r="AU6">
        <v>3</v>
      </c>
      <c r="AV6" t="s">
        <v>4109</v>
      </c>
    </row>
    <row r="7" spans="1:48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50</v>
      </c>
      <c r="G7" t="s">
        <v>82</v>
      </c>
      <c r="H7" t="s">
        <v>93</v>
      </c>
      <c r="I7" t="s">
        <v>94</v>
      </c>
      <c r="J7" t="s">
        <v>95</v>
      </c>
      <c r="K7" t="s">
        <v>96</v>
      </c>
      <c r="L7" t="s">
        <v>97</v>
      </c>
      <c r="M7" t="s">
        <v>57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43</v>
      </c>
      <c r="U7" t="s">
        <v>44</v>
      </c>
      <c r="W7" t="s">
        <v>88</v>
      </c>
      <c r="X7" t="str">
        <v>24-05-24</v>
      </c>
      <c r="Y7" t="str">
        <v>28-05-24</v>
      </c>
      <c r="Z7" t="s">
        <v>91</v>
      </c>
      <c r="AA7" t="str">
        <v>Vikram Iyer</v>
      </c>
      <c r="AB7" t="str">
        <f>TRIM(PROPER(F:F))</f>
        <v>Small Business</v>
      </c>
      <c r="AC7" t="str">
        <f>TRIM(PROPER(G:G))</f>
        <v>West</v>
      </c>
      <c r="AD7" t="str">
        <f>TRIM(PROPER(H:H))</f>
        <v>Madhya Pradesh</v>
      </c>
      <c r="AE7" t="str">
        <f>TRIM(PROPER(I:I))</f>
        <v>Indore</v>
      </c>
      <c r="AF7" t="str">
        <f>TRIM(PROPER(J:J))</f>
        <v>Technology</v>
      </c>
      <c r="AG7" t="str">
        <f>TRIM(PROPER(K:K))</f>
        <v>Accessories</v>
      </c>
      <c r="AH7" t="str">
        <f>TRIM(PROPER(L:L))</f>
        <v>Pro Accessories 821</v>
      </c>
      <c r="AI7" t="str">
        <f>TRIM(PROPER(M:M))</f>
        <v>Same Day</v>
      </c>
      <c r="AJ7" s="3" t="str">
        <f t="shared" si="0"/>
        <v>anomaly</v>
      </c>
      <c r="AK7">
        <f>IFERROR(Y7-X7, "invalid date")</f>
        <v>4</v>
      </c>
      <c r="AL7" s="10">
        <v>0.2</v>
      </c>
      <c r="AM7" s="11">
        <v>2527.4639999999999</v>
      </c>
      <c r="AN7" s="11">
        <v>993.88400000000001</v>
      </c>
      <c r="AO7" s="10">
        <v>0.39323369195367375</v>
      </c>
      <c r="AP7" t="s">
        <v>4122</v>
      </c>
      <c r="AQ7" t="s">
        <v>4123</v>
      </c>
      <c r="AR7" t="s">
        <v>4124</v>
      </c>
      <c r="AS7" t="s">
        <v>4107</v>
      </c>
      <c r="AT7" t="s">
        <v>4115</v>
      </c>
      <c r="AU7">
        <v>4</v>
      </c>
      <c r="AV7" t="s">
        <v>4109</v>
      </c>
    </row>
    <row r="8" spans="1:48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35</v>
      </c>
      <c r="G8" t="s">
        <v>51</v>
      </c>
      <c r="H8" t="s">
        <v>52</v>
      </c>
      <c r="I8" t="s">
        <v>53</v>
      </c>
      <c r="J8" t="s">
        <v>95</v>
      </c>
      <c r="K8" t="s">
        <v>103</v>
      </c>
      <c r="L8" t="s">
        <v>104</v>
      </c>
      <c r="M8" t="s">
        <v>76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43</v>
      </c>
      <c r="U8" t="s">
        <v>44</v>
      </c>
      <c r="W8" t="s">
        <v>98</v>
      </c>
      <c r="X8" t="str">
        <v>04-10-25</v>
      </c>
      <c r="Y8" t="str">
        <v>invalid date</v>
      </c>
      <c r="Z8" t="s">
        <v>101</v>
      </c>
      <c r="AA8" t="str">
        <v>Neha Gupta</v>
      </c>
      <c r="AB8" t="str">
        <f>TRIM(PROPER(F:F))</f>
        <v>Consumer</v>
      </c>
      <c r="AC8" t="str">
        <f>TRIM(PROPER(G:G))</f>
        <v>East</v>
      </c>
      <c r="AD8" t="str">
        <f>TRIM(PROPER(H:H))</f>
        <v>Odisha</v>
      </c>
      <c r="AE8" t="str">
        <f>TRIM(PROPER(I:I))</f>
        <v>Bhubaneswar</v>
      </c>
      <c r="AF8" t="str">
        <f>TRIM(PROPER(J:J))</f>
        <v>Technology</v>
      </c>
      <c r="AG8" t="str">
        <f>TRIM(PROPER(K:K))</f>
        <v>Copiers</v>
      </c>
      <c r="AH8" t="str">
        <f>TRIM(PROPER(L:L))</f>
        <v>Eco Copiers 790</v>
      </c>
      <c r="AI8" t="str">
        <f>TRIM(PROPER(M:M))</f>
        <v>Standard Class</v>
      </c>
      <c r="AJ8" s="3" t="str">
        <f t="shared" si="0"/>
        <v>Invalid</v>
      </c>
      <c r="AK8" t="str">
        <f>IFERROR(Y8-X8, "invalid date")</f>
        <v>invalid date</v>
      </c>
      <c r="AL8" s="10">
        <v>0.15</v>
      </c>
      <c r="AM8" s="11">
        <v>5847.5579999999991</v>
      </c>
      <c r="AN8" s="11">
        <v>1120.3079999999991</v>
      </c>
      <c r="AO8" s="10">
        <v>0.19158561573908275</v>
      </c>
      <c r="AP8" t="s">
        <v>4125</v>
      </c>
      <c r="AQ8" t="s">
        <v>4105</v>
      </c>
      <c r="AR8" t="s">
        <v>4126</v>
      </c>
      <c r="AS8" t="s">
        <v>4120</v>
      </c>
      <c r="AT8" t="s">
        <v>4108</v>
      </c>
      <c r="AU8" t="s">
        <v>4105</v>
      </c>
      <c r="AV8" t="s">
        <v>4109</v>
      </c>
    </row>
    <row r="9" spans="1:48">
      <c r="A9" t="s">
        <v>105</v>
      </c>
      <c r="B9" t="s">
        <v>106</v>
      </c>
      <c r="C9" t="s">
        <v>107</v>
      </c>
      <c r="D9" t="s">
        <v>108</v>
      </c>
      <c r="E9" t="s">
        <v>62</v>
      </c>
      <c r="F9" t="s">
        <v>50</v>
      </c>
      <c r="G9" t="s">
        <v>71</v>
      </c>
      <c r="H9" t="s">
        <v>109</v>
      </c>
      <c r="I9" t="s">
        <v>110</v>
      </c>
      <c r="J9" t="s">
        <v>39</v>
      </c>
      <c r="K9" t="s">
        <v>63</v>
      </c>
      <c r="L9" t="s">
        <v>111</v>
      </c>
      <c r="M9" t="s">
        <v>65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43</v>
      </c>
      <c r="U9" t="s">
        <v>44</v>
      </c>
      <c r="W9" t="s">
        <v>105</v>
      </c>
      <c r="X9" t="str">
        <v>23-02-25</v>
      </c>
      <c r="Y9" t="str">
        <v>26-02-25</v>
      </c>
      <c r="Z9" t="s">
        <v>108</v>
      </c>
      <c r="AA9" t="str">
        <v>Isha Nair</v>
      </c>
      <c r="AB9" t="str">
        <f>TRIM(PROPER(F:F))</f>
        <v>Small Business</v>
      </c>
      <c r="AC9" t="str">
        <f>TRIM(PROPER(G:G))</f>
        <v>South</v>
      </c>
      <c r="AD9" t="str">
        <f>TRIM(PROPER(H:H))</f>
        <v>Andhra Pradesh</v>
      </c>
      <c r="AE9" t="str">
        <f>TRIM(PROPER(I:I))</f>
        <v>Vijayawada</v>
      </c>
      <c r="AF9" t="str">
        <f>TRIM(PROPER(J:J))</f>
        <v>Office Supplies</v>
      </c>
      <c r="AG9" t="str">
        <f>TRIM(PROPER(K:K))</f>
        <v>Art</v>
      </c>
      <c r="AH9" t="str">
        <f>TRIM(PROPER(L:L))</f>
        <v>Eco Art 848</v>
      </c>
      <c r="AI9" t="str">
        <f>TRIM(PROPER(M:M))</f>
        <v>First Class</v>
      </c>
      <c r="AJ9" s="3" t="str">
        <f t="shared" si="0"/>
        <v>anomaly</v>
      </c>
      <c r="AK9">
        <f>IFERROR(Y9-X9, "invalid date")</f>
        <v>3</v>
      </c>
      <c r="AL9" s="10">
        <v>0</v>
      </c>
      <c r="AM9" s="11">
        <v>2980.71</v>
      </c>
      <c r="AN9" s="11">
        <v>623.49000000000024</v>
      </c>
      <c r="AO9" s="10">
        <v>0.20917499521925992</v>
      </c>
      <c r="AP9" t="s">
        <v>4127</v>
      </c>
      <c r="AQ9" t="s">
        <v>4128</v>
      </c>
      <c r="AR9" t="s">
        <v>4129</v>
      </c>
      <c r="AS9" t="s">
        <v>4120</v>
      </c>
      <c r="AT9" t="s">
        <v>4115</v>
      </c>
      <c r="AU9">
        <v>3</v>
      </c>
      <c r="AV9" t="s">
        <v>4109</v>
      </c>
    </row>
    <row r="10" spans="1:48">
      <c r="A10" t="s">
        <v>112</v>
      </c>
      <c r="B10" t="s">
        <v>113</v>
      </c>
      <c r="C10" t="s">
        <v>114</v>
      </c>
      <c r="D10" t="s">
        <v>115</v>
      </c>
      <c r="E10" t="s">
        <v>116</v>
      </c>
      <c r="F10" t="s">
        <v>117</v>
      </c>
      <c r="G10" t="s">
        <v>71</v>
      </c>
      <c r="H10" t="s">
        <v>72</v>
      </c>
      <c r="I10" t="s">
        <v>73</v>
      </c>
      <c r="J10" t="s">
        <v>39</v>
      </c>
      <c r="K10" t="s">
        <v>118</v>
      </c>
      <c r="L10" t="s">
        <v>119</v>
      </c>
      <c r="M10" t="s">
        <v>65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43</v>
      </c>
      <c r="U10" t="s">
        <v>44</v>
      </c>
      <c r="W10" t="s">
        <v>112</v>
      </c>
      <c r="X10" t="str">
        <v>11-05-24</v>
      </c>
      <c r="Y10" t="str">
        <v>11-10-24</v>
      </c>
      <c r="Z10" t="s">
        <v>115</v>
      </c>
      <c r="AA10" t="str">
        <v>Aditi Sen</v>
      </c>
      <c r="AB10" t="str">
        <f>TRIM(PROPER(F:F))</f>
        <v>Corporate</v>
      </c>
      <c r="AC10" t="str">
        <f>TRIM(PROPER(G:G))</f>
        <v>South</v>
      </c>
      <c r="AD10" t="str">
        <f>TRIM(PROPER(H:H))</f>
        <v>Telangana</v>
      </c>
      <c r="AE10" t="str">
        <f>TRIM(PROPER(I:I))</f>
        <v>Hyderabad</v>
      </c>
      <c r="AF10" t="str">
        <f>TRIM(PROPER(J:J))</f>
        <v>Office Supplies</v>
      </c>
      <c r="AG10" t="str">
        <f>TRIM(PROPER(K:K))</f>
        <v>Labels</v>
      </c>
      <c r="AH10" t="str">
        <f>TRIM(PROPER(L:L))</f>
        <v>Classic Labels 815</v>
      </c>
      <c r="AI10" t="str">
        <f>TRIM(PROPER(M:M))</f>
        <v>First Class</v>
      </c>
      <c r="AJ10" s="3" t="str">
        <f t="shared" si="0"/>
        <v>anomaly</v>
      </c>
      <c r="AK10">
        <f>IFERROR(Y10-X10, "invalid date")</f>
        <v>153</v>
      </c>
      <c r="AL10" s="10">
        <v>0</v>
      </c>
      <c r="AM10" s="11">
        <v>25073.599999999999</v>
      </c>
      <c r="AN10" s="11">
        <v>7726.369999999999</v>
      </c>
      <c r="AO10" s="10">
        <v>0.30814761342607361</v>
      </c>
      <c r="AP10" t="s">
        <v>4130</v>
      </c>
      <c r="AQ10" t="s">
        <v>4131</v>
      </c>
      <c r="AR10" t="s">
        <v>4124</v>
      </c>
      <c r="AS10" t="s">
        <v>4107</v>
      </c>
      <c r="AT10" t="s">
        <v>4115</v>
      </c>
      <c r="AU10">
        <v>153</v>
      </c>
      <c r="AV10" t="s">
        <v>4109</v>
      </c>
    </row>
    <row r="11" spans="1:48">
      <c r="A11" t="s">
        <v>120</v>
      </c>
      <c r="B11" t="s">
        <v>121</v>
      </c>
      <c r="C11" t="s">
        <v>122</v>
      </c>
      <c r="D11" t="s">
        <v>123</v>
      </c>
      <c r="E11" t="s">
        <v>49</v>
      </c>
      <c r="F11" t="s">
        <v>124</v>
      </c>
      <c r="G11" t="s">
        <v>71</v>
      </c>
      <c r="H11" t="s">
        <v>72</v>
      </c>
      <c r="I11" t="s">
        <v>73</v>
      </c>
      <c r="J11" t="s">
        <v>39</v>
      </c>
      <c r="K11" t="s">
        <v>40</v>
      </c>
      <c r="L11" t="s">
        <v>125</v>
      </c>
      <c r="M11" t="s">
        <v>42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43</v>
      </c>
      <c r="U11" t="s">
        <v>44</v>
      </c>
      <c r="W11" t="s">
        <v>120</v>
      </c>
      <c r="X11" t="str">
        <v>07-09-25</v>
      </c>
      <c r="Y11" t="str">
        <v>09-12-25</v>
      </c>
      <c r="Z11" t="s">
        <v>123</v>
      </c>
      <c r="AA11" t="str">
        <v>Mira Das</v>
      </c>
      <c r="AB11" t="str">
        <f>TRIM(PROPER(F:F))</f>
        <v>Home Office</v>
      </c>
      <c r="AC11" t="str">
        <f>TRIM(PROPER(G:G))</f>
        <v>South</v>
      </c>
      <c r="AD11" t="str">
        <f>TRIM(PROPER(H:H))</f>
        <v>Telangana</v>
      </c>
      <c r="AE11" t="str">
        <f>TRIM(PROPER(I:I))</f>
        <v>Hyderabad</v>
      </c>
      <c r="AF11" t="str">
        <f>TRIM(PROPER(J:J))</f>
        <v>Office Supplies</v>
      </c>
      <c r="AG11" t="str">
        <f>TRIM(PROPER(K:K))</f>
        <v>Paper</v>
      </c>
      <c r="AH11" t="str">
        <f>TRIM(PROPER(L:L))</f>
        <v>Pro Paper 622</v>
      </c>
      <c r="AI11" t="str">
        <f>TRIM(PROPER(M:M))</f>
        <v>Second Class</v>
      </c>
      <c r="AJ11" s="3" t="str">
        <f t="shared" si="0"/>
        <v>anomaly</v>
      </c>
      <c r="AK11">
        <f>IFERROR(Y11-X11, "invalid date")</f>
        <v>93</v>
      </c>
      <c r="AL11" s="10">
        <v>0.2</v>
      </c>
      <c r="AM11" s="11">
        <v>6134.6880000000001</v>
      </c>
      <c r="AN11" s="11">
        <v>2334.498</v>
      </c>
      <c r="AO11" s="10">
        <v>0.38054062407085737</v>
      </c>
      <c r="AP11" s="12" t="s">
        <v>4132</v>
      </c>
      <c r="AQ11" t="s">
        <v>4133</v>
      </c>
      <c r="AR11" t="s">
        <v>4134</v>
      </c>
      <c r="AS11" t="s">
        <v>4120</v>
      </c>
      <c r="AT11" t="s">
        <v>4115</v>
      </c>
      <c r="AU11">
        <v>93</v>
      </c>
      <c r="AV11" t="s">
        <v>4109</v>
      </c>
    </row>
    <row r="12" spans="1:48">
      <c r="A12" t="s">
        <v>126</v>
      </c>
      <c r="B12" t="s">
        <v>127</v>
      </c>
      <c r="C12" t="s">
        <v>128</v>
      </c>
      <c r="D12" t="s">
        <v>129</v>
      </c>
      <c r="E12" t="s">
        <v>81</v>
      </c>
      <c r="F12" t="s">
        <v>117</v>
      </c>
      <c r="G12" t="s">
        <v>51</v>
      </c>
      <c r="H12" t="s">
        <v>130</v>
      </c>
      <c r="I12" t="s">
        <v>131</v>
      </c>
      <c r="J12" t="s">
        <v>39</v>
      </c>
      <c r="K12" t="s">
        <v>118</v>
      </c>
      <c r="L12" t="s">
        <v>132</v>
      </c>
      <c r="M12" t="s">
        <v>42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133</v>
      </c>
      <c r="U12" t="s">
        <v>134</v>
      </c>
      <c r="W12" t="s">
        <v>126</v>
      </c>
      <c r="X12" t="str">
        <v>20-05-25</v>
      </c>
      <c r="Y12" t="str">
        <v>invalid date</v>
      </c>
      <c r="Z12" t="s">
        <v>129</v>
      </c>
      <c r="AA12" t="str">
        <v>Ananya Rao</v>
      </c>
      <c r="AB12" t="str">
        <f>TRIM(PROPER(F:F))</f>
        <v>Corporate</v>
      </c>
      <c r="AC12" t="str">
        <f>TRIM(PROPER(G:G))</f>
        <v>East</v>
      </c>
      <c r="AD12" t="str">
        <f>TRIM(PROPER(H:H))</f>
        <v>West Bengal</v>
      </c>
      <c r="AE12" t="str">
        <f>TRIM(PROPER(I:I))</f>
        <v>Kolkata</v>
      </c>
      <c r="AF12" t="str">
        <f>TRIM(PROPER(J:J))</f>
        <v>Office Supplies</v>
      </c>
      <c r="AG12" t="str">
        <f>TRIM(PROPER(K:K))</f>
        <v>Labels</v>
      </c>
      <c r="AH12" t="str">
        <f>TRIM(PROPER(L:L))</f>
        <v>Prime Labels 644</v>
      </c>
      <c r="AI12" t="str">
        <f>TRIM(PROPER(M:M))</f>
        <v>Second Class</v>
      </c>
      <c r="AJ12" s="3" t="str">
        <f t="shared" si="0"/>
        <v>Invalid</v>
      </c>
      <c r="AK12" t="str">
        <f>IFERROR(Y12-X12, "invalid date")</f>
        <v>invalid date</v>
      </c>
      <c r="AL12" s="10">
        <v>0.05</v>
      </c>
      <c r="AM12" s="11">
        <v>10074.2655</v>
      </c>
      <c r="AN12" s="11">
        <v>4025.9954999999991</v>
      </c>
      <c r="AO12" s="10">
        <v>0.39963166545491574</v>
      </c>
      <c r="AP12" t="s">
        <v>4135</v>
      </c>
      <c r="AQ12" t="s">
        <v>4105</v>
      </c>
      <c r="AR12" t="s">
        <v>4124</v>
      </c>
      <c r="AS12" t="s">
        <v>4120</v>
      </c>
      <c r="AT12" t="s">
        <v>4108</v>
      </c>
      <c r="AU12" t="s">
        <v>4105</v>
      </c>
      <c r="AV12" t="s">
        <v>4109</v>
      </c>
    </row>
    <row r="13" spans="1:48">
      <c r="A13" t="s">
        <v>135</v>
      </c>
      <c r="B13" t="s">
        <v>136</v>
      </c>
      <c r="C13" t="s">
        <v>137</v>
      </c>
      <c r="D13" t="s">
        <v>138</v>
      </c>
      <c r="E13" t="s">
        <v>92</v>
      </c>
      <c r="F13" t="s">
        <v>50</v>
      </c>
      <c r="G13" t="s">
        <v>51</v>
      </c>
      <c r="H13" t="s">
        <v>52</v>
      </c>
      <c r="I13" t="s">
        <v>53</v>
      </c>
      <c r="J13" t="s">
        <v>95</v>
      </c>
      <c r="K13" t="s">
        <v>96</v>
      </c>
      <c r="L13" t="s">
        <v>139</v>
      </c>
      <c r="M13" t="s">
        <v>57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43</v>
      </c>
      <c r="U13" t="s">
        <v>44</v>
      </c>
      <c r="W13" t="s">
        <v>135</v>
      </c>
      <c r="X13" t="str">
        <v>22-07-24</v>
      </c>
      <c r="Y13" t="str">
        <v>23-07-24</v>
      </c>
      <c r="Z13" t="s">
        <v>138</v>
      </c>
      <c r="AA13" t="str">
        <v>Vikram Iyer</v>
      </c>
      <c r="AB13" t="str">
        <f>TRIM(PROPER(F:F))</f>
        <v>Small Business</v>
      </c>
      <c r="AC13" t="str">
        <f>TRIM(PROPER(G:G))</f>
        <v>East</v>
      </c>
      <c r="AD13" t="str">
        <f>TRIM(PROPER(H:H))</f>
        <v>Odisha</v>
      </c>
      <c r="AE13" t="str">
        <f>TRIM(PROPER(I:I))</f>
        <v>Bhubaneswar</v>
      </c>
      <c r="AF13" t="str">
        <f>TRIM(PROPER(J:J))</f>
        <v>Technology</v>
      </c>
      <c r="AG13" t="str">
        <f>TRIM(PROPER(K:K))</f>
        <v>Accessories</v>
      </c>
      <c r="AH13" t="str">
        <f>TRIM(PROPER(L:L))</f>
        <v>Smart Accessories 603</v>
      </c>
      <c r="AI13" t="str">
        <f>TRIM(PROPER(M:M))</f>
        <v>Same Day</v>
      </c>
      <c r="AJ13" s="3" t="str">
        <f t="shared" si="0"/>
        <v>anomaly</v>
      </c>
      <c r="AK13">
        <f>IFERROR(Y13-X13, "invalid date")</f>
        <v>1</v>
      </c>
      <c r="AL13" s="10">
        <v>0.2</v>
      </c>
      <c r="AM13" s="11">
        <v>9628.5600000000013</v>
      </c>
      <c r="AN13" s="11">
        <v>1589.9700000000012</v>
      </c>
      <c r="AO13" s="10">
        <v>0.16513061143099289</v>
      </c>
      <c r="AP13" t="s">
        <v>4136</v>
      </c>
      <c r="AQ13" t="s">
        <v>4137</v>
      </c>
      <c r="AR13" t="s">
        <v>4106</v>
      </c>
      <c r="AS13" t="s">
        <v>4107</v>
      </c>
      <c r="AT13" t="s">
        <v>4115</v>
      </c>
      <c r="AU13">
        <v>1</v>
      </c>
      <c r="AV13" t="s">
        <v>4109</v>
      </c>
    </row>
    <row r="14" spans="1:48">
      <c r="A14" t="s">
        <v>140</v>
      </c>
      <c r="B14" t="s">
        <v>141</v>
      </c>
      <c r="C14" t="s">
        <v>142</v>
      </c>
      <c r="D14" t="s">
        <v>143</v>
      </c>
      <c r="E14" t="s">
        <v>81</v>
      </c>
      <c r="F14" t="s">
        <v>117</v>
      </c>
      <c r="G14" t="s">
        <v>82</v>
      </c>
      <c r="H14" t="s">
        <v>37</v>
      </c>
      <c r="I14" t="s">
        <v>144</v>
      </c>
      <c r="J14" t="s">
        <v>39</v>
      </c>
      <c r="K14" t="s">
        <v>40</v>
      </c>
      <c r="L14" t="s">
        <v>145</v>
      </c>
      <c r="M14" t="s">
        <v>65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146</v>
      </c>
      <c r="U14" t="s">
        <v>134</v>
      </c>
      <c r="W14" t="s">
        <v>140</v>
      </c>
      <c r="X14" t="str">
        <v>20-12-24</v>
      </c>
      <c r="Y14" t="str">
        <v>invalid date</v>
      </c>
      <c r="Z14" t="s">
        <v>143</v>
      </c>
      <c r="AA14" t="str">
        <v>Ananya Rao</v>
      </c>
      <c r="AB14" t="str">
        <f>TRIM(PROPER(F:F))</f>
        <v>Corporate</v>
      </c>
      <c r="AC14" t="str">
        <f>TRIM(PROPER(G:G))</f>
        <v>West</v>
      </c>
      <c r="AD14" t="str">
        <f>TRIM(PROPER(H:H))</f>
        <v>Rajasthan</v>
      </c>
      <c r="AE14" t="str">
        <f>TRIM(PROPER(I:I))</f>
        <v>Udaipur</v>
      </c>
      <c r="AF14" t="str">
        <f>TRIM(PROPER(J:J))</f>
        <v>Office Supplies</v>
      </c>
      <c r="AG14" t="str">
        <f>TRIM(PROPER(K:K))</f>
        <v>Paper</v>
      </c>
      <c r="AH14" t="str">
        <f>TRIM(PROPER(L:L))</f>
        <v>Pro Paper 481</v>
      </c>
      <c r="AI14" t="str">
        <f>TRIM(PROPER(M:M))</f>
        <v>First Class</v>
      </c>
      <c r="AJ14" s="3" t="str">
        <f t="shared" si="0"/>
        <v>Invalid</v>
      </c>
      <c r="AK14" t="str">
        <f>IFERROR(Y14-X14, "invalid date")</f>
        <v>invalid date</v>
      </c>
      <c r="AL14" s="10">
        <v>0.15</v>
      </c>
      <c r="AM14" s="11">
        <v>596.81899999999996</v>
      </c>
      <c r="AN14" s="11">
        <v>216.56899999999996</v>
      </c>
      <c r="AO14" s="10">
        <v>0.36287216057129545</v>
      </c>
      <c r="AP14" t="s">
        <v>4138</v>
      </c>
      <c r="AQ14" t="s">
        <v>4105</v>
      </c>
      <c r="AR14" t="s">
        <v>4139</v>
      </c>
      <c r="AS14" t="s">
        <v>4107</v>
      </c>
      <c r="AT14" t="s">
        <v>4108</v>
      </c>
      <c r="AU14" t="s">
        <v>4105</v>
      </c>
      <c r="AV14" t="s">
        <v>4109</v>
      </c>
    </row>
    <row r="15" spans="1:48">
      <c r="A15" t="s">
        <v>147</v>
      </c>
      <c r="B15" t="s">
        <v>148</v>
      </c>
      <c r="C15" t="s">
        <v>149</v>
      </c>
      <c r="D15" t="s">
        <v>150</v>
      </c>
      <c r="E15" t="s">
        <v>151</v>
      </c>
      <c r="F15" t="s">
        <v>50</v>
      </c>
      <c r="G15" t="s">
        <v>82</v>
      </c>
      <c r="H15" t="s">
        <v>83</v>
      </c>
      <c r="I15" t="s">
        <v>84</v>
      </c>
      <c r="J15" t="s">
        <v>39</v>
      </c>
      <c r="K15" t="s">
        <v>63</v>
      </c>
      <c r="L15" t="s">
        <v>152</v>
      </c>
      <c r="M15" t="s">
        <v>42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43</v>
      </c>
      <c r="U15" t="s">
        <v>44</v>
      </c>
      <c r="W15" t="s">
        <v>147</v>
      </c>
      <c r="X15" t="str">
        <v>12-10-25</v>
      </c>
      <c r="Y15" t="str">
        <v>16-10-25</v>
      </c>
      <c r="Z15" t="s">
        <v>150</v>
      </c>
      <c r="AA15" t="str">
        <v>Priya Menon</v>
      </c>
      <c r="AB15" t="str">
        <f>TRIM(PROPER(F:F))</f>
        <v>Small Business</v>
      </c>
      <c r="AC15" t="str">
        <f>TRIM(PROPER(G:G))</f>
        <v>West</v>
      </c>
      <c r="AD15" t="str">
        <f>TRIM(PROPER(H:H))</f>
        <v>Maharashtra</v>
      </c>
      <c r="AE15" t="str">
        <f>TRIM(PROPER(I:I))</f>
        <v>Mumbai</v>
      </c>
      <c r="AF15" t="str">
        <f>TRIM(PROPER(J:J))</f>
        <v>Office Supplies</v>
      </c>
      <c r="AG15" t="str">
        <f>TRIM(PROPER(K:K))</f>
        <v>Art</v>
      </c>
      <c r="AH15" t="str">
        <f>TRIM(PROPER(L:L))</f>
        <v>Smart Art 795</v>
      </c>
      <c r="AI15" t="str">
        <f>TRIM(PROPER(M:M))</f>
        <v>Second Class</v>
      </c>
      <c r="AJ15" s="3" t="str">
        <f t="shared" si="0"/>
        <v>anomaly</v>
      </c>
      <c r="AK15">
        <f>IFERROR(Y15-X15, "invalid date")</f>
        <v>4</v>
      </c>
      <c r="AL15" s="10">
        <v>0.05</v>
      </c>
      <c r="AM15" s="11">
        <v>26365.387999999995</v>
      </c>
      <c r="AN15" s="11">
        <v>4059.1479999999938</v>
      </c>
      <c r="AO15" s="10">
        <v>0.15395745361304733</v>
      </c>
      <c r="AP15" t="s">
        <v>4140</v>
      </c>
      <c r="AQ15" t="s">
        <v>4141</v>
      </c>
      <c r="AR15" t="s">
        <v>4126</v>
      </c>
      <c r="AS15" t="s">
        <v>4120</v>
      </c>
      <c r="AT15" t="s">
        <v>4115</v>
      </c>
      <c r="AU15">
        <v>4</v>
      </c>
      <c r="AV15" t="s">
        <v>4109</v>
      </c>
    </row>
    <row r="16" spans="1:48">
      <c r="A16" t="s">
        <v>153</v>
      </c>
      <c r="B16" t="s">
        <v>154</v>
      </c>
      <c r="C16" t="s">
        <v>155</v>
      </c>
      <c r="D16" t="s">
        <v>156</v>
      </c>
      <c r="E16" t="s">
        <v>157</v>
      </c>
      <c r="F16" t="s">
        <v>35</v>
      </c>
      <c r="G16" t="s">
        <v>82</v>
      </c>
      <c r="H16" t="s">
        <v>37</v>
      </c>
      <c r="I16" t="s">
        <v>144</v>
      </c>
      <c r="J16" t="s">
        <v>95</v>
      </c>
      <c r="K16" t="s">
        <v>103</v>
      </c>
      <c r="L16" t="s">
        <v>158</v>
      </c>
      <c r="M16" t="s">
        <v>76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43</v>
      </c>
      <c r="U16" t="s">
        <v>44</v>
      </c>
      <c r="W16" t="s">
        <v>153</v>
      </c>
      <c r="X16" t="str">
        <v>27-12-24</v>
      </c>
      <c r="Y16" t="str">
        <v>invalid date</v>
      </c>
      <c r="Z16" t="s">
        <v>156</v>
      </c>
      <c r="AA16" t="str">
        <v>Rahul Verma</v>
      </c>
      <c r="AB16" t="str">
        <f>TRIM(PROPER(F:F))</f>
        <v>Consumer</v>
      </c>
      <c r="AC16" t="str">
        <f>TRIM(PROPER(G:G))</f>
        <v>West</v>
      </c>
      <c r="AD16" t="str">
        <f>TRIM(PROPER(H:H))</f>
        <v>Rajasthan</v>
      </c>
      <c r="AE16" t="str">
        <f>TRIM(PROPER(I:I))</f>
        <v>Udaipur</v>
      </c>
      <c r="AF16" t="str">
        <f>TRIM(PROPER(J:J))</f>
        <v>Technology</v>
      </c>
      <c r="AG16" t="str">
        <f>TRIM(PROPER(K:K))</f>
        <v>Copiers</v>
      </c>
      <c r="AH16" t="str">
        <f>TRIM(PROPER(L:L))</f>
        <v>Max Copiers 983</v>
      </c>
      <c r="AI16" t="str">
        <f>TRIM(PROPER(M:M))</f>
        <v>Standard Class</v>
      </c>
      <c r="AJ16" s="3" t="str">
        <f t="shared" si="0"/>
        <v>Invalid</v>
      </c>
      <c r="AK16" t="str">
        <f>IFERROR(Y16-X16, "invalid date")</f>
        <v>invalid date</v>
      </c>
      <c r="AL16" s="10">
        <v>0.25</v>
      </c>
      <c r="AM16" s="11">
        <v>4106.7449999999999</v>
      </c>
      <c r="AN16" s="11">
        <v>1440.4449999999997</v>
      </c>
      <c r="AO16" s="10">
        <v>0.35075102057712365</v>
      </c>
      <c r="AP16" t="s">
        <v>4142</v>
      </c>
      <c r="AQ16" t="s">
        <v>4105</v>
      </c>
      <c r="AR16" t="s">
        <v>4139</v>
      </c>
      <c r="AS16" t="s">
        <v>4107</v>
      </c>
      <c r="AT16" t="s">
        <v>4108</v>
      </c>
      <c r="AU16" t="s">
        <v>4105</v>
      </c>
      <c r="AV16" t="s">
        <v>4109</v>
      </c>
    </row>
    <row r="17" spans="1:48">
      <c r="A17" t="s">
        <v>159</v>
      </c>
      <c r="B17" t="s">
        <v>160</v>
      </c>
      <c r="C17" t="s">
        <v>161</v>
      </c>
      <c r="D17" t="s">
        <v>162</v>
      </c>
      <c r="E17" t="s">
        <v>34</v>
      </c>
      <c r="F17" t="s">
        <v>50</v>
      </c>
      <c r="G17" t="s">
        <v>36</v>
      </c>
      <c r="H17" t="s">
        <v>163</v>
      </c>
      <c r="I17" t="s">
        <v>164</v>
      </c>
      <c r="J17" t="s">
        <v>39</v>
      </c>
      <c r="K17" t="s">
        <v>165</v>
      </c>
      <c r="L17" t="s">
        <v>166</v>
      </c>
      <c r="M17" t="s">
        <v>42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43</v>
      </c>
      <c r="U17" t="s">
        <v>44</v>
      </c>
      <c r="W17" t="s">
        <v>159</v>
      </c>
      <c r="X17" t="str">
        <v>07-09-24</v>
      </c>
      <c r="Y17" t="str">
        <v>09-07-24</v>
      </c>
      <c r="Z17" t="s">
        <v>162</v>
      </c>
      <c r="AA17" t="str">
        <v>Karan Malhotra</v>
      </c>
      <c r="AB17" t="str">
        <f>TRIM(PROPER(F:F))</f>
        <v>Small Business</v>
      </c>
      <c r="AC17" t="str">
        <f>TRIM(PROPER(G:G))</f>
        <v>North</v>
      </c>
      <c r="AD17" t="str">
        <f>TRIM(PROPER(H:H))</f>
        <v>Punjab</v>
      </c>
      <c r="AE17" t="str">
        <f>TRIM(PROPER(I:I))</f>
        <v>Ludhiana</v>
      </c>
      <c r="AF17" t="str">
        <f>TRIM(PROPER(J:J))</f>
        <v>Office Supplies</v>
      </c>
      <c r="AG17" t="str">
        <f>TRIM(PROPER(K:K))</f>
        <v>Storage</v>
      </c>
      <c r="AH17" t="str">
        <f>TRIM(PROPER(L:L))</f>
        <v>Classic Storage 198</v>
      </c>
      <c r="AI17" t="str">
        <f>TRIM(PROPER(M:M))</f>
        <v>Second Class</v>
      </c>
      <c r="AJ17" s="3" t="str">
        <f t="shared" si="0"/>
        <v>anomaly</v>
      </c>
      <c r="AK17">
        <f>IFERROR(Y17-X17, "invalid date")</f>
        <v>-60</v>
      </c>
      <c r="AL17" s="10">
        <v>0</v>
      </c>
      <c r="AM17" s="11">
        <v>23794.560000000001</v>
      </c>
      <c r="AN17" s="11">
        <v>8096.090000000002</v>
      </c>
      <c r="AO17" s="10">
        <v>0.34024962008122872</v>
      </c>
      <c r="AP17" t="s">
        <v>4143</v>
      </c>
      <c r="AQ17" t="s">
        <v>4144</v>
      </c>
      <c r="AR17" t="s">
        <v>4134</v>
      </c>
      <c r="AS17" t="s">
        <v>4107</v>
      </c>
      <c r="AT17" t="s">
        <v>4115</v>
      </c>
      <c r="AU17">
        <v>-60</v>
      </c>
      <c r="AV17" t="s">
        <v>4109</v>
      </c>
    </row>
    <row r="18" spans="1:48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35</v>
      </c>
      <c r="G18" t="s">
        <v>71</v>
      </c>
      <c r="H18" t="s">
        <v>72</v>
      </c>
      <c r="I18" t="s">
        <v>73</v>
      </c>
      <c r="J18" t="s">
        <v>39</v>
      </c>
      <c r="K18" t="s">
        <v>63</v>
      </c>
      <c r="L18" t="s">
        <v>172</v>
      </c>
      <c r="M18" t="s">
        <v>65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43</v>
      </c>
      <c r="U18" t="s">
        <v>44</v>
      </c>
      <c r="W18" t="s">
        <v>167</v>
      </c>
      <c r="X18" t="str">
        <v>05-08-24</v>
      </c>
      <c r="Y18" t="str">
        <v>15-05-24</v>
      </c>
      <c r="Z18" t="s">
        <v>170</v>
      </c>
      <c r="AA18" t="str">
        <v>Aarav Sharma</v>
      </c>
      <c r="AB18" t="str">
        <f>TRIM(PROPER(F:F))</f>
        <v>Consumer</v>
      </c>
      <c r="AC18" t="str">
        <f>TRIM(PROPER(G:G))</f>
        <v>South</v>
      </c>
      <c r="AD18" t="str">
        <f>TRIM(PROPER(H:H))</f>
        <v>Telangana</v>
      </c>
      <c r="AE18" t="str">
        <f>TRIM(PROPER(I:I))</f>
        <v>Hyderabad</v>
      </c>
      <c r="AF18" t="str">
        <f>TRIM(PROPER(J:J))</f>
        <v>Office Supplies</v>
      </c>
      <c r="AG18" t="str">
        <f>TRIM(PROPER(K:K))</f>
        <v>Art</v>
      </c>
      <c r="AH18" t="str">
        <f>TRIM(PROPER(L:L))</f>
        <v>Basic Art 204</v>
      </c>
      <c r="AI18" t="str">
        <f>TRIM(PROPER(M:M))</f>
        <v>First Class</v>
      </c>
      <c r="AJ18" s="3" t="str">
        <f t="shared" si="0"/>
        <v>anomaly</v>
      </c>
      <c r="AK18">
        <f>IFERROR(Y18-X18, "invalid date")</f>
        <v>-82</v>
      </c>
      <c r="AL18" s="10">
        <v>0.25</v>
      </c>
      <c r="AM18" s="11">
        <v>9970.5300000000007</v>
      </c>
      <c r="AN18" s="11">
        <v>4302.3600000000006</v>
      </c>
      <c r="AO18" s="10">
        <v>0.43150765305354882</v>
      </c>
      <c r="AP18" t="s">
        <v>4145</v>
      </c>
      <c r="AQ18" t="s">
        <v>4146</v>
      </c>
      <c r="AR18" t="s">
        <v>4114</v>
      </c>
      <c r="AS18" t="s">
        <v>4107</v>
      </c>
      <c r="AT18" t="s">
        <v>4115</v>
      </c>
      <c r="AU18">
        <v>-82</v>
      </c>
      <c r="AV18" t="s">
        <v>4109</v>
      </c>
    </row>
    <row r="19" spans="1:48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 t="s">
        <v>50</v>
      </c>
      <c r="G19" t="s">
        <v>36</v>
      </c>
      <c r="H19" t="s">
        <v>37</v>
      </c>
      <c r="I19" t="s">
        <v>38</v>
      </c>
      <c r="J19" t="s">
        <v>54</v>
      </c>
      <c r="K19" t="s">
        <v>74</v>
      </c>
      <c r="L19" t="s">
        <v>178</v>
      </c>
      <c r="M19" t="s">
        <v>57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43</v>
      </c>
      <c r="U19" t="s">
        <v>44</v>
      </c>
      <c r="W19" t="s">
        <v>173</v>
      </c>
      <c r="X19" t="str">
        <v>01-07-24</v>
      </c>
      <c r="Y19" t="str">
        <v>08-01-24</v>
      </c>
      <c r="Z19" t="s">
        <v>176</v>
      </c>
      <c r="AA19" t="str">
        <v>Sneha Kapoor</v>
      </c>
      <c r="AB19" t="str">
        <f>TRIM(PROPER(F:F))</f>
        <v>Small Business</v>
      </c>
      <c r="AC19" t="str">
        <f>TRIM(PROPER(G:G))</f>
        <v>North</v>
      </c>
      <c r="AD19" t="str">
        <f>TRIM(PROPER(H:H))</f>
        <v>Rajasthan</v>
      </c>
      <c r="AE19" t="str">
        <f>TRIM(PROPER(I:I))</f>
        <v>Jaipur</v>
      </c>
      <c r="AF19" t="str">
        <f>TRIM(PROPER(J:J))</f>
        <v>Furniture</v>
      </c>
      <c r="AG19" t="str">
        <f>TRIM(PROPER(K:K))</f>
        <v>Furnishings</v>
      </c>
      <c r="AH19" t="str">
        <f>TRIM(PROPER(L:L))</f>
        <v>Basic Furnishings 434</v>
      </c>
      <c r="AI19" t="str">
        <f>TRIM(PROPER(M:M))</f>
        <v>Same Day</v>
      </c>
      <c r="AJ19" s="3" t="str">
        <f t="shared" si="0"/>
        <v>anomaly</v>
      </c>
      <c r="AK19">
        <f>IFERROR(Y19-X19, "invalid date")</f>
        <v>-175</v>
      </c>
      <c r="AL19" s="10">
        <v>0</v>
      </c>
      <c r="AM19" s="11">
        <v>7633.9</v>
      </c>
      <c r="AN19" s="11">
        <v>2926.99</v>
      </c>
      <c r="AO19" s="10">
        <v>0.38342000812166782</v>
      </c>
      <c r="AP19" t="s">
        <v>4147</v>
      </c>
      <c r="AQ19" t="s">
        <v>4148</v>
      </c>
      <c r="AR19" t="s">
        <v>4106</v>
      </c>
      <c r="AS19" t="s">
        <v>4107</v>
      </c>
      <c r="AT19" t="s">
        <v>4115</v>
      </c>
      <c r="AU19">
        <v>-175</v>
      </c>
      <c r="AV19" t="s">
        <v>4109</v>
      </c>
    </row>
    <row r="20" spans="1:48">
      <c r="A20" t="s">
        <v>179</v>
      </c>
      <c r="B20" t="s">
        <v>180</v>
      </c>
      <c r="C20" t="s">
        <v>181</v>
      </c>
      <c r="D20" t="s">
        <v>182</v>
      </c>
      <c r="E20" t="s">
        <v>171</v>
      </c>
      <c r="F20" t="s">
        <v>124</v>
      </c>
      <c r="G20" t="s">
        <v>36</v>
      </c>
      <c r="H20" t="s">
        <v>183</v>
      </c>
      <c r="I20" t="s">
        <v>184</v>
      </c>
      <c r="J20" t="s">
        <v>95</v>
      </c>
      <c r="K20" t="s">
        <v>103</v>
      </c>
      <c r="L20" t="s">
        <v>185</v>
      </c>
      <c r="M20" t="s">
        <v>65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133</v>
      </c>
      <c r="U20" t="s">
        <v>87</v>
      </c>
      <c r="W20" t="s">
        <v>179</v>
      </c>
      <c r="X20" t="str">
        <v>invalid date</v>
      </c>
      <c r="Y20" t="str">
        <v>17-07-25</v>
      </c>
      <c r="Z20" t="s">
        <v>182</v>
      </c>
      <c r="AA20" t="str">
        <v>Aarav Sharma</v>
      </c>
      <c r="AB20" t="str">
        <f>TRIM(PROPER(F:F))</f>
        <v>Home Office</v>
      </c>
      <c r="AC20" t="str">
        <f>TRIM(PROPER(G:G))</f>
        <v>North</v>
      </c>
      <c r="AD20" t="str">
        <f>TRIM(PROPER(H:H))</f>
        <v>Uttar Pradesh</v>
      </c>
      <c r="AE20" t="str">
        <f>TRIM(PROPER(I:I))</f>
        <v>Noida</v>
      </c>
      <c r="AF20" t="str">
        <f>TRIM(PROPER(J:J))</f>
        <v>Technology</v>
      </c>
      <c r="AG20" t="str">
        <f>TRIM(PROPER(K:K))</f>
        <v>Copiers</v>
      </c>
      <c r="AH20" t="str">
        <f>TRIM(PROPER(L:L))</f>
        <v>Eco Copiers 755</v>
      </c>
      <c r="AI20" t="str">
        <f>TRIM(PROPER(M:M))</f>
        <v>First Class</v>
      </c>
      <c r="AJ20" s="3" t="str">
        <f t="shared" si="0"/>
        <v>Invalid</v>
      </c>
      <c r="AK20" t="str">
        <f>IFERROR(Y20-X20, "invalid date")</f>
        <v>invalid date</v>
      </c>
      <c r="AL20" s="10">
        <v>0</v>
      </c>
      <c r="AM20" s="11">
        <v>3995.98</v>
      </c>
      <c r="AN20" s="11">
        <v>1362.7800000000002</v>
      </c>
      <c r="AO20" s="10">
        <v>0.34103774293164635</v>
      </c>
      <c r="AP20" t="s">
        <v>4105</v>
      </c>
      <c r="AQ20" t="s">
        <v>4149</v>
      </c>
      <c r="AR20" t="s">
        <v>4105</v>
      </c>
      <c r="AS20" t="s">
        <v>4105</v>
      </c>
      <c r="AT20" t="s">
        <v>4108</v>
      </c>
      <c r="AU20" t="s">
        <v>4105</v>
      </c>
      <c r="AV20" t="s">
        <v>4109</v>
      </c>
    </row>
    <row r="21" spans="1:48">
      <c r="A21" t="s">
        <v>186</v>
      </c>
      <c r="B21" t="s">
        <v>32</v>
      </c>
      <c r="C21" t="s">
        <v>187</v>
      </c>
      <c r="D21" t="s">
        <v>188</v>
      </c>
      <c r="E21" t="s">
        <v>189</v>
      </c>
      <c r="F21" t="s">
        <v>124</v>
      </c>
      <c r="G21" t="s">
        <v>82</v>
      </c>
      <c r="H21" t="s">
        <v>93</v>
      </c>
      <c r="I21" t="s">
        <v>94</v>
      </c>
      <c r="J21" t="s">
        <v>39</v>
      </c>
      <c r="K21" t="s">
        <v>165</v>
      </c>
      <c r="L21" t="s">
        <v>190</v>
      </c>
      <c r="M21" t="s">
        <v>42</v>
      </c>
      <c r="N21">
        <v>3</v>
      </c>
      <c r="O21">
        <v>3887.94</v>
      </c>
      <c r="P21" s="4" t="s">
        <v>191</v>
      </c>
      <c r="Q21">
        <v>9331.06</v>
      </c>
      <c r="R21">
        <v>7529.31</v>
      </c>
      <c r="S21">
        <v>1801.75</v>
      </c>
      <c r="T21" t="s">
        <v>43</v>
      </c>
      <c r="U21" t="s">
        <v>44</v>
      </c>
      <c r="W21" t="s">
        <v>186</v>
      </c>
      <c r="X21" t="str">
        <v>invalid date</v>
      </c>
      <c r="Y21" t="str">
        <v>31-07-24</v>
      </c>
      <c r="Z21" t="s">
        <v>188</v>
      </c>
      <c r="AA21" t="str">
        <v>Rohan Mehta</v>
      </c>
      <c r="AB21" t="str">
        <f>TRIM(PROPER(F:F))</f>
        <v>Home Office</v>
      </c>
      <c r="AC21" t="str">
        <f>TRIM(PROPER(G:G))</f>
        <v>West</v>
      </c>
      <c r="AD21" t="str">
        <f>TRIM(PROPER(H:H))</f>
        <v>Madhya Pradesh</v>
      </c>
      <c r="AE21" t="str">
        <f>TRIM(PROPER(I:I))</f>
        <v>Indore</v>
      </c>
      <c r="AF21" t="str">
        <f>TRIM(PROPER(J:J))</f>
        <v>Office Supplies</v>
      </c>
      <c r="AG21" t="str">
        <f>TRIM(PROPER(K:K))</f>
        <v>Storage</v>
      </c>
      <c r="AH21" t="str">
        <f>TRIM(PROPER(L:L))</f>
        <v>Prime Storage 121</v>
      </c>
      <c r="AI21" t="str">
        <f>TRIM(PROPER(M:M))</f>
        <v>Second Class</v>
      </c>
      <c r="AJ21" s="3" t="str">
        <f t="shared" si="0"/>
        <v>Invalid</v>
      </c>
      <c r="AK21" t="str">
        <f>IFERROR(Y21-X21, "invalid date")</f>
        <v>invalid date</v>
      </c>
      <c r="AL21" s="10" t="s">
        <v>191</v>
      </c>
      <c r="AM21" s="11" t="s">
        <v>4111</v>
      </c>
      <c r="AN21" s="11" t="s">
        <v>4111</v>
      </c>
      <c r="AO21" s="10" t="s">
        <v>4111</v>
      </c>
      <c r="AP21" t="s">
        <v>4105</v>
      </c>
      <c r="AQ21" t="s">
        <v>4150</v>
      </c>
      <c r="AR21" t="s">
        <v>4105</v>
      </c>
      <c r="AS21" t="s">
        <v>4105</v>
      </c>
      <c r="AT21" t="s">
        <v>4108</v>
      </c>
      <c r="AU21" t="s">
        <v>4105</v>
      </c>
      <c r="AV21" t="s">
        <v>4109</v>
      </c>
    </row>
    <row r="22" spans="1:48">
      <c r="A22" t="s">
        <v>192</v>
      </c>
      <c r="B22" t="s">
        <v>193</v>
      </c>
      <c r="C22" t="s">
        <v>194</v>
      </c>
      <c r="D22" t="s">
        <v>195</v>
      </c>
      <c r="E22" t="s">
        <v>116</v>
      </c>
      <c r="F22" t="s">
        <v>124</v>
      </c>
      <c r="G22" t="s">
        <v>51</v>
      </c>
      <c r="H22" t="s">
        <v>196</v>
      </c>
      <c r="I22" t="s">
        <v>197</v>
      </c>
      <c r="J22" t="s">
        <v>95</v>
      </c>
      <c r="K22" t="s">
        <v>103</v>
      </c>
      <c r="L22" t="s">
        <v>198</v>
      </c>
      <c r="M22" t="s">
        <v>65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43</v>
      </c>
      <c r="U22" t="s">
        <v>44</v>
      </c>
      <c r="W22" t="s">
        <v>192</v>
      </c>
      <c r="X22" t="str">
        <v>21-01-25</v>
      </c>
      <c r="Y22" t="str">
        <v>23-01-25</v>
      </c>
      <c r="Z22" t="s">
        <v>195</v>
      </c>
      <c r="AA22" t="str">
        <v>Aditi Sen</v>
      </c>
      <c r="AB22" t="str">
        <f>TRIM(PROPER(F:F))</f>
        <v>Home Office</v>
      </c>
      <c r="AC22" t="str">
        <f>TRIM(PROPER(G:G))</f>
        <v>East</v>
      </c>
      <c r="AD22" t="str">
        <f>TRIM(PROPER(H:H))</f>
        <v>Bihar</v>
      </c>
      <c r="AE22" t="str">
        <f>TRIM(PROPER(I:I))</f>
        <v>Patna</v>
      </c>
      <c r="AF22" t="str">
        <f>TRIM(PROPER(J:J))</f>
        <v>Technology</v>
      </c>
      <c r="AG22" t="str">
        <f>TRIM(PROPER(K:K))</f>
        <v>Copiers</v>
      </c>
      <c r="AH22" t="str">
        <f>TRIM(PROPER(L:L))</f>
        <v>Elite Copiers 233</v>
      </c>
      <c r="AI22" t="str">
        <f>TRIM(PROPER(M:M))</f>
        <v>First Class</v>
      </c>
      <c r="AJ22" s="3" t="str">
        <f t="shared" si="0"/>
        <v>anomaly</v>
      </c>
      <c r="AK22">
        <f>IFERROR(Y22-X22, "invalid date")</f>
        <v>2</v>
      </c>
      <c r="AL22" s="10">
        <v>0.25</v>
      </c>
      <c r="AM22" s="11">
        <v>16398.975000000002</v>
      </c>
      <c r="AN22" s="11">
        <v>6842.4550000000017</v>
      </c>
      <c r="AO22" s="10">
        <v>0.4172489439126531</v>
      </c>
      <c r="AP22" t="s">
        <v>4151</v>
      </c>
      <c r="AQ22" t="s">
        <v>4152</v>
      </c>
      <c r="AR22" t="s">
        <v>4153</v>
      </c>
      <c r="AS22" t="s">
        <v>4120</v>
      </c>
      <c r="AT22" t="s">
        <v>4115</v>
      </c>
      <c r="AU22">
        <v>2</v>
      </c>
      <c r="AV22" t="s">
        <v>4109</v>
      </c>
    </row>
    <row r="23" spans="1:48">
      <c r="A23" t="s">
        <v>199</v>
      </c>
      <c r="B23" t="s">
        <v>200</v>
      </c>
      <c r="C23" t="s">
        <v>201</v>
      </c>
      <c r="D23" t="s">
        <v>202</v>
      </c>
      <c r="E23" t="s">
        <v>177</v>
      </c>
      <c r="F23" t="s">
        <v>35</v>
      </c>
      <c r="G23" t="s">
        <v>82</v>
      </c>
      <c r="H23" t="s">
        <v>93</v>
      </c>
      <c r="I23" t="s">
        <v>94</v>
      </c>
      <c r="J23" t="s">
        <v>54</v>
      </c>
      <c r="K23" t="s">
        <v>74</v>
      </c>
      <c r="L23" t="s">
        <v>203</v>
      </c>
      <c r="M23" t="s">
        <v>42</v>
      </c>
      <c r="N23">
        <v>4</v>
      </c>
      <c r="O23">
        <v>697.69</v>
      </c>
      <c r="P23" s="4" t="s">
        <v>191</v>
      </c>
      <c r="Q23">
        <v>2790.76</v>
      </c>
      <c r="R23">
        <v>2037.71</v>
      </c>
      <c r="S23">
        <v>753.05</v>
      </c>
      <c r="T23" t="s">
        <v>43</v>
      </c>
      <c r="U23" t="s">
        <v>44</v>
      </c>
      <c r="W23" t="s">
        <v>199</v>
      </c>
      <c r="X23" t="str">
        <v>24-01-25</v>
      </c>
      <c r="Y23" t="str">
        <v>invalid date</v>
      </c>
      <c r="Z23" t="s">
        <v>202</v>
      </c>
      <c r="AA23" t="str">
        <v>Sneha Kapoor</v>
      </c>
      <c r="AB23" t="str">
        <f>TRIM(PROPER(F:F))</f>
        <v>Consumer</v>
      </c>
      <c r="AC23" t="str">
        <f>TRIM(PROPER(G:G))</f>
        <v>West</v>
      </c>
      <c r="AD23" t="str">
        <f>TRIM(PROPER(H:H))</f>
        <v>Madhya Pradesh</v>
      </c>
      <c r="AE23" t="str">
        <f>TRIM(PROPER(I:I))</f>
        <v>Indore</v>
      </c>
      <c r="AF23" t="str">
        <f>TRIM(PROPER(J:J))</f>
        <v>Furniture</v>
      </c>
      <c r="AG23" t="str">
        <f>TRIM(PROPER(K:K))</f>
        <v>Furnishings</v>
      </c>
      <c r="AH23" t="str">
        <f>TRIM(PROPER(L:L))</f>
        <v>Eco Furnishings 897</v>
      </c>
      <c r="AI23" t="str">
        <f>TRIM(PROPER(M:M))</f>
        <v>Second Class</v>
      </c>
      <c r="AJ23" s="3" t="str">
        <f t="shared" si="0"/>
        <v>Invalid</v>
      </c>
      <c r="AK23" t="str">
        <f>IFERROR(Y23-X23, "invalid date")</f>
        <v>invalid date</v>
      </c>
      <c r="AL23" s="10" t="s">
        <v>191</v>
      </c>
      <c r="AM23" s="11" t="s">
        <v>4111</v>
      </c>
      <c r="AN23" s="11" t="s">
        <v>4111</v>
      </c>
      <c r="AO23" s="10" t="s">
        <v>4111</v>
      </c>
      <c r="AP23" t="s">
        <v>4154</v>
      </c>
      <c r="AQ23" t="s">
        <v>4105</v>
      </c>
      <c r="AR23" t="s">
        <v>4153</v>
      </c>
      <c r="AS23" t="s">
        <v>4120</v>
      </c>
      <c r="AT23" t="s">
        <v>4108</v>
      </c>
      <c r="AU23" t="s">
        <v>4105</v>
      </c>
      <c r="AV23" t="s">
        <v>4109</v>
      </c>
    </row>
    <row r="24" spans="1:48">
      <c r="A24" t="s">
        <v>204</v>
      </c>
      <c r="B24" t="s">
        <v>205</v>
      </c>
      <c r="C24" t="s">
        <v>206</v>
      </c>
      <c r="D24" t="s">
        <v>207</v>
      </c>
      <c r="E24" t="s">
        <v>49</v>
      </c>
      <c r="F24" t="s">
        <v>35</v>
      </c>
      <c r="G24" t="s">
        <v>71</v>
      </c>
      <c r="H24" t="s">
        <v>72</v>
      </c>
      <c r="I24" t="s">
        <v>73</v>
      </c>
      <c r="J24" t="s">
        <v>39</v>
      </c>
      <c r="K24" t="s">
        <v>208</v>
      </c>
      <c r="L24" t="s">
        <v>209</v>
      </c>
      <c r="M24" t="s">
        <v>76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210</v>
      </c>
      <c r="U24" t="s">
        <v>134</v>
      </c>
      <c r="W24" t="s">
        <v>204</v>
      </c>
      <c r="X24" t="str">
        <v>19-01-25</v>
      </c>
      <c r="Y24" t="str">
        <v>21-01-25</v>
      </c>
      <c r="Z24" t="s">
        <v>207</v>
      </c>
      <c r="AA24" t="str">
        <v>Mira Das</v>
      </c>
      <c r="AB24" t="str">
        <f>TRIM(PROPER(F:F))</f>
        <v>Consumer</v>
      </c>
      <c r="AC24" t="str">
        <f>TRIM(PROPER(G:G))</f>
        <v>South</v>
      </c>
      <c r="AD24" t="str">
        <f>TRIM(PROPER(H:H))</f>
        <v>Telangana</v>
      </c>
      <c r="AE24" t="str">
        <f>TRIM(PROPER(I:I))</f>
        <v>Hyderabad</v>
      </c>
      <c r="AF24" t="str">
        <f>TRIM(PROPER(J:J))</f>
        <v>Office Supplies</v>
      </c>
      <c r="AG24" t="str">
        <f>TRIM(PROPER(K:K))</f>
        <v>Binders</v>
      </c>
      <c r="AH24" t="str">
        <f>TRIM(PROPER(L:L))</f>
        <v>Max Binders 355</v>
      </c>
      <c r="AI24" t="str">
        <f>TRIM(PROPER(M:M))</f>
        <v>Standard Class</v>
      </c>
      <c r="AJ24" s="3" t="str">
        <f t="shared" si="0"/>
        <v>anomaly</v>
      </c>
      <c r="AK24">
        <f>IFERROR(Y24-X24, "invalid date")</f>
        <v>2</v>
      </c>
      <c r="AL24" s="10">
        <v>0.15</v>
      </c>
      <c r="AM24" s="11">
        <v>8291.5119999999988</v>
      </c>
      <c r="AN24" s="11">
        <v>1606.4819999999991</v>
      </c>
      <c r="AO24" s="10">
        <v>0.19375018693816029</v>
      </c>
      <c r="AP24" t="s">
        <v>4155</v>
      </c>
      <c r="AQ24" t="s">
        <v>4151</v>
      </c>
      <c r="AR24" t="s">
        <v>4153</v>
      </c>
      <c r="AS24" t="s">
        <v>4120</v>
      </c>
      <c r="AT24" t="s">
        <v>4115</v>
      </c>
      <c r="AU24">
        <v>2</v>
      </c>
      <c r="AV24" t="s">
        <v>4109</v>
      </c>
    </row>
    <row r="25" spans="1:48">
      <c r="A25" t="s">
        <v>211</v>
      </c>
      <c r="B25" t="s">
        <v>78</v>
      </c>
      <c r="C25" t="s">
        <v>212</v>
      </c>
      <c r="D25" t="s">
        <v>213</v>
      </c>
      <c r="E25" t="s">
        <v>157</v>
      </c>
      <c r="F25" t="s">
        <v>124</v>
      </c>
      <c r="G25" t="s">
        <v>51</v>
      </c>
      <c r="H25" t="s">
        <v>196</v>
      </c>
      <c r="I25" t="s">
        <v>197</v>
      </c>
      <c r="J25" t="s">
        <v>54</v>
      </c>
      <c r="K25" t="s">
        <v>214</v>
      </c>
      <c r="L25" t="s">
        <v>215</v>
      </c>
      <c r="M25" t="s">
        <v>65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43</v>
      </c>
      <c r="U25" t="s">
        <v>44</v>
      </c>
      <c r="W25" t="s">
        <v>211</v>
      </c>
      <c r="X25" t="str">
        <v>29-08-25</v>
      </c>
      <c r="Y25" t="str">
        <v>31-08-25</v>
      </c>
      <c r="Z25" t="s">
        <v>213</v>
      </c>
      <c r="AA25" t="str">
        <v>Rahul Verma</v>
      </c>
      <c r="AB25" t="str">
        <f>TRIM(PROPER(F:F))</f>
        <v>Home Office</v>
      </c>
      <c r="AC25" t="str">
        <f>TRIM(PROPER(G:G))</f>
        <v>East</v>
      </c>
      <c r="AD25" t="str">
        <f>TRIM(PROPER(H:H))</f>
        <v>Bihar</v>
      </c>
      <c r="AE25" t="str">
        <f>TRIM(PROPER(I:I))</f>
        <v>Patna</v>
      </c>
      <c r="AF25" t="str">
        <f>TRIM(PROPER(J:J))</f>
        <v>Furniture</v>
      </c>
      <c r="AG25" t="str">
        <f>TRIM(PROPER(K:K))</f>
        <v>Bookcases</v>
      </c>
      <c r="AH25" t="str">
        <f>TRIM(PROPER(L:L))</f>
        <v>Pro Bookcases 394</v>
      </c>
      <c r="AI25" t="str">
        <f>TRIM(PROPER(M:M))</f>
        <v>First Class</v>
      </c>
      <c r="AJ25" s="3" t="str">
        <f t="shared" si="0"/>
        <v>anomaly</v>
      </c>
      <c r="AK25">
        <f>IFERROR(Y25-X25, "invalid date")</f>
        <v>2</v>
      </c>
      <c r="AL25" s="10">
        <v>0.2</v>
      </c>
      <c r="AM25" s="11">
        <v>6265.6320000000005</v>
      </c>
      <c r="AN25" s="11">
        <v>1943.7720000000008</v>
      </c>
      <c r="AO25" s="10">
        <v>0.31022760353624351</v>
      </c>
      <c r="AP25" t="s">
        <v>4118</v>
      </c>
      <c r="AQ25" t="s">
        <v>4156</v>
      </c>
      <c r="AR25" t="s">
        <v>4114</v>
      </c>
      <c r="AS25" t="s">
        <v>4120</v>
      </c>
      <c r="AT25" t="s">
        <v>4115</v>
      </c>
      <c r="AU25">
        <v>2</v>
      </c>
      <c r="AV25" t="s">
        <v>4109</v>
      </c>
    </row>
    <row r="26" spans="1:48">
      <c r="A26" t="s">
        <v>216</v>
      </c>
      <c r="B26" t="s">
        <v>217</v>
      </c>
      <c r="C26" t="s">
        <v>218</v>
      </c>
      <c r="D26" t="s">
        <v>219</v>
      </c>
      <c r="E26" t="s">
        <v>220</v>
      </c>
      <c r="F26" t="s">
        <v>35</v>
      </c>
      <c r="G26" t="s">
        <v>36</v>
      </c>
      <c r="H26" t="s">
        <v>163</v>
      </c>
      <c r="I26" t="s">
        <v>164</v>
      </c>
      <c r="J26" t="s">
        <v>39</v>
      </c>
      <c r="K26" t="s">
        <v>63</v>
      </c>
      <c r="L26" t="s">
        <v>221</v>
      </c>
      <c r="M26" t="s">
        <v>76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146</v>
      </c>
      <c r="U26" t="s">
        <v>87</v>
      </c>
      <c r="W26" t="s">
        <v>216</v>
      </c>
      <c r="X26" t="str">
        <v>04-03-24</v>
      </c>
      <c r="Y26" t="str">
        <v>03-01-24</v>
      </c>
      <c r="Z26" t="s">
        <v>219</v>
      </c>
      <c r="AA26" t="str">
        <v>Diya Patel</v>
      </c>
      <c r="AB26" t="str">
        <f>TRIM(PROPER(F:F))</f>
        <v>Consumer</v>
      </c>
      <c r="AC26" t="str">
        <f>TRIM(PROPER(G:G))</f>
        <v>North</v>
      </c>
      <c r="AD26" t="str">
        <f>TRIM(PROPER(H:H))</f>
        <v>Punjab</v>
      </c>
      <c r="AE26" t="str">
        <f>TRIM(PROPER(I:I))</f>
        <v>Ludhiana</v>
      </c>
      <c r="AF26" t="str">
        <f>TRIM(PROPER(J:J))</f>
        <v>Office Supplies</v>
      </c>
      <c r="AG26" t="str">
        <f>TRIM(PROPER(K:K))</f>
        <v>Art</v>
      </c>
      <c r="AH26" t="str">
        <f>TRIM(PROPER(L:L))</f>
        <v>Max Art 215</v>
      </c>
      <c r="AI26" t="str">
        <f>TRIM(PROPER(M:M))</f>
        <v>Standard Class</v>
      </c>
      <c r="AJ26" s="3" t="str">
        <f t="shared" si="0"/>
        <v xml:space="preserve">  </v>
      </c>
      <c r="AK26">
        <f>IFERROR(Y26-X26, "invalid date")</f>
        <v>-61</v>
      </c>
      <c r="AL26" s="10">
        <v>0.25</v>
      </c>
      <c r="AM26" s="11">
        <v>13478.82</v>
      </c>
      <c r="AN26" s="11">
        <v>2541.4699999999993</v>
      </c>
      <c r="AO26" s="10">
        <v>0.18855285551702591</v>
      </c>
      <c r="AP26" t="s">
        <v>4157</v>
      </c>
      <c r="AQ26" t="s">
        <v>4158</v>
      </c>
      <c r="AR26" t="s">
        <v>4159</v>
      </c>
      <c r="AS26" t="s">
        <v>4107</v>
      </c>
      <c r="AT26" t="s">
        <v>4121</v>
      </c>
      <c r="AU26">
        <v>-61</v>
      </c>
      <c r="AV26" t="s">
        <v>4109</v>
      </c>
    </row>
    <row r="27" spans="1:48">
      <c r="A27" t="s">
        <v>222</v>
      </c>
      <c r="B27" t="s">
        <v>223</v>
      </c>
      <c r="C27" t="s">
        <v>224</v>
      </c>
      <c r="D27" t="s">
        <v>225</v>
      </c>
      <c r="E27" t="s">
        <v>70</v>
      </c>
      <c r="F27" t="s">
        <v>117</v>
      </c>
      <c r="G27" t="s">
        <v>51</v>
      </c>
      <c r="H27" t="s">
        <v>226</v>
      </c>
      <c r="I27" t="s">
        <v>227</v>
      </c>
      <c r="J27" t="s">
        <v>95</v>
      </c>
      <c r="K27" t="s">
        <v>96</v>
      </c>
      <c r="L27" t="s">
        <v>228</v>
      </c>
      <c r="M27" t="s">
        <v>65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43</v>
      </c>
      <c r="U27" t="s">
        <v>44</v>
      </c>
      <c r="W27" t="s">
        <v>222</v>
      </c>
      <c r="X27" t="str">
        <v>11-10-24</v>
      </c>
      <c r="Y27" t="str">
        <v>19-10-24</v>
      </c>
      <c r="Z27" t="s">
        <v>225</v>
      </c>
      <c r="AA27" t="str">
        <v>Arjun Bose</v>
      </c>
      <c r="AB27" t="str">
        <f>TRIM(PROPER(F:F))</f>
        <v>Corporate</v>
      </c>
      <c r="AC27" t="str">
        <f>TRIM(PROPER(G:G))</f>
        <v>East</v>
      </c>
      <c r="AD27" t="str">
        <f>TRIM(PROPER(H:H))</f>
        <v>Assam</v>
      </c>
      <c r="AE27" t="str">
        <f>TRIM(PROPER(I:I))</f>
        <v>Guwahati</v>
      </c>
      <c r="AF27" t="str">
        <f>TRIM(PROPER(J:J))</f>
        <v>Technology</v>
      </c>
      <c r="AG27" t="str">
        <f>TRIM(PROPER(K:K))</f>
        <v>Accessories</v>
      </c>
      <c r="AH27" t="str">
        <f>TRIM(PROPER(L:L))</f>
        <v>Classic Accessories 478</v>
      </c>
      <c r="AI27" t="str">
        <f>TRIM(PROPER(M:M))</f>
        <v>First Class</v>
      </c>
      <c r="AJ27" s="3" t="str">
        <f t="shared" si="0"/>
        <v>anomaly</v>
      </c>
      <c r="AK27">
        <f>IFERROR(Y27-X27, "invalid date")</f>
        <v>8</v>
      </c>
      <c r="AL27" s="10">
        <v>0.15</v>
      </c>
      <c r="AM27" s="11">
        <v>7335.8399999999992</v>
      </c>
      <c r="AN27" s="11">
        <v>2367.4299999999994</v>
      </c>
      <c r="AO27" s="10">
        <v>0.32272105171323251</v>
      </c>
      <c r="AP27" t="s">
        <v>4131</v>
      </c>
      <c r="AQ27" t="s">
        <v>4160</v>
      </c>
      <c r="AR27" t="s">
        <v>4126</v>
      </c>
      <c r="AS27" t="s">
        <v>4107</v>
      </c>
      <c r="AT27" t="s">
        <v>4115</v>
      </c>
      <c r="AU27">
        <v>8</v>
      </c>
      <c r="AV27" t="s">
        <v>4109</v>
      </c>
    </row>
    <row r="28" spans="1:48">
      <c r="A28" t="s">
        <v>229</v>
      </c>
      <c r="B28" t="s">
        <v>230</v>
      </c>
      <c r="C28" t="s">
        <v>231</v>
      </c>
      <c r="D28" t="s">
        <v>232</v>
      </c>
      <c r="E28" t="s">
        <v>220</v>
      </c>
      <c r="F28" t="s">
        <v>117</v>
      </c>
      <c r="G28" t="s">
        <v>36</v>
      </c>
      <c r="H28" t="s">
        <v>183</v>
      </c>
      <c r="I28" t="s">
        <v>184</v>
      </c>
      <c r="J28" t="s">
        <v>95</v>
      </c>
      <c r="K28" t="s">
        <v>233</v>
      </c>
      <c r="L28" t="s">
        <v>234</v>
      </c>
      <c r="M28" t="s">
        <v>76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43</v>
      </c>
      <c r="U28" t="s">
        <v>134</v>
      </c>
      <c r="W28" t="s">
        <v>229</v>
      </c>
      <c r="X28" t="str">
        <v>23-11-24</v>
      </c>
      <c r="Y28" t="str">
        <v>23-11-24</v>
      </c>
      <c r="Z28" t="s">
        <v>232</v>
      </c>
      <c r="AA28" t="str">
        <v>Diya Patel</v>
      </c>
      <c r="AB28" t="str">
        <f>TRIM(PROPER(F:F))</f>
        <v>Corporate</v>
      </c>
      <c r="AC28" t="str">
        <f>TRIM(PROPER(G:G))</f>
        <v>North</v>
      </c>
      <c r="AD28" t="str">
        <f>TRIM(PROPER(H:H))</f>
        <v>Uttar Pradesh</v>
      </c>
      <c r="AE28" t="str">
        <f>TRIM(PROPER(I:I))</f>
        <v>Noida</v>
      </c>
      <c r="AF28" t="str">
        <f>TRIM(PROPER(J:J))</f>
        <v>Technology</v>
      </c>
      <c r="AG28" t="str">
        <f>TRIM(PROPER(K:K))</f>
        <v>Phones</v>
      </c>
      <c r="AH28" t="str">
        <f>TRIM(PROPER(L:L))</f>
        <v>Pro Phones 243</v>
      </c>
      <c r="AI28" t="str">
        <f>TRIM(PROPER(M:M))</f>
        <v>Standard Class</v>
      </c>
      <c r="AJ28" s="3" t="str">
        <f t="shared" si="0"/>
        <v xml:space="preserve">  </v>
      </c>
      <c r="AK28">
        <f>IFERROR(Y28-X28, "invalid date")</f>
        <v>0</v>
      </c>
      <c r="AL28" s="10">
        <v>0.1</v>
      </c>
      <c r="AM28" s="11">
        <v>2578.0680000000002</v>
      </c>
      <c r="AN28" s="11">
        <v>1050.5180000000003</v>
      </c>
      <c r="AO28" s="10">
        <v>0.40748265755596835</v>
      </c>
      <c r="AP28" t="s">
        <v>4161</v>
      </c>
      <c r="AQ28" t="s">
        <v>4161</v>
      </c>
      <c r="AR28" t="s">
        <v>4117</v>
      </c>
      <c r="AS28" t="s">
        <v>4107</v>
      </c>
      <c r="AT28" t="s">
        <v>4115</v>
      </c>
      <c r="AU28">
        <v>0</v>
      </c>
      <c r="AV28" t="s">
        <v>4109</v>
      </c>
    </row>
    <row r="29" spans="1:48">
      <c r="A29" t="s">
        <v>235</v>
      </c>
      <c r="B29" t="s">
        <v>236</v>
      </c>
      <c r="C29" t="s">
        <v>237</v>
      </c>
      <c r="D29" t="s">
        <v>238</v>
      </c>
      <c r="E29" t="s">
        <v>70</v>
      </c>
      <c r="F29" t="s">
        <v>50</v>
      </c>
      <c r="G29" t="s">
        <v>71</v>
      </c>
      <c r="H29" t="s">
        <v>239</v>
      </c>
      <c r="I29" t="s">
        <v>240</v>
      </c>
      <c r="J29" t="s">
        <v>39</v>
      </c>
      <c r="K29" t="s">
        <v>40</v>
      </c>
      <c r="L29" t="s">
        <v>241</v>
      </c>
      <c r="M29" t="s">
        <v>42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210</v>
      </c>
      <c r="U29" t="s">
        <v>134</v>
      </c>
      <c r="W29" t="s">
        <v>235</v>
      </c>
      <c r="X29" t="str">
        <v>29-09-25</v>
      </c>
      <c r="Y29" t="str">
        <v>05-10-25</v>
      </c>
      <c r="Z29" t="s">
        <v>238</v>
      </c>
      <c r="AA29" t="str">
        <v>Arjun Bose</v>
      </c>
      <c r="AB29" t="str">
        <f>TRIM(PROPER(F:F))</f>
        <v>Small Business</v>
      </c>
      <c r="AC29" t="str">
        <f>TRIM(PROPER(G:G))</f>
        <v>South</v>
      </c>
      <c r="AD29" t="str">
        <f>TRIM(PROPER(H:H))</f>
        <v>Karnataka</v>
      </c>
      <c r="AE29" t="str">
        <f>TRIM(PROPER(I:I))</f>
        <v>Bengaluru</v>
      </c>
      <c r="AF29" t="str">
        <f>TRIM(PROPER(J:J))</f>
        <v>Office Supplies</v>
      </c>
      <c r="AG29" t="str">
        <f>TRIM(PROPER(K:K))</f>
        <v>Paper</v>
      </c>
      <c r="AH29" t="str">
        <f>TRIM(PROPER(L:L))</f>
        <v>Basic Paper 613</v>
      </c>
      <c r="AI29" t="str">
        <f>TRIM(PROPER(M:M))</f>
        <v>Second Class</v>
      </c>
      <c r="AJ29" s="3" t="str">
        <f t="shared" si="0"/>
        <v xml:space="preserve">  </v>
      </c>
      <c r="AK29">
        <f>IFERROR(Y29-X29, "invalid date")</f>
        <v>6</v>
      </c>
      <c r="AL29" s="10">
        <v>0.25</v>
      </c>
      <c r="AM29" s="11">
        <v>6774.4124999999995</v>
      </c>
      <c r="AN29" s="11">
        <v>2064.0524999999998</v>
      </c>
      <c r="AO29" s="10">
        <v>0.30468361647596748</v>
      </c>
      <c r="AP29" t="s">
        <v>4162</v>
      </c>
      <c r="AQ29" t="s">
        <v>4163</v>
      </c>
      <c r="AR29" t="s">
        <v>4134</v>
      </c>
      <c r="AS29" t="s">
        <v>4120</v>
      </c>
      <c r="AT29" t="s">
        <v>4121</v>
      </c>
      <c r="AU29">
        <v>6</v>
      </c>
      <c r="AV29" t="s">
        <v>4109</v>
      </c>
    </row>
    <row r="30" spans="1:48">
      <c r="A30" t="s">
        <v>242</v>
      </c>
      <c r="B30" t="s">
        <v>223</v>
      </c>
      <c r="C30" t="s">
        <v>243</v>
      </c>
      <c r="D30" t="s">
        <v>244</v>
      </c>
      <c r="E30" t="s">
        <v>81</v>
      </c>
      <c r="F30" t="s">
        <v>124</v>
      </c>
      <c r="G30" t="s">
        <v>82</v>
      </c>
      <c r="H30" t="s">
        <v>245</v>
      </c>
      <c r="I30" t="s">
        <v>246</v>
      </c>
      <c r="J30" t="s">
        <v>95</v>
      </c>
      <c r="K30" t="s">
        <v>233</v>
      </c>
      <c r="L30" t="s">
        <v>247</v>
      </c>
      <c r="M30" t="s">
        <v>42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133</v>
      </c>
      <c r="U30" t="s">
        <v>87</v>
      </c>
      <c r="W30" t="s">
        <v>242</v>
      </c>
      <c r="X30" t="str">
        <v>11-10-24</v>
      </c>
      <c r="Y30" t="str">
        <v>18-10-24</v>
      </c>
      <c r="Z30" t="s">
        <v>244</v>
      </c>
      <c r="AA30" t="str">
        <v>Ananya Rao</v>
      </c>
      <c r="AB30" t="str">
        <f>TRIM(PROPER(F:F))</f>
        <v>Home Office</v>
      </c>
      <c r="AC30" t="str">
        <f>TRIM(PROPER(G:G))</f>
        <v>West</v>
      </c>
      <c r="AD30" t="str">
        <f>TRIM(PROPER(H:H))</f>
        <v>Gujarat</v>
      </c>
      <c r="AE30" t="str">
        <f>TRIM(PROPER(I:I))</f>
        <v>Ahmedabad</v>
      </c>
      <c r="AF30" t="str">
        <f>TRIM(PROPER(J:J))</f>
        <v>Technology</v>
      </c>
      <c r="AG30" t="str">
        <f>TRIM(PROPER(K:K))</f>
        <v>Phones</v>
      </c>
      <c r="AH30" t="str">
        <f>TRIM(PROPER(L:L))</f>
        <v>Prime Phones 698</v>
      </c>
      <c r="AI30" t="str">
        <f>TRIM(PROPER(M:M))</f>
        <v>Second Class</v>
      </c>
      <c r="AJ30" s="3" t="str">
        <f t="shared" si="0"/>
        <v>anomaly</v>
      </c>
      <c r="AK30">
        <f>IFERROR(Y30-X30, "invalid date")</f>
        <v>7</v>
      </c>
      <c r="AL30" s="10">
        <v>0.25</v>
      </c>
      <c r="AM30" s="11">
        <v>2913.33</v>
      </c>
      <c r="AN30" s="11">
        <v>791</v>
      </c>
      <c r="AO30" s="10">
        <v>0.27151060813570727</v>
      </c>
      <c r="AP30" t="s">
        <v>4131</v>
      </c>
      <c r="AQ30" t="s">
        <v>4164</v>
      </c>
      <c r="AR30" t="s">
        <v>4126</v>
      </c>
      <c r="AS30" t="s">
        <v>4107</v>
      </c>
      <c r="AT30" t="s">
        <v>4115</v>
      </c>
      <c r="AU30">
        <v>7</v>
      </c>
      <c r="AV30" t="s">
        <v>4109</v>
      </c>
    </row>
    <row r="31" spans="1:48">
      <c r="A31" t="s">
        <v>248</v>
      </c>
      <c r="B31" t="s">
        <v>249</v>
      </c>
      <c r="C31" t="s">
        <v>250</v>
      </c>
      <c r="D31" t="s">
        <v>251</v>
      </c>
      <c r="E31" t="s">
        <v>189</v>
      </c>
      <c r="F31" t="s">
        <v>124</v>
      </c>
      <c r="G31" t="s">
        <v>71</v>
      </c>
      <c r="H31" t="s">
        <v>252</v>
      </c>
      <c r="I31" t="s">
        <v>253</v>
      </c>
      <c r="J31" t="s">
        <v>95</v>
      </c>
      <c r="K31" t="s">
        <v>233</v>
      </c>
      <c r="L31" t="s">
        <v>254</v>
      </c>
      <c r="M31" t="s">
        <v>76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43</v>
      </c>
      <c r="U31" t="s">
        <v>44</v>
      </c>
      <c r="W31" t="s">
        <v>248</v>
      </c>
      <c r="X31" t="str">
        <v>13-08-25</v>
      </c>
      <c r="Y31" t="str">
        <v>13-08-25</v>
      </c>
      <c r="Z31" t="s">
        <v>251</v>
      </c>
      <c r="AA31" t="str">
        <v>Rohan Mehta</v>
      </c>
      <c r="AB31" t="str">
        <f>TRIM(PROPER(F:F))</f>
        <v>Home Office</v>
      </c>
      <c r="AC31" t="str">
        <f>TRIM(PROPER(G:G))</f>
        <v>South</v>
      </c>
      <c r="AD31" t="str">
        <f>TRIM(PROPER(H:H))</f>
        <v>Kerala</v>
      </c>
      <c r="AE31" t="str">
        <f>TRIM(PROPER(I:I))</f>
        <v>Kochi</v>
      </c>
      <c r="AF31" t="str">
        <f>TRIM(PROPER(J:J))</f>
        <v>Technology</v>
      </c>
      <c r="AG31" t="str">
        <f>TRIM(PROPER(K:K))</f>
        <v>Phones</v>
      </c>
      <c r="AH31" t="str">
        <f>TRIM(PROPER(L:L))</f>
        <v>Pro Phones 442</v>
      </c>
      <c r="AI31" t="str">
        <f>TRIM(PROPER(M:M))</f>
        <v>Standard Class</v>
      </c>
      <c r="AJ31" s="3" t="str">
        <f t="shared" si="0"/>
        <v xml:space="preserve">  </v>
      </c>
      <c r="AK31">
        <f>IFERROR(Y31-X31, "invalid date")</f>
        <v>0</v>
      </c>
      <c r="AL31" s="10">
        <v>0.15</v>
      </c>
      <c r="AM31" s="11">
        <v>217.60849999999999</v>
      </c>
      <c r="AN31" s="11">
        <v>97.838499999999996</v>
      </c>
      <c r="AO31" s="10">
        <v>0.44960789675035673</v>
      </c>
      <c r="AP31" t="s">
        <v>4165</v>
      </c>
      <c r="AQ31" t="s">
        <v>4165</v>
      </c>
      <c r="AR31" t="s">
        <v>4114</v>
      </c>
      <c r="AS31" t="s">
        <v>4120</v>
      </c>
      <c r="AT31" t="s">
        <v>4115</v>
      </c>
      <c r="AU31">
        <v>0</v>
      </c>
      <c r="AV31" t="s">
        <v>4109</v>
      </c>
    </row>
    <row r="32" spans="1:48">
      <c r="A32" t="s">
        <v>255</v>
      </c>
      <c r="B32" t="s">
        <v>256</v>
      </c>
      <c r="C32" t="s">
        <v>257</v>
      </c>
      <c r="D32" t="s">
        <v>258</v>
      </c>
      <c r="E32" t="s">
        <v>81</v>
      </c>
      <c r="F32" t="s">
        <v>117</v>
      </c>
      <c r="G32" t="s">
        <v>82</v>
      </c>
      <c r="H32" t="s">
        <v>259</v>
      </c>
      <c r="I32" t="s">
        <v>260</v>
      </c>
      <c r="J32" t="s">
        <v>39</v>
      </c>
      <c r="K32" t="s">
        <v>118</v>
      </c>
      <c r="L32" t="s">
        <v>261</v>
      </c>
      <c r="M32" t="s">
        <v>65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43</v>
      </c>
      <c r="U32" t="s">
        <v>44</v>
      </c>
      <c r="W32" t="s">
        <v>255</v>
      </c>
      <c r="X32" t="str">
        <v>09-02-24</v>
      </c>
      <c r="Y32" t="str">
        <v>02-12-24</v>
      </c>
      <c r="Z32" t="s">
        <v>258</v>
      </c>
      <c r="AA32" t="str">
        <v>Ananya Rao</v>
      </c>
      <c r="AB32" t="str">
        <f>TRIM(PROPER(F:F))</f>
        <v>Corporate</v>
      </c>
      <c r="AC32" t="str">
        <f>TRIM(PROPER(G:G))</f>
        <v>West</v>
      </c>
      <c r="AD32" t="str">
        <f>TRIM(PROPER(H:H))</f>
        <v>Goa</v>
      </c>
      <c r="AE32" t="str">
        <f>TRIM(PROPER(I:I))</f>
        <v>Panaji</v>
      </c>
      <c r="AF32" t="str">
        <f>TRIM(PROPER(J:J))</f>
        <v>Office Supplies</v>
      </c>
      <c r="AG32" t="str">
        <f>TRIM(PROPER(K:K))</f>
        <v>Labels</v>
      </c>
      <c r="AH32" t="str">
        <f>TRIM(PROPER(L:L))</f>
        <v>Pro Labels 355</v>
      </c>
      <c r="AI32" t="str">
        <f>TRIM(PROPER(M:M))</f>
        <v>First Class</v>
      </c>
      <c r="AJ32" s="3" t="str">
        <f t="shared" si="0"/>
        <v xml:space="preserve">  </v>
      </c>
      <c r="AK32">
        <f>IFERROR(Y32-X32, "invalid date")</f>
        <v>297</v>
      </c>
      <c r="AL32" s="10">
        <v>0.1</v>
      </c>
      <c r="AM32" s="11">
        <v>3079.5929999999998</v>
      </c>
      <c r="AN32" s="11">
        <v>1077.7029999999997</v>
      </c>
      <c r="AO32" s="10">
        <v>0.34994981479695525</v>
      </c>
      <c r="AP32" t="s">
        <v>4166</v>
      </c>
      <c r="AQ32" t="s">
        <v>4167</v>
      </c>
      <c r="AR32" t="s">
        <v>4129</v>
      </c>
      <c r="AS32" t="s">
        <v>4107</v>
      </c>
      <c r="AT32" t="s">
        <v>4121</v>
      </c>
      <c r="AU32">
        <v>297</v>
      </c>
      <c r="AV32" t="s">
        <v>4109</v>
      </c>
    </row>
    <row r="33" spans="1:48">
      <c r="A33" t="s">
        <v>262</v>
      </c>
      <c r="B33" t="s">
        <v>263</v>
      </c>
      <c r="C33" t="s">
        <v>264</v>
      </c>
      <c r="D33" t="s">
        <v>265</v>
      </c>
      <c r="E33" t="s">
        <v>34</v>
      </c>
      <c r="F33" t="s">
        <v>50</v>
      </c>
      <c r="G33" t="s">
        <v>82</v>
      </c>
      <c r="H33" t="s">
        <v>93</v>
      </c>
      <c r="I33" t="s">
        <v>94</v>
      </c>
      <c r="J33" t="s">
        <v>39</v>
      </c>
      <c r="K33" t="s">
        <v>40</v>
      </c>
      <c r="L33" t="s">
        <v>266</v>
      </c>
      <c r="M33" t="s">
        <v>42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210</v>
      </c>
      <c r="U33" t="s">
        <v>134</v>
      </c>
      <c r="W33" t="s">
        <v>262</v>
      </c>
      <c r="X33" t="str">
        <v>15-06-25</v>
      </c>
      <c r="Y33" t="str">
        <v>19-06-25</v>
      </c>
      <c r="Z33" t="s">
        <v>265</v>
      </c>
      <c r="AA33" t="str">
        <v>Karan Malhotra</v>
      </c>
      <c r="AB33" t="str">
        <f>TRIM(PROPER(F:F))</f>
        <v>Small Business</v>
      </c>
      <c r="AC33" t="str">
        <f>TRIM(PROPER(G:G))</f>
        <v>West</v>
      </c>
      <c r="AD33" t="str">
        <f>TRIM(PROPER(H:H))</f>
        <v>Madhya Pradesh</v>
      </c>
      <c r="AE33" t="str">
        <f>TRIM(PROPER(I:I))</f>
        <v>Indore</v>
      </c>
      <c r="AF33" t="str">
        <f>TRIM(PROPER(J:J))</f>
        <v>Office Supplies</v>
      </c>
      <c r="AG33" t="str">
        <f>TRIM(PROPER(K:K))</f>
        <v>Paper</v>
      </c>
      <c r="AH33" t="str">
        <f>TRIM(PROPER(L:L))</f>
        <v>Pro Paper 959</v>
      </c>
      <c r="AI33" t="str">
        <f>TRIM(PROPER(M:M))</f>
        <v>Second Class</v>
      </c>
      <c r="AJ33" s="3" t="str">
        <f t="shared" si="0"/>
        <v>anomaly</v>
      </c>
      <c r="AK33">
        <f>IFERROR(Y33-X33, "invalid date")</f>
        <v>4</v>
      </c>
      <c r="AL33" s="10">
        <v>0</v>
      </c>
      <c r="AM33" s="11">
        <v>27832.95</v>
      </c>
      <c r="AN33" s="11">
        <v>10063.200000000001</v>
      </c>
      <c r="AO33" s="10">
        <v>0.36155707533696574</v>
      </c>
      <c r="AP33" t="s">
        <v>4168</v>
      </c>
      <c r="AQ33" t="s">
        <v>4169</v>
      </c>
      <c r="AR33" t="s">
        <v>4170</v>
      </c>
      <c r="AS33" t="s">
        <v>4120</v>
      </c>
      <c r="AT33" t="s">
        <v>4115</v>
      </c>
      <c r="AU33">
        <v>4</v>
      </c>
      <c r="AV33" t="s">
        <v>4109</v>
      </c>
    </row>
    <row r="34" spans="1:48">
      <c r="A34" t="s">
        <v>267</v>
      </c>
      <c r="B34" t="s">
        <v>268</v>
      </c>
      <c r="C34" t="s">
        <v>269</v>
      </c>
      <c r="D34" t="s">
        <v>270</v>
      </c>
      <c r="E34" t="s">
        <v>171</v>
      </c>
      <c r="F34" t="s">
        <v>117</v>
      </c>
      <c r="G34" t="s">
        <v>71</v>
      </c>
      <c r="H34" t="s">
        <v>109</v>
      </c>
      <c r="I34" t="s">
        <v>110</v>
      </c>
      <c r="J34" t="s">
        <v>95</v>
      </c>
      <c r="K34" t="s">
        <v>233</v>
      </c>
      <c r="L34" t="s">
        <v>271</v>
      </c>
      <c r="M34" t="s">
        <v>42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43</v>
      </c>
      <c r="U34" t="s">
        <v>44</v>
      </c>
      <c r="W34" t="s">
        <v>267</v>
      </c>
      <c r="X34" t="str">
        <v>22-11-24</v>
      </c>
      <c r="Y34" t="str">
        <v>26-11-24</v>
      </c>
      <c r="Z34" t="s">
        <v>270</v>
      </c>
      <c r="AA34" t="str">
        <v>Aarav Sharma</v>
      </c>
      <c r="AB34" t="str">
        <f>TRIM(PROPER(F:F))</f>
        <v>Corporate</v>
      </c>
      <c r="AC34" t="str">
        <f>TRIM(PROPER(G:G))</f>
        <v>South</v>
      </c>
      <c r="AD34" t="str">
        <f>TRIM(PROPER(H:H))</f>
        <v>Andhra Pradesh</v>
      </c>
      <c r="AE34" t="str">
        <f>TRIM(PROPER(I:I))</f>
        <v>Vijayawada</v>
      </c>
      <c r="AF34" t="str">
        <f>TRIM(PROPER(J:J))</f>
        <v>Technology</v>
      </c>
      <c r="AG34" t="str">
        <f>TRIM(PROPER(K:K))</f>
        <v>Phones</v>
      </c>
      <c r="AH34" t="str">
        <f>TRIM(PROPER(L:L))</f>
        <v>Basic Phones 242</v>
      </c>
      <c r="AI34" t="str">
        <f>TRIM(PROPER(M:M))</f>
        <v>Second Class</v>
      </c>
      <c r="AJ34" s="3" t="str">
        <f t="shared" si="0"/>
        <v>anomaly</v>
      </c>
      <c r="AK34">
        <f>IFERROR(Y34-X34, "invalid date")</f>
        <v>4</v>
      </c>
      <c r="AL34" s="10">
        <v>0</v>
      </c>
      <c r="AM34" s="11">
        <v>12003.75</v>
      </c>
      <c r="AN34" s="11">
        <v>4473.83</v>
      </c>
      <c r="AO34" s="10">
        <v>0.37270269707383108</v>
      </c>
      <c r="AP34" t="s">
        <v>4171</v>
      </c>
      <c r="AQ34" t="s">
        <v>4172</v>
      </c>
      <c r="AR34" t="s">
        <v>4117</v>
      </c>
      <c r="AS34" t="s">
        <v>4107</v>
      </c>
      <c r="AT34" t="s">
        <v>4115</v>
      </c>
      <c r="AU34">
        <v>4</v>
      </c>
      <c r="AV34" t="s">
        <v>4109</v>
      </c>
    </row>
    <row r="35" spans="1:48">
      <c r="A35" t="s">
        <v>272</v>
      </c>
      <c r="B35" t="s">
        <v>273</v>
      </c>
      <c r="C35" t="s">
        <v>274</v>
      </c>
      <c r="D35" t="s">
        <v>275</v>
      </c>
      <c r="E35" t="s">
        <v>151</v>
      </c>
      <c r="F35" t="s">
        <v>124</v>
      </c>
      <c r="G35" t="s">
        <v>82</v>
      </c>
      <c r="H35" t="s">
        <v>259</v>
      </c>
      <c r="I35" t="s">
        <v>260</v>
      </c>
      <c r="J35" t="s">
        <v>54</v>
      </c>
      <c r="K35" t="s">
        <v>55</v>
      </c>
      <c r="L35" t="s">
        <v>276</v>
      </c>
      <c r="M35" t="s">
        <v>57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43</v>
      </c>
      <c r="U35" t="s">
        <v>44</v>
      </c>
      <c r="W35" t="s">
        <v>272</v>
      </c>
      <c r="X35" t="str">
        <v>invalid date</v>
      </c>
      <c r="Y35" t="str">
        <v>27-07-24</v>
      </c>
      <c r="Z35" t="s">
        <v>275</v>
      </c>
      <c r="AA35" t="str">
        <v>Priya Menon</v>
      </c>
      <c r="AB35" t="str">
        <f>TRIM(PROPER(F:F))</f>
        <v>Home Office</v>
      </c>
      <c r="AC35" t="str">
        <f>TRIM(PROPER(G:G))</f>
        <v>West</v>
      </c>
      <c r="AD35" t="str">
        <f>TRIM(PROPER(H:H))</f>
        <v>Goa</v>
      </c>
      <c r="AE35" t="str">
        <f>TRIM(PROPER(I:I))</f>
        <v>Panaji</v>
      </c>
      <c r="AF35" t="str">
        <f>TRIM(PROPER(J:J))</f>
        <v>Furniture</v>
      </c>
      <c r="AG35" t="str">
        <f>TRIM(PROPER(K:K))</f>
        <v>Tables</v>
      </c>
      <c r="AH35" t="str">
        <f>TRIM(PROPER(L:L))</f>
        <v>Max Tables 836</v>
      </c>
      <c r="AI35" t="str">
        <f>TRIM(PROPER(M:M))</f>
        <v>Same Day</v>
      </c>
      <c r="AJ35" s="3" t="str">
        <f t="shared" si="0"/>
        <v>Invalid</v>
      </c>
      <c r="AK35" t="str">
        <f>IFERROR(Y35-X35, "invalid date")</f>
        <v>invalid date</v>
      </c>
      <c r="AL35" s="10">
        <v>0.25</v>
      </c>
      <c r="AM35" s="11">
        <v>2585.1525000000001</v>
      </c>
      <c r="AN35" s="11">
        <v>514.42250000000013</v>
      </c>
      <c r="AO35" s="10">
        <v>0.19899116203009304</v>
      </c>
      <c r="AP35" t="s">
        <v>4105</v>
      </c>
      <c r="AQ35" t="s">
        <v>4173</v>
      </c>
      <c r="AR35" t="s">
        <v>4105</v>
      </c>
      <c r="AS35" t="s">
        <v>4105</v>
      </c>
      <c r="AT35" t="s">
        <v>4108</v>
      </c>
      <c r="AU35" t="s">
        <v>4105</v>
      </c>
      <c r="AV35" t="s">
        <v>4109</v>
      </c>
    </row>
    <row r="36" spans="1:48">
      <c r="A36" t="s">
        <v>277</v>
      </c>
      <c r="B36" t="s">
        <v>278</v>
      </c>
      <c r="C36" t="s">
        <v>279</v>
      </c>
      <c r="D36" t="s">
        <v>280</v>
      </c>
      <c r="E36" t="s">
        <v>151</v>
      </c>
      <c r="F36" t="s">
        <v>124</v>
      </c>
      <c r="G36" t="s">
        <v>51</v>
      </c>
      <c r="H36" t="s">
        <v>130</v>
      </c>
      <c r="I36" t="s">
        <v>131</v>
      </c>
      <c r="J36" t="s">
        <v>54</v>
      </c>
      <c r="K36" t="s">
        <v>85</v>
      </c>
      <c r="L36" t="s">
        <v>281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43</v>
      </c>
      <c r="U36" t="s">
        <v>44</v>
      </c>
      <c r="W36" t="s">
        <v>277</v>
      </c>
      <c r="X36" t="str">
        <v>31-01-25</v>
      </c>
      <c r="Y36" t="str">
        <v>05-02-25</v>
      </c>
      <c r="Z36" t="s">
        <v>280</v>
      </c>
      <c r="AA36" t="str">
        <v>Priya Menon</v>
      </c>
      <c r="AB36" t="str">
        <f>TRIM(PROPER(F:F))</f>
        <v>Home Office</v>
      </c>
      <c r="AC36" t="str">
        <f>TRIM(PROPER(G:G))</f>
        <v>East</v>
      </c>
      <c r="AD36" t="str">
        <f>TRIM(PROPER(H:H))</f>
        <v>West Bengal</v>
      </c>
      <c r="AE36" t="str">
        <f>TRIM(PROPER(I:I))</f>
        <v>Kolkata</v>
      </c>
      <c r="AF36" t="str">
        <f>TRIM(PROPER(J:J))</f>
        <v>Furniture</v>
      </c>
      <c r="AG36" t="str">
        <f>TRIM(PROPER(K:K))</f>
        <v>Chairs</v>
      </c>
      <c r="AH36" t="str">
        <f>TRIM(PROPER(L:L))</f>
        <v>Elite Chairs 862</v>
      </c>
      <c r="AI36" s="4" t="s">
        <v>282</v>
      </c>
      <c r="AJ36" s="3" t="str">
        <f t="shared" si="0"/>
        <v xml:space="preserve">  </v>
      </c>
      <c r="AK36">
        <f>IFERROR(Y36-X36, "invalid date")</f>
        <v>5</v>
      </c>
      <c r="AL36" s="10">
        <v>0.2</v>
      </c>
      <c r="AM36" s="11">
        <v>6655.5039999999999</v>
      </c>
      <c r="AN36" s="11">
        <v>2315.2939999999999</v>
      </c>
      <c r="AO36" s="10">
        <v>0.34787658455317583</v>
      </c>
      <c r="AP36" t="s">
        <v>4174</v>
      </c>
      <c r="AQ36" t="s">
        <v>4175</v>
      </c>
      <c r="AR36" t="s">
        <v>4153</v>
      </c>
      <c r="AS36" t="s">
        <v>4120</v>
      </c>
      <c r="AT36" t="s">
        <v>4121</v>
      </c>
      <c r="AU36">
        <v>5</v>
      </c>
      <c r="AV36" t="s">
        <v>4109</v>
      </c>
    </row>
    <row r="37" spans="1:48">
      <c r="A37" t="s">
        <v>283</v>
      </c>
      <c r="B37" t="s">
        <v>284</v>
      </c>
      <c r="C37" t="s">
        <v>285</v>
      </c>
      <c r="D37" t="s">
        <v>286</v>
      </c>
      <c r="E37" t="s">
        <v>177</v>
      </c>
      <c r="F37" t="s">
        <v>50</v>
      </c>
      <c r="G37" t="s">
        <v>82</v>
      </c>
      <c r="H37" t="s">
        <v>245</v>
      </c>
      <c r="I37" t="s">
        <v>246</v>
      </c>
      <c r="J37" t="s">
        <v>54</v>
      </c>
      <c r="K37" t="s">
        <v>214</v>
      </c>
      <c r="L37" t="s">
        <v>287</v>
      </c>
      <c r="M37" t="s">
        <v>42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146</v>
      </c>
      <c r="U37" t="s">
        <v>134</v>
      </c>
      <c r="W37" t="s">
        <v>283</v>
      </c>
      <c r="X37" t="str">
        <v>29-05-24</v>
      </c>
      <c r="Y37" t="str">
        <v>29-05-24</v>
      </c>
      <c r="Z37" t="s">
        <v>286</v>
      </c>
      <c r="AA37" t="str">
        <v>Sneha Kapoor</v>
      </c>
      <c r="AB37" t="str">
        <f>TRIM(PROPER(F:F))</f>
        <v>Small Business</v>
      </c>
      <c r="AC37" t="str">
        <f>TRIM(PROPER(G:G))</f>
        <v>West</v>
      </c>
      <c r="AD37" t="str">
        <f>TRIM(PROPER(H:H))</f>
        <v>Gujarat</v>
      </c>
      <c r="AE37" t="str">
        <f>TRIM(PROPER(I:I))</f>
        <v>Ahmedabad</v>
      </c>
      <c r="AF37" t="str">
        <f>TRIM(PROPER(J:J))</f>
        <v>Furniture</v>
      </c>
      <c r="AG37" t="str">
        <f>TRIM(PROPER(K:K))</f>
        <v>Bookcases</v>
      </c>
      <c r="AH37" t="str">
        <f>TRIM(PROPER(L:L))</f>
        <v>Prime Bookcases 414</v>
      </c>
      <c r="AI37" t="str">
        <f>TRIM(PROPER(M:M))</f>
        <v>Second Class</v>
      </c>
      <c r="AJ37" s="3" t="str">
        <f t="shared" si="0"/>
        <v xml:space="preserve">  </v>
      </c>
      <c r="AK37">
        <f>IFERROR(Y37-X37, "invalid date")</f>
        <v>0</v>
      </c>
      <c r="AL37" s="10">
        <v>0.05</v>
      </c>
      <c r="AM37" s="11">
        <v>19054.111999999997</v>
      </c>
      <c r="AN37" s="11">
        <v>3740.2819999999974</v>
      </c>
      <c r="AO37" s="10">
        <v>0.19629789097492437</v>
      </c>
      <c r="AP37" t="s">
        <v>4176</v>
      </c>
      <c r="AQ37" t="s">
        <v>4176</v>
      </c>
      <c r="AR37" t="s">
        <v>4124</v>
      </c>
      <c r="AS37" t="s">
        <v>4107</v>
      </c>
      <c r="AT37" t="s">
        <v>4115</v>
      </c>
      <c r="AU37">
        <v>0</v>
      </c>
      <c r="AV37" t="s">
        <v>4109</v>
      </c>
    </row>
    <row r="38" spans="1:48">
      <c r="A38" t="s">
        <v>288</v>
      </c>
      <c r="B38" t="s">
        <v>289</v>
      </c>
      <c r="C38" t="s">
        <v>290</v>
      </c>
      <c r="D38" t="s">
        <v>291</v>
      </c>
      <c r="E38" t="s">
        <v>189</v>
      </c>
      <c r="F38" t="s">
        <v>117</v>
      </c>
      <c r="G38" t="s">
        <v>82</v>
      </c>
      <c r="H38" t="s">
        <v>83</v>
      </c>
      <c r="I38" t="s">
        <v>84</v>
      </c>
      <c r="J38" t="s">
        <v>54</v>
      </c>
      <c r="K38" t="s">
        <v>214</v>
      </c>
      <c r="L38" t="s">
        <v>292</v>
      </c>
      <c r="M38" t="s">
        <v>42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43</v>
      </c>
      <c r="U38" t="s">
        <v>134</v>
      </c>
      <c r="W38" t="s">
        <v>288</v>
      </c>
      <c r="X38" t="str">
        <v>25-10-24</v>
      </c>
      <c r="Y38" t="str">
        <v>28-10-24</v>
      </c>
      <c r="Z38" t="s">
        <v>291</v>
      </c>
      <c r="AA38" t="str">
        <v>Rohan Mehta</v>
      </c>
      <c r="AB38" t="str">
        <f>TRIM(PROPER(F:F))</f>
        <v>Corporate</v>
      </c>
      <c r="AC38" t="str">
        <f>TRIM(PROPER(G:G))</f>
        <v>West</v>
      </c>
      <c r="AD38" t="str">
        <f>TRIM(PROPER(H:H))</f>
        <v>Maharashtra</v>
      </c>
      <c r="AE38" t="str">
        <f>TRIM(PROPER(I:I))</f>
        <v>Mumbai</v>
      </c>
      <c r="AF38" t="str">
        <f>TRIM(PROPER(J:J))</f>
        <v>Furniture</v>
      </c>
      <c r="AG38" t="str">
        <f>TRIM(PROPER(K:K))</f>
        <v>Bookcases</v>
      </c>
      <c r="AH38" t="str">
        <f>TRIM(PROPER(L:L))</f>
        <v>Eco Bookcases 220</v>
      </c>
      <c r="AI38" t="str">
        <f>TRIM(PROPER(M:M))</f>
        <v>Second Class</v>
      </c>
      <c r="AJ38" s="3" t="str">
        <f t="shared" si="0"/>
        <v>anomaly</v>
      </c>
      <c r="AK38">
        <f>IFERROR(Y38-X38, "invalid date")</f>
        <v>3</v>
      </c>
      <c r="AL38" s="10">
        <v>0</v>
      </c>
      <c r="AM38" s="11">
        <v>9379.41</v>
      </c>
      <c r="AN38" s="11">
        <v>2708.5599999999995</v>
      </c>
      <c r="AO38" s="10">
        <v>0.28877722585962223</v>
      </c>
      <c r="AP38" t="s">
        <v>4177</v>
      </c>
      <c r="AQ38" t="s">
        <v>4178</v>
      </c>
      <c r="AR38" t="s">
        <v>4126</v>
      </c>
      <c r="AS38" t="s">
        <v>4107</v>
      </c>
      <c r="AT38" t="s">
        <v>4115</v>
      </c>
      <c r="AU38">
        <v>3</v>
      </c>
      <c r="AV38" t="s">
        <v>4109</v>
      </c>
    </row>
    <row r="39" spans="1:48">
      <c r="A39" t="s">
        <v>293</v>
      </c>
      <c r="B39" t="s">
        <v>294</v>
      </c>
      <c r="C39" t="s">
        <v>294</v>
      </c>
      <c r="D39" t="s">
        <v>295</v>
      </c>
      <c r="E39" t="s">
        <v>220</v>
      </c>
      <c r="F39" t="s">
        <v>35</v>
      </c>
      <c r="G39" t="s">
        <v>82</v>
      </c>
      <c r="H39" t="s">
        <v>83</v>
      </c>
      <c r="I39" t="s">
        <v>84</v>
      </c>
      <c r="J39" t="s">
        <v>95</v>
      </c>
      <c r="K39" t="s">
        <v>103</v>
      </c>
      <c r="L39" t="s">
        <v>296</v>
      </c>
      <c r="M39" t="s">
        <v>297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43</v>
      </c>
      <c r="U39" t="s">
        <v>44</v>
      </c>
      <c r="W39" t="s">
        <v>293</v>
      </c>
      <c r="X39" t="str">
        <v>29-07-25</v>
      </c>
      <c r="Y39" t="str">
        <v>29-07-25</v>
      </c>
      <c r="Z39" t="s">
        <v>295</v>
      </c>
      <c r="AA39" t="str">
        <v>Diya Patel</v>
      </c>
      <c r="AB39" t="str">
        <f>TRIM(PROPER(F:F))</f>
        <v>Consumer</v>
      </c>
      <c r="AC39" t="str">
        <f>TRIM(PROPER(G:G))</f>
        <v>West</v>
      </c>
      <c r="AD39" t="str">
        <f>TRIM(PROPER(H:H))</f>
        <v>Maharashtra</v>
      </c>
      <c r="AE39" t="str">
        <f>TRIM(PROPER(I:I))</f>
        <v>Mumbai</v>
      </c>
      <c r="AF39" t="str">
        <f>TRIM(PROPER(J:J))</f>
        <v>Technology</v>
      </c>
      <c r="AG39" t="str">
        <f>TRIM(PROPER(K:K))</f>
        <v>Copiers</v>
      </c>
      <c r="AH39" t="str">
        <f>TRIM(PROPER(L:L))</f>
        <v>Pro Copiers 830</v>
      </c>
      <c r="AI39" t="str">
        <f>TRIM(PROPER(M:M))</f>
        <v>Standard Class</v>
      </c>
      <c r="AJ39" s="3" t="str">
        <f t="shared" si="0"/>
        <v xml:space="preserve">  </v>
      </c>
      <c r="AK39">
        <f>IFERROR(Y39-X39, "invalid date")</f>
        <v>0</v>
      </c>
      <c r="AL39" s="10">
        <v>0.2</v>
      </c>
      <c r="AM39" s="11">
        <v>4248.1279999999997</v>
      </c>
      <c r="AN39" s="11">
        <v>927.03799999999956</v>
      </c>
      <c r="AO39" s="10">
        <v>0.21822270892025844</v>
      </c>
      <c r="AP39" t="s">
        <v>4179</v>
      </c>
      <c r="AQ39" t="s">
        <v>4179</v>
      </c>
      <c r="AR39" t="s">
        <v>4106</v>
      </c>
      <c r="AS39" t="s">
        <v>4120</v>
      </c>
      <c r="AT39" t="s">
        <v>4115</v>
      </c>
      <c r="AU39">
        <v>0</v>
      </c>
      <c r="AV39" t="s">
        <v>4109</v>
      </c>
    </row>
    <row r="40" spans="1:48">
      <c r="A40" t="s">
        <v>298</v>
      </c>
      <c r="B40" t="s">
        <v>299</v>
      </c>
      <c r="C40" t="s">
        <v>300</v>
      </c>
      <c r="D40" t="s">
        <v>301</v>
      </c>
      <c r="E40" t="s">
        <v>171</v>
      </c>
      <c r="F40" t="s">
        <v>117</v>
      </c>
      <c r="G40" t="s">
        <v>82</v>
      </c>
      <c r="H40" t="s">
        <v>245</v>
      </c>
      <c r="I40" t="s">
        <v>246</v>
      </c>
      <c r="J40" t="s">
        <v>95</v>
      </c>
      <c r="K40" t="s">
        <v>233</v>
      </c>
      <c r="L40" t="s">
        <v>302</v>
      </c>
      <c r="M40" t="s">
        <v>65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43</v>
      </c>
      <c r="U40" t="s">
        <v>44</v>
      </c>
      <c r="W40" t="s">
        <v>298</v>
      </c>
      <c r="X40" t="str">
        <v>17-06-24</v>
      </c>
      <c r="Y40" t="str">
        <v>22-06-24</v>
      </c>
      <c r="Z40" t="s">
        <v>301</v>
      </c>
      <c r="AA40" t="str">
        <v>Aarav Sharma</v>
      </c>
      <c r="AB40" t="str">
        <f>TRIM(PROPER(F:F))</f>
        <v>Corporate</v>
      </c>
      <c r="AC40" t="str">
        <f>TRIM(PROPER(G:G))</f>
        <v>West</v>
      </c>
      <c r="AD40" t="str">
        <f>TRIM(PROPER(H:H))</f>
        <v>Gujarat</v>
      </c>
      <c r="AE40" t="str">
        <f>TRIM(PROPER(I:I))</f>
        <v>Ahmedabad</v>
      </c>
      <c r="AF40" t="str">
        <f>TRIM(PROPER(J:J))</f>
        <v>Technology</v>
      </c>
      <c r="AG40" t="str">
        <f>TRIM(PROPER(K:K))</f>
        <v>Phones</v>
      </c>
      <c r="AH40" t="str">
        <f>TRIM(PROPER(L:L))</f>
        <v>Prime Phones 507</v>
      </c>
      <c r="AI40" t="str">
        <f>TRIM(PROPER(M:M))</f>
        <v>First Class</v>
      </c>
      <c r="AJ40" s="3" t="str">
        <f t="shared" si="0"/>
        <v>anomaly</v>
      </c>
      <c r="AK40">
        <f>IFERROR(Y40-X40, "invalid date")</f>
        <v>5</v>
      </c>
      <c r="AL40" s="10">
        <v>0.1</v>
      </c>
      <c r="AM40" s="11">
        <v>13927.284</v>
      </c>
      <c r="AN40" s="11">
        <v>3422.4139999999989</v>
      </c>
      <c r="AO40" s="10">
        <v>0.24573448778670692</v>
      </c>
      <c r="AP40" t="s">
        <v>4180</v>
      </c>
      <c r="AQ40" t="s">
        <v>4181</v>
      </c>
      <c r="AR40" t="s">
        <v>4170</v>
      </c>
      <c r="AS40" t="s">
        <v>4107</v>
      </c>
      <c r="AT40" t="s">
        <v>4115</v>
      </c>
      <c r="AU40">
        <v>5</v>
      </c>
      <c r="AV40" t="s">
        <v>4109</v>
      </c>
    </row>
    <row r="41" spans="1:48">
      <c r="A41" t="s">
        <v>303</v>
      </c>
      <c r="B41" t="s">
        <v>304</v>
      </c>
      <c r="C41" t="s">
        <v>305</v>
      </c>
      <c r="D41" t="s">
        <v>306</v>
      </c>
      <c r="E41" t="s">
        <v>49</v>
      </c>
      <c r="F41" t="s">
        <v>50</v>
      </c>
      <c r="G41" t="s">
        <v>82</v>
      </c>
      <c r="H41" t="s">
        <v>93</v>
      </c>
      <c r="I41" t="s">
        <v>94</v>
      </c>
      <c r="J41" t="s">
        <v>95</v>
      </c>
      <c r="K41" t="s">
        <v>103</v>
      </c>
      <c r="L41" t="s">
        <v>307</v>
      </c>
      <c r="M41" t="s">
        <v>65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146</v>
      </c>
      <c r="U41" t="s">
        <v>134</v>
      </c>
      <c r="W41" t="s">
        <v>303</v>
      </c>
      <c r="X41" t="str">
        <v>12-11-24</v>
      </c>
      <c r="Y41" t="str">
        <v>11-12-24</v>
      </c>
      <c r="Z41" t="s">
        <v>306</v>
      </c>
      <c r="AA41" t="str">
        <v>Mira Das</v>
      </c>
      <c r="AB41" t="str">
        <f>TRIM(PROPER(F:F))</f>
        <v>Small Business</v>
      </c>
      <c r="AC41" t="str">
        <f>TRIM(PROPER(G:G))</f>
        <v>West</v>
      </c>
      <c r="AD41" t="str">
        <f>TRIM(PROPER(H:H))</f>
        <v>Madhya Pradesh</v>
      </c>
      <c r="AE41" t="str">
        <f>TRIM(PROPER(I:I))</f>
        <v>Indore</v>
      </c>
      <c r="AF41" t="str">
        <f>TRIM(PROPER(J:J))</f>
        <v>Technology</v>
      </c>
      <c r="AG41" t="str">
        <f>TRIM(PROPER(K:K))</f>
        <v>Copiers</v>
      </c>
      <c r="AH41" t="str">
        <f>TRIM(PROPER(L:L))</f>
        <v>Classic Copiers 590</v>
      </c>
      <c r="AI41" t="str">
        <f>TRIM(PROPER(M:M))</f>
        <v>First Class</v>
      </c>
      <c r="AJ41" s="3" t="str">
        <f t="shared" si="0"/>
        <v xml:space="preserve">  </v>
      </c>
      <c r="AK41">
        <f>IFERROR(Y41-X41, "invalid date")</f>
        <v>29</v>
      </c>
      <c r="AL41" s="10">
        <v>0.1</v>
      </c>
      <c r="AM41" s="11">
        <v>4935.3120000000008</v>
      </c>
      <c r="AN41" s="11">
        <v>1560.5420000000008</v>
      </c>
      <c r="AO41" s="10">
        <v>0.31619925954022776</v>
      </c>
      <c r="AP41" t="s">
        <v>4182</v>
      </c>
      <c r="AQ41" t="s">
        <v>4183</v>
      </c>
      <c r="AR41" t="s">
        <v>4117</v>
      </c>
      <c r="AS41" t="s">
        <v>4107</v>
      </c>
      <c r="AT41" t="s">
        <v>4121</v>
      </c>
      <c r="AU41">
        <v>29</v>
      </c>
      <c r="AV41" t="s">
        <v>4109</v>
      </c>
    </row>
    <row r="42" spans="1:48">
      <c r="A42" t="s">
        <v>308</v>
      </c>
      <c r="B42" t="s">
        <v>309</v>
      </c>
      <c r="C42" t="s">
        <v>310</v>
      </c>
      <c r="D42" t="s">
        <v>311</v>
      </c>
      <c r="E42" t="s">
        <v>62</v>
      </c>
      <c r="F42" t="s">
        <v>124</v>
      </c>
      <c r="G42" t="s">
        <v>82</v>
      </c>
      <c r="H42" t="s">
        <v>37</v>
      </c>
      <c r="I42" t="s">
        <v>144</v>
      </c>
      <c r="J42" t="s">
        <v>95</v>
      </c>
      <c r="K42" t="s">
        <v>103</v>
      </c>
      <c r="L42" t="s">
        <v>312</v>
      </c>
      <c r="M42" t="s">
        <v>76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43</v>
      </c>
      <c r="U42" t="s">
        <v>44</v>
      </c>
      <c r="W42" t="s">
        <v>308</v>
      </c>
      <c r="X42" t="str">
        <v>10-10-24</v>
      </c>
      <c r="Y42" t="str">
        <v>16-10-24</v>
      </c>
      <c r="Z42" t="s">
        <v>311</v>
      </c>
      <c r="AA42" t="str">
        <v>Isha Nair</v>
      </c>
      <c r="AB42" t="str">
        <f>TRIM(PROPER(F:F))</f>
        <v>Home Office</v>
      </c>
      <c r="AC42" t="str">
        <f>TRIM(PROPER(G:G))</f>
        <v>West</v>
      </c>
      <c r="AD42" t="str">
        <f>TRIM(PROPER(H:H))</f>
        <v>Rajasthan</v>
      </c>
      <c r="AE42" t="str">
        <f>TRIM(PROPER(I:I))</f>
        <v>Udaipur</v>
      </c>
      <c r="AF42" t="str">
        <f>TRIM(PROPER(J:J))</f>
        <v>Technology</v>
      </c>
      <c r="AG42" t="str">
        <f>TRIM(PROPER(K:K))</f>
        <v>Copiers</v>
      </c>
      <c r="AH42" t="str">
        <f>TRIM(PROPER(L:L))</f>
        <v>Eco Copiers 865</v>
      </c>
      <c r="AI42" t="str">
        <f>TRIM(PROPER(M:M))</f>
        <v>Standard Class</v>
      </c>
      <c r="AJ42" s="3" t="str">
        <f t="shared" si="0"/>
        <v>anomaly</v>
      </c>
      <c r="AK42">
        <f>IFERROR(Y42-X42, "invalid date")</f>
        <v>6</v>
      </c>
      <c r="AL42" s="10">
        <v>0.2</v>
      </c>
      <c r="AM42" s="11">
        <v>14051.912</v>
      </c>
      <c r="AN42" s="11">
        <v>2061.5419999999995</v>
      </c>
      <c r="AO42" s="10">
        <v>0.14670900301681361</v>
      </c>
      <c r="AP42" t="s">
        <v>4184</v>
      </c>
      <c r="AQ42" t="s">
        <v>4185</v>
      </c>
      <c r="AR42" t="s">
        <v>4126</v>
      </c>
      <c r="AS42" t="s">
        <v>4107</v>
      </c>
      <c r="AT42" t="s">
        <v>4115</v>
      </c>
      <c r="AU42">
        <v>6</v>
      </c>
      <c r="AV42" t="s">
        <v>4109</v>
      </c>
    </row>
    <row r="43" spans="1:48">
      <c r="A43" t="s">
        <v>313</v>
      </c>
      <c r="B43" t="s">
        <v>314</v>
      </c>
      <c r="C43" t="s">
        <v>315</v>
      </c>
      <c r="D43" t="s">
        <v>316</v>
      </c>
      <c r="E43" t="s">
        <v>171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214</v>
      </c>
      <c r="L43" t="s">
        <v>317</v>
      </c>
      <c r="M43" t="s">
        <v>57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146</v>
      </c>
      <c r="U43" t="s">
        <v>87</v>
      </c>
      <c r="W43" t="s">
        <v>313</v>
      </c>
      <c r="X43" t="str">
        <v>03-12-24</v>
      </c>
      <c r="Y43" t="str">
        <v>17-03-24</v>
      </c>
      <c r="Z43" t="s">
        <v>316</v>
      </c>
      <c r="AA43" t="str">
        <v>Aarav Sharma</v>
      </c>
      <c r="AB43" t="str">
        <f>TRIM(PROPER(F:F))</f>
        <v>Small Business</v>
      </c>
      <c r="AC43" t="str">
        <f>TRIM(PROPER(G:G))</f>
        <v>East</v>
      </c>
      <c r="AD43" t="str">
        <f>TRIM(PROPER(H:H))</f>
        <v>Odisha</v>
      </c>
      <c r="AE43" t="str">
        <f>TRIM(PROPER(I:I))</f>
        <v>Bhubaneswar</v>
      </c>
      <c r="AF43" t="str">
        <f>TRIM(PROPER(J:J))</f>
        <v>Furniture</v>
      </c>
      <c r="AG43" t="str">
        <f>TRIM(PROPER(K:K))</f>
        <v>Bookcases</v>
      </c>
      <c r="AH43" t="str">
        <f>TRIM(PROPER(L:L))</f>
        <v>Classic Bookcases 835</v>
      </c>
      <c r="AI43" t="str">
        <f>TRIM(PROPER(M:M))</f>
        <v>Same Day</v>
      </c>
      <c r="AJ43" s="3" t="str">
        <f t="shared" si="0"/>
        <v>anomaly</v>
      </c>
      <c r="AK43">
        <f>IFERROR(Y43-X43, "invalid date")</f>
        <v>-261</v>
      </c>
      <c r="AL43" s="10">
        <v>0</v>
      </c>
      <c r="AM43" s="11">
        <v>6846.48</v>
      </c>
      <c r="AN43" s="11">
        <v>2606.5899999999992</v>
      </c>
      <c r="AO43" s="10">
        <v>0.38071972750961069</v>
      </c>
      <c r="AP43" t="s">
        <v>4186</v>
      </c>
      <c r="AQ43" t="s">
        <v>4187</v>
      </c>
      <c r="AR43" t="s">
        <v>4139</v>
      </c>
      <c r="AS43" t="s">
        <v>4107</v>
      </c>
      <c r="AT43" t="s">
        <v>4115</v>
      </c>
      <c r="AU43">
        <v>-261</v>
      </c>
      <c r="AV43" t="s">
        <v>4109</v>
      </c>
    </row>
    <row r="44" spans="1:48">
      <c r="A44" t="s">
        <v>318</v>
      </c>
      <c r="B44" t="s">
        <v>319</v>
      </c>
      <c r="C44" t="s">
        <v>320</v>
      </c>
      <c r="D44" t="s">
        <v>321</v>
      </c>
      <c r="E44" t="s">
        <v>70</v>
      </c>
      <c r="F44" t="s">
        <v>117</v>
      </c>
      <c r="G44" t="s">
        <v>51</v>
      </c>
      <c r="H44" t="s">
        <v>322</v>
      </c>
      <c r="I44" t="s">
        <v>323</v>
      </c>
      <c r="J44" t="s">
        <v>95</v>
      </c>
      <c r="K44" t="s">
        <v>233</v>
      </c>
      <c r="L44" t="s">
        <v>324</v>
      </c>
      <c r="M44" t="s">
        <v>76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43</v>
      </c>
      <c r="U44" t="s">
        <v>44</v>
      </c>
      <c r="W44" t="s">
        <v>318</v>
      </c>
      <c r="X44" t="str">
        <v>10-10-25</v>
      </c>
      <c r="Y44" t="str">
        <v>15-10-25</v>
      </c>
      <c r="Z44" t="s">
        <v>321</v>
      </c>
      <c r="AA44" t="str">
        <v>Arjun Bose</v>
      </c>
      <c r="AB44" t="str">
        <f>TRIM(PROPER(F:F))</f>
        <v>Corporate</v>
      </c>
      <c r="AC44" t="str">
        <f>TRIM(PROPER(G:G))</f>
        <v>East</v>
      </c>
      <c r="AD44" t="str">
        <f>TRIM(PROPER(H:H))</f>
        <v>Jharkhand</v>
      </c>
      <c r="AE44" t="str">
        <f>TRIM(PROPER(I:I))</f>
        <v>Ranchi</v>
      </c>
      <c r="AF44" t="str">
        <f>TRIM(PROPER(J:J))</f>
        <v>Technology</v>
      </c>
      <c r="AG44" t="str">
        <f>TRIM(PROPER(K:K))</f>
        <v>Phones</v>
      </c>
      <c r="AH44" t="str">
        <f>TRIM(PROPER(L:L))</f>
        <v>Eco Phones 702</v>
      </c>
      <c r="AI44" t="str">
        <f>TRIM(PROPER(M:M))</f>
        <v>Standard Class</v>
      </c>
      <c r="AJ44" s="3" t="str">
        <f t="shared" si="0"/>
        <v>anomaly</v>
      </c>
      <c r="AK44">
        <f>IFERROR(Y44-X44, "invalid date")</f>
        <v>5</v>
      </c>
      <c r="AL44" s="10">
        <v>0.05</v>
      </c>
      <c r="AM44" s="11">
        <v>7447.0119999999997</v>
      </c>
      <c r="AN44" s="11">
        <v>2950.7919999999995</v>
      </c>
      <c r="AO44" s="10">
        <v>0.39623838393170302</v>
      </c>
      <c r="AP44" t="s">
        <v>4188</v>
      </c>
      <c r="AQ44" t="s">
        <v>4189</v>
      </c>
      <c r="AR44" t="s">
        <v>4126</v>
      </c>
      <c r="AS44" t="s">
        <v>4120</v>
      </c>
      <c r="AT44" t="s">
        <v>4115</v>
      </c>
      <c r="AU44">
        <v>5</v>
      </c>
      <c r="AV44" t="s">
        <v>4109</v>
      </c>
    </row>
    <row r="45" spans="1:48">
      <c r="A45" t="s">
        <v>325</v>
      </c>
      <c r="B45" t="s">
        <v>326</v>
      </c>
      <c r="C45" t="s">
        <v>327</v>
      </c>
      <c r="D45" t="s">
        <v>328</v>
      </c>
      <c r="E45" t="s">
        <v>151</v>
      </c>
      <c r="F45" t="s">
        <v>50</v>
      </c>
      <c r="G45" t="s">
        <v>51</v>
      </c>
      <c r="H45" t="s">
        <v>52</v>
      </c>
      <c r="I45" t="s">
        <v>53</v>
      </c>
      <c r="J45" t="s">
        <v>54</v>
      </c>
      <c r="K45" t="s">
        <v>74</v>
      </c>
      <c r="L45" t="s">
        <v>329</v>
      </c>
      <c r="M45" t="s">
        <v>57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43</v>
      </c>
      <c r="U45" t="s">
        <v>44</v>
      </c>
      <c r="W45" t="s">
        <v>325</v>
      </c>
      <c r="X45" t="str">
        <v>07-08-24</v>
      </c>
      <c r="Y45" t="str">
        <v>invalid date</v>
      </c>
      <c r="Z45" t="s">
        <v>328</v>
      </c>
      <c r="AA45" t="str">
        <v>Priya Menon</v>
      </c>
      <c r="AB45" t="str">
        <f>TRIM(PROPER(F:F))</f>
        <v>Small Business</v>
      </c>
      <c r="AC45" t="str">
        <f>TRIM(PROPER(G:G))</f>
        <v>East</v>
      </c>
      <c r="AD45" t="str">
        <f>TRIM(PROPER(H:H))</f>
        <v>Odisha</v>
      </c>
      <c r="AE45" t="str">
        <f>TRIM(PROPER(I:I))</f>
        <v>Bhubaneswar</v>
      </c>
      <c r="AF45" t="str">
        <f>TRIM(PROPER(J:J))</f>
        <v>Furniture</v>
      </c>
      <c r="AG45" t="str">
        <f>TRIM(PROPER(K:K))</f>
        <v>Furnishings</v>
      </c>
      <c r="AH45" t="str">
        <f>TRIM(PROPER(L:L))</f>
        <v>Smart Furnishings 956</v>
      </c>
      <c r="AI45" t="str">
        <f>TRIM(PROPER(M:M))</f>
        <v>Same Day</v>
      </c>
      <c r="AJ45" s="3" t="str">
        <f t="shared" si="0"/>
        <v>Invalid</v>
      </c>
      <c r="AK45" t="str">
        <f>IFERROR(Y45-X45, "invalid date")</f>
        <v>invalid date</v>
      </c>
      <c r="AL45" s="10">
        <v>0</v>
      </c>
      <c r="AM45" s="11">
        <v>3030.69</v>
      </c>
      <c r="AN45" s="11">
        <v>1309.6100000000001</v>
      </c>
      <c r="AO45" s="10">
        <v>0.43211611877163292</v>
      </c>
      <c r="AP45" t="s">
        <v>4190</v>
      </c>
      <c r="AQ45" t="s">
        <v>4105</v>
      </c>
      <c r="AR45" t="s">
        <v>4114</v>
      </c>
      <c r="AS45" t="s">
        <v>4107</v>
      </c>
      <c r="AT45" t="s">
        <v>4108</v>
      </c>
      <c r="AU45" t="s">
        <v>4105</v>
      </c>
      <c r="AV45" t="s">
        <v>4109</v>
      </c>
    </row>
    <row r="46" spans="1:48">
      <c r="A46" t="s">
        <v>330</v>
      </c>
      <c r="B46" t="s">
        <v>331</v>
      </c>
      <c r="C46" t="s">
        <v>332</v>
      </c>
      <c r="D46" t="s">
        <v>333</v>
      </c>
      <c r="E46" t="s">
        <v>189</v>
      </c>
      <c r="F46" t="s">
        <v>50</v>
      </c>
      <c r="G46" t="s">
        <v>36</v>
      </c>
      <c r="H46" t="s">
        <v>334</v>
      </c>
      <c r="I46" t="s">
        <v>335</v>
      </c>
      <c r="J46" t="s">
        <v>54</v>
      </c>
      <c r="K46" t="s">
        <v>85</v>
      </c>
      <c r="L46" t="s">
        <v>336</v>
      </c>
      <c r="M46" t="s">
        <v>76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43</v>
      </c>
      <c r="U46" t="s">
        <v>44</v>
      </c>
      <c r="W46" t="s">
        <v>330</v>
      </c>
      <c r="X46" t="str">
        <v>invalid date</v>
      </c>
      <c r="Y46" t="str">
        <v>25-06-24</v>
      </c>
      <c r="Z46" t="s">
        <v>333</v>
      </c>
      <c r="AA46" t="str">
        <v>Rohan Mehta</v>
      </c>
      <c r="AB46" t="str">
        <f>TRIM(PROPER(F:F))</f>
        <v>Small Business</v>
      </c>
      <c r="AC46" t="str">
        <f>TRIM(PROPER(G:G))</f>
        <v>North</v>
      </c>
      <c r="AD46" t="str">
        <f>TRIM(PROPER(H:H))</f>
        <v>Haryana</v>
      </c>
      <c r="AE46" t="str">
        <f>TRIM(PROPER(I:I))</f>
        <v>Gurugram</v>
      </c>
      <c r="AF46" t="str">
        <f>TRIM(PROPER(J:J))</f>
        <v>Furniture</v>
      </c>
      <c r="AG46" t="str">
        <f>TRIM(PROPER(K:K))</f>
        <v>Chairs</v>
      </c>
      <c r="AH46" t="str">
        <f>TRIM(PROPER(L:L))</f>
        <v>Max Chairs 393</v>
      </c>
      <c r="AI46" t="str">
        <f>TRIM(PROPER(M:M))</f>
        <v>Standard Class</v>
      </c>
      <c r="AJ46" s="3" t="str">
        <f t="shared" si="0"/>
        <v>Invalid</v>
      </c>
      <c r="AK46" t="str">
        <f>IFERROR(Y46-X46, "invalid date")</f>
        <v>invalid date</v>
      </c>
      <c r="AL46" s="10">
        <v>0.1</v>
      </c>
      <c r="AM46" s="11">
        <v>26971.137000000002</v>
      </c>
      <c r="AN46" s="11">
        <v>9594.9370000000017</v>
      </c>
      <c r="AO46" s="10">
        <v>0.35574833200394929</v>
      </c>
      <c r="AP46" t="s">
        <v>4105</v>
      </c>
      <c r="AQ46" t="s">
        <v>4191</v>
      </c>
      <c r="AR46" t="s">
        <v>4105</v>
      </c>
      <c r="AS46" t="s">
        <v>4105</v>
      </c>
      <c r="AT46" t="s">
        <v>4108</v>
      </c>
      <c r="AU46" t="s">
        <v>4105</v>
      </c>
      <c r="AV46" t="s">
        <v>4109</v>
      </c>
    </row>
    <row r="47" spans="1:48">
      <c r="A47" t="s">
        <v>337</v>
      </c>
      <c r="B47" t="s">
        <v>338</v>
      </c>
      <c r="C47" t="s">
        <v>339</v>
      </c>
      <c r="D47" t="s">
        <v>340</v>
      </c>
      <c r="E47" t="s">
        <v>62</v>
      </c>
      <c r="F47" t="s">
        <v>124</v>
      </c>
      <c r="G47" t="s">
        <v>51</v>
      </c>
      <c r="H47" t="s">
        <v>196</v>
      </c>
      <c r="I47" t="s">
        <v>197</v>
      </c>
      <c r="J47" t="s">
        <v>39</v>
      </c>
      <c r="K47" t="s">
        <v>63</v>
      </c>
      <c r="L47" t="s">
        <v>341</v>
      </c>
      <c r="M47" t="s">
        <v>42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146</v>
      </c>
      <c r="U47" t="s">
        <v>134</v>
      </c>
      <c r="W47" t="s">
        <v>337</v>
      </c>
      <c r="X47" t="str">
        <v>18-01-24</v>
      </c>
      <c r="Y47" t="str">
        <v>24-01-24</v>
      </c>
      <c r="Z47" t="s">
        <v>340</v>
      </c>
      <c r="AA47" t="str">
        <v>Isha Nair</v>
      </c>
      <c r="AB47" t="str">
        <f>TRIM(PROPER(F:F))</f>
        <v>Home Office</v>
      </c>
      <c r="AC47" t="str">
        <f>TRIM(PROPER(G:G))</f>
        <v>East</v>
      </c>
      <c r="AD47" t="str">
        <f>TRIM(PROPER(H:H))</f>
        <v>Bihar</v>
      </c>
      <c r="AE47" t="str">
        <f>TRIM(PROPER(I:I))</f>
        <v>Patna</v>
      </c>
      <c r="AF47" t="str">
        <f>TRIM(PROPER(J:J))</f>
        <v>Office Supplies</v>
      </c>
      <c r="AG47" t="str">
        <f>TRIM(PROPER(K:K))</f>
        <v>Art</v>
      </c>
      <c r="AH47" t="str">
        <f>TRIM(PROPER(L:L))</f>
        <v>Prime Art 221</v>
      </c>
      <c r="AI47" t="str">
        <f>TRIM(PROPER(M:M))</f>
        <v>Second Class</v>
      </c>
      <c r="AJ47" s="3" t="str">
        <f t="shared" si="0"/>
        <v>anomaly</v>
      </c>
      <c r="AK47">
        <f>IFERROR(Y47-X47, "invalid date")</f>
        <v>6</v>
      </c>
      <c r="AL47" s="10">
        <v>0.05</v>
      </c>
      <c r="AM47" s="11">
        <v>29851.432000000001</v>
      </c>
      <c r="AN47" s="11">
        <v>12363.952000000001</v>
      </c>
      <c r="AO47" s="10">
        <v>0.41418287739094062</v>
      </c>
      <c r="AP47" t="s">
        <v>4192</v>
      </c>
      <c r="AQ47" t="s">
        <v>4193</v>
      </c>
      <c r="AR47" t="s">
        <v>4153</v>
      </c>
      <c r="AS47" t="s">
        <v>4107</v>
      </c>
      <c r="AT47" t="s">
        <v>4115</v>
      </c>
      <c r="AU47">
        <v>6</v>
      </c>
      <c r="AV47" t="s">
        <v>4109</v>
      </c>
    </row>
    <row r="48" spans="1:48">
      <c r="A48" t="s">
        <v>342</v>
      </c>
      <c r="B48" t="s">
        <v>343</v>
      </c>
      <c r="C48" t="s">
        <v>343</v>
      </c>
      <c r="D48" t="s">
        <v>344</v>
      </c>
      <c r="E48" t="s">
        <v>81</v>
      </c>
      <c r="F48" t="s">
        <v>50</v>
      </c>
      <c r="G48" t="s">
        <v>71</v>
      </c>
      <c r="H48" t="s">
        <v>252</v>
      </c>
      <c r="I48" t="s">
        <v>253</v>
      </c>
      <c r="J48" t="s">
        <v>54</v>
      </c>
      <c r="K48" t="s">
        <v>214</v>
      </c>
      <c r="L48" t="s">
        <v>345</v>
      </c>
      <c r="M48" t="s">
        <v>76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133</v>
      </c>
      <c r="U48" t="s">
        <v>134</v>
      </c>
      <c r="W48" t="s">
        <v>342</v>
      </c>
      <c r="X48" t="str">
        <v>19-07-24</v>
      </c>
      <c r="Y48" t="str">
        <v>19-07-24</v>
      </c>
      <c r="Z48" t="s">
        <v>344</v>
      </c>
      <c r="AA48" t="str">
        <v>Ananya Rao</v>
      </c>
      <c r="AB48" t="str">
        <f>TRIM(PROPER(F:F))</f>
        <v>Small Business</v>
      </c>
      <c r="AC48" t="str">
        <f>TRIM(PROPER(G:G))</f>
        <v>South</v>
      </c>
      <c r="AD48" t="str">
        <f>TRIM(PROPER(H:H))</f>
        <v>Kerala</v>
      </c>
      <c r="AE48" t="str">
        <f>TRIM(PROPER(I:I))</f>
        <v>Kochi</v>
      </c>
      <c r="AF48" t="str">
        <f>TRIM(PROPER(J:J))</f>
        <v>Furniture</v>
      </c>
      <c r="AG48" t="str">
        <f>TRIM(PROPER(K:K))</f>
        <v>Bookcases</v>
      </c>
      <c r="AH48" t="str">
        <f>TRIM(PROPER(L:L))</f>
        <v>Elite Bookcases 671</v>
      </c>
      <c r="AI48" t="str">
        <f>TRIM(PROPER(M:M))</f>
        <v>Standard Class</v>
      </c>
      <c r="AJ48" s="3" t="str">
        <f t="shared" si="0"/>
        <v xml:space="preserve">  </v>
      </c>
      <c r="AK48">
        <f>IFERROR(Y48-X48, "invalid date")</f>
        <v>0</v>
      </c>
      <c r="AL48" s="10">
        <v>0.25</v>
      </c>
      <c r="AM48" s="11">
        <v>16110.8325</v>
      </c>
      <c r="AN48" s="11">
        <v>5430.8024999999998</v>
      </c>
      <c r="AO48" s="10">
        <v>0.33709012243780695</v>
      </c>
      <c r="AP48" t="s">
        <v>4194</v>
      </c>
      <c r="AQ48" t="s">
        <v>4194</v>
      </c>
      <c r="AR48" t="s">
        <v>4106</v>
      </c>
      <c r="AS48" t="s">
        <v>4107</v>
      </c>
      <c r="AT48" t="s">
        <v>4115</v>
      </c>
      <c r="AU48">
        <v>0</v>
      </c>
      <c r="AV48" t="s">
        <v>4109</v>
      </c>
    </row>
    <row r="49" spans="1:48">
      <c r="A49" t="s">
        <v>346</v>
      </c>
      <c r="B49" t="s">
        <v>347</v>
      </c>
      <c r="C49" t="s">
        <v>348</v>
      </c>
      <c r="D49" t="s">
        <v>349</v>
      </c>
      <c r="E49" t="s">
        <v>157</v>
      </c>
      <c r="F49" t="s">
        <v>117</v>
      </c>
      <c r="G49" t="s">
        <v>71</v>
      </c>
      <c r="H49" t="s">
        <v>350</v>
      </c>
      <c r="I49" t="s">
        <v>351</v>
      </c>
      <c r="J49" t="s">
        <v>39</v>
      </c>
      <c r="K49" t="s">
        <v>165</v>
      </c>
      <c r="L49" t="s">
        <v>352</v>
      </c>
      <c r="M49" t="s">
        <v>76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43</v>
      </c>
      <c r="U49" t="s">
        <v>44</v>
      </c>
      <c r="W49" t="s">
        <v>346</v>
      </c>
      <c r="X49" t="str">
        <v>12-08-24</v>
      </c>
      <c r="Y49" t="str">
        <v>12-08-24</v>
      </c>
      <c r="Z49" t="s">
        <v>349</v>
      </c>
      <c r="AA49" t="str">
        <v>Rahul Verma</v>
      </c>
      <c r="AB49" t="str">
        <f>TRIM(PROPER(F:F))</f>
        <v>Corporate</v>
      </c>
      <c r="AC49" t="str">
        <f>TRIM(PROPER(G:G))</f>
        <v>South</v>
      </c>
      <c r="AD49" t="str">
        <f>TRIM(PROPER(H:H))</f>
        <v>Tamil Nadu</v>
      </c>
      <c r="AE49" t="str">
        <f>TRIM(PROPER(I:I))</f>
        <v>Chennai</v>
      </c>
      <c r="AF49" t="str">
        <f>TRIM(PROPER(J:J))</f>
        <v>Office Supplies</v>
      </c>
      <c r="AG49" t="str">
        <f>TRIM(PROPER(K:K))</f>
        <v>Storage</v>
      </c>
      <c r="AH49" t="str">
        <f>TRIM(PROPER(L:L))</f>
        <v>Max Storage 432</v>
      </c>
      <c r="AI49" t="str">
        <f>TRIM(PROPER(M:M))</f>
        <v>Standard Class</v>
      </c>
      <c r="AJ49" s="3" t="str">
        <f t="shared" si="0"/>
        <v xml:space="preserve">  </v>
      </c>
      <c r="AK49">
        <f>IFERROR(Y49-X49, "invalid date")</f>
        <v>0</v>
      </c>
      <c r="AL49" s="10">
        <v>0.1</v>
      </c>
      <c r="AM49" s="11">
        <v>17606.232</v>
      </c>
      <c r="AN49" s="11">
        <v>5167.2720000000008</v>
      </c>
      <c r="AO49" s="10">
        <v>0.29349107747756592</v>
      </c>
      <c r="AP49" t="s">
        <v>4195</v>
      </c>
      <c r="AQ49" t="s">
        <v>4195</v>
      </c>
      <c r="AR49" t="s">
        <v>4114</v>
      </c>
      <c r="AS49" t="s">
        <v>4107</v>
      </c>
      <c r="AT49" t="s">
        <v>4115</v>
      </c>
      <c r="AU49">
        <v>0</v>
      </c>
      <c r="AV49" t="s">
        <v>4109</v>
      </c>
    </row>
    <row r="50" spans="1:48">
      <c r="A50" t="s">
        <v>353</v>
      </c>
      <c r="B50" t="s">
        <v>354</v>
      </c>
      <c r="C50" t="s">
        <v>355</v>
      </c>
      <c r="D50" t="s">
        <v>356</v>
      </c>
      <c r="E50" t="s">
        <v>102</v>
      </c>
      <c r="F50" t="s">
        <v>117</v>
      </c>
      <c r="G50" t="s">
        <v>82</v>
      </c>
      <c r="H50" t="s">
        <v>83</v>
      </c>
      <c r="I50" t="s">
        <v>84</v>
      </c>
      <c r="J50" t="s">
        <v>54</v>
      </c>
      <c r="K50" t="s">
        <v>85</v>
      </c>
      <c r="L50" t="s">
        <v>357</v>
      </c>
      <c r="M50" t="s">
        <v>42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43</v>
      </c>
      <c r="U50" t="s">
        <v>44</v>
      </c>
      <c r="W50" t="s">
        <v>353</v>
      </c>
      <c r="X50" t="str">
        <v>30-01-25</v>
      </c>
      <c r="Y50" t="str">
        <v>05-02-25</v>
      </c>
      <c r="Z50" t="s">
        <v>356</v>
      </c>
      <c r="AA50" t="str">
        <v>Neha Gupta</v>
      </c>
      <c r="AB50" t="str">
        <f>TRIM(PROPER(F:F))</f>
        <v>Corporate</v>
      </c>
      <c r="AC50" t="str">
        <f>TRIM(PROPER(G:G))</f>
        <v>West</v>
      </c>
      <c r="AD50" t="str">
        <f>TRIM(PROPER(H:H))</f>
        <v>Maharashtra</v>
      </c>
      <c r="AE50" t="str">
        <f>TRIM(PROPER(I:I))</f>
        <v>Mumbai</v>
      </c>
      <c r="AF50" t="str">
        <f>TRIM(PROPER(J:J))</f>
        <v>Furniture</v>
      </c>
      <c r="AG50" t="str">
        <f>TRIM(PROPER(K:K))</f>
        <v>Chairs</v>
      </c>
      <c r="AH50" t="str">
        <f>TRIM(PROPER(L:L))</f>
        <v>Basic Chairs 837</v>
      </c>
      <c r="AI50" t="str">
        <f>TRIM(PROPER(M:M))</f>
        <v>Second Class</v>
      </c>
      <c r="AJ50" s="3" t="str">
        <f t="shared" si="0"/>
        <v xml:space="preserve">  </v>
      </c>
      <c r="AK50">
        <f>IFERROR(Y50-X50, "invalid date")</f>
        <v>6</v>
      </c>
      <c r="AL50" s="10">
        <v>0</v>
      </c>
      <c r="AM50" s="11">
        <v>28445.62</v>
      </c>
      <c r="AN50" s="11">
        <v>7507.0299999999988</v>
      </c>
      <c r="AO50" s="10">
        <v>0.26390811660986818</v>
      </c>
      <c r="AP50" t="s">
        <v>4196</v>
      </c>
      <c r="AQ50" t="s">
        <v>4175</v>
      </c>
      <c r="AR50" t="s">
        <v>4153</v>
      </c>
      <c r="AS50" t="s">
        <v>4120</v>
      </c>
      <c r="AT50" t="s">
        <v>4121</v>
      </c>
      <c r="AU50">
        <v>6</v>
      </c>
      <c r="AV50" t="s">
        <v>4109</v>
      </c>
    </row>
    <row r="51" spans="1:48">
      <c r="A51" t="s">
        <v>358</v>
      </c>
      <c r="B51" t="s">
        <v>359</v>
      </c>
      <c r="C51" t="s">
        <v>360</v>
      </c>
      <c r="D51" t="s">
        <v>361</v>
      </c>
      <c r="E51" t="s">
        <v>171</v>
      </c>
      <c r="F51" t="s">
        <v>124</v>
      </c>
      <c r="G51" t="s">
        <v>36</v>
      </c>
      <c r="H51" t="s">
        <v>183</v>
      </c>
      <c r="I51" t="s">
        <v>184</v>
      </c>
      <c r="J51" t="s">
        <v>95</v>
      </c>
      <c r="K51" t="s">
        <v>103</v>
      </c>
      <c r="L51" t="s">
        <v>362</v>
      </c>
      <c r="M51" t="s">
        <v>42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43</v>
      </c>
      <c r="U51" t="s">
        <v>44</v>
      </c>
      <c r="W51" t="s">
        <v>358</v>
      </c>
      <c r="X51" t="str">
        <v>06-04-24</v>
      </c>
      <c r="Y51" t="str">
        <v>13-04-24</v>
      </c>
      <c r="Z51" t="s">
        <v>361</v>
      </c>
      <c r="AA51" t="str">
        <v>Aarav Sharma</v>
      </c>
      <c r="AB51" t="str">
        <f>TRIM(PROPER(F:F))</f>
        <v>Home Office</v>
      </c>
      <c r="AC51" t="str">
        <f>TRIM(PROPER(G:G))</f>
        <v>North</v>
      </c>
      <c r="AD51" t="str">
        <f>TRIM(PROPER(H:H))</f>
        <v>Uttar Pradesh</v>
      </c>
      <c r="AE51" t="str">
        <f>TRIM(PROPER(I:I))</f>
        <v>Noida</v>
      </c>
      <c r="AF51" t="str">
        <f>TRIM(PROPER(J:J))</f>
        <v>Technology</v>
      </c>
      <c r="AG51" t="str">
        <f>TRIM(PROPER(K:K))</f>
        <v>Copiers</v>
      </c>
      <c r="AH51" t="str">
        <f>TRIM(PROPER(L:L))</f>
        <v>Classic Copiers 295</v>
      </c>
      <c r="AI51" t="str">
        <f>TRIM(PROPER(M:M))</f>
        <v>Second Class</v>
      </c>
      <c r="AJ51" s="3" t="str">
        <f t="shared" si="0"/>
        <v>anomaly</v>
      </c>
      <c r="AK51">
        <f>IFERROR(Y51-X51, "invalid date")</f>
        <v>7</v>
      </c>
      <c r="AL51" s="10">
        <v>0.05</v>
      </c>
      <c r="AM51" s="11">
        <v>6772.5404999999992</v>
      </c>
      <c r="AN51" s="11">
        <v>1017.0804999999991</v>
      </c>
      <c r="AO51" s="10">
        <v>0.15017710119267641</v>
      </c>
      <c r="AP51" t="s">
        <v>4197</v>
      </c>
      <c r="AQ51" t="s">
        <v>4198</v>
      </c>
      <c r="AR51" t="s">
        <v>4199</v>
      </c>
      <c r="AS51" t="s">
        <v>4107</v>
      </c>
      <c r="AT51" t="s">
        <v>4115</v>
      </c>
      <c r="AU51">
        <v>7</v>
      </c>
      <c r="AV51" t="s">
        <v>4109</v>
      </c>
    </row>
    <row r="52" spans="1:48">
      <c r="A52" t="s">
        <v>363</v>
      </c>
      <c r="B52" t="s">
        <v>364</v>
      </c>
      <c r="C52" t="s">
        <v>365</v>
      </c>
      <c r="D52" t="s">
        <v>366</v>
      </c>
      <c r="E52" t="s">
        <v>177</v>
      </c>
      <c r="F52" t="s">
        <v>35</v>
      </c>
      <c r="G52" t="s">
        <v>51</v>
      </c>
      <c r="H52" t="s">
        <v>130</v>
      </c>
      <c r="I52" t="s">
        <v>131</v>
      </c>
      <c r="J52" t="s">
        <v>95</v>
      </c>
      <c r="K52" t="s">
        <v>103</v>
      </c>
      <c r="L52" t="s">
        <v>367</v>
      </c>
      <c r="M52" t="s">
        <v>76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43</v>
      </c>
      <c r="U52" t="s">
        <v>44</v>
      </c>
      <c r="W52" t="s">
        <v>363</v>
      </c>
      <c r="X52" t="str">
        <v>05-11-25</v>
      </c>
      <c r="Y52" t="str">
        <v>19-05-25</v>
      </c>
      <c r="Z52" t="s">
        <v>366</v>
      </c>
      <c r="AA52" t="str">
        <v>Sneha Kapoor</v>
      </c>
      <c r="AB52" t="str">
        <f>TRIM(PROPER(F:F))</f>
        <v>Consumer</v>
      </c>
      <c r="AC52" t="str">
        <f>TRIM(PROPER(G:G))</f>
        <v>East</v>
      </c>
      <c r="AD52" t="str">
        <f>TRIM(PROPER(H:H))</f>
        <v>West Bengal</v>
      </c>
      <c r="AE52" t="str">
        <f>TRIM(PROPER(I:I))</f>
        <v>Kolkata</v>
      </c>
      <c r="AF52" t="str">
        <f>TRIM(PROPER(J:J))</f>
        <v>Technology</v>
      </c>
      <c r="AG52" t="str">
        <f>TRIM(PROPER(K:K))</f>
        <v>Copiers</v>
      </c>
      <c r="AH52" t="str">
        <f>TRIM(PROPER(L:L))</f>
        <v>Pro Copiers 963</v>
      </c>
      <c r="AI52" t="str">
        <f>TRIM(PROPER(M:M))</f>
        <v>Standard Class</v>
      </c>
      <c r="AJ52" s="3" t="str">
        <f t="shared" si="0"/>
        <v>anomaly</v>
      </c>
      <c r="AK52">
        <f>IFERROR(Y52-X52, "invalid date")</f>
        <v>-170</v>
      </c>
      <c r="AL52" s="10">
        <v>0.15</v>
      </c>
      <c r="AM52" s="11">
        <v>2025.38</v>
      </c>
      <c r="AN52" s="11">
        <v>884.73</v>
      </c>
      <c r="AO52" s="10">
        <v>0.43682173221815163</v>
      </c>
      <c r="AP52" t="s">
        <v>4200</v>
      </c>
      <c r="AQ52" t="s">
        <v>4201</v>
      </c>
      <c r="AR52" t="s">
        <v>4117</v>
      </c>
      <c r="AS52" t="s">
        <v>4120</v>
      </c>
      <c r="AT52" t="s">
        <v>4115</v>
      </c>
      <c r="AU52">
        <v>-170</v>
      </c>
      <c r="AV52" t="s">
        <v>4109</v>
      </c>
    </row>
    <row r="53" spans="1:48">
      <c r="A53" t="s">
        <v>368</v>
      </c>
      <c r="B53" t="s">
        <v>369</v>
      </c>
      <c r="C53" t="s">
        <v>370</v>
      </c>
      <c r="D53" t="s">
        <v>371</v>
      </c>
      <c r="E53" t="s">
        <v>81</v>
      </c>
      <c r="F53" t="s">
        <v>117</v>
      </c>
      <c r="G53" t="s">
        <v>71</v>
      </c>
      <c r="H53" t="s">
        <v>72</v>
      </c>
      <c r="I53" t="s">
        <v>73</v>
      </c>
      <c r="J53" t="s">
        <v>39</v>
      </c>
      <c r="K53" t="s">
        <v>63</v>
      </c>
      <c r="L53" t="s">
        <v>372</v>
      </c>
      <c r="M53" t="s">
        <v>76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43</v>
      </c>
      <c r="U53" t="s">
        <v>44</v>
      </c>
      <c r="W53" t="s">
        <v>368</v>
      </c>
      <c r="X53" t="str">
        <v>24-04-24</v>
      </c>
      <c r="Y53" t="str">
        <v>29-04-24</v>
      </c>
      <c r="Z53" t="s">
        <v>371</v>
      </c>
      <c r="AA53" t="str">
        <v>Ananya Rao</v>
      </c>
      <c r="AB53" t="str">
        <f>TRIM(PROPER(F:F))</f>
        <v>Corporate</v>
      </c>
      <c r="AC53" t="str">
        <f>TRIM(PROPER(G:G))</f>
        <v>South</v>
      </c>
      <c r="AD53" t="str">
        <f>TRIM(PROPER(H:H))</f>
        <v>Telangana</v>
      </c>
      <c r="AE53" t="str">
        <f>TRIM(PROPER(I:I))</f>
        <v>Hyderabad</v>
      </c>
      <c r="AF53" t="str">
        <f>TRIM(PROPER(J:J))</f>
        <v>Office Supplies</v>
      </c>
      <c r="AG53" t="str">
        <f>TRIM(PROPER(K:K))</f>
        <v>Art</v>
      </c>
      <c r="AH53" t="str">
        <f>TRIM(PROPER(L:L))</f>
        <v>Pro Art 907</v>
      </c>
      <c r="AI53" t="str">
        <f>TRIM(PROPER(M:M))</f>
        <v>Standard Class</v>
      </c>
      <c r="AJ53" s="3" t="str">
        <f t="shared" si="0"/>
        <v>anomaly</v>
      </c>
      <c r="AK53">
        <f>IFERROR(Y53-X53, "invalid date")</f>
        <v>5</v>
      </c>
      <c r="AL53" s="10">
        <v>0</v>
      </c>
      <c r="AM53" s="11">
        <v>9168.48</v>
      </c>
      <c r="AN53" s="11">
        <v>1728.7099999999991</v>
      </c>
      <c r="AO53" s="10">
        <v>0.18854924698532355</v>
      </c>
      <c r="AP53" t="s">
        <v>4202</v>
      </c>
      <c r="AQ53" t="s">
        <v>4203</v>
      </c>
      <c r="AR53" t="s">
        <v>4199</v>
      </c>
      <c r="AS53" t="s">
        <v>4107</v>
      </c>
      <c r="AT53" t="s">
        <v>4115</v>
      </c>
      <c r="AU53">
        <v>5</v>
      </c>
      <c r="AV53" t="s">
        <v>4109</v>
      </c>
    </row>
    <row r="54" spans="1:48">
      <c r="A54" t="s">
        <v>373</v>
      </c>
      <c r="B54" t="s">
        <v>374</v>
      </c>
      <c r="C54" t="s">
        <v>375</v>
      </c>
      <c r="D54" t="s">
        <v>376</v>
      </c>
      <c r="E54" t="s">
        <v>377</v>
      </c>
      <c r="F54" t="s">
        <v>50</v>
      </c>
      <c r="G54" t="s">
        <v>36</v>
      </c>
      <c r="H54" t="s">
        <v>37</v>
      </c>
      <c r="I54" t="s">
        <v>38</v>
      </c>
      <c r="J54" t="s">
        <v>54</v>
      </c>
      <c r="K54" t="s">
        <v>85</v>
      </c>
      <c r="L54" t="s">
        <v>378</v>
      </c>
      <c r="M54" t="s">
        <v>65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210</v>
      </c>
      <c r="U54" t="s">
        <v>87</v>
      </c>
      <c r="W54" t="s">
        <v>373</v>
      </c>
      <c r="X54" t="str">
        <v>26-10-24</v>
      </c>
      <c r="Y54" t="str">
        <v>28-10-24</v>
      </c>
      <c r="Z54" t="s">
        <v>376</v>
      </c>
      <c r="AA54" t="str">
        <v>Kabir Singh</v>
      </c>
      <c r="AB54" t="str">
        <f>TRIM(PROPER(F:F))</f>
        <v>Small Business</v>
      </c>
      <c r="AC54" t="str">
        <f>TRIM(PROPER(G:G))</f>
        <v>North</v>
      </c>
      <c r="AD54" t="str">
        <f>TRIM(PROPER(H:H))</f>
        <v>Rajasthan</v>
      </c>
      <c r="AE54" t="str">
        <f>TRIM(PROPER(I:I))</f>
        <v>Jaipur</v>
      </c>
      <c r="AF54" t="str">
        <f>TRIM(PROPER(J:J))</f>
        <v>Furniture</v>
      </c>
      <c r="AG54" t="str">
        <f>TRIM(PROPER(K:K))</f>
        <v>Chairs</v>
      </c>
      <c r="AH54" t="str">
        <f>TRIM(PROPER(L:L))</f>
        <v>Pro Chairs 526</v>
      </c>
      <c r="AI54" t="str">
        <f>TRIM(PROPER(M:M))</f>
        <v>First Class</v>
      </c>
      <c r="AJ54" s="3" t="str">
        <f t="shared" si="0"/>
        <v>anomaly</v>
      </c>
      <c r="AK54">
        <f>IFERROR(Y54-X54, "invalid date")</f>
        <v>2</v>
      </c>
      <c r="AL54" s="10">
        <v>0</v>
      </c>
      <c r="AM54" s="11">
        <v>12596.670000000002</v>
      </c>
      <c r="AN54" s="11">
        <v>1993.380000000001</v>
      </c>
      <c r="AO54" s="10">
        <v>0.15824658421630483</v>
      </c>
      <c r="AP54" t="s">
        <v>4204</v>
      </c>
      <c r="AQ54" t="s">
        <v>4178</v>
      </c>
      <c r="AR54" t="s">
        <v>4126</v>
      </c>
      <c r="AS54" t="s">
        <v>4107</v>
      </c>
      <c r="AT54" t="s">
        <v>4115</v>
      </c>
      <c r="AU54">
        <v>2</v>
      </c>
      <c r="AV54" t="s">
        <v>4109</v>
      </c>
    </row>
    <row r="55" spans="1:48">
      <c r="A55" t="s">
        <v>379</v>
      </c>
      <c r="B55" t="s">
        <v>380</v>
      </c>
      <c r="C55" t="s">
        <v>381</v>
      </c>
      <c r="D55" t="s">
        <v>382</v>
      </c>
      <c r="E55" t="s">
        <v>377</v>
      </c>
      <c r="F55" t="s">
        <v>124</v>
      </c>
      <c r="G55" t="s">
        <v>82</v>
      </c>
      <c r="H55" t="s">
        <v>245</v>
      </c>
      <c r="I55" t="s">
        <v>246</v>
      </c>
      <c r="J55" t="s">
        <v>39</v>
      </c>
      <c r="K55" t="s">
        <v>165</v>
      </c>
      <c r="L55" t="s">
        <v>383</v>
      </c>
      <c r="M55" t="s">
        <v>65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43</v>
      </c>
      <c r="U55" t="s">
        <v>44</v>
      </c>
      <c r="W55" t="s">
        <v>379</v>
      </c>
      <c r="X55" t="str">
        <v>31-03-25</v>
      </c>
      <c r="Y55" t="str">
        <v>31-03-25</v>
      </c>
      <c r="Z55" t="s">
        <v>382</v>
      </c>
      <c r="AA55" t="str">
        <v>Kabir Singh</v>
      </c>
      <c r="AB55" t="str">
        <f>TRIM(PROPER(F:F))</f>
        <v>Home Office</v>
      </c>
      <c r="AC55" t="str">
        <f>TRIM(PROPER(G:G))</f>
        <v>West</v>
      </c>
      <c r="AD55" t="str">
        <f>TRIM(PROPER(H:H))</f>
        <v>Gujarat</v>
      </c>
      <c r="AE55" t="str">
        <f>TRIM(PROPER(I:I))</f>
        <v>Ahmedabad</v>
      </c>
      <c r="AF55" t="str">
        <f>TRIM(PROPER(J:J))</f>
        <v>Office Supplies</v>
      </c>
      <c r="AG55" t="str">
        <f>TRIM(PROPER(K:K))</f>
        <v>Storage</v>
      </c>
      <c r="AH55" t="str">
        <f>TRIM(PROPER(L:L))</f>
        <v>Elite Storage 924</v>
      </c>
      <c r="AI55" t="str">
        <f>TRIM(PROPER(M:M))</f>
        <v>First Class</v>
      </c>
      <c r="AJ55" s="3" t="str">
        <f t="shared" si="0"/>
        <v xml:space="preserve">  </v>
      </c>
      <c r="AK55">
        <f>IFERROR(Y55-X55, "invalid date")</f>
        <v>0</v>
      </c>
      <c r="AL55" s="10">
        <v>0.15</v>
      </c>
      <c r="AM55" s="11">
        <v>5131.7475000000004</v>
      </c>
      <c r="AN55" s="11">
        <v>2293.0675000000006</v>
      </c>
      <c r="AO55" s="10">
        <v>0.44683950252813498</v>
      </c>
      <c r="AP55" t="s">
        <v>4205</v>
      </c>
      <c r="AQ55" t="s">
        <v>4205</v>
      </c>
      <c r="AR55" t="s">
        <v>4159</v>
      </c>
      <c r="AS55" t="s">
        <v>4120</v>
      </c>
      <c r="AT55" t="s">
        <v>4115</v>
      </c>
      <c r="AU55">
        <v>0</v>
      </c>
      <c r="AV55" t="s">
        <v>4109</v>
      </c>
    </row>
    <row r="56" spans="1:48">
      <c r="A56" t="s">
        <v>384</v>
      </c>
      <c r="B56" t="s">
        <v>385</v>
      </c>
      <c r="C56" t="s">
        <v>386</v>
      </c>
      <c r="D56" t="s">
        <v>387</v>
      </c>
      <c r="E56" t="s">
        <v>70</v>
      </c>
      <c r="F56" t="s">
        <v>117</v>
      </c>
      <c r="G56" t="s">
        <v>71</v>
      </c>
      <c r="H56" t="s">
        <v>350</v>
      </c>
      <c r="I56" t="s">
        <v>351</v>
      </c>
      <c r="J56" t="s">
        <v>39</v>
      </c>
      <c r="K56" t="s">
        <v>118</v>
      </c>
      <c r="L56" t="s">
        <v>388</v>
      </c>
      <c r="M56" t="s">
        <v>57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210</v>
      </c>
      <c r="U56" t="s">
        <v>87</v>
      </c>
      <c r="W56" t="s">
        <v>384</v>
      </c>
      <c r="X56" t="str">
        <v>30-05-25</v>
      </c>
      <c r="Y56" t="str">
        <v>02-06-25</v>
      </c>
      <c r="Z56" t="s">
        <v>387</v>
      </c>
      <c r="AA56" t="str">
        <v>Arjun Bose</v>
      </c>
      <c r="AB56" t="str">
        <f>TRIM(PROPER(F:F))</f>
        <v>Corporate</v>
      </c>
      <c r="AC56" t="str">
        <f>TRIM(PROPER(G:G))</f>
        <v>South</v>
      </c>
      <c r="AD56" t="str">
        <f>TRIM(PROPER(H:H))</f>
        <v>Tamil Nadu</v>
      </c>
      <c r="AE56" t="str">
        <f>TRIM(PROPER(I:I))</f>
        <v>Chennai</v>
      </c>
      <c r="AF56" t="str">
        <f>TRIM(PROPER(J:J))</f>
        <v>Office Supplies</v>
      </c>
      <c r="AG56" t="str">
        <f>TRIM(PROPER(K:K))</f>
        <v>Labels</v>
      </c>
      <c r="AH56" t="str">
        <f>TRIM(PROPER(L:L))</f>
        <v>Pro Labels 957</v>
      </c>
      <c r="AI56" t="str">
        <f>TRIM(PROPER(M:M))</f>
        <v>Same Day</v>
      </c>
      <c r="AJ56" s="3" t="str">
        <f t="shared" si="0"/>
        <v xml:space="preserve">  </v>
      </c>
      <c r="AK56">
        <f>IFERROR(Y56-X56, "invalid date")</f>
        <v>3</v>
      </c>
      <c r="AL56" s="10">
        <v>0.1</v>
      </c>
      <c r="AM56" s="11">
        <v>3415.4639999999999</v>
      </c>
      <c r="AN56" s="11">
        <v>1422.2339999999999</v>
      </c>
      <c r="AO56" s="10">
        <v>0.4164101861416194</v>
      </c>
      <c r="AP56" t="s">
        <v>4206</v>
      </c>
      <c r="AQ56" t="s">
        <v>4207</v>
      </c>
      <c r="AR56" t="s">
        <v>4124</v>
      </c>
      <c r="AS56" t="s">
        <v>4120</v>
      </c>
      <c r="AT56" t="s">
        <v>4121</v>
      </c>
      <c r="AU56">
        <v>3</v>
      </c>
      <c r="AV56" t="s">
        <v>4109</v>
      </c>
    </row>
    <row r="57" spans="1:48">
      <c r="A57" t="s">
        <v>389</v>
      </c>
      <c r="B57" t="s">
        <v>390</v>
      </c>
      <c r="C57" t="s">
        <v>391</v>
      </c>
      <c r="D57" t="s">
        <v>392</v>
      </c>
      <c r="E57" t="s">
        <v>49</v>
      </c>
      <c r="F57" t="s">
        <v>50</v>
      </c>
      <c r="G57" t="s">
        <v>71</v>
      </c>
      <c r="H57" t="s">
        <v>109</v>
      </c>
      <c r="I57" t="s">
        <v>110</v>
      </c>
      <c r="J57" t="s">
        <v>95</v>
      </c>
      <c r="K57" t="s">
        <v>393</v>
      </c>
      <c r="L57" t="s">
        <v>394</v>
      </c>
      <c r="M57" t="s">
        <v>57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43</v>
      </c>
      <c r="U57" t="s">
        <v>44</v>
      </c>
      <c r="W57" t="s">
        <v>389</v>
      </c>
      <c r="X57" t="str">
        <v>01-07-25</v>
      </c>
      <c r="Y57" t="str">
        <v>03-07-25</v>
      </c>
      <c r="Z57" t="s">
        <v>392</v>
      </c>
      <c r="AA57" t="str">
        <v>Mira Das</v>
      </c>
      <c r="AB57" t="str">
        <f>TRIM(PROPER(F:F))</f>
        <v>Small Business</v>
      </c>
      <c r="AC57" t="str">
        <f>TRIM(PROPER(G:G))</f>
        <v>South</v>
      </c>
      <c r="AD57" t="str">
        <f>TRIM(PROPER(H:H))</f>
        <v>Andhra Pradesh</v>
      </c>
      <c r="AE57" t="str">
        <f>TRIM(PROPER(I:I))</f>
        <v>Vijayawada</v>
      </c>
      <c r="AF57" t="str">
        <f>TRIM(PROPER(J:J))</f>
        <v>Technology</v>
      </c>
      <c r="AG57" t="str">
        <f>TRIM(PROPER(K:K))</f>
        <v>Machines</v>
      </c>
      <c r="AH57" t="str">
        <f>TRIM(PROPER(L:L))</f>
        <v>Classic Machines 310</v>
      </c>
      <c r="AI57" t="str">
        <f>TRIM(PROPER(M:M))</f>
        <v>Same Day</v>
      </c>
      <c r="AJ57" s="3" t="str">
        <f t="shared" si="0"/>
        <v>anomaly</v>
      </c>
      <c r="AK57">
        <f>IFERROR(Y57-X57, "invalid date")</f>
        <v>2</v>
      </c>
      <c r="AL57" s="10">
        <v>0.25</v>
      </c>
      <c r="AM57" s="11">
        <v>3411.54</v>
      </c>
      <c r="AN57" s="11">
        <v>608.40999999999985</v>
      </c>
      <c r="AO57" s="10">
        <v>0.17833881472883209</v>
      </c>
      <c r="AP57" t="s">
        <v>4208</v>
      </c>
      <c r="AQ57" t="s">
        <v>4209</v>
      </c>
      <c r="AR57" t="s">
        <v>4106</v>
      </c>
      <c r="AS57" t="s">
        <v>4120</v>
      </c>
      <c r="AT57" t="s">
        <v>4115</v>
      </c>
      <c r="AU57">
        <v>2</v>
      </c>
      <c r="AV57" t="s">
        <v>4109</v>
      </c>
    </row>
    <row r="58" spans="1:48">
      <c r="A58" t="s">
        <v>395</v>
      </c>
      <c r="B58" t="s">
        <v>396</v>
      </c>
      <c r="C58" t="s">
        <v>397</v>
      </c>
      <c r="D58" t="s">
        <v>398</v>
      </c>
      <c r="E58" t="s">
        <v>34</v>
      </c>
      <c r="F58" t="s">
        <v>35</v>
      </c>
      <c r="G58" t="s">
        <v>71</v>
      </c>
      <c r="H58" t="s">
        <v>239</v>
      </c>
      <c r="I58" t="s">
        <v>240</v>
      </c>
      <c r="J58" t="s">
        <v>39</v>
      </c>
      <c r="K58" t="s">
        <v>208</v>
      </c>
      <c r="L58" t="s">
        <v>399</v>
      </c>
      <c r="M58" t="s">
        <v>42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133</v>
      </c>
      <c r="U58" t="s">
        <v>87</v>
      </c>
      <c r="W58" t="s">
        <v>395</v>
      </c>
      <c r="X58" t="str">
        <v>05-01-25</v>
      </c>
      <c r="Y58" t="str">
        <v>06-01-25</v>
      </c>
      <c r="Z58" t="s">
        <v>398</v>
      </c>
      <c r="AA58" t="str">
        <v>Karan Malhotra</v>
      </c>
      <c r="AB58" t="str">
        <f>TRIM(PROPER(F:F))</f>
        <v>Consumer</v>
      </c>
      <c r="AC58" t="str">
        <f>TRIM(PROPER(G:G))</f>
        <v>South</v>
      </c>
      <c r="AD58" t="str">
        <f>TRIM(PROPER(H:H))</f>
        <v>Karnataka</v>
      </c>
      <c r="AE58" t="str">
        <f>TRIM(PROPER(I:I))</f>
        <v>Bengaluru</v>
      </c>
      <c r="AF58" t="str">
        <f>TRIM(PROPER(J:J))</f>
        <v>Office Supplies</v>
      </c>
      <c r="AG58" t="str">
        <f>TRIM(PROPER(K:K))</f>
        <v>Binders</v>
      </c>
      <c r="AH58" t="str">
        <f>TRIM(PROPER(L:L))</f>
        <v>Smart Binders 393</v>
      </c>
      <c r="AI58" t="str">
        <f>TRIM(PROPER(M:M))</f>
        <v>Second Class</v>
      </c>
      <c r="AJ58" s="3" t="str">
        <f t="shared" si="0"/>
        <v>anomaly</v>
      </c>
      <c r="AK58">
        <f>IFERROR(Y58-X58, "invalid date")</f>
        <v>1</v>
      </c>
      <c r="AL58" s="10">
        <v>0</v>
      </c>
      <c r="AM58" s="11">
        <v>9466.83</v>
      </c>
      <c r="AN58" s="11">
        <v>2909</v>
      </c>
      <c r="AO58" s="10">
        <v>0.30728343067320318</v>
      </c>
      <c r="AP58" t="s">
        <v>4210</v>
      </c>
      <c r="AQ58" t="s">
        <v>4211</v>
      </c>
      <c r="AR58" t="s">
        <v>4153</v>
      </c>
      <c r="AS58" t="s">
        <v>4120</v>
      </c>
      <c r="AT58" t="s">
        <v>4115</v>
      </c>
      <c r="AU58">
        <v>1</v>
      </c>
      <c r="AV58" t="s">
        <v>4109</v>
      </c>
    </row>
    <row r="59" spans="1:48">
      <c r="A59" t="s">
        <v>400</v>
      </c>
      <c r="B59" t="s">
        <v>401</v>
      </c>
      <c r="C59" t="s">
        <v>402</v>
      </c>
      <c r="D59" t="s">
        <v>403</v>
      </c>
      <c r="E59" t="s">
        <v>151</v>
      </c>
      <c r="F59" t="s">
        <v>35</v>
      </c>
      <c r="G59" t="s">
        <v>82</v>
      </c>
      <c r="H59" t="s">
        <v>259</v>
      </c>
      <c r="I59" t="s">
        <v>260</v>
      </c>
      <c r="J59" t="s">
        <v>54</v>
      </c>
      <c r="K59" t="s">
        <v>85</v>
      </c>
      <c r="L59" t="s">
        <v>404</v>
      </c>
      <c r="M59" t="s">
        <v>57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43</v>
      </c>
      <c r="U59" t="s">
        <v>44</v>
      </c>
      <c r="W59" t="s">
        <v>400</v>
      </c>
      <c r="X59" t="str">
        <v>07-02-24</v>
      </c>
      <c r="Y59" t="str">
        <v>15-02-24</v>
      </c>
      <c r="Z59" t="s">
        <v>403</v>
      </c>
      <c r="AA59" t="str">
        <v>Priya Menon</v>
      </c>
      <c r="AB59" t="str">
        <f>TRIM(PROPER(F:F))</f>
        <v>Consumer</v>
      </c>
      <c r="AC59" t="str">
        <f>TRIM(PROPER(G:G))</f>
        <v>West</v>
      </c>
      <c r="AD59" t="str">
        <f>TRIM(PROPER(H:H))</f>
        <v>Goa</v>
      </c>
      <c r="AE59" t="str">
        <f>TRIM(PROPER(I:I))</f>
        <v>Panaji</v>
      </c>
      <c r="AF59" t="str">
        <f>TRIM(PROPER(J:J))</f>
        <v>Furniture</v>
      </c>
      <c r="AG59" t="str">
        <f>TRIM(PROPER(K:K))</f>
        <v>Chairs</v>
      </c>
      <c r="AH59" t="str">
        <f>TRIM(PROPER(L:L))</f>
        <v>Max Chairs 813</v>
      </c>
      <c r="AI59" t="str">
        <f>TRIM(PROPER(M:M))</f>
        <v>Same Day</v>
      </c>
      <c r="AJ59" s="3" t="str">
        <f t="shared" si="0"/>
        <v>anomaly</v>
      </c>
      <c r="AK59">
        <f>IFERROR(Y59-X59, "invalid date")</f>
        <v>8</v>
      </c>
      <c r="AL59" s="10">
        <v>0</v>
      </c>
      <c r="AM59" s="11">
        <v>1279.3499999999999</v>
      </c>
      <c r="AN59" s="11">
        <v>187.80999999999995</v>
      </c>
      <c r="AO59" s="10">
        <v>0.14680110993864068</v>
      </c>
      <c r="AP59" t="s">
        <v>4212</v>
      </c>
      <c r="AQ59" t="s">
        <v>4213</v>
      </c>
      <c r="AR59" t="s">
        <v>4129</v>
      </c>
      <c r="AS59" t="s">
        <v>4107</v>
      </c>
      <c r="AT59" t="s">
        <v>4115</v>
      </c>
      <c r="AU59">
        <v>8</v>
      </c>
      <c r="AV59" t="s">
        <v>4109</v>
      </c>
    </row>
    <row r="60" spans="1:48">
      <c r="A60" t="s">
        <v>405</v>
      </c>
      <c r="B60" t="s">
        <v>406</v>
      </c>
      <c r="C60" t="s">
        <v>407</v>
      </c>
      <c r="D60" t="s">
        <v>408</v>
      </c>
      <c r="E60" t="s">
        <v>62</v>
      </c>
      <c r="F60" t="s">
        <v>124</v>
      </c>
      <c r="G60" t="s">
        <v>36</v>
      </c>
      <c r="H60" t="s">
        <v>37</v>
      </c>
      <c r="I60" t="s">
        <v>38</v>
      </c>
      <c r="J60" t="s">
        <v>39</v>
      </c>
      <c r="K60" t="s">
        <v>165</v>
      </c>
      <c r="L60" t="s">
        <v>409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146</v>
      </c>
      <c r="U60" t="s">
        <v>134</v>
      </c>
      <c r="W60" t="s">
        <v>405</v>
      </c>
      <c r="X60" t="str">
        <v>01-09-24</v>
      </c>
      <c r="Y60" t="str">
        <v>07-09-24</v>
      </c>
      <c r="Z60" t="s">
        <v>408</v>
      </c>
      <c r="AA60" t="str">
        <v>Isha Nair</v>
      </c>
      <c r="AB60" t="str">
        <f>TRIM(PROPER(F:F))</f>
        <v>Home Office</v>
      </c>
      <c r="AC60" t="str">
        <f>TRIM(PROPER(G:G))</f>
        <v>North</v>
      </c>
      <c r="AD60" t="str">
        <f>TRIM(PROPER(H:H))</f>
        <v>Rajasthan</v>
      </c>
      <c r="AE60" t="str">
        <f>TRIM(PROPER(I:I))</f>
        <v>Jaipur</v>
      </c>
      <c r="AF60" t="str">
        <f>TRIM(PROPER(J:J))</f>
        <v>Office Supplies</v>
      </c>
      <c r="AG60" t="str">
        <f>TRIM(PROPER(K:K))</f>
        <v>Storage</v>
      </c>
      <c r="AH60" t="str">
        <f>TRIM(PROPER(L:L))</f>
        <v>Basic Storage 872</v>
      </c>
      <c r="AI60" s="4" t="s">
        <v>282</v>
      </c>
      <c r="AJ60" s="3" t="str">
        <f t="shared" si="0"/>
        <v>anomaly</v>
      </c>
      <c r="AK60">
        <f>IFERROR(Y60-X60, "invalid date")</f>
        <v>6</v>
      </c>
      <c r="AL60" s="10">
        <v>0.1</v>
      </c>
      <c r="AM60" s="11">
        <v>11254.788</v>
      </c>
      <c r="AN60" s="11">
        <v>4676.7280000000001</v>
      </c>
      <c r="AO60" s="10">
        <v>0.41553230500654476</v>
      </c>
      <c r="AP60" t="s">
        <v>4214</v>
      </c>
      <c r="AQ60" t="s">
        <v>4143</v>
      </c>
      <c r="AR60" t="s">
        <v>4134</v>
      </c>
      <c r="AS60" t="s">
        <v>4107</v>
      </c>
      <c r="AT60" t="s">
        <v>4115</v>
      </c>
      <c r="AU60">
        <v>6</v>
      </c>
      <c r="AV60" t="s">
        <v>4109</v>
      </c>
    </row>
    <row r="61" spans="1:48">
      <c r="A61" t="s">
        <v>410</v>
      </c>
      <c r="B61" t="s">
        <v>411</v>
      </c>
      <c r="C61" t="s">
        <v>412</v>
      </c>
      <c r="D61" t="s">
        <v>413</v>
      </c>
      <c r="E61" t="s">
        <v>151</v>
      </c>
      <c r="F61" t="s">
        <v>117</v>
      </c>
      <c r="G61" t="s">
        <v>51</v>
      </c>
      <c r="H61" t="s">
        <v>226</v>
      </c>
      <c r="I61" t="s">
        <v>227</v>
      </c>
      <c r="J61" t="s">
        <v>39</v>
      </c>
      <c r="K61" t="s">
        <v>118</v>
      </c>
      <c r="L61" t="s">
        <v>414</v>
      </c>
      <c r="M61" t="s">
        <v>57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43</v>
      </c>
      <c r="U61" t="s">
        <v>87</v>
      </c>
      <c r="W61" t="s">
        <v>410</v>
      </c>
      <c r="X61" t="str">
        <v>20-07-24</v>
      </c>
      <c r="Y61" t="str">
        <v>25-07-24</v>
      </c>
      <c r="Z61" t="s">
        <v>413</v>
      </c>
      <c r="AA61" t="str">
        <v>Priya Menon</v>
      </c>
      <c r="AB61" t="str">
        <f>TRIM(PROPER(F:F))</f>
        <v>Corporate</v>
      </c>
      <c r="AC61" t="str">
        <f>TRIM(PROPER(G:G))</f>
        <v>East</v>
      </c>
      <c r="AD61" t="str">
        <f>TRIM(PROPER(H:H))</f>
        <v>Assam</v>
      </c>
      <c r="AE61" t="str">
        <f>TRIM(PROPER(I:I))</f>
        <v>Guwahati</v>
      </c>
      <c r="AF61" t="str">
        <f>TRIM(PROPER(J:J))</f>
        <v>Office Supplies</v>
      </c>
      <c r="AG61" t="str">
        <f>TRIM(PROPER(K:K))</f>
        <v>Labels</v>
      </c>
      <c r="AH61" t="str">
        <f>TRIM(PROPER(L:L))</f>
        <v>Smart Labels 655</v>
      </c>
      <c r="AI61" t="str">
        <f>TRIM(PROPER(M:M))</f>
        <v>Same Day</v>
      </c>
      <c r="AJ61" s="3" t="str">
        <f t="shared" si="0"/>
        <v>anomaly</v>
      </c>
      <c r="AK61">
        <f>IFERROR(Y61-X61, "invalid date")</f>
        <v>5</v>
      </c>
      <c r="AL61" s="10">
        <v>0.2</v>
      </c>
      <c r="AM61" s="11">
        <v>16535.400000000001</v>
      </c>
      <c r="AN61" s="11">
        <v>3545.1900000000023</v>
      </c>
      <c r="AO61" s="10">
        <v>0.21440001451431487</v>
      </c>
      <c r="AP61" t="s">
        <v>4215</v>
      </c>
      <c r="AQ61" t="s">
        <v>4216</v>
      </c>
      <c r="AR61" t="s">
        <v>4106</v>
      </c>
      <c r="AS61" t="s">
        <v>4107</v>
      </c>
      <c r="AT61" t="s">
        <v>4115</v>
      </c>
      <c r="AU61">
        <v>5</v>
      </c>
      <c r="AV61" t="s">
        <v>4109</v>
      </c>
    </row>
    <row r="62" spans="1:48">
      <c r="A62" t="s">
        <v>415</v>
      </c>
      <c r="B62" t="s">
        <v>416</v>
      </c>
      <c r="C62" t="s">
        <v>417</v>
      </c>
      <c r="D62" t="s">
        <v>418</v>
      </c>
      <c r="E62" t="s">
        <v>81</v>
      </c>
      <c r="F62" t="s">
        <v>117</v>
      </c>
      <c r="G62" t="s">
        <v>51</v>
      </c>
      <c r="H62" t="s">
        <v>226</v>
      </c>
      <c r="I62" t="s">
        <v>227</v>
      </c>
      <c r="J62" t="s">
        <v>39</v>
      </c>
      <c r="K62" t="s">
        <v>118</v>
      </c>
      <c r="L62" t="s">
        <v>419</v>
      </c>
      <c r="M62" t="s">
        <v>57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133</v>
      </c>
      <c r="U62" t="s">
        <v>87</v>
      </c>
      <c r="W62" t="s">
        <v>415</v>
      </c>
      <c r="X62" t="str">
        <v>invalid date</v>
      </c>
      <c r="Y62" t="str">
        <v>19-07-24</v>
      </c>
      <c r="Z62" t="s">
        <v>418</v>
      </c>
      <c r="AA62" t="str">
        <v>Ananya Rao</v>
      </c>
      <c r="AB62" t="str">
        <f>TRIM(PROPER(F:F))</f>
        <v>Corporate</v>
      </c>
      <c r="AC62" t="str">
        <f>TRIM(PROPER(G:G))</f>
        <v>East</v>
      </c>
      <c r="AD62" t="str">
        <f>TRIM(PROPER(H:H))</f>
        <v>Assam</v>
      </c>
      <c r="AE62" t="str">
        <f>TRIM(PROPER(I:I))</f>
        <v>Guwahati</v>
      </c>
      <c r="AF62" t="str">
        <f>TRIM(PROPER(J:J))</f>
        <v>Office Supplies</v>
      </c>
      <c r="AG62" t="str">
        <f>TRIM(PROPER(K:K))</f>
        <v>Labels</v>
      </c>
      <c r="AH62" t="str">
        <f>TRIM(PROPER(L:L))</f>
        <v>Eco Labels 210</v>
      </c>
      <c r="AI62" t="str">
        <f>TRIM(PROPER(M:M))</f>
        <v>Same Day</v>
      </c>
      <c r="AJ62" s="3" t="str">
        <f t="shared" si="0"/>
        <v>Invalid</v>
      </c>
      <c r="AK62" t="str">
        <f>IFERROR(Y62-X62, "invalid date")</f>
        <v>invalid date</v>
      </c>
      <c r="AL62" s="10">
        <v>0.2</v>
      </c>
      <c r="AM62" s="11">
        <v>661.82400000000007</v>
      </c>
      <c r="AN62" s="11">
        <v>180.35400000000004</v>
      </c>
      <c r="AO62" s="10">
        <v>0.27251051639106472</v>
      </c>
      <c r="AP62" t="s">
        <v>4105</v>
      </c>
      <c r="AQ62" t="s">
        <v>4194</v>
      </c>
      <c r="AR62" t="s">
        <v>4105</v>
      </c>
      <c r="AS62" t="s">
        <v>4105</v>
      </c>
      <c r="AT62" t="s">
        <v>4108</v>
      </c>
      <c r="AU62" t="s">
        <v>4105</v>
      </c>
      <c r="AV62" t="s">
        <v>4109</v>
      </c>
    </row>
    <row r="63" spans="1:48">
      <c r="A63" t="s">
        <v>420</v>
      </c>
      <c r="B63" t="s">
        <v>421</v>
      </c>
      <c r="C63" t="s">
        <v>422</v>
      </c>
      <c r="D63" t="s">
        <v>423</v>
      </c>
      <c r="E63" t="s">
        <v>92</v>
      </c>
      <c r="F63" t="s">
        <v>124</v>
      </c>
      <c r="G63" t="s">
        <v>51</v>
      </c>
      <c r="H63" t="s">
        <v>196</v>
      </c>
      <c r="I63" t="s">
        <v>197</v>
      </c>
      <c r="J63" t="s">
        <v>54</v>
      </c>
      <c r="K63" t="s">
        <v>214</v>
      </c>
      <c r="L63" t="s">
        <v>424</v>
      </c>
      <c r="M63" t="s">
        <v>76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43</v>
      </c>
      <c r="U63" t="s">
        <v>44</v>
      </c>
      <c r="W63" t="s">
        <v>420</v>
      </c>
      <c r="X63" t="str">
        <v>16-04-24</v>
      </c>
      <c r="Y63" t="str">
        <v>invalid date</v>
      </c>
      <c r="Z63" t="s">
        <v>423</v>
      </c>
      <c r="AA63" t="str">
        <v>Vikram Iyer</v>
      </c>
      <c r="AB63" t="str">
        <f>TRIM(PROPER(F:F))</f>
        <v>Home Office</v>
      </c>
      <c r="AC63" t="str">
        <f>TRIM(PROPER(G:G))</f>
        <v>East</v>
      </c>
      <c r="AD63" t="str">
        <f>TRIM(PROPER(H:H))</f>
        <v>Bihar</v>
      </c>
      <c r="AE63" t="str">
        <f>TRIM(PROPER(I:I))</f>
        <v>Patna</v>
      </c>
      <c r="AF63" t="str">
        <f>TRIM(PROPER(J:J))</f>
        <v>Furniture</v>
      </c>
      <c r="AG63" t="str">
        <f>TRIM(PROPER(K:K))</f>
        <v>Bookcases</v>
      </c>
      <c r="AH63" t="str">
        <f>TRIM(PROPER(L:L))</f>
        <v>Classic Bookcases 296</v>
      </c>
      <c r="AI63" t="str">
        <f>TRIM(PROPER(M:M))</f>
        <v>Standard Class</v>
      </c>
      <c r="AJ63" s="3" t="str">
        <f t="shared" si="0"/>
        <v>Invalid</v>
      </c>
      <c r="AK63" t="str">
        <f>IFERROR(Y63-X63, "invalid date")</f>
        <v>invalid date</v>
      </c>
      <c r="AL63" s="10">
        <v>0</v>
      </c>
      <c r="AM63" s="11">
        <v>949.59</v>
      </c>
      <c r="AN63" s="11">
        <v>198.34000000000003</v>
      </c>
      <c r="AO63" s="10">
        <v>0.20886909087079689</v>
      </c>
      <c r="AP63" t="s">
        <v>4217</v>
      </c>
      <c r="AQ63" t="s">
        <v>4105</v>
      </c>
      <c r="AR63" t="s">
        <v>4199</v>
      </c>
      <c r="AS63" t="s">
        <v>4107</v>
      </c>
      <c r="AT63" t="s">
        <v>4108</v>
      </c>
      <c r="AU63" t="s">
        <v>4105</v>
      </c>
      <c r="AV63" t="s">
        <v>4109</v>
      </c>
    </row>
    <row r="64" spans="1:48">
      <c r="A64" t="s">
        <v>425</v>
      </c>
      <c r="B64" t="s">
        <v>426</v>
      </c>
      <c r="C64" t="s">
        <v>427</v>
      </c>
      <c r="D64" t="s">
        <v>428</v>
      </c>
      <c r="E64" t="s">
        <v>177</v>
      </c>
      <c r="F64" t="s">
        <v>124</v>
      </c>
      <c r="G64" t="s">
        <v>36</v>
      </c>
      <c r="H64" t="s">
        <v>37</v>
      </c>
      <c r="I64" t="s">
        <v>38</v>
      </c>
      <c r="J64" t="s">
        <v>95</v>
      </c>
      <c r="K64" t="s">
        <v>233</v>
      </c>
      <c r="L64" t="s">
        <v>429</v>
      </c>
      <c r="M64" t="s">
        <v>76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43</v>
      </c>
      <c r="U64" t="s">
        <v>44</v>
      </c>
      <c r="W64" t="s">
        <v>425</v>
      </c>
      <c r="X64" t="str">
        <v>30-10-24</v>
      </c>
      <c r="Y64" t="str">
        <v>02-11-24</v>
      </c>
      <c r="Z64" t="s">
        <v>428</v>
      </c>
      <c r="AA64" t="str">
        <v>Sneha Kapoor</v>
      </c>
      <c r="AB64" t="str">
        <f>TRIM(PROPER(F:F))</f>
        <v>Home Office</v>
      </c>
      <c r="AC64" t="str">
        <f>TRIM(PROPER(G:G))</f>
        <v>North</v>
      </c>
      <c r="AD64" t="str">
        <f>TRIM(PROPER(H:H))</f>
        <v>Rajasthan</v>
      </c>
      <c r="AE64" t="str">
        <f>TRIM(PROPER(I:I))</f>
        <v>Jaipur</v>
      </c>
      <c r="AF64" t="str">
        <f>TRIM(PROPER(J:J))</f>
        <v>Technology</v>
      </c>
      <c r="AG64" t="str">
        <f>TRIM(PROPER(K:K))</f>
        <v>Phones</v>
      </c>
      <c r="AH64" t="str">
        <f>TRIM(PROPER(L:L))</f>
        <v>Basic Phones 230</v>
      </c>
      <c r="AI64" t="str">
        <f>TRIM(PROPER(M:M))</f>
        <v>Standard Class</v>
      </c>
      <c r="AJ64" s="3" t="str">
        <f t="shared" si="0"/>
        <v xml:space="preserve">  </v>
      </c>
      <c r="AK64">
        <f>IFERROR(Y64-X64, "invalid date")</f>
        <v>3</v>
      </c>
      <c r="AL64" s="10">
        <v>0.2</v>
      </c>
      <c r="AM64" s="11">
        <v>21904.488000000001</v>
      </c>
      <c r="AN64" s="11">
        <v>8333.9380000000019</v>
      </c>
      <c r="AO64" s="10">
        <v>0.38046714445003244</v>
      </c>
      <c r="AP64" t="s">
        <v>4218</v>
      </c>
      <c r="AQ64" t="s">
        <v>4219</v>
      </c>
      <c r="AR64" t="s">
        <v>4126</v>
      </c>
      <c r="AS64" t="s">
        <v>4107</v>
      </c>
      <c r="AT64" t="s">
        <v>4121</v>
      </c>
      <c r="AU64">
        <v>3</v>
      </c>
      <c r="AV64" t="s">
        <v>4109</v>
      </c>
    </row>
    <row r="65" spans="1:48">
      <c r="A65" t="s">
        <v>430</v>
      </c>
      <c r="B65" t="s">
        <v>431</v>
      </c>
      <c r="C65" t="s">
        <v>432</v>
      </c>
      <c r="D65" t="s">
        <v>433</v>
      </c>
      <c r="E65" t="s">
        <v>177</v>
      </c>
      <c r="F65" t="s">
        <v>124</v>
      </c>
      <c r="G65" t="s">
        <v>36</v>
      </c>
      <c r="H65" t="s">
        <v>334</v>
      </c>
      <c r="I65" t="s">
        <v>335</v>
      </c>
      <c r="J65" t="s">
        <v>39</v>
      </c>
      <c r="K65" t="s">
        <v>208</v>
      </c>
      <c r="L65" t="s">
        <v>434</v>
      </c>
      <c r="M65" t="s">
        <v>57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43</v>
      </c>
      <c r="U65" t="s">
        <v>44</v>
      </c>
      <c r="W65" t="s">
        <v>430</v>
      </c>
      <c r="X65" t="str">
        <v>25-01-24</v>
      </c>
      <c r="Y65" t="str">
        <v>01-02-24</v>
      </c>
      <c r="Z65" t="s">
        <v>433</v>
      </c>
      <c r="AA65" t="str">
        <v>Sneha Kapoor</v>
      </c>
      <c r="AB65" t="str">
        <f>TRIM(PROPER(F:F))</f>
        <v>Home Office</v>
      </c>
      <c r="AC65" t="str">
        <f>TRIM(PROPER(G:G))</f>
        <v>North</v>
      </c>
      <c r="AD65" t="str">
        <f>TRIM(PROPER(H:H))</f>
        <v>Haryana</v>
      </c>
      <c r="AE65" t="str">
        <f>TRIM(PROPER(I:I))</f>
        <v>Gurugram</v>
      </c>
      <c r="AF65" t="str">
        <f>TRIM(PROPER(J:J))</f>
        <v>Office Supplies</v>
      </c>
      <c r="AG65" t="str">
        <f>TRIM(PROPER(K:K))</f>
        <v>Binders</v>
      </c>
      <c r="AH65" t="str">
        <f>TRIM(PROPER(L:L))</f>
        <v>Pro Binders 690</v>
      </c>
      <c r="AI65" t="str">
        <f>TRIM(PROPER(M:M))</f>
        <v>Same Day</v>
      </c>
      <c r="AJ65" s="3" t="str">
        <f t="shared" si="0"/>
        <v xml:space="preserve">  </v>
      </c>
      <c r="AK65">
        <f>IFERROR(Y65-X65, "invalid date")</f>
        <v>7</v>
      </c>
      <c r="AL65" s="10">
        <v>0.15</v>
      </c>
      <c r="AM65" s="11">
        <v>4815.7089999999998</v>
      </c>
      <c r="AN65" s="11">
        <v>1787.9589999999998</v>
      </c>
      <c r="AO65" s="10">
        <v>0.37127637903369992</v>
      </c>
      <c r="AP65" t="s">
        <v>4220</v>
      </c>
      <c r="AQ65" t="s">
        <v>4221</v>
      </c>
      <c r="AR65" t="s">
        <v>4153</v>
      </c>
      <c r="AS65" t="s">
        <v>4107</v>
      </c>
      <c r="AT65" t="s">
        <v>4121</v>
      </c>
      <c r="AU65">
        <v>7</v>
      </c>
      <c r="AV65" t="s">
        <v>4109</v>
      </c>
    </row>
    <row r="66" spans="1:48">
      <c r="A66" t="s">
        <v>435</v>
      </c>
      <c r="B66" t="s">
        <v>436</v>
      </c>
      <c r="C66" t="s">
        <v>437</v>
      </c>
      <c r="D66" t="s">
        <v>438</v>
      </c>
      <c r="E66" t="s">
        <v>171</v>
      </c>
      <c r="F66" t="s">
        <v>117</v>
      </c>
      <c r="G66" t="s">
        <v>51</v>
      </c>
      <c r="H66" t="s">
        <v>322</v>
      </c>
      <c r="I66" t="s">
        <v>323</v>
      </c>
      <c r="J66" t="s">
        <v>39</v>
      </c>
      <c r="K66" t="s">
        <v>40</v>
      </c>
      <c r="L66" t="s">
        <v>439</v>
      </c>
      <c r="M66" t="s">
        <v>65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133</v>
      </c>
      <c r="U66" t="s">
        <v>134</v>
      </c>
      <c r="W66" t="s">
        <v>435</v>
      </c>
      <c r="X66" t="str">
        <v>23-12-24</v>
      </c>
      <c r="Y66" t="str">
        <v>invalid date</v>
      </c>
      <c r="Z66" t="s">
        <v>438</v>
      </c>
      <c r="AA66" t="str">
        <v>Aarav Sharma</v>
      </c>
      <c r="AB66" t="str">
        <f>TRIM(PROPER(F:F))</f>
        <v>Corporate</v>
      </c>
      <c r="AC66" t="str">
        <f>TRIM(PROPER(G:G))</f>
        <v>East</v>
      </c>
      <c r="AD66" t="str">
        <f>TRIM(PROPER(H:H))</f>
        <v>Jharkhand</v>
      </c>
      <c r="AE66" t="str">
        <f>TRIM(PROPER(I:I))</f>
        <v>Ranchi</v>
      </c>
      <c r="AF66" t="str">
        <f>TRIM(PROPER(J:J))</f>
        <v>Office Supplies</v>
      </c>
      <c r="AG66" t="str">
        <f>TRIM(PROPER(K:K))</f>
        <v>Paper</v>
      </c>
      <c r="AH66" t="str">
        <f>TRIM(PROPER(L:L))</f>
        <v>Classic Paper 458</v>
      </c>
      <c r="AI66" t="str">
        <f>TRIM(PROPER(M:M))</f>
        <v>First Class</v>
      </c>
      <c r="AJ66" s="3" t="str">
        <f t="shared" si="0"/>
        <v>Invalid</v>
      </c>
      <c r="AK66" t="str">
        <f>IFERROR(Y66-X66, "invalid date")</f>
        <v>invalid date</v>
      </c>
      <c r="AL66" s="10">
        <v>0</v>
      </c>
      <c r="AM66" s="11">
        <v>3134.8799999999997</v>
      </c>
      <c r="AN66" s="11">
        <v>767.24999999999955</v>
      </c>
      <c r="AO66" s="10">
        <v>0.24474621038125849</v>
      </c>
      <c r="AP66" t="s">
        <v>4222</v>
      </c>
      <c r="AQ66" t="s">
        <v>4105</v>
      </c>
      <c r="AR66" t="s">
        <v>4139</v>
      </c>
      <c r="AS66" t="s">
        <v>4107</v>
      </c>
      <c r="AT66" t="s">
        <v>4108</v>
      </c>
      <c r="AU66" t="s">
        <v>4105</v>
      </c>
      <c r="AV66" t="s">
        <v>4109</v>
      </c>
    </row>
    <row r="67" spans="1:48">
      <c r="A67" t="s">
        <v>440</v>
      </c>
      <c r="B67" t="s">
        <v>441</v>
      </c>
      <c r="C67" t="s">
        <v>442</v>
      </c>
      <c r="D67" t="s">
        <v>443</v>
      </c>
      <c r="E67" t="s">
        <v>49</v>
      </c>
      <c r="F67" t="s">
        <v>124</v>
      </c>
      <c r="G67" t="s">
        <v>82</v>
      </c>
      <c r="H67" t="s">
        <v>83</v>
      </c>
      <c r="I67" t="s">
        <v>84</v>
      </c>
      <c r="J67" t="s">
        <v>39</v>
      </c>
      <c r="K67" t="s">
        <v>40</v>
      </c>
      <c r="L67" t="s">
        <v>444</v>
      </c>
      <c r="M67" t="s">
        <v>42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43</v>
      </c>
      <c r="U67" t="s">
        <v>44</v>
      </c>
      <c r="W67" t="s">
        <v>440</v>
      </c>
      <c r="X67" t="str">
        <v>22-04-24</v>
      </c>
      <c r="Y67" t="str">
        <v>27-04-24</v>
      </c>
      <c r="Z67" t="s">
        <v>443</v>
      </c>
      <c r="AA67" t="str">
        <v>Mira Das</v>
      </c>
      <c r="AB67" t="str">
        <f>TRIM(PROPER(F:F))</f>
        <v>Home Office</v>
      </c>
      <c r="AC67" t="str">
        <f>TRIM(PROPER(G:G))</f>
        <v>West</v>
      </c>
      <c r="AD67" t="str">
        <f>TRIM(PROPER(H:H))</f>
        <v>Maharashtra</v>
      </c>
      <c r="AE67" t="str">
        <f>TRIM(PROPER(I:I))</f>
        <v>Mumbai</v>
      </c>
      <c r="AF67" t="str">
        <f>TRIM(PROPER(J:J))</f>
        <v>Office Supplies</v>
      </c>
      <c r="AG67" t="str">
        <f>TRIM(PROPER(K:K))</f>
        <v>Paper</v>
      </c>
      <c r="AH67" t="str">
        <f>TRIM(PROPER(L:L))</f>
        <v>Pro Paper 552</v>
      </c>
      <c r="AI67" t="str">
        <f>TRIM(PROPER(M:M))</f>
        <v>Second Class</v>
      </c>
      <c r="AJ67" s="3" t="str">
        <f t="shared" ref="AJ67:AJ130" si="1">IF(OR(X:X="Invalid Date",Y:Y="Invalid Date"),"Invalid",(IF(X:X&lt;Y:Y,"anomaly", "  ")))</f>
        <v>anomaly</v>
      </c>
      <c r="AK67">
        <f>IFERROR(Y67-X67, "invalid date")</f>
        <v>5</v>
      </c>
      <c r="AL67" s="10">
        <v>0.05</v>
      </c>
      <c r="AM67" s="11">
        <v>4066.1804999999995</v>
      </c>
      <c r="AN67" s="11">
        <v>1437.2604999999994</v>
      </c>
      <c r="AO67" s="10">
        <v>0.35346696980126674</v>
      </c>
      <c r="AP67" t="s">
        <v>4223</v>
      </c>
      <c r="AQ67" t="s">
        <v>4224</v>
      </c>
      <c r="AR67" t="s">
        <v>4199</v>
      </c>
      <c r="AS67" t="s">
        <v>4107</v>
      </c>
      <c r="AT67" t="s">
        <v>4115</v>
      </c>
      <c r="AU67">
        <v>5</v>
      </c>
      <c r="AV67" t="s">
        <v>4109</v>
      </c>
    </row>
    <row r="68" spans="1:48">
      <c r="A68" t="s">
        <v>445</v>
      </c>
      <c r="B68" t="s">
        <v>446</v>
      </c>
      <c r="C68" t="s">
        <v>447</v>
      </c>
      <c r="D68" t="s">
        <v>448</v>
      </c>
      <c r="E68" t="s">
        <v>34</v>
      </c>
      <c r="F68" t="s">
        <v>50</v>
      </c>
      <c r="G68" t="s">
        <v>71</v>
      </c>
      <c r="H68" t="s">
        <v>350</v>
      </c>
      <c r="I68" t="s">
        <v>351</v>
      </c>
      <c r="J68" t="s">
        <v>95</v>
      </c>
      <c r="K68" t="s">
        <v>96</v>
      </c>
      <c r="L68" t="s">
        <v>449</v>
      </c>
      <c r="M68" t="s">
        <v>57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43</v>
      </c>
      <c r="U68" t="s">
        <v>44</v>
      </c>
      <c r="W68" t="s">
        <v>445</v>
      </c>
      <c r="X68" t="str">
        <v>invalid date</v>
      </c>
      <c r="Y68" t="str">
        <v>01-09-25</v>
      </c>
      <c r="Z68" t="s">
        <v>448</v>
      </c>
      <c r="AA68" t="str">
        <v>Karan Malhotra</v>
      </c>
      <c r="AB68" t="str">
        <f>TRIM(PROPER(F:F))</f>
        <v>Small Business</v>
      </c>
      <c r="AC68" t="str">
        <f>TRIM(PROPER(G:G))</f>
        <v>South</v>
      </c>
      <c r="AD68" t="str">
        <f>TRIM(PROPER(H:H))</f>
        <v>Tamil Nadu</v>
      </c>
      <c r="AE68" t="str">
        <f>TRIM(PROPER(I:I))</f>
        <v>Chennai</v>
      </c>
      <c r="AF68" t="str">
        <f>TRIM(PROPER(J:J))</f>
        <v>Technology</v>
      </c>
      <c r="AG68" t="str">
        <f>TRIM(PROPER(K:K))</f>
        <v>Accessories</v>
      </c>
      <c r="AH68" t="str">
        <f>TRIM(PROPER(L:L))</f>
        <v>Elite Accessories 187</v>
      </c>
      <c r="AI68" t="str">
        <f>TRIM(PROPER(M:M))</f>
        <v>Same Day</v>
      </c>
      <c r="AJ68" s="3" t="str">
        <f t="shared" si="1"/>
        <v>Invalid</v>
      </c>
      <c r="AK68" t="str">
        <f>IFERROR(Y68-X68, "invalid date")</f>
        <v>invalid date</v>
      </c>
      <c r="AL68" s="10">
        <v>0.05</v>
      </c>
      <c r="AM68" s="11">
        <v>7032.1089999999995</v>
      </c>
      <c r="AN68" s="11">
        <v>2421.7689999999993</v>
      </c>
      <c r="AO68" s="10">
        <v>0.34438729547565311</v>
      </c>
      <c r="AP68" t="s">
        <v>4105</v>
      </c>
      <c r="AQ68" t="s">
        <v>4119</v>
      </c>
      <c r="AR68" t="s">
        <v>4105</v>
      </c>
      <c r="AS68" t="s">
        <v>4105</v>
      </c>
      <c r="AT68" t="s">
        <v>4108</v>
      </c>
      <c r="AU68" t="s">
        <v>4105</v>
      </c>
      <c r="AV68" t="s">
        <v>4109</v>
      </c>
    </row>
    <row r="69" spans="1:48">
      <c r="A69" t="s">
        <v>450</v>
      </c>
      <c r="B69" t="s">
        <v>451</v>
      </c>
      <c r="C69" t="s">
        <v>452</v>
      </c>
      <c r="D69" t="s">
        <v>453</v>
      </c>
      <c r="E69" t="s">
        <v>377</v>
      </c>
      <c r="F69" t="s">
        <v>35</v>
      </c>
      <c r="G69" t="s">
        <v>36</v>
      </c>
      <c r="H69" t="s">
        <v>334</v>
      </c>
      <c r="I69" t="s">
        <v>335</v>
      </c>
      <c r="J69" t="s">
        <v>39</v>
      </c>
      <c r="K69" t="s">
        <v>40</v>
      </c>
      <c r="L69" t="s">
        <v>454</v>
      </c>
      <c r="M69" t="s">
        <v>65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43</v>
      </c>
      <c r="U69" t="s">
        <v>44</v>
      </c>
      <c r="W69" t="s">
        <v>450</v>
      </c>
      <c r="X69" t="str">
        <v>03-02-25</v>
      </c>
      <c r="Y69" t="str">
        <v>07-02-25</v>
      </c>
      <c r="Z69" t="s">
        <v>453</v>
      </c>
      <c r="AA69" t="str">
        <v>Kabir Singh</v>
      </c>
      <c r="AB69" t="str">
        <f>TRIM(PROPER(F:F))</f>
        <v>Consumer</v>
      </c>
      <c r="AC69" t="str">
        <f>TRIM(PROPER(G:G))</f>
        <v>North</v>
      </c>
      <c r="AD69" t="str">
        <f>TRIM(PROPER(H:H))</f>
        <v>Haryana</v>
      </c>
      <c r="AE69" t="str">
        <f>TRIM(PROPER(I:I))</f>
        <v>Gurugram</v>
      </c>
      <c r="AF69" t="str">
        <f>TRIM(PROPER(J:J))</f>
        <v>Office Supplies</v>
      </c>
      <c r="AG69" t="str">
        <f>TRIM(PROPER(K:K))</f>
        <v>Paper</v>
      </c>
      <c r="AH69" t="str">
        <f>TRIM(PROPER(L:L))</f>
        <v>Eco Paper 922</v>
      </c>
      <c r="AI69" t="str">
        <f>TRIM(PROPER(M:M))</f>
        <v>First Class</v>
      </c>
      <c r="AJ69" s="3" t="str">
        <f t="shared" si="1"/>
        <v>anomaly</v>
      </c>
      <c r="AK69">
        <f>IFERROR(Y69-X69, "invalid date")</f>
        <v>4</v>
      </c>
      <c r="AL69" s="10">
        <v>0.05</v>
      </c>
      <c r="AM69" s="11">
        <v>24002.111000000001</v>
      </c>
      <c r="AN69" s="11">
        <v>5294.5410000000011</v>
      </c>
      <c r="AO69" s="10">
        <v>0.2205864725815159</v>
      </c>
      <c r="AP69" t="s">
        <v>4225</v>
      </c>
      <c r="AQ69" t="s">
        <v>4226</v>
      </c>
      <c r="AR69" t="s">
        <v>4129</v>
      </c>
      <c r="AS69" t="s">
        <v>4120</v>
      </c>
      <c r="AT69" t="s">
        <v>4115</v>
      </c>
      <c r="AU69">
        <v>4</v>
      </c>
      <c r="AV69" t="s">
        <v>4109</v>
      </c>
    </row>
    <row r="70" spans="1:48">
      <c r="A70" t="s">
        <v>455</v>
      </c>
      <c r="B70" t="s">
        <v>114</v>
      </c>
      <c r="C70" t="s">
        <v>456</v>
      </c>
      <c r="D70" t="s">
        <v>457</v>
      </c>
      <c r="E70" t="s">
        <v>62</v>
      </c>
      <c r="F70" t="s">
        <v>117</v>
      </c>
      <c r="G70" t="s">
        <v>51</v>
      </c>
      <c r="H70" t="s">
        <v>322</v>
      </c>
      <c r="I70" t="s">
        <v>323</v>
      </c>
      <c r="J70" t="s">
        <v>39</v>
      </c>
      <c r="K70" t="s">
        <v>165</v>
      </c>
      <c r="L70" t="s">
        <v>458</v>
      </c>
      <c r="M70" t="s">
        <v>42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210</v>
      </c>
      <c r="U70" t="s">
        <v>134</v>
      </c>
      <c r="W70" t="s">
        <v>455</v>
      </c>
      <c r="X70" t="str">
        <v>11-10-24</v>
      </c>
      <c r="Y70" t="str">
        <v>13-11-24</v>
      </c>
      <c r="Z70" t="s">
        <v>457</v>
      </c>
      <c r="AA70" t="str">
        <v>Isha Nair</v>
      </c>
      <c r="AB70" t="str">
        <f>TRIM(PROPER(F:F))</f>
        <v>Corporate</v>
      </c>
      <c r="AC70" t="str">
        <f>TRIM(PROPER(G:G))</f>
        <v>East</v>
      </c>
      <c r="AD70" t="str">
        <f>TRIM(PROPER(H:H))</f>
        <v>Jharkhand</v>
      </c>
      <c r="AE70" t="str">
        <f>TRIM(PROPER(I:I))</f>
        <v>Ranchi</v>
      </c>
      <c r="AF70" t="str">
        <f>TRIM(PROPER(J:J))</f>
        <v>Office Supplies</v>
      </c>
      <c r="AG70" t="str">
        <f>TRIM(PROPER(K:K))</f>
        <v>Storage</v>
      </c>
      <c r="AH70" t="str">
        <f>TRIM(PROPER(L:L))</f>
        <v>Pro Storage 975</v>
      </c>
      <c r="AI70" t="str">
        <f>TRIM(PROPER(M:M))</f>
        <v>Second Class</v>
      </c>
      <c r="AJ70" s="3" t="str">
        <f t="shared" si="1"/>
        <v>anomaly</v>
      </c>
      <c r="AK70">
        <f>IFERROR(Y70-X70, "invalid date")</f>
        <v>33</v>
      </c>
      <c r="AL70" s="10">
        <v>0</v>
      </c>
      <c r="AM70" s="11">
        <v>19900.079999999998</v>
      </c>
      <c r="AN70" s="11">
        <v>8937.4199999999983</v>
      </c>
      <c r="AO70" s="10">
        <v>0.44911477742803041</v>
      </c>
      <c r="AP70" t="s">
        <v>4131</v>
      </c>
      <c r="AQ70" t="s">
        <v>4227</v>
      </c>
      <c r="AR70" t="s">
        <v>4126</v>
      </c>
      <c r="AS70" t="s">
        <v>4107</v>
      </c>
      <c r="AT70" t="s">
        <v>4115</v>
      </c>
      <c r="AU70">
        <v>33</v>
      </c>
      <c r="AV70" t="s">
        <v>4109</v>
      </c>
    </row>
    <row r="71" spans="1:48">
      <c r="A71" t="s">
        <v>459</v>
      </c>
      <c r="B71" t="s">
        <v>460</v>
      </c>
      <c r="C71" t="s">
        <v>461</v>
      </c>
      <c r="D71" t="s">
        <v>462</v>
      </c>
      <c r="E71" t="s">
        <v>102</v>
      </c>
      <c r="F71" t="s">
        <v>50</v>
      </c>
      <c r="G71" t="s">
        <v>82</v>
      </c>
      <c r="H71" t="s">
        <v>245</v>
      </c>
      <c r="I71" t="s">
        <v>246</v>
      </c>
      <c r="J71" t="s">
        <v>95</v>
      </c>
      <c r="K71" t="s">
        <v>393</v>
      </c>
      <c r="L71" t="s">
        <v>463</v>
      </c>
      <c r="M71" t="s">
        <v>57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133</v>
      </c>
      <c r="U71" t="s">
        <v>134</v>
      </c>
      <c r="W71" t="s">
        <v>459</v>
      </c>
      <c r="X71" t="str">
        <v>09-04-24</v>
      </c>
      <c r="Y71" t="str">
        <v>invalid date</v>
      </c>
      <c r="Z71" t="s">
        <v>462</v>
      </c>
      <c r="AA71" t="str">
        <v>Neha Gupta</v>
      </c>
      <c r="AB71" t="str">
        <f>TRIM(PROPER(F:F))</f>
        <v>Small Business</v>
      </c>
      <c r="AC71" t="str">
        <f>TRIM(PROPER(G:G))</f>
        <v>West</v>
      </c>
      <c r="AD71" t="str">
        <f>TRIM(PROPER(H:H))</f>
        <v>Gujarat</v>
      </c>
      <c r="AE71" t="str">
        <f>TRIM(PROPER(I:I))</f>
        <v>Ahmedabad</v>
      </c>
      <c r="AF71" t="str">
        <f>TRIM(PROPER(J:J))</f>
        <v>Technology</v>
      </c>
      <c r="AG71" t="str">
        <f>TRIM(PROPER(K:K))</f>
        <v>Machines</v>
      </c>
      <c r="AH71" t="str">
        <f>TRIM(PROPER(L:L))</f>
        <v>Prime Machines 782</v>
      </c>
      <c r="AI71" t="str">
        <f>TRIM(PROPER(M:M))</f>
        <v>Same Day</v>
      </c>
      <c r="AJ71" s="3" t="str">
        <f t="shared" si="1"/>
        <v>Invalid</v>
      </c>
      <c r="AK71" t="str">
        <f>IFERROR(Y71-X71, "invalid date")</f>
        <v>invalid date</v>
      </c>
      <c r="AL71" s="10">
        <v>0.1</v>
      </c>
      <c r="AM71" s="11">
        <v>21527.667000000001</v>
      </c>
      <c r="AN71" s="11">
        <v>3240.0869999999995</v>
      </c>
      <c r="AO71" s="10">
        <v>0.15050804158202555</v>
      </c>
      <c r="AP71" t="s">
        <v>4228</v>
      </c>
      <c r="AQ71" t="s">
        <v>4105</v>
      </c>
      <c r="AR71" t="s">
        <v>4199</v>
      </c>
      <c r="AS71" t="s">
        <v>4107</v>
      </c>
      <c r="AT71" t="s">
        <v>4108</v>
      </c>
      <c r="AU71" t="s">
        <v>4105</v>
      </c>
      <c r="AV71" t="s">
        <v>4109</v>
      </c>
    </row>
    <row r="72" spans="1:48">
      <c r="A72" t="s">
        <v>464</v>
      </c>
      <c r="B72" t="s">
        <v>465</v>
      </c>
      <c r="C72" t="s">
        <v>466</v>
      </c>
      <c r="D72" t="s">
        <v>467</v>
      </c>
      <c r="E72" t="s">
        <v>34</v>
      </c>
      <c r="F72" t="s">
        <v>117</v>
      </c>
      <c r="G72" t="s">
        <v>71</v>
      </c>
      <c r="H72" t="s">
        <v>109</v>
      </c>
      <c r="I72" t="s">
        <v>110</v>
      </c>
      <c r="J72" t="s">
        <v>95</v>
      </c>
      <c r="K72" t="s">
        <v>233</v>
      </c>
      <c r="L72" t="s">
        <v>468</v>
      </c>
      <c r="M72" t="s">
        <v>65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43</v>
      </c>
      <c r="U72" t="s">
        <v>44</v>
      </c>
      <c r="W72" t="s">
        <v>464</v>
      </c>
      <c r="X72" t="str">
        <v>22-08-25</v>
      </c>
      <c r="Y72" t="str">
        <v>27-08-25</v>
      </c>
      <c r="Z72" t="s">
        <v>467</v>
      </c>
      <c r="AA72" t="str">
        <v>Karan Malhotra</v>
      </c>
      <c r="AB72" t="str">
        <f>TRIM(PROPER(F:F))</f>
        <v>Corporate</v>
      </c>
      <c r="AC72" t="str">
        <f>TRIM(PROPER(G:G))</f>
        <v>South</v>
      </c>
      <c r="AD72" t="str">
        <f>TRIM(PROPER(H:H))</f>
        <v>Andhra Pradesh</v>
      </c>
      <c r="AE72" t="str">
        <f>TRIM(PROPER(I:I))</f>
        <v>Vijayawada</v>
      </c>
      <c r="AF72" t="str">
        <f>TRIM(PROPER(J:J))</f>
        <v>Technology</v>
      </c>
      <c r="AG72" t="str">
        <f>TRIM(PROPER(K:K))</f>
        <v>Phones</v>
      </c>
      <c r="AH72" t="str">
        <f>TRIM(PROPER(L:L))</f>
        <v>Max Phones 661</v>
      </c>
      <c r="AI72" t="str">
        <f>TRIM(PROPER(M:M))</f>
        <v>First Class</v>
      </c>
      <c r="AJ72" s="3" t="str">
        <f t="shared" si="1"/>
        <v>anomaly</v>
      </c>
      <c r="AK72">
        <f>IFERROR(Y72-X72, "invalid date")</f>
        <v>5</v>
      </c>
      <c r="AL72" s="10">
        <v>0.15</v>
      </c>
      <c r="AM72" s="11">
        <v>1539.979</v>
      </c>
      <c r="AN72" s="11">
        <v>469.779</v>
      </c>
      <c r="AO72" s="10">
        <v>0.30505545854846072</v>
      </c>
      <c r="AP72" t="s">
        <v>4229</v>
      </c>
      <c r="AQ72" t="s">
        <v>4230</v>
      </c>
      <c r="AR72" t="s">
        <v>4114</v>
      </c>
      <c r="AS72" t="s">
        <v>4120</v>
      </c>
      <c r="AT72" t="s">
        <v>4115</v>
      </c>
      <c r="AU72">
        <v>5</v>
      </c>
      <c r="AV72" t="s">
        <v>4109</v>
      </c>
    </row>
    <row r="73" spans="1:48">
      <c r="A73" t="s">
        <v>469</v>
      </c>
      <c r="B73" t="s">
        <v>100</v>
      </c>
      <c r="C73" t="s">
        <v>470</v>
      </c>
      <c r="D73" t="s">
        <v>471</v>
      </c>
      <c r="E73" t="s">
        <v>49</v>
      </c>
      <c r="F73" t="s">
        <v>50</v>
      </c>
      <c r="G73" t="s">
        <v>82</v>
      </c>
      <c r="H73" t="s">
        <v>259</v>
      </c>
      <c r="I73" t="s">
        <v>260</v>
      </c>
      <c r="J73" t="s">
        <v>95</v>
      </c>
      <c r="K73" t="s">
        <v>393</v>
      </c>
      <c r="L73" t="s">
        <v>472</v>
      </c>
      <c r="M73" t="s">
        <v>76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43</v>
      </c>
      <c r="U73" t="s">
        <v>44</v>
      </c>
      <c r="W73" t="s">
        <v>469</v>
      </c>
      <c r="X73" t="str">
        <v>invalid date</v>
      </c>
      <c r="Y73" t="str">
        <v>23-04-25</v>
      </c>
      <c r="Z73" t="s">
        <v>471</v>
      </c>
      <c r="AA73" t="str">
        <v>Mira Das</v>
      </c>
      <c r="AB73" t="str">
        <f>TRIM(PROPER(F:F))</f>
        <v>Small Business</v>
      </c>
      <c r="AC73" t="str">
        <f>TRIM(PROPER(G:G))</f>
        <v>West</v>
      </c>
      <c r="AD73" t="str">
        <f>TRIM(PROPER(H:H))</f>
        <v>Goa</v>
      </c>
      <c r="AE73" t="str">
        <f>TRIM(PROPER(I:I))</f>
        <v>Panaji</v>
      </c>
      <c r="AF73" t="str">
        <f>TRIM(PROPER(J:J))</f>
        <v>Technology</v>
      </c>
      <c r="AG73" t="str">
        <f>TRIM(PROPER(K:K))</f>
        <v>Machines</v>
      </c>
      <c r="AH73" t="str">
        <f>TRIM(PROPER(L:L))</f>
        <v>Elite Machines 836</v>
      </c>
      <c r="AI73" t="str">
        <f>TRIM(PROPER(M:M))</f>
        <v>Standard Class</v>
      </c>
      <c r="AJ73" s="3" t="str">
        <f t="shared" si="1"/>
        <v>Invalid</v>
      </c>
      <c r="AK73" t="str">
        <f>IFERROR(Y73-X73, "invalid date")</f>
        <v>invalid date</v>
      </c>
      <c r="AL73" s="10">
        <v>0.1</v>
      </c>
      <c r="AM73" s="11">
        <v>10947.528</v>
      </c>
      <c r="AN73" s="11">
        <v>4500.1680000000006</v>
      </c>
      <c r="AO73" s="10">
        <v>0.41106704636882413</v>
      </c>
      <c r="AP73" t="s">
        <v>4105</v>
      </c>
      <c r="AQ73" t="s">
        <v>4231</v>
      </c>
      <c r="AR73" t="s">
        <v>4105</v>
      </c>
      <c r="AS73" t="s">
        <v>4105</v>
      </c>
      <c r="AT73" t="s">
        <v>4108</v>
      </c>
      <c r="AU73" t="s">
        <v>4105</v>
      </c>
      <c r="AV73" t="s">
        <v>4109</v>
      </c>
    </row>
    <row r="74" spans="1:48">
      <c r="A74" t="s">
        <v>473</v>
      </c>
      <c r="B74" t="s">
        <v>474</v>
      </c>
      <c r="C74" t="s">
        <v>475</v>
      </c>
      <c r="D74" t="s">
        <v>476</v>
      </c>
      <c r="E74" t="s">
        <v>34</v>
      </c>
      <c r="F74" t="s">
        <v>124</v>
      </c>
      <c r="G74" t="s">
        <v>71</v>
      </c>
      <c r="H74" t="s">
        <v>350</v>
      </c>
      <c r="I74" t="s">
        <v>351</v>
      </c>
      <c r="J74" t="s">
        <v>54</v>
      </c>
      <c r="K74" t="s">
        <v>55</v>
      </c>
      <c r="L74" t="s">
        <v>477</v>
      </c>
      <c r="M74" t="s">
        <v>65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43</v>
      </c>
      <c r="U74" t="s">
        <v>44</v>
      </c>
      <c r="W74" t="s">
        <v>473</v>
      </c>
      <c r="X74" t="str">
        <v>11-02-24</v>
      </c>
      <c r="Y74" t="str">
        <v>07-02-24</v>
      </c>
      <c r="Z74" t="s">
        <v>476</v>
      </c>
      <c r="AA74" t="str">
        <v>Karan Malhotra</v>
      </c>
      <c r="AB74" t="str">
        <f>TRIM(PROPER(F:F))</f>
        <v>Home Office</v>
      </c>
      <c r="AC74" t="str">
        <f>TRIM(PROPER(G:G))</f>
        <v>South</v>
      </c>
      <c r="AD74" t="str">
        <f>TRIM(PROPER(H:H))</f>
        <v>Tamil Nadu</v>
      </c>
      <c r="AE74" t="str">
        <f>TRIM(PROPER(I:I))</f>
        <v>Chennai</v>
      </c>
      <c r="AF74" t="str">
        <f>TRIM(PROPER(J:J))</f>
        <v>Furniture</v>
      </c>
      <c r="AG74" t="str">
        <f>TRIM(PROPER(K:K))</f>
        <v>Tables</v>
      </c>
      <c r="AH74" t="str">
        <f>TRIM(PROPER(L:L))</f>
        <v>Prime Tables 902</v>
      </c>
      <c r="AI74" t="str">
        <f>TRIM(PROPER(M:M))</f>
        <v>First Class</v>
      </c>
      <c r="AJ74" s="3" t="str">
        <f t="shared" si="1"/>
        <v xml:space="preserve">  </v>
      </c>
      <c r="AK74">
        <f>IFERROR(Y74-X74, "invalid date")</f>
        <v>-4</v>
      </c>
      <c r="AL74" s="10">
        <v>0.15</v>
      </c>
      <c r="AM74" s="11">
        <v>13610.446499999998</v>
      </c>
      <c r="AN74" s="11">
        <v>3571.3964999999989</v>
      </c>
      <c r="AO74" s="10">
        <v>0.26240112695788487</v>
      </c>
      <c r="AP74" t="s">
        <v>4232</v>
      </c>
      <c r="AQ74" t="s">
        <v>4212</v>
      </c>
      <c r="AR74" t="s">
        <v>4129</v>
      </c>
      <c r="AS74" t="s">
        <v>4107</v>
      </c>
      <c r="AT74" t="s">
        <v>4121</v>
      </c>
      <c r="AU74">
        <v>-4</v>
      </c>
      <c r="AV74" t="s">
        <v>4109</v>
      </c>
    </row>
    <row r="75" spans="1:48">
      <c r="A75" t="s">
        <v>478</v>
      </c>
      <c r="B75" t="s">
        <v>479</v>
      </c>
      <c r="C75" t="s">
        <v>480</v>
      </c>
      <c r="D75" t="s">
        <v>481</v>
      </c>
      <c r="E75" t="s">
        <v>177</v>
      </c>
      <c r="F75" t="s">
        <v>117</v>
      </c>
      <c r="G75" t="s">
        <v>51</v>
      </c>
      <c r="H75" t="s">
        <v>130</v>
      </c>
      <c r="I75" t="s">
        <v>131</v>
      </c>
      <c r="J75" t="s">
        <v>54</v>
      </c>
      <c r="K75" t="s">
        <v>214</v>
      </c>
      <c r="L75" t="s">
        <v>482</v>
      </c>
      <c r="M75" t="s">
        <v>65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43</v>
      </c>
      <c r="U75" t="s">
        <v>44</v>
      </c>
      <c r="W75" t="s">
        <v>478</v>
      </c>
      <c r="X75" t="str">
        <v>29-03-25</v>
      </c>
      <c r="Y75" t="str">
        <v>04-03-25</v>
      </c>
      <c r="Z75" t="s">
        <v>481</v>
      </c>
      <c r="AA75" t="str">
        <v>Sneha Kapoor</v>
      </c>
      <c r="AB75" t="str">
        <f>TRIM(PROPER(F:F))</f>
        <v>Corporate</v>
      </c>
      <c r="AC75" t="str">
        <f>TRIM(PROPER(G:G))</f>
        <v>East</v>
      </c>
      <c r="AD75" t="str">
        <f>TRIM(PROPER(H:H))</f>
        <v>West Bengal</v>
      </c>
      <c r="AE75" t="str">
        <f>TRIM(PROPER(I:I))</f>
        <v>Kolkata</v>
      </c>
      <c r="AF75" t="str">
        <f>TRIM(PROPER(J:J))</f>
        <v>Furniture</v>
      </c>
      <c r="AG75" t="str">
        <f>TRIM(PROPER(K:K))</f>
        <v>Bookcases</v>
      </c>
      <c r="AH75" t="str">
        <f>TRIM(PROPER(L:L))</f>
        <v>Smart Bookcases 167</v>
      </c>
      <c r="AI75" t="str">
        <f>TRIM(PROPER(M:M))</f>
        <v>First Class</v>
      </c>
      <c r="AJ75" s="3" t="str">
        <f t="shared" si="1"/>
        <v xml:space="preserve">  </v>
      </c>
      <c r="AK75">
        <f>IFERROR(Y75-X75, "invalid date")</f>
        <v>-25</v>
      </c>
      <c r="AL75" s="10">
        <v>0</v>
      </c>
      <c r="AM75" s="11">
        <v>7128.7</v>
      </c>
      <c r="AN75" s="11">
        <v>2746.55</v>
      </c>
      <c r="AO75" s="10">
        <v>0.38528062620113068</v>
      </c>
      <c r="AP75" t="s">
        <v>4233</v>
      </c>
      <c r="AQ75" t="s">
        <v>4234</v>
      </c>
      <c r="AR75" t="s">
        <v>4159</v>
      </c>
      <c r="AS75" t="s">
        <v>4120</v>
      </c>
      <c r="AT75" t="s">
        <v>4121</v>
      </c>
      <c r="AU75">
        <v>-25</v>
      </c>
      <c r="AV75" t="s">
        <v>4109</v>
      </c>
    </row>
    <row r="76" spans="1:48">
      <c r="A76" t="s">
        <v>483</v>
      </c>
      <c r="B76" t="s">
        <v>484</v>
      </c>
      <c r="C76" t="s">
        <v>485</v>
      </c>
      <c r="D76" t="s">
        <v>486</v>
      </c>
      <c r="E76" t="s">
        <v>92</v>
      </c>
      <c r="F76" t="s">
        <v>50</v>
      </c>
      <c r="G76" t="s">
        <v>51</v>
      </c>
      <c r="H76" t="s">
        <v>130</v>
      </c>
      <c r="I76" t="s">
        <v>131</v>
      </c>
      <c r="J76" t="s">
        <v>54</v>
      </c>
      <c r="K76" t="s">
        <v>85</v>
      </c>
      <c r="L76" t="s">
        <v>487</v>
      </c>
      <c r="M76" t="s">
        <v>76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43</v>
      </c>
      <c r="U76" t="s">
        <v>44</v>
      </c>
      <c r="W76" t="s">
        <v>483</v>
      </c>
      <c r="X76" t="str">
        <v>invalid date</v>
      </c>
      <c r="Y76" t="str">
        <v>01-03-25</v>
      </c>
      <c r="Z76" t="s">
        <v>486</v>
      </c>
      <c r="AA76" t="str">
        <v>Vikram Iyer</v>
      </c>
      <c r="AB76" t="str">
        <f>TRIM(PROPER(F:F))</f>
        <v>Small Business</v>
      </c>
      <c r="AC76" t="str">
        <f>TRIM(PROPER(G:G))</f>
        <v>East</v>
      </c>
      <c r="AD76" t="str">
        <f>TRIM(PROPER(H:H))</f>
        <v>West Bengal</v>
      </c>
      <c r="AE76" t="str">
        <f>TRIM(PROPER(I:I))</f>
        <v>Kolkata</v>
      </c>
      <c r="AF76" t="str">
        <f>TRIM(PROPER(J:J))</f>
        <v>Furniture</v>
      </c>
      <c r="AG76" t="str">
        <f>TRIM(PROPER(K:K))</f>
        <v>Chairs</v>
      </c>
      <c r="AH76" t="str">
        <f>TRIM(PROPER(L:L))</f>
        <v>Max Chairs 244</v>
      </c>
      <c r="AI76" t="str">
        <f>TRIM(PROPER(M:M))</f>
        <v>Standard Class</v>
      </c>
      <c r="AJ76" s="3" t="str">
        <f t="shared" si="1"/>
        <v>Invalid</v>
      </c>
      <c r="AK76" t="str">
        <f>IFERROR(Y76-X76, "invalid date")</f>
        <v>invalid date</v>
      </c>
      <c r="AL76" s="10">
        <v>0</v>
      </c>
      <c r="AM76" s="11">
        <v>3309.84</v>
      </c>
      <c r="AN76" s="11">
        <v>638.76000000000022</v>
      </c>
      <c r="AO76" s="10">
        <v>0.19298818069755644</v>
      </c>
      <c r="AP76" t="s">
        <v>4105</v>
      </c>
      <c r="AQ76" t="s">
        <v>4235</v>
      </c>
      <c r="AR76" t="s">
        <v>4105</v>
      </c>
      <c r="AS76" t="s">
        <v>4105</v>
      </c>
      <c r="AT76" t="s">
        <v>4108</v>
      </c>
      <c r="AU76" t="s">
        <v>4105</v>
      </c>
      <c r="AV76" t="s">
        <v>4109</v>
      </c>
    </row>
    <row r="77" spans="1:48">
      <c r="A77" t="s">
        <v>488</v>
      </c>
      <c r="B77" t="s">
        <v>489</v>
      </c>
      <c r="C77" t="s">
        <v>490</v>
      </c>
      <c r="D77" t="s">
        <v>491</v>
      </c>
      <c r="E77" t="s">
        <v>151</v>
      </c>
      <c r="F77" t="s">
        <v>50</v>
      </c>
      <c r="G77" t="s">
        <v>51</v>
      </c>
      <c r="H77" t="s">
        <v>52</v>
      </c>
      <c r="I77" t="s">
        <v>53</v>
      </c>
      <c r="J77" t="s">
        <v>39</v>
      </c>
      <c r="K77" t="s">
        <v>118</v>
      </c>
      <c r="L77" t="s">
        <v>492</v>
      </c>
      <c r="M77" t="s">
        <v>65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43</v>
      </c>
      <c r="U77" t="s">
        <v>44</v>
      </c>
      <c r="W77" t="s">
        <v>488</v>
      </c>
      <c r="X77" t="str">
        <v>22-08-25</v>
      </c>
      <c r="Y77" t="str">
        <v>invalid date</v>
      </c>
      <c r="Z77" t="s">
        <v>491</v>
      </c>
      <c r="AA77" t="str">
        <v>Priya Menon</v>
      </c>
      <c r="AB77" t="str">
        <f>TRIM(PROPER(F:F))</f>
        <v>Small Business</v>
      </c>
      <c r="AC77" t="str">
        <f>TRIM(PROPER(G:G))</f>
        <v>East</v>
      </c>
      <c r="AD77" t="str">
        <f>TRIM(PROPER(H:H))</f>
        <v>Odisha</v>
      </c>
      <c r="AE77" t="str">
        <f>TRIM(PROPER(I:I))</f>
        <v>Bhubaneswar</v>
      </c>
      <c r="AF77" t="str">
        <f>TRIM(PROPER(J:J))</f>
        <v>Office Supplies</v>
      </c>
      <c r="AG77" t="str">
        <f>TRIM(PROPER(K:K))</f>
        <v>Labels</v>
      </c>
      <c r="AH77" t="str">
        <f>TRIM(PROPER(L:L))</f>
        <v>Eco Labels 653</v>
      </c>
      <c r="AI77" t="str">
        <f>TRIM(PROPER(M:M))</f>
        <v>First Class</v>
      </c>
      <c r="AJ77" s="3" t="str">
        <f t="shared" si="1"/>
        <v>Invalid</v>
      </c>
      <c r="AK77" t="str">
        <f>IFERROR(Y77-X77, "invalid date")</f>
        <v>invalid date</v>
      </c>
      <c r="AL77" s="10">
        <v>0.2</v>
      </c>
      <c r="AM77" s="11">
        <v>7907.5680000000011</v>
      </c>
      <c r="AN77" s="11">
        <v>2516.3880000000008</v>
      </c>
      <c r="AO77" s="10">
        <v>0.31822527482533197</v>
      </c>
      <c r="AP77" t="s">
        <v>4229</v>
      </c>
      <c r="AQ77" t="s">
        <v>4105</v>
      </c>
      <c r="AR77" t="s">
        <v>4114</v>
      </c>
      <c r="AS77" t="s">
        <v>4120</v>
      </c>
      <c r="AT77" t="s">
        <v>4108</v>
      </c>
      <c r="AU77" t="s">
        <v>4105</v>
      </c>
      <c r="AV77" t="s">
        <v>4109</v>
      </c>
    </row>
    <row r="78" spans="1:48">
      <c r="A78" t="s">
        <v>493</v>
      </c>
      <c r="B78" t="s">
        <v>494</v>
      </c>
      <c r="C78" t="s">
        <v>495</v>
      </c>
      <c r="D78" t="s">
        <v>496</v>
      </c>
      <c r="E78" t="s">
        <v>81</v>
      </c>
      <c r="F78" t="s">
        <v>117</v>
      </c>
      <c r="G78" t="s">
        <v>51</v>
      </c>
      <c r="H78" t="s">
        <v>322</v>
      </c>
      <c r="I78" t="s">
        <v>323</v>
      </c>
      <c r="J78" t="s">
        <v>39</v>
      </c>
      <c r="K78" t="s">
        <v>118</v>
      </c>
      <c r="L78" t="s">
        <v>497</v>
      </c>
      <c r="M78" t="s">
        <v>42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43</v>
      </c>
      <c r="U78" t="s">
        <v>44</v>
      </c>
      <c r="W78" t="s">
        <v>493</v>
      </c>
      <c r="X78" t="str">
        <v>03-11-24</v>
      </c>
      <c r="Y78" t="str">
        <v>11-11-24</v>
      </c>
      <c r="Z78" t="s">
        <v>496</v>
      </c>
      <c r="AA78" t="str">
        <v>Ananya Rao</v>
      </c>
      <c r="AB78" t="str">
        <f>TRIM(PROPER(F:F))</f>
        <v>Corporate</v>
      </c>
      <c r="AC78" t="str">
        <f>TRIM(PROPER(G:G))</f>
        <v>East</v>
      </c>
      <c r="AD78" t="str">
        <f>TRIM(PROPER(H:H))</f>
        <v>Jharkhand</v>
      </c>
      <c r="AE78" t="str">
        <f>TRIM(PROPER(I:I))</f>
        <v>Ranchi</v>
      </c>
      <c r="AF78" t="str">
        <f>TRIM(PROPER(J:J))</f>
        <v>Office Supplies</v>
      </c>
      <c r="AG78" t="str">
        <f>TRIM(PROPER(K:K))</f>
        <v>Labels</v>
      </c>
      <c r="AH78" t="str">
        <f>TRIM(PROPER(L:L))</f>
        <v>Max Labels 617</v>
      </c>
      <c r="AI78" t="str">
        <f>TRIM(PROPER(M:M))</f>
        <v>Second Class</v>
      </c>
      <c r="AJ78" s="3" t="str">
        <f t="shared" si="1"/>
        <v>anomaly</v>
      </c>
      <c r="AK78">
        <f>IFERROR(Y78-X78, "invalid date")</f>
        <v>8</v>
      </c>
      <c r="AL78" s="10">
        <v>0</v>
      </c>
      <c r="AM78" s="11">
        <v>10218.81</v>
      </c>
      <c r="AN78" s="11">
        <v>2601.8399999999992</v>
      </c>
      <c r="AO78" s="10">
        <v>0.2546128169522674</v>
      </c>
      <c r="AP78" t="s">
        <v>4236</v>
      </c>
      <c r="AQ78" t="s">
        <v>4237</v>
      </c>
      <c r="AR78" t="s">
        <v>4117</v>
      </c>
      <c r="AS78" t="s">
        <v>4107</v>
      </c>
      <c r="AT78" t="s">
        <v>4115</v>
      </c>
      <c r="AU78">
        <v>8</v>
      </c>
      <c r="AV78" t="s">
        <v>4109</v>
      </c>
    </row>
    <row r="79" spans="1:48">
      <c r="A79" t="s">
        <v>498</v>
      </c>
      <c r="B79" t="s">
        <v>499</v>
      </c>
      <c r="C79" t="s">
        <v>500</v>
      </c>
      <c r="D79" t="s">
        <v>501</v>
      </c>
      <c r="E79" t="s">
        <v>189</v>
      </c>
      <c r="F79" t="s">
        <v>124</v>
      </c>
      <c r="G79" t="s">
        <v>36</v>
      </c>
      <c r="H79" t="s">
        <v>183</v>
      </c>
      <c r="I79" t="s">
        <v>184</v>
      </c>
      <c r="J79" t="s">
        <v>54</v>
      </c>
      <c r="K79" t="s">
        <v>74</v>
      </c>
      <c r="L79" t="s">
        <v>502</v>
      </c>
      <c r="M79" t="s">
        <v>76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133</v>
      </c>
      <c r="U79" t="s">
        <v>87</v>
      </c>
      <c r="W79" t="s">
        <v>498</v>
      </c>
      <c r="X79" t="str">
        <v>07-08-25</v>
      </c>
      <c r="Y79" t="str">
        <v>12-07-25</v>
      </c>
      <c r="Z79" t="s">
        <v>501</v>
      </c>
      <c r="AA79" t="str">
        <v>Rohan Mehta</v>
      </c>
      <c r="AB79" t="str">
        <f>TRIM(PROPER(F:F))</f>
        <v>Home Office</v>
      </c>
      <c r="AC79" t="str">
        <f>TRIM(PROPER(G:G))</f>
        <v>North</v>
      </c>
      <c r="AD79" t="str">
        <f>TRIM(PROPER(H:H))</f>
        <v>Uttar Pradesh</v>
      </c>
      <c r="AE79" t="str">
        <f>TRIM(PROPER(I:I))</f>
        <v>Noida</v>
      </c>
      <c r="AF79" t="str">
        <f>TRIM(PROPER(J:J))</f>
        <v>Furniture</v>
      </c>
      <c r="AG79" t="str">
        <f>TRIM(PROPER(K:K))</f>
        <v>Furnishings</v>
      </c>
      <c r="AH79" t="str">
        <f>TRIM(PROPER(L:L))</f>
        <v>Pro Furnishings 529</v>
      </c>
      <c r="AI79" t="str">
        <f>TRIM(PROPER(M:M))</f>
        <v>Standard Class</v>
      </c>
      <c r="AJ79" s="3" t="str">
        <f t="shared" si="1"/>
        <v>anomaly</v>
      </c>
      <c r="AK79">
        <f>IFERROR(Y79-X79, "invalid date")</f>
        <v>-26</v>
      </c>
      <c r="AL79" s="10">
        <v>0.15</v>
      </c>
      <c r="AM79" s="11">
        <v>2194.87</v>
      </c>
      <c r="AN79" s="11">
        <v>971.69999999999982</v>
      </c>
      <c r="AO79" s="10">
        <v>0.44271414707932583</v>
      </c>
      <c r="AP79" t="s">
        <v>4238</v>
      </c>
      <c r="AQ79" t="s">
        <v>4239</v>
      </c>
      <c r="AR79" t="s">
        <v>4114</v>
      </c>
      <c r="AS79" t="s">
        <v>4120</v>
      </c>
      <c r="AT79" t="s">
        <v>4115</v>
      </c>
      <c r="AU79">
        <v>-26</v>
      </c>
      <c r="AV79" t="s">
        <v>4109</v>
      </c>
    </row>
    <row r="80" spans="1:48">
      <c r="A80" t="s">
        <v>503</v>
      </c>
      <c r="B80" t="s">
        <v>504</v>
      </c>
      <c r="C80" t="s">
        <v>505</v>
      </c>
      <c r="D80" t="s">
        <v>506</v>
      </c>
      <c r="E80" t="s">
        <v>177</v>
      </c>
      <c r="F80" t="s">
        <v>117</v>
      </c>
      <c r="G80" t="s">
        <v>51</v>
      </c>
      <c r="H80" t="s">
        <v>130</v>
      </c>
      <c r="I80" t="s">
        <v>131</v>
      </c>
      <c r="J80" t="s">
        <v>54</v>
      </c>
      <c r="K80" t="s">
        <v>55</v>
      </c>
      <c r="L80" t="s">
        <v>507</v>
      </c>
      <c r="M80" t="s">
        <v>65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43</v>
      </c>
      <c r="U80" t="s">
        <v>44</v>
      </c>
      <c r="W80" t="s">
        <v>503</v>
      </c>
      <c r="X80" t="str">
        <v>invalid date</v>
      </c>
      <c r="Y80" t="str">
        <v>21-07-25</v>
      </c>
      <c r="Z80" t="s">
        <v>506</v>
      </c>
      <c r="AA80" t="str">
        <v>Sneha Kapoor</v>
      </c>
      <c r="AB80" t="str">
        <f>TRIM(PROPER(F:F))</f>
        <v>Corporate</v>
      </c>
      <c r="AC80" t="str">
        <f>TRIM(PROPER(G:G))</f>
        <v>East</v>
      </c>
      <c r="AD80" t="str">
        <f>TRIM(PROPER(H:H))</f>
        <v>West Bengal</v>
      </c>
      <c r="AE80" t="str">
        <f>TRIM(PROPER(I:I))</f>
        <v>Kolkata</v>
      </c>
      <c r="AF80" t="str">
        <f>TRIM(PROPER(J:J))</f>
        <v>Furniture</v>
      </c>
      <c r="AG80" t="str">
        <f>TRIM(PROPER(K:K))</f>
        <v>Tables</v>
      </c>
      <c r="AH80" t="str">
        <f>TRIM(PROPER(L:L))</f>
        <v>Smart Tables 561</v>
      </c>
      <c r="AI80" t="str">
        <f>TRIM(PROPER(M:M))</f>
        <v>First Class</v>
      </c>
      <c r="AJ80" s="3" t="str">
        <f t="shared" si="1"/>
        <v>Invalid</v>
      </c>
      <c r="AK80" t="str">
        <f>IFERROR(Y80-X80, "invalid date")</f>
        <v>invalid date</v>
      </c>
      <c r="AL80" s="10">
        <v>0.15</v>
      </c>
      <c r="AM80" s="11">
        <v>9050.4175000000014</v>
      </c>
      <c r="AN80" s="11">
        <v>2271.567500000001</v>
      </c>
      <c r="AO80" s="10">
        <v>0.25099035486484472</v>
      </c>
      <c r="AP80" t="s">
        <v>4105</v>
      </c>
      <c r="AQ80" t="s">
        <v>4240</v>
      </c>
      <c r="AR80" t="s">
        <v>4105</v>
      </c>
      <c r="AS80" t="s">
        <v>4105</v>
      </c>
      <c r="AT80" t="s">
        <v>4108</v>
      </c>
      <c r="AU80" t="s">
        <v>4105</v>
      </c>
      <c r="AV80" t="s">
        <v>4109</v>
      </c>
    </row>
    <row r="81" spans="1:48">
      <c r="A81" t="s">
        <v>508</v>
      </c>
      <c r="B81" t="s">
        <v>509</v>
      </c>
      <c r="C81" t="s">
        <v>510</v>
      </c>
      <c r="D81" t="s">
        <v>511</v>
      </c>
      <c r="E81" t="s">
        <v>220</v>
      </c>
      <c r="F81" t="s">
        <v>124</v>
      </c>
      <c r="G81" t="s">
        <v>71</v>
      </c>
      <c r="H81" t="s">
        <v>350</v>
      </c>
      <c r="I81" t="s">
        <v>351</v>
      </c>
      <c r="J81" t="s">
        <v>54</v>
      </c>
      <c r="K81" t="s">
        <v>85</v>
      </c>
      <c r="L81" t="s">
        <v>512</v>
      </c>
      <c r="M81" t="s">
        <v>57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43</v>
      </c>
      <c r="U81" t="s">
        <v>44</v>
      </c>
      <c r="W81" t="s">
        <v>508</v>
      </c>
      <c r="X81" t="str">
        <v>27-09-25</v>
      </c>
      <c r="Y81" t="str">
        <v>03-10-25</v>
      </c>
      <c r="Z81" t="s">
        <v>511</v>
      </c>
      <c r="AA81" t="str">
        <v>Diya Patel</v>
      </c>
      <c r="AB81" t="str">
        <f>TRIM(PROPER(F:F))</f>
        <v>Home Office</v>
      </c>
      <c r="AC81" t="str">
        <f>TRIM(PROPER(G:G))</f>
        <v>South</v>
      </c>
      <c r="AD81" t="str">
        <f>TRIM(PROPER(H:H))</f>
        <v>Tamil Nadu</v>
      </c>
      <c r="AE81" t="str">
        <f>TRIM(PROPER(I:I))</f>
        <v>Chennai</v>
      </c>
      <c r="AF81" t="str">
        <f>TRIM(PROPER(J:J))</f>
        <v>Furniture</v>
      </c>
      <c r="AG81" t="str">
        <f>TRIM(PROPER(K:K))</f>
        <v>Chairs</v>
      </c>
      <c r="AH81" t="str">
        <f>TRIM(PROPER(L:L))</f>
        <v>Prime Chairs 838</v>
      </c>
      <c r="AI81" t="str">
        <f>TRIM(PROPER(M:M))</f>
        <v>Same Day</v>
      </c>
      <c r="AJ81" s="3" t="str">
        <f t="shared" si="1"/>
        <v xml:space="preserve">  </v>
      </c>
      <c r="AK81">
        <f>IFERROR(Y81-X81, "invalid date")</f>
        <v>6</v>
      </c>
      <c r="AL81" s="10">
        <v>0.1</v>
      </c>
      <c r="AM81" s="11">
        <v>33465.312000000005</v>
      </c>
      <c r="AN81" s="11">
        <v>8684.052000000007</v>
      </c>
      <c r="AO81" s="10">
        <v>0.25949412932411942</v>
      </c>
      <c r="AP81" t="s">
        <v>4241</v>
      </c>
      <c r="AQ81" t="s">
        <v>4242</v>
      </c>
      <c r="AR81" t="s">
        <v>4134</v>
      </c>
      <c r="AS81" t="s">
        <v>4120</v>
      </c>
      <c r="AT81" t="s">
        <v>4121</v>
      </c>
      <c r="AU81">
        <v>6</v>
      </c>
      <c r="AV81" t="s">
        <v>4109</v>
      </c>
    </row>
    <row r="82" spans="1:48">
      <c r="A82" t="s">
        <v>513</v>
      </c>
      <c r="B82" t="s">
        <v>514</v>
      </c>
      <c r="C82" t="s">
        <v>515</v>
      </c>
      <c r="D82" t="s">
        <v>516</v>
      </c>
      <c r="E82" t="s">
        <v>171</v>
      </c>
      <c r="F82" t="s">
        <v>50</v>
      </c>
      <c r="G82" t="s">
        <v>36</v>
      </c>
      <c r="H82" t="s">
        <v>517</v>
      </c>
      <c r="I82" t="s">
        <v>518</v>
      </c>
      <c r="J82" t="s">
        <v>39</v>
      </c>
      <c r="K82" t="s">
        <v>165</v>
      </c>
      <c r="L82" t="s">
        <v>519</v>
      </c>
      <c r="M82" t="s">
        <v>42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146</v>
      </c>
      <c r="U82" t="s">
        <v>134</v>
      </c>
      <c r="W82" t="s">
        <v>513</v>
      </c>
      <c r="X82" t="str">
        <v>10-08-24</v>
      </c>
      <c r="Y82" t="str">
        <v>14-08-24</v>
      </c>
      <c r="Z82" t="s">
        <v>516</v>
      </c>
      <c r="AA82" t="str">
        <v>Aarav Sharma</v>
      </c>
      <c r="AB82" t="str">
        <f>TRIM(PROPER(F:F))</f>
        <v>Small Business</v>
      </c>
      <c r="AC82" t="str">
        <f>TRIM(PROPER(G:G))</f>
        <v>North</v>
      </c>
      <c r="AD82" t="str">
        <f>TRIM(PROPER(H:H))</f>
        <v>Delhi</v>
      </c>
      <c r="AE82" t="str">
        <f>TRIM(PROPER(I:I))</f>
        <v>New Delhi</v>
      </c>
      <c r="AF82" t="str">
        <f>TRIM(PROPER(J:J))</f>
        <v>Office Supplies</v>
      </c>
      <c r="AG82" t="str">
        <f>TRIM(PROPER(K:K))</f>
        <v>Storage</v>
      </c>
      <c r="AH82" t="str">
        <f>TRIM(PROPER(L:L))</f>
        <v>Elite Storage 371</v>
      </c>
      <c r="AI82" t="str">
        <f>TRIM(PROPER(M:M))</f>
        <v>Second Class</v>
      </c>
      <c r="AJ82" s="3" t="str">
        <f t="shared" si="1"/>
        <v>anomaly</v>
      </c>
      <c r="AK82">
        <f>IFERROR(Y82-X82, "invalid date")</f>
        <v>4</v>
      </c>
      <c r="AL82" s="10">
        <v>0.1</v>
      </c>
      <c r="AM82" s="11">
        <v>4256.3519999999999</v>
      </c>
      <c r="AN82" s="11">
        <v>1761.0219999999999</v>
      </c>
      <c r="AO82" s="10">
        <v>0.41373974708858663</v>
      </c>
      <c r="AP82" t="s">
        <v>4243</v>
      </c>
      <c r="AQ82" t="s">
        <v>4244</v>
      </c>
      <c r="AR82" t="s">
        <v>4114</v>
      </c>
      <c r="AS82" t="s">
        <v>4107</v>
      </c>
      <c r="AT82" t="s">
        <v>4115</v>
      </c>
      <c r="AU82">
        <v>4</v>
      </c>
      <c r="AV82" t="s">
        <v>4109</v>
      </c>
    </row>
    <row r="83" spans="1:48">
      <c r="A83" t="s">
        <v>520</v>
      </c>
      <c r="B83" t="s">
        <v>521</v>
      </c>
      <c r="C83" t="s">
        <v>522</v>
      </c>
      <c r="D83" t="s">
        <v>523</v>
      </c>
      <c r="E83" t="s">
        <v>34</v>
      </c>
      <c r="F83" t="s">
        <v>124</v>
      </c>
      <c r="G83" t="s">
        <v>82</v>
      </c>
      <c r="H83" t="s">
        <v>259</v>
      </c>
      <c r="I83" t="s">
        <v>260</v>
      </c>
      <c r="J83" t="s">
        <v>39</v>
      </c>
      <c r="K83" t="s">
        <v>118</v>
      </c>
      <c r="L83" t="s">
        <v>524</v>
      </c>
      <c r="M83" t="s">
        <v>57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43</v>
      </c>
      <c r="U83" t="s">
        <v>44</v>
      </c>
      <c r="W83" t="s">
        <v>520</v>
      </c>
      <c r="X83" t="str">
        <v>16-03-25</v>
      </c>
      <c r="Y83" t="str">
        <v>17-03-25</v>
      </c>
      <c r="Z83" t="s">
        <v>523</v>
      </c>
      <c r="AA83" t="str">
        <v>Karan Malhotra</v>
      </c>
      <c r="AB83" t="str">
        <f>TRIM(PROPER(F:F))</f>
        <v>Home Office</v>
      </c>
      <c r="AC83" t="str">
        <f>TRIM(PROPER(G:G))</f>
        <v>West</v>
      </c>
      <c r="AD83" t="str">
        <f>TRIM(PROPER(H:H))</f>
        <v>Goa</v>
      </c>
      <c r="AE83" t="str">
        <f>TRIM(PROPER(I:I))</f>
        <v>Panaji</v>
      </c>
      <c r="AF83" t="str">
        <f>TRIM(PROPER(J:J))</f>
        <v>Office Supplies</v>
      </c>
      <c r="AG83" t="str">
        <f>TRIM(PROPER(K:K))</f>
        <v>Labels</v>
      </c>
      <c r="AH83" t="str">
        <f>TRIM(PROPER(L:L))</f>
        <v>Eco Labels 662</v>
      </c>
      <c r="AI83" t="str">
        <f>TRIM(PROPER(M:M))</f>
        <v>Same Day</v>
      </c>
      <c r="AJ83" s="3" t="str">
        <f t="shared" si="1"/>
        <v>anomaly</v>
      </c>
      <c r="AK83">
        <f>IFERROR(Y83-X83, "invalid date")</f>
        <v>1</v>
      </c>
      <c r="AL83" s="10">
        <v>0</v>
      </c>
      <c r="AM83" s="11">
        <v>5525.7300000000005</v>
      </c>
      <c r="AN83" s="11">
        <v>2432.3100000000004</v>
      </c>
      <c r="AO83" s="10">
        <v>0.44017894468242208</v>
      </c>
      <c r="AP83" t="s">
        <v>4245</v>
      </c>
      <c r="AQ83" t="s">
        <v>4246</v>
      </c>
      <c r="AR83" t="s">
        <v>4159</v>
      </c>
      <c r="AS83" t="s">
        <v>4120</v>
      </c>
      <c r="AT83" t="s">
        <v>4115</v>
      </c>
      <c r="AU83">
        <v>1</v>
      </c>
      <c r="AV83" t="s">
        <v>4109</v>
      </c>
    </row>
    <row r="84" spans="1:48">
      <c r="A84" t="s">
        <v>525</v>
      </c>
      <c r="B84" t="s">
        <v>526</v>
      </c>
      <c r="C84" t="s">
        <v>527</v>
      </c>
      <c r="D84" t="s">
        <v>528</v>
      </c>
      <c r="E84" t="s">
        <v>70</v>
      </c>
      <c r="F84" t="s">
        <v>35</v>
      </c>
      <c r="G84" t="s">
        <v>36</v>
      </c>
      <c r="H84" t="s">
        <v>183</v>
      </c>
      <c r="I84" t="s">
        <v>184</v>
      </c>
      <c r="J84" t="s">
        <v>95</v>
      </c>
      <c r="K84" t="s">
        <v>103</v>
      </c>
      <c r="L84" t="s">
        <v>529</v>
      </c>
      <c r="M84" t="s">
        <v>42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210</v>
      </c>
      <c r="U84" t="s">
        <v>134</v>
      </c>
      <c r="W84" t="s">
        <v>525</v>
      </c>
      <c r="X84" t="str">
        <v>03-08-24</v>
      </c>
      <c r="Y84" t="str">
        <v>04-08-24</v>
      </c>
      <c r="Z84" t="s">
        <v>528</v>
      </c>
      <c r="AA84" t="str">
        <v>Arjun Bose</v>
      </c>
      <c r="AB84" t="str">
        <f>TRIM(PROPER(F:F))</f>
        <v>Consumer</v>
      </c>
      <c r="AC84" t="str">
        <f>TRIM(PROPER(G:G))</f>
        <v>North</v>
      </c>
      <c r="AD84" t="str">
        <f>TRIM(PROPER(H:H))</f>
        <v>Uttar Pradesh</v>
      </c>
      <c r="AE84" t="str">
        <f>TRIM(PROPER(I:I))</f>
        <v>Noida</v>
      </c>
      <c r="AF84" t="str">
        <f>TRIM(PROPER(J:J))</f>
        <v>Technology</v>
      </c>
      <c r="AG84" t="str">
        <f>TRIM(PROPER(K:K))</f>
        <v>Copiers</v>
      </c>
      <c r="AH84" t="str">
        <f>TRIM(PROPER(L:L))</f>
        <v>Smart Copiers 702</v>
      </c>
      <c r="AI84" t="str">
        <f>TRIM(PROPER(M:M))</f>
        <v>Second Class</v>
      </c>
      <c r="AJ84" s="3" t="str">
        <f t="shared" si="1"/>
        <v>anomaly</v>
      </c>
      <c r="AK84">
        <f>IFERROR(Y84-X84, "invalid date")</f>
        <v>1</v>
      </c>
      <c r="AL84" s="10">
        <v>0</v>
      </c>
      <c r="AM84" s="11">
        <v>6010.38</v>
      </c>
      <c r="AN84" s="11">
        <v>2247.5300000000002</v>
      </c>
      <c r="AO84" s="10">
        <v>0.37394141468592673</v>
      </c>
      <c r="AP84" t="s">
        <v>4247</v>
      </c>
      <c r="AQ84" t="s">
        <v>4248</v>
      </c>
      <c r="AR84" t="s">
        <v>4114</v>
      </c>
      <c r="AS84" t="s">
        <v>4107</v>
      </c>
      <c r="AT84" t="s">
        <v>4115</v>
      </c>
      <c r="AU84">
        <v>1</v>
      </c>
      <c r="AV84" t="s">
        <v>4109</v>
      </c>
    </row>
    <row r="85" spans="1:48">
      <c r="A85" t="s">
        <v>530</v>
      </c>
      <c r="B85" t="s">
        <v>374</v>
      </c>
      <c r="C85" t="s">
        <v>531</v>
      </c>
      <c r="D85" t="s">
        <v>532</v>
      </c>
      <c r="E85" t="s">
        <v>116</v>
      </c>
      <c r="F85" t="s">
        <v>124</v>
      </c>
      <c r="G85" t="s">
        <v>82</v>
      </c>
      <c r="H85" t="s">
        <v>83</v>
      </c>
      <c r="I85" t="s">
        <v>84</v>
      </c>
      <c r="J85" t="s">
        <v>54</v>
      </c>
      <c r="K85" t="s">
        <v>55</v>
      </c>
      <c r="L85" t="s">
        <v>533</v>
      </c>
      <c r="M85" t="s">
        <v>42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43</v>
      </c>
      <c r="U85" t="s">
        <v>44</v>
      </c>
      <c r="W85" t="s">
        <v>530</v>
      </c>
      <c r="X85" t="str">
        <v>26-10-24</v>
      </c>
      <c r="Y85" t="str">
        <v>29-10-24</v>
      </c>
      <c r="Z85" t="s">
        <v>532</v>
      </c>
      <c r="AA85" t="str">
        <v>Aditi Sen</v>
      </c>
      <c r="AB85" t="str">
        <f>TRIM(PROPER(F:F))</f>
        <v>Home Office</v>
      </c>
      <c r="AC85" t="str">
        <f>TRIM(PROPER(G:G))</f>
        <v>West</v>
      </c>
      <c r="AD85" t="str">
        <f>TRIM(PROPER(H:H))</f>
        <v>Maharashtra</v>
      </c>
      <c r="AE85" t="str">
        <f>TRIM(PROPER(I:I))</f>
        <v>Mumbai</v>
      </c>
      <c r="AF85" t="str">
        <f>TRIM(PROPER(J:J))</f>
        <v>Furniture</v>
      </c>
      <c r="AG85" t="str">
        <f>TRIM(PROPER(K:K))</f>
        <v>Tables</v>
      </c>
      <c r="AH85" t="str">
        <f>TRIM(PROPER(L:L))</f>
        <v>Elite Tables 362</v>
      </c>
      <c r="AI85" t="str">
        <f>TRIM(PROPER(M:M))</f>
        <v>Second Class</v>
      </c>
      <c r="AJ85" s="3" t="str">
        <f t="shared" si="1"/>
        <v>anomaly</v>
      </c>
      <c r="AK85">
        <f>IFERROR(Y85-X85, "invalid date")</f>
        <v>3</v>
      </c>
      <c r="AL85" s="10">
        <v>0.2</v>
      </c>
      <c r="AM85" s="11">
        <v>948.52800000000013</v>
      </c>
      <c r="AN85" s="11">
        <v>273.90800000000013</v>
      </c>
      <c r="AO85" s="10">
        <v>0.28877165460587362</v>
      </c>
      <c r="AP85" t="s">
        <v>4204</v>
      </c>
      <c r="AQ85" t="s">
        <v>4249</v>
      </c>
      <c r="AR85" t="s">
        <v>4126</v>
      </c>
      <c r="AS85" t="s">
        <v>4107</v>
      </c>
      <c r="AT85" t="s">
        <v>4115</v>
      </c>
      <c r="AU85">
        <v>3</v>
      </c>
      <c r="AV85" t="s">
        <v>4109</v>
      </c>
    </row>
    <row r="86" spans="1:48">
      <c r="A86" t="s">
        <v>534</v>
      </c>
      <c r="B86" t="s">
        <v>535</v>
      </c>
      <c r="C86" t="s">
        <v>536</v>
      </c>
      <c r="D86" t="s">
        <v>537</v>
      </c>
      <c r="E86" t="s">
        <v>189</v>
      </c>
      <c r="F86" t="s">
        <v>117</v>
      </c>
      <c r="G86" t="s">
        <v>71</v>
      </c>
      <c r="H86" t="s">
        <v>350</v>
      </c>
      <c r="I86" t="s">
        <v>351</v>
      </c>
      <c r="J86" t="s">
        <v>95</v>
      </c>
      <c r="K86" t="s">
        <v>233</v>
      </c>
      <c r="L86" t="s">
        <v>538</v>
      </c>
      <c r="M86" t="s">
        <v>42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43</v>
      </c>
      <c r="U86" t="s">
        <v>44</v>
      </c>
      <c r="W86" t="s">
        <v>534</v>
      </c>
      <c r="X86" t="str">
        <v>01-10-24</v>
      </c>
      <c r="Y86" t="str">
        <v>03-10-24</v>
      </c>
      <c r="Z86" t="s">
        <v>537</v>
      </c>
      <c r="AA86" t="str">
        <v>Rohan Mehta</v>
      </c>
      <c r="AB86" t="str">
        <f>TRIM(PROPER(F:F))</f>
        <v>Corporate</v>
      </c>
      <c r="AC86" t="str">
        <f>TRIM(PROPER(G:G))</f>
        <v>South</v>
      </c>
      <c r="AD86" t="str">
        <f>TRIM(PROPER(H:H))</f>
        <v>Tamil Nadu</v>
      </c>
      <c r="AE86" t="str">
        <f>TRIM(PROPER(I:I))</f>
        <v>Chennai</v>
      </c>
      <c r="AF86" t="str">
        <f>TRIM(PROPER(J:J))</f>
        <v>Technology</v>
      </c>
      <c r="AG86" t="str">
        <f>TRIM(PROPER(K:K))</f>
        <v>Phones</v>
      </c>
      <c r="AH86" t="str">
        <f>TRIM(PROPER(L:L))</f>
        <v>Elite Phones 781</v>
      </c>
      <c r="AI86" t="str">
        <f>TRIM(PROPER(M:M))</f>
        <v>Second Class</v>
      </c>
      <c r="AJ86" s="3" t="str">
        <f t="shared" si="1"/>
        <v>anomaly</v>
      </c>
      <c r="AK86">
        <f>IFERROR(Y86-X86, "invalid date")</f>
        <v>2</v>
      </c>
      <c r="AL86" s="10">
        <v>0.2</v>
      </c>
      <c r="AM86" s="11">
        <v>2737.3440000000001</v>
      </c>
      <c r="AN86" s="11">
        <v>651.904</v>
      </c>
      <c r="AO86" s="10">
        <v>0.23815201889130486</v>
      </c>
      <c r="AP86" t="s">
        <v>4250</v>
      </c>
      <c r="AQ86" t="s">
        <v>4251</v>
      </c>
      <c r="AR86" t="s">
        <v>4126</v>
      </c>
      <c r="AS86" t="s">
        <v>4107</v>
      </c>
      <c r="AT86" t="s">
        <v>4115</v>
      </c>
      <c r="AU86">
        <v>2</v>
      </c>
      <c r="AV86" t="s">
        <v>4109</v>
      </c>
    </row>
    <row r="87" spans="1:48">
      <c r="A87" t="s">
        <v>539</v>
      </c>
      <c r="B87" t="s">
        <v>540</v>
      </c>
      <c r="C87" t="s">
        <v>541</v>
      </c>
      <c r="D87" t="s">
        <v>542</v>
      </c>
      <c r="E87" t="s">
        <v>377</v>
      </c>
      <c r="F87" t="s">
        <v>117</v>
      </c>
      <c r="G87" t="s">
        <v>36</v>
      </c>
      <c r="H87" t="s">
        <v>517</v>
      </c>
      <c r="I87" t="s">
        <v>518</v>
      </c>
      <c r="J87" t="s">
        <v>39</v>
      </c>
      <c r="K87" t="s">
        <v>208</v>
      </c>
      <c r="L87" t="s">
        <v>543</v>
      </c>
      <c r="M87" t="s">
        <v>76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43</v>
      </c>
      <c r="U87" t="s">
        <v>87</v>
      </c>
      <c r="W87" t="s">
        <v>539</v>
      </c>
      <c r="X87" t="str">
        <v>30-07-24</v>
      </c>
      <c r="Y87" t="str">
        <v>08-05-24</v>
      </c>
      <c r="Z87" t="s">
        <v>542</v>
      </c>
      <c r="AA87" t="str">
        <v>Kabir Singh</v>
      </c>
      <c r="AB87" t="str">
        <f>TRIM(PROPER(F:F))</f>
        <v>Corporate</v>
      </c>
      <c r="AC87" t="str">
        <f>TRIM(PROPER(G:G))</f>
        <v>North</v>
      </c>
      <c r="AD87" t="str">
        <f>TRIM(PROPER(H:H))</f>
        <v>Delhi</v>
      </c>
      <c r="AE87" t="str">
        <f>TRIM(PROPER(I:I))</f>
        <v>New Delhi</v>
      </c>
      <c r="AF87" t="str">
        <f>TRIM(PROPER(J:J))</f>
        <v>Office Supplies</v>
      </c>
      <c r="AG87" t="str">
        <f>TRIM(PROPER(K:K))</f>
        <v>Binders</v>
      </c>
      <c r="AH87" t="str">
        <f>TRIM(PROPER(L:L))</f>
        <v>Eco Binders 456</v>
      </c>
      <c r="AI87" t="str">
        <f>TRIM(PROPER(M:M))</f>
        <v>Standard Class</v>
      </c>
      <c r="AJ87" s="3" t="str">
        <f t="shared" si="1"/>
        <v xml:space="preserve">  </v>
      </c>
      <c r="AK87">
        <f>IFERROR(Y87-X87, "invalid date")</f>
        <v>-83</v>
      </c>
      <c r="AL87" s="10">
        <v>0</v>
      </c>
      <c r="AM87" s="11">
        <v>608.64</v>
      </c>
      <c r="AN87" s="11">
        <v>264.64999999999998</v>
      </c>
      <c r="AO87" s="10">
        <v>0.43482189800210302</v>
      </c>
      <c r="AP87" t="s">
        <v>4252</v>
      </c>
      <c r="AQ87" t="s">
        <v>4253</v>
      </c>
      <c r="AR87" t="s">
        <v>4106</v>
      </c>
      <c r="AS87" t="s">
        <v>4107</v>
      </c>
      <c r="AT87" t="s">
        <v>4121</v>
      </c>
      <c r="AU87">
        <v>-83</v>
      </c>
      <c r="AV87" t="s">
        <v>4109</v>
      </c>
    </row>
    <row r="88" spans="1:48">
      <c r="A88" t="s">
        <v>544</v>
      </c>
      <c r="B88" t="s">
        <v>545</v>
      </c>
      <c r="C88" t="s">
        <v>545</v>
      </c>
      <c r="D88" t="s">
        <v>546</v>
      </c>
      <c r="E88" t="s">
        <v>81</v>
      </c>
      <c r="F88" t="s">
        <v>50</v>
      </c>
      <c r="G88" t="s">
        <v>36</v>
      </c>
      <c r="H88" t="s">
        <v>517</v>
      </c>
      <c r="I88" t="s">
        <v>518</v>
      </c>
      <c r="J88" t="s">
        <v>95</v>
      </c>
      <c r="K88" t="s">
        <v>103</v>
      </c>
      <c r="L88" t="s">
        <v>547</v>
      </c>
      <c r="M88" t="s">
        <v>42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133</v>
      </c>
      <c r="U88" t="s">
        <v>87</v>
      </c>
      <c r="W88" t="s">
        <v>544</v>
      </c>
      <c r="X88" t="str">
        <v>01-07-24</v>
      </c>
      <c r="Y88" t="str">
        <v>01-07-24</v>
      </c>
      <c r="Z88" t="s">
        <v>546</v>
      </c>
      <c r="AA88" t="str">
        <v>Ananya Rao</v>
      </c>
      <c r="AB88" t="str">
        <f>TRIM(PROPER(F:F))</f>
        <v>Small Business</v>
      </c>
      <c r="AC88" t="str">
        <f>TRIM(PROPER(G:G))</f>
        <v>North</v>
      </c>
      <c r="AD88" t="str">
        <f>TRIM(PROPER(H:H))</f>
        <v>Delhi</v>
      </c>
      <c r="AE88" t="str">
        <f>TRIM(PROPER(I:I))</f>
        <v>New Delhi</v>
      </c>
      <c r="AF88" t="str">
        <f>TRIM(PROPER(J:J))</f>
        <v>Technology</v>
      </c>
      <c r="AG88" t="str">
        <f>TRIM(PROPER(K:K))</f>
        <v>Copiers</v>
      </c>
      <c r="AH88" t="str">
        <f>TRIM(PROPER(L:L))</f>
        <v>Basic Copiers 525</v>
      </c>
      <c r="AI88" t="str">
        <f>TRIM(PROPER(M:M))</f>
        <v>Second Class</v>
      </c>
      <c r="AJ88" s="3" t="str">
        <f t="shared" si="1"/>
        <v xml:space="preserve">  </v>
      </c>
      <c r="AK88">
        <f>IFERROR(Y88-X88, "invalid date")</f>
        <v>0</v>
      </c>
      <c r="AL88" s="10">
        <v>0.1</v>
      </c>
      <c r="AM88" s="11">
        <v>2390.2560000000003</v>
      </c>
      <c r="AN88" s="11">
        <v>894.31600000000026</v>
      </c>
      <c r="AO88" s="10">
        <v>0.37415071858411825</v>
      </c>
      <c r="AP88" t="s">
        <v>4147</v>
      </c>
      <c r="AQ88" t="s">
        <v>4147</v>
      </c>
      <c r="AR88" t="s">
        <v>4106</v>
      </c>
      <c r="AS88" t="s">
        <v>4107</v>
      </c>
      <c r="AT88" t="s">
        <v>4115</v>
      </c>
      <c r="AU88">
        <v>0</v>
      </c>
      <c r="AV88" t="s">
        <v>4109</v>
      </c>
    </row>
    <row r="89" spans="1:48">
      <c r="A89" t="s">
        <v>548</v>
      </c>
      <c r="B89" t="s">
        <v>549</v>
      </c>
      <c r="C89" t="s">
        <v>526</v>
      </c>
      <c r="D89" t="s">
        <v>550</v>
      </c>
      <c r="E89" t="s">
        <v>92</v>
      </c>
      <c r="F89" t="s">
        <v>35</v>
      </c>
      <c r="G89" t="s">
        <v>51</v>
      </c>
      <c r="H89" t="s">
        <v>226</v>
      </c>
      <c r="I89" t="s">
        <v>227</v>
      </c>
      <c r="J89" t="s">
        <v>39</v>
      </c>
      <c r="K89" t="s">
        <v>208</v>
      </c>
      <c r="L89" t="s">
        <v>551</v>
      </c>
      <c r="M89" t="s">
        <v>76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43</v>
      </c>
      <c r="U89" t="s">
        <v>44</v>
      </c>
      <c r="W89" t="s">
        <v>548</v>
      </c>
      <c r="X89" t="str">
        <v>02-08-24</v>
      </c>
      <c r="Y89" t="str">
        <v>03-08-24</v>
      </c>
      <c r="Z89" t="s">
        <v>550</v>
      </c>
      <c r="AA89" t="str">
        <v>Vikram Iyer</v>
      </c>
      <c r="AB89" t="str">
        <f>TRIM(PROPER(F:F))</f>
        <v>Consumer</v>
      </c>
      <c r="AC89" t="str">
        <f>TRIM(PROPER(G:G))</f>
        <v>East</v>
      </c>
      <c r="AD89" t="str">
        <f>TRIM(PROPER(H:H))</f>
        <v>Assam</v>
      </c>
      <c r="AE89" t="str">
        <f>TRIM(PROPER(I:I))</f>
        <v>Guwahati</v>
      </c>
      <c r="AF89" t="str">
        <f>TRIM(PROPER(J:J))</f>
        <v>Office Supplies</v>
      </c>
      <c r="AG89" t="str">
        <f>TRIM(PROPER(K:K))</f>
        <v>Binders</v>
      </c>
      <c r="AH89" t="str">
        <f>TRIM(PROPER(L:L))</f>
        <v>Eco Binders 258</v>
      </c>
      <c r="AI89" t="str">
        <f>TRIM(PROPER(M:M))</f>
        <v>Standard Class</v>
      </c>
      <c r="AJ89" s="3" t="str">
        <f t="shared" si="1"/>
        <v>anomaly</v>
      </c>
      <c r="AK89">
        <f>IFERROR(Y89-X89, "invalid date")</f>
        <v>1</v>
      </c>
      <c r="AL89" s="10">
        <v>0</v>
      </c>
      <c r="AM89" s="11">
        <v>23416.539999999997</v>
      </c>
      <c r="AN89" s="11">
        <v>7925.6499999999978</v>
      </c>
      <c r="AO89" s="10">
        <v>0.33846375254414185</v>
      </c>
      <c r="AP89" t="s">
        <v>4254</v>
      </c>
      <c r="AQ89" t="s">
        <v>4247</v>
      </c>
      <c r="AR89" t="s">
        <v>4114</v>
      </c>
      <c r="AS89" t="s">
        <v>4107</v>
      </c>
      <c r="AT89" t="s">
        <v>4115</v>
      </c>
      <c r="AU89">
        <v>1</v>
      </c>
      <c r="AV89" t="s">
        <v>4109</v>
      </c>
    </row>
    <row r="90" spans="1:48">
      <c r="A90" t="s">
        <v>552</v>
      </c>
      <c r="B90" t="s">
        <v>553</v>
      </c>
      <c r="C90" t="s">
        <v>554</v>
      </c>
      <c r="D90" t="s">
        <v>555</v>
      </c>
      <c r="E90" t="s">
        <v>189</v>
      </c>
      <c r="F90" t="s">
        <v>50</v>
      </c>
      <c r="G90" t="s">
        <v>82</v>
      </c>
      <c r="H90" t="s">
        <v>83</v>
      </c>
      <c r="I90" t="s">
        <v>84</v>
      </c>
      <c r="J90" t="s">
        <v>54</v>
      </c>
      <c r="K90" t="s">
        <v>214</v>
      </c>
      <c r="L90" t="s">
        <v>556</v>
      </c>
      <c r="M90" t="s">
        <v>76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43</v>
      </c>
      <c r="U90" t="s">
        <v>44</v>
      </c>
      <c r="W90" t="s">
        <v>552</v>
      </c>
      <c r="X90" t="str">
        <v>invalid date</v>
      </c>
      <c r="Y90" t="str">
        <v>27-03-24</v>
      </c>
      <c r="Z90" t="s">
        <v>555</v>
      </c>
      <c r="AA90" t="str">
        <v>Rohan Mehta</v>
      </c>
      <c r="AB90" t="str">
        <f>TRIM(PROPER(F:F))</f>
        <v>Small Business</v>
      </c>
      <c r="AC90" t="str">
        <f>TRIM(PROPER(G:G))</f>
        <v>West</v>
      </c>
      <c r="AD90" t="str">
        <f>TRIM(PROPER(H:H))</f>
        <v>Maharashtra</v>
      </c>
      <c r="AE90" t="str">
        <f>TRIM(PROPER(I:I))</f>
        <v>Mumbai</v>
      </c>
      <c r="AF90" t="str">
        <f>TRIM(PROPER(J:J))</f>
        <v>Furniture</v>
      </c>
      <c r="AG90" t="str">
        <f>TRIM(PROPER(K:K))</f>
        <v>Bookcases</v>
      </c>
      <c r="AH90" t="str">
        <f>TRIM(PROPER(L:L))</f>
        <v>Max Bookcases 398</v>
      </c>
      <c r="AI90" t="str">
        <f>TRIM(PROPER(M:M))</f>
        <v>Standard Class</v>
      </c>
      <c r="AJ90" s="3" t="str">
        <f t="shared" si="1"/>
        <v>Invalid</v>
      </c>
      <c r="AK90" t="str">
        <f>IFERROR(Y90-X90, "invalid date")</f>
        <v>invalid date</v>
      </c>
      <c r="AL90" s="10">
        <v>0.05</v>
      </c>
      <c r="AM90" s="11">
        <v>6241.0249999999996</v>
      </c>
      <c r="AN90" s="11">
        <v>895.14499999999953</v>
      </c>
      <c r="AO90" s="10">
        <v>0.14342916427990587</v>
      </c>
      <c r="AP90" t="s">
        <v>4105</v>
      </c>
      <c r="AQ90" t="s">
        <v>4255</v>
      </c>
      <c r="AR90" t="s">
        <v>4105</v>
      </c>
      <c r="AS90" t="s">
        <v>4105</v>
      </c>
      <c r="AT90" t="s">
        <v>4108</v>
      </c>
      <c r="AU90" t="s">
        <v>4105</v>
      </c>
      <c r="AV90" t="s">
        <v>4109</v>
      </c>
    </row>
    <row r="91" spans="1:48">
      <c r="A91" t="s">
        <v>557</v>
      </c>
      <c r="B91" t="s">
        <v>47</v>
      </c>
      <c r="C91" t="s">
        <v>47</v>
      </c>
      <c r="D91" t="s">
        <v>558</v>
      </c>
      <c r="E91" t="s">
        <v>377</v>
      </c>
      <c r="F91" t="s">
        <v>35</v>
      </c>
      <c r="G91" t="s">
        <v>71</v>
      </c>
      <c r="H91" t="s">
        <v>109</v>
      </c>
      <c r="I91" t="s">
        <v>110</v>
      </c>
      <c r="J91" t="s">
        <v>54</v>
      </c>
      <c r="K91" t="s">
        <v>214</v>
      </c>
      <c r="L91" t="s">
        <v>559</v>
      </c>
      <c r="M91" t="s">
        <v>76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146</v>
      </c>
      <c r="U91" t="s">
        <v>87</v>
      </c>
      <c r="W91" t="s">
        <v>557</v>
      </c>
      <c r="X91" t="str">
        <v>05-09-24</v>
      </c>
      <c r="Y91" t="str">
        <v>05-09-24</v>
      </c>
      <c r="Z91" t="s">
        <v>558</v>
      </c>
      <c r="AA91" t="str">
        <v>Kabir Singh</v>
      </c>
      <c r="AB91" t="str">
        <f>TRIM(PROPER(F:F))</f>
        <v>Consumer</v>
      </c>
      <c r="AC91" t="str">
        <f>TRIM(PROPER(G:G))</f>
        <v>South</v>
      </c>
      <c r="AD91" t="str">
        <f>TRIM(PROPER(H:H))</f>
        <v>Andhra Pradesh</v>
      </c>
      <c r="AE91" t="str">
        <f>TRIM(PROPER(I:I))</f>
        <v>Vijayawada</v>
      </c>
      <c r="AF91" t="str">
        <f>TRIM(PROPER(J:J))</f>
        <v>Furniture</v>
      </c>
      <c r="AG91" t="str">
        <f>TRIM(PROPER(K:K))</f>
        <v>Bookcases</v>
      </c>
      <c r="AH91" t="str">
        <f>TRIM(PROPER(L:L))</f>
        <v>Smart Bookcases 857</v>
      </c>
      <c r="AI91" t="str">
        <f>TRIM(PROPER(M:M))</f>
        <v>Standard Class</v>
      </c>
      <c r="AJ91" s="3" t="str">
        <f t="shared" si="1"/>
        <v xml:space="preserve">  </v>
      </c>
      <c r="AK91">
        <f>IFERROR(Y91-X91, "invalid date")</f>
        <v>0</v>
      </c>
      <c r="AL91" s="10">
        <v>0.2</v>
      </c>
      <c r="AM91" s="11">
        <v>21062.104000000003</v>
      </c>
      <c r="AN91" s="11">
        <v>9004.9740000000038</v>
      </c>
      <c r="AO91" s="10">
        <v>0.42754389589947911</v>
      </c>
      <c r="AP91" t="s">
        <v>4110</v>
      </c>
      <c r="AQ91" t="s">
        <v>4110</v>
      </c>
      <c r="AR91" t="s">
        <v>4134</v>
      </c>
      <c r="AS91" t="s">
        <v>4107</v>
      </c>
      <c r="AT91" t="s">
        <v>4115</v>
      </c>
      <c r="AU91">
        <v>0</v>
      </c>
      <c r="AV91" t="s">
        <v>4109</v>
      </c>
    </row>
    <row r="92" spans="1:48">
      <c r="A92" t="s">
        <v>560</v>
      </c>
      <c r="B92" t="s">
        <v>561</v>
      </c>
      <c r="C92" t="s">
        <v>78</v>
      </c>
      <c r="D92" t="s">
        <v>562</v>
      </c>
      <c r="E92" t="s">
        <v>171</v>
      </c>
      <c r="F92" t="s">
        <v>50</v>
      </c>
      <c r="G92" t="s">
        <v>51</v>
      </c>
      <c r="H92" t="s">
        <v>196</v>
      </c>
      <c r="I92" t="s">
        <v>197</v>
      </c>
      <c r="J92" t="s">
        <v>95</v>
      </c>
      <c r="K92" t="s">
        <v>103</v>
      </c>
      <c r="L92" t="s">
        <v>563</v>
      </c>
      <c r="M92" t="s">
        <v>65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43</v>
      </c>
      <c r="U92" t="s">
        <v>44</v>
      </c>
      <c r="W92" t="s">
        <v>560</v>
      </c>
      <c r="X92" t="str">
        <v>invalid date</v>
      </c>
      <c r="Y92" t="str">
        <v>29-08-25</v>
      </c>
      <c r="Z92" t="s">
        <v>562</v>
      </c>
      <c r="AA92" t="str">
        <v>Aarav Sharma</v>
      </c>
      <c r="AB92" t="str">
        <f>TRIM(PROPER(F:F))</f>
        <v>Small Business</v>
      </c>
      <c r="AC92" t="str">
        <f>TRIM(PROPER(G:G))</f>
        <v>East</v>
      </c>
      <c r="AD92" t="str">
        <f>TRIM(PROPER(H:H))</f>
        <v>Bihar</v>
      </c>
      <c r="AE92" t="str">
        <f>TRIM(PROPER(I:I))</f>
        <v>Patna</v>
      </c>
      <c r="AF92" t="str">
        <f>TRIM(PROPER(J:J))</f>
        <v>Technology</v>
      </c>
      <c r="AG92" t="str">
        <f>TRIM(PROPER(K:K))</f>
        <v>Copiers</v>
      </c>
      <c r="AH92" t="str">
        <f>TRIM(PROPER(L:L))</f>
        <v>Smart Copiers 556</v>
      </c>
      <c r="AI92" t="str">
        <f>TRIM(PROPER(M:M))</f>
        <v>First Class</v>
      </c>
      <c r="AJ92" s="3" t="str">
        <f t="shared" si="1"/>
        <v>Invalid</v>
      </c>
      <c r="AK92" t="str">
        <f>IFERROR(Y92-X92, "invalid date")</f>
        <v>invalid date</v>
      </c>
      <c r="AL92" s="10">
        <v>0.15</v>
      </c>
      <c r="AM92" s="11">
        <v>9445.098</v>
      </c>
      <c r="AN92" s="11">
        <v>3858.8180000000002</v>
      </c>
      <c r="AO92" s="10">
        <v>0.40855245758170006</v>
      </c>
      <c r="AP92" t="s">
        <v>4105</v>
      </c>
      <c r="AQ92" t="s">
        <v>4118</v>
      </c>
      <c r="AR92" t="s">
        <v>4105</v>
      </c>
      <c r="AS92" t="s">
        <v>4105</v>
      </c>
      <c r="AT92" t="s">
        <v>4108</v>
      </c>
      <c r="AU92" t="s">
        <v>4105</v>
      </c>
      <c r="AV92" t="s">
        <v>4109</v>
      </c>
    </row>
    <row r="93" spans="1:48">
      <c r="A93" t="s">
        <v>564</v>
      </c>
      <c r="B93" t="s">
        <v>565</v>
      </c>
      <c r="C93" t="s">
        <v>566</v>
      </c>
      <c r="D93" t="s">
        <v>567</v>
      </c>
      <c r="E93" t="s">
        <v>177</v>
      </c>
      <c r="F93" t="s">
        <v>117</v>
      </c>
      <c r="G93" t="s">
        <v>82</v>
      </c>
      <c r="H93" t="s">
        <v>93</v>
      </c>
      <c r="I93" t="s">
        <v>94</v>
      </c>
      <c r="J93" t="s">
        <v>95</v>
      </c>
      <c r="K93" t="s">
        <v>103</v>
      </c>
      <c r="L93" t="s">
        <v>568</v>
      </c>
      <c r="M93" t="s">
        <v>42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43</v>
      </c>
      <c r="U93" t="s">
        <v>44</v>
      </c>
      <c r="W93" t="s">
        <v>564</v>
      </c>
      <c r="X93" t="str">
        <v>02-03-25</v>
      </c>
      <c r="Y93" t="str">
        <v>03-08-25</v>
      </c>
      <c r="Z93" t="s">
        <v>567</v>
      </c>
      <c r="AA93" t="str">
        <v>Sneha Kapoor</v>
      </c>
      <c r="AB93" t="str">
        <f>TRIM(PROPER(F:F))</f>
        <v>Corporate</v>
      </c>
      <c r="AC93" t="str">
        <f>TRIM(PROPER(G:G))</f>
        <v>West</v>
      </c>
      <c r="AD93" t="str">
        <f>TRIM(PROPER(H:H))</f>
        <v>Madhya Pradesh</v>
      </c>
      <c r="AE93" t="str">
        <f>TRIM(PROPER(I:I))</f>
        <v>Indore</v>
      </c>
      <c r="AF93" t="str">
        <f>TRIM(PROPER(J:J))</f>
        <v>Technology</v>
      </c>
      <c r="AG93" t="str">
        <f>TRIM(PROPER(K:K))</f>
        <v>Copiers</v>
      </c>
      <c r="AH93" t="str">
        <f>TRIM(PROPER(L:L))</f>
        <v>Prime Copiers 575</v>
      </c>
      <c r="AI93" t="str">
        <f>TRIM(PROPER(M:M))</f>
        <v>Second Class</v>
      </c>
      <c r="AJ93" s="3" t="str">
        <f t="shared" si="1"/>
        <v>anomaly</v>
      </c>
      <c r="AK93">
        <f>IFERROR(Y93-X93, "invalid date")</f>
        <v>154</v>
      </c>
      <c r="AL93" s="10">
        <v>0</v>
      </c>
      <c r="AM93" s="11">
        <v>2427.12</v>
      </c>
      <c r="AN93" s="11">
        <v>888.77</v>
      </c>
      <c r="AO93" s="10">
        <v>0.36618296581957216</v>
      </c>
      <c r="AP93" t="s">
        <v>4256</v>
      </c>
      <c r="AQ93" t="s">
        <v>4257</v>
      </c>
      <c r="AR93" t="s">
        <v>4159</v>
      </c>
      <c r="AS93" t="s">
        <v>4120</v>
      </c>
      <c r="AT93" t="s">
        <v>4115</v>
      </c>
      <c r="AU93">
        <v>154</v>
      </c>
      <c r="AV93" t="s">
        <v>4109</v>
      </c>
    </row>
    <row r="94" spans="1:48">
      <c r="A94" t="s">
        <v>569</v>
      </c>
      <c r="B94" t="s">
        <v>194</v>
      </c>
      <c r="C94" t="s">
        <v>570</v>
      </c>
      <c r="D94" t="s">
        <v>571</v>
      </c>
      <c r="E94" t="s">
        <v>171</v>
      </c>
      <c r="F94" t="s">
        <v>35</v>
      </c>
      <c r="G94" t="s">
        <v>82</v>
      </c>
      <c r="H94" t="s">
        <v>93</v>
      </c>
      <c r="I94" t="s">
        <v>94</v>
      </c>
      <c r="J94" t="s">
        <v>39</v>
      </c>
      <c r="K94" t="s">
        <v>40</v>
      </c>
      <c r="L94" t="s">
        <v>572</v>
      </c>
      <c r="M94" t="s">
        <v>76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43</v>
      </c>
      <c r="U94" t="s">
        <v>44</v>
      </c>
      <c r="W94" t="s">
        <v>569</v>
      </c>
      <c r="X94" t="str">
        <v>23-01-25</v>
      </c>
      <c r="Y94" t="str">
        <v>invalid date</v>
      </c>
      <c r="Z94" t="s">
        <v>571</v>
      </c>
      <c r="AA94" t="str">
        <v>Aarav Sharma</v>
      </c>
      <c r="AB94" t="str">
        <f>TRIM(PROPER(F:F))</f>
        <v>Consumer</v>
      </c>
      <c r="AC94" t="str">
        <f>TRIM(PROPER(G:G))</f>
        <v>West</v>
      </c>
      <c r="AD94" t="str">
        <f>TRIM(PROPER(H:H))</f>
        <v>Madhya Pradesh</v>
      </c>
      <c r="AE94" t="str">
        <f>TRIM(PROPER(I:I))</f>
        <v>Indore</v>
      </c>
      <c r="AF94" t="str">
        <f>TRIM(PROPER(J:J))</f>
        <v>Office Supplies</v>
      </c>
      <c r="AG94" t="str">
        <f>TRIM(PROPER(K:K))</f>
        <v>Paper</v>
      </c>
      <c r="AH94" t="str">
        <f>TRIM(PROPER(L:L))</f>
        <v>Elite Paper 669</v>
      </c>
      <c r="AI94" t="str">
        <f>TRIM(PROPER(M:M))</f>
        <v>Standard Class</v>
      </c>
      <c r="AJ94" s="3" t="str">
        <f t="shared" si="1"/>
        <v>Invalid</v>
      </c>
      <c r="AK94" t="str">
        <f>IFERROR(Y94-X94, "invalid date")</f>
        <v>invalid date</v>
      </c>
      <c r="AL94" s="10">
        <v>0.1</v>
      </c>
      <c r="AM94" s="11">
        <v>36111.906000000003</v>
      </c>
      <c r="AN94" s="11">
        <v>6917.4060000000027</v>
      </c>
      <c r="AO94" s="10">
        <v>0.19155471882320479</v>
      </c>
      <c r="AP94" t="s">
        <v>4152</v>
      </c>
      <c r="AQ94" t="s">
        <v>4105</v>
      </c>
      <c r="AR94" t="s">
        <v>4153</v>
      </c>
      <c r="AS94" t="s">
        <v>4120</v>
      </c>
      <c r="AT94" t="s">
        <v>4108</v>
      </c>
      <c r="AU94" t="s">
        <v>4105</v>
      </c>
      <c r="AV94" t="s">
        <v>4109</v>
      </c>
    </row>
    <row r="95" spans="1:48">
      <c r="A95" t="s">
        <v>573</v>
      </c>
      <c r="B95" t="s">
        <v>174</v>
      </c>
      <c r="C95" t="s">
        <v>574</v>
      </c>
      <c r="D95" t="s">
        <v>575</v>
      </c>
      <c r="E95" t="s">
        <v>189</v>
      </c>
      <c r="F95" t="s">
        <v>117</v>
      </c>
      <c r="G95" t="s">
        <v>36</v>
      </c>
      <c r="H95" t="s">
        <v>183</v>
      </c>
      <c r="I95" t="s">
        <v>184</v>
      </c>
      <c r="J95" t="s">
        <v>39</v>
      </c>
      <c r="K95" t="s">
        <v>208</v>
      </c>
      <c r="L95" t="s">
        <v>576</v>
      </c>
      <c r="M95" t="s">
        <v>76</v>
      </c>
      <c r="N95">
        <v>7</v>
      </c>
      <c r="O95">
        <v>2788.97</v>
      </c>
      <c r="P95" s="4" t="s">
        <v>191</v>
      </c>
      <c r="Q95">
        <v>19522.79</v>
      </c>
      <c r="R95">
        <v>12455.78</v>
      </c>
      <c r="S95">
        <v>7067.01</v>
      </c>
      <c r="T95" t="s">
        <v>43</v>
      </c>
      <c r="U95" t="s">
        <v>44</v>
      </c>
      <c r="W95" t="s">
        <v>573</v>
      </c>
      <c r="X95" t="str">
        <v>01-07-24</v>
      </c>
      <c r="Y95" t="str">
        <v>13-01-24</v>
      </c>
      <c r="Z95" t="s">
        <v>575</v>
      </c>
      <c r="AA95" t="str">
        <v>Rohan Mehta</v>
      </c>
      <c r="AB95" t="str">
        <f>TRIM(PROPER(F:F))</f>
        <v>Corporate</v>
      </c>
      <c r="AC95" t="str">
        <f>TRIM(PROPER(G:G))</f>
        <v>North</v>
      </c>
      <c r="AD95" t="str">
        <f>TRIM(PROPER(H:H))</f>
        <v>Uttar Pradesh</v>
      </c>
      <c r="AE95" t="str">
        <f>TRIM(PROPER(I:I))</f>
        <v>Noida</v>
      </c>
      <c r="AF95" t="str">
        <f t="shared" ref="AF95:AI158" si="2">TRIM(PROPER(J:J))</f>
        <v>Office Supplies</v>
      </c>
      <c r="AG95" t="str">
        <f t="shared" si="2"/>
        <v>Binders</v>
      </c>
      <c r="AH95" t="str">
        <f t="shared" si="2"/>
        <v>Eco Binders 780</v>
      </c>
      <c r="AI95" t="str">
        <f t="shared" si="2"/>
        <v>Standard Class</v>
      </c>
      <c r="AJ95" s="3" t="str">
        <f t="shared" si="1"/>
        <v>anomaly</v>
      </c>
      <c r="AK95">
        <f>IFERROR(Y95-X95, "invalid date")</f>
        <v>-170</v>
      </c>
      <c r="AL95" s="10" t="s">
        <v>191</v>
      </c>
      <c r="AM95" s="11" t="s">
        <v>4111</v>
      </c>
      <c r="AN95" s="11" t="s">
        <v>4111</v>
      </c>
      <c r="AO95" s="10" t="s">
        <v>4111</v>
      </c>
      <c r="AP95" t="s">
        <v>4147</v>
      </c>
      <c r="AQ95" t="s">
        <v>4258</v>
      </c>
      <c r="AR95" t="s">
        <v>4106</v>
      </c>
      <c r="AS95" t="s">
        <v>4107</v>
      </c>
      <c r="AT95" t="s">
        <v>4115</v>
      </c>
      <c r="AU95">
        <v>-170</v>
      </c>
      <c r="AV95" t="s">
        <v>4109</v>
      </c>
    </row>
    <row r="96" spans="1:48">
      <c r="A96" t="s">
        <v>577</v>
      </c>
      <c r="B96" t="s">
        <v>578</v>
      </c>
      <c r="C96" t="s">
        <v>579</v>
      </c>
      <c r="D96" t="s">
        <v>580</v>
      </c>
      <c r="E96" t="s">
        <v>220</v>
      </c>
      <c r="F96" t="s">
        <v>35</v>
      </c>
      <c r="G96" t="s">
        <v>36</v>
      </c>
      <c r="H96" t="s">
        <v>334</v>
      </c>
      <c r="I96" t="s">
        <v>335</v>
      </c>
      <c r="J96" t="s">
        <v>95</v>
      </c>
      <c r="K96" t="s">
        <v>233</v>
      </c>
      <c r="L96" t="s">
        <v>581</v>
      </c>
      <c r="M96" t="s">
        <v>42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146</v>
      </c>
      <c r="U96" t="s">
        <v>87</v>
      </c>
      <c r="W96" t="s">
        <v>577</v>
      </c>
      <c r="X96" t="str">
        <v>09-06-24</v>
      </c>
      <c r="Y96" t="str">
        <v>09-09-24</v>
      </c>
      <c r="Z96" t="s">
        <v>580</v>
      </c>
      <c r="AA96" t="str">
        <v>Diya Patel</v>
      </c>
      <c r="AB96" t="str">
        <f>TRIM(PROPER(F:F))</f>
        <v>Consumer</v>
      </c>
      <c r="AC96" t="str">
        <f>TRIM(PROPER(G:G))</f>
        <v>North</v>
      </c>
      <c r="AD96" t="str">
        <f>TRIM(PROPER(H:H))</f>
        <v>Haryana</v>
      </c>
      <c r="AE96" t="str">
        <f>TRIM(PROPER(I:I))</f>
        <v>Gurugram</v>
      </c>
      <c r="AF96" t="str">
        <f t="shared" si="2"/>
        <v>Technology</v>
      </c>
      <c r="AG96" t="str">
        <f t="shared" si="2"/>
        <v>Phones</v>
      </c>
      <c r="AH96" t="str">
        <f t="shared" si="2"/>
        <v>Elite Phones 723</v>
      </c>
      <c r="AI96" t="str">
        <f t="shared" si="2"/>
        <v>Second Class</v>
      </c>
      <c r="AJ96" s="3" t="str">
        <f t="shared" si="1"/>
        <v>anomaly</v>
      </c>
      <c r="AK96">
        <f>IFERROR(Y96-X96, "invalid date")</f>
        <v>92</v>
      </c>
      <c r="AL96" s="10">
        <v>0</v>
      </c>
      <c r="AM96" s="11">
        <v>26470.710000000003</v>
      </c>
      <c r="AN96" s="11">
        <v>5103.1100000000042</v>
      </c>
      <c r="AO96" s="10">
        <v>0.19278326875251944</v>
      </c>
      <c r="AP96" t="s">
        <v>4259</v>
      </c>
      <c r="AQ96" t="s">
        <v>4260</v>
      </c>
      <c r="AR96" t="s">
        <v>4170</v>
      </c>
      <c r="AS96" t="s">
        <v>4107</v>
      </c>
      <c r="AT96" t="s">
        <v>4115</v>
      </c>
      <c r="AU96">
        <v>92</v>
      </c>
      <c r="AV96" t="s">
        <v>4109</v>
      </c>
    </row>
    <row r="97" spans="1:48">
      <c r="A97" t="s">
        <v>582</v>
      </c>
      <c r="B97" t="s">
        <v>583</v>
      </c>
      <c r="C97" t="s">
        <v>584</v>
      </c>
      <c r="D97" t="s">
        <v>585</v>
      </c>
      <c r="E97" t="s">
        <v>177</v>
      </c>
      <c r="F97" t="s">
        <v>117</v>
      </c>
      <c r="G97" t="s">
        <v>82</v>
      </c>
      <c r="H97" t="s">
        <v>259</v>
      </c>
      <c r="I97" t="s">
        <v>260</v>
      </c>
      <c r="J97" t="s">
        <v>54</v>
      </c>
      <c r="K97" t="s">
        <v>214</v>
      </c>
      <c r="L97" t="s">
        <v>586</v>
      </c>
      <c r="M97" t="s">
        <v>57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43</v>
      </c>
      <c r="U97" t="s">
        <v>44</v>
      </c>
      <c r="W97" t="s">
        <v>582</v>
      </c>
      <c r="X97" t="str">
        <v>05-09-25</v>
      </c>
      <c r="Y97" t="str">
        <v>09-10-25</v>
      </c>
      <c r="Z97" t="s">
        <v>585</v>
      </c>
      <c r="AA97" t="str">
        <v>Sneha Kapoor</v>
      </c>
      <c r="AB97" t="str">
        <f>TRIM(PROPER(F:F))</f>
        <v>Corporate</v>
      </c>
      <c r="AC97" t="str">
        <f>TRIM(PROPER(G:G))</f>
        <v>West</v>
      </c>
      <c r="AD97" t="str">
        <f>TRIM(PROPER(H:H))</f>
        <v>Goa</v>
      </c>
      <c r="AE97" t="str">
        <f>TRIM(PROPER(I:I))</f>
        <v>Panaji</v>
      </c>
      <c r="AF97" t="str">
        <f t="shared" si="2"/>
        <v>Furniture</v>
      </c>
      <c r="AG97" t="str">
        <f t="shared" si="2"/>
        <v>Bookcases</v>
      </c>
      <c r="AH97" t="str">
        <f t="shared" si="2"/>
        <v>Classic Bookcases 988</v>
      </c>
      <c r="AI97" t="str">
        <f t="shared" si="2"/>
        <v>Same Day</v>
      </c>
      <c r="AJ97" s="3" t="str">
        <f t="shared" si="1"/>
        <v>anomaly</v>
      </c>
      <c r="AK97">
        <f>IFERROR(Y97-X97, "invalid date")</f>
        <v>34</v>
      </c>
      <c r="AL97" s="10">
        <v>0</v>
      </c>
      <c r="AM97" s="11">
        <v>10524.78</v>
      </c>
      <c r="AN97" s="11">
        <v>1683.7300000000014</v>
      </c>
      <c r="AO97" s="10">
        <v>0.15997769074507984</v>
      </c>
      <c r="AP97" t="s">
        <v>4261</v>
      </c>
      <c r="AQ97" t="s">
        <v>4262</v>
      </c>
      <c r="AR97" t="s">
        <v>4134</v>
      </c>
      <c r="AS97" t="s">
        <v>4120</v>
      </c>
      <c r="AT97" t="s">
        <v>4115</v>
      </c>
      <c r="AU97">
        <v>34</v>
      </c>
      <c r="AV97" t="s">
        <v>4109</v>
      </c>
    </row>
    <row r="98" spans="1:48">
      <c r="A98" t="s">
        <v>587</v>
      </c>
      <c r="B98" t="s">
        <v>588</v>
      </c>
      <c r="C98" t="s">
        <v>589</v>
      </c>
      <c r="D98" t="s">
        <v>590</v>
      </c>
      <c r="E98" t="s">
        <v>157</v>
      </c>
      <c r="F98" t="s">
        <v>124</v>
      </c>
      <c r="G98" t="s">
        <v>51</v>
      </c>
      <c r="H98" t="s">
        <v>52</v>
      </c>
      <c r="I98" t="s">
        <v>53</v>
      </c>
      <c r="J98" t="s">
        <v>95</v>
      </c>
      <c r="K98" t="s">
        <v>103</v>
      </c>
      <c r="L98" t="s">
        <v>591</v>
      </c>
      <c r="M98" t="s">
        <v>42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43</v>
      </c>
      <c r="U98" t="s">
        <v>44</v>
      </c>
      <c r="W98" t="s">
        <v>587</v>
      </c>
      <c r="X98" t="str">
        <v>05-06-24</v>
      </c>
      <c r="Y98" t="str">
        <v>07-06-24</v>
      </c>
      <c r="Z98" t="s">
        <v>590</v>
      </c>
      <c r="AA98" t="str">
        <v>Rahul Verma</v>
      </c>
      <c r="AB98" t="str">
        <f>TRIM(PROPER(F:F))</f>
        <v>Home Office</v>
      </c>
      <c r="AC98" t="str">
        <f>TRIM(PROPER(G:G))</f>
        <v>East</v>
      </c>
      <c r="AD98" t="str">
        <f>TRIM(PROPER(H:H))</f>
        <v>Odisha</v>
      </c>
      <c r="AE98" t="str">
        <f>TRIM(PROPER(I:I))</f>
        <v>Bhubaneswar</v>
      </c>
      <c r="AF98" t="str">
        <f t="shared" si="2"/>
        <v>Technology</v>
      </c>
      <c r="AG98" t="str">
        <f t="shared" si="2"/>
        <v>Copiers</v>
      </c>
      <c r="AH98" t="str">
        <f t="shared" si="2"/>
        <v>Smart Copiers 547</v>
      </c>
      <c r="AI98" t="str">
        <f t="shared" si="2"/>
        <v>Second Class</v>
      </c>
      <c r="AJ98" s="3" t="str">
        <f t="shared" si="1"/>
        <v>anomaly</v>
      </c>
      <c r="AK98">
        <f>IFERROR(Y98-X98, "invalid date")</f>
        <v>2</v>
      </c>
      <c r="AL98" s="10">
        <v>0.15</v>
      </c>
      <c r="AM98" s="11">
        <v>3840.7079999999996</v>
      </c>
      <c r="AN98" s="11">
        <v>1324.4179999999997</v>
      </c>
      <c r="AO98" s="10">
        <v>0.34483694152224009</v>
      </c>
      <c r="AP98" t="s">
        <v>4263</v>
      </c>
      <c r="AQ98" t="s">
        <v>4264</v>
      </c>
      <c r="AR98" t="s">
        <v>4170</v>
      </c>
      <c r="AS98" t="s">
        <v>4107</v>
      </c>
      <c r="AT98" t="s">
        <v>4115</v>
      </c>
      <c r="AU98">
        <v>2</v>
      </c>
      <c r="AV98" t="s">
        <v>4109</v>
      </c>
    </row>
    <row r="99" spans="1:48">
      <c r="A99" t="s">
        <v>592</v>
      </c>
      <c r="B99" t="s">
        <v>593</v>
      </c>
      <c r="C99" t="s">
        <v>594</v>
      </c>
      <c r="D99" t="s">
        <v>595</v>
      </c>
      <c r="E99" t="s">
        <v>220</v>
      </c>
      <c r="F99" t="s">
        <v>50</v>
      </c>
      <c r="G99" t="s">
        <v>82</v>
      </c>
      <c r="H99" t="s">
        <v>245</v>
      </c>
      <c r="I99" t="s">
        <v>246</v>
      </c>
      <c r="J99" t="s">
        <v>39</v>
      </c>
      <c r="K99" t="s">
        <v>165</v>
      </c>
      <c r="L99" t="s">
        <v>596</v>
      </c>
      <c r="M99" t="s">
        <v>57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146</v>
      </c>
      <c r="U99" t="s">
        <v>134</v>
      </c>
      <c r="W99" t="s">
        <v>592</v>
      </c>
      <c r="X99" t="str">
        <v>08-08-25</v>
      </c>
      <c r="Y99" t="str">
        <v>11-08-25</v>
      </c>
      <c r="Z99" t="s">
        <v>595</v>
      </c>
      <c r="AA99" t="str">
        <v>Diya Patel</v>
      </c>
      <c r="AB99" t="str">
        <f>TRIM(PROPER(F:F))</f>
        <v>Small Business</v>
      </c>
      <c r="AC99" t="str">
        <f>TRIM(PROPER(G:G))</f>
        <v>West</v>
      </c>
      <c r="AD99" t="str">
        <f>TRIM(PROPER(H:H))</f>
        <v>Gujarat</v>
      </c>
      <c r="AE99" t="str">
        <f>TRIM(PROPER(I:I))</f>
        <v>Ahmedabad</v>
      </c>
      <c r="AF99" t="str">
        <f t="shared" si="2"/>
        <v>Office Supplies</v>
      </c>
      <c r="AG99" t="str">
        <f t="shared" si="2"/>
        <v>Storage</v>
      </c>
      <c r="AH99" t="str">
        <f t="shared" si="2"/>
        <v>Basic Storage 656</v>
      </c>
      <c r="AI99" t="str">
        <f t="shared" si="2"/>
        <v>Same Day</v>
      </c>
      <c r="AJ99" s="3" t="str">
        <f t="shared" si="1"/>
        <v>anomaly</v>
      </c>
      <c r="AK99">
        <f>IFERROR(Y99-X99, "invalid date")</f>
        <v>3</v>
      </c>
      <c r="AL99" s="10">
        <v>0.2</v>
      </c>
      <c r="AM99" s="11">
        <v>14409.44</v>
      </c>
      <c r="AN99" s="11">
        <v>5599.4700000000012</v>
      </c>
      <c r="AO99" s="10">
        <v>0.38859733619071951</v>
      </c>
      <c r="AP99" t="s">
        <v>4265</v>
      </c>
      <c r="AQ99" t="s">
        <v>4266</v>
      </c>
      <c r="AR99" t="s">
        <v>4114</v>
      </c>
      <c r="AS99" t="s">
        <v>4120</v>
      </c>
      <c r="AT99" t="s">
        <v>4115</v>
      </c>
      <c r="AU99">
        <v>3</v>
      </c>
      <c r="AV99" t="s">
        <v>4109</v>
      </c>
    </row>
    <row r="100" spans="1:48">
      <c r="A100" t="s">
        <v>597</v>
      </c>
      <c r="B100" t="s">
        <v>598</v>
      </c>
      <c r="C100" t="s">
        <v>599</v>
      </c>
      <c r="D100" t="s">
        <v>600</v>
      </c>
      <c r="E100" t="s">
        <v>189</v>
      </c>
      <c r="F100" t="s">
        <v>124</v>
      </c>
      <c r="G100" t="s">
        <v>71</v>
      </c>
      <c r="H100" t="s">
        <v>252</v>
      </c>
      <c r="I100" t="s">
        <v>253</v>
      </c>
      <c r="J100" t="s">
        <v>95</v>
      </c>
      <c r="K100" t="s">
        <v>103</v>
      </c>
      <c r="L100" t="s">
        <v>601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43</v>
      </c>
      <c r="U100" t="s">
        <v>44</v>
      </c>
      <c r="W100" t="s">
        <v>597</v>
      </c>
      <c r="X100" t="str">
        <v>26-01-24</v>
      </c>
      <c r="Y100" t="str">
        <v>02-01-24</v>
      </c>
      <c r="Z100" t="s">
        <v>600</v>
      </c>
      <c r="AA100" t="str">
        <v>Rohan Mehta</v>
      </c>
      <c r="AB100" t="str">
        <f>TRIM(PROPER(F:F))</f>
        <v>Home Office</v>
      </c>
      <c r="AC100" t="str">
        <f>TRIM(PROPER(G:G))</f>
        <v>South</v>
      </c>
      <c r="AD100" t="str">
        <f>TRIM(PROPER(H:H))</f>
        <v>Kerala</v>
      </c>
      <c r="AE100" t="str">
        <f>TRIM(PROPER(I:I))</f>
        <v>Kochi</v>
      </c>
      <c r="AF100" t="str">
        <f t="shared" si="2"/>
        <v>Technology</v>
      </c>
      <c r="AG100" t="str">
        <f t="shared" si="2"/>
        <v>Copiers</v>
      </c>
      <c r="AH100" t="str">
        <f t="shared" si="2"/>
        <v>Elite Copiers 785</v>
      </c>
      <c r="AI100" s="4" t="s">
        <v>282</v>
      </c>
      <c r="AJ100" s="3" t="str">
        <f t="shared" si="1"/>
        <v xml:space="preserve">  </v>
      </c>
      <c r="AK100">
        <f>IFERROR(Y100-X100, "invalid date")</f>
        <v>-24</v>
      </c>
      <c r="AL100" s="10">
        <v>0.1</v>
      </c>
      <c r="AM100" s="11">
        <v>15184.295999999998</v>
      </c>
      <c r="AN100" s="11">
        <v>3913.5559999999987</v>
      </c>
      <c r="AO100" s="10">
        <v>0.25773707256497103</v>
      </c>
      <c r="AP100" t="s">
        <v>4267</v>
      </c>
      <c r="AQ100" t="s">
        <v>4268</v>
      </c>
      <c r="AR100" t="s">
        <v>4153</v>
      </c>
      <c r="AS100" t="s">
        <v>4107</v>
      </c>
      <c r="AT100" t="s">
        <v>4121</v>
      </c>
      <c r="AU100">
        <v>-24</v>
      </c>
      <c r="AV100" t="s">
        <v>4109</v>
      </c>
    </row>
    <row r="101" spans="1:48">
      <c r="A101" t="s">
        <v>602</v>
      </c>
      <c r="B101" t="s">
        <v>603</v>
      </c>
      <c r="C101" t="s">
        <v>603</v>
      </c>
      <c r="D101" t="s">
        <v>604</v>
      </c>
      <c r="E101" t="s">
        <v>116</v>
      </c>
      <c r="F101" t="s">
        <v>50</v>
      </c>
      <c r="G101" t="s">
        <v>82</v>
      </c>
      <c r="H101" t="s">
        <v>37</v>
      </c>
      <c r="I101" t="s">
        <v>144</v>
      </c>
      <c r="J101" t="s">
        <v>95</v>
      </c>
      <c r="K101" t="s">
        <v>96</v>
      </c>
      <c r="L101" t="s">
        <v>605</v>
      </c>
      <c r="M101" t="s">
        <v>57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43</v>
      </c>
      <c r="U101" t="s">
        <v>44</v>
      </c>
      <c r="W101" t="s">
        <v>602</v>
      </c>
      <c r="X101" t="str">
        <v>11-01-25</v>
      </c>
      <c r="Y101" t="str">
        <v>11-01-25</v>
      </c>
      <c r="Z101" t="s">
        <v>604</v>
      </c>
      <c r="AA101" t="str">
        <v>Aditi Sen</v>
      </c>
      <c r="AB101" t="str">
        <f>TRIM(PROPER(F:F))</f>
        <v>Small Business</v>
      </c>
      <c r="AC101" t="str">
        <f>TRIM(PROPER(G:G))</f>
        <v>West</v>
      </c>
      <c r="AD101" t="str">
        <f>TRIM(PROPER(H:H))</f>
        <v>Rajasthan</v>
      </c>
      <c r="AE101" t="str">
        <f>TRIM(PROPER(I:I))</f>
        <v>Udaipur</v>
      </c>
      <c r="AF101" t="str">
        <f t="shared" si="2"/>
        <v>Technology</v>
      </c>
      <c r="AG101" t="str">
        <f t="shared" si="2"/>
        <v>Accessories</v>
      </c>
      <c r="AH101" t="str">
        <f t="shared" si="2"/>
        <v>Smart Accessories 542</v>
      </c>
      <c r="AI101" t="str">
        <f t="shared" si="2"/>
        <v>Same Day</v>
      </c>
      <c r="AJ101" s="3" t="str">
        <f t="shared" si="1"/>
        <v xml:space="preserve">  </v>
      </c>
      <c r="AK101">
        <f>IFERROR(Y101-X101, "invalid date")</f>
        <v>0</v>
      </c>
      <c r="AL101" s="10">
        <v>0</v>
      </c>
      <c r="AM101" s="11">
        <v>6495.87</v>
      </c>
      <c r="AN101" s="11">
        <v>1794.9799999999996</v>
      </c>
      <c r="AO101" s="10">
        <v>0.27632634273777024</v>
      </c>
      <c r="AP101" t="s">
        <v>4269</v>
      </c>
      <c r="AQ101" t="s">
        <v>4269</v>
      </c>
      <c r="AR101" t="s">
        <v>4153</v>
      </c>
      <c r="AS101" t="s">
        <v>4120</v>
      </c>
      <c r="AT101" t="s">
        <v>4115</v>
      </c>
      <c r="AU101">
        <v>0</v>
      </c>
      <c r="AV101" t="s">
        <v>4109</v>
      </c>
    </row>
    <row r="102" spans="1:48">
      <c r="A102" t="s">
        <v>606</v>
      </c>
      <c r="B102" t="s">
        <v>607</v>
      </c>
      <c r="C102" t="s">
        <v>608</v>
      </c>
      <c r="D102" t="s">
        <v>609</v>
      </c>
      <c r="E102" t="s">
        <v>171</v>
      </c>
      <c r="F102" t="s">
        <v>124</v>
      </c>
      <c r="G102" t="s">
        <v>71</v>
      </c>
      <c r="H102" t="s">
        <v>252</v>
      </c>
      <c r="I102" t="s">
        <v>253</v>
      </c>
      <c r="J102" t="s">
        <v>39</v>
      </c>
      <c r="K102" t="s">
        <v>165</v>
      </c>
      <c r="L102" t="s">
        <v>610</v>
      </c>
      <c r="M102" t="s">
        <v>76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43</v>
      </c>
      <c r="U102" t="s">
        <v>44</v>
      </c>
      <c r="W102" t="s">
        <v>606</v>
      </c>
      <c r="X102" t="str">
        <v>12-09-25</v>
      </c>
      <c r="Y102" t="str">
        <v>18-09-25</v>
      </c>
      <c r="Z102" t="s">
        <v>609</v>
      </c>
      <c r="AA102" t="str">
        <v>Aarav Sharma</v>
      </c>
      <c r="AB102" t="str">
        <f>TRIM(PROPER(F:F))</f>
        <v>Home Office</v>
      </c>
      <c r="AC102" t="str">
        <f>TRIM(PROPER(G:G))</f>
        <v>South</v>
      </c>
      <c r="AD102" t="str">
        <f>TRIM(PROPER(H:H))</f>
        <v>Kerala</v>
      </c>
      <c r="AE102" t="str">
        <f>TRIM(PROPER(I:I))</f>
        <v>Kochi</v>
      </c>
      <c r="AF102" t="str">
        <f t="shared" si="2"/>
        <v>Office Supplies</v>
      </c>
      <c r="AG102" t="str">
        <f t="shared" si="2"/>
        <v>Storage</v>
      </c>
      <c r="AH102" t="str">
        <f t="shared" si="2"/>
        <v>Eco Storage 936</v>
      </c>
      <c r="AI102" t="str">
        <f t="shared" si="2"/>
        <v>Standard Class</v>
      </c>
      <c r="AJ102" s="3" t="str">
        <f t="shared" si="1"/>
        <v>anomaly</v>
      </c>
      <c r="AK102">
        <f>IFERROR(Y102-X102, "invalid date")</f>
        <v>6</v>
      </c>
      <c r="AL102" s="10">
        <v>0.05</v>
      </c>
      <c r="AM102" s="11">
        <v>9540.659999999998</v>
      </c>
      <c r="AN102" s="11">
        <v>3979.1699999999983</v>
      </c>
      <c r="AO102" s="10">
        <v>0.41707491934520241</v>
      </c>
      <c r="AP102" t="s">
        <v>4270</v>
      </c>
      <c r="AQ102" t="s">
        <v>4271</v>
      </c>
      <c r="AR102" t="s">
        <v>4134</v>
      </c>
      <c r="AS102" t="s">
        <v>4120</v>
      </c>
      <c r="AT102" t="s">
        <v>4115</v>
      </c>
      <c r="AU102">
        <v>6</v>
      </c>
      <c r="AV102" t="s">
        <v>4109</v>
      </c>
    </row>
    <row r="103" spans="1:48">
      <c r="A103" t="s">
        <v>611</v>
      </c>
      <c r="B103" t="s">
        <v>331</v>
      </c>
      <c r="C103" t="s">
        <v>612</v>
      </c>
      <c r="D103" t="s">
        <v>613</v>
      </c>
      <c r="E103" t="s">
        <v>189</v>
      </c>
      <c r="F103" t="s">
        <v>124</v>
      </c>
      <c r="G103" t="s">
        <v>51</v>
      </c>
      <c r="H103" t="s">
        <v>196</v>
      </c>
      <c r="I103" t="s">
        <v>197</v>
      </c>
      <c r="J103" t="s">
        <v>54</v>
      </c>
      <c r="K103" t="s">
        <v>74</v>
      </c>
      <c r="L103" t="s">
        <v>614</v>
      </c>
      <c r="M103" t="s">
        <v>65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43</v>
      </c>
      <c r="U103" t="s">
        <v>44</v>
      </c>
      <c r="W103" t="s">
        <v>611</v>
      </c>
      <c r="X103" t="str">
        <v>invalid date</v>
      </c>
      <c r="Y103" t="str">
        <v>26-06-24</v>
      </c>
      <c r="Z103" t="s">
        <v>613</v>
      </c>
      <c r="AA103" t="str">
        <v>Rohan Mehta</v>
      </c>
      <c r="AB103" t="str">
        <f>TRIM(PROPER(F:F))</f>
        <v>Home Office</v>
      </c>
      <c r="AC103" t="str">
        <f>TRIM(PROPER(G:G))</f>
        <v>East</v>
      </c>
      <c r="AD103" t="str">
        <f>TRIM(PROPER(H:H))</f>
        <v>Bihar</v>
      </c>
      <c r="AE103" t="str">
        <f>TRIM(PROPER(I:I))</f>
        <v>Patna</v>
      </c>
      <c r="AF103" t="str">
        <f t="shared" si="2"/>
        <v>Furniture</v>
      </c>
      <c r="AG103" t="str">
        <f t="shared" si="2"/>
        <v>Furnishings</v>
      </c>
      <c r="AH103" t="str">
        <f t="shared" si="2"/>
        <v>Classic Furnishings 682</v>
      </c>
      <c r="AI103" t="str">
        <f t="shared" si="2"/>
        <v>First Class</v>
      </c>
      <c r="AJ103" s="3" t="str">
        <f t="shared" si="1"/>
        <v>Invalid</v>
      </c>
      <c r="AK103" t="str">
        <f>IFERROR(Y103-X103, "invalid date")</f>
        <v>invalid date</v>
      </c>
      <c r="AL103" s="10">
        <v>0.25</v>
      </c>
      <c r="AM103" s="11">
        <v>16486.95</v>
      </c>
      <c r="AN103" s="11">
        <v>4432.8100000000013</v>
      </c>
      <c r="AO103" s="10">
        <v>0.26886780150361356</v>
      </c>
      <c r="AP103" t="s">
        <v>4105</v>
      </c>
      <c r="AQ103" t="s">
        <v>4272</v>
      </c>
      <c r="AR103" t="s">
        <v>4105</v>
      </c>
      <c r="AS103" t="s">
        <v>4105</v>
      </c>
      <c r="AT103" t="s">
        <v>4108</v>
      </c>
      <c r="AU103" t="s">
        <v>4105</v>
      </c>
      <c r="AV103" t="s">
        <v>4109</v>
      </c>
    </row>
    <row r="104" spans="1:48">
      <c r="A104" t="s">
        <v>615</v>
      </c>
      <c r="B104" t="s">
        <v>616</v>
      </c>
      <c r="C104" t="s">
        <v>617</v>
      </c>
      <c r="D104" t="s">
        <v>618</v>
      </c>
      <c r="E104" t="s">
        <v>92</v>
      </c>
      <c r="F104" t="s">
        <v>35</v>
      </c>
      <c r="G104" t="s">
        <v>71</v>
      </c>
      <c r="H104" t="s">
        <v>239</v>
      </c>
      <c r="I104" t="s">
        <v>240</v>
      </c>
      <c r="J104" t="s">
        <v>54</v>
      </c>
      <c r="K104" t="s">
        <v>85</v>
      </c>
      <c r="L104" t="s">
        <v>619</v>
      </c>
      <c r="M104" t="s">
        <v>65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133</v>
      </c>
      <c r="U104" t="s">
        <v>87</v>
      </c>
      <c r="W104" t="s">
        <v>615</v>
      </c>
      <c r="X104" t="str">
        <v>12-07-25</v>
      </c>
      <c r="Y104" t="str">
        <v>16-07-25</v>
      </c>
      <c r="Z104" t="s">
        <v>618</v>
      </c>
      <c r="AA104" t="str">
        <v>Vikram Iyer</v>
      </c>
      <c r="AB104" t="str">
        <f>TRIM(PROPER(F:F))</f>
        <v>Consumer</v>
      </c>
      <c r="AC104" t="str">
        <f>TRIM(PROPER(G:G))</f>
        <v>South</v>
      </c>
      <c r="AD104" t="str">
        <f>TRIM(PROPER(H:H))</f>
        <v>Karnataka</v>
      </c>
      <c r="AE104" t="str">
        <f>TRIM(PROPER(I:I))</f>
        <v>Bengaluru</v>
      </c>
      <c r="AF104" t="str">
        <f t="shared" si="2"/>
        <v>Furniture</v>
      </c>
      <c r="AG104" t="str">
        <f t="shared" si="2"/>
        <v>Chairs</v>
      </c>
      <c r="AH104" t="str">
        <f t="shared" si="2"/>
        <v>Classic Chairs 604</v>
      </c>
      <c r="AI104" t="str">
        <f t="shared" si="2"/>
        <v>First Class</v>
      </c>
      <c r="AJ104" s="3" t="str">
        <f t="shared" si="1"/>
        <v>anomaly</v>
      </c>
      <c r="AK104">
        <f>IFERROR(Y104-X104, "invalid date")</f>
        <v>4</v>
      </c>
      <c r="AL104" s="10">
        <v>0</v>
      </c>
      <c r="AM104" s="11">
        <v>11462.84</v>
      </c>
      <c r="AN104" s="11">
        <v>2483.0599999999995</v>
      </c>
      <c r="AO104" s="10">
        <v>0.21661822026653077</v>
      </c>
      <c r="AP104" t="s">
        <v>4239</v>
      </c>
      <c r="AQ104" t="s">
        <v>4273</v>
      </c>
      <c r="AR104" t="s">
        <v>4106</v>
      </c>
      <c r="AS104" t="s">
        <v>4120</v>
      </c>
      <c r="AT104" t="s">
        <v>4115</v>
      </c>
      <c r="AU104">
        <v>4</v>
      </c>
      <c r="AV104" t="s">
        <v>4109</v>
      </c>
    </row>
    <row r="105" spans="1:48">
      <c r="A105" t="s">
        <v>620</v>
      </c>
      <c r="B105" t="s">
        <v>621</v>
      </c>
      <c r="C105" t="s">
        <v>622</v>
      </c>
      <c r="D105" t="s">
        <v>623</v>
      </c>
      <c r="E105" t="s">
        <v>377</v>
      </c>
      <c r="F105" t="s">
        <v>117</v>
      </c>
      <c r="G105" t="s">
        <v>82</v>
      </c>
      <c r="H105" t="s">
        <v>83</v>
      </c>
      <c r="I105" t="s">
        <v>84</v>
      </c>
      <c r="J105" t="s">
        <v>54</v>
      </c>
      <c r="K105" t="s">
        <v>55</v>
      </c>
      <c r="L105" t="s">
        <v>624</v>
      </c>
      <c r="M105" t="s">
        <v>65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43</v>
      </c>
      <c r="U105" t="s">
        <v>44</v>
      </c>
      <c r="W105" t="s">
        <v>620</v>
      </c>
      <c r="X105" t="str">
        <v>05-02-25</v>
      </c>
      <c r="Y105" t="str">
        <v>05-10-25</v>
      </c>
      <c r="Z105" t="s">
        <v>623</v>
      </c>
      <c r="AA105" t="str">
        <v>Kabir Singh</v>
      </c>
      <c r="AB105" t="str">
        <f>TRIM(PROPER(F:F))</f>
        <v>Corporate</v>
      </c>
      <c r="AC105" t="str">
        <f>TRIM(PROPER(G:G))</f>
        <v>West</v>
      </c>
      <c r="AD105" t="str">
        <f>TRIM(PROPER(H:H))</f>
        <v>Maharashtra</v>
      </c>
      <c r="AE105" t="str">
        <f>TRIM(PROPER(I:I))</f>
        <v>Mumbai</v>
      </c>
      <c r="AF105" t="str">
        <f t="shared" si="2"/>
        <v>Furniture</v>
      </c>
      <c r="AG105" t="str">
        <f t="shared" si="2"/>
        <v>Tables</v>
      </c>
      <c r="AH105" t="str">
        <f t="shared" si="2"/>
        <v>Prime Tables 377</v>
      </c>
      <c r="AI105" t="str">
        <f t="shared" si="2"/>
        <v>First Class</v>
      </c>
      <c r="AJ105" s="3" t="str">
        <f t="shared" si="1"/>
        <v>anomaly</v>
      </c>
      <c r="AK105">
        <f>IFERROR(Y105-X105, "invalid date")</f>
        <v>242</v>
      </c>
      <c r="AL105" s="10">
        <v>0.2</v>
      </c>
      <c r="AM105" s="11">
        <v>7809.0880000000006</v>
      </c>
      <c r="AN105" s="11">
        <v>1151.3380000000006</v>
      </c>
      <c r="AO105" s="10">
        <v>0.14743565445798543</v>
      </c>
      <c r="AP105" t="s">
        <v>4175</v>
      </c>
      <c r="AQ105" t="s">
        <v>4163</v>
      </c>
      <c r="AR105" t="s">
        <v>4129</v>
      </c>
      <c r="AS105" t="s">
        <v>4120</v>
      </c>
      <c r="AT105" t="s">
        <v>4115</v>
      </c>
      <c r="AU105">
        <v>242</v>
      </c>
      <c r="AV105" t="s">
        <v>4109</v>
      </c>
    </row>
    <row r="106" spans="1:48">
      <c r="A106" t="s">
        <v>625</v>
      </c>
      <c r="B106" t="s">
        <v>626</v>
      </c>
      <c r="C106" t="s">
        <v>627</v>
      </c>
      <c r="D106" t="s">
        <v>628</v>
      </c>
      <c r="E106" t="s">
        <v>81</v>
      </c>
      <c r="F106" t="s">
        <v>35</v>
      </c>
      <c r="G106" t="s">
        <v>71</v>
      </c>
      <c r="H106" t="s">
        <v>239</v>
      </c>
      <c r="I106" t="s">
        <v>240</v>
      </c>
      <c r="J106" t="s">
        <v>39</v>
      </c>
      <c r="K106" t="s">
        <v>118</v>
      </c>
      <c r="L106" t="s">
        <v>629</v>
      </c>
      <c r="M106" t="s">
        <v>57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43</v>
      </c>
      <c r="U106" t="s">
        <v>87</v>
      </c>
      <c r="W106" t="s">
        <v>625</v>
      </c>
      <c r="X106" t="str">
        <v>01-02-25</v>
      </c>
      <c r="Y106" t="str">
        <v>02-08-25</v>
      </c>
      <c r="Z106" t="s">
        <v>628</v>
      </c>
      <c r="AA106" t="str">
        <v>Ananya Rao</v>
      </c>
      <c r="AB106" t="str">
        <f>TRIM(PROPER(F:F))</f>
        <v>Consumer</v>
      </c>
      <c r="AC106" t="str">
        <f>TRIM(PROPER(G:G))</f>
        <v>South</v>
      </c>
      <c r="AD106" t="str">
        <f>TRIM(PROPER(H:H))</f>
        <v>Karnataka</v>
      </c>
      <c r="AE106" t="str">
        <f>TRIM(PROPER(I:I))</f>
        <v>Bengaluru</v>
      </c>
      <c r="AF106" t="str">
        <f t="shared" si="2"/>
        <v>Office Supplies</v>
      </c>
      <c r="AG106" t="str">
        <f t="shared" si="2"/>
        <v>Labels</v>
      </c>
      <c r="AH106" t="str">
        <f t="shared" si="2"/>
        <v>Prime Labels 807</v>
      </c>
      <c r="AI106" t="str">
        <f t="shared" si="2"/>
        <v>Same Day</v>
      </c>
      <c r="AJ106" s="3" t="str">
        <f t="shared" si="1"/>
        <v>anomaly</v>
      </c>
      <c r="AK106">
        <f>IFERROR(Y106-X106, "invalid date")</f>
        <v>182</v>
      </c>
      <c r="AL106" s="10">
        <v>0.25</v>
      </c>
      <c r="AM106" s="11">
        <v>7922.0250000000005</v>
      </c>
      <c r="AN106" s="11">
        <v>2302.0750000000007</v>
      </c>
      <c r="AO106" s="10">
        <v>0.29059173633004193</v>
      </c>
      <c r="AP106" t="s">
        <v>4274</v>
      </c>
      <c r="AQ106" t="s">
        <v>4275</v>
      </c>
      <c r="AR106" t="s">
        <v>4129</v>
      </c>
      <c r="AS106" t="s">
        <v>4120</v>
      </c>
      <c r="AT106" t="s">
        <v>4115</v>
      </c>
      <c r="AU106">
        <v>182</v>
      </c>
      <c r="AV106" t="s">
        <v>4109</v>
      </c>
    </row>
    <row r="107" spans="1:48">
      <c r="A107" t="s">
        <v>630</v>
      </c>
      <c r="B107" t="s">
        <v>631</v>
      </c>
      <c r="C107" t="s">
        <v>632</v>
      </c>
      <c r="D107" t="s">
        <v>633</v>
      </c>
      <c r="E107" t="s">
        <v>49</v>
      </c>
      <c r="F107" t="s">
        <v>124</v>
      </c>
      <c r="G107" t="s">
        <v>51</v>
      </c>
      <c r="H107" t="s">
        <v>130</v>
      </c>
      <c r="I107" t="s">
        <v>131</v>
      </c>
      <c r="J107" t="s">
        <v>54</v>
      </c>
      <c r="K107" t="s">
        <v>55</v>
      </c>
      <c r="L107" t="s">
        <v>634</v>
      </c>
      <c r="M107" t="s">
        <v>42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43</v>
      </c>
      <c r="U107" t="s">
        <v>44</v>
      </c>
      <c r="W107" t="s">
        <v>630</v>
      </c>
      <c r="X107" t="str">
        <v>invalid date</v>
      </c>
      <c r="Y107" t="str">
        <v>29-06-24</v>
      </c>
      <c r="Z107" t="s">
        <v>633</v>
      </c>
      <c r="AA107" t="str">
        <v>Mira Das</v>
      </c>
      <c r="AB107" t="str">
        <f>TRIM(PROPER(F:F))</f>
        <v>Home Office</v>
      </c>
      <c r="AC107" t="str">
        <f>TRIM(PROPER(G:G))</f>
        <v>East</v>
      </c>
      <c r="AD107" t="str">
        <f>TRIM(PROPER(H:H))</f>
        <v>West Bengal</v>
      </c>
      <c r="AE107" t="str">
        <f>TRIM(PROPER(I:I))</f>
        <v>Kolkata</v>
      </c>
      <c r="AF107" t="str">
        <f t="shared" si="2"/>
        <v>Furniture</v>
      </c>
      <c r="AG107" t="str">
        <f t="shared" si="2"/>
        <v>Tables</v>
      </c>
      <c r="AH107" t="str">
        <f t="shared" si="2"/>
        <v>Eco Tables 575</v>
      </c>
      <c r="AI107" t="str">
        <f t="shared" si="2"/>
        <v>Second Class</v>
      </c>
      <c r="AJ107" s="3" t="str">
        <f t="shared" si="1"/>
        <v>Invalid</v>
      </c>
      <c r="AK107" t="str">
        <f>IFERROR(Y107-X107, "invalid date")</f>
        <v>invalid date</v>
      </c>
      <c r="AL107" s="10">
        <v>0.1</v>
      </c>
      <c r="AM107" s="11">
        <v>1233</v>
      </c>
      <c r="AN107" s="11">
        <v>226.10000000000002</v>
      </c>
      <c r="AO107" s="10">
        <v>0.18337388483373887</v>
      </c>
      <c r="AP107" t="s">
        <v>4105</v>
      </c>
      <c r="AQ107" t="s">
        <v>4276</v>
      </c>
      <c r="AR107" t="s">
        <v>4105</v>
      </c>
      <c r="AS107" t="s">
        <v>4105</v>
      </c>
      <c r="AT107" t="s">
        <v>4108</v>
      </c>
      <c r="AU107" t="s">
        <v>4105</v>
      </c>
      <c r="AV107" t="s">
        <v>4109</v>
      </c>
    </row>
    <row r="108" spans="1:48">
      <c r="A108" t="s">
        <v>635</v>
      </c>
      <c r="B108" t="s">
        <v>636</v>
      </c>
      <c r="C108" t="s">
        <v>637</v>
      </c>
      <c r="D108" t="s">
        <v>638</v>
      </c>
      <c r="E108" t="s">
        <v>70</v>
      </c>
      <c r="F108" t="s">
        <v>124</v>
      </c>
      <c r="G108" t="s">
        <v>51</v>
      </c>
      <c r="H108" t="s">
        <v>130</v>
      </c>
      <c r="I108" t="s">
        <v>131</v>
      </c>
      <c r="J108" t="s">
        <v>39</v>
      </c>
      <c r="K108" t="s">
        <v>40</v>
      </c>
      <c r="L108" t="s">
        <v>639</v>
      </c>
      <c r="M108" t="s">
        <v>76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43</v>
      </c>
      <c r="U108" t="s">
        <v>87</v>
      </c>
      <c r="W108" t="s">
        <v>635</v>
      </c>
      <c r="X108" t="str">
        <v>20-02-24</v>
      </c>
      <c r="Y108" t="str">
        <v>28-02-24</v>
      </c>
      <c r="Z108" t="s">
        <v>638</v>
      </c>
      <c r="AA108" t="str">
        <v>Arjun Bose</v>
      </c>
      <c r="AB108" t="str">
        <f>TRIM(PROPER(F:F))</f>
        <v>Home Office</v>
      </c>
      <c r="AC108" t="str">
        <f>TRIM(PROPER(G:G))</f>
        <v>East</v>
      </c>
      <c r="AD108" t="str">
        <f>TRIM(PROPER(H:H))</f>
        <v>West Bengal</v>
      </c>
      <c r="AE108" t="str">
        <f>TRIM(PROPER(I:I))</f>
        <v>Kolkata</v>
      </c>
      <c r="AF108" t="str">
        <f t="shared" si="2"/>
        <v>Office Supplies</v>
      </c>
      <c r="AG108" t="str">
        <f t="shared" si="2"/>
        <v>Paper</v>
      </c>
      <c r="AH108" t="str">
        <f t="shared" si="2"/>
        <v>Eco Paper 918</v>
      </c>
      <c r="AI108" t="str">
        <f t="shared" si="2"/>
        <v>Standard Class</v>
      </c>
      <c r="AJ108" s="3" t="str">
        <f t="shared" si="1"/>
        <v>anomaly</v>
      </c>
      <c r="AK108">
        <f>IFERROR(Y108-X108, "invalid date")</f>
        <v>8</v>
      </c>
      <c r="AL108" s="10">
        <v>0</v>
      </c>
      <c r="AM108" s="11">
        <v>8008.08</v>
      </c>
      <c r="AN108" s="11">
        <v>2298.6899999999996</v>
      </c>
      <c r="AO108" s="10">
        <v>0.28704633320346445</v>
      </c>
      <c r="AP108" t="s">
        <v>4277</v>
      </c>
      <c r="AQ108" t="s">
        <v>4278</v>
      </c>
      <c r="AR108" t="s">
        <v>4129</v>
      </c>
      <c r="AS108" t="s">
        <v>4107</v>
      </c>
      <c r="AT108" t="s">
        <v>4115</v>
      </c>
      <c r="AU108">
        <v>8</v>
      </c>
      <c r="AV108" t="s">
        <v>4109</v>
      </c>
    </row>
    <row r="109" spans="1:48">
      <c r="A109" t="s">
        <v>640</v>
      </c>
      <c r="B109" t="s">
        <v>641</v>
      </c>
      <c r="C109" t="s">
        <v>642</v>
      </c>
      <c r="D109" t="s">
        <v>643</v>
      </c>
      <c r="E109" t="s">
        <v>189</v>
      </c>
      <c r="F109" t="s">
        <v>124</v>
      </c>
      <c r="G109" t="s">
        <v>51</v>
      </c>
      <c r="H109" t="s">
        <v>130</v>
      </c>
      <c r="I109" t="s">
        <v>131</v>
      </c>
      <c r="J109" t="s">
        <v>54</v>
      </c>
      <c r="K109" t="s">
        <v>74</v>
      </c>
      <c r="L109" t="s">
        <v>644</v>
      </c>
      <c r="M109" t="s">
        <v>65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43</v>
      </c>
      <c r="U109" t="s">
        <v>44</v>
      </c>
      <c r="W109" t="s">
        <v>640</v>
      </c>
      <c r="X109" t="str">
        <v>29-10-24</v>
      </c>
      <c r="Y109" t="str">
        <v>04-11-24</v>
      </c>
      <c r="Z109" t="s">
        <v>643</v>
      </c>
      <c r="AA109" t="str">
        <v>Rohan Mehta</v>
      </c>
      <c r="AB109" t="str">
        <f>TRIM(PROPER(F:F))</f>
        <v>Home Office</v>
      </c>
      <c r="AC109" t="str">
        <f>TRIM(PROPER(G:G))</f>
        <v>East</v>
      </c>
      <c r="AD109" t="str">
        <f>TRIM(PROPER(H:H))</f>
        <v>West Bengal</v>
      </c>
      <c r="AE109" t="str">
        <f>TRIM(PROPER(I:I))</f>
        <v>Kolkata</v>
      </c>
      <c r="AF109" t="str">
        <f t="shared" si="2"/>
        <v>Furniture</v>
      </c>
      <c r="AG109" t="str">
        <f t="shared" si="2"/>
        <v>Furnishings</v>
      </c>
      <c r="AH109" t="str">
        <f t="shared" si="2"/>
        <v>Prime Furnishings 952</v>
      </c>
      <c r="AI109" t="str">
        <f t="shared" si="2"/>
        <v>First Class</v>
      </c>
      <c r="AJ109" s="3" t="str">
        <f t="shared" si="1"/>
        <v xml:space="preserve">  </v>
      </c>
      <c r="AK109">
        <f>IFERROR(Y109-X109, "invalid date")</f>
        <v>6</v>
      </c>
      <c r="AL109" s="10">
        <v>0.05</v>
      </c>
      <c r="AM109" s="11">
        <v>12263.236500000001</v>
      </c>
      <c r="AN109" s="11">
        <v>3337.6665000000012</v>
      </c>
      <c r="AO109" s="10">
        <v>0.27216848504878799</v>
      </c>
      <c r="AP109" t="s">
        <v>4249</v>
      </c>
      <c r="AQ109" t="s">
        <v>4279</v>
      </c>
      <c r="AR109" t="s">
        <v>4126</v>
      </c>
      <c r="AS109" t="s">
        <v>4107</v>
      </c>
      <c r="AT109" t="s">
        <v>4121</v>
      </c>
      <c r="AU109">
        <v>6</v>
      </c>
      <c r="AV109" t="s">
        <v>4109</v>
      </c>
    </row>
    <row r="110" spans="1:48">
      <c r="A110" t="s">
        <v>645</v>
      </c>
      <c r="B110" t="s">
        <v>646</v>
      </c>
      <c r="C110" t="s">
        <v>647</v>
      </c>
      <c r="D110" t="s">
        <v>648</v>
      </c>
      <c r="E110" t="s">
        <v>116</v>
      </c>
      <c r="F110" t="s">
        <v>50</v>
      </c>
      <c r="G110" t="s">
        <v>51</v>
      </c>
      <c r="H110" t="s">
        <v>52</v>
      </c>
      <c r="I110" t="s">
        <v>53</v>
      </c>
      <c r="J110" t="s">
        <v>54</v>
      </c>
      <c r="K110" t="s">
        <v>214</v>
      </c>
      <c r="L110" t="s">
        <v>649</v>
      </c>
      <c r="M110" t="s">
        <v>57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43</v>
      </c>
      <c r="U110" t="s">
        <v>44</v>
      </c>
      <c r="W110" t="s">
        <v>645</v>
      </c>
      <c r="X110" t="str">
        <v>15-08-24</v>
      </c>
      <c r="Y110" t="str">
        <v>invalid date</v>
      </c>
      <c r="Z110" t="s">
        <v>648</v>
      </c>
      <c r="AA110" t="str">
        <v>Aditi Sen</v>
      </c>
      <c r="AB110" t="str">
        <f>TRIM(PROPER(F:F))</f>
        <v>Small Business</v>
      </c>
      <c r="AC110" t="str">
        <f>TRIM(PROPER(G:G))</f>
        <v>East</v>
      </c>
      <c r="AD110" t="str">
        <f>TRIM(PROPER(H:H))</f>
        <v>Odisha</v>
      </c>
      <c r="AE110" t="str">
        <f>TRIM(PROPER(I:I))</f>
        <v>Bhubaneswar</v>
      </c>
      <c r="AF110" t="str">
        <f t="shared" si="2"/>
        <v>Furniture</v>
      </c>
      <c r="AG110" t="str">
        <f t="shared" si="2"/>
        <v>Bookcases</v>
      </c>
      <c r="AH110" t="str">
        <f t="shared" si="2"/>
        <v>Prime Bookcases 631</v>
      </c>
      <c r="AI110" t="str">
        <f t="shared" si="2"/>
        <v>Same Day</v>
      </c>
      <c r="AJ110" s="3" t="str">
        <f t="shared" si="1"/>
        <v>Invalid</v>
      </c>
      <c r="AK110" t="str">
        <f>IFERROR(Y110-X110, "invalid date")</f>
        <v>invalid date</v>
      </c>
      <c r="AL110" s="10">
        <v>0.25</v>
      </c>
      <c r="AM110" s="11">
        <v>806.31</v>
      </c>
      <c r="AN110" s="11">
        <v>307.80999999999995</v>
      </c>
      <c r="AO110" s="10">
        <v>0.38175143555208291</v>
      </c>
      <c r="AP110" t="s">
        <v>4280</v>
      </c>
      <c r="AQ110" t="s">
        <v>4105</v>
      </c>
      <c r="AR110" t="s">
        <v>4114</v>
      </c>
      <c r="AS110" t="s">
        <v>4107</v>
      </c>
      <c r="AT110" t="s">
        <v>4108</v>
      </c>
      <c r="AU110" t="s">
        <v>4105</v>
      </c>
      <c r="AV110" t="s">
        <v>4109</v>
      </c>
    </row>
    <row r="111" spans="1:48">
      <c r="A111" t="s">
        <v>650</v>
      </c>
      <c r="B111" t="s">
        <v>651</v>
      </c>
      <c r="C111" t="s">
        <v>490</v>
      </c>
      <c r="D111" t="s">
        <v>652</v>
      </c>
      <c r="E111" t="s">
        <v>177</v>
      </c>
      <c r="F111" t="s">
        <v>35</v>
      </c>
      <c r="G111" t="s">
        <v>36</v>
      </c>
      <c r="H111" t="s">
        <v>517</v>
      </c>
      <c r="I111" t="s">
        <v>518</v>
      </c>
      <c r="J111" t="s">
        <v>39</v>
      </c>
      <c r="K111" t="s">
        <v>208</v>
      </c>
      <c r="L111" t="s">
        <v>653</v>
      </c>
      <c r="M111" t="s">
        <v>42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43</v>
      </c>
      <c r="U111" t="s">
        <v>44</v>
      </c>
      <c r="W111" t="s">
        <v>650</v>
      </c>
      <c r="X111" t="str">
        <v>23-08-25</v>
      </c>
      <c r="Y111" t="str">
        <v>invalid date</v>
      </c>
      <c r="Z111" t="s">
        <v>652</v>
      </c>
      <c r="AA111" t="str">
        <v>Sneha Kapoor</v>
      </c>
      <c r="AB111" t="str">
        <f>TRIM(PROPER(F:F))</f>
        <v>Consumer</v>
      </c>
      <c r="AC111" t="str">
        <f>TRIM(PROPER(G:G))</f>
        <v>North</v>
      </c>
      <c r="AD111" t="str">
        <f>TRIM(PROPER(H:H))</f>
        <v>Delhi</v>
      </c>
      <c r="AE111" t="str">
        <f>TRIM(PROPER(I:I))</f>
        <v>New Delhi</v>
      </c>
      <c r="AF111" t="str">
        <f t="shared" si="2"/>
        <v>Office Supplies</v>
      </c>
      <c r="AG111" t="str">
        <f t="shared" si="2"/>
        <v>Binders</v>
      </c>
      <c r="AH111" t="str">
        <f t="shared" si="2"/>
        <v>Classic Binders 660</v>
      </c>
      <c r="AI111" t="str">
        <f t="shared" si="2"/>
        <v>Second Class</v>
      </c>
      <c r="AJ111" s="3" t="str">
        <f t="shared" si="1"/>
        <v>Invalid</v>
      </c>
      <c r="AK111" t="str">
        <f>IFERROR(Y111-X111, "invalid date")</f>
        <v>invalid date</v>
      </c>
      <c r="AL111" s="10">
        <v>0.25</v>
      </c>
      <c r="AM111" s="11">
        <v>2091.4650000000001</v>
      </c>
      <c r="AN111" s="11">
        <v>774.24500000000012</v>
      </c>
      <c r="AO111" s="10">
        <v>0.37019266399389905</v>
      </c>
      <c r="AP111" t="s">
        <v>4281</v>
      </c>
      <c r="AQ111" t="s">
        <v>4105</v>
      </c>
      <c r="AR111" t="s">
        <v>4114</v>
      </c>
      <c r="AS111" t="s">
        <v>4120</v>
      </c>
      <c r="AT111" t="s">
        <v>4108</v>
      </c>
      <c r="AU111" t="s">
        <v>4105</v>
      </c>
      <c r="AV111" t="s">
        <v>4109</v>
      </c>
    </row>
    <row r="112" spans="1:48">
      <c r="A112" t="s">
        <v>654</v>
      </c>
      <c r="B112" t="s">
        <v>655</v>
      </c>
      <c r="C112" t="s">
        <v>656</v>
      </c>
      <c r="D112" t="s">
        <v>657</v>
      </c>
      <c r="E112" t="s">
        <v>92</v>
      </c>
      <c r="F112" t="s">
        <v>117</v>
      </c>
      <c r="G112" t="s">
        <v>71</v>
      </c>
      <c r="H112" t="s">
        <v>252</v>
      </c>
      <c r="I112" t="s">
        <v>253</v>
      </c>
      <c r="J112" t="s">
        <v>39</v>
      </c>
      <c r="K112" t="s">
        <v>118</v>
      </c>
      <c r="L112" t="s">
        <v>658</v>
      </c>
      <c r="M112" t="s">
        <v>65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133</v>
      </c>
      <c r="U112" t="s">
        <v>87</v>
      </c>
      <c r="W112" t="s">
        <v>654</v>
      </c>
      <c r="X112" t="str">
        <v>invalid date</v>
      </c>
      <c r="Y112" t="str">
        <v>24-10-24</v>
      </c>
      <c r="Z112" t="s">
        <v>657</v>
      </c>
      <c r="AA112" t="str">
        <v>Vikram Iyer</v>
      </c>
      <c r="AB112" t="str">
        <f>TRIM(PROPER(F:F))</f>
        <v>Corporate</v>
      </c>
      <c r="AC112" t="str">
        <f>TRIM(PROPER(G:G))</f>
        <v>South</v>
      </c>
      <c r="AD112" t="str">
        <f>TRIM(PROPER(H:H))</f>
        <v>Kerala</v>
      </c>
      <c r="AE112" t="str">
        <f>TRIM(PROPER(I:I))</f>
        <v>Kochi</v>
      </c>
      <c r="AF112" t="str">
        <f t="shared" si="2"/>
        <v>Office Supplies</v>
      </c>
      <c r="AG112" t="str">
        <f t="shared" si="2"/>
        <v>Labels</v>
      </c>
      <c r="AH112" t="str">
        <f t="shared" si="2"/>
        <v>Pro Labels 255</v>
      </c>
      <c r="AI112" t="str">
        <f t="shared" si="2"/>
        <v>First Class</v>
      </c>
      <c r="AJ112" s="3" t="str">
        <f t="shared" si="1"/>
        <v>Invalid</v>
      </c>
      <c r="AK112" t="str">
        <f>IFERROR(Y112-X112, "invalid date")</f>
        <v>invalid date</v>
      </c>
      <c r="AL112" s="10">
        <v>0</v>
      </c>
      <c r="AM112" s="11">
        <v>4500.9399999999996</v>
      </c>
      <c r="AN112" s="11">
        <v>1893.2099999999996</v>
      </c>
      <c r="AO112" s="10">
        <v>0.42062546934640316</v>
      </c>
      <c r="AP112" t="s">
        <v>4105</v>
      </c>
      <c r="AQ112" t="s">
        <v>4282</v>
      </c>
      <c r="AR112" t="s">
        <v>4105</v>
      </c>
      <c r="AS112" t="s">
        <v>4105</v>
      </c>
      <c r="AT112" t="s">
        <v>4108</v>
      </c>
      <c r="AU112" t="s">
        <v>4105</v>
      </c>
      <c r="AV112" t="s">
        <v>4109</v>
      </c>
    </row>
    <row r="113" spans="1:48">
      <c r="A113" t="s">
        <v>659</v>
      </c>
      <c r="B113" t="s">
        <v>660</v>
      </c>
      <c r="C113" t="s">
        <v>661</v>
      </c>
      <c r="D113" t="s">
        <v>662</v>
      </c>
      <c r="E113" t="s">
        <v>102</v>
      </c>
      <c r="F113" t="s">
        <v>117</v>
      </c>
      <c r="G113" t="s">
        <v>51</v>
      </c>
      <c r="H113" t="s">
        <v>196</v>
      </c>
      <c r="I113" t="s">
        <v>197</v>
      </c>
      <c r="J113" t="s">
        <v>95</v>
      </c>
      <c r="K113" t="s">
        <v>96</v>
      </c>
      <c r="L113" t="s">
        <v>663</v>
      </c>
      <c r="M113" t="s">
        <v>65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146</v>
      </c>
      <c r="U113" t="s">
        <v>87</v>
      </c>
      <c r="W113" t="s">
        <v>659</v>
      </c>
      <c r="X113" t="str">
        <v>invalid date</v>
      </c>
      <c r="Y113" t="str">
        <v>30-06-25</v>
      </c>
      <c r="Z113" t="s">
        <v>662</v>
      </c>
      <c r="AA113" t="str">
        <v>Neha Gupta</v>
      </c>
      <c r="AB113" t="str">
        <f>TRIM(PROPER(F:F))</f>
        <v>Corporate</v>
      </c>
      <c r="AC113" t="str">
        <f>TRIM(PROPER(G:G))</f>
        <v>East</v>
      </c>
      <c r="AD113" t="str">
        <f>TRIM(PROPER(H:H))</f>
        <v>Bihar</v>
      </c>
      <c r="AE113" t="str">
        <f>TRIM(PROPER(I:I))</f>
        <v>Patna</v>
      </c>
      <c r="AF113" t="str">
        <f t="shared" si="2"/>
        <v>Technology</v>
      </c>
      <c r="AG113" t="str">
        <f t="shared" si="2"/>
        <v>Accessories</v>
      </c>
      <c r="AH113" t="str">
        <f t="shared" si="2"/>
        <v>Basic Accessories 187</v>
      </c>
      <c r="AI113" t="str">
        <f t="shared" si="2"/>
        <v>First Class</v>
      </c>
      <c r="AJ113" s="3" t="str">
        <f t="shared" si="1"/>
        <v>Invalid</v>
      </c>
      <c r="AK113" t="str">
        <f>IFERROR(Y113-X113, "invalid date")</f>
        <v>invalid date</v>
      </c>
      <c r="AL113" s="10">
        <v>0.05</v>
      </c>
      <c r="AM113" s="11">
        <v>1623.018</v>
      </c>
      <c r="AN113" s="11">
        <v>545.55799999999999</v>
      </c>
      <c r="AO113" s="10">
        <v>0.3361379849145234</v>
      </c>
      <c r="AP113" t="s">
        <v>4105</v>
      </c>
      <c r="AQ113" t="s">
        <v>4283</v>
      </c>
      <c r="AR113" t="s">
        <v>4105</v>
      </c>
      <c r="AS113" t="s">
        <v>4105</v>
      </c>
      <c r="AT113" t="s">
        <v>4108</v>
      </c>
      <c r="AU113" t="s">
        <v>4105</v>
      </c>
      <c r="AV113" t="s">
        <v>4109</v>
      </c>
    </row>
    <row r="114" spans="1:48">
      <c r="A114" t="s">
        <v>664</v>
      </c>
      <c r="B114" t="s">
        <v>665</v>
      </c>
      <c r="C114" t="s">
        <v>666</v>
      </c>
      <c r="D114" t="s">
        <v>667</v>
      </c>
      <c r="E114" t="s">
        <v>177</v>
      </c>
      <c r="F114" t="s">
        <v>35</v>
      </c>
      <c r="H114" t="s">
        <v>245</v>
      </c>
      <c r="I114" t="s">
        <v>246</v>
      </c>
      <c r="J114" t="s">
        <v>95</v>
      </c>
      <c r="K114" t="s">
        <v>96</v>
      </c>
      <c r="L114" t="s">
        <v>668</v>
      </c>
      <c r="M114" t="s">
        <v>76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43</v>
      </c>
      <c r="U114" t="s">
        <v>44</v>
      </c>
      <c r="W114" t="s">
        <v>664</v>
      </c>
      <c r="X114" t="str">
        <v>10-01-24</v>
      </c>
      <c r="Y114" t="str">
        <v>14-01-24</v>
      </c>
      <c r="Z114" t="s">
        <v>667</v>
      </c>
      <c r="AA114" t="str">
        <v>Sneha Kapoor</v>
      </c>
      <c r="AB114" t="str">
        <f>TRIM(PROPER(F:F))</f>
        <v>Consumer</v>
      </c>
      <c r="AC114" s="4" t="s">
        <v>282</v>
      </c>
      <c r="AD114" t="str">
        <f>TRIM(PROPER(H:H))</f>
        <v>Gujarat</v>
      </c>
      <c r="AE114" t="str">
        <f>TRIM(PROPER(I:I))</f>
        <v>Ahmedabad</v>
      </c>
      <c r="AF114" t="str">
        <f t="shared" si="2"/>
        <v>Technology</v>
      </c>
      <c r="AG114" t="str">
        <f t="shared" si="2"/>
        <v>Accessories</v>
      </c>
      <c r="AH114" t="str">
        <f t="shared" si="2"/>
        <v>Max Accessories 451</v>
      </c>
      <c r="AI114" t="str">
        <f t="shared" si="2"/>
        <v>Standard Class</v>
      </c>
      <c r="AJ114" s="3" t="str">
        <f t="shared" si="1"/>
        <v>anomaly</v>
      </c>
      <c r="AK114">
        <f>IFERROR(Y114-X114, "invalid date")</f>
        <v>4</v>
      </c>
      <c r="AL114" s="10">
        <v>0.05</v>
      </c>
      <c r="AM114" s="11">
        <v>10914.018</v>
      </c>
      <c r="AN114" s="11">
        <v>4365.2780000000002</v>
      </c>
      <c r="AO114" s="10">
        <v>0.39996983695647198</v>
      </c>
      <c r="AP114" t="s">
        <v>4284</v>
      </c>
      <c r="AQ114" t="s">
        <v>4285</v>
      </c>
      <c r="AR114" t="s">
        <v>4153</v>
      </c>
      <c r="AS114" t="s">
        <v>4107</v>
      </c>
      <c r="AT114" t="s">
        <v>4115</v>
      </c>
      <c r="AU114">
        <v>4</v>
      </c>
      <c r="AV114" t="s">
        <v>4109</v>
      </c>
    </row>
    <row r="115" spans="1:48">
      <c r="A115" t="s">
        <v>669</v>
      </c>
      <c r="B115" t="s">
        <v>670</v>
      </c>
      <c r="C115" t="s">
        <v>670</v>
      </c>
      <c r="D115" t="s">
        <v>532</v>
      </c>
      <c r="E115" t="s">
        <v>62</v>
      </c>
      <c r="F115" t="s">
        <v>124</v>
      </c>
      <c r="G115" t="s">
        <v>71</v>
      </c>
      <c r="H115" t="s">
        <v>350</v>
      </c>
      <c r="I115" t="s">
        <v>351</v>
      </c>
      <c r="J115" t="s">
        <v>54</v>
      </c>
      <c r="K115" t="s">
        <v>55</v>
      </c>
      <c r="L115" t="s">
        <v>671</v>
      </c>
      <c r="M115" t="s">
        <v>76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43</v>
      </c>
      <c r="U115" t="s">
        <v>44</v>
      </c>
      <c r="W115" t="s">
        <v>669</v>
      </c>
      <c r="X115" t="str">
        <v>12-02-24</v>
      </c>
      <c r="Y115" t="str">
        <v>12-02-24</v>
      </c>
      <c r="Z115" t="s">
        <v>532</v>
      </c>
      <c r="AA115" t="str">
        <v>Isha Nair</v>
      </c>
      <c r="AB115" t="str">
        <f>TRIM(PROPER(F:F))</f>
        <v>Home Office</v>
      </c>
      <c r="AC115" t="str">
        <f>TRIM(PROPER(G:G))</f>
        <v>South</v>
      </c>
      <c r="AD115" t="str">
        <f>TRIM(PROPER(H:H))</f>
        <v>Tamil Nadu</v>
      </c>
      <c r="AE115" t="str">
        <f>TRIM(PROPER(I:I))</f>
        <v>Chennai</v>
      </c>
      <c r="AF115" t="str">
        <f t="shared" si="2"/>
        <v>Furniture</v>
      </c>
      <c r="AG115" t="str">
        <f t="shared" si="2"/>
        <v>Tables</v>
      </c>
      <c r="AH115" t="str">
        <f t="shared" si="2"/>
        <v>Classic Tables 752</v>
      </c>
      <c r="AI115" t="str">
        <f t="shared" si="2"/>
        <v>Standard Class</v>
      </c>
      <c r="AJ115" s="3" t="str">
        <f t="shared" si="1"/>
        <v xml:space="preserve">  </v>
      </c>
      <c r="AK115">
        <f>IFERROR(Y115-X115, "invalid date")</f>
        <v>0</v>
      </c>
      <c r="AL115" s="10">
        <v>0.25</v>
      </c>
      <c r="AM115" s="11">
        <v>2450.5875000000001</v>
      </c>
      <c r="AN115" s="11">
        <v>810.69749999999999</v>
      </c>
      <c r="AO115" s="10">
        <v>0.33081761006289306</v>
      </c>
      <c r="AP115" t="s">
        <v>4286</v>
      </c>
      <c r="AQ115" t="s">
        <v>4286</v>
      </c>
      <c r="AR115" t="s">
        <v>4129</v>
      </c>
      <c r="AS115" t="s">
        <v>4107</v>
      </c>
      <c r="AT115" t="s">
        <v>4115</v>
      </c>
      <c r="AU115">
        <v>0</v>
      </c>
      <c r="AV115" t="s">
        <v>4109</v>
      </c>
    </row>
    <row r="116" spans="1:48">
      <c r="A116" t="s">
        <v>672</v>
      </c>
      <c r="B116" t="s">
        <v>673</v>
      </c>
      <c r="C116" t="s">
        <v>674</v>
      </c>
      <c r="D116" t="s">
        <v>675</v>
      </c>
      <c r="E116" t="s">
        <v>102</v>
      </c>
      <c r="F116" t="s">
        <v>50</v>
      </c>
      <c r="G116" t="s">
        <v>36</v>
      </c>
      <c r="H116" t="s">
        <v>37</v>
      </c>
      <c r="I116" t="s">
        <v>38</v>
      </c>
      <c r="J116" t="s">
        <v>95</v>
      </c>
      <c r="K116" t="s">
        <v>96</v>
      </c>
      <c r="L116" t="s">
        <v>676</v>
      </c>
      <c r="M116" t="s">
        <v>42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146</v>
      </c>
      <c r="U116" t="s">
        <v>87</v>
      </c>
      <c r="W116" t="s">
        <v>672</v>
      </c>
      <c r="X116" t="str">
        <v>25-09-24</v>
      </c>
      <c r="Y116" t="str">
        <v>30-09-24</v>
      </c>
      <c r="Z116" t="s">
        <v>675</v>
      </c>
      <c r="AA116" t="str">
        <v>Neha Gupta</v>
      </c>
      <c r="AB116" t="str">
        <f>TRIM(PROPER(F:F))</f>
        <v>Small Business</v>
      </c>
      <c r="AC116" t="str">
        <f>TRIM(PROPER(G:G))</f>
        <v>North</v>
      </c>
      <c r="AD116" t="str">
        <f>TRIM(PROPER(H:H))</f>
        <v>Rajasthan</v>
      </c>
      <c r="AE116" t="str">
        <f>TRIM(PROPER(I:I))</f>
        <v>Jaipur</v>
      </c>
      <c r="AF116" t="str">
        <f t="shared" si="2"/>
        <v>Technology</v>
      </c>
      <c r="AG116" t="str">
        <f t="shared" si="2"/>
        <v>Accessories</v>
      </c>
      <c r="AH116" t="str">
        <f t="shared" si="2"/>
        <v>Eco Accessories 452</v>
      </c>
      <c r="AI116" t="str">
        <f t="shared" si="2"/>
        <v>Second Class</v>
      </c>
      <c r="AJ116" s="3" t="str">
        <f t="shared" si="1"/>
        <v>anomaly</v>
      </c>
      <c r="AK116">
        <f>IFERROR(Y116-X116, "invalid date")</f>
        <v>5</v>
      </c>
      <c r="AL116" s="10">
        <v>0.1</v>
      </c>
      <c r="AM116" s="11">
        <v>3949.56</v>
      </c>
      <c r="AN116" s="11">
        <v>762.82999999999993</v>
      </c>
      <c r="AO116" s="10">
        <v>0.19314303365438173</v>
      </c>
      <c r="AP116" t="s">
        <v>4287</v>
      </c>
      <c r="AQ116" t="s">
        <v>4288</v>
      </c>
      <c r="AR116" t="s">
        <v>4134</v>
      </c>
      <c r="AS116" t="s">
        <v>4107</v>
      </c>
      <c r="AT116" t="s">
        <v>4115</v>
      </c>
      <c r="AU116">
        <v>5</v>
      </c>
      <c r="AV116" t="s">
        <v>4109</v>
      </c>
    </row>
    <row r="117" spans="1:48">
      <c r="A117" t="s">
        <v>677</v>
      </c>
      <c r="B117" t="s">
        <v>678</v>
      </c>
      <c r="C117" t="s">
        <v>679</v>
      </c>
      <c r="D117" t="s">
        <v>680</v>
      </c>
      <c r="E117" t="s">
        <v>377</v>
      </c>
      <c r="F117" t="s">
        <v>117</v>
      </c>
      <c r="G117" t="s">
        <v>71</v>
      </c>
      <c r="H117" t="s">
        <v>350</v>
      </c>
      <c r="I117" t="s">
        <v>351</v>
      </c>
      <c r="J117" t="s">
        <v>39</v>
      </c>
      <c r="K117" t="s">
        <v>208</v>
      </c>
      <c r="L117" t="s">
        <v>681</v>
      </c>
      <c r="M117" t="s">
        <v>57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43</v>
      </c>
      <c r="U117" t="s">
        <v>87</v>
      </c>
      <c r="W117" t="s">
        <v>677</v>
      </c>
      <c r="X117" t="str">
        <v>27-12-24</v>
      </c>
      <c r="Y117" t="str">
        <v>01-01-25</v>
      </c>
      <c r="Z117" t="s">
        <v>680</v>
      </c>
      <c r="AA117" t="str">
        <v>Kabir Singh</v>
      </c>
      <c r="AB117" t="str">
        <f>TRIM(PROPER(F:F))</f>
        <v>Corporate</v>
      </c>
      <c r="AC117" t="str">
        <f>TRIM(PROPER(G:G))</f>
        <v>South</v>
      </c>
      <c r="AD117" t="str">
        <f>TRIM(PROPER(H:H))</f>
        <v>Tamil Nadu</v>
      </c>
      <c r="AE117" t="str">
        <f>TRIM(PROPER(I:I))</f>
        <v>Chennai</v>
      </c>
      <c r="AF117" t="str">
        <f t="shared" si="2"/>
        <v>Office Supplies</v>
      </c>
      <c r="AG117" t="str">
        <f t="shared" si="2"/>
        <v>Binders</v>
      </c>
      <c r="AH117" t="str">
        <f t="shared" si="2"/>
        <v>Classic Binders 203</v>
      </c>
      <c r="AI117" t="str">
        <f t="shared" si="2"/>
        <v>Same Day</v>
      </c>
      <c r="AJ117" s="3" t="str">
        <f t="shared" si="1"/>
        <v xml:space="preserve">  </v>
      </c>
      <c r="AK117">
        <f>IFERROR(Y117-X117, "invalid date")</f>
        <v>5</v>
      </c>
      <c r="AL117" s="10">
        <v>0.15</v>
      </c>
      <c r="AM117" s="11">
        <v>758.77799999999991</v>
      </c>
      <c r="AN117" s="11">
        <v>268.0379999999999</v>
      </c>
      <c r="AO117" s="10">
        <v>0.35324956706704719</v>
      </c>
      <c r="AP117" t="s">
        <v>4142</v>
      </c>
      <c r="AQ117" t="s">
        <v>4289</v>
      </c>
      <c r="AR117" t="s">
        <v>4139</v>
      </c>
      <c r="AS117" t="s">
        <v>4107</v>
      </c>
      <c r="AT117" t="s">
        <v>4121</v>
      </c>
      <c r="AU117">
        <v>5</v>
      </c>
      <c r="AV117" t="s">
        <v>4109</v>
      </c>
    </row>
    <row r="118" spans="1:48">
      <c r="A118" t="s">
        <v>682</v>
      </c>
      <c r="B118" t="s">
        <v>683</v>
      </c>
      <c r="C118" t="s">
        <v>684</v>
      </c>
      <c r="D118" t="s">
        <v>685</v>
      </c>
      <c r="E118" t="s">
        <v>81</v>
      </c>
      <c r="F118" t="s">
        <v>50</v>
      </c>
      <c r="H118" t="s">
        <v>93</v>
      </c>
      <c r="I118" t="s">
        <v>94</v>
      </c>
      <c r="J118" t="s">
        <v>39</v>
      </c>
      <c r="K118" t="s">
        <v>208</v>
      </c>
      <c r="L118" t="s">
        <v>686</v>
      </c>
      <c r="M118" t="s">
        <v>65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210</v>
      </c>
      <c r="U118" t="s">
        <v>87</v>
      </c>
      <c r="W118" t="s">
        <v>682</v>
      </c>
      <c r="X118" t="str">
        <v>15-02-25</v>
      </c>
      <c r="Y118" t="str">
        <v>19-02-25</v>
      </c>
      <c r="Z118" t="s">
        <v>685</v>
      </c>
      <c r="AA118" t="str">
        <v>Ananya Rao</v>
      </c>
      <c r="AB118" t="str">
        <f>TRIM(PROPER(F:F))</f>
        <v>Small Business</v>
      </c>
      <c r="AC118" s="4" t="s">
        <v>282</v>
      </c>
      <c r="AD118" t="str">
        <f>TRIM(PROPER(H:H))</f>
        <v>Madhya Pradesh</v>
      </c>
      <c r="AE118" t="str">
        <f>TRIM(PROPER(I:I))</f>
        <v>Indore</v>
      </c>
      <c r="AF118" t="str">
        <f t="shared" si="2"/>
        <v>Office Supplies</v>
      </c>
      <c r="AG118" t="str">
        <f t="shared" si="2"/>
        <v>Binders</v>
      </c>
      <c r="AH118" t="str">
        <f t="shared" si="2"/>
        <v>Basic Binders 859</v>
      </c>
      <c r="AI118" t="str">
        <f t="shared" si="2"/>
        <v>First Class</v>
      </c>
      <c r="AJ118" s="3" t="str">
        <f t="shared" si="1"/>
        <v>anomaly</v>
      </c>
      <c r="AK118">
        <f>IFERROR(Y118-X118, "invalid date")</f>
        <v>4</v>
      </c>
      <c r="AL118" s="10">
        <v>0.25</v>
      </c>
      <c r="AM118" s="11">
        <v>3590.9324999999999</v>
      </c>
      <c r="AN118" s="11">
        <v>529.54250000000002</v>
      </c>
      <c r="AO118" s="10">
        <v>0.14746657031286442</v>
      </c>
      <c r="AP118" t="s">
        <v>4290</v>
      </c>
      <c r="AQ118" t="s">
        <v>4291</v>
      </c>
      <c r="AR118" t="s">
        <v>4129</v>
      </c>
      <c r="AS118" t="s">
        <v>4120</v>
      </c>
      <c r="AT118" t="s">
        <v>4115</v>
      </c>
      <c r="AU118">
        <v>4</v>
      </c>
      <c r="AV118" t="s">
        <v>4109</v>
      </c>
    </row>
    <row r="119" spans="1:48">
      <c r="A119" t="s">
        <v>687</v>
      </c>
      <c r="B119" t="s">
        <v>688</v>
      </c>
      <c r="C119" t="s">
        <v>689</v>
      </c>
      <c r="D119" t="s">
        <v>690</v>
      </c>
      <c r="E119" t="s">
        <v>49</v>
      </c>
      <c r="F119" t="s">
        <v>124</v>
      </c>
      <c r="G119" t="s">
        <v>71</v>
      </c>
      <c r="H119" t="s">
        <v>350</v>
      </c>
      <c r="I119" t="s">
        <v>351</v>
      </c>
      <c r="J119" t="s">
        <v>95</v>
      </c>
      <c r="K119" t="s">
        <v>393</v>
      </c>
      <c r="L119" t="s">
        <v>691</v>
      </c>
      <c r="M119" t="s">
        <v>76</v>
      </c>
      <c r="N119">
        <v>9</v>
      </c>
      <c r="O119">
        <v>3324.55</v>
      </c>
      <c r="P119" s="5" t="s">
        <v>191</v>
      </c>
      <c r="Q119">
        <v>25432.81</v>
      </c>
      <c r="R119">
        <v>20370.16</v>
      </c>
      <c r="S119">
        <v>5062.6499999999996</v>
      </c>
      <c r="T119" t="s">
        <v>43</v>
      </c>
      <c r="U119" t="s">
        <v>44</v>
      </c>
      <c r="W119" t="s">
        <v>687</v>
      </c>
      <c r="X119" t="str">
        <v>15-02-24</v>
      </c>
      <c r="Y119" t="str">
        <v>17-02-24</v>
      </c>
      <c r="Z119" t="s">
        <v>690</v>
      </c>
      <c r="AA119" t="str">
        <v>Mira Das</v>
      </c>
      <c r="AB119" t="str">
        <f>TRIM(PROPER(F:F))</f>
        <v>Home Office</v>
      </c>
      <c r="AC119" t="str">
        <f>TRIM(PROPER(G:G))</f>
        <v>South</v>
      </c>
      <c r="AD119" t="str">
        <f>TRIM(PROPER(H:H))</f>
        <v>Tamil Nadu</v>
      </c>
      <c r="AE119" t="str">
        <f>TRIM(PROPER(I:I))</f>
        <v>Chennai</v>
      </c>
      <c r="AF119" t="str">
        <f t="shared" si="2"/>
        <v>Technology</v>
      </c>
      <c r="AG119" t="str">
        <f t="shared" si="2"/>
        <v>Machines</v>
      </c>
      <c r="AH119" t="str">
        <f t="shared" si="2"/>
        <v>Elite Machines 705</v>
      </c>
      <c r="AI119" t="str">
        <f t="shared" si="2"/>
        <v>Standard Class</v>
      </c>
      <c r="AJ119" s="3" t="str">
        <f t="shared" si="1"/>
        <v>anomaly</v>
      </c>
      <c r="AK119">
        <f>IFERROR(Y119-X119, "invalid date")</f>
        <v>2</v>
      </c>
      <c r="AL119" s="10" t="s">
        <v>191</v>
      </c>
      <c r="AM119" s="11" t="s">
        <v>4111</v>
      </c>
      <c r="AN119" s="11" t="s">
        <v>4111</v>
      </c>
      <c r="AO119" s="10" t="s">
        <v>4111</v>
      </c>
      <c r="AP119" t="s">
        <v>4213</v>
      </c>
      <c r="AQ119" t="s">
        <v>4292</v>
      </c>
      <c r="AR119" t="s">
        <v>4129</v>
      </c>
      <c r="AS119" t="s">
        <v>4107</v>
      </c>
      <c r="AT119" t="s">
        <v>4115</v>
      </c>
      <c r="AU119">
        <v>2</v>
      </c>
      <c r="AV119" t="s">
        <v>4109</v>
      </c>
    </row>
    <row r="120" spans="1:48">
      <c r="A120" t="s">
        <v>692</v>
      </c>
      <c r="B120" t="s">
        <v>693</v>
      </c>
      <c r="C120" t="s">
        <v>694</v>
      </c>
      <c r="D120" t="s">
        <v>695</v>
      </c>
      <c r="E120" t="s">
        <v>696</v>
      </c>
      <c r="F120" t="s">
        <v>124</v>
      </c>
      <c r="G120" t="s">
        <v>71</v>
      </c>
      <c r="H120" t="s">
        <v>109</v>
      </c>
      <c r="I120" t="s">
        <v>110</v>
      </c>
      <c r="J120" t="s">
        <v>95</v>
      </c>
      <c r="K120" t="s">
        <v>103</v>
      </c>
      <c r="L120" t="s">
        <v>697</v>
      </c>
      <c r="M120" t="s">
        <v>57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43</v>
      </c>
      <c r="U120" t="s">
        <v>44</v>
      </c>
      <c r="W120" t="s">
        <v>692</v>
      </c>
      <c r="X120" t="str">
        <v>06-10-24</v>
      </c>
      <c r="Y120" t="str">
        <v>18-06-24</v>
      </c>
      <c r="Z120" t="s">
        <v>695</v>
      </c>
      <c r="AA120" t="str">
        <v>Vikram Iyer</v>
      </c>
      <c r="AB120" t="str">
        <f>TRIM(PROPER(F:F))</f>
        <v>Home Office</v>
      </c>
      <c r="AC120" t="str">
        <f>TRIM(PROPER(G:G))</f>
        <v>South</v>
      </c>
      <c r="AD120" t="str">
        <f>TRIM(PROPER(H:H))</f>
        <v>Andhra Pradesh</v>
      </c>
      <c r="AE120" t="str">
        <f>TRIM(PROPER(I:I))</f>
        <v>Vijayawada</v>
      </c>
      <c r="AF120" t="str">
        <f t="shared" si="2"/>
        <v>Technology</v>
      </c>
      <c r="AG120" t="str">
        <f t="shared" si="2"/>
        <v>Copiers</v>
      </c>
      <c r="AH120" t="str">
        <f t="shared" si="2"/>
        <v>Pro Copiers 208</v>
      </c>
      <c r="AI120" t="str">
        <f t="shared" si="2"/>
        <v>Same Day</v>
      </c>
      <c r="AJ120" s="3" t="str">
        <f t="shared" si="1"/>
        <v>anomaly</v>
      </c>
      <c r="AK120">
        <f>IFERROR(Y120-X120, "invalid date")</f>
        <v>-110</v>
      </c>
      <c r="AL120" s="10">
        <v>0.2</v>
      </c>
      <c r="AM120" s="11">
        <v>6321.0800000000008</v>
      </c>
      <c r="AN120" s="11">
        <v>1913.8600000000006</v>
      </c>
      <c r="AO120" s="10">
        <v>0.30277420947053357</v>
      </c>
      <c r="AP120" t="s">
        <v>4293</v>
      </c>
      <c r="AQ120" t="s">
        <v>4294</v>
      </c>
      <c r="AR120" t="s">
        <v>4126</v>
      </c>
      <c r="AS120" t="s">
        <v>4107</v>
      </c>
      <c r="AT120" t="s">
        <v>4115</v>
      </c>
      <c r="AU120">
        <v>-110</v>
      </c>
      <c r="AV120" t="s">
        <v>4109</v>
      </c>
    </row>
    <row r="121" spans="1:48">
      <c r="A121" t="s">
        <v>698</v>
      </c>
      <c r="B121" t="s">
        <v>699</v>
      </c>
      <c r="C121" t="s">
        <v>700</v>
      </c>
      <c r="D121" t="s">
        <v>701</v>
      </c>
      <c r="E121" t="s">
        <v>116</v>
      </c>
      <c r="F121" t="s">
        <v>50</v>
      </c>
      <c r="G121" t="s">
        <v>71</v>
      </c>
      <c r="H121" t="s">
        <v>252</v>
      </c>
      <c r="I121" t="s">
        <v>253</v>
      </c>
      <c r="J121" t="s">
        <v>54</v>
      </c>
      <c r="K121" t="s">
        <v>85</v>
      </c>
      <c r="L121" t="s">
        <v>702</v>
      </c>
      <c r="M121" t="s">
        <v>76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133</v>
      </c>
      <c r="U121" t="s">
        <v>134</v>
      </c>
      <c r="W121" t="s">
        <v>698</v>
      </c>
      <c r="X121" t="str">
        <v>12-06-24</v>
      </c>
      <c r="Y121" t="str">
        <v>19-06-24</v>
      </c>
      <c r="Z121" t="s">
        <v>701</v>
      </c>
      <c r="AA121" t="str">
        <v>Aditi Sen</v>
      </c>
      <c r="AB121" t="str">
        <f>TRIM(PROPER(F:F))</f>
        <v>Small Business</v>
      </c>
      <c r="AC121" t="str">
        <f>TRIM(PROPER(G:G))</f>
        <v>South</v>
      </c>
      <c r="AD121" t="str">
        <f>TRIM(PROPER(H:H))</f>
        <v>Kerala</v>
      </c>
      <c r="AE121" t="str">
        <f>TRIM(PROPER(I:I))</f>
        <v>Kochi</v>
      </c>
      <c r="AF121" t="str">
        <f t="shared" si="2"/>
        <v>Furniture</v>
      </c>
      <c r="AG121" t="str">
        <f t="shared" si="2"/>
        <v>Chairs</v>
      </c>
      <c r="AH121" t="str">
        <f t="shared" si="2"/>
        <v>Elite Chairs 921</v>
      </c>
      <c r="AI121" t="str">
        <f t="shared" si="2"/>
        <v>Standard Class</v>
      </c>
      <c r="AJ121" s="3" t="str">
        <f t="shared" si="1"/>
        <v>anomaly</v>
      </c>
      <c r="AK121">
        <f>IFERROR(Y121-X121, "invalid date")</f>
        <v>7</v>
      </c>
      <c r="AL121" s="10">
        <v>0.25</v>
      </c>
      <c r="AM121" s="11">
        <v>1884.3000000000002</v>
      </c>
      <c r="AN121" s="11">
        <v>366.61000000000013</v>
      </c>
      <c r="AO121" s="10">
        <v>0.19456031417502526</v>
      </c>
      <c r="AP121" t="s">
        <v>4295</v>
      </c>
      <c r="AQ121" t="s">
        <v>4296</v>
      </c>
      <c r="AR121" t="s">
        <v>4170</v>
      </c>
      <c r="AS121" t="s">
        <v>4107</v>
      </c>
      <c r="AT121" t="s">
        <v>4115</v>
      </c>
      <c r="AU121">
        <v>7</v>
      </c>
      <c r="AV121" t="s">
        <v>4109</v>
      </c>
    </row>
    <row r="122" spans="1:48">
      <c r="A122" t="s">
        <v>703</v>
      </c>
      <c r="B122" t="s">
        <v>514</v>
      </c>
      <c r="C122" t="s">
        <v>704</v>
      </c>
      <c r="D122" t="s">
        <v>705</v>
      </c>
      <c r="E122" t="s">
        <v>177</v>
      </c>
      <c r="F122" t="s">
        <v>50</v>
      </c>
      <c r="G122" t="s">
        <v>51</v>
      </c>
      <c r="H122" t="s">
        <v>196</v>
      </c>
      <c r="I122" t="s">
        <v>197</v>
      </c>
      <c r="J122" t="s">
        <v>95</v>
      </c>
      <c r="K122" t="s">
        <v>233</v>
      </c>
      <c r="L122" t="s">
        <v>706</v>
      </c>
      <c r="M122" t="s">
        <v>76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43</v>
      </c>
      <c r="U122" t="s">
        <v>134</v>
      </c>
      <c r="W122" t="s">
        <v>703</v>
      </c>
      <c r="X122" t="str">
        <v>10-08-24</v>
      </c>
      <c r="Y122" t="str">
        <v>18-08-24</v>
      </c>
      <c r="Z122" t="s">
        <v>705</v>
      </c>
      <c r="AA122" t="str">
        <v>Sneha Kapoor</v>
      </c>
      <c r="AB122" t="str">
        <f>TRIM(PROPER(F:F))</f>
        <v>Small Business</v>
      </c>
      <c r="AC122" t="str">
        <f>TRIM(PROPER(G:G))</f>
        <v>East</v>
      </c>
      <c r="AD122" t="str">
        <f>TRIM(PROPER(H:H))</f>
        <v>Bihar</v>
      </c>
      <c r="AE122" t="str">
        <f>TRIM(PROPER(I:I))</f>
        <v>Patna</v>
      </c>
      <c r="AF122" t="str">
        <f t="shared" si="2"/>
        <v>Technology</v>
      </c>
      <c r="AG122" t="str">
        <f t="shared" si="2"/>
        <v>Phones</v>
      </c>
      <c r="AH122" t="str">
        <f t="shared" si="2"/>
        <v>Prime Phones 540</v>
      </c>
      <c r="AI122" t="str">
        <f t="shared" si="2"/>
        <v>Standard Class</v>
      </c>
      <c r="AJ122" s="3" t="str">
        <f t="shared" si="1"/>
        <v>anomaly</v>
      </c>
      <c r="AK122">
        <f>IFERROR(Y122-X122, "invalid date")</f>
        <v>8</v>
      </c>
      <c r="AL122" s="10">
        <v>0.2</v>
      </c>
      <c r="AM122" s="11">
        <v>1458.9360000000001</v>
      </c>
      <c r="AN122" s="11">
        <v>565.7360000000001</v>
      </c>
      <c r="AO122" s="10">
        <v>0.38777300717783375</v>
      </c>
      <c r="AP122" t="s">
        <v>4243</v>
      </c>
      <c r="AQ122" t="s">
        <v>4297</v>
      </c>
      <c r="AR122" t="s">
        <v>4114</v>
      </c>
      <c r="AS122" t="s">
        <v>4107</v>
      </c>
      <c r="AT122" t="s">
        <v>4115</v>
      </c>
      <c r="AU122">
        <v>8</v>
      </c>
      <c r="AV122" t="s">
        <v>4109</v>
      </c>
    </row>
    <row r="123" spans="1:48">
      <c r="A123" t="s">
        <v>707</v>
      </c>
      <c r="B123" t="s">
        <v>708</v>
      </c>
      <c r="C123" t="s">
        <v>709</v>
      </c>
      <c r="D123" t="s">
        <v>710</v>
      </c>
      <c r="E123" t="s">
        <v>377</v>
      </c>
      <c r="F123" t="s">
        <v>711</v>
      </c>
      <c r="G123" t="s">
        <v>71</v>
      </c>
      <c r="H123" t="s">
        <v>109</v>
      </c>
      <c r="I123" t="s">
        <v>110</v>
      </c>
      <c r="J123" t="s">
        <v>95</v>
      </c>
      <c r="K123" t="s">
        <v>393</v>
      </c>
      <c r="L123" t="s">
        <v>712</v>
      </c>
      <c r="M123" t="s">
        <v>42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133</v>
      </c>
      <c r="U123" t="s">
        <v>87</v>
      </c>
      <c r="W123" t="s">
        <v>707</v>
      </c>
      <c r="X123" t="str">
        <v>invalid date</v>
      </c>
      <c r="Y123" t="str">
        <v>invalid date</v>
      </c>
      <c r="Z123" t="s">
        <v>710</v>
      </c>
      <c r="AA123" t="str">
        <v>Kabir Singh</v>
      </c>
      <c r="AB123" t="str">
        <f>TRIM(PROPER(F:F))</f>
        <v>Small Business</v>
      </c>
      <c r="AC123" t="str">
        <f>TRIM(PROPER(G:G))</f>
        <v>South</v>
      </c>
      <c r="AD123" t="str">
        <f>TRIM(PROPER(H:H))</f>
        <v>Andhra Pradesh</v>
      </c>
      <c r="AE123" t="str">
        <f>TRIM(PROPER(I:I))</f>
        <v>Vijayawada</v>
      </c>
      <c r="AF123" t="str">
        <f t="shared" si="2"/>
        <v>Technology</v>
      </c>
      <c r="AG123" t="str">
        <f t="shared" si="2"/>
        <v>Machines</v>
      </c>
      <c r="AH123" t="str">
        <f t="shared" si="2"/>
        <v>Max Machines 948</v>
      </c>
      <c r="AI123" t="str">
        <f t="shared" si="2"/>
        <v>Second Class</v>
      </c>
      <c r="AJ123" s="3" t="str">
        <f t="shared" si="1"/>
        <v>Invalid</v>
      </c>
      <c r="AK123" t="str">
        <f>IFERROR(Y123-X123, "invalid date")</f>
        <v>invalid date</v>
      </c>
      <c r="AL123" s="10">
        <v>0</v>
      </c>
      <c r="AM123" s="11">
        <v>17414.599999999999</v>
      </c>
      <c r="AN123" s="11">
        <v>5653.6899999999987</v>
      </c>
      <c r="AO123" s="10">
        <v>0.3246523032398102</v>
      </c>
      <c r="AP123" t="s">
        <v>4105</v>
      </c>
      <c r="AQ123" t="s">
        <v>4105</v>
      </c>
      <c r="AR123" t="s">
        <v>4105</v>
      </c>
      <c r="AS123" t="s">
        <v>4105</v>
      </c>
      <c r="AT123" t="s">
        <v>4108</v>
      </c>
      <c r="AU123" t="s">
        <v>4105</v>
      </c>
      <c r="AV123" t="s">
        <v>4109</v>
      </c>
    </row>
    <row r="124" spans="1:48">
      <c r="A124" t="s">
        <v>713</v>
      </c>
      <c r="B124" t="s">
        <v>714</v>
      </c>
      <c r="C124" t="s">
        <v>715</v>
      </c>
      <c r="D124" t="s">
        <v>716</v>
      </c>
      <c r="E124" t="s">
        <v>81</v>
      </c>
      <c r="F124" t="s">
        <v>50</v>
      </c>
      <c r="G124" t="s">
        <v>51</v>
      </c>
      <c r="H124" t="s">
        <v>226</v>
      </c>
      <c r="I124" t="s">
        <v>227</v>
      </c>
      <c r="J124" t="s">
        <v>54</v>
      </c>
      <c r="K124" t="s">
        <v>85</v>
      </c>
      <c r="L124" t="s">
        <v>717</v>
      </c>
      <c r="M124" t="s">
        <v>42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43</v>
      </c>
      <c r="U124" t="s">
        <v>44</v>
      </c>
      <c r="W124" t="s">
        <v>713</v>
      </c>
      <c r="X124" t="str">
        <v>invalid date</v>
      </c>
      <c r="Y124" t="str">
        <v>04-12-24</v>
      </c>
      <c r="Z124" t="s">
        <v>716</v>
      </c>
      <c r="AA124" t="str">
        <v>Ananya Rao</v>
      </c>
      <c r="AB124" t="str">
        <f>TRIM(PROPER(F:F))</f>
        <v>Small Business</v>
      </c>
      <c r="AC124" t="str">
        <f>TRIM(PROPER(G:G))</f>
        <v>East</v>
      </c>
      <c r="AD124" t="str">
        <f>TRIM(PROPER(H:H))</f>
        <v>Assam</v>
      </c>
      <c r="AE124" t="str">
        <f>TRIM(PROPER(I:I))</f>
        <v>Guwahati</v>
      </c>
      <c r="AF124" t="str">
        <f t="shared" si="2"/>
        <v>Furniture</v>
      </c>
      <c r="AG124" t="str">
        <f t="shared" si="2"/>
        <v>Chairs</v>
      </c>
      <c r="AH124" t="str">
        <f t="shared" si="2"/>
        <v>Max Chairs 786</v>
      </c>
      <c r="AI124" t="str">
        <f t="shared" si="2"/>
        <v>Second Class</v>
      </c>
      <c r="AJ124" s="3" t="str">
        <f t="shared" si="1"/>
        <v>Invalid</v>
      </c>
      <c r="AK124" t="str">
        <f>IFERROR(Y124-X124, "invalid date")</f>
        <v>invalid date</v>
      </c>
      <c r="AL124" s="10">
        <v>0</v>
      </c>
      <c r="AM124" s="11">
        <v>511.04999999999995</v>
      </c>
      <c r="AN124" s="11">
        <v>143.86999999999995</v>
      </c>
      <c r="AO124" s="10">
        <v>0.28151844242246349</v>
      </c>
      <c r="AP124" t="s">
        <v>4105</v>
      </c>
      <c r="AQ124" t="s">
        <v>4298</v>
      </c>
      <c r="AR124" t="s">
        <v>4105</v>
      </c>
      <c r="AS124" t="s">
        <v>4105</v>
      </c>
      <c r="AT124" t="s">
        <v>4108</v>
      </c>
      <c r="AU124" t="s">
        <v>4105</v>
      </c>
      <c r="AV124" t="s">
        <v>4109</v>
      </c>
    </row>
    <row r="125" spans="1:48">
      <c r="A125" t="s">
        <v>718</v>
      </c>
      <c r="B125" t="s">
        <v>719</v>
      </c>
      <c r="C125" t="s">
        <v>720</v>
      </c>
      <c r="D125" t="s">
        <v>721</v>
      </c>
      <c r="E125" t="s">
        <v>177</v>
      </c>
      <c r="F125" t="s">
        <v>50</v>
      </c>
      <c r="G125" t="s">
        <v>722</v>
      </c>
      <c r="H125" t="s">
        <v>163</v>
      </c>
      <c r="I125" t="s">
        <v>164</v>
      </c>
      <c r="J125" t="s">
        <v>95</v>
      </c>
      <c r="K125" t="s">
        <v>103</v>
      </c>
      <c r="L125" t="s">
        <v>723</v>
      </c>
      <c r="M125" t="s">
        <v>57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133</v>
      </c>
      <c r="U125" t="s">
        <v>87</v>
      </c>
      <c r="W125" t="s">
        <v>718</v>
      </c>
      <c r="X125" t="str">
        <v>invalid date</v>
      </c>
      <c r="Y125" t="str">
        <v>25-05-24</v>
      </c>
      <c r="Z125" t="s">
        <v>721</v>
      </c>
      <c r="AA125" t="str">
        <v>Sneha Kapoor</v>
      </c>
      <c r="AB125" t="str">
        <f>TRIM(PROPER(F:F))</f>
        <v>Small Business</v>
      </c>
      <c r="AC125" t="str">
        <f>TRIM(PROPER(G:G))</f>
        <v>North</v>
      </c>
      <c r="AD125" t="str">
        <f>TRIM(PROPER(H:H))</f>
        <v>Punjab</v>
      </c>
      <c r="AE125" t="str">
        <f>TRIM(PROPER(I:I))</f>
        <v>Ludhiana</v>
      </c>
      <c r="AF125" t="str">
        <f t="shared" si="2"/>
        <v>Technology</v>
      </c>
      <c r="AG125" t="str">
        <f t="shared" si="2"/>
        <v>Copiers</v>
      </c>
      <c r="AH125" t="str">
        <f t="shared" si="2"/>
        <v>Max Copiers 970</v>
      </c>
      <c r="AI125" t="str">
        <f t="shared" si="2"/>
        <v>Same Day</v>
      </c>
      <c r="AJ125" s="3" t="str">
        <f t="shared" si="1"/>
        <v>Invalid</v>
      </c>
      <c r="AK125" t="str">
        <f>IFERROR(Y125-X125, "invalid date")</f>
        <v>invalid date</v>
      </c>
      <c r="AL125" s="10">
        <v>0</v>
      </c>
      <c r="AM125" s="11">
        <v>634.13</v>
      </c>
      <c r="AN125" s="11">
        <v>180.77999999999997</v>
      </c>
      <c r="AO125" s="10">
        <v>0.28508350022865969</v>
      </c>
      <c r="AP125" t="s">
        <v>4105</v>
      </c>
      <c r="AQ125" t="s">
        <v>4299</v>
      </c>
      <c r="AR125" t="s">
        <v>4105</v>
      </c>
      <c r="AS125" t="s">
        <v>4105</v>
      </c>
      <c r="AT125" t="s">
        <v>4108</v>
      </c>
      <c r="AU125" t="s">
        <v>4105</v>
      </c>
      <c r="AV125" t="s">
        <v>4109</v>
      </c>
    </row>
    <row r="126" spans="1:48">
      <c r="A126" t="s">
        <v>724</v>
      </c>
      <c r="B126" t="s">
        <v>31</v>
      </c>
      <c r="C126" t="s">
        <v>725</v>
      </c>
      <c r="D126" t="s">
        <v>726</v>
      </c>
      <c r="E126" t="s">
        <v>62</v>
      </c>
      <c r="F126" t="s">
        <v>117</v>
      </c>
      <c r="G126" t="s">
        <v>71</v>
      </c>
      <c r="H126" t="s">
        <v>239</v>
      </c>
      <c r="I126" t="s">
        <v>240</v>
      </c>
      <c r="J126" t="s">
        <v>95</v>
      </c>
      <c r="K126" t="s">
        <v>103</v>
      </c>
      <c r="L126" t="s">
        <v>727</v>
      </c>
      <c r="M126" t="s">
        <v>76</v>
      </c>
      <c r="N126">
        <v>9</v>
      </c>
      <c r="O126">
        <v>465.06</v>
      </c>
      <c r="P126" s="4" t="s">
        <v>191</v>
      </c>
      <c r="Q126">
        <v>4185.54</v>
      </c>
      <c r="R126">
        <v>3443.74</v>
      </c>
      <c r="S126">
        <v>741.8</v>
      </c>
      <c r="T126" t="s">
        <v>43</v>
      </c>
      <c r="U126" t="s">
        <v>44</v>
      </c>
      <c r="W126" t="s">
        <v>724</v>
      </c>
      <c r="X126" t="str">
        <v>21-07-24</v>
      </c>
      <c r="Y126" t="str">
        <v>invalid date</v>
      </c>
      <c r="Z126" t="s">
        <v>726</v>
      </c>
      <c r="AA126" t="str">
        <v>Isha Nair</v>
      </c>
      <c r="AB126" t="str">
        <f>TRIM(PROPER(F:F))</f>
        <v>Corporate</v>
      </c>
      <c r="AC126" t="str">
        <f>TRIM(PROPER(G:G))</f>
        <v>South</v>
      </c>
      <c r="AD126" t="str">
        <f>TRIM(PROPER(H:H))</f>
        <v>Karnataka</v>
      </c>
      <c r="AE126" t="str">
        <f>TRIM(PROPER(I:I))</f>
        <v>Bengaluru</v>
      </c>
      <c r="AF126" t="str">
        <f t="shared" si="2"/>
        <v>Technology</v>
      </c>
      <c r="AG126" t="str">
        <f t="shared" si="2"/>
        <v>Copiers</v>
      </c>
      <c r="AH126" t="str">
        <f t="shared" si="2"/>
        <v>Pro Copiers 769</v>
      </c>
      <c r="AI126" t="str">
        <f t="shared" si="2"/>
        <v>Standard Class</v>
      </c>
      <c r="AJ126" s="3" t="str">
        <f t="shared" si="1"/>
        <v>Invalid</v>
      </c>
      <c r="AK126" t="str">
        <f>IFERROR(Y126-X126, "invalid date")</f>
        <v>invalid date</v>
      </c>
      <c r="AL126" s="10" t="s">
        <v>191</v>
      </c>
      <c r="AM126" s="11" t="s">
        <v>4111</v>
      </c>
      <c r="AN126" s="11" t="s">
        <v>4111</v>
      </c>
      <c r="AO126" s="10" t="s">
        <v>4111</v>
      </c>
      <c r="AP126" t="s">
        <v>4104</v>
      </c>
      <c r="AQ126" t="s">
        <v>4105</v>
      </c>
      <c r="AR126" t="s">
        <v>4106</v>
      </c>
      <c r="AS126" t="s">
        <v>4107</v>
      </c>
      <c r="AT126" t="s">
        <v>4108</v>
      </c>
      <c r="AU126" t="s">
        <v>4105</v>
      </c>
      <c r="AV126" t="s">
        <v>4109</v>
      </c>
    </row>
    <row r="127" spans="1:48">
      <c r="A127" t="s">
        <v>728</v>
      </c>
      <c r="B127" t="s">
        <v>729</v>
      </c>
      <c r="C127" t="s">
        <v>730</v>
      </c>
      <c r="D127" t="s">
        <v>731</v>
      </c>
      <c r="E127" t="s">
        <v>102</v>
      </c>
      <c r="F127" t="s">
        <v>50</v>
      </c>
      <c r="G127" t="s">
        <v>82</v>
      </c>
      <c r="H127" t="s">
        <v>37</v>
      </c>
      <c r="I127" t="s">
        <v>144</v>
      </c>
      <c r="J127" t="s">
        <v>54</v>
      </c>
      <c r="K127" t="s">
        <v>55</v>
      </c>
      <c r="L127" t="s">
        <v>732</v>
      </c>
      <c r="M127" t="s">
        <v>57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133</v>
      </c>
      <c r="U127" t="s">
        <v>134</v>
      </c>
      <c r="W127" t="s">
        <v>728</v>
      </c>
      <c r="X127" t="str">
        <v>17-07-25</v>
      </c>
      <c r="Y127" t="str">
        <v>18-07-25</v>
      </c>
      <c r="Z127" t="s">
        <v>731</v>
      </c>
      <c r="AA127" t="str">
        <v>Neha Gupta</v>
      </c>
      <c r="AB127" t="str">
        <f>TRIM(PROPER(F:F))</f>
        <v>Small Business</v>
      </c>
      <c r="AC127" t="str">
        <f>TRIM(PROPER(G:G))</f>
        <v>West</v>
      </c>
      <c r="AD127" t="str">
        <f>TRIM(PROPER(H:H))</f>
        <v>Rajasthan</v>
      </c>
      <c r="AE127" t="str">
        <f>TRIM(PROPER(I:I))</f>
        <v>Udaipur</v>
      </c>
      <c r="AF127" t="str">
        <f t="shared" si="2"/>
        <v>Furniture</v>
      </c>
      <c r="AG127" t="str">
        <f t="shared" si="2"/>
        <v>Tables</v>
      </c>
      <c r="AH127" t="str">
        <f t="shared" si="2"/>
        <v>Basic Tables 753</v>
      </c>
      <c r="AI127" t="str">
        <f t="shared" si="2"/>
        <v>Same Day</v>
      </c>
      <c r="AJ127" s="3" t="str">
        <f t="shared" si="1"/>
        <v>anomaly</v>
      </c>
      <c r="AK127">
        <f>IFERROR(Y127-X127, "invalid date")</f>
        <v>1</v>
      </c>
      <c r="AL127" s="10">
        <v>0.25</v>
      </c>
      <c r="AM127" s="11">
        <v>14558.715</v>
      </c>
      <c r="AN127" s="11">
        <v>4967.2350000000006</v>
      </c>
      <c r="AO127" s="10">
        <v>0.34118636157105903</v>
      </c>
      <c r="AP127" t="s">
        <v>4149</v>
      </c>
      <c r="AQ127" t="s">
        <v>4300</v>
      </c>
      <c r="AR127" t="s">
        <v>4106</v>
      </c>
      <c r="AS127" t="s">
        <v>4120</v>
      </c>
      <c r="AT127" t="s">
        <v>4115</v>
      </c>
      <c r="AU127">
        <v>1</v>
      </c>
      <c r="AV127" t="s">
        <v>4109</v>
      </c>
    </row>
    <row r="128" spans="1:48">
      <c r="A128" t="s">
        <v>733</v>
      </c>
      <c r="B128" t="s">
        <v>734</v>
      </c>
      <c r="C128" t="s">
        <v>735</v>
      </c>
      <c r="D128" t="s">
        <v>736</v>
      </c>
      <c r="E128" t="s">
        <v>151</v>
      </c>
      <c r="F128" t="s">
        <v>117</v>
      </c>
      <c r="G128" t="s">
        <v>36</v>
      </c>
      <c r="H128" t="s">
        <v>517</v>
      </c>
      <c r="I128" t="s">
        <v>518</v>
      </c>
      <c r="J128" t="s">
        <v>95</v>
      </c>
      <c r="K128" t="s">
        <v>103</v>
      </c>
      <c r="L128" t="s">
        <v>737</v>
      </c>
      <c r="M128" t="s">
        <v>76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43</v>
      </c>
      <c r="U128" t="s">
        <v>44</v>
      </c>
      <c r="W128" t="s">
        <v>733</v>
      </c>
      <c r="X128" t="str">
        <v>24-09-25</v>
      </c>
      <c r="Y128" t="str">
        <v>26-09-25</v>
      </c>
      <c r="Z128" t="s">
        <v>736</v>
      </c>
      <c r="AA128" t="str">
        <v>Priya Menon</v>
      </c>
      <c r="AB128" t="str">
        <f>TRIM(PROPER(F:F))</f>
        <v>Corporate</v>
      </c>
      <c r="AC128" t="str">
        <f>TRIM(PROPER(G:G))</f>
        <v>North</v>
      </c>
      <c r="AD128" t="str">
        <f>TRIM(PROPER(H:H))</f>
        <v>Delhi</v>
      </c>
      <c r="AE128" t="str">
        <f>TRIM(PROPER(I:I))</f>
        <v>New Delhi</v>
      </c>
      <c r="AF128" t="str">
        <f t="shared" si="2"/>
        <v>Technology</v>
      </c>
      <c r="AG128" t="str">
        <f t="shared" si="2"/>
        <v>Copiers</v>
      </c>
      <c r="AH128" t="str">
        <f t="shared" si="2"/>
        <v>Prime Copiers 651</v>
      </c>
      <c r="AI128" t="str">
        <f t="shared" si="2"/>
        <v>Standard Class</v>
      </c>
      <c r="AJ128" s="3" t="str">
        <f t="shared" si="1"/>
        <v>anomaly</v>
      </c>
      <c r="AK128">
        <f>IFERROR(Y128-X128, "invalid date")</f>
        <v>2</v>
      </c>
      <c r="AL128" s="10">
        <v>0.1</v>
      </c>
      <c r="AM128" s="11">
        <v>4303.4220000000005</v>
      </c>
      <c r="AN128" s="11">
        <v>1734.8520000000003</v>
      </c>
      <c r="AO128" s="10">
        <v>0.40313313451481175</v>
      </c>
      <c r="AP128" t="s">
        <v>4301</v>
      </c>
      <c r="AQ128" t="s">
        <v>4302</v>
      </c>
      <c r="AR128" t="s">
        <v>4134</v>
      </c>
      <c r="AS128" t="s">
        <v>4120</v>
      </c>
      <c r="AT128" t="s">
        <v>4115</v>
      </c>
      <c r="AU128">
        <v>2</v>
      </c>
      <c r="AV128" t="s">
        <v>4109</v>
      </c>
    </row>
    <row r="129" spans="1:48">
      <c r="A129" t="s">
        <v>738</v>
      </c>
      <c r="B129" t="s">
        <v>201</v>
      </c>
      <c r="C129" t="s">
        <v>739</v>
      </c>
      <c r="D129" t="s">
        <v>740</v>
      </c>
      <c r="E129" t="s">
        <v>151</v>
      </c>
      <c r="F129" t="s">
        <v>117</v>
      </c>
      <c r="G129" t="s">
        <v>82</v>
      </c>
      <c r="H129" t="s">
        <v>93</v>
      </c>
      <c r="I129" t="s">
        <v>94</v>
      </c>
      <c r="J129" t="s">
        <v>39</v>
      </c>
      <c r="K129" t="s">
        <v>165</v>
      </c>
      <c r="L129" t="s">
        <v>741</v>
      </c>
      <c r="M129" t="s">
        <v>42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43</v>
      </c>
      <c r="U129" t="s">
        <v>44</v>
      </c>
      <c r="W129" t="s">
        <v>738</v>
      </c>
      <c r="X129" t="str">
        <v>invalid date</v>
      </c>
      <c r="Y129" t="str">
        <v>26-01-25</v>
      </c>
      <c r="Z129" t="s">
        <v>740</v>
      </c>
      <c r="AA129" t="str">
        <v>Priya Menon</v>
      </c>
      <c r="AB129" t="str">
        <f>TRIM(PROPER(F:F))</f>
        <v>Corporate</v>
      </c>
      <c r="AC129" t="str">
        <f>TRIM(PROPER(G:G))</f>
        <v>West</v>
      </c>
      <c r="AD129" t="str">
        <f>TRIM(PROPER(H:H))</f>
        <v>Madhya Pradesh</v>
      </c>
      <c r="AE129" t="str">
        <f>TRIM(PROPER(I:I))</f>
        <v>Indore</v>
      </c>
      <c r="AF129" t="str">
        <f t="shared" si="2"/>
        <v>Office Supplies</v>
      </c>
      <c r="AG129" t="str">
        <f t="shared" si="2"/>
        <v>Storage</v>
      </c>
      <c r="AH129" t="str">
        <f t="shared" si="2"/>
        <v>Basic Storage 321</v>
      </c>
      <c r="AI129" t="str">
        <f t="shared" si="2"/>
        <v>Second Class</v>
      </c>
      <c r="AJ129" s="3" t="str">
        <f t="shared" si="1"/>
        <v>Invalid</v>
      </c>
      <c r="AK129" t="str">
        <f>IFERROR(Y129-X129, "invalid date")</f>
        <v>invalid date</v>
      </c>
      <c r="AL129" s="10">
        <v>0.05</v>
      </c>
      <c r="AM129" s="11">
        <v>5774.67</v>
      </c>
      <c r="AN129" s="11">
        <v>2256.31</v>
      </c>
      <c r="AO129" s="10">
        <v>0.39072535746631409</v>
      </c>
      <c r="AP129" t="s">
        <v>4105</v>
      </c>
      <c r="AQ129" t="s">
        <v>4303</v>
      </c>
      <c r="AR129" t="s">
        <v>4105</v>
      </c>
      <c r="AS129" t="s">
        <v>4105</v>
      </c>
      <c r="AT129" t="s">
        <v>4108</v>
      </c>
      <c r="AU129" t="s">
        <v>4105</v>
      </c>
      <c r="AV129" t="s">
        <v>4109</v>
      </c>
    </row>
    <row r="130" spans="1:48">
      <c r="A130" t="s">
        <v>742</v>
      </c>
      <c r="B130" t="s">
        <v>743</v>
      </c>
      <c r="C130" t="s">
        <v>744</v>
      </c>
      <c r="D130" t="s">
        <v>745</v>
      </c>
      <c r="E130" t="s">
        <v>102</v>
      </c>
      <c r="F130" t="s">
        <v>50</v>
      </c>
      <c r="G130" t="s">
        <v>51</v>
      </c>
      <c r="H130" t="s">
        <v>52</v>
      </c>
      <c r="I130" t="s">
        <v>53</v>
      </c>
      <c r="J130" t="s">
        <v>54</v>
      </c>
      <c r="K130" t="s">
        <v>74</v>
      </c>
      <c r="L130" t="s">
        <v>746</v>
      </c>
      <c r="M130" t="s">
        <v>76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43</v>
      </c>
      <c r="U130" t="s">
        <v>134</v>
      </c>
      <c r="W130" t="s">
        <v>742</v>
      </c>
      <c r="X130" t="str">
        <v>13-12-24</v>
      </c>
      <c r="Y130" t="str">
        <v>16-12-24</v>
      </c>
      <c r="Z130" t="s">
        <v>745</v>
      </c>
      <c r="AA130" t="str">
        <v>Neha Gupta</v>
      </c>
      <c r="AB130" t="str">
        <f>TRIM(PROPER(F:F))</f>
        <v>Small Business</v>
      </c>
      <c r="AC130" t="str">
        <f>TRIM(PROPER(G:G))</f>
        <v>East</v>
      </c>
      <c r="AD130" t="str">
        <f>TRIM(PROPER(H:H))</f>
        <v>Odisha</v>
      </c>
      <c r="AE130" t="str">
        <f>TRIM(PROPER(I:I))</f>
        <v>Bhubaneswar</v>
      </c>
      <c r="AF130" t="str">
        <f t="shared" si="2"/>
        <v>Furniture</v>
      </c>
      <c r="AG130" t="str">
        <f t="shared" si="2"/>
        <v>Furnishings</v>
      </c>
      <c r="AH130" t="str">
        <f t="shared" si="2"/>
        <v>Prime Furnishings 710</v>
      </c>
      <c r="AI130" t="str">
        <f t="shared" si="2"/>
        <v>Standard Class</v>
      </c>
      <c r="AJ130" s="3" t="str">
        <f t="shared" si="1"/>
        <v>anomaly</v>
      </c>
      <c r="AK130">
        <f>IFERROR(Y130-X130, "invalid date")</f>
        <v>3</v>
      </c>
      <c r="AL130" s="10">
        <v>0.05</v>
      </c>
      <c r="AM130" s="11">
        <v>4386.3874999999998</v>
      </c>
      <c r="AN130" s="11">
        <v>1019.5074999999997</v>
      </c>
      <c r="AO130" s="10">
        <v>0.2324253158208206</v>
      </c>
      <c r="AP130" t="s">
        <v>4304</v>
      </c>
      <c r="AQ130" t="s">
        <v>4305</v>
      </c>
      <c r="AR130" t="s">
        <v>4139</v>
      </c>
      <c r="AS130" t="s">
        <v>4107</v>
      </c>
      <c r="AT130" t="s">
        <v>4115</v>
      </c>
      <c r="AU130">
        <v>3</v>
      </c>
      <c r="AV130" t="s">
        <v>4109</v>
      </c>
    </row>
    <row r="131" spans="1:48">
      <c r="A131" t="s">
        <v>747</v>
      </c>
      <c r="B131" t="s">
        <v>417</v>
      </c>
      <c r="C131" t="s">
        <v>748</v>
      </c>
      <c r="D131" t="s">
        <v>749</v>
      </c>
      <c r="E131" t="s">
        <v>62</v>
      </c>
      <c r="F131" t="s">
        <v>50</v>
      </c>
      <c r="G131" t="s">
        <v>82</v>
      </c>
      <c r="H131" t="s">
        <v>259</v>
      </c>
      <c r="I131" t="s">
        <v>260</v>
      </c>
      <c r="J131" t="s">
        <v>39</v>
      </c>
      <c r="K131" t="s">
        <v>208</v>
      </c>
      <c r="L131" t="s">
        <v>750</v>
      </c>
      <c r="M131" t="s">
        <v>76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43</v>
      </c>
      <c r="U131" t="s">
        <v>44</v>
      </c>
      <c r="W131" t="s">
        <v>747</v>
      </c>
      <c r="X131" t="str">
        <v>19-07-24</v>
      </c>
      <c r="Y131" t="str">
        <v>25-07-24</v>
      </c>
      <c r="Z131" t="s">
        <v>749</v>
      </c>
      <c r="AA131" t="str">
        <v>Isha Nair</v>
      </c>
      <c r="AB131" t="str">
        <f>TRIM(PROPER(F:F))</f>
        <v>Small Business</v>
      </c>
      <c r="AC131" t="str">
        <f>TRIM(PROPER(G:G))</f>
        <v>West</v>
      </c>
      <c r="AD131" t="str">
        <f>TRIM(PROPER(H:H))</f>
        <v>Goa</v>
      </c>
      <c r="AE131" t="str">
        <f>TRIM(PROPER(I:I))</f>
        <v>Panaji</v>
      </c>
      <c r="AF131" t="str">
        <f t="shared" si="2"/>
        <v>Office Supplies</v>
      </c>
      <c r="AG131" t="str">
        <f t="shared" si="2"/>
        <v>Binders</v>
      </c>
      <c r="AH131" t="str">
        <f t="shared" si="2"/>
        <v>Elite Binders 723</v>
      </c>
      <c r="AI131" t="str">
        <f t="shared" si="2"/>
        <v>Standard Class</v>
      </c>
      <c r="AJ131" s="3" t="str">
        <f t="shared" ref="AJ131:AJ194" si="3">IF(OR(X:X="Invalid Date",Y:Y="Invalid Date"),"Invalid",(IF(X:X&lt;Y:Y,"anomaly", "  ")))</f>
        <v>anomaly</v>
      </c>
      <c r="AK131">
        <f>IFERROR(Y131-X131, "invalid date")</f>
        <v>6</v>
      </c>
      <c r="AL131" s="10">
        <v>0.05</v>
      </c>
      <c r="AM131" s="11">
        <v>18229.5785</v>
      </c>
      <c r="AN131" s="11">
        <v>3090.4285</v>
      </c>
      <c r="AO131" s="10">
        <v>0.16952824773211295</v>
      </c>
      <c r="AP131" t="s">
        <v>4194</v>
      </c>
      <c r="AQ131" t="s">
        <v>4216</v>
      </c>
      <c r="AR131" t="s">
        <v>4106</v>
      </c>
      <c r="AS131" t="s">
        <v>4107</v>
      </c>
      <c r="AT131" t="s">
        <v>4115</v>
      </c>
      <c r="AU131">
        <v>6</v>
      </c>
      <c r="AV131" t="s">
        <v>4109</v>
      </c>
    </row>
    <row r="132" spans="1:48">
      <c r="A132" t="s">
        <v>751</v>
      </c>
      <c r="B132" t="s">
        <v>752</v>
      </c>
      <c r="C132" t="s">
        <v>753</v>
      </c>
      <c r="D132" t="s">
        <v>754</v>
      </c>
      <c r="E132" t="s">
        <v>70</v>
      </c>
      <c r="F132" t="s">
        <v>35</v>
      </c>
      <c r="G132" t="s">
        <v>82</v>
      </c>
      <c r="H132" t="s">
        <v>245</v>
      </c>
      <c r="I132" t="s">
        <v>246</v>
      </c>
      <c r="J132" t="s">
        <v>39</v>
      </c>
      <c r="K132" t="s">
        <v>118</v>
      </c>
      <c r="L132" t="s">
        <v>755</v>
      </c>
      <c r="M132" t="s">
        <v>57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146</v>
      </c>
      <c r="U132" t="s">
        <v>87</v>
      </c>
      <c r="W132" t="s">
        <v>751</v>
      </c>
      <c r="X132" t="str">
        <v>27-01-24</v>
      </c>
      <c r="Y132" t="str">
        <v>02-02-24</v>
      </c>
      <c r="Z132" t="s">
        <v>754</v>
      </c>
      <c r="AA132" t="str">
        <v>Arjun Bose</v>
      </c>
      <c r="AB132" t="str">
        <f>TRIM(PROPER(F:F))</f>
        <v>Consumer</v>
      </c>
      <c r="AC132" t="str">
        <f>TRIM(PROPER(G:G))</f>
        <v>West</v>
      </c>
      <c r="AD132" t="str">
        <f>TRIM(PROPER(H:H))</f>
        <v>Gujarat</v>
      </c>
      <c r="AE132" t="str">
        <f>TRIM(PROPER(I:I))</f>
        <v>Ahmedabad</v>
      </c>
      <c r="AF132" t="str">
        <f t="shared" si="2"/>
        <v>Office Supplies</v>
      </c>
      <c r="AG132" t="str">
        <f t="shared" si="2"/>
        <v>Labels</v>
      </c>
      <c r="AH132" t="str">
        <f t="shared" si="2"/>
        <v>Smart Labels 878</v>
      </c>
      <c r="AI132" t="str">
        <f t="shared" si="2"/>
        <v>Same Day</v>
      </c>
      <c r="AJ132" s="3" t="str">
        <f t="shared" si="3"/>
        <v xml:space="preserve">  </v>
      </c>
      <c r="AK132">
        <f>IFERROR(Y132-X132, "invalid date")</f>
        <v>6</v>
      </c>
      <c r="AL132" s="10">
        <v>0.2</v>
      </c>
      <c r="AM132" s="11">
        <v>873.68</v>
      </c>
      <c r="AN132" s="11">
        <v>211.95999999999992</v>
      </c>
      <c r="AO132" s="10">
        <v>0.24260598846259493</v>
      </c>
      <c r="AP132" t="s">
        <v>4306</v>
      </c>
      <c r="AQ132" t="s">
        <v>4307</v>
      </c>
      <c r="AR132" t="s">
        <v>4153</v>
      </c>
      <c r="AS132" t="s">
        <v>4107</v>
      </c>
      <c r="AT132" t="s">
        <v>4121</v>
      </c>
      <c r="AU132">
        <v>6</v>
      </c>
      <c r="AV132" t="s">
        <v>4109</v>
      </c>
    </row>
    <row r="133" spans="1:48">
      <c r="A133" t="s">
        <v>756</v>
      </c>
      <c r="B133" t="s">
        <v>757</v>
      </c>
      <c r="C133" t="s">
        <v>758</v>
      </c>
      <c r="D133" t="s">
        <v>759</v>
      </c>
      <c r="E133" t="s">
        <v>81</v>
      </c>
      <c r="F133" t="s">
        <v>124</v>
      </c>
      <c r="G133" t="s">
        <v>51</v>
      </c>
      <c r="H133" t="s">
        <v>322</v>
      </c>
      <c r="I133" t="s">
        <v>323</v>
      </c>
      <c r="J133" t="s">
        <v>39</v>
      </c>
      <c r="K133" t="s">
        <v>40</v>
      </c>
      <c r="L133" t="s">
        <v>760</v>
      </c>
      <c r="M133" t="s">
        <v>57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43</v>
      </c>
      <c r="U133" t="s">
        <v>44</v>
      </c>
      <c r="W133" t="s">
        <v>756</v>
      </c>
      <c r="X133" t="str">
        <v>invalid date</v>
      </c>
      <c r="Y133" t="str">
        <v>04-10-25</v>
      </c>
      <c r="Z133" t="s">
        <v>759</v>
      </c>
      <c r="AA133" t="str">
        <v>Ananya Rao</v>
      </c>
      <c r="AB133" t="str">
        <f>TRIM(PROPER(F:F))</f>
        <v>Home Office</v>
      </c>
      <c r="AC133" t="str">
        <f>TRIM(PROPER(G:G))</f>
        <v>East</v>
      </c>
      <c r="AD133" t="str">
        <f>TRIM(PROPER(H:H))</f>
        <v>Jharkhand</v>
      </c>
      <c r="AE133" t="str">
        <f>TRIM(PROPER(I:I))</f>
        <v>Ranchi</v>
      </c>
      <c r="AF133" t="str">
        <f t="shared" si="2"/>
        <v>Office Supplies</v>
      </c>
      <c r="AG133" t="str">
        <f t="shared" si="2"/>
        <v>Paper</v>
      </c>
      <c r="AH133" t="str">
        <f t="shared" si="2"/>
        <v>Pro Paper 934</v>
      </c>
      <c r="AI133" t="str">
        <f t="shared" si="2"/>
        <v>Same Day</v>
      </c>
      <c r="AJ133" s="3" t="str">
        <f t="shared" si="3"/>
        <v>Invalid</v>
      </c>
      <c r="AK133" t="str">
        <f>IFERROR(Y133-X133, "invalid date")</f>
        <v>invalid date</v>
      </c>
      <c r="AL133" s="10">
        <v>0.2</v>
      </c>
      <c r="AM133" s="11">
        <v>2692.152</v>
      </c>
      <c r="AN133" s="11">
        <v>647.66200000000003</v>
      </c>
      <c r="AO133" s="10">
        <v>0.24057408348414205</v>
      </c>
      <c r="AP133" t="s">
        <v>4105</v>
      </c>
      <c r="AQ133" t="s">
        <v>4125</v>
      </c>
      <c r="AR133" t="s">
        <v>4105</v>
      </c>
      <c r="AS133" t="s">
        <v>4105</v>
      </c>
      <c r="AT133" t="s">
        <v>4108</v>
      </c>
      <c r="AU133" t="s">
        <v>4105</v>
      </c>
      <c r="AV133" t="s">
        <v>4109</v>
      </c>
    </row>
    <row r="134" spans="1:48">
      <c r="A134" t="s">
        <v>761</v>
      </c>
      <c r="B134" t="s">
        <v>762</v>
      </c>
      <c r="C134" t="s">
        <v>762</v>
      </c>
      <c r="D134" t="s">
        <v>763</v>
      </c>
      <c r="E134" t="s">
        <v>377</v>
      </c>
      <c r="F134" t="s">
        <v>117</v>
      </c>
      <c r="G134" t="s">
        <v>51</v>
      </c>
      <c r="H134" t="s">
        <v>226</v>
      </c>
      <c r="I134" t="s">
        <v>227</v>
      </c>
      <c r="J134" t="s">
        <v>95</v>
      </c>
      <c r="K134" t="s">
        <v>393</v>
      </c>
      <c r="L134" t="s">
        <v>764</v>
      </c>
      <c r="M134" t="s">
        <v>65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210</v>
      </c>
      <c r="U134" t="s">
        <v>87</v>
      </c>
      <c r="W134" t="s">
        <v>761</v>
      </c>
      <c r="X134" t="str">
        <v>04-11-24</v>
      </c>
      <c r="Y134" t="str">
        <v>04-11-24</v>
      </c>
      <c r="Z134" t="s">
        <v>763</v>
      </c>
      <c r="AA134" t="str">
        <v>Kabir Singh</v>
      </c>
      <c r="AB134" t="str">
        <f>TRIM(PROPER(F:F))</f>
        <v>Corporate</v>
      </c>
      <c r="AC134" t="str">
        <f>TRIM(PROPER(G:G))</f>
        <v>East</v>
      </c>
      <c r="AD134" t="str">
        <f>TRIM(PROPER(H:H))</f>
        <v>Assam</v>
      </c>
      <c r="AE134" t="str">
        <f>TRIM(PROPER(I:I))</f>
        <v>Guwahati</v>
      </c>
      <c r="AF134" t="str">
        <f t="shared" si="2"/>
        <v>Technology</v>
      </c>
      <c r="AG134" t="str">
        <f t="shared" si="2"/>
        <v>Machines</v>
      </c>
      <c r="AH134" t="str">
        <f t="shared" si="2"/>
        <v>Classic Machines 886</v>
      </c>
      <c r="AI134" t="str">
        <f t="shared" si="2"/>
        <v>First Class</v>
      </c>
      <c r="AJ134" s="3" t="str">
        <f t="shared" si="3"/>
        <v xml:space="preserve">  </v>
      </c>
      <c r="AK134">
        <f>IFERROR(Y134-X134, "invalid date")</f>
        <v>0</v>
      </c>
      <c r="AL134" s="10">
        <v>0</v>
      </c>
      <c r="AM134" s="11">
        <v>1066.1600000000001</v>
      </c>
      <c r="AN134" s="11">
        <v>409.86000000000013</v>
      </c>
      <c r="AO134" s="10">
        <v>0.38442635251744589</v>
      </c>
      <c r="AP134" t="s">
        <v>4279</v>
      </c>
      <c r="AQ134" t="s">
        <v>4279</v>
      </c>
      <c r="AR134" t="s">
        <v>4117</v>
      </c>
      <c r="AS134" t="s">
        <v>4107</v>
      </c>
      <c r="AT134" t="s">
        <v>4115</v>
      </c>
      <c r="AU134">
        <v>0</v>
      </c>
      <c r="AV134" t="s">
        <v>4109</v>
      </c>
    </row>
    <row r="135" spans="1:48">
      <c r="A135" t="s">
        <v>765</v>
      </c>
      <c r="B135" t="s">
        <v>766</v>
      </c>
      <c r="C135" t="s">
        <v>767</v>
      </c>
      <c r="D135" t="s">
        <v>768</v>
      </c>
      <c r="E135" t="s">
        <v>34</v>
      </c>
      <c r="F135" t="s">
        <v>35</v>
      </c>
      <c r="G135" t="s">
        <v>82</v>
      </c>
      <c r="H135" t="s">
        <v>259</v>
      </c>
      <c r="I135" t="s">
        <v>260</v>
      </c>
      <c r="J135" t="s">
        <v>95</v>
      </c>
      <c r="K135" t="s">
        <v>233</v>
      </c>
      <c r="L135" t="s">
        <v>769</v>
      </c>
      <c r="M135" t="s">
        <v>42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43</v>
      </c>
      <c r="U135" t="s">
        <v>44</v>
      </c>
      <c r="W135" t="s">
        <v>765</v>
      </c>
      <c r="X135" t="str">
        <v>13-12-24</v>
      </c>
      <c r="Y135" t="str">
        <v>invalid date</v>
      </c>
      <c r="Z135" t="s">
        <v>768</v>
      </c>
      <c r="AA135" t="str">
        <v>Karan Malhotra</v>
      </c>
      <c r="AB135" t="str">
        <f>TRIM(PROPER(F:F))</f>
        <v>Consumer</v>
      </c>
      <c r="AC135" t="str">
        <f>TRIM(PROPER(G:G))</f>
        <v>West</v>
      </c>
      <c r="AD135" t="str">
        <f>TRIM(PROPER(H:H))</f>
        <v>Goa</v>
      </c>
      <c r="AE135" t="str">
        <f>TRIM(PROPER(I:I))</f>
        <v>Panaji</v>
      </c>
      <c r="AF135" t="str">
        <f t="shared" si="2"/>
        <v>Technology</v>
      </c>
      <c r="AG135" t="str">
        <f t="shared" si="2"/>
        <v>Phones</v>
      </c>
      <c r="AH135" t="str">
        <f t="shared" si="2"/>
        <v>Prime Phones 419</v>
      </c>
      <c r="AI135" t="str">
        <f t="shared" si="2"/>
        <v>Second Class</v>
      </c>
      <c r="AJ135" s="3" t="str">
        <f t="shared" si="3"/>
        <v>Invalid</v>
      </c>
      <c r="AK135" t="str">
        <f>IFERROR(Y135-X135, "invalid date")</f>
        <v>invalid date</v>
      </c>
      <c r="AL135" s="10">
        <v>0.15</v>
      </c>
      <c r="AM135" s="11">
        <v>22930.62</v>
      </c>
      <c r="AN135" s="11">
        <v>6055.07</v>
      </c>
      <c r="AO135" s="10">
        <v>0.26406045715292475</v>
      </c>
      <c r="AP135" t="s">
        <v>4304</v>
      </c>
      <c r="AQ135" t="s">
        <v>4105</v>
      </c>
      <c r="AR135" t="s">
        <v>4139</v>
      </c>
      <c r="AS135" t="s">
        <v>4107</v>
      </c>
      <c r="AT135" t="s">
        <v>4108</v>
      </c>
      <c r="AU135" t="s">
        <v>4105</v>
      </c>
      <c r="AV135" t="s">
        <v>4109</v>
      </c>
    </row>
    <row r="136" spans="1:48">
      <c r="A136" t="s">
        <v>770</v>
      </c>
      <c r="B136" t="s">
        <v>771</v>
      </c>
      <c r="C136" t="s">
        <v>772</v>
      </c>
      <c r="D136" t="s">
        <v>773</v>
      </c>
      <c r="E136" t="s">
        <v>92</v>
      </c>
      <c r="F136" t="s">
        <v>124</v>
      </c>
      <c r="G136" t="s">
        <v>51</v>
      </c>
      <c r="H136" t="s">
        <v>130</v>
      </c>
      <c r="I136" t="s">
        <v>131</v>
      </c>
      <c r="J136" t="s">
        <v>54</v>
      </c>
      <c r="K136" t="s">
        <v>214</v>
      </c>
      <c r="L136" t="s">
        <v>774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146</v>
      </c>
      <c r="U136" t="s">
        <v>87</v>
      </c>
      <c r="W136" t="s">
        <v>770</v>
      </c>
      <c r="X136" t="str">
        <v>invalid date</v>
      </c>
      <c r="Y136" t="str">
        <v>14-07-25</v>
      </c>
      <c r="Z136" t="s">
        <v>773</v>
      </c>
      <c r="AA136" t="str">
        <v>Vikram Iyer</v>
      </c>
      <c r="AB136" t="str">
        <f>TRIM(PROPER(F:F))</f>
        <v>Home Office</v>
      </c>
      <c r="AC136" t="str">
        <f>TRIM(PROPER(G:G))</f>
        <v>East</v>
      </c>
      <c r="AD136" t="str">
        <f>TRIM(PROPER(H:H))</f>
        <v>West Bengal</v>
      </c>
      <c r="AE136" t="str">
        <f>TRIM(PROPER(I:I))</f>
        <v>Kolkata</v>
      </c>
      <c r="AF136" t="str">
        <f t="shared" si="2"/>
        <v>Furniture</v>
      </c>
      <c r="AG136" t="str">
        <f t="shared" si="2"/>
        <v>Bookcases</v>
      </c>
      <c r="AH136" t="str">
        <f t="shared" si="2"/>
        <v>Elite Bookcases 266</v>
      </c>
      <c r="AI136" s="4" t="s">
        <v>282</v>
      </c>
      <c r="AJ136" s="3" t="str">
        <f t="shared" si="3"/>
        <v>Invalid</v>
      </c>
      <c r="AK136" t="str">
        <f>IFERROR(Y136-X136, "invalid date")</f>
        <v>invalid date</v>
      </c>
      <c r="AL136" s="10">
        <v>0.25</v>
      </c>
      <c r="AM136" s="11">
        <v>1436.625</v>
      </c>
      <c r="AN136" s="11">
        <v>524.10500000000002</v>
      </c>
      <c r="AO136" s="10">
        <v>0.36481684503610895</v>
      </c>
      <c r="AP136" t="s">
        <v>4105</v>
      </c>
      <c r="AQ136" t="s">
        <v>4308</v>
      </c>
      <c r="AR136" t="s">
        <v>4105</v>
      </c>
      <c r="AS136" t="s">
        <v>4105</v>
      </c>
      <c r="AT136" t="s">
        <v>4108</v>
      </c>
      <c r="AU136" t="s">
        <v>4105</v>
      </c>
      <c r="AV136" t="s">
        <v>4109</v>
      </c>
    </row>
    <row r="137" spans="1:48">
      <c r="A137" t="s">
        <v>775</v>
      </c>
      <c r="B137" t="s">
        <v>776</v>
      </c>
      <c r="C137" t="s">
        <v>776</v>
      </c>
      <c r="D137" t="s">
        <v>777</v>
      </c>
      <c r="E137" t="s">
        <v>220</v>
      </c>
      <c r="F137" t="s">
        <v>50</v>
      </c>
      <c r="G137" t="s">
        <v>71</v>
      </c>
      <c r="H137" t="s">
        <v>252</v>
      </c>
      <c r="I137" t="s">
        <v>253</v>
      </c>
      <c r="J137" t="s">
        <v>54</v>
      </c>
      <c r="K137" t="s">
        <v>214</v>
      </c>
      <c r="L137" t="s">
        <v>778</v>
      </c>
      <c r="M137" t="s">
        <v>76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43</v>
      </c>
      <c r="U137" t="s">
        <v>44</v>
      </c>
      <c r="W137" t="s">
        <v>775</v>
      </c>
      <c r="X137" t="str">
        <v>24-08-25</v>
      </c>
      <c r="Y137" t="str">
        <v>24-08-25</v>
      </c>
      <c r="Z137" t="s">
        <v>777</v>
      </c>
      <c r="AA137" t="str">
        <v>Diya Patel</v>
      </c>
      <c r="AB137" t="str">
        <f>TRIM(PROPER(F:F))</f>
        <v>Small Business</v>
      </c>
      <c r="AC137" t="str">
        <f>TRIM(PROPER(G:G))</f>
        <v>South</v>
      </c>
      <c r="AD137" t="str">
        <f>TRIM(PROPER(H:H))</f>
        <v>Kerala</v>
      </c>
      <c r="AE137" t="str">
        <f>TRIM(PROPER(I:I))</f>
        <v>Kochi</v>
      </c>
      <c r="AF137" t="str">
        <f t="shared" si="2"/>
        <v>Furniture</v>
      </c>
      <c r="AG137" t="str">
        <f t="shared" si="2"/>
        <v>Bookcases</v>
      </c>
      <c r="AH137" t="str">
        <f t="shared" si="2"/>
        <v>Prime Bookcases 954</v>
      </c>
      <c r="AI137" t="str">
        <f t="shared" si="2"/>
        <v>Standard Class</v>
      </c>
      <c r="AJ137" s="3" t="str">
        <f t="shared" si="3"/>
        <v xml:space="preserve">  </v>
      </c>
      <c r="AK137">
        <f>IFERROR(Y137-X137, "invalid date")</f>
        <v>0</v>
      </c>
      <c r="AL137" s="10">
        <v>0</v>
      </c>
      <c r="AM137" s="11">
        <v>3424.78</v>
      </c>
      <c r="AN137" s="11">
        <v>1473.3300000000002</v>
      </c>
      <c r="AO137" s="10">
        <v>0.43019697615613267</v>
      </c>
      <c r="AP137" t="s">
        <v>4309</v>
      </c>
      <c r="AQ137" t="s">
        <v>4309</v>
      </c>
      <c r="AR137" t="s">
        <v>4114</v>
      </c>
      <c r="AS137" t="s">
        <v>4120</v>
      </c>
      <c r="AT137" t="s">
        <v>4115</v>
      </c>
      <c r="AU137">
        <v>0</v>
      </c>
      <c r="AV137" t="s">
        <v>4109</v>
      </c>
    </row>
    <row r="138" spans="1:48">
      <c r="A138" t="s">
        <v>779</v>
      </c>
      <c r="B138" t="s">
        <v>780</v>
      </c>
      <c r="C138" t="s">
        <v>781</v>
      </c>
      <c r="D138" t="s">
        <v>782</v>
      </c>
      <c r="E138" t="s">
        <v>49</v>
      </c>
      <c r="F138" t="s">
        <v>124</v>
      </c>
      <c r="G138" t="s">
        <v>51</v>
      </c>
      <c r="H138" t="s">
        <v>322</v>
      </c>
      <c r="I138" t="s">
        <v>323</v>
      </c>
      <c r="J138" t="s">
        <v>39</v>
      </c>
      <c r="K138" t="s">
        <v>208</v>
      </c>
      <c r="L138" t="s">
        <v>783</v>
      </c>
      <c r="M138" t="s">
        <v>784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43</v>
      </c>
      <c r="U138" t="s">
        <v>44</v>
      </c>
      <c r="W138" t="s">
        <v>779</v>
      </c>
      <c r="X138" t="str">
        <v>09-02-25</v>
      </c>
      <c r="Y138" t="str">
        <v>15-02-25</v>
      </c>
      <c r="Z138" t="s">
        <v>782</v>
      </c>
      <c r="AA138" t="str">
        <v>Mira Das</v>
      </c>
      <c r="AB138" t="str">
        <f>TRIM(PROPER(F:F))</f>
        <v>Home Office</v>
      </c>
      <c r="AC138" t="str">
        <f>TRIM(PROPER(G:G))</f>
        <v>East</v>
      </c>
      <c r="AD138" t="str">
        <f>TRIM(PROPER(H:H))</f>
        <v>Jharkhand</v>
      </c>
      <c r="AE138" t="str">
        <f>TRIM(PROPER(I:I))</f>
        <v>Ranchi</v>
      </c>
      <c r="AF138" t="str">
        <f t="shared" si="2"/>
        <v>Office Supplies</v>
      </c>
      <c r="AG138" t="str">
        <f t="shared" si="2"/>
        <v>Binders</v>
      </c>
      <c r="AH138" t="str">
        <f t="shared" si="2"/>
        <v>Max Binders 362</v>
      </c>
      <c r="AI138" t="str">
        <f t="shared" si="2"/>
        <v>Standard Class</v>
      </c>
      <c r="AJ138" s="3" t="str">
        <f t="shared" si="3"/>
        <v>anomaly</v>
      </c>
      <c r="AK138">
        <f>IFERROR(Y138-X138, "invalid date")</f>
        <v>6</v>
      </c>
      <c r="AL138" s="10">
        <v>0.2</v>
      </c>
      <c r="AM138" s="11">
        <v>31178.376000000004</v>
      </c>
      <c r="AN138" s="11">
        <v>9757.2860000000037</v>
      </c>
      <c r="AO138" s="10">
        <v>0.31295042435821552</v>
      </c>
      <c r="AP138" t="s">
        <v>4310</v>
      </c>
      <c r="AQ138" t="s">
        <v>4290</v>
      </c>
      <c r="AR138" t="s">
        <v>4129</v>
      </c>
      <c r="AS138" t="s">
        <v>4120</v>
      </c>
      <c r="AT138" t="s">
        <v>4115</v>
      </c>
      <c r="AU138">
        <v>6</v>
      </c>
      <c r="AV138" t="s">
        <v>4109</v>
      </c>
    </row>
    <row r="139" spans="1:48">
      <c r="A139" t="s">
        <v>785</v>
      </c>
      <c r="B139" t="s">
        <v>786</v>
      </c>
      <c r="C139" t="s">
        <v>787</v>
      </c>
      <c r="D139" t="s">
        <v>788</v>
      </c>
      <c r="E139" t="s">
        <v>177</v>
      </c>
      <c r="F139" t="s">
        <v>50</v>
      </c>
      <c r="G139" t="s">
        <v>36</v>
      </c>
      <c r="H139" t="s">
        <v>37</v>
      </c>
      <c r="I139" t="s">
        <v>38</v>
      </c>
      <c r="J139" t="s">
        <v>54</v>
      </c>
      <c r="K139" t="s">
        <v>85</v>
      </c>
      <c r="L139" t="s">
        <v>789</v>
      </c>
      <c r="M139" t="s">
        <v>57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43</v>
      </c>
      <c r="U139" t="s">
        <v>44</v>
      </c>
      <c r="W139" t="s">
        <v>785</v>
      </c>
      <c r="X139" t="str">
        <v>01-09-25</v>
      </c>
      <c r="Y139" t="str">
        <v>09-01-25</v>
      </c>
      <c r="Z139" t="s">
        <v>788</v>
      </c>
      <c r="AA139" t="str">
        <v>Sneha Kapoor</v>
      </c>
      <c r="AB139" t="str">
        <f>TRIM(PROPER(F:F))</f>
        <v>Small Business</v>
      </c>
      <c r="AC139" t="str">
        <f>TRIM(PROPER(G:G))</f>
        <v>North</v>
      </c>
      <c r="AD139" t="str">
        <f>TRIM(PROPER(H:H))</f>
        <v>Rajasthan</v>
      </c>
      <c r="AE139" t="str">
        <f>TRIM(PROPER(I:I))</f>
        <v>Jaipur</v>
      </c>
      <c r="AF139" t="str">
        <f t="shared" si="2"/>
        <v>Furniture</v>
      </c>
      <c r="AG139" t="str">
        <f t="shared" si="2"/>
        <v>Chairs</v>
      </c>
      <c r="AH139" t="str">
        <f t="shared" si="2"/>
        <v>Prime Chairs 261</v>
      </c>
      <c r="AI139" t="str">
        <f t="shared" si="2"/>
        <v>Same Day</v>
      </c>
      <c r="AJ139" s="3" t="str">
        <f t="shared" si="3"/>
        <v>anomaly</v>
      </c>
      <c r="AK139">
        <f>IFERROR(Y139-X139, "invalid date")</f>
        <v>-235</v>
      </c>
      <c r="AL139" s="10">
        <v>0.1</v>
      </c>
      <c r="AM139" s="11">
        <v>19202.904000000002</v>
      </c>
      <c r="AN139" s="11">
        <v>3676.2840000000015</v>
      </c>
      <c r="AO139" s="10">
        <v>0.19144416906942829</v>
      </c>
      <c r="AP139" t="s">
        <v>4119</v>
      </c>
      <c r="AQ139" t="s">
        <v>4311</v>
      </c>
      <c r="AR139" t="s">
        <v>4134</v>
      </c>
      <c r="AS139" t="s">
        <v>4120</v>
      </c>
      <c r="AT139" t="s">
        <v>4115</v>
      </c>
      <c r="AU139">
        <v>-235</v>
      </c>
      <c r="AV139" t="s">
        <v>4109</v>
      </c>
    </row>
    <row r="140" spans="1:48">
      <c r="A140" t="s">
        <v>790</v>
      </c>
      <c r="B140" t="s">
        <v>791</v>
      </c>
      <c r="C140" t="s">
        <v>792</v>
      </c>
      <c r="D140" t="s">
        <v>793</v>
      </c>
      <c r="E140" t="s">
        <v>220</v>
      </c>
      <c r="F140" t="s">
        <v>124</v>
      </c>
      <c r="G140" t="s">
        <v>51</v>
      </c>
      <c r="H140" t="s">
        <v>322</v>
      </c>
      <c r="I140" t="s">
        <v>323</v>
      </c>
      <c r="J140" t="s">
        <v>95</v>
      </c>
      <c r="K140" t="s">
        <v>393</v>
      </c>
      <c r="L140" t="s">
        <v>794</v>
      </c>
      <c r="M140" t="s">
        <v>76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43</v>
      </c>
      <c r="U140" t="s">
        <v>44</v>
      </c>
      <c r="W140" t="s">
        <v>790</v>
      </c>
      <c r="X140" t="str">
        <v>20-01-24</v>
      </c>
      <c r="Y140" t="str">
        <v>26-01-24</v>
      </c>
      <c r="Z140" t="s">
        <v>793</v>
      </c>
      <c r="AA140" t="str">
        <v>Diya Patel</v>
      </c>
      <c r="AB140" t="str">
        <f>TRIM(PROPER(F:F))</f>
        <v>Home Office</v>
      </c>
      <c r="AC140" t="str">
        <f>TRIM(PROPER(G:G))</f>
        <v>East</v>
      </c>
      <c r="AD140" t="str">
        <f>TRIM(PROPER(H:H))</f>
        <v>Jharkhand</v>
      </c>
      <c r="AE140" t="str">
        <f>TRIM(PROPER(I:I))</f>
        <v>Ranchi</v>
      </c>
      <c r="AF140" t="str">
        <f t="shared" si="2"/>
        <v>Technology</v>
      </c>
      <c r="AG140" t="str">
        <f t="shared" si="2"/>
        <v>Machines</v>
      </c>
      <c r="AH140" t="str">
        <f t="shared" si="2"/>
        <v>Basic Machines 185</v>
      </c>
      <c r="AI140" t="str">
        <f t="shared" si="2"/>
        <v>Standard Class</v>
      </c>
      <c r="AJ140" s="3" t="str">
        <f t="shared" si="3"/>
        <v>anomaly</v>
      </c>
      <c r="AK140">
        <f>IFERROR(Y140-X140, "invalid date")</f>
        <v>6</v>
      </c>
      <c r="AL140" s="10">
        <v>0.25</v>
      </c>
      <c r="AM140" s="11">
        <v>24018.300000000003</v>
      </c>
      <c r="AN140" s="11">
        <v>9947.5200000000023</v>
      </c>
      <c r="AO140" s="10">
        <v>0.41416419979765434</v>
      </c>
      <c r="AP140" t="s">
        <v>4312</v>
      </c>
      <c r="AQ140" t="s">
        <v>4267</v>
      </c>
      <c r="AR140" t="s">
        <v>4153</v>
      </c>
      <c r="AS140" t="s">
        <v>4107</v>
      </c>
      <c r="AT140" t="s">
        <v>4115</v>
      </c>
      <c r="AU140">
        <v>6</v>
      </c>
      <c r="AV140" t="s">
        <v>4109</v>
      </c>
    </row>
    <row r="141" spans="1:48">
      <c r="A141" t="s">
        <v>795</v>
      </c>
      <c r="B141" t="s">
        <v>796</v>
      </c>
      <c r="C141" t="s">
        <v>797</v>
      </c>
      <c r="D141" t="s">
        <v>798</v>
      </c>
      <c r="E141" t="s">
        <v>102</v>
      </c>
      <c r="F141" t="s">
        <v>124</v>
      </c>
      <c r="G141" t="s">
        <v>71</v>
      </c>
      <c r="H141" t="s">
        <v>239</v>
      </c>
      <c r="I141" t="s">
        <v>240</v>
      </c>
      <c r="J141" t="s">
        <v>39</v>
      </c>
      <c r="K141" t="s">
        <v>118</v>
      </c>
      <c r="L141" t="s">
        <v>799</v>
      </c>
      <c r="M141" t="s">
        <v>76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43</v>
      </c>
      <c r="U141" t="s">
        <v>44</v>
      </c>
      <c r="W141" t="s">
        <v>795</v>
      </c>
      <c r="X141" t="str">
        <v>03-02-25</v>
      </c>
      <c r="Y141" t="str">
        <v>07-03-25</v>
      </c>
      <c r="Z141" t="s">
        <v>798</v>
      </c>
      <c r="AA141" t="str">
        <v>Neha Gupta</v>
      </c>
      <c r="AB141" t="str">
        <f>TRIM(PROPER(F:F))</f>
        <v>Home Office</v>
      </c>
      <c r="AC141" t="str">
        <f>TRIM(PROPER(G:G))</f>
        <v>South</v>
      </c>
      <c r="AD141" t="str">
        <f>TRIM(PROPER(H:H))</f>
        <v>Karnataka</v>
      </c>
      <c r="AE141" t="str">
        <f>TRIM(PROPER(I:I))</f>
        <v>Bengaluru</v>
      </c>
      <c r="AF141" t="str">
        <f t="shared" si="2"/>
        <v>Office Supplies</v>
      </c>
      <c r="AG141" t="str">
        <f t="shared" si="2"/>
        <v>Labels</v>
      </c>
      <c r="AH141" t="str">
        <f t="shared" si="2"/>
        <v>Basic Labels 509</v>
      </c>
      <c r="AI141" t="str">
        <f t="shared" si="2"/>
        <v>Standard Class</v>
      </c>
      <c r="AJ141" s="3" t="str">
        <f t="shared" si="3"/>
        <v>anomaly</v>
      </c>
      <c r="AK141">
        <f>IFERROR(Y141-X141, "invalid date")</f>
        <v>32</v>
      </c>
      <c r="AL141" s="10">
        <v>0</v>
      </c>
      <c r="AM141" s="11">
        <v>10301.040000000001</v>
      </c>
      <c r="AN141" s="11">
        <v>3736.9800000000005</v>
      </c>
      <c r="AO141" s="10">
        <v>0.3627769623261341</v>
      </c>
      <c r="AP141" t="s">
        <v>4225</v>
      </c>
      <c r="AQ141" t="s">
        <v>4313</v>
      </c>
      <c r="AR141" t="s">
        <v>4129</v>
      </c>
      <c r="AS141" t="s">
        <v>4120</v>
      </c>
      <c r="AT141" t="s">
        <v>4115</v>
      </c>
      <c r="AU141">
        <v>32</v>
      </c>
      <c r="AV141" t="s">
        <v>4109</v>
      </c>
    </row>
    <row r="142" spans="1:48">
      <c r="A142" t="s">
        <v>800</v>
      </c>
      <c r="B142" t="s">
        <v>801</v>
      </c>
      <c r="C142" t="s">
        <v>802</v>
      </c>
      <c r="D142" t="s">
        <v>803</v>
      </c>
      <c r="E142" t="s">
        <v>49</v>
      </c>
      <c r="F142" t="s">
        <v>117</v>
      </c>
      <c r="G142" t="s">
        <v>71</v>
      </c>
      <c r="H142" t="s">
        <v>239</v>
      </c>
      <c r="I142" t="s">
        <v>240</v>
      </c>
      <c r="J142" t="s">
        <v>54</v>
      </c>
      <c r="K142" t="s">
        <v>214</v>
      </c>
      <c r="L142" t="s">
        <v>804</v>
      </c>
      <c r="M142" t="s">
        <v>57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43</v>
      </c>
      <c r="U142" t="s">
        <v>44</v>
      </c>
      <c r="W142" t="s">
        <v>800</v>
      </c>
      <c r="X142" t="str">
        <v>31-05-24</v>
      </c>
      <c r="Y142" t="str">
        <v>01-06-24</v>
      </c>
      <c r="Z142" t="s">
        <v>803</v>
      </c>
      <c r="AA142" t="str">
        <v>Mira Das</v>
      </c>
      <c r="AB142" t="str">
        <f>TRIM(PROPER(F:F))</f>
        <v>Corporate</v>
      </c>
      <c r="AC142" t="str">
        <f>TRIM(PROPER(G:G))</f>
        <v>South</v>
      </c>
      <c r="AD142" t="str">
        <f>TRIM(PROPER(H:H))</f>
        <v>Karnataka</v>
      </c>
      <c r="AE142" t="str">
        <f>TRIM(PROPER(I:I))</f>
        <v>Bengaluru</v>
      </c>
      <c r="AF142" t="str">
        <f t="shared" si="2"/>
        <v>Furniture</v>
      </c>
      <c r="AG142" t="str">
        <f t="shared" si="2"/>
        <v>Bookcases</v>
      </c>
      <c r="AH142" t="str">
        <f t="shared" si="2"/>
        <v>Elite Bookcases 696</v>
      </c>
      <c r="AI142" t="str">
        <f t="shared" si="2"/>
        <v>Same Day</v>
      </c>
      <c r="AJ142" s="3" t="str">
        <f t="shared" si="3"/>
        <v xml:space="preserve">  </v>
      </c>
      <c r="AK142">
        <f>IFERROR(Y142-X142, "invalid date")</f>
        <v>1</v>
      </c>
      <c r="AL142" s="10">
        <v>0</v>
      </c>
      <c r="AM142" s="11">
        <v>8743.6500000000015</v>
      </c>
      <c r="AN142" s="11">
        <v>2139.8900000000012</v>
      </c>
      <c r="AO142" s="10">
        <v>0.24473646589239059</v>
      </c>
      <c r="AP142" t="s">
        <v>4314</v>
      </c>
      <c r="AQ142" t="s">
        <v>4315</v>
      </c>
      <c r="AR142" t="s">
        <v>4124</v>
      </c>
      <c r="AS142" t="s">
        <v>4107</v>
      </c>
      <c r="AT142" t="s">
        <v>4121</v>
      </c>
      <c r="AU142">
        <v>1</v>
      </c>
      <c r="AV142" t="s">
        <v>4109</v>
      </c>
    </row>
    <row r="143" spans="1:48">
      <c r="A143" t="s">
        <v>805</v>
      </c>
      <c r="B143" t="s">
        <v>806</v>
      </c>
      <c r="C143" t="s">
        <v>807</v>
      </c>
      <c r="D143" t="s">
        <v>808</v>
      </c>
      <c r="E143" t="s">
        <v>151</v>
      </c>
      <c r="F143" t="s">
        <v>117</v>
      </c>
      <c r="G143" t="s">
        <v>36</v>
      </c>
      <c r="H143" t="s">
        <v>517</v>
      </c>
      <c r="I143" t="s">
        <v>518</v>
      </c>
      <c r="J143" t="s">
        <v>54</v>
      </c>
      <c r="K143" t="s">
        <v>214</v>
      </c>
      <c r="L143" t="s">
        <v>809</v>
      </c>
      <c r="M143" t="s">
        <v>57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43</v>
      </c>
      <c r="U143" t="s">
        <v>134</v>
      </c>
      <c r="W143" t="s">
        <v>805</v>
      </c>
      <c r="X143" t="str">
        <v>invalid date</v>
      </c>
      <c r="Y143" t="str">
        <v>29-03-24</v>
      </c>
      <c r="Z143" t="s">
        <v>808</v>
      </c>
      <c r="AA143" t="str">
        <v>Priya Menon</v>
      </c>
      <c r="AB143" t="str">
        <f>TRIM(PROPER(F:F))</f>
        <v>Corporate</v>
      </c>
      <c r="AC143" t="str">
        <f>TRIM(PROPER(G:G))</f>
        <v>North</v>
      </c>
      <c r="AD143" t="str">
        <f>TRIM(PROPER(H:H))</f>
        <v>Delhi</v>
      </c>
      <c r="AE143" t="str">
        <f>TRIM(PROPER(I:I))</f>
        <v>New Delhi</v>
      </c>
      <c r="AF143" t="str">
        <f t="shared" si="2"/>
        <v>Furniture</v>
      </c>
      <c r="AG143" t="str">
        <f t="shared" si="2"/>
        <v>Bookcases</v>
      </c>
      <c r="AH143" t="str">
        <f t="shared" si="2"/>
        <v>Elite Bookcases 772</v>
      </c>
      <c r="AI143" t="str">
        <f t="shared" si="2"/>
        <v>Same Day</v>
      </c>
      <c r="AJ143" s="3" t="str">
        <f t="shared" si="3"/>
        <v>Invalid</v>
      </c>
      <c r="AK143" t="str">
        <f>IFERROR(Y143-X143, "invalid date")</f>
        <v>invalid date</v>
      </c>
      <c r="AL143" s="10">
        <v>0.1</v>
      </c>
      <c r="AM143" s="11">
        <v>3996.027</v>
      </c>
      <c r="AN143" s="11">
        <v>1136.5169999999998</v>
      </c>
      <c r="AO143" s="10">
        <v>0.28441174196270441</v>
      </c>
      <c r="AP143" t="s">
        <v>4105</v>
      </c>
      <c r="AQ143" t="s">
        <v>4316</v>
      </c>
      <c r="AR143" t="s">
        <v>4105</v>
      </c>
      <c r="AS143" t="s">
        <v>4105</v>
      </c>
      <c r="AT143" t="s">
        <v>4108</v>
      </c>
      <c r="AU143" t="s">
        <v>4105</v>
      </c>
      <c r="AV143" t="s">
        <v>4109</v>
      </c>
    </row>
    <row r="144" spans="1:48">
      <c r="A144" t="s">
        <v>810</v>
      </c>
      <c r="B144" t="s">
        <v>811</v>
      </c>
      <c r="C144" t="s">
        <v>812</v>
      </c>
      <c r="D144" t="s">
        <v>813</v>
      </c>
      <c r="E144" t="s">
        <v>116</v>
      </c>
      <c r="F144" t="s">
        <v>124</v>
      </c>
      <c r="G144" t="s">
        <v>36</v>
      </c>
      <c r="H144" t="s">
        <v>37</v>
      </c>
      <c r="I144" t="s">
        <v>38</v>
      </c>
      <c r="J144" t="s">
        <v>95</v>
      </c>
      <c r="K144" t="s">
        <v>233</v>
      </c>
      <c r="L144" t="s">
        <v>814</v>
      </c>
      <c r="M144" t="s">
        <v>42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43</v>
      </c>
      <c r="U144" t="s">
        <v>44</v>
      </c>
      <c r="W144" t="s">
        <v>810</v>
      </c>
      <c r="X144" t="str">
        <v>30-03-24</v>
      </c>
      <c r="Y144" t="str">
        <v>26-03-24</v>
      </c>
      <c r="Z144" t="s">
        <v>813</v>
      </c>
      <c r="AA144" t="str">
        <v>Aditi Sen</v>
      </c>
      <c r="AB144" t="str">
        <f>TRIM(PROPER(F:F))</f>
        <v>Home Office</v>
      </c>
      <c r="AC144" t="str">
        <f>TRIM(PROPER(G:G))</f>
        <v>North</v>
      </c>
      <c r="AD144" t="str">
        <f>TRIM(PROPER(H:H))</f>
        <v>Rajasthan</v>
      </c>
      <c r="AE144" t="str">
        <f>TRIM(PROPER(I:I))</f>
        <v>Jaipur</v>
      </c>
      <c r="AF144" t="str">
        <f t="shared" si="2"/>
        <v>Technology</v>
      </c>
      <c r="AG144" t="str">
        <f t="shared" si="2"/>
        <v>Phones</v>
      </c>
      <c r="AH144" t="str">
        <f t="shared" si="2"/>
        <v>Classic Phones 142</v>
      </c>
      <c r="AI144" t="str">
        <f t="shared" si="2"/>
        <v>Second Class</v>
      </c>
      <c r="AJ144" s="3" t="str">
        <f t="shared" si="3"/>
        <v xml:space="preserve">  </v>
      </c>
      <c r="AK144">
        <f>IFERROR(Y144-X144, "invalid date")</f>
        <v>-4</v>
      </c>
      <c r="AL144" s="10">
        <v>0.15</v>
      </c>
      <c r="AM144" s="11">
        <v>3857.0449999999996</v>
      </c>
      <c r="AN144" s="11">
        <v>1087.7849999999994</v>
      </c>
      <c r="AO144" s="10">
        <v>0.28202548842442843</v>
      </c>
      <c r="AP144" t="s">
        <v>4317</v>
      </c>
      <c r="AQ144" t="s">
        <v>4318</v>
      </c>
      <c r="AR144" t="s">
        <v>4159</v>
      </c>
      <c r="AS144" t="s">
        <v>4107</v>
      </c>
      <c r="AT144" t="s">
        <v>4121</v>
      </c>
      <c r="AU144">
        <v>-4</v>
      </c>
      <c r="AV144" t="s">
        <v>4109</v>
      </c>
    </row>
    <row r="145" spans="1:48">
      <c r="A145" t="s">
        <v>815</v>
      </c>
      <c r="B145" t="s">
        <v>553</v>
      </c>
      <c r="C145" t="s">
        <v>816</v>
      </c>
      <c r="D145" t="s">
        <v>817</v>
      </c>
      <c r="E145" t="s">
        <v>151</v>
      </c>
      <c r="F145" t="s">
        <v>35</v>
      </c>
      <c r="G145" t="s">
        <v>82</v>
      </c>
      <c r="H145" t="s">
        <v>245</v>
      </c>
      <c r="I145" t="s">
        <v>246</v>
      </c>
      <c r="J145" t="s">
        <v>39</v>
      </c>
      <c r="K145" t="s">
        <v>40</v>
      </c>
      <c r="L145" t="s">
        <v>818</v>
      </c>
      <c r="M145" t="s">
        <v>42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43</v>
      </c>
      <c r="U145" t="s">
        <v>134</v>
      </c>
      <c r="W145" t="s">
        <v>815</v>
      </c>
      <c r="X145" t="str">
        <v>invalid date</v>
      </c>
      <c r="Y145" t="str">
        <v>26-03-24</v>
      </c>
      <c r="Z145" t="s">
        <v>817</v>
      </c>
      <c r="AA145" t="str">
        <v>Priya Menon</v>
      </c>
      <c r="AB145" t="str">
        <f>TRIM(PROPER(F:F))</f>
        <v>Consumer</v>
      </c>
      <c r="AC145" t="str">
        <f>TRIM(PROPER(G:G))</f>
        <v>West</v>
      </c>
      <c r="AD145" t="str">
        <f>TRIM(PROPER(H:H))</f>
        <v>Gujarat</v>
      </c>
      <c r="AE145" t="str">
        <f>TRIM(PROPER(I:I))</f>
        <v>Ahmedabad</v>
      </c>
      <c r="AF145" t="str">
        <f t="shared" si="2"/>
        <v>Office Supplies</v>
      </c>
      <c r="AG145" t="str">
        <f t="shared" si="2"/>
        <v>Paper</v>
      </c>
      <c r="AH145" t="str">
        <f t="shared" si="2"/>
        <v>Pro Paper 575</v>
      </c>
      <c r="AI145" t="str">
        <f t="shared" si="2"/>
        <v>Second Class</v>
      </c>
      <c r="AJ145" s="3" t="str">
        <f t="shared" si="3"/>
        <v>Invalid</v>
      </c>
      <c r="AK145" t="str">
        <f>IFERROR(Y145-X145, "invalid date")</f>
        <v>invalid date</v>
      </c>
      <c r="AL145" s="10">
        <v>0.1</v>
      </c>
      <c r="AM145" s="11">
        <v>3068.55</v>
      </c>
      <c r="AN145" s="11">
        <v>1152.3900000000001</v>
      </c>
      <c r="AO145" s="10">
        <v>0.3755487119323459</v>
      </c>
      <c r="AP145" t="s">
        <v>4105</v>
      </c>
      <c r="AQ145" t="s">
        <v>4318</v>
      </c>
      <c r="AR145" t="s">
        <v>4105</v>
      </c>
      <c r="AS145" t="s">
        <v>4105</v>
      </c>
      <c r="AT145" t="s">
        <v>4108</v>
      </c>
      <c r="AU145" t="s">
        <v>4105</v>
      </c>
      <c r="AV145" t="s">
        <v>4109</v>
      </c>
    </row>
    <row r="146" spans="1:48">
      <c r="A146" t="s">
        <v>819</v>
      </c>
      <c r="B146" t="s">
        <v>589</v>
      </c>
      <c r="C146" t="s">
        <v>820</v>
      </c>
      <c r="D146" t="s">
        <v>821</v>
      </c>
      <c r="E146" t="s">
        <v>377</v>
      </c>
      <c r="F146" t="s">
        <v>50</v>
      </c>
      <c r="G146" t="s">
        <v>71</v>
      </c>
      <c r="H146" t="s">
        <v>72</v>
      </c>
      <c r="I146" t="s">
        <v>73</v>
      </c>
      <c r="J146" t="s">
        <v>95</v>
      </c>
      <c r="K146" t="s">
        <v>96</v>
      </c>
      <c r="L146" t="s">
        <v>822</v>
      </c>
      <c r="M146" t="s">
        <v>65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133</v>
      </c>
      <c r="U146" t="s">
        <v>134</v>
      </c>
      <c r="W146" t="s">
        <v>819</v>
      </c>
      <c r="X146" t="str">
        <v>07-06-24</v>
      </c>
      <c r="Y146" t="str">
        <v>15-06-24</v>
      </c>
      <c r="Z146" t="s">
        <v>821</v>
      </c>
      <c r="AA146" t="str">
        <v>Kabir Singh</v>
      </c>
      <c r="AB146" t="str">
        <f>TRIM(PROPER(F:F))</f>
        <v>Small Business</v>
      </c>
      <c r="AC146" t="str">
        <f>TRIM(PROPER(G:G))</f>
        <v>South</v>
      </c>
      <c r="AD146" t="str">
        <f>TRIM(PROPER(H:H))</f>
        <v>Telangana</v>
      </c>
      <c r="AE146" t="str">
        <f>TRIM(PROPER(I:I))</f>
        <v>Hyderabad</v>
      </c>
      <c r="AF146" t="str">
        <f t="shared" si="2"/>
        <v>Technology</v>
      </c>
      <c r="AG146" t="str">
        <f t="shared" si="2"/>
        <v>Accessories</v>
      </c>
      <c r="AH146" t="str">
        <f t="shared" si="2"/>
        <v>Elite Accessories 905</v>
      </c>
      <c r="AI146" t="str">
        <f t="shared" si="2"/>
        <v>First Class</v>
      </c>
      <c r="AJ146" s="3" t="str">
        <f t="shared" si="3"/>
        <v>anomaly</v>
      </c>
      <c r="AK146">
        <f>IFERROR(Y146-X146, "invalid date")</f>
        <v>8</v>
      </c>
      <c r="AL146" s="10">
        <v>0.25</v>
      </c>
      <c r="AM146" s="11">
        <v>11276.947499999998</v>
      </c>
      <c r="AN146" s="11">
        <v>4368.1874999999982</v>
      </c>
      <c r="AO146" s="10">
        <v>0.38735548782150481</v>
      </c>
      <c r="AP146" t="s">
        <v>4264</v>
      </c>
      <c r="AQ146" t="s">
        <v>4113</v>
      </c>
      <c r="AR146" t="s">
        <v>4170</v>
      </c>
      <c r="AS146" t="s">
        <v>4107</v>
      </c>
      <c r="AT146" t="s">
        <v>4115</v>
      </c>
      <c r="AU146">
        <v>8</v>
      </c>
      <c r="AV146" t="s">
        <v>4109</v>
      </c>
    </row>
    <row r="147" spans="1:48">
      <c r="A147" t="s">
        <v>823</v>
      </c>
      <c r="B147" t="s">
        <v>824</v>
      </c>
      <c r="C147" t="s">
        <v>825</v>
      </c>
      <c r="D147" t="s">
        <v>826</v>
      </c>
      <c r="E147" t="s">
        <v>49</v>
      </c>
      <c r="F147" t="s">
        <v>50</v>
      </c>
      <c r="G147" t="s">
        <v>82</v>
      </c>
      <c r="H147" t="s">
        <v>259</v>
      </c>
      <c r="I147" t="s">
        <v>260</v>
      </c>
      <c r="J147" t="s">
        <v>39</v>
      </c>
      <c r="K147" t="s">
        <v>40</v>
      </c>
      <c r="L147" t="s">
        <v>827</v>
      </c>
      <c r="M147" t="s">
        <v>76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43</v>
      </c>
      <c r="U147" t="s">
        <v>44</v>
      </c>
      <c r="W147" t="s">
        <v>823</v>
      </c>
      <c r="X147" t="str">
        <v>11-04-25</v>
      </c>
      <c r="Y147" t="str">
        <v>invalid date</v>
      </c>
      <c r="Z147" t="s">
        <v>826</v>
      </c>
      <c r="AA147" t="str">
        <v>Mira Das</v>
      </c>
      <c r="AB147" t="str">
        <f>TRIM(PROPER(F:F))</f>
        <v>Small Business</v>
      </c>
      <c r="AC147" t="str">
        <f>TRIM(PROPER(G:G))</f>
        <v>West</v>
      </c>
      <c r="AD147" t="str">
        <f>TRIM(PROPER(H:H))</f>
        <v>Goa</v>
      </c>
      <c r="AE147" t="str">
        <f>TRIM(PROPER(I:I))</f>
        <v>Panaji</v>
      </c>
      <c r="AF147" t="str">
        <f t="shared" si="2"/>
        <v>Office Supplies</v>
      </c>
      <c r="AG147" t="str">
        <f t="shared" si="2"/>
        <v>Paper</v>
      </c>
      <c r="AH147" t="str">
        <f t="shared" si="2"/>
        <v>Smart Paper 899</v>
      </c>
      <c r="AI147" t="str">
        <f t="shared" si="2"/>
        <v>Standard Class</v>
      </c>
      <c r="AJ147" s="3" t="str">
        <f t="shared" si="3"/>
        <v>Invalid</v>
      </c>
      <c r="AK147" t="str">
        <f>IFERROR(Y147-X147, "invalid date")</f>
        <v>invalid date</v>
      </c>
      <c r="AL147" s="10">
        <v>0.1</v>
      </c>
      <c r="AM147" s="11">
        <v>15055.74</v>
      </c>
      <c r="AN147" s="11">
        <v>5246.91</v>
      </c>
      <c r="AO147" s="10">
        <v>0.34849897779850075</v>
      </c>
      <c r="AP147" t="s">
        <v>4319</v>
      </c>
      <c r="AQ147" t="s">
        <v>4105</v>
      </c>
      <c r="AR147" t="s">
        <v>4199</v>
      </c>
      <c r="AS147" t="s">
        <v>4120</v>
      </c>
      <c r="AT147" t="s">
        <v>4108</v>
      </c>
      <c r="AU147" t="s">
        <v>4105</v>
      </c>
      <c r="AV147" t="s">
        <v>4109</v>
      </c>
    </row>
    <row r="148" spans="1:48">
      <c r="A148" t="s">
        <v>828</v>
      </c>
      <c r="B148" t="s">
        <v>829</v>
      </c>
      <c r="C148" t="s">
        <v>830</v>
      </c>
      <c r="D148" t="s">
        <v>831</v>
      </c>
      <c r="E148" t="s">
        <v>177</v>
      </c>
      <c r="F148" t="s">
        <v>50</v>
      </c>
      <c r="G148" t="s">
        <v>71</v>
      </c>
      <c r="H148" t="s">
        <v>350</v>
      </c>
      <c r="I148" t="s">
        <v>351</v>
      </c>
      <c r="J148" t="s">
        <v>39</v>
      </c>
      <c r="K148" t="s">
        <v>165</v>
      </c>
      <c r="L148" t="s">
        <v>832</v>
      </c>
      <c r="M148" t="s">
        <v>57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43</v>
      </c>
      <c r="U148" t="s">
        <v>44</v>
      </c>
      <c r="W148" t="s">
        <v>828</v>
      </c>
      <c r="X148" t="str">
        <v>30-07-25</v>
      </c>
      <c r="Y148" t="str">
        <v>08-01-25</v>
      </c>
      <c r="Z148" t="s">
        <v>831</v>
      </c>
      <c r="AA148" t="str">
        <v>Sneha Kapoor</v>
      </c>
      <c r="AB148" t="str">
        <f>TRIM(PROPER(F:F))</f>
        <v>Small Business</v>
      </c>
      <c r="AC148" t="str">
        <f>TRIM(PROPER(G:G))</f>
        <v>South</v>
      </c>
      <c r="AD148" t="str">
        <f>TRIM(PROPER(H:H))</f>
        <v>Tamil Nadu</v>
      </c>
      <c r="AE148" t="str">
        <f>TRIM(PROPER(I:I))</f>
        <v>Chennai</v>
      </c>
      <c r="AF148" t="str">
        <f t="shared" si="2"/>
        <v>Office Supplies</v>
      </c>
      <c r="AG148" t="str">
        <f t="shared" si="2"/>
        <v>Storage</v>
      </c>
      <c r="AH148" t="str">
        <f t="shared" si="2"/>
        <v>Classic Storage 423</v>
      </c>
      <c r="AI148" t="str">
        <f t="shared" si="2"/>
        <v>Same Day</v>
      </c>
      <c r="AJ148" s="3" t="str">
        <f t="shared" si="3"/>
        <v xml:space="preserve">  </v>
      </c>
      <c r="AK148">
        <f>IFERROR(Y148-X148, "invalid date")</f>
        <v>-203</v>
      </c>
      <c r="AL148" s="10">
        <v>0.1</v>
      </c>
      <c r="AM148" s="11">
        <v>25639.983</v>
      </c>
      <c r="AN148" s="11">
        <v>4004.9029999999984</v>
      </c>
      <c r="AO148" s="10">
        <v>0.1561975684617263</v>
      </c>
      <c r="AP148" t="s">
        <v>4320</v>
      </c>
      <c r="AQ148" t="s">
        <v>4321</v>
      </c>
      <c r="AR148" t="s">
        <v>4106</v>
      </c>
      <c r="AS148" t="s">
        <v>4120</v>
      </c>
      <c r="AT148" t="s">
        <v>4121</v>
      </c>
      <c r="AU148">
        <v>-203</v>
      </c>
      <c r="AV148" t="s">
        <v>4109</v>
      </c>
    </row>
    <row r="149" spans="1:48">
      <c r="A149" t="s">
        <v>833</v>
      </c>
      <c r="B149" t="s">
        <v>834</v>
      </c>
      <c r="C149" t="s">
        <v>835</v>
      </c>
      <c r="D149" t="s">
        <v>836</v>
      </c>
      <c r="E149" t="s">
        <v>151</v>
      </c>
      <c r="F149" t="s">
        <v>124</v>
      </c>
      <c r="G149" t="s">
        <v>82</v>
      </c>
      <c r="H149" t="s">
        <v>259</v>
      </c>
      <c r="I149" t="s">
        <v>260</v>
      </c>
      <c r="J149" t="s">
        <v>54</v>
      </c>
      <c r="K149" t="s">
        <v>74</v>
      </c>
      <c r="L149" t="s">
        <v>837</v>
      </c>
      <c r="M149" t="s">
        <v>65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43</v>
      </c>
      <c r="U149" t="s">
        <v>44</v>
      </c>
      <c r="W149" t="s">
        <v>833</v>
      </c>
      <c r="X149" t="str">
        <v>23-12-24</v>
      </c>
      <c r="Y149" t="str">
        <v>30-12-24</v>
      </c>
      <c r="Z149" t="s">
        <v>836</v>
      </c>
      <c r="AA149" t="str">
        <v>Priya Menon</v>
      </c>
      <c r="AB149" t="str">
        <f>TRIM(PROPER(F:F))</f>
        <v>Home Office</v>
      </c>
      <c r="AC149" t="str">
        <f>TRIM(PROPER(G:G))</f>
        <v>West</v>
      </c>
      <c r="AD149" t="str">
        <f>TRIM(PROPER(H:H))</f>
        <v>Goa</v>
      </c>
      <c r="AE149" t="str">
        <f>TRIM(PROPER(I:I))</f>
        <v>Panaji</v>
      </c>
      <c r="AF149" t="str">
        <f t="shared" si="2"/>
        <v>Furniture</v>
      </c>
      <c r="AG149" t="str">
        <f t="shared" si="2"/>
        <v>Furnishings</v>
      </c>
      <c r="AH149" t="str">
        <f t="shared" si="2"/>
        <v>Classic Furnishings 743</v>
      </c>
      <c r="AI149" t="str">
        <f t="shared" si="2"/>
        <v>First Class</v>
      </c>
      <c r="AJ149" s="3" t="str">
        <f t="shared" si="3"/>
        <v>anomaly</v>
      </c>
      <c r="AK149">
        <f>IFERROR(Y149-X149, "invalid date")</f>
        <v>7</v>
      </c>
      <c r="AL149" s="10">
        <v>0.1</v>
      </c>
      <c r="AM149" s="11">
        <v>2779.92</v>
      </c>
      <c r="AN149" s="11">
        <v>1035.8700000000001</v>
      </c>
      <c r="AO149" s="10">
        <v>0.37262583095916435</v>
      </c>
      <c r="AP149" t="s">
        <v>4222</v>
      </c>
      <c r="AQ149" t="s">
        <v>4322</v>
      </c>
      <c r="AR149" t="s">
        <v>4139</v>
      </c>
      <c r="AS149" t="s">
        <v>4107</v>
      </c>
      <c r="AT149" t="s">
        <v>4115</v>
      </c>
      <c r="AU149">
        <v>7</v>
      </c>
      <c r="AV149" t="s">
        <v>4109</v>
      </c>
    </row>
    <row r="150" spans="1:48">
      <c r="A150" t="s">
        <v>838</v>
      </c>
      <c r="B150" t="s">
        <v>839</v>
      </c>
      <c r="C150" t="s">
        <v>840</v>
      </c>
      <c r="D150" t="s">
        <v>841</v>
      </c>
      <c r="E150" t="s">
        <v>49</v>
      </c>
      <c r="F150" t="s">
        <v>124</v>
      </c>
      <c r="G150" t="s">
        <v>82</v>
      </c>
      <c r="H150" t="s">
        <v>93</v>
      </c>
      <c r="I150" t="s">
        <v>94</v>
      </c>
      <c r="J150" t="s">
        <v>95</v>
      </c>
      <c r="K150" t="s">
        <v>233</v>
      </c>
      <c r="L150" t="s">
        <v>842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43</v>
      </c>
      <c r="U150" t="s">
        <v>44</v>
      </c>
      <c r="W150" t="s">
        <v>838</v>
      </c>
      <c r="X150" t="str">
        <v>09-02-25</v>
      </c>
      <c r="Y150" t="str">
        <v>13-02-25</v>
      </c>
      <c r="Z150" t="s">
        <v>841</v>
      </c>
      <c r="AA150" t="str">
        <v>Mira Das</v>
      </c>
      <c r="AB150" t="str">
        <f>TRIM(PROPER(F:F))</f>
        <v>Home Office</v>
      </c>
      <c r="AC150" t="str">
        <f>TRIM(PROPER(G:G))</f>
        <v>West</v>
      </c>
      <c r="AD150" t="str">
        <f>TRIM(PROPER(H:H))</f>
        <v>Madhya Pradesh</v>
      </c>
      <c r="AE150" t="str">
        <f>TRIM(PROPER(I:I))</f>
        <v>Indore</v>
      </c>
      <c r="AF150" t="str">
        <f t="shared" si="2"/>
        <v>Technology</v>
      </c>
      <c r="AG150" t="str">
        <f t="shared" si="2"/>
        <v>Phones</v>
      </c>
      <c r="AH150" t="str">
        <f t="shared" si="2"/>
        <v>Smart Phones 336</v>
      </c>
      <c r="AI150" s="4" t="s">
        <v>282</v>
      </c>
      <c r="AJ150" s="3" t="str">
        <f t="shared" si="3"/>
        <v>anomaly</v>
      </c>
      <c r="AK150">
        <f>IFERROR(Y150-X150, "invalid date")</f>
        <v>4</v>
      </c>
      <c r="AL150" s="10">
        <v>0.25</v>
      </c>
      <c r="AM150" s="11">
        <v>10176.42</v>
      </c>
      <c r="AN150" s="11">
        <v>2571.9499999999998</v>
      </c>
      <c r="AO150" s="10">
        <v>0.252736227474888</v>
      </c>
      <c r="AP150" t="s">
        <v>4310</v>
      </c>
      <c r="AQ150" t="s">
        <v>4323</v>
      </c>
      <c r="AR150" t="s">
        <v>4129</v>
      </c>
      <c r="AS150" t="s">
        <v>4120</v>
      </c>
      <c r="AT150" t="s">
        <v>4115</v>
      </c>
      <c r="AU150">
        <v>4</v>
      </c>
      <c r="AV150" t="s">
        <v>4109</v>
      </c>
    </row>
    <row r="151" spans="1:48">
      <c r="A151" t="s">
        <v>843</v>
      </c>
      <c r="B151" t="s">
        <v>844</v>
      </c>
      <c r="C151" t="s">
        <v>844</v>
      </c>
      <c r="D151" t="s">
        <v>845</v>
      </c>
      <c r="E151" t="s">
        <v>171</v>
      </c>
      <c r="F151" t="s">
        <v>50</v>
      </c>
      <c r="G151" t="s">
        <v>846</v>
      </c>
      <c r="H151" t="s">
        <v>37</v>
      </c>
      <c r="I151" t="s">
        <v>144</v>
      </c>
      <c r="J151" t="s">
        <v>95</v>
      </c>
      <c r="K151" t="s">
        <v>103</v>
      </c>
      <c r="L151" t="s">
        <v>847</v>
      </c>
      <c r="M151" t="s">
        <v>57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43</v>
      </c>
      <c r="U151" t="s">
        <v>44</v>
      </c>
      <c r="W151" t="s">
        <v>843</v>
      </c>
      <c r="X151" t="str">
        <v>30-01-24</v>
      </c>
      <c r="Y151" t="str">
        <v>30-01-24</v>
      </c>
      <c r="Z151" t="s">
        <v>845</v>
      </c>
      <c r="AA151" t="str">
        <v>Aarav Sharma</v>
      </c>
      <c r="AB151" t="str">
        <f>TRIM(PROPER(F:F))</f>
        <v>Small Business</v>
      </c>
      <c r="AC151" t="str">
        <f>TRIM(PROPER(G:G))</f>
        <v>West</v>
      </c>
      <c r="AD151" t="str">
        <f>TRIM(PROPER(H:H))</f>
        <v>Rajasthan</v>
      </c>
      <c r="AE151" t="str">
        <f>TRIM(PROPER(I:I))</f>
        <v>Udaipur</v>
      </c>
      <c r="AF151" t="str">
        <f t="shared" si="2"/>
        <v>Technology</v>
      </c>
      <c r="AG151" t="str">
        <f t="shared" si="2"/>
        <v>Copiers</v>
      </c>
      <c r="AH151" t="str">
        <f t="shared" si="2"/>
        <v>Eco Copiers 381</v>
      </c>
      <c r="AI151" t="str">
        <f t="shared" si="2"/>
        <v>Same Day</v>
      </c>
      <c r="AJ151" s="3" t="str">
        <f t="shared" si="3"/>
        <v xml:space="preserve">  </v>
      </c>
      <c r="AK151">
        <f>IFERROR(Y151-X151, "invalid date")</f>
        <v>0</v>
      </c>
      <c r="AL151" s="10">
        <v>0.25</v>
      </c>
      <c r="AM151" s="11">
        <v>13269.952499999999</v>
      </c>
      <c r="AN151" s="11">
        <v>4292.8524999999991</v>
      </c>
      <c r="AO151" s="10">
        <v>0.32350172315989822</v>
      </c>
      <c r="AP151" t="s">
        <v>4324</v>
      </c>
      <c r="AQ151" t="s">
        <v>4324</v>
      </c>
      <c r="AR151" t="s">
        <v>4153</v>
      </c>
      <c r="AS151" t="s">
        <v>4107</v>
      </c>
      <c r="AT151" t="s">
        <v>4115</v>
      </c>
      <c r="AU151">
        <v>0</v>
      </c>
      <c r="AV151" t="s">
        <v>4109</v>
      </c>
    </row>
    <row r="152" spans="1:48">
      <c r="A152" t="s">
        <v>848</v>
      </c>
      <c r="B152" t="s">
        <v>849</v>
      </c>
      <c r="C152" t="s">
        <v>850</v>
      </c>
      <c r="D152" t="s">
        <v>851</v>
      </c>
      <c r="E152" t="s">
        <v>70</v>
      </c>
      <c r="F152" t="s">
        <v>35</v>
      </c>
      <c r="H152" t="s">
        <v>245</v>
      </c>
      <c r="I152" t="s">
        <v>246</v>
      </c>
      <c r="J152" t="s">
        <v>54</v>
      </c>
      <c r="K152" t="s">
        <v>214</v>
      </c>
      <c r="L152" t="s">
        <v>852</v>
      </c>
      <c r="M152" t="s">
        <v>65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43</v>
      </c>
      <c r="U152" t="s">
        <v>44</v>
      </c>
      <c r="W152" t="s">
        <v>848</v>
      </c>
      <c r="X152" t="str">
        <v>04-03-24</v>
      </c>
      <c r="Y152" t="str">
        <v>12-03-24</v>
      </c>
      <c r="Z152" t="s">
        <v>851</v>
      </c>
      <c r="AA152" t="str">
        <v>Arjun Bose</v>
      </c>
      <c r="AB152" t="str">
        <f>TRIM(PROPER(F:F))</f>
        <v>Consumer</v>
      </c>
      <c r="AC152" s="4" t="s">
        <v>282</v>
      </c>
      <c r="AD152" t="str">
        <f>TRIM(PROPER(H:H))</f>
        <v>Gujarat</v>
      </c>
      <c r="AE152" t="str">
        <f>TRIM(PROPER(I:I))</f>
        <v>Ahmedabad</v>
      </c>
      <c r="AF152" t="str">
        <f t="shared" si="2"/>
        <v>Furniture</v>
      </c>
      <c r="AG152" t="str">
        <f t="shared" si="2"/>
        <v>Bookcases</v>
      </c>
      <c r="AH152" t="str">
        <f t="shared" si="2"/>
        <v>Max Bookcases 595</v>
      </c>
      <c r="AI152" t="str">
        <f t="shared" si="2"/>
        <v>First Class</v>
      </c>
      <c r="AJ152" s="3" t="str">
        <f t="shared" si="3"/>
        <v>anomaly</v>
      </c>
      <c r="AK152">
        <f>IFERROR(Y152-X152, "invalid date")</f>
        <v>8</v>
      </c>
      <c r="AL152" s="10">
        <v>0.1</v>
      </c>
      <c r="AM152" s="11">
        <v>1398.7079999999999</v>
      </c>
      <c r="AN152" s="11">
        <v>341.78799999999978</v>
      </c>
      <c r="AO152" s="10">
        <v>0.24435979489643286</v>
      </c>
      <c r="AP152" t="s">
        <v>4157</v>
      </c>
      <c r="AQ152" t="s">
        <v>4325</v>
      </c>
      <c r="AR152" t="s">
        <v>4159</v>
      </c>
      <c r="AS152" t="s">
        <v>4107</v>
      </c>
      <c r="AT152" t="s">
        <v>4115</v>
      </c>
      <c r="AU152">
        <v>8</v>
      </c>
      <c r="AV152" t="s">
        <v>4109</v>
      </c>
    </row>
    <row r="153" spans="1:48">
      <c r="A153" t="s">
        <v>853</v>
      </c>
      <c r="B153" t="s">
        <v>854</v>
      </c>
      <c r="C153" t="s">
        <v>855</v>
      </c>
      <c r="D153" t="s">
        <v>856</v>
      </c>
      <c r="E153" t="s">
        <v>102</v>
      </c>
      <c r="F153" t="s">
        <v>124</v>
      </c>
      <c r="H153" t="s">
        <v>93</v>
      </c>
      <c r="I153" t="s">
        <v>94</v>
      </c>
      <c r="J153" t="s">
        <v>95</v>
      </c>
      <c r="K153" t="s">
        <v>103</v>
      </c>
      <c r="L153" t="s">
        <v>857</v>
      </c>
      <c r="M153" t="s">
        <v>76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146</v>
      </c>
      <c r="U153" t="s">
        <v>134</v>
      </c>
      <c r="W153" t="s">
        <v>853</v>
      </c>
      <c r="X153" t="str">
        <v>27-06-24</v>
      </c>
      <c r="Y153" t="str">
        <v>invalid date</v>
      </c>
      <c r="Z153" t="s">
        <v>856</v>
      </c>
      <c r="AA153" t="str">
        <v>Neha Gupta</v>
      </c>
      <c r="AB153" t="str">
        <f>TRIM(PROPER(F:F))</f>
        <v>Home Office</v>
      </c>
      <c r="AC153" s="4" t="s">
        <v>282</v>
      </c>
      <c r="AD153" t="str">
        <f>TRIM(PROPER(H:H))</f>
        <v>Madhya Pradesh</v>
      </c>
      <c r="AE153" t="str">
        <f>TRIM(PROPER(I:I))</f>
        <v>Indore</v>
      </c>
      <c r="AF153" t="str">
        <f t="shared" si="2"/>
        <v>Technology</v>
      </c>
      <c r="AG153" t="str">
        <f t="shared" si="2"/>
        <v>Copiers</v>
      </c>
      <c r="AH153" t="str">
        <f t="shared" si="2"/>
        <v>Max Copiers 992</v>
      </c>
      <c r="AI153" t="str">
        <f t="shared" si="2"/>
        <v>Standard Class</v>
      </c>
      <c r="AJ153" s="3" t="str">
        <f t="shared" si="3"/>
        <v>Invalid</v>
      </c>
      <c r="AK153" t="str">
        <f>IFERROR(Y153-X153, "invalid date")</f>
        <v>invalid date</v>
      </c>
      <c r="AL153" s="10">
        <v>0</v>
      </c>
      <c r="AM153" s="11">
        <v>7718.22</v>
      </c>
      <c r="AN153" s="11">
        <v>2362.29</v>
      </c>
      <c r="AO153" s="10">
        <v>0.30606668376905555</v>
      </c>
      <c r="AP153" t="s">
        <v>4326</v>
      </c>
      <c r="AQ153" t="s">
        <v>4105</v>
      </c>
      <c r="AR153" t="s">
        <v>4170</v>
      </c>
      <c r="AS153" t="s">
        <v>4107</v>
      </c>
      <c r="AT153" t="s">
        <v>4108</v>
      </c>
      <c r="AU153" t="s">
        <v>4105</v>
      </c>
      <c r="AV153" t="s">
        <v>4109</v>
      </c>
    </row>
    <row r="154" spans="1:48">
      <c r="A154" t="s">
        <v>858</v>
      </c>
      <c r="B154" t="s">
        <v>859</v>
      </c>
      <c r="C154" t="s">
        <v>860</v>
      </c>
      <c r="D154" t="s">
        <v>861</v>
      </c>
      <c r="E154" t="s">
        <v>377</v>
      </c>
      <c r="F154" t="s">
        <v>50</v>
      </c>
      <c r="G154" t="s">
        <v>71</v>
      </c>
      <c r="H154" t="s">
        <v>252</v>
      </c>
      <c r="I154" t="s">
        <v>253</v>
      </c>
      <c r="J154" t="s">
        <v>54</v>
      </c>
      <c r="K154" t="s">
        <v>55</v>
      </c>
      <c r="L154" t="s">
        <v>862</v>
      </c>
      <c r="M154" t="s">
        <v>42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146</v>
      </c>
      <c r="U154" t="s">
        <v>134</v>
      </c>
      <c r="W154" t="s">
        <v>858</v>
      </c>
      <c r="X154" t="str">
        <v>14-06-24</v>
      </c>
      <c r="Y154" t="str">
        <v>invalid date</v>
      </c>
      <c r="Z154" t="s">
        <v>861</v>
      </c>
      <c r="AA154" t="str">
        <v>Kabir Singh</v>
      </c>
      <c r="AB154" t="str">
        <f>TRIM(PROPER(F:F))</f>
        <v>Small Business</v>
      </c>
      <c r="AC154" t="str">
        <f>TRIM(PROPER(G:G))</f>
        <v>South</v>
      </c>
      <c r="AD154" t="str">
        <f>TRIM(PROPER(H:H))</f>
        <v>Kerala</v>
      </c>
      <c r="AE154" t="str">
        <f>TRIM(PROPER(I:I))</f>
        <v>Kochi</v>
      </c>
      <c r="AF154" t="str">
        <f t="shared" si="2"/>
        <v>Furniture</v>
      </c>
      <c r="AG154" t="str">
        <f t="shared" si="2"/>
        <v>Tables</v>
      </c>
      <c r="AH154" t="str">
        <f t="shared" si="2"/>
        <v>Pro Tables 407</v>
      </c>
      <c r="AI154" t="str">
        <f t="shared" si="2"/>
        <v>Second Class</v>
      </c>
      <c r="AJ154" s="3" t="str">
        <f t="shared" si="3"/>
        <v>Invalid</v>
      </c>
      <c r="AK154" t="str">
        <f>IFERROR(Y154-X154, "invalid date")</f>
        <v>invalid date</v>
      </c>
      <c r="AL154" s="10">
        <v>0.1</v>
      </c>
      <c r="AM154" s="11">
        <v>5875.4160000000002</v>
      </c>
      <c r="AN154" s="11">
        <v>1494.866</v>
      </c>
      <c r="AO154" s="10">
        <v>0.25442726098032886</v>
      </c>
      <c r="AP154" t="s">
        <v>4327</v>
      </c>
      <c r="AQ154" t="s">
        <v>4105</v>
      </c>
      <c r="AR154" t="s">
        <v>4170</v>
      </c>
      <c r="AS154" t="s">
        <v>4107</v>
      </c>
      <c r="AT154" t="s">
        <v>4108</v>
      </c>
      <c r="AU154" t="s">
        <v>4105</v>
      </c>
      <c r="AV154" t="s">
        <v>4109</v>
      </c>
    </row>
    <row r="155" spans="1:48">
      <c r="A155" t="s">
        <v>863</v>
      </c>
      <c r="B155" t="s">
        <v>864</v>
      </c>
      <c r="C155" t="s">
        <v>865</v>
      </c>
      <c r="D155" t="s">
        <v>866</v>
      </c>
      <c r="E155" t="s">
        <v>116</v>
      </c>
      <c r="F155" t="s">
        <v>35</v>
      </c>
      <c r="G155" t="s">
        <v>51</v>
      </c>
      <c r="H155" t="s">
        <v>52</v>
      </c>
      <c r="I155" t="s">
        <v>53</v>
      </c>
      <c r="J155" t="s">
        <v>39</v>
      </c>
      <c r="K155" t="s">
        <v>118</v>
      </c>
      <c r="L155" t="s">
        <v>867</v>
      </c>
      <c r="M155" t="s">
        <v>76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133</v>
      </c>
      <c r="U155" t="s">
        <v>134</v>
      </c>
      <c r="W155" t="s">
        <v>863</v>
      </c>
      <c r="X155" t="str">
        <v>23-09-25</v>
      </c>
      <c r="Y155" t="str">
        <v>25-09-25</v>
      </c>
      <c r="Z155" t="s">
        <v>866</v>
      </c>
      <c r="AA155" t="str">
        <v>Aditi Sen</v>
      </c>
      <c r="AB155" t="str">
        <f>TRIM(PROPER(F:F))</f>
        <v>Consumer</v>
      </c>
      <c r="AC155" t="str">
        <f>TRIM(PROPER(G:G))</f>
        <v>East</v>
      </c>
      <c r="AD155" t="str">
        <f>TRIM(PROPER(H:H))</f>
        <v>Odisha</v>
      </c>
      <c r="AE155" t="str">
        <f>TRIM(PROPER(I:I))</f>
        <v>Bhubaneswar</v>
      </c>
      <c r="AF155" t="str">
        <f t="shared" si="2"/>
        <v>Office Supplies</v>
      </c>
      <c r="AG155" t="str">
        <f t="shared" si="2"/>
        <v>Labels</v>
      </c>
      <c r="AH155" t="str">
        <f t="shared" si="2"/>
        <v>Prime Labels 559</v>
      </c>
      <c r="AI155" t="str">
        <f t="shared" si="2"/>
        <v>Standard Class</v>
      </c>
      <c r="AJ155" s="3" t="str">
        <f t="shared" si="3"/>
        <v>anomaly</v>
      </c>
      <c r="AK155">
        <f>IFERROR(Y155-X155, "invalid date")</f>
        <v>2</v>
      </c>
      <c r="AL155" s="10">
        <v>0</v>
      </c>
      <c r="AM155" s="11">
        <v>22962.17</v>
      </c>
      <c r="AN155" s="11">
        <v>7245.6699999999983</v>
      </c>
      <c r="AO155" s="10">
        <v>0.31554813852523517</v>
      </c>
      <c r="AP155" t="s">
        <v>4328</v>
      </c>
      <c r="AQ155" t="s">
        <v>4329</v>
      </c>
      <c r="AR155" t="s">
        <v>4134</v>
      </c>
      <c r="AS155" t="s">
        <v>4120</v>
      </c>
      <c r="AT155" t="s">
        <v>4115</v>
      </c>
      <c r="AU155">
        <v>2</v>
      </c>
      <c r="AV155" t="s">
        <v>4109</v>
      </c>
    </row>
    <row r="156" spans="1:48">
      <c r="A156" t="s">
        <v>868</v>
      </c>
      <c r="B156" t="s">
        <v>869</v>
      </c>
      <c r="C156" t="s">
        <v>870</v>
      </c>
      <c r="D156" t="s">
        <v>680</v>
      </c>
      <c r="E156" t="s">
        <v>151</v>
      </c>
      <c r="F156" t="s">
        <v>35</v>
      </c>
      <c r="G156" t="s">
        <v>71</v>
      </c>
      <c r="H156" t="s">
        <v>350</v>
      </c>
      <c r="I156" t="s">
        <v>351</v>
      </c>
      <c r="J156" t="s">
        <v>54</v>
      </c>
      <c r="K156" t="s">
        <v>214</v>
      </c>
      <c r="L156" t="s">
        <v>871</v>
      </c>
      <c r="M156" t="s">
        <v>57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43</v>
      </c>
      <c r="U156" t="s">
        <v>44</v>
      </c>
      <c r="W156" t="s">
        <v>868</v>
      </c>
      <c r="X156" t="str">
        <v>12-02-24</v>
      </c>
      <c r="Y156" t="str">
        <v>02-11-24</v>
      </c>
      <c r="Z156" t="s">
        <v>680</v>
      </c>
      <c r="AA156" t="str">
        <v>Priya Menon</v>
      </c>
      <c r="AB156" t="str">
        <f>TRIM(PROPER(F:F))</f>
        <v>Consumer</v>
      </c>
      <c r="AC156" t="str">
        <f>TRIM(PROPER(G:G))</f>
        <v>South</v>
      </c>
      <c r="AD156" t="str">
        <f>TRIM(PROPER(H:H))</f>
        <v>Tamil Nadu</v>
      </c>
      <c r="AE156" t="str">
        <f>TRIM(PROPER(I:I))</f>
        <v>Chennai</v>
      </c>
      <c r="AF156" t="str">
        <f t="shared" si="2"/>
        <v>Furniture</v>
      </c>
      <c r="AG156" t="str">
        <f t="shared" si="2"/>
        <v>Bookcases</v>
      </c>
      <c r="AH156" t="str">
        <f t="shared" si="2"/>
        <v>Classic Bookcases 847</v>
      </c>
      <c r="AI156" t="str">
        <f t="shared" si="2"/>
        <v>Same Day</v>
      </c>
      <c r="AJ156" s="3" t="str">
        <f t="shared" si="3"/>
        <v xml:space="preserve">  </v>
      </c>
      <c r="AK156">
        <f>IFERROR(Y156-X156, "invalid date")</f>
        <v>264</v>
      </c>
      <c r="AL156" s="10">
        <v>0.15</v>
      </c>
      <c r="AM156" s="11">
        <v>2209.252</v>
      </c>
      <c r="AN156" s="11">
        <v>685.47199999999998</v>
      </c>
      <c r="AO156" s="10">
        <v>0.31027334138432372</v>
      </c>
      <c r="AP156" t="s">
        <v>4286</v>
      </c>
      <c r="AQ156" t="s">
        <v>4219</v>
      </c>
      <c r="AR156" t="s">
        <v>4129</v>
      </c>
      <c r="AS156" t="s">
        <v>4107</v>
      </c>
      <c r="AT156" t="s">
        <v>4121</v>
      </c>
      <c r="AU156">
        <v>264</v>
      </c>
      <c r="AV156" t="s">
        <v>4109</v>
      </c>
    </row>
    <row r="157" spans="1:48">
      <c r="A157" t="s">
        <v>872</v>
      </c>
      <c r="B157" t="s">
        <v>570</v>
      </c>
      <c r="C157" t="s">
        <v>451</v>
      </c>
      <c r="D157" t="s">
        <v>873</v>
      </c>
      <c r="E157" t="s">
        <v>34</v>
      </c>
      <c r="F157" t="s">
        <v>117</v>
      </c>
      <c r="G157" t="s">
        <v>82</v>
      </c>
      <c r="H157" t="s">
        <v>37</v>
      </c>
      <c r="I157" t="s">
        <v>144</v>
      </c>
      <c r="J157" t="s">
        <v>54</v>
      </c>
      <c r="K157" t="s">
        <v>74</v>
      </c>
      <c r="L157" t="s">
        <v>874</v>
      </c>
      <c r="M157" t="s">
        <v>57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133</v>
      </c>
      <c r="U157" t="s">
        <v>134</v>
      </c>
      <c r="W157" t="s">
        <v>872</v>
      </c>
      <c r="X157" t="str">
        <v>invalid date</v>
      </c>
      <c r="Y157" t="str">
        <v>03-02-25</v>
      </c>
      <c r="Z157" t="s">
        <v>873</v>
      </c>
      <c r="AA157" t="str">
        <v>Karan Malhotra</v>
      </c>
      <c r="AB157" t="str">
        <f>TRIM(PROPER(F:F))</f>
        <v>Corporate</v>
      </c>
      <c r="AC157" t="str">
        <f>TRIM(PROPER(G:G))</f>
        <v>West</v>
      </c>
      <c r="AD157" t="str">
        <f>TRIM(PROPER(H:H))</f>
        <v>Rajasthan</v>
      </c>
      <c r="AE157" t="str">
        <f>TRIM(PROPER(I:I))</f>
        <v>Udaipur</v>
      </c>
      <c r="AF157" t="str">
        <f t="shared" si="2"/>
        <v>Furniture</v>
      </c>
      <c r="AG157" t="str">
        <f t="shared" si="2"/>
        <v>Furnishings</v>
      </c>
      <c r="AH157" t="str">
        <f t="shared" si="2"/>
        <v>Classic Furnishings 655</v>
      </c>
      <c r="AI157" t="str">
        <f t="shared" si="2"/>
        <v>Same Day</v>
      </c>
      <c r="AJ157" s="3" t="str">
        <f t="shared" si="3"/>
        <v>Invalid</v>
      </c>
      <c r="AK157" t="str">
        <f>IFERROR(Y157-X157, "invalid date")</f>
        <v>invalid date</v>
      </c>
      <c r="AL157" s="10">
        <v>0.1</v>
      </c>
      <c r="AM157" s="11">
        <v>7720.1640000000007</v>
      </c>
      <c r="AN157" s="11">
        <v>1839.1640000000007</v>
      </c>
      <c r="AO157" s="10">
        <v>0.23822861794127695</v>
      </c>
      <c r="AP157" t="s">
        <v>4105</v>
      </c>
      <c r="AQ157" t="s">
        <v>4225</v>
      </c>
      <c r="AR157" t="s">
        <v>4105</v>
      </c>
      <c r="AS157" t="s">
        <v>4105</v>
      </c>
      <c r="AT157" t="s">
        <v>4108</v>
      </c>
      <c r="AU157" t="s">
        <v>4105</v>
      </c>
      <c r="AV157" t="s">
        <v>4109</v>
      </c>
    </row>
    <row r="158" spans="1:48">
      <c r="A158" t="s">
        <v>875</v>
      </c>
      <c r="B158" t="s">
        <v>876</v>
      </c>
      <c r="C158" t="s">
        <v>877</v>
      </c>
      <c r="D158" t="s">
        <v>878</v>
      </c>
      <c r="E158" t="s">
        <v>92</v>
      </c>
      <c r="F158" t="s">
        <v>50</v>
      </c>
      <c r="G158" t="s">
        <v>51</v>
      </c>
      <c r="H158" t="s">
        <v>196</v>
      </c>
      <c r="I158" t="s">
        <v>197</v>
      </c>
      <c r="J158" t="s">
        <v>95</v>
      </c>
      <c r="K158" t="s">
        <v>393</v>
      </c>
      <c r="L158" t="s">
        <v>879</v>
      </c>
      <c r="M158" t="s">
        <v>42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43</v>
      </c>
      <c r="U158" t="s">
        <v>44</v>
      </c>
      <c r="W158" t="s">
        <v>875</v>
      </c>
      <c r="X158" t="str">
        <v>27-03-25</v>
      </c>
      <c r="Y158" t="str">
        <v>27-03-25</v>
      </c>
      <c r="Z158" t="s">
        <v>878</v>
      </c>
      <c r="AA158" t="str">
        <v>Vikram Iyer</v>
      </c>
      <c r="AB158" t="str">
        <f>TRIM(PROPER(F:F))</f>
        <v>Small Business</v>
      </c>
      <c r="AC158" t="str">
        <f>TRIM(PROPER(G:G))</f>
        <v>East</v>
      </c>
      <c r="AD158" t="str">
        <f>TRIM(PROPER(H:H))</f>
        <v>Bihar</v>
      </c>
      <c r="AE158" t="str">
        <f>TRIM(PROPER(I:I))</f>
        <v>Patna</v>
      </c>
      <c r="AF158" t="str">
        <f t="shared" si="2"/>
        <v>Technology</v>
      </c>
      <c r="AG158" t="str">
        <f t="shared" si="2"/>
        <v>Machines</v>
      </c>
      <c r="AH158" t="str">
        <f t="shared" si="2"/>
        <v>Eco Machines 657</v>
      </c>
      <c r="AI158" t="str">
        <f t="shared" si="2"/>
        <v>Second Class</v>
      </c>
      <c r="AJ158" s="3" t="str">
        <f t="shared" si="3"/>
        <v xml:space="preserve">  </v>
      </c>
      <c r="AK158">
        <f>IFERROR(Y158-X158, "invalid date")</f>
        <v>0</v>
      </c>
      <c r="AL158" s="10">
        <v>0.25</v>
      </c>
      <c r="AM158" s="11">
        <v>12103.192500000001</v>
      </c>
      <c r="AN158" s="11">
        <v>5385.3225000000011</v>
      </c>
      <c r="AO158" s="10">
        <v>0.44495057812225997</v>
      </c>
      <c r="AP158" t="s">
        <v>4330</v>
      </c>
      <c r="AQ158" t="s">
        <v>4330</v>
      </c>
      <c r="AR158" t="s">
        <v>4159</v>
      </c>
      <c r="AS158" t="s">
        <v>4120</v>
      </c>
      <c r="AT158" t="s">
        <v>4115</v>
      </c>
      <c r="AU158">
        <v>0</v>
      </c>
      <c r="AV158" t="s">
        <v>4109</v>
      </c>
    </row>
    <row r="159" spans="1:48">
      <c r="A159" t="s">
        <v>880</v>
      </c>
      <c r="B159" t="s">
        <v>881</v>
      </c>
      <c r="C159" t="s">
        <v>882</v>
      </c>
      <c r="D159" t="s">
        <v>883</v>
      </c>
      <c r="E159" t="s">
        <v>189</v>
      </c>
      <c r="F159" t="s">
        <v>50</v>
      </c>
      <c r="G159" t="s">
        <v>71</v>
      </c>
      <c r="H159" t="s">
        <v>109</v>
      </c>
      <c r="I159" t="s">
        <v>110</v>
      </c>
      <c r="J159" t="s">
        <v>54</v>
      </c>
      <c r="K159" t="s">
        <v>214</v>
      </c>
      <c r="L159" t="s">
        <v>884</v>
      </c>
      <c r="M159" t="s">
        <v>76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43</v>
      </c>
      <c r="U159" t="s">
        <v>44</v>
      </c>
      <c r="W159" t="s">
        <v>880</v>
      </c>
      <c r="X159" t="str">
        <v>invalid date</v>
      </c>
      <c r="Y159" t="str">
        <v>24-10-24</v>
      </c>
      <c r="Z159" t="s">
        <v>883</v>
      </c>
      <c r="AA159" t="str">
        <v>Rohan Mehta</v>
      </c>
      <c r="AB159" t="str">
        <f>TRIM(PROPER(F:F))</f>
        <v>Small Business</v>
      </c>
      <c r="AC159" t="str">
        <f>TRIM(PROPER(G:G))</f>
        <v>South</v>
      </c>
      <c r="AD159" t="str">
        <f>TRIM(PROPER(H:H))</f>
        <v>Andhra Pradesh</v>
      </c>
      <c r="AE159" t="str">
        <f>TRIM(PROPER(I:I))</f>
        <v>Vijayawada</v>
      </c>
      <c r="AF159" t="str">
        <f>TRIM(PROPER(J:J))</f>
        <v>Furniture</v>
      </c>
      <c r="AG159" t="str">
        <f>TRIM(PROPER(K:K))</f>
        <v>Bookcases</v>
      </c>
      <c r="AH159" t="str">
        <f>TRIM(PROPER(L:L))</f>
        <v>Pro Bookcases 430</v>
      </c>
      <c r="AI159" t="str">
        <f>TRIM(PROPER(M:M))</f>
        <v>Standard Class</v>
      </c>
      <c r="AJ159" s="3" t="str">
        <f t="shared" si="3"/>
        <v>Invalid</v>
      </c>
      <c r="AK159" t="str">
        <f>IFERROR(Y159-X159, "invalid date")</f>
        <v>invalid date</v>
      </c>
      <c r="AL159" s="10">
        <v>0.15</v>
      </c>
      <c r="AM159" s="11">
        <v>2335.3919999999998</v>
      </c>
      <c r="AN159" s="11">
        <v>869.24199999999973</v>
      </c>
      <c r="AO159" s="10">
        <v>0.3722038955344541</v>
      </c>
      <c r="AP159" t="s">
        <v>4105</v>
      </c>
      <c r="AQ159" t="s">
        <v>4282</v>
      </c>
      <c r="AR159" t="s">
        <v>4105</v>
      </c>
      <c r="AS159" t="s">
        <v>4105</v>
      </c>
      <c r="AT159" t="s">
        <v>4108</v>
      </c>
      <c r="AU159" t="s">
        <v>4105</v>
      </c>
      <c r="AV159" t="s">
        <v>4109</v>
      </c>
    </row>
    <row r="160" spans="1:48">
      <c r="A160" t="s">
        <v>885</v>
      </c>
      <c r="B160" t="s">
        <v>886</v>
      </c>
      <c r="C160" t="s">
        <v>887</v>
      </c>
      <c r="D160" t="s">
        <v>888</v>
      </c>
      <c r="E160" t="s">
        <v>102</v>
      </c>
      <c r="F160" t="s">
        <v>124</v>
      </c>
      <c r="G160" t="s">
        <v>71</v>
      </c>
      <c r="H160" t="s">
        <v>72</v>
      </c>
      <c r="I160" t="s">
        <v>73</v>
      </c>
      <c r="J160" t="s">
        <v>54</v>
      </c>
      <c r="K160" t="s">
        <v>214</v>
      </c>
      <c r="L160" t="s">
        <v>889</v>
      </c>
      <c r="M160" t="s">
        <v>65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43</v>
      </c>
      <c r="U160" t="s">
        <v>44</v>
      </c>
      <c r="W160" t="s">
        <v>885</v>
      </c>
      <c r="X160" t="str">
        <v>09-09-24</v>
      </c>
      <c r="Y160" t="str">
        <v>09-11-24</v>
      </c>
      <c r="Z160" t="s">
        <v>888</v>
      </c>
      <c r="AA160" t="str">
        <v>Neha Gupta</v>
      </c>
      <c r="AB160" t="str">
        <f>TRIM(PROPER(F:F))</f>
        <v>Home Office</v>
      </c>
      <c r="AC160" t="str">
        <f>TRIM(PROPER(G:G))</f>
        <v>South</v>
      </c>
      <c r="AD160" t="str">
        <f>TRIM(PROPER(H:H))</f>
        <v>Telangana</v>
      </c>
      <c r="AE160" t="str">
        <f>TRIM(PROPER(I:I))</f>
        <v>Hyderabad</v>
      </c>
      <c r="AF160" t="str">
        <f>TRIM(PROPER(J:J))</f>
        <v>Furniture</v>
      </c>
      <c r="AG160" t="str">
        <f>TRIM(PROPER(K:K))</f>
        <v>Bookcases</v>
      </c>
      <c r="AH160" t="str">
        <f>TRIM(PROPER(L:L))</f>
        <v>Max Bookcases 881</v>
      </c>
      <c r="AI160" t="str">
        <f>TRIM(PROPER(M:M))</f>
        <v>First Class</v>
      </c>
      <c r="AJ160" s="3" t="str">
        <f t="shared" si="3"/>
        <v>anomaly</v>
      </c>
      <c r="AK160">
        <f>IFERROR(Y160-X160, "invalid date")</f>
        <v>61</v>
      </c>
      <c r="AL160" s="10">
        <v>0.05</v>
      </c>
      <c r="AM160" s="11">
        <v>3989.5629999999996</v>
      </c>
      <c r="AN160" s="11">
        <v>1608.1829999999995</v>
      </c>
      <c r="AO160" s="10">
        <v>0.40309753223598666</v>
      </c>
      <c r="AP160" t="s">
        <v>4260</v>
      </c>
      <c r="AQ160" t="s">
        <v>4331</v>
      </c>
      <c r="AR160" t="s">
        <v>4134</v>
      </c>
      <c r="AS160" t="s">
        <v>4107</v>
      </c>
      <c r="AT160" t="s">
        <v>4115</v>
      </c>
      <c r="AU160">
        <v>61</v>
      </c>
      <c r="AV160" t="s">
        <v>4109</v>
      </c>
    </row>
    <row r="161" spans="1:48">
      <c r="A161" t="s">
        <v>890</v>
      </c>
      <c r="B161" t="s">
        <v>891</v>
      </c>
      <c r="C161" t="s">
        <v>892</v>
      </c>
      <c r="D161" t="s">
        <v>893</v>
      </c>
      <c r="E161" t="s">
        <v>151</v>
      </c>
      <c r="F161" t="s">
        <v>117</v>
      </c>
      <c r="G161" t="s">
        <v>36</v>
      </c>
      <c r="H161" t="s">
        <v>334</v>
      </c>
      <c r="I161" t="s">
        <v>335</v>
      </c>
      <c r="J161" t="s">
        <v>54</v>
      </c>
      <c r="K161" t="s">
        <v>85</v>
      </c>
      <c r="L161" t="s">
        <v>894</v>
      </c>
      <c r="M161" t="s">
        <v>57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146</v>
      </c>
      <c r="U161" t="s">
        <v>87</v>
      </c>
      <c r="W161" t="s">
        <v>890</v>
      </c>
      <c r="X161" t="str">
        <v>30-01-25</v>
      </c>
      <c r="Y161" t="str">
        <v>04-02-25</v>
      </c>
      <c r="Z161" t="s">
        <v>893</v>
      </c>
      <c r="AA161" t="str">
        <v>Priya Menon</v>
      </c>
      <c r="AB161" t="str">
        <f>TRIM(PROPER(F:F))</f>
        <v>Corporate</v>
      </c>
      <c r="AC161" t="str">
        <f>TRIM(PROPER(G:G))</f>
        <v>North</v>
      </c>
      <c r="AD161" t="str">
        <f>TRIM(PROPER(H:H))</f>
        <v>Haryana</v>
      </c>
      <c r="AE161" t="str">
        <f>TRIM(PROPER(I:I))</f>
        <v>Gurugram</v>
      </c>
      <c r="AF161" t="str">
        <f>TRIM(PROPER(J:J))</f>
        <v>Furniture</v>
      </c>
      <c r="AG161" t="str">
        <f>TRIM(PROPER(K:K))</f>
        <v>Chairs</v>
      </c>
      <c r="AH161" t="str">
        <f>TRIM(PROPER(L:L))</f>
        <v>Elite Chairs 998</v>
      </c>
      <c r="AI161" t="str">
        <f>TRIM(PROPER(M:M))</f>
        <v>Same Day</v>
      </c>
      <c r="AJ161" s="3" t="str">
        <f t="shared" si="3"/>
        <v xml:space="preserve">  </v>
      </c>
      <c r="AK161">
        <f>IFERROR(Y161-X161, "invalid date")</f>
        <v>5</v>
      </c>
      <c r="AL161" s="10">
        <v>0.15</v>
      </c>
      <c r="AM161" s="11">
        <v>33893.324999999997</v>
      </c>
      <c r="AN161" s="11">
        <v>8142.9749999999985</v>
      </c>
      <c r="AO161" s="10">
        <v>0.24025305867748292</v>
      </c>
      <c r="AP161" t="s">
        <v>4196</v>
      </c>
      <c r="AQ161" t="s">
        <v>4332</v>
      </c>
      <c r="AR161" t="s">
        <v>4153</v>
      </c>
      <c r="AS161" t="s">
        <v>4120</v>
      </c>
      <c r="AT161" t="s">
        <v>4121</v>
      </c>
      <c r="AU161">
        <v>5</v>
      </c>
      <c r="AV161" t="s">
        <v>4109</v>
      </c>
    </row>
    <row r="162" spans="1:48">
      <c r="A162" t="s">
        <v>895</v>
      </c>
      <c r="B162" t="s">
        <v>896</v>
      </c>
      <c r="C162" t="s">
        <v>897</v>
      </c>
      <c r="D162" t="s">
        <v>898</v>
      </c>
      <c r="E162" t="s">
        <v>92</v>
      </c>
      <c r="F162" t="s">
        <v>50</v>
      </c>
      <c r="G162" t="s">
        <v>82</v>
      </c>
      <c r="H162" t="s">
        <v>83</v>
      </c>
      <c r="I162" t="s">
        <v>84</v>
      </c>
      <c r="J162" t="s">
        <v>39</v>
      </c>
      <c r="K162" t="s">
        <v>40</v>
      </c>
      <c r="L162" t="s">
        <v>899</v>
      </c>
      <c r="M162" t="s">
        <v>42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146</v>
      </c>
      <c r="U162" t="s">
        <v>87</v>
      </c>
      <c r="W162" t="s">
        <v>895</v>
      </c>
      <c r="X162" t="str">
        <v>08-10-25</v>
      </c>
      <c r="Y162" t="str">
        <v>10-06-25</v>
      </c>
      <c r="Z162" t="s">
        <v>898</v>
      </c>
      <c r="AA162" t="str">
        <v>Vikram Iyer</v>
      </c>
      <c r="AB162" t="str">
        <f>TRIM(PROPER(F:F))</f>
        <v>Small Business</v>
      </c>
      <c r="AC162" t="str">
        <f>TRIM(PROPER(G:G))</f>
        <v>West</v>
      </c>
      <c r="AD162" t="str">
        <f>TRIM(PROPER(H:H))</f>
        <v>Maharashtra</v>
      </c>
      <c r="AE162" t="str">
        <f>TRIM(PROPER(I:I))</f>
        <v>Mumbai</v>
      </c>
      <c r="AF162" t="str">
        <f>TRIM(PROPER(J:J))</f>
        <v>Office Supplies</v>
      </c>
      <c r="AG162" t="str">
        <f>TRIM(PROPER(K:K))</f>
        <v>Paper</v>
      </c>
      <c r="AH162" t="str">
        <f>TRIM(PROPER(L:L))</f>
        <v>Max Paper 113</v>
      </c>
      <c r="AI162" t="str">
        <f>TRIM(PROPER(M:M))</f>
        <v>Second Class</v>
      </c>
      <c r="AJ162" s="3" t="str">
        <f t="shared" si="3"/>
        <v>anomaly</v>
      </c>
      <c r="AK162">
        <f>IFERROR(Y162-X162, "invalid date")</f>
        <v>-120</v>
      </c>
      <c r="AL162" s="10">
        <v>0.05</v>
      </c>
      <c r="AM162" s="11">
        <v>4789.5960000000005</v>
      </c>
      <c r="AN162" s="11">
        <v>751.95600000000059</v>
      </c>
      <c r="AO162" s="10">
        <v>0.1569977927157114</v>
      </c>
      <c r="AP162" t="s">
        <v>4333</v>
      </c>
      <c r="AQ162" t="s">
        <v>4334</v>
      </c>
      <c r="AR162" t="s">
        <v>4126</v>
      </c>
      <c r="AS162" t="s">
        <v>4120</v>
      </c>
      <c r="AT162" t="s">
        <v>4115</v>
      </c>
      <c r="AU162">
        <v>-120</v>
      </c>
      <c r="AV162" t="s">
        <v>4109</v>
      </c>
    </row>
    <row r="163" spans="1:48">
      <c r="A163" t="s">
        <v>900</v>
      </c>
      <c r="B163" t="s">
        <v>901</v>
      </c>
      <c r="C163" t="s">
        <v>902</v>
      </c>
      <c r="D163" t="s">
        <v>903</v>
      </c>
      <c r="E163" t="s">
        <v>70</v>
      </c>
      <c r="F163" t="s">
        <v>904</v>
      </c>
      <c r="G163" t="s">
        <v>82</v>
      </c>
      <c r="H163" t="s">
        <v>37</v>
      </c>
      <c r="I163" t="s">
        <v>144</v>
      </c>
      <c r="J163" t="s">
        <v>39</v>
      </c>
      <c r="K163" t="s">
        <v>208</v>
      </c>
      <c r="L163" t="s">
        <v>905</v>
      </c>
      <c r="M163" t="s">
        <v>76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146</v>
      </c>
      <c r="U163" t="s">
        <v>87</v>
      </c>
      <c r="W163" t="s">
        <v>900</v>
      </c>
      <c r="X163" t="str">
        <v>24-07-25</v>
      </c>
      <c r="Y163" t="str">
        <v>30-07-25</v>
      </c>
      <c r="Z163" t="s">
        <v>903</v>
      </c>
      <c r="AA163" t="str">
        <v>Arjun Bose</v>
      </c>
      <c r="AB163" t="str">
        <f>TRIM(PROPER(F:F))</f>
        <v>Consumer</v>
      </c>
      <c r="AC163" t="str">
        <f>TRIM(PROPER(G:G))</f>
        <v>West</v>
      </c>
      <c r="AD163" t="str">
        <f>TRIM(PROPER(H:H))</f>
        <v>Rajasthan</v>
      </c>
      <c r="AE163" t="str">
        <f>TRIM(PROPER(I:I))</f>
        <v>Udaipur</v>
      </c>
      <c r="AF163" t="str">
        <f>TRIM(PROPER(J:J))</f>
        <v>Office Supplies</v>
      </c>
      <c r="AG163" t="str">
        <f>TRIM(PROPER(K:K))</f>
        <v>Binders</v>
      </c>
      <c r="AH163" t="str">
        <f>TRIM(PROPER(L:L))</f>
        <v>Smart Binders 267</v>
      </c>
      <c r="AI163" t="str">
        <f>TRIM(PROPER(M:M))</f>
        <v>Standard Class</v>
      </c>
      <c r="AJ163" s="3" t="str">
        <f t="shared" si="3"/>
        <v>anomaly</v>
      </c>
      <c r="AK163">
        <f>IFERROR(Y163-X163, "invalid date")</f>
        <v>6</v>
      </c>
      <c r="AL163" s="10">
        <v>0</v>
      </c>
      <c r="AM163" s="11">
        <v>1643.41</v>
      </c>
      <c r="AN163" s="11">
        <v>736.0100000000001</v>
      </c>
      <c r="AO163" s="10">
        <v>0.44785537388722235</v>
      </c>
      <c r="AP163" t="s">
        <v>4335</v>
      </c>
      <c r="AQ163" t="s">
        <v>4320</v>
      </c>
      <c r="AR163" t="s">
        <v>4106</v>
      </c>
      <c r="AS163" t="s">
        <v>4120</v>
      </c>
      <c r="AT163" t="s">
        <v>4115</v>
      </c>
      <c r="AU163">
        <v>6</v>
      </c>
      <c r="AV163" t="s">
        <v>4109</v>
      </c>
    </row>
    <row r="164" spans="1:48">
      <c r="A164" t="s">
        <v>906</v>
      </c>
      <c r="B164" t="s">
        <v>907</v>
      </c>
      <c r="C164" t="s">
        <v>908</v>
      </c>
      <c r="D164" t="s">
        <v>909</v>
      </c>
      <c r="E164" t="s">
        <v>102</v>
      </c>
      <c r="F164" t="s">
        <v>50</v>
      </c>
      <c r="G164" t="s">
        <v>82</v>
      </c>
      <c r="H164" t="s">
        <v>259</v>
      </c>
      <c r="I164" t="s">
        <v>260</v>
      </c>
      <c r="J164" t="s">
        <v>54</v>
      </c>
      <c r="K164" t="s">
        <v>74</v>
      </c>
      <c r="L164" t="s">
        <v>910</v>
      </c>
      <c r="M164" t="s">
        <v>42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146</v>
      </c>
      <c r="U164" t="s">
        <v>134</v>
      </c>
      <c r="W164" t="s">
        <v>906</v>
      </c>
      <c r="X164" t="str">
        <v>09-03-24</v>
      </c>
      <c r="Y164" t="str">
        <v>14-03-24</v>
      </c>
      <c r="Z164" t="s">
        <v>909</v>
      </c>
      <c r="AA164" t="str">
        <v>Neha Gupta</v>
      </c>
      <c r="AB164" t="str">
        <f>TRIM(PROPER(F:F))</f>
        <v>Small Business</v>
      </c>
      <c r="AC164" t="str">
        <f>TRIM(PROPER(G:G))</f>
        <v>West</v>
      </c>
      <c r="AD164" t="str">
        <f>TRIM(PROPER(H:H))</f>
        <v>Goa</v>
      </c>
      <c r="AE164" t="str">
        <f>TRIM(PROPER(I:I))</f>
        <v>Panaji</v>
      </c>
      <c r="AF164" t="str">
        <f>TRIM(PROPER(J:J))</f>
        <v>Furniture</v>
      </c>
      <c r="AG164" t="str">
        <f>TRIM(PROPER(K:K))</f>
        <v>Furnishings</v>
      </c>
      <c r="AH164" t="str">
        <f>TRIM(PROPER(L:L))</f>
        <v>Pro Furnishings 108</v>
      </c>
      <c r="AI164" t="str">
        <f>TRIM(PROPER(M:M))</f>
        <v>Second Class</v>
      </c>
      <c r="AJ164" s="3" t="str">
        <f t="shared" si="3"/>
        <v>anomaly</v>
      </c>
      <c r="AK164">
        <f>IFERROR(Y164-X164, "invalid date")</f>
        <v>5</v>
      </c>
      <c r="AL164" s="10">
        <v>0</v>
      </c>
      <c r="AM164" s="11">
        <v>35782.720000000001</v>
      </c>
      <c r="AN164" s="11">
        <v>9358.3100000000013</v>
      </c>
      <c r="AO164" s="10">
        <v>0.2615315437171909</v>
      </c>
      <c r="AP164" t="s">
        <v>4336</v>
      </c>
      <c r="AQ164" t="s">
        <v>4337</v>
      </c>
      <c r="AR164" t="s">
        <v>4159</v>
      </c>
      <c r="AS164" t="s">
        <v>4107</v>
      </c>
      <c r="AT164" t="s">
        <v>4115</v>
      </c>
      <c r="AU164">
        <v>5</v>
      </c>
      <c r="AV164" t="s">
        <v>4109</v>
      </c>
    </row>
    <row r="165" spans="1:48">
      <c r="A165" t="s">
        <v>911</v>
      </c>
      <c r="B165" t="s">
        <v>912</v>
      </c>
      <c r="C165" t="s">
        <v>735</v>
      </c>
      <c r="D165" t="s">
        <v>913</v>
      </c>
      <c r="E165" t="s">
        <v>189</v>
      </c>
      <c r="F165" t="s">
        <v>124</v>
      </c>
      <c r="G165" t="s">
        <v>82</v>
      </c>
      <c r="H165" t="s">
        <v>245</v>
      </c>
      <c r="I165" t="s">
        <v>246</v>
      </c>
      <c r="J165" t="s">
        <v>54</v>
      </c>
      <c r="K165" t="s">
        <v>55</v>
      </c>
      <c r="L165" t="s">
        <v>914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146</v>
      </c>
      <c r="U165" t="s">
        <v>134</v>
      </c>
      <c r="W165" t="s">
        <v>911</v>
      </c>
      <c r="X165" t="str">
        <v>invalid date</v>
      </c>
      <c r="Y165" t="str">
        <v>26-09-25</v>
      </c>
      <c r="Z165" t="s">
        <v>913</v>
      </c>
      <c r="AA165" t="str">
        <v>Rohan Mehta</v>
      </c>
      <c r="AB165" t="str">
        <f>TRIM(PROPER(F:F))</f>
        <v>Home Office</v>
      </c>
      <c r="AC165" t="str">
        <f>TRIM(PROPER(G:G))</f>
        <v>West</v>
      </c>
      <c r="AD165" t="str">
        <f>TRIM(PROPER(H:H))</f>
        <v>Gujarat</v>
      </c>
      <c r="AE165" t="str">
        <f>TRIM(PROPER(I:I))</f>
        <v>Ahmedabad</v>
      </c>
      <c r="AF165" t="str">
        <f>TRIM(PROPER(J:J))</f>
        <v>Furniture</v>
      </c>
      <c r="AG165" t="str">
        <f>TRIM(PROPER(K:K))</f>
        <v>Tables</v>
      </c>
      <c r="AH165" t="str">
        <f>TRIM(PROPER(L:L))</f>
        <v>Elite Tables 389</v>
      </c>
      <c r="AI165" s="4" t="s">
        <v>282</v>
      </c>
      <c r="AJ165" s="3" t="str">
        <f t="shared" si="3"/>
        <v>Invalid</v>
      </c>
      <c r="AK165" t="str">
        <f>IFERROR(Y165-X165, "invalid date")</f>
        <v>invalid date</v>
      </c>
      <c r="AL165" s="10">
        <v>0.1</v>
      </c>
      <c r="AM165" s="11">
        <v>15679.332</v>
      </c>
      <c r="AN165" s="11">
        <v>3201.5120000000006</v>
      </c>
      <c r="AO165" s="10">
        <v>0.20418675999717339</v>
      </c>
      <c r="AP165" t="s">
        <v>4105</v>
      </c>
      <c r="AQ165" t="s">
        <v>4302</v>
      </c>
      <c r="AR165" t="s">
        <v>4105</v>
      </c>
      <c r="AS165" t="s">
        <v>4105</v>
      </c>
      <c r="AT165" t="s">
        <v>4108</v>
      </c>
      <c r="AU165" t="s">
        <v>4105</v>
      </c>
      <c r="AV165" t="s">
        <v>4109</v>
      </c>
    </row>
    <row r="166" spans="1:48">
      <c r="A166" t="s">
        <v>915</v>
      </c>
      <c r="B166" t="s">
        <v>916</v>
      </c>
      <c r="C166" t="s">
        <v>917</v>
      </c>
      <c r="D166" t="s">
        <v>918</v>
      </c>
      <c r="E166" t="s">
        <v>157</v>
      </c>
      <c r="F166" t="s">
        <v>50</v>
      </c>
      <c r="G166" t="s">
        <v>51</v>
      </c>
      <c r="H166" t="s">
        <v>130</v>
      </c>
      <c r="I166" t="s">
        <v>131</v>
      </c>
      <c r="J166" t="s">
        <v>54</v>
      </c>
      <c r="K166" t="s">
        <v>214</v>
      </c>
      <c r="L166" t="s">
        <v>919</v>
      </c>
      <c r="M166" t="s">
        <v>42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43</v>
      </c>
      <c r="U166" t="s">
        <v>44</v>
      </c>
      <c r="W166" t="s">
        <v>915</v>
      </c>
      <c r="X166" t="str">
        <v>09-09-25</v>
      </c>
      <c r="Y166" t="str">
        <v>invalid date</v>
      </c>
      <c r="Z166" t="s">
        <v>918</v>
      </c>
      <c r="AA166" t="str">
        <v>Rahul Verma</v>
      </c>
      <c r="AB166" t="str">
        <f>TRIM(PROPER(F:F))</f>
        <v>Small Business</v>
      </c>
      <c r="AC166" t="str">
        <f>TRIM(PROPER(G:G))</f>
        <v>East</v>
      </c>
      <c r="AD166" t="str">
        <f>TRIM(PROPER(H:H))</f>
        <v>West Bengal</v>
      </c>
      <c r="AE166" t="str">
        <f>TRIM(PROPER(I:I))</f>
        <v>Kolkata</v>
      </c>
      <c r="AF166" t="str">
        <f t="shared" ref="AF166:AI229" si="4">TRIM(PROPER(J:J))</f>
        <v>Furniture</v>
      </c>
      <c r="AG166" t="str">
        <f t="shared" si="4"/>
        <v>Bookcases</v>
      </c>
      <c r="AH166" t="str">
        <f t="shared" si="4"/>
        <v>Pro Bookcases 595</v>
      </c>
      <c r="AI166" t="str">
        <f t="shared" si="4"/>
        <v>Second Class</v>
      </c>
      <c r="AJ166" s="3" t="str">
        <f t="shared" si="3"/>
        <v>Invalid</v>
      </c>
      <c r="AK166" t="str">
        <f>IFERROR(Y166-X166, "invalid date")</f>
        <v>invalid date</v>
      </c>
      <c r="AL166" s="10">
        <v>0.25</v>
      </c>
      <c r="AM166" s="11">
        <v>2365.8150000000001</v>
      </c>
      <c r="AN166" s="11">
        <v>817.82500000000005</v>
      </c>
      <c r="AO166" s="10">
        <v>0.34568425679945392</v>
      </c>
      <c r="AP166" t="s">
        <v>4338</v>
      </c>
      <c r="AQ166" t="s">
        <v>4105</v>
      </c>
      <c r="AR166" t="s">
        <v>4134</v>
      </c>
      <c r="AS166" t="s">
        <v>4120</v>
      </c>
      <c r="AT166" t="s">
        <v>4108</v>
      </c>
      <c r="AU166" t="s">
        <v>4105</v>
      </c>
      <c r="AV166" t="s">
        <v>4109</v>
      </c>
    </row>
    <row r="167" spans="1:48">
      <c r="A167" t="s">
        <v>920</v>
      </c>
      <c r="B167" t="s">
        <v>921</v>
      </c>
      <c r="C167" t="s">
        <v>922</v>
      </c>
      <c r="D167" t="s">
        <v>923</v>
      </c>
      <c r="E167" t="s">
        <v>49</v>
      </c>
      <c r="F167" t="s">
        <v>124</v>
      </c>
      <c r="G167" t="s">
        <v>51</v>
      </c>
      <c r="H167" t="s">
        <v>196</v>
      </c>
      <c r="I167" t="s">
        <v>197</v>
      </c>
      <c r="J167" t="s">
        <v>54</v>
      </c>
      <c r="K167" t="s">
        <v>85</v>
      </c>
      <c r="L167" t="s">
        <v>924</v>
      </c>
      <c r="M167" t="s">
        <v>76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43</v>
      </c>
      <c r="U167" t="s">
        <v>44</v>
      </c>
      <c r="W167" t="s">
        <v>920</v>
      </c>
      <c r="X167" t="str">
        <v>invalid date</v>
      </c>
      <c r="Y167" t="str">
        <v>29-11-24</v>
      </c>
      <c r="Z167" t="s">
        <v>923</v>
      </c>
      <c r="AA167" t="str">
        <v>Mira Das</v>
      </c>
      <c r="AB167" t="str">
        <f>TRIM(PROPER(F:F))</f>
        <v>Home Office</v>
      </c>
      <c r="AC167" t="str">
        <f>TRIM(PROPER(G:G))</f>
        <v>East</v>
      </c>
      <c r="AD167" t="str">
        <f>TRIM(PROPER(H:H))</f>
        <v>Bihar</v>
      </c>
      <c r="AE167" t="str">
        <f>TRIM(PROPER(I:I))</f>
        <v>Patna</v>
      </c>
      <c r="AF167" t="str">
        <f t="shared" si="4"/>
        <v>Furniture</v>
      </c>
      <c r="AG167" t="str">
        <f t="shared" si="4"/>
        <v>Chairs</v>
      </c>
      <c r="AH167" t="str">
        <f t="shared" si="4"/>
        <v>Max Chairs 148</v>
      </c>
      <c r="AI167" t="str">
        <f t="shared" si="4"/>
        <v>Standard Class</v>
      </c>
      <c r="AJ167" s="3" t="str">
        <f t="shared" si="3"/>
        <v>Invalid</v>
      </c>
      <c r="AK167" t="str">
        <f>IFERROR(Y167-X167, "invalid date")</f>
        <v>invalid date</v>
      </c>
      <c r="AL167" s="10">
        <v>0.25</v>
      </c>
      <c r="AM167" s="11">
        <v>10268.969999999999</v>
      </c>
      <c r="AN167" s="11">
        <v>3798.0499999999993</v>
      </c>
      <c r="AO167" s="10">
        <v>0.36985695741637181</v>
      </c>
      <c r="AP167" t="s">
        <v>4105</v>
      </c>
      <c r="AQ167" t="s">
        <v>4339</v>
      </c>
      <c r="AR167" t="s">
        <v>4105</v>
      </c>
      <c r="AS167" t="s">
        <v>4105</v>
      </c>
      <c r="AT167" t="s">
        <v>4108</v>
      </c>
      <c r="AU167" t="s">
        <v>4105</v>
      </c>
      <c r="AV167" t="s">
        <v>4109</v>
      </c>
    </row>
    <row r="168" spans="1:48">
      <c r="A168" t="s">
        <v>925</v>
      </c>
      <c r="B168" t="s">
        <v>926</v>
      </c>
      <c r="C168" t="s">
        <v>107</v>
      </c>
      <c r="D168" t="s">
        <v>927</v>
      </c>
      <c r="E168" t="s">
        <v>34</v>
      </c>
      <c r="F168" t="s">
        <v>50</v>
      </c>
      <c r="G168" t="s">
        <v>82</v>
      </c>
      <c r="H168" t="s">
        <v>245</v>
      </c>
      <c r="I168" t="s">
        <v>246</v>
      </c>
      <c r="J168" t="s">
        <v>928</v>
      </c>
      <c r="K168" t="s">
        <v>118</v>
      </c>
      <c r="L168" t="s">
        <v>929</v>
      </c>
      <c r="M168" t="s">
        <v>65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43</v>
      </c>
      <c r="U168" t="s">
        <v>44</v>
      </c>
      <c r="W168" t="s">
        <v>925</v>
      </c>
      <c r="X168" t="str">
        <v>20-02-25</v>
      </c>
      <c r="Y168" t="str">
        <v>26-02-25</v>
      </c>
      <c r="Z168" t="s">
        <v>927</v>
      </c>
      <c r="AA168" t="str">
        <v>Karan Malhotra</v>
      </c>
      <c r="AB168" t="str">
        <f>TRIM(PROPER(F:F))</f>
        <v>Small Business</v>
      </c>
      <c r="AC168" t="str">
        <f>TRIM(PROPER(G:G))</f>
        <v>West</v>
      </c>
      <c r="AD168" t="str">
        <f>TRIM(PROPER(H:H))</f>
        <v>Gujarat</v>
      </c>
      <c r="AE168" t="str">
        <f>TRIM(PROPER(I:I))</f>
        <v>Ahmedabad</v>
      </c>
      <c r="AF168" t="str">
        <f t="shared" si="4"/>
        <v>Office Supplies</v>
      </c>
      <c r="AG168" t="str">
        <f t="shared" si="4"/>
        <v>Labels</v>
      </c>
      <c r="AH168" t="str">
        <f t="shared" si="4"/>
        <v>Basic Labels 671</v>
      </c>
      <c r="AI168" t="str">
        <f t="shared" si="4"/>
        <v>First Class</v>
      </c>
      <c r="AJ168" s="3" t="str">
        <f t="shared" si="3"/>
        <v>anomaly</v>
      </c>
      <c r="AK168">
        <f>IFERROR(Y168-X168, "invalid date")</f>
        <v>6</v>
      </c>
      <c r="AL168" s="10">
        <v>0.2</v>
      </c>
      <c r="AM168" s="11">
        <v>2046.28</v>
      </c>
      <c r="AN168" s="11">
        <v>596.74</v>
      </c>
      <c r="AO168" s="10">
        <v>0.29162186992982386</v>
      </c>
      <c r="AP168" t="s">
        <v>4340</v>
      </c>
      <c r="AQ168" t="s">
        <v>4128</v>
      </c>
      <c r="AR168" t="s">
        <v>4129</v>
      </c>
      <c r="AS168" t="s">
        <v>4120</v>
      </c>
      <c r="AT168" t="s">
        <v>4115</v>
      </c>
      <c r="AU168">
        <v>6</v>
      </c>
      <c r="AV168" t="s">
        <v>4109</v>
      </c>
    </row>
    <row r="169" spans="1:48">
      <c r="A169" t="s">
        <v>930</v>
      </c>
      <c r="B169" t="s">
        <v>931</v>
      </c>
      <c r="C169" t="s">
        <v>932</v>
      </c>
      <c r="D169" t="s">
        <v>933</v>
      </c>
      <c r="E169" t="s">
        <v>70</v>
      </c>
      <c r="F169" t="s">
        <v>124</v>
      </c>
      <c r="G169" t="s">
        <v>71</v>
      </c>
      <c r="H169" t="s">
        <v>239</v>
      </c>
      <c r="I169" t="s">
        <v>240</v>
      </c>
      <c r="J169" t="s">
        <v>39</v>
      </c>
      <c r="K169" t="s">
        <v>165</v>
      </c>
      <c r="L169" t="s">
        <v>934</v>
      </c>
      <c r="M169" t="s">
        <v>65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43</v>
      </c>
      <c r="U169" t="s">
        <v>134</v>
      </c>
      <c r="W169" t="s">
        <v>930</v>
      </c>
      <c r="X169" t="str">
        <v>18-08-25</v>
      </c>
      <c r="Y169" t="str">
        <v>invalid date</v>
      </c>
      <c r="Z169" t="s">
        <v>933</v>
      </c>
      <c r="AA169" t="str">
        <v>Arjun Bose</v>
      </c>
      <c r="AB169" t="str">
        <f>TRIM(PROPER(F:F))</f>
        <v>Home Office</v>
      </c>
      <c r="AC169" t="str">
        <f>TRIM(PROPER(G:G))</f>
        <v>South</v>
      </c>
      <c r="AD169" t="str">
        <f>TRIM(PROPER(H:H))</f>
        <v>Karnataka</v>
      </c>
      <c r="AE169" t="str">
        <f>TRIM(PROPER(I:I))</f>
        <v>Bengaluru</v>
      </c>
      <c r="AF169" t="str">
        <f t="shared" si="4"/>
        <v>Office Supplies</v>
      </c>
      <c r="AG169" t="str">
        <f t="shared" si="4"/>
        <v>Storage</v>
      </c>
      <c r="AH169" t="str">
        <f t="shared" si="4"/>
        <v>Elite Storage 628</v>
      </c>
      <c r="AI169" t="str">
        <f t="shared" si="4"/>
        <v>First Class</v>
      </c>
      <c r="AJ169" s="3" t="str">
        <f t="shared" si="3"/>
        <v>Invalid</v>
      </c>
      <c r="AK169" t="str">
        <f>IFERROR(Y169-X169, "invalid date")</f>
        <v>invalid date</v>
      </c>
      <c r="AL169" s="10">
        <v>0.15</v>
      </c>
      <c r="AM169" s="11">
        <v>23186.6145</v>
      </c>
      <c r="AN169" s="11">
        <v>5280.0744999999988</v>
      </c>
      <c r="AO169" s="10">
        <v>0.22772080417345961</v>
      </c>
      <c r="AP169" t="s">
        <v>4341</v>
      </c>
      <c r="AQ169" t="s">
        <v>4105</v>
      </c>
      <c r="AR169" t="s">
        <v>4114</v>
      </c>
      <c r="AS169" t="s">
        <v>4120</v>
      </c>
      <c r="AT169" t="s">
        <v>4108</v>
      </c>
      <c r="AU169" t="s">
        <v>4105</v>
      </c>
      <c r="AV169" t="s">
        <v>4109</v>
      </c>
    </row>
    <row r="170" spans="1:48">
      <c r="A170" t="s">
        <v>935</v>
      </c>
      <c r="B170" t="s">
        <v>936</v>
      </c>
      <c r="C170" t="s">
        <v>194</v>
      </c>
      <c r="D170" t="s">
        <v>937</v>
      </c>
      <c r="E170" t="s">
        <v>377</v>
      </c>
      <c r="F170" t="s">
        <v>35</v>
      </c>
      <c r="G170" t="s">
        <v>82</v>
      </c>
      <c r="H170" t="s">
        <v>83</v>
      </c>
      <c r="I170" t="s">
        <v>84</v>
      </c>
      <c r="J170" t="s">
        <v>95</v>
      </c>
      <c r="K170" t="s">
        <v>96</v>
      </c>
      <c r="L170" t="s">
        <v>938</v>
      </c>
      <c r="M170" t="s">
        <v>57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43</v>
      </c>
      <c r="U170" t="s">
        <v>87</v>
      </c>
      <c r="W170" t="s">
        <v>935</v>
      </c>
      <c r="X170" t="str">
        <v>invalid date</v>
      </c>
      <c r="Y170" t="str">
        <v>23-01-25</v>
      </c>
      <c r="Z170" t="s">
        <v>937</v>
      </c>
      <c r="AA170" t="str">
        <v>Kabir Singh</v>
      </c>
      <c r="AB170" t="str">
        <f>TRIM(PROPER(F:F))</f>
        <v>Consumer</v>
      </c>
      <c r="AC170" t="str">
        <f>TRIM(PROPER(G:G))</f>
        <v>West</v>
      </c>
      <c r="AD170" t="str">
        <f>TRIM(PROPER(H:H))</f>
        <v>Maharashtra</v>
      </c>
      <c r="AE170" t="str">
        <f>TRIM(PROPER(I:I))</f>
        <v>Mumbai</v>
      </c>
      <c r="AF170" t="str">
        <f t="shared" si="4"/>
        <v>Technology</v>
      </c>
      <c r="AG170" t="str">
        <f t="shared" si="4"/>
        <v>Accessories</v>
      </c>
      <c r="AH170" t="str">
        <f t="shared" si="4"/>
        <v>Eco Accessories 590</v>
      </c>
      <c r="AI170" t="str">
        <f t="shared" si="4"/>
        <v>Same Day</v>
      </c>
      <c r="AJ170" s="3" t="str">
        <f t="shared" si="3"/>
        <v>Invalid</v>
      </c>
      <c r="AK170" t="str">
        <f>IFERROR(Y170-X170, "invalid date")</f>
        <v>invalid date</v>
      </c>
      <c r="AL170" s="10">
        <v>0.2</v>
      </c>
      <c r="AM170" s="11">
        <v>2557.08</v>
      </c>
      <c r="AN170" s="11">
        <v>531.38999999999987</v>
      </c>
      <c r="AO170" s="10">
        <v>0.2078112534609789</v>
      </c>
      <c r="AP170" t="s">
        <v>4105</v>
      </c>
      <c r="AQ170" t="s">
        <v>4152</v>
      </c>
      <c r="AR170" t="s">
        <v>4105</v>
      </c>
      <c r="AS170" t="s">
        <v>4105</v>
      </c>
      <c r="AT170" t="s">
        <v>4108</v>
      </c>
      <c r="AU170" t="s">
        <v>4105</v>
      </c>
      <c r="AV170" t="s">
        <v>4109</v>
      </c>
    </row>
    <row r="171" spans="1:48">
      <c r="A171" t="s">
        <v>939</v>
      </c>
      <c r="B171" t="s">
        <v>940</v>
      </c>
      <c r="C171" t="s">
        <v>941</v>
      </c>
      <c r="D171" t="s">
        <v>942</v>
      </c>
      <c r="E171" t="s">
        <v>220</v>
      </c>
      <c r="F171" t="s">
        <v>35</v>
      </c>
      <c r="G171" t="s">
        <v>51</v>
      </c>
      <c r="H171" t="s">
        <v>226</v>
      </c>
      <c r="I171" t="s">
        <v>227</v>
      </c>
      <c r="J171" t="s">
        <v>39</v>
      </c>
      <c r="K171" t="s">
        <v>63</v>
      </c>
      <c r="L171" t="s">
        <v>943</v>
      </c>
      <c r="M171" t="s">
        <v>76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146</v>
      </c>
      <c r="U171" t="s">
        <v>134</v>
      </c>
      <c r="W171" t="s">
        <v>939</v>
      </c>
      <c r="X171" t="str">
        <v>13-09-25</v>
      </c>
      <c r="Y171" t="str">
        <v>invalid date</v>
      </c>
      <c r="Z171" t="s">
        <v>942</v>
      </c>
      <c r="AA171" t="str">
        <v>Diya Patel</v>
      </c>
      <c r="AB171" t="str">
        <f>TRIM(PROPER(F:F))</f>
        <v>Consumer</v>
      </c>
      <c r="AC171" t="str">
        <f>TRIM(PROPER(G:G))</f>
        <v>East</v>
      </c>
      <c r="AD171" t="str">
        <f>TRIM(PROPER(H:H))</f>
        <v>Assam</v>
      </c>
      <c r="AE171" t="str">
        <f>TRIM(PROPER(I:I))</f>
        <v>Guwahati</v>
      </c>
      <c r="AF171" t="str">
        <f t="shared" si="4"/>
        <v>Office Supplies</v>
      </c>
      <c r="AG171" t="str">
        <f t="shared" si="4"/>
        <v>Art</v>
      </c>
      <c r="AH171" t="str">
        <f t="shared" si="4"/>
        <v>Pro Art 734</v>
      </c>
      <c r="AI171" t="str">
        <f t="shared" si="4"/>
        <v>Standard Class</v>
      </c>
      <c r="AJ171" s="3" t="str">
        <f t="shared" si="3"/>
        <v>Invalid</v>
      </c>
      <c r="AK171" t="str">
        <f>IFERROR(Y171-X171, "invalid date")</f>
        <v>invalid date</v>
      </c>
      <c r="AL171" s="10">
        <v>0.05</v>
      </c>
      <c r="AM171" s="11">
        <v>5577.6399999999994</v>
      </c>
      <c r="AN171" s="11">
        <v>2036.3499999999995</v>
      </c>
      <c r="AO171" s="10">
        <v>0.36509168752375548</v>
      </c>
      <c r="AP171" t="s">
        <v>4342</v>
      </c>
      <c r="AQ171" t="s">
        <v>4105</v>
      </c>
      <c r="AR171" t="s">
        <v>4134</v>
      </c>
      <c r="AS171" t="s">
        <v>4120</v>
      </c>
      <c r="AT171" t="s">
        <v>4108</v>
      </c>
      <c r="AU171" t="s">
        <v>4105</v>
      </c>
      <c r="AV171" t="s">
        <v>4109</v>
      </c>
    </row>
    <row r="172" spans="1:48">
      <c r="A172" t="s">
        <v>944</v>
      </c>
      <c r="B172" t="s">
        <v>121</v>
      </c>
      <c r="C172" t="s">
        <v>945</v>
      </c>
      <c r="D172" t="s">
        <v>946</v>
      </c>
      <c r="E172" t="s">
        <v>189</v>
      </c>
      <c r="F172" t="s">
        <v>117</v>
      </c>
      <c r="G172" t="s">
        <v>51</v>
      </c>
      <c r="H172" t="s">
        <v>196</v>
      </c>
      <c r="I172" t="s">
        <v>197</v>
      </c>
      <c r="J172" t="s">
        <v>95</v>
      </c>
      <c r="K172" t="s">
        <v>103</v>
      </c>
      <c r="L172" t="s">
        <v>947</v>
      </c>
      <c r="M172" t="s">
        <v>76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43</v>
      </c>
      <c r="U172" t="s">
        <v>44</v>
      </c>
      <c r="W172" t="s">
        <v>944</v>
      </c>
      <c r="X172" t="str">
        <v>07-09-25</v>
      </c>
      <c r="Y172" t="str">
        <v>invalid date</v>
      </c>
      <c r="Z172" t="s">
        <v>946</v>
      </c>
      <c r="AA172" t="str">
        <v>Rohan Mehta</v>
      </c>
      <c r="AB172" t="str">
        <f>TRIM(PROPER(F:F))</f>
        <v>Corporate</v>
      </c>
      <c r="AC172" t="str">
        <f>TRIM(PROPER(G:G))</f>
        <v>East</v>
      </c>
      <c r="AD172" t="str">
        <f>TRIM(PROPER(H:H))</f>
        <v>Bihar</v>
      </c>
      <c r="AE172" t="str">
        <f>TRIM(PROPER(I:I))</f>
        <v>Patna</v>
      </c>
      <c r="AF172" t="str">
        <f t="shared" si="4"/>
        <v>Technology</v>
      </c>
      <c r="AG172" t="str">
        <f t="shared" si="4"/>
        <v>Copiers</v>
      </c>
      <c r="AH172" t="str">
        <f t="shared" si="4"/>
        <v>Eco Copiers 102</v>
      </c>
      <c r="AI172" t="str">
        <f t="shared" si="4"/>
        <v>Standard Class</v>
      </c>
      <c r="AJ172" s="3" t="str">
        <f t="shared" si="3"/>
        <v>Invalid</v>
      </c>
      <c r="AK172" t="str">
        <f>IFERROR(Y172-X172, "invalid date")</f>
        <v>invalid date</v>
      </c>
      <c r="AL172" s="10">
        <v>0</v>
      </c>
      <c r="AM172" s="11">
        <v>5133.96</v>
      </c>
      <c r="AN172" s="11">
        <v>1203.96</v>
      </c>
      <c r="AO172" s="10">
        <v>0.23450903396208775</v>
      </c>
      <c r="AP172" t="s">
        <v>4132</v>
      </c>
      <c r="AQ172" t="s">
        <v>4105</v>
      </c>
      <c r="AR172" t="s">
        <v>4134</v>
      </c>
      <c r="AS172" t="s">
        <v>4120</v>
      </c>
      <c r="AT172" t="s">
        <v>4108</v>
      </c>
      <c r="AU172" t="s">
        <v>4105</v>
      </c>
      <c r="AV172" t="s">
        <v>4109</v>
      </c>
    </row>
    <row r="173" spans="1:48">
      <c r="A173" t="s">
        <v>948</v>
      </c>
      <c r="B173" t="s">
        <v>106</v>
      </c>
      <c r="C173" t="s">
        <v>949</v>
      </c>
      <c r="D173" t="s">
        <v>950</v>
      </c>
      <c r="E173" t="s">
        <v>34</v>
      </c>
      <c r="F173" t="s">
        <v>117</v>
      </c>
      <c r="G173" t="s">
        <v>51</v>
      </c>
      <c r="H173" t="s">
        <v>196</v>
      </c>
      <c r="I173" t="s">
        <v>197</v>
      </c>
      <c r="J173" t="s">
        <v>39</v>
      </c>
      <c r="K173" t="s">
        <v>118</v>
      </c>
      <c r="L173" t="s">
        <v>951</v>
      </c>
      <c r="M173" t="s">
        <v>57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43</v>
      </c>
      <c r="U173" t="s">
        <v>44</v>
      </c>
      <c r="W173" t="s">
        <v>948</v>
      </c>
      <c r="X173" t="str">
        <v>23-02-25</v>
      </c>
      <c r="Y173" t="str">
        <v>invalid date</v>
      </c>
      <c r="Z173" t="s">
        <v>950</v>
      </c>
      <c r="AA173" t="str">
        <v>Karan Malhotra</v>
      </c>
      <c r="AB173" t="str">
        <f>TRIM(PROPER(F:F))</f>
        <v>Corporate</v>
      </c>
      <c r="AC173" t="str">
        <f>TRIM(PROPER(G:G))</f>
        <v>East</v>
      </c>
      <c r="AD173" t="str">
        <f>TRIM(PROPER(H:H))</f>
        <v>Bihar</v>
      </c>
      <c r="AE173" t="str">
        <f>TRIM(PROPER(I:I))</f>
        <v>Patna</v>
      </c>
      <c r="AF173" t="str">
        <f t="shared" si="4"/>
        <v>Office Supplies</v>
      </c>
      <c r="AG173" t="str">
        <f t="shared" si="4"/>
        <v>Labels</v>
      </c>
      <c r="AH173" t="str">
        <f t="shared" si="4"/>
        <v>Basic Labels 876</v>
      </c>
      <c r="AI173" t="str">
        <f t="shared" si="4"/>
        <v>Same Day</v>
      </c>
      <c r="AJ173" s="3" t="str">
        <f t="shared" si="3"/>
        <v>Invalid</v>
      </c>
      <c r="AK173" t="str">
        <f>IFERROR(Y173-X173, "invalid date")</f>
        <v>invalid date</v>
      </c>
      <c r="AL173" s="10">
        <v>0.25</v>
      </c>
      <c r="AM173" s="11">
        <v>15923.512500000001</v>
      </c>
      <c r="AN173" s="11">
        <v>4631.7125000000015</v>
      </c>
      <c r="AO173" s="10">
        <v>0.29087253832971849</v>
      </c>
      <c r="AP173" t="s">
        <v>4127</v>
      </c>
      <c r="AQ173" t="s">
        <v>4105</v>
      </c>
      <c r="AR173" t="s">
        <v>4129</v>
      </c>
      <c r="AS173" t="s">
        <v>4120</v>
      </c>
      <c r="AT173" t="s">
        <v>4108</v>
      </c>
      <c r="AU173" t="s">
        <v>4105</v>
      </c>
      <c r="AV173" t="s">
        <v>4109</v>
      </c>
    </row>
    <row r="174" spans="1:48">
      <c r="A174" t="s">
        <v>952</v>
      </c>
      <c r="B174" t="s">
        <v>953</v>
      </c>
      <c r="C174" t="s">
        <v>954</v>
      </c>
      <c r="D174" t="s">
        <v>955</v>
      </c>
      <c r="E174" t="s">
        <v>34</v>
      </c>
      <c r="F174" t="s">
        <v>117</v>
      </c>
      <c r="G174" t="s">
        <v>36</v>
      </c>
      <c r="H174" t="s">
        <v>517</v>
      </c>
      <c r="I174" t="s">
        <v>518</v>
      </c>
      <c r="J174" t="s">
        <v>54</v>
      </c>
      <c r="K174" t="s">
        <v>74</v>
      </c>
      <c r="L174" t="s">
        <v>956</v>
      </c>
      <c r="M174" t="s">
        <v>57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133</v>
      </c>
      <c r="U174" t="s">
        <v>134</v>
      </c>
      <c r="W174" t="s">
        <v>952</v>
      </c>
      <c r="X174" t="str">
        <v>02-08-25</v>
      </c>
      <c r="Y174" t="str">
        <v>10-08-25</v>
      </c>
      <c r="Z174" t="s">
        <v>955</v>
      </c>
      <c r="AA174" t="str">
        <v>Karan Malhotra</v>
      </c>
      <c r="AB174" t="str">
        <f>TRIM(PROPER(F:F))</f>
        <v>Corporate</v>
      </c>
      <c r="AC174" t="str">
        <f>TRIM(PROPER(G:G))</f>
        <v>North</v>
      </c>
      <c r="AD174" t="str">
        <f>TRIM(PROPER(H:H))</f>
        <v>Delhi</v>
      </c>
      <c r="AE174" t="str">
        <f>TRIM(PROPER(I:I))</f>
        <v>New Delhi</v>
      </c>
      <c r="AF174" t="str">
        <f t="shared" si="4"/>
        <v>Furniture</v>
      </c>
      <c r="AG174" t="str">
        <f t="shared" si="4"/>
        <v>Furnishings</v>
      </c>
      <c r="AH174" t="str">
        <f t="shared" si="4"/>
        <v>Prime Furnishings 381</v>
      </c>
      <c r="AI174" t="str">
        <f t="shared" si="4"/>
        <v>Same Day</v>
      </c>
      <c r="AJ174" s="3" t="str">
        <f t="shared" si="3"/>
        <v>anomaly</v>
      </c>
      <c r="AK174">
        <f>IFERROR(Y174-X174, "invalid date")</f>
        <v>8</v>
      </c>
      <c r="AL174" s="10">
        <v>0.1</v>
      </c>
      <c r="AM174" s="11">
        <v>23997.221999999998</v>
      </c>
      <c r="AN174" s="11">
        <v>7862.5919999999987</v>
      </c>
      <c r="AO174" s="10">
        <v>0.32764592501582057</v>
      </c>
      <c r="AP174" t="s">
        <v>4275</v>
      </c>
      <c r="AQ174" t="s">
        <v>4343</v>
      </c>
      <c r="AR174" t="s">
        <v>4114</v>
      </c>
      <c r="AS174" t="s">
        <v>4120</v>
      </c>
      <c r="AT174" t="s">
        <v>4115</v>
      </c>
      <c r="AU174">
        <v>8</v>
      </c>
      <c r="AV174" t="s">
        <v>4109</v>
      </c>
    </row>
    <row r="175" spans="1:48">
      <c r="A175" t="s">
        <v>957</v>
      </c>
      <c r="B175" t="s">
        <v>958</v>
      </c>
      <c r="C175" t="s">
        <v>959</v>
      </c>
      <c r="D175" t="s">
        <v>960</v>
      </c>
      <c r="E175" t="s">
        <v>961</v>
      </c>
      <c r="F175" t="s">
        <v>124</v>
      </c>
      <c r="G175" t="s">
        <v>36</v>
      </c>
      <c r="H175" t="s">
        <v>163</v>
      </c>
      <c r="I175" t="s">
        <v>164</v>
      </c>
      <c r="J175" t="s">
        <v>95</v>
      </c>
      <c r="K175" t="s">
        <v>103</v>
      </c>
      <c r="L175" t="s">
        <v>962</v>
      </c>
      <c r="M175" t="s">
        <v>42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43</v>
      </c>
      <c r="U175" t="s">
        <v>44</v>
      </c>
      <c r="W175" t="s">
        <v>957</v>
      </c>
      <c r="X175" t="str">
        <v>02-05-24</v>
      </c>
      <c r="Y175" t="str">
        <v>08-05-24</v>
      </c>
      <c r="Z175" t="s">
        <v>960</v>
      </c>
      <c r="AA175" t="str">
        <v>PRIYA MENON</v>
      </c>
      <c r="AB175" t="str">
        <f>TRIM(PROPER(F:F))</f>
        <v>Home Office</v>
      </c>
      <c r="AC175" t="str">
        <f>TRIM(PROPER(G:G))</f>
        <v>North</v>
      </c>
      <c r="AD175" t="str">
        <f>TRIM(PROPER(H:H))</f>
        <v>Punjab</v>
      </c>
      <c r="AE175" t="str">
        <f>TRIM(PROPER(I:I))</f>
        <v>Ludhiana</v>
      </c>
      <c r="AF175" t="str">
        <f t="shared" si="4"/>
        <v>Technology</v>
      </c>
      <c r="AG175" t="str">
        <f t="shared" si="4"/>
        <v>Copiers</v>
      </c>
      <c r="AH175" t="str">
        <f t="shared" si="4"/>
        <v>Prime Copiers 440</v>
      </c>
      <c r="AI175" t="str">
        <f t="shared" si="4"/>
        <v>Second Class</v>
      </c>
      <c r="AJ175" s="3" t="str">
        <f t="shared" si="3"/>
        <v>anomaly</v>
      </c>
      <c r="AK175">
        <f>IFERROR(Y175-X175, "invalid date")</f>
        <v>6</v>
      </c>
      <c r="AL175" s="10">
        <v>0.25</v>
      </c>
      <c r="AM175" s="11">
        <v>1734.1875</v>
      </c>
      <c r="AN175" s="11">
        <v>348.11750000000006</v>
      </c>
      <c r="AO175" s="10">
        <v>0.20073809781237614</v>
      </c>
      <c r="AP175" t="s">
        <v>4344</v>
      </c>
      <c r="AQ175" t="s">
        <v>4253</v>
      </c>
      <c r="AR175" t="s">
        <v>4124</v>
      </c>
      <c r="AS175" t="s">
        <v>4107</v>
      </c>
      <c r="AT175" t="s">
        <v>4115</v>
      </c>
      <c r="AU175">
        <v>6</v>
      </c>
      <c r="AV175" t="s">
        <v>4109</v>
      </c>
    </row>
    <row r="176" spans="1:48">
      <c r="A176" t="s">
        <v>963</v>
      </c>
      <c r="B176" t="s">
        <v>964</v>
      </c>
      <c r="C176" t="s">
        <v>965</v>
      </c>
      <c r="D176" t="s">
        <v>966</v>
      </c>
      <c r="E176" t="s">
        <v>34</v>
      </c>
      <c r="F176" t="s">
        <v>50</v>
      </c>
      <c r="G176" t="s">
        <v>71</v>
      </c>
      <c r="H176" t="s">
        <v>239</v>
      </c>
      <c r="I176" t="s">
        <v>240</v>
      </c>
      <c r="J176" t="s">
        <v>54</v>
      </c>
      <c r="K176" t="s">
        <v>214</v>
      </c>
      <c r="L176" t="s">
        <v>967</v>
      </c>
      <c r="M176" t="s">
        <v>65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146</v>
      </c>
      <c r="U176" t="s">
        <v>134</v>
      </c>
      <c r="W176" t="s">
        <v>963</v>
      </c>
      <c r="X176" t="str">
        <v>28-09-25</v>
      </c>
      <c r="Y176" t="str">
        <v>04-10-25</v>
      </c>
      <c r="Z176" t="s">
        <v>966</v>
      </c>
      <c r="AA176" t="str">
        <v>Karan Malhotra</v>
      </c>
      <c r="AB176" t="str">
        <f>TRIM(PROPER(F:F))</f>
        <v>Small Business</v>
      </c>
      <c r="AC176" t="str">
        <f>TRIM(PROPER(G:G))</f>
        <v>South</v>
      </c>
      <c r="AD176" t="str">
        <f>TRIM(PROPER(H:H))</f>
        <v>Karnataka</v>
      </c>
      <c r="AE176" t="str">
        <f>TRIM(PROPER(I:I))</f>
        <v>Bengaluru</v>
      </c>
      <c r="AF176" t="str">
        <f t="shared" si="4"/>
        <v>Furniture</v>
      </c>
      <c r="AG176" t="str">
        <f t="shared" si="4"/>
        <v>Bookcases</v>
      </c>
      <c r="AH176" t="str">
        <f t="shared" si="4"/>
        <v>Pro Bookcases 319</v>
      </c>
      <c r="AI176" t="str">
        <f t="shared" si="4"/>
        <v>First Class</v>
      </c>
      <c r="AJ176" s="3" t="str">
        <f t="shared" si="3"/>
        <v xml:space="preserve">  </v>
      </c>
      <c r="AK176">
        <f>IFERROR(Y176-X176, "invalid date")</f>
        <v>6</v>
      </c>
      <c r="AL176" s="10">
        <v>0.15</v>
      </c>
      <c r="AM176" s="11">
        <v>8264.7029999999995</v>
      </c>
      <c r="AN176" s="11">
        <v>3495.9529999999995</v>
      </c>
      <c r="AO176" s="10">
        <v>0.42299801940856191</v>
      </c>
      <c r="AP176" t="s">
        <v>4345</v>
      </c>
      <c r="AQ176" t="s">
        <v>4125</v>
      </c>
      <c r="AR176" t="s">
        <v>4134</v>
      </c>
      <c r="AS176" t="s">
        <v>4120</v>
      </c>
      <c r="AT176" t="s">
        <v>4121</v>
      </c>
      <c r="AU176">
        <v>6</v>
      </c>
      <c r="AV176" t="s">
        <v>4109</v>
      </c>
    </row>
    <row r="177" spans="1:48">
      <c r="A177" t="s">
        <v>968</v>
      </c>
      <c r="B177" t="s">
        <v>752</v>
      </c>
      <c r="C177" t="s">
        <v>969</v>
      </c>
      <c r="D177" t="s">
        <v>970</v>
      </c>
      <c r="E177" t="s">
        <v>70</v>
      </c>
      <c r="F177" t="s">
        <v>50</v>
      </c>
      <c r="G177" t="s">
        <v>51</v>
      </c>
      <c r="H177" t="s">
        <v>196</v>
      </c>
      <c r="I177" t="s">
        <v>197</v>
      </c>
      <c r="J177" t="s">
        <v>95</v>
      </c>
      <c r="K177" t="s">
        <v>393</v>
      </c>
      <c r="L177" t="s">
        <v>971</v>
      </c>
      <c r="M177" t="s">
        <v>57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43</v>
      </c>
      <c r="U177" t="s">
        <v>134</v>
      </c>
      <c r="W177" t="s">
        <v>968</v>
      </c>
      <c r="X177" t="str">
        <v>27-01-24</v>
      </c>
      <c r="Y177" t="str">
        <v>03-02-24</v>
      </c>
      <c r="Z177" t="s">
        <v>970</v>
      </c>
      <c r="AA177" t="str">
        <v>Arjun Bose</v>
      </c>
      <c r="AB177" t="str">
        <f>TRIM(PROPER(F:F))</f>
        <v>Small Business</v>
      </c>
      <c r="AC177" t="str">
        <f>TRIM(PROPER(G:G))</f>
        <v>East</v>
      </c>
      <c r="AD177" t="str">
        <f>TRIM(PROPER(H:H))</f>
        <v>Bihar</v>
      </c>
      <c r="AE177" t="str">
        <f>TRIM(PROPER(I:I))</f>
        <v>Patna</v>
      </c>
      <c r="AF177" t="str">
        <f t="shared" si="4"/>
        <v>Technology</v>
      </c>
      <c r="AG177" t="str">
        <f t="shared" si="4"/>
        <v>Machines</v>
      </c>
      <c r="AH177" t="str">
        <f t="shared" si="4"/>
        <v>Basic Machines 584</v>
      </c>
      <c r="AI177" t="str">
        <f t="shared" si="4"/>
        <v>Same Day</v>
      </c>
      <c r="AJ177" s="3" t="str">
        <f t="shared" si="3"/>
        <v xml:space="preserve">  </v>
      </c>
      <c r="AK177">
        <f>IFERROR(Y177-X177, "invalid date")</f>
        <v>7</v>
      </c>
      <c r="AL177" s="10">
        <v>0.15</v>
      </c>
      <c r="AM177" s="11">
        <v>15906.849000000002</v>
      </c>
      <c r="AN177" s="11">
        <v>4892.3890000000029</v>
      </c>
      <c r="AO177" s="10">
        <v>0.30756493633654297</v>
      </c>
      <c r="AP177" t="s">
        <v>4306</v>
      </c>
      <c r="AQ177" t="s">
        <v>4346</v>
      </c>
      <c r="AR177" t="s">
        <v>4153</v>
      </c>
      <c r="AS177" t="s">
        <v>4107</v>
      </c>
      <c r="AT177" t="s">
        <v>4121</v>
      </c>
      <c r="AU177">
        <v>7</v>
      </c>
      <c r="AV177" t="s">
        <v>4109</v>
      </c>
    </row>
    <row r="178" spans="1:48">
      <c r="A178" t="s">
        <v>972</v>
      </c>
      <c r="B178" t="s">
        <v>973</v>
      </c>
      <c r="C178" t="s">
        <v>974</v>
      </c>
      <c r="D178" t="s">
        <v>975</v>
      </c>
      <c r="E178" t="s">
        <v>92</v>
      </c>
      <c r="F178" t="s">
        <v>117</v>
      </c>
      <c r="G178" t="s">
        <v>51</v>
      </c>
      <c r="H178" t="s">
        <v>322</v>
      </c>
      <c r="I178" t="s">
        <v>323</v>
      </c>
      <c r="J178" t="s">
        <v>54</v>
      </c>
      <c r="K178" t="s">
        <v>214</v>
      </c>
      <c r="L178" t="s">
        <v>976</v>
      </c>
      <c r="M178" t="s">
        <v>76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43</v>
      </c>
      <c r="U178" t="s">
        <v>44</v>
      </c>
      <c r="W178" t="s">
        <v>972</v>
      </c>
      <c r="X178" t="str">
        <v>18-03-25</v>
      </c>
      <c r="Y178" t="str">
        <v>invalid date</v>
      </c>
      <c r="Z178" t="s">
        <v>975</v>
      </c>
      <c r="AA178" t="str">
        <v>Vikram Iyer</v>
      </c>
      <c r="AB178" t="str">
        <f>TRIM(PROPER(F:F))</f>
        <v>Corporate</v>
      </c>
      <c r="AC178" t="str">
        <f>TRIM(PROPER(G:G))</f>
        <v>East</v>
      </c>
      <c r="AD178" t="str">
        <f>TRIM(PROPER(H:H))</f>
        <v>Jharkhand</v>
      </c>
      <c r="AE178" t="str">
        <f>TRIM(PROPER(I:I))</f>
        <v>Ranchi</v>
      </c>
      <c r="AF178" t="str">
        <f t="shared" si="4"/>
        <v>Furniture</v>
      </c>
      <c r="AG178" t="str">
        <f t="shared" si="4"/>
        <v>Bookcases</v>
      </c>
      <c r="AH178" t="str">
        <f t="shared" si="4"/>
        <v>Pro Bookcases 612</v>
      </c>
      <c r="AI178" t="str">
        <f t="shared" si="4"/>
        <v>Standard Class</v>
      </c>
      <c r="AJ178" s="3" t="str">
        <f t="shared" si="3"/>
        <v>Invalid</v>
      </c>
      <c r="AK178" t="str">
        <f>IFERROR(Y178-X178, "invalid date")</f>
        <v>invalid date</v>
      </c>
      <c r="AL178" s="10">
        <v>0.15</v>
      </c>
      <c r="AM178" s="11">
        <v>24229.011999999999</v>
      </c>
      <c r="AN178" s="11">
        <v>10318.371999999999</v>
      </c>
      <c r="AO178" s="10">
        <v>0.42586845885420338</v>
      </c>
      <c r="AP178" t="s">
        <v>4347</v>
      </c>
      <c r="AQ178" t="s">
        <v>4105</v>
      </c>
      <c r="AR178" t="s">
        <v>4159</v>
      </c>
      <c r="AS178" t="s">
        <v>4120</v>
      </c>
      <c r="AT178" t="s">
        <v>4108</v>
      </c>
      <c r="AU178" t="s">
        <v>4105</v>
      </c>
      <c r="AV178" t="s">
        <v>4109</v>
      </c>
    </row>
    <row r="179" spans="1:48">
      <c r="A179" t="s">
        <v>977</v>
      </c>
      <c r="B179" t="s">
        <v>978</v>
      </c>
      <c r="C179" t="s">
        <v>979</v>
      </c>
      <c r="D179" t="s">
        <v>980</v>
      </c>
      <c r="E179" t="s">
        <v>177</v>
      </c>
      <c r="F179" t="s">
        <v>124</v>
      </c>
      <c r="H179" t="s">
        <v>196</v>
      </c>
      <c r="I179" t="s">
        <v>197</v>
      </c>
      <c r="J179" t="s">
        <v>39</v>
      </c>
      <c r="K179" t="s">
        <v>63</v>
      </c>
      <c r="L179" t="s">
        <v>981</v>
      </c>
      <c r="M179" t="s">
        <v>57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43</v>
      </c>
      <c r="U179" t="s">
        <v>44</v>
      </c>
      <c r="W179" t="s">
        <v>977</v>
      </c>
      <c r="X179" t="str">
        <v>01-06-24</v>
      </c>
      <c r="Y179" t="str">
        <v>06-03-24</v>
      </c>
      <c r="Z179" t="s">
        <v>980</v>
      </c>
      <c r="AA179" t="str">
        <v>Sneha Kapoor</v>
      </c>
      <c r="AB179" t="str">
        <f>TRIM(PROPER(F:F))</f>
        <v>Home Office</v>
      </c>
      <c r="AC179" s="4" t="s">
        <v>282</v>
      </c>
      <c r="AD179" t="str">
        <f>TRIM(PROPER(H:H))</f>
        <v>Bihar</v>
      </c>
      <c r="AE179" t="str">
        <f>TRIM(PROPER(I:I))</f>
        <v>Patna</v>
      </c>
      <c r="AF179" t="str">
        <f t="shared" si="4"/>
        <v>Office Supplies</v>
      </c>
      <c r="AG179" t="str">
        <f t="shared" si="4"/>
        <v>Art</v>
      </c>
      <c r="AH179" t="str">
        <f t="shared" si="4"/>
        <v>Classic Art 573</v>
      </c>
      <c r="AI179" t="str">
        <f t="shared" si="4"/>
        <v>Same Day</v>
      </c>
      <c r="AJ179" s="3" t="str">
        <f t="shared" si="3"/>
        <v>anomaly</v>
      </c>
      <c r="AK179">
        <f>IFERROR(Y179-X179, "invalid date")</f>
        <v>-87</v>
      </c>
      <c r="AL179" s="10">
        <v>0</v>
      </c>
      <c r="AM179" s="11">
        <v>31039.599999999999</v>
      </c>
      <c r="AN179" s="11">
        <v>10172.879999999997</v>
      </c>
      <c r="AO179" s="10">
        <v>0.32773875952009685</v>
      </c>
      <c r="AP179" t="s">
        <v>4315</v>
      </c>
      <c r="AQ179" t="s">
        <v>4348</v>
      </c>
      <c r="AR179" t="s">
        <v>4170</v>
      </c>
      <c r="AS179" t="s">
        <v>4107</v>
      </c>
      <c r="AT179" t="s">
        <v>4115</v>
      </c>
      <c r="AU179">
        <v>-87</v>
      </c>
      <c r="AV179" t="s">
        <v>4109</v>
      </c>
    </row>
    <row r="180" spans="1:48">
      <c r="A180" t="s">
        <v>982</v>
      </c>
      <c r="B180" t="s">
        <v>983</v>
      </c>
      <c r="C180" t="s">
        <v>984</v>
      </c>
      <c r="D180" t="s">
        <v>985</v>
      </c>
      <c r="E180" t="s">
        <v>62</v>
      </c>
      <c r="F180" t="s">
        <v>117</v>
      </c>
      <c r="G180" t="s">
        <v>71</v>
      </c>
      <c r="H180" t="s">
        <v>72</v>
      </c>
      <c r="I180" t="s">
        <v>73</v>
      </c>
      <c r="J180" t="s">
        <v>39</v>
      </c>
      <c r="K180" t="s">
        <v>63</v>
      </c>
      <c r="L180" t="s">
        <v>986</v>
      </c>
      <c r="M180" t="s">
        <v>76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43</v>
      </c>
      <c r="U180" t="s">
        <v>44</v>
      </c>
      <c r="W180" t="s">
        <v>982</v>
      </c>
      <c r="X180" t="str">
        <v>30-09-24</v>
      </c>
      <c r="Y180" t="str">
        <v>30-09-24</v>
      </c>
      <c r="Z180" t="s">
        <v>985</v>
      </c>
      <c r="AA180" t="str">
        <v>Isha Nair</v>
      </c>
      <c r="AB180" t="str">
        <f>TRIM(PROPER(F:F))</f>
        <v>Corporate</v>
      </c>
      <c r="AC180" t="str">
        <f>TRIM(PROPER(G:G))</f>
        <v>South</v>
      </c>
      <c r="AD180" t="str">
        <f>TRIM(PROPER(H:H))</f>
        <v>Telangana</v>
      </c>
      <c r="AE180" t="str">
        <f>TRIM(PROPER(I:I))</f>
        <v>Hyderabad</v>
      </c>
      <c r="AF180" t="str">
        <f t="shared" si="4"/>
        <v>Office Supplies</v>
      </c>
      <c r="AG180" t="str">
        <f t="shared" si="4"/>
        <v>Art</v>
      </c>
      <c r="AH180" t="str">
        <f t="shared" si="4"/>
        <v>Eco Art 854</v>
      </c>
      <c r="AI180" t="str">
        <f t="shared" si="4"/>
        <v>Standard Class</v>
      </c>
      <c r="AJ180" s="3" t="str">
        <f t="shared" si="3"/>
        <v xml:space="preserve">  </v>
      </c>
      <c r="AK180">
        <f>IFERROR(Y180-X180, "invalid date")</f>
        <v>0</v>
      </c>
      <c r="AL180" s="10">
        <v>0</v>
      </c>
      <c r="AM180" s="11">
        <v>13126.96</v>
      </c>
      <c r="AN180" s="11">
        <v>2394.5199999999986</v>
      </c>
      <c r="AO180" s="10">
        <v>0.18241237879905162</v>
      </c>
      <c r="AP180" t="s">
        <v>4288</v>
      </c>
      <c r="AQ180" t="s">
        <v>4288</v>
      </c>
      <c r="AR180" t="s">
        <v>4134</v>
      </c>
      <c r="AS180" t="s">
        <v>4107</v>
      </c>
      <c r="AT180" t="s">
        <v>4115</v>
      </c>
      <c r="AU180">
        <v>0</v>
      </c>
      <c r="AV180" t="s">
        <v>4109</v>
      </c>
    </row>
    <row r="181" spans="1:48">
      <c r="A181" t="s">
        <v>987</v>
      </c>
      <c r="B181" t="s">
        <v>988</v>
      </c>
      <c r="C181" t="s">
        <v>989</v>
      </c>
      <c r="D181" t="s">
        <v>990</v>
      </c>
      <c r="E181" t="s">
        <v>81</v>
      </c>
      <c r="F181" t="s">
        <v>50</v>
      </c>
      <c r="G181" t="s">
        <v>71</v>
      </c>
      <c r="H181" t="s">
        <v>350</v>
      </c>
      <c r="I181" t="s">
        <v>351</v>
      </c>
      <c r="J181" t="s">
        <v>54</v>
      </c>
      <c r="K181" t="s">
        <v>74</v>
      </c>
      <c r="L181" t="s">
        <v>991</v>
      </c>
      <c r="M181" t="s">
        <v>76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133</v>
      </c>
      <c r="U181" t="s">
        <v>134</v>
      </c>
      <c r="W181" t="s">
        <v>987</v>
      </c>
      <c r="X181" t="str">
        <v>15-03-24</v>
      </c>
      <c r="Y181" t="str">
        <v>invalid date</v>
      </c>
      <c r="Z181" t="s">
        <v>990</v>
      </c>
      <c r="AA181" t="str">
        <v>Ananya Rao</v>
      </c>
      <c r="AB181" t="str">
        <f>TRIM(PROPER(F:F))</f>
        <v>Small Business</v>
      </c>
      <c r="AC181" t="str">
        <f>TRIM(PROPER(G:G))</f>
        <v>South</v>
      </c>
      <c r="AD181" t="str">
        <f>TRIM(PROPER(H:H))</f>
        <v>Tamil Nadu</v>
      </c>
      <c r="AE181" t="str">
        <f>TRIM(PROPER(I:I))</f>
        <v>Chennai</v>
      </c>
      <c r="AF181" t="str">
        <f t="shared" si="4"/>
        <v>Furniture</v>
      </c>
      <c r="AG181" t="str">
        <f t="shared" si="4"/>
        <v>Furnishings</v>
      </c>
      <c r="AH181" t="str">
        <f t="shared" si="4"/>
        <v>Classic Furnishings 996</v>
      </c>
      <c r="AI181" t="str">
        <f t="shared" si="4"/>
        <v>Standard Class</v>
      </c>
      <c r="AJ181" s="3" t="str">
        <f t="shared" si="3"/>
        <v>Invalid</v>
      </c>
      <c r="AK181" t="str">
        <f>IFERROR(Y181-X181, "invalid date")</f>
        <v>invalid date</v>
      </c>
      <c r="AL181" s="10">
        <v>0.25</v>
      </c>
      <c r="AM181" s="11">
        <v>9558.9000000000015</v>
      </c>
      <c r="AN181" s="11">
        <v>4042.1400000000012</v>
      </c>
      <c r="AO181" s="10">
        <v>0.42286664783604816</v>
      </c>
      <c r="AP181" t="s">
        <v>4349</v>
      </c>
      <c r="AQ181" t="s">
        <v>4105</v>
      </c>
      <c r="AR181" t="s">
        <v>4159</v>
      </c>
      <c r="AS181" t="s">
        <v>4107</v>
      </c>
      <c r="AT181" t="s">
        <v>4108</v>
      </c>
      <c r="AU181" t="s">
        <v>4105</v>
      </c>
      <c r="AV181" t="s">
        <v>4109</v>
      </c>
    </row>
    <row r="182" spans="1:48">
      <c r="A182" t="s">
        <v>992</v>
      </c>
      <c r="B182" t="s">
        <v>993</v>
      </c>
      <c r="C182" t="s">
        <v>994</v>
      </c>
      <c r="D182" t="s">
        <v>995</v>
      </c>
      <c r="E182" t="s">
        <v>49</v>
      </c>
      <c r="F182" t="s">
        <v>124</v>
      </c>
      <c r="G182" t="s">
        <v>36</v>
      </c>
      <c r="H182" t="s">
        <v>183</v>
      </c>
      <c r="I182" t="s">
        <v>184</v>
      </c>
      <c r="J182" t="s">
        <v>928</v>
      </c>
      <c r="K182" t="s">
        <v>208</v>
      </c>
      <c r="L182" t="s">
        <v>996</v>
      </c>
      <c r="M182" t="s">
        <v>65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43</v>
      </c>
      <c r="U182" t="s">
        <v>44</v>
      </c>
      <c r="W182" t="s">
        <v>992</v>
      </c>
      <c r="X182" t="str">
        <v>26-08-24</v>
      </c>
      <c r="Y182" t="str">
        <v>26-08-24</v>
      </c>
      <c r="Z182" t="s">
        <v>995</v>
      </c>
      <c r="AA182" t="str">
        <v>Mira Das</v>
      </c>
      <c r="AB182" t="str">
        <f>TRIM(PROPER(F:F))</f>
        <v>Home Office</v>
      </c>
      <c r="AC182" t="str">
        <f>TRIM(PROPER(G:G))</f>
        <v>North</v>
      </c>
      <c r="AD182" t="str">
        <f>TRIM(PROPER(H:H))</f>
        <v>Uttar Pradesh</v>
      </c>
      <c r="AE182" t="str">
        <f>TRIM(PROPER(I:I))</f>
        <v>Noida</v>
      </c>
      <c r="AF182" t="str">
        <f t="shared" si="4"/>
        <v>Office Supplies</v>
      </c>
      <c r="AG182" t="str">
        <f t="shared" si="4"/>
        <v>Binders</v>
      </c>
      <c r="AH182" t="str">
        <f t="shared" si="4"/>
        <v>Prime Binders 735</v>
      </c>
      <c r="AI182" t="str">
        <f t="shared" si="4"/>
        <v>First Class</v>
      </c>
      <c r="AJ182" s="3" t="str">
        <f t="shared" si="3"/>
        <v xml:space="preserve">  </v>
      </c>
      <c r="AK182">
        <f>IFERROR(Y182-X182, "invalid date")</f>
        <v>0</v>
      </c>
      <c r="AL182" s="10">
        <v>0.1</v>
      </c>
      <c r="AM182" s="11">
        <v>5320.9170000000004</v>
      </c>
      <c r="AN182" s="11">
        <v>2279.4170000000004</v>
      </c>
      <c r="AO182" s="10">
        <v>0.42838800154183954</v>
      </c>
      <c r="AP182" t="s">
        <v>4350</v>
      </c>
      <c r="AQ182" t="s">
        <v>4350</v>
      </c>
      <c r="AR182" t="s">
        <v>4114</v>
      </c>
      <c r="AS182" t="s">
        <v>4107</v>
      </c>
      <c r="AT182" t="s">
        <v>4115</v>
      </c>
      <c r="AU182">
        <v>0</v>
      </c>
      <c r="AV182" t="s">
        <v>4109</v>
      </c>
    </row>
    <row r="183" spans="1:48">
      <c r="A183" t="s">
        <v>997</v>
      </c>
      <c r="B183" t="s">
        <v>998</v>
      </c>
      <c r="C183" t="s">
        <v>999</v>
      </c>
      <c r="D183" t="s">
        <v>1000</v>
      </c>
      <c r="E183" t="s">
        <v>151</v>
      </c>
      <c r="F183" t="s">
        <v>124</v>
      </c>
      <c r="G183" t="s">
        <v>71</v>
      </c>
      <c r="H183" t="s">
        <v>350</v>
      </c>
      <c r="I183" t="s">
        <v>351</v>
      </c>
      <c r="J183" t="s">
        <v>39</v>
      </c>
      <c r="K183" t="s">
        <v>63</v>
      </c>
      <c r="L183" t="s">
        <v>1001</v>
      </c>
      <c r="M183" t="s">
        <v>42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43</v>
      </c>
      <c r="U183" t="s">
        <v>44</v>
      </c>
      <c r="W183" t="s">
        <v>997</v>
      </c>
      <c r="X183" t="str">
        <v>09-09-25</v>
      </c>
      <c r="Y183" t="str">
        <v>10-09-25</v>
      </c>
      <c r="Z183" t="s">
        <v>1000</v>
      </c>
      <c r="AA183" t="str">
        <v>Priya Menon</v>
      </c>
      <c r="AB183" t="str">
        <f>TRIM(PROPER(F:F))</f>
        <v>Home Office</v>
      </c>
      <c r="AC183" t="str">
        <f>TRIM(PROPER(G:G))</f>
        <v>South</v>
      </c>
      <c r="AD183" t="str">
        <f>TRIM(PROPER(H:H))</f>
        <v>Tamil Nadu</v>
      </c>
      <c r="AE183" t="str">
        <f>TRIM(PROPER(I:I))</f>
        <v>Chennai</v>
      </c>
      <c r="AF183" t="str">
        <f t="shared" si="4"/>
        <v>Office Supplies</v>
      </c>
      <c r="AG183" t="str">
        <f t="shared" si="4"/>
        <v>Art</v>
      </c>
      <c r="AH183" t="str">
        <f t="shared" si="4"/>
        <v>Pro Art 587</v>
      </c>
      <c r="AI183" t="str">
        <f t="shared" si="4"/>
        <v>Second Class</v>
      </c>
      <c r="AJ183" s="3" t="str">
        <f t="shared" si="3"/>
        <v>anomaly</v>
      </c>
      <c r="AK183">
        <f>IFERROR(Y183-X183, "invalid date")</f>
        <v>1</v>
      </c>
      <c r="AL183" s="10">
        <v>0</v>
      </c>
      <c r="AM183" s="11">
        <v>10205.799999999999</v>
      </c>
      <c r="AN183" s="11">
        <v>4219.4899999999989</v>
      </c>
      <c r="AO183" s="10">
        <v>0.41344039663720622</v>
      </c>
      <c r="AP183" t="s">
        <v>4338</v>
      </c>
      <c r="AQ183" t="s">
        <v>4351</v>
      </c>
      <c r="AR183" t="s">
        <v>4134</v>
      </c>
      <c r="AS183" t="s">
        <v>4120</v>
      </c>
      <c r="AT183" t="s">
        <v>4115</v>
      </c>
      <c r="AU183">
        <v>1</v>
      </c>
      <c r="AV183" t="s">
        <v>4109</v>
      </c>
    </row>
    <row r="184" spans="1:48">
      <c r="A184" t="s">
        <v>1002</v>
      </c>
      <c r="B184" t="s">
        <v>310</v>
      </c>
      <c r="C184" t="s">
        <v>310</v>
      </c>
      <c r="D184" t="s">
        <v>1003</v>
      </c>
      <c r="E184" t="s">
        <v>81</v>
      </c>
      <c r="F184" t="s">
        <v>124</v>
      </c>
      <c r="G184" t="s">
        <v>51</v>
      </c>
      <c r="H184" t="s">
        <v>196</v>
      </c>
      <c r="I184" t="s">
        <v>197</v>
      </c>
      <c r="J184" t="s">
        <v>95</v>
      </c>
      <c r="K184" t="s">
        <v>393</v>
      </c>
      <c r="L184" t="s">
        <v>1004</v>
      </c>
      <c r="M184" t="s">
        <v>76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43</v>
      </c>
      <c r="U184" t="s">
        <v>44</v>
      </c>
      <c r="W184" t="s">
        <v>1002</v>
      </c>
      <c r="X184" t="str">
        <v>16-10-24</v>
      </c>
      <c r="Y184" t="str">
        <v>16-10-24</v>
      </c>
      <c r="Z184" t="s">
        <v>1003</v>
      </c>
      <c r="AA184" t="str">
        <v>Ananya Rao</v>
      </c>
      <c r="AB184" t="str">
        <f>TRIM(PROPER(F:F))</f>
        <v>Home Office</v>
      </c>
      <c r="AC184" t="str">
        <f>TRIM(PROPER(G:G))</f>
        <v>East</v>
      </c>
      <c r="AD184" t="str">
        <f>TRIM(PROPER(H:H))</f>
        <v>Bihar</v>
      </c>
      <c r="AE184" t="str">
        <f>TRIM(PROPER(I:I))</f>
        <v>Patna</v>
      </c>
      <c r="AF184" t="str">
        <f t="shared" si="4"/>
        <v>Technology</v>
      </c>
      <c r="AG184" t="str">
        <f t="shared" si="4"/>
        <v>Machines</v>
      </c>
      <c r="AH184" t="str">
        <f t="shared" si="4"/>
        <v>Basic Machines 575</v>
      </c>
      <c r="AI184" t="str">
        <f t="shared" si="4"/>
        <v>Standard Class</v>
      </c>
      <c r="AJ184" s="3" t="str">
        <f t="shared" si="3"/>
        <v xml:space="preserve">  </v>
      </c>
      <c r="AK184">
        <f>IFERROR(Y184-X184, "invalid date")</f>
        <v>0</v>
      </c>
      <c r="AL184" s="10">
        <v>0</v>
      </c>
      <c r="AM184" s="11">
        <v>5430.3899999999994</v>
      </c>
      <c r="AN184" s="11">
        <v>1722.7299999999996</v>
      </c>
      <c r="AO184" s="10">
        <v>0.31723872502711586</v>
      </c>
      <c r="AP184" t="s">
        <v>4185</v>
      </c>
      <c r="AQ184" t="s">
        <v>4185</v>
      </c>
      <c r="AR184" t="s">
        <v>4126</v>
      </c>
      <c r="AS184" t="s">
        <v>4107</v>
      </c>
      <c r="AT184" t="s">
        <v>4115</v>
      </c>
      <c r="AU184">
        <v>0</v>
      </c>
      <c r="AV184" t="s">
        <v>4109</v>
      </c>
    </row>
    <row r="185" spans="1:48">
      <c r="A185" t="s">
        <v>1005</v>
      </c>
      <c r="B185" t="s">
        <v>1006</v>
      </c>
      <c r="C185" t="s">
        <v>1007</v>
      </c>
      <c r="D185" t="s">
        <v>1008</v>
      </c>
      <c r="E185" t="s">
        <v>92</v>
      </c>
      <c r="F185" t="s">
        <v>124</v>
      </c>
      <c r="G185" t="s">
        <v>71</v>
      </c>
      <c r="H185" t="s">
        <v>72</v>
      </c>
      <c r="I185" t="s">
        <v>73</v>
      </c>
      <c r="J185" t="s">
        <v>95</v>
      </c>
      <c r="K185" t="s">
        <v>103</v>
      </c>
      <c r="L185" t="s">
        <v>1009</v>
      </c>
      <c r="M185" t="s">
        <v>76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43</v>
      </c>
      <c r="U185" t="s">
        <v>134</v>
      </c>
      <c r="W185" t="s">
        <v>1005</v>
      </c>
      <c r="X185" t="str">
        <v>24-06-25</v>
      </c>
      <c r="Y185" t="str">
        <v>27-06-25</v>
      </c>
      <c r="Z185" t="s">
        <v>1008</v>
      </c>
      <c r="AA185" t="str">
        <v>Vikram Iyer</v>
      </c>
      <c r="AB185" t="str">
        <f>TRIM(PROPER(F:F))</f>
        <v>Home Office</v>
      </c>
      <c r="AC185" t="str">
        <f>TRIM(PROPER(G:G))</f>
        <v>South</v>
      </c>
      <c r="AD185" t="str">
        <f>TRIM(PROPER(H:H))</f>
        <v>Telangana</v>
      </c>
      <c r="AE185" t="str">
        <f>TRIM(PROPER(I:I))</f>
        <v>Hyderabad</v>
      </c>
      <c r="AF185" t="str">
        <f t="shared" si="4"/>
        <v>Technology</v>
      </c>
      <c r="AG185" t="str">
        <f t="shared" si="4"/>
        <v>Copiers</v>
      </c>
      <c r="AH185" t="str">
        <f t="shared" si="4"/>
        <v>Elite Copiers 788</v>
      </c>
      <c r="AI185" t="str">
        <f t="shared" si="4"/>
        <v>Standard Class</v>
      </c>
      <c r="AJ185" s="3" t="str">
        <f t="shared" si="3"/>
        <v>anomaly</v>
      </c>
      <c r="AK185">
        <f>IFERROR(Y185-X185, "invalid date")</f>
        <v>3</v>
      </c>
      <c r="AL185" s="10">
        <v>0.2</v>
      </c>
      <c r="AM185" s="11">
        <v>12907.216</v>
      </c>
      <c r="AN185" s="11">
        <v>4579.3260000000009</v>
      </c>
      <c r="AO185" s="10">
        <v>0.3547880503433119</v>
      </c>
      <c r="AP185" t="s">
        <v>4352</v>
      </c>
      <c r="AQ185" t="s">
        <v>4353</v>
      </c>
      <c r="AR185" t="s">
        <v>4170</v>
      </c>
      <c r="AS185" t="s">
        <v>4120</v>
      </c>
      <c r="AT185" t="s">
        <v>4115</v>
      </c>
      <c r="AU185">
        <v>3</v>
      </c>
      <c r="AV185" t="s">
        <v>4109</v>
      </c>
    </row>
    <row r="186" spans="1:48">
      <c r="A186" t="s">
        <v>1010</v>
      </c>
      <c r="B186" t="s">
        <v>1011</v>
      </c>
      <c r="C186" t="s">
        <v>359</v>
      </c>
      <c r="D186" t="s">
        <v>1012</v>
      </c>
      <c r="E186" t="s">
        <v>92</v>
      </c>
      <c r="F186" t="s">
        <v>117</v>
      </c>
      <c r="G186" t="s">
        <v>82</v>
      </c>
      <c r="H186" t="s">
        <v>93</v>
      </c>
      <c r="I186" t="s">
        <v>94</v>
      </c>
      <c r="J186" t="s">
        <v>54</v>
      </c>
      <c r="K186" t="s">
        <v>214</v>
      </c>
      <c r="L186" t="s">
        <v>1013</v>
      </c>
      <c r="M186" t="s">
        <v>76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133</v>
      </c>
      <c r="U186" t="s">
        <v>134</v>
      </c>
      <c r="W186" t="s">
        <v>1010</v>
      </c>
      <c r="X186" t="str">
        <v>02-04-24</v>
      </c>
      <c r="Y186" t="str">
        <v>06-04-24</v>
      </c>
      <c r="Z186" t="s">
        <v>1012</v>
      </c>
      <c r="AA186" t="str">
        <v>Vikram Iyer</v>
      </c>
      <c r="AB186" t="str">
        <f>TRIM(PROPER(F:F))</f>
        <v>Corporate</v>
      </c>
      <c r="AC186" t="str">
        <f>TRIM(PROPER(G:G))</f>
        <v>West</v>
      </c>
      <c r="AD186" t="str">
        <f>TRIM(PROPER(H:H))</f>
        <v>Madhya Pradesh</v>
      </c>
      <c r="AE186" t="str">
        <f>TRIM(PROPER(I:I))</f>
        <v>Indore</v>
      </c>
      <c r="AF186" t="str">
        <f t="shared" si="4"/>
        <v>Furniture</v>
      </c>
      <c r="AG186" t="str">
        <f t="shared" si="4"/>
        <v>Bookcases</v>
      </c>
      <c r="AH186" t="str">
        <f t="shared" si="4"/>
        <v>Max Bookcases 472</v>
      </c>
      <c r="AI186" t="str">
        <f t="shared" si="4"/>
        <v>Standard Class</v>
      </c>
      <c r="AJ186" s="3" t="str">
        <f t="shared" si="3"/>
        <v>anomaly</v>
      </c>
      <c r="AK186">
        <f>IFERROR(Y186-X186, "invalid date")</f>
        <v>4</v>
      </c>
      <c r="AL186" s="10">
        <v>0</v>
      </c>
      <c r="AM186" s="11">
        <v>1777.96</v>
      </c>
      <c r="AN186" s="11">
        <v>756.80000000000007</v>
      </c>
      <c r="AO186" s="10">
        <v>0.42565637022205227</v>
      </c>
      <c r="AP186" t="s">
        <v>4354</v>
      </c>
      <c r="AQ186" t="s">
        <v>4197</v>
      </c>
      <c r="AR186" t="s">
        <v>4199</v>
      </c>
      <c r="AS186" t="s">
        <v>4107</v>
      </c>
      <c r="AT186" t="s">
        <v>4115</v>
      </c>
      <c r="AU186">
        <v>4</v>
      </c>
      <c r="AV186" t="s">
        <v>4109</v>
      </c>
    </row>
    <row r="187" spans="1:48">
      <c r="A187" t="s">
        <v>1014</v>
      </c>
      <c r="B187" t="s">
        <v>113</v>
      </c>
      <c r="C187" t="s">
        <v>1015</v>
      </c>
      <c r="D187" t="s">
        <v>1016</v>
      </c>
      <c r="E187" t="s">
        <v>70</v>
      </c>
      <c r="F187" t="s">
        <v>35</v>
      </c>
      <c r="H187" t="s">
        <v>163</v>
      </c>
      <c r="I187" t="s">
        <v>164</v>
      </c>
      <c r="J187" t="s">
        <v>39</v>
      </c>
      <c r="K187" t="s">
        <v>118</v>
      </c>
      <c r="L187" t="s">
        <v>1017</v>
      </c>
      <c r="M187" t="s">
        <v>42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43</v>
      </c>
      <c r="U187" t="s">
        <v>44</v>
      </c>
      <c r="W187" t="s">
        <v>1014</v>
      </c>
      <c r="X187" t="str">
        <v>11-05-24</v>
      </c>
      <c r="Y187" t="str">
        <v>13-11-24</v>
      </c>
      <c r="Z187" t="s">
        <v>1016</v>
      </c>
      <c r="AA187" t="str">
        <v>Arjun Bose</v>
      </c>
      <c r="AB187" t="str">
        <f>TRIM(PROPER(F:F))</f>
        <v>Consumer</v>
      </c>
      <c r="AC187" s="4" t="s">
        <v>282</v>
      </c>
      <c r="AD187" t="str">
        <f>TRIM(PROPER(H:H))</f>
        <v>Punjab</v>
      </c>
      <c r="AE187" t="str">
        <f>TRIM(PROPER(I:I))</f>
        <v>Ludhiana</v>
      </c>
      <c r="AF187" t="str">
        <f t="shared" si="4"/>
        <v>Office Supplies</v>
      </c>
      <c r="AG187" t="str">
        <f t="shared" si="4"/>
        <v>Labels</v>
      </c>
      <c r="AH187" t="str">
        <f t="shared" si="4"/>
        <v>Smart Labels 475</v>
      </c>
      <c r="AI187" t="str">
        <f t="shared" si="4"/>
        <v>Second Class</v>
      </c>
      <c r="AJ187" s="3" t="str">
        <f t="shared" si="3"/>
        <v>anomaly</v>
      </c>
      <c r="AK187">
        <f>IFERROR(Y187-X187, "invalid date")</f>
        <v>186</v>
      </c>
      <c r="AL187" s="10">
        <v>0.2</v>
      </c>
      <c r="AM187" s="11">
        <v>1605.0720000000001</v>
      </c>
      <c r="AN187" s="11">
        <v>267.79200000000014</v>
      </c>
      <c r="AO187" s="10">
        <v>0.16684111366966722</v>
      </c>
      <c r="AP187" t="s">
        <v>4130</v>
      </c>
      <c r="AQ187" t="s">
        <v>4227</v>
      </c>
      <c r="AR187" t="s">
        <v>4124</v>
      </c>
      <c r="AS187" t="s">
        <v>4107</v>
      </c>
      <c r="AT187" t="s">
        <v>4115</v>
      </c>
      <c r="AU187">
        <v>186</v>
      </c>
      <c r="AV187" t="s">
        <v>4109</v>
      </c>
    </row>
    <row r="188" spans="1:48">
      <c r="A188" t="s">
        <v>1018</v>
      </c>
      <c r="B188" t="s">
        <v>343</v>
      </c>
      <c r="C188" t="s">
        <v>1019</v>
      </c>
      <c r="D188" t="s">
        <v>376</v>
      </c>
      <c r="E188" t="s">
        <v>92</v>
      </c>
      <c r="F188" t="s">
        <v>35</v>
      </c>
      <c r="G188" t="s">
        <v>71</v>
      </c>
      <c r="H188" t="s">
        <v>350</v>
      </c>
      <c r="I188" t="s">
        <v>351</v>
      </c>
      <c r="J188" t="s">
        <v>54</v>
      </c>
      <c r="K188" t="s">
        <v>55</v>
      </c>
      <c r="L188" t="s">
        <v>1020</v>
      </c>
      <c r="M188" t="s">
        <v>65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43</v>
      </c>
      <c r="U188" t="s">
        <v>44</v>
      </c>
      <c r="W188" t="s">
        <v>1018</v>
      </c>
      <c r="X188" t="str">
        <v>19-07-24</v>
      </c>
      <c r="Y188" t="str">
        <v>20-07-24</v>
      </c>
      <c r="Z188" t="s">
        <v>376</v>
      </c>
      <c r="AA188" t="str">
        <v>Vikram Iyer</v>
      </c>
      <c r="AB188" t="str">
        <f>TRIM(PROPER(F:F))</f>
        <v>Consumer</v>
      </c>
      <c r="AC188" t="str">
        <f>TRIM(PROPER(G:G))</f>
        <v>South</v>
      </c>
      <c r="AD188" t="str">
        <f>TRIM(PROPER(H:H))</f>
        <v>Tamil Nadu</v>
      </c>
      <c r="AE188" t="str">
        <f>TRIM(PROPER(I:I))</f>
        <v>Chennai</v>
      </c>
      <c r="AF188" t="str">
        <f t="shared" si="4"/>
        <v>Furniture</v>
      </c>
      <c r="AG188" t="str">
        <f t="shared" si="4"/>
        <v>Tables</v>
      </c>
      <c r="AH188" t="str">
        <f t="shared" si="4"/>
        <v>Basic Tables 417</v>
      </c>
      <c r="AI188" t="str">
        <f t="shared" si="4"/>
        <v>First Class</v>
      </c>
      <c r="AJ188" s="3" t="str">
        <f t="shared" si="3"/>
        <v>anomaly</v>
      </c>
      <c r="AK188">
        <f>IFERROR(Y188-X188, "invalid date")</f>
        <v>1</v>
      </c>
      <c r="AL188" s="10">
        <v>0.05</v>
      </c>
      <c r="AM188" s="11">
        <v>23996.059499999996</v>
      </c>
      <c r="AN188" s="11">
        <v>3828.7794999999969</v>
      </c>
      <c r="AO188" s="10">
        <v>0.15955867670689838</v>
      </c>
      <c r="AP188" t="s">
        <v>4194</v>
      </c>
      <c r="AQ188" t="s">
        <v>4215</v>
      </c>
      <c r="AR188" t="s">
        <v>4106</v>
      </c>
      <c r="AS188" t="s">
        <v>4107</v>
      </c>
      <c r="AT188" t="s">
        <v>4115</v>
      </c>
      <c r="AU188">
        <v>1</v>
      </c>
      <c r="AV188" t="s">
        <v>4109</v>
      </c>
    </row>
    <row r="189" spans="1:48">
      <c r="A189" t="s">
        <v>1021</v>
      </c>
      <c r="B189" t="s">
        <v>1022</v>
      </c>
      <c r="C189" t="s">
        <v>1023</v>
      </c>
      <c r="D189" t="s">
        <v>1024</v>
      </c>
      <c r="E189" t="s">
        <v>49</v>
      </c>
      <c r="F189" t="s">
        <v>35</v>
      </c>
      <c r="G189" t="s">
        <v>82</v>
      </c>
      <c r="H189" t="s">
        <v>93</v>
      </c>
      <c r="I189" t="s">
        <v>94</v>
      </c>
      <c r="J189" t="s">
        <v>54</v>
      </c>
      <c r="K189" t="s">
        <v>85</v>
      </c>
      <c r="L189" t="s">
        <v>1025</v>
      </c>
      <c r="M189" t="s">
        <v>57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43</v>
      </c>
      <c r="U189" t="s">
        <v>134</v>
      </c>
      <c r="W189" t="s">
        <v>1021</v>
      </c>
      <c r="X189" t="str">
        <v>01-05-25</v>
      </c>
      <c r="Y189" t="str">
        <v>02-05-25</v>
      </c>
      <c r="Z189" t="s">
        <v>1024</v>
      </c>
      <c r="AA189" t="str">
        <v>Mira Das</v>
      </c>
      <c r="AB189" t="str">
        <f>TRIM(PROPER(F:F))</f>
        <v>Consumer</v>
      </c>
      <c r="AC189" t="str">
        <f>TRIM(PROPER(G:G))</f>
        <v>West</v>
      </c>
      <c r="AD189" t="str">
        <f>TRIM(PROPER(H:H))</f>
        <v>Madhya Pradesh</v>
      </c>
      <c r="AE189" t="str">
        <f>TRIM(PROPER(I:I))</f>
        <v>Indore</v>
      </c>
      <c r="AF189" t="str">
        <f t="shared" si="4"/>
        <v>Furniture</v>
      </c>
      <c r="AG189" t="str">
        <f t="shared" si="4"/>
        <v>Chairs</v>
      </c>
      <c r="AH189" t="str">
        <f t="shared" si="4"/>
        <v>Pro Chairs 844</v>
      </c>
      <c r="AI189" t="str">
        <f t="shared" si="4"/>
        <v>Same Day</v>
      </c>
      <c r="AJ189" s="3" t="str">
        <f t="shared" si="3"/>
        <v>anomaly</v>
      </c>
      <c r="AK189">
        <f>IFERROR(Y189-X189, "invalid date")</f>
        <v>1</v>
      </c>
      <c r="AL189" s="10">
        <v>0</v>
      </c>
      <c r="AM189" s="11">
        <v>8717.2199999999993</v>
      </c>
      <c r="AN189" s="11">
        <v>2501.2599999999993</v>
      </c>
      <c r="AO189" s="10">
        <v>0.28693321953558582</v>
      </c>
      <c r="AP189" t="s">
        <v>4355</v>
      </c>
      <c r="AQ189" t="s">
        <v>4356</v>
      </c>
      <c r="AR189" t="s">
        <v>4124</v>
      </c>
      <c r="AS189" t="s">
        <v>4120</v>
      </c>
      <c r="AT189" t="s">
        <v>4115</v>
      </c>
      <c r="AU189">
        <v>1</v>
      </c>
      <c r="AV189" t="s">
        <v>4109</v>
      </c>
    </row>
    <row r="190" spans="1:48">
      <c r="A190" t="s">
        <v>1026</v>
      </c>
      <c r="B190" t="s">
        <v>1027</v>
      </c>
      <c r="C190" t="s">
        <v>1028</v>
      </c>
      <c r="D190" t="s">
        <v>1029</v>
      </c>
      <c r="E190" t="s">
        <v>151</v>
      </c>
      <c r="F190" t="s">
        <v>117</v>
      </c>
      <c r="G190" t="s">
        <v>51</v>
      </c>
      <c r="H190" t="s">
        <v>130</v>
      </c>
      <c r="I190" t="s">
        <v>131</v>
      </c>
      <c r="J190" t="s">
        <v>54</v>
      </c>
      <c r="K190" t="s">
        <v>214</v>
      </c>
      <c r="L190" t="s">
        <v>1030</v>
      </c>
      <c r="M190" t="s">
        <v>57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43</v>
      </c>
      <c r="U190" t="s">
        <v>44</v>
      </c>
      <c r="W190" t="s">
        <v>1026</v>
      </c>
      <c r="X190" t="str">
        <v>21-05-25</v>
      </c>
      <c r="Y190" t="str">
        <v>28-05-25</v>
      </c>
      <c r="Z190" t="s">
        <v>1029</v>
      </c>
      <c r="AA190" t="str">
        <v>Priya Menon</v>
      </c>
      <c r="AB190" t="str">
        <f>TRIM(PROPER(F:F))</f>
        <v>Corporate</v>
      </c>
      <c r="AC190" t="str">
        <f>TRIM(PROPER(G:G))</f>
        <v>East</v>
      </c>
      <c r="AD190" t="str">
        <f>TRIM(PROPER(H:H))</f>
        <v>West Bengal</v>
      </c>
      <c r="AE190" t="str">
        <f>TRIM(PROPER(I:I))</f>
        <v>Kolkata</v>
      </c>
      <c r="AF190" t="str">
        <f t="shared" si="4"/>
        <v>Furniture</v>
      </c>
      <c r="AG190" t="str">
        <f t="shared" si="4"/>
        <v>Bookcases</v>
      </c>
      <c r="AH190" t="str">
        <f t="shared" si="4"/>
        <v>Elite Bookcases 883</v>
      </c>
      <c r="AI190" t="str">
        <f t="shared" si="4"/>
        <v>Same Day</v>
      </c>
      <c r="AJ190" s="3" t="str">
        <f t="shared" si="3"/>
        <v>anomaly</v>
      </c>
      <c r="AK190">
        <f>IFERROR(Y190-X190, "invalid date")</f>
        <v>7</v>
      </c>
      <c r="AL190" s="10">
        <v>0.1</v>
      </c>
      <c r="AM190" s="11">
        <v>6407.2260000000006</v>
      </c>
      <c r="AN190" s="11">
        <v>1484.1360000000004</v>
      </c>
      <c r="AO190" s="10">
        <v>0.23163471992403581</v>
      </c>
      <c r="AP190" t="s">
        <v>4357</v>
      </c>
      <c r="AQ190" t="s">
        <v>4358</v>
      </c>
      <c r="AR190" t="s">
        <v>4124</v>
      </c>
      <c r="AS190" t="s">
        <v>4120</v>
      </c>
      <c r="AT190" t="s">
        <v>4115</v>
      </c>
      <c r="AU190">
        <v>7</v>
      </c>
      <c r="AV190" t="s">
        <v>4109</v>
      </c>
    </row>
    <row r="191" spans="1:48">
      <c r="A191" t="s">
        <v>1031</v>
      </c>
      <c r="B191" t="s">
        <v>1032</v>
      </c>
      <c r="C191" t="s">
        <v>1033</v>
      </c>
      <c r="D191" t="s">
        <v>1034</v>
      </c>
      <c r="E191" t="s">
        <v>70</v>
      </c>
      <c r="F191" t="s">
        <v>35</v>
      </c>
      <c r="G191" t="s">
        <v>82</v>
      </c>
      <c r="H191" t="s">
        <v>37</v>
      </c>
      <c r="I191" t="s">
        <v>144</v>
      </c>
      <c r="J191" t="s">
        <v>54</v>
      </c>
      <c r="K191" t="s">
        <v>214</v>
      </c>
      <c r="L191" t="s">
        <v>1035</v>
      </c>
      <c r="M191" t="s">
        <v>65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43</v>
      </c>
      <c r="U191" t="s">
        <v>1036</v>
      </c>
      <c r="W191" t="s">
        <v>1031</v>
      </c>
      <c r="X191" t="str">
        <v>06-05-25</v>
      </c>
      <c r="Y191" t="str">
        <v>07-05-25</v>
      </c>
      <c r="Z191" t="s">
        <v>1034</v>
      </c>
      <c r="AA191" t="str">
        <v>Arjun Bose</v>
      </c>
      <c r="AB191" t="str">
        <f>TRIM(PROPER(F:F))</f>
        <v>Consumer</v>
      </c>
      <c r="AC191" t="str">
        <f>TRIM(PROPER(G:G))</f>
        <v>West</v>
      </c>
      <c r="AD191" t="str">
        <f>TRIM(PROPER(H:H))</f>
        <v>Rajasthan</v>
      </c>
      <c r="AE191" t="str">
        <f>TRIM(PROPER(I:I))</f>
        <v>Udaipur</v>
      </c>
      <c r="AF191" t="str">
        <f t="shared" si="4"/>
        <v>Furniture</v>
      </c>
      <c r="AG191" t="str">
        <f t="shared" si="4"/>
        <v>Bookcases</v>
      </c>
      <c r="AH191" t="str">
        <f t="shared" si="4"/>
        <v>Basic Bookcases 754</v>
      </c>
      <c r="AI191" t="str">
        <f t="shared" si="4"/>
        <v>First Class</v>
      </c>
      <c r="AJ191" s="3" t="str">
        <f t="shared" si="3"/>
        <v>anomaly</v>
      </c>
      <c r="AK191">
        <f>IFERROR(Y191-X191, "invalid date")</f>
        <v>1</v>
      </c>
      <c r="AL191" s="10">
        <v>0</v>
      </c>
      <c r="AM191" s="11">
        <v>29864.159999999996</v>
      </c>
      <c r="AN191" s="11">
        <v>12991.769999999997</v>
      </c>
      <c r="AO191" s="10">
        <v>0.43502881045373448</v>
      </c>
      <c r="AP191" t="s">
        <v>4359</v>
      </c>
      <c r="AQ191" t="s">
        <v>4360</v>
      </c>
      <c r="AR191" t="s">
        <v>4124</v>
      </c>
      <c r="AS191" t="s">
        <v>4120</v>
      </c>
      <c r="AT191" t="s">
        <v>4115</v>
      </c>
      <c r="AU191">
        <v>1</v>
      </c>
      <c r="AV191" t="s">
        <v>4109</v>
      </c>
    </row>
    <row r="192" spans="1:48">
      <c r="A192" t="s">
        <v>1037</v>
      </c>
      <c r="B192" t="s">
        <v>1038</v>
      </c>
      <c r="C192" t="s">
        <v>1039</v>
      </c>
      <c r="D192" t="s">
        <v>1040</v>
      </c>
      <c r="E192" t="s">
        <v>116</v>
      </c>
      <c r="F192" t="s">
        <v>35</v>
      </c>
      <c r="G192" t="s">
        <v>71</v>
      </c>
      <c r="H192" t="s">
        <v>350</v>
      </c>
      <c r="I192" t="s">
        <v>351</v>
      </c>
      <c r="J192" t="s">
        <v>39</v>
      </c>
      <c r="K192" t="s">
        <v>165</v>
      </c>
      <c r="L192" t="s">
        <v>1041</v>
      </c>
      <c r="M192" t="s">
        <v>65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43</v>
      </c>
      <c r="U192" t="s">
        <v>44</v>
      </c>
      <c r="W192" t="s">
        <v>1037</v>
      </c>
      <c r="X192" t="str">
        <v>20-04-25</v>
      </c>
      <c r="Y192" t="str">
        <v>invalid date</v>
      </c>
      <c r="Z192" t="s">
        <v>1040</v>
      </c>
      <c r="AA192" t="str">
        <v>Aditi Sen</v>
      </c>
      <c r="AB192" t="str">
        <f>TRIM(PROPER(F:F))</f>
        <v>Consumer</v>
      </c>
      <c r="AC192" t="str">
        <f>TRIM(PROPER(G:G))</f>
        <v>South</v>
      </c>
      <c r="AD192" t="str">
        <f>TRIM(PROPER(H:H))</f>
        <v>Tamil Nadu</v>
      </c>
      <c r="AE192" t="str">
        <f>TRIM(PROPER(I:I))</f>
        <v>Chennai</v>
      </c>
      <c r="AF192" t="str">
        <f t="shared" si="4"/>
        <v>Office Supplies</v>
      </c>
      <c r="AG192" t="str">
        <f t="shared" si="4"/>
        <v>Storage</v>
      </c>
      <c r="AH192" t="str">
        <f t="shared" si="4"/>
        <v>Eco Storage 158</v>
      </c>
      <c r="AI192" t="str">
        <f t="shared" si="4"/>
        <v>First Class</v>
      </c>
      <c r="AJ192" s="3" t="str">
        <f t="shared" si="3"/>
        <v>Invalid</v>
      </c>
      <c r="AK192" t="str">
        <f>IFERROR(Y192-X192, "invalid date")</f>
        <v>invalid date</v>
      </c>
      <c r="AL192" s="10">
        <v>0.1</v>
      </c>
      <c r="AM192" s="11">
        <v>1458.2429999999999</v>
      </c>
      <c r="AN192" s="11">
        <v>514.92299999999989</v>
      </c>
      <c r="AO192" s="10">
        <v>0.35311192990468659</v>
      </c>
      <c r="AP192" t="s">
        <v>4361</v>
      </c>
      <c r="AQ192" t="s">
        <v>4105</v>
      </c>
      <c r="AR192" t="s">
        <v>4199</v>
      </c>
      <c r="AS192" t="s">
        <v>4120</v>
      </c>
      <c r="AT192" t="s">
        <v>4108</v>
      </c>
      <c r="AU192" t="s">
        <v>4105</v>
      </c>
      <c r="AV192" t="s">
        <v>4109</v>
      </c>
    </row>
    <row r="193" spans="1:48">
      <c r="A193" t="s">
        <v>1042</v>
      </c>
      <c r="B193" t="s">
        <v>1043</v>
      </c>
      <c r="C193" t="s">
        <v>656</v>
      </c>
      <c r="D193" t="s">
        <v>1044</v>
      </c>
      <c r="E193" t="s">
        <v>177</v>
      </c>
      <c r="F193" t="s">
        <v>50</v>
      </c>
      <c r="G193" t="s">
        <v>71</v>
      </c>
      <c r="H193" t="s">
        <v>350</v>
      </c>
      <c r="I193" t="s">
        <v>351</v>
      </c>
      <c r="J193" t="s">
        <v>54</v>
      </c>
      <c r="K193" t="s">
        <v>214</v>
      </c>
      <c r="L193" t="s">
        <v>1045</v>
      </c>
      <c r="M193" t="s">
        <v>42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43</v>
      </c>
      <c r="U193" t="s">
        <v>44</v>
      </c>
      <c r="W193" t="s">
        <v>1042</v>
      </c>
      <c r="X193" t="str">
        <v>19-10-24</v>
      </c>
      <c r="Y193" t="str">
        <v>24-10-24</v>
      </c>
      <c r="Z193" t="s">
        <v>1044</v>
      </c>
      <c r="AA193" t="str">
        <v>Sneha Kapoor</v>
      </c>
      <c r="AB193" t="str">
        <f>TRIM(PROPER(F:F))</f>
        <v>Small Business</v>
      </c>
      <c r="AC193" t="str">
        <f>TRIM(PROPER(G:G))</f>
        <v>South</v>
      </c>
      <c r="AD193" t="str">
        <f>TRIM(PROPER(H:H))</f>
        <v>Tamil Nadu</v>
      </c>
      <c r="AE193" t="str">
        <f>TRIM(PROPER(I:I))</f>
        <v>Chennai</v>
      </c>
      <c r="AF193" t="str">
        <f t="shared" si="4"/>
        <v>Furniture</v>
      </c>
      <c r="AG193" t="str">
        <f t="shared" si="4"/>
        <v>Bookcases</v>
      </c>
      <c r="AH193" t="str">
        <f t="shared" si="4"/>
        <v>Prime Bookcases 602</v>
      </c>
      <c r="AI193" t="str">
        <f t="shared" si="4"/>
        <v>Second Class</v>
      </c>
      <c r="AJ193" s="3" t="str">
        <f t="shared" si="3"/>
        <v>anomaly</v>
      </c>
      <c r="AK193">
        <f>IFERROR(Y193-X193, "invalid date")</f>
        <v>5</v>
      </c>
      <c r="AL193" s="10" t="s">
        <v>191</v>
      </c>
      <c r="AM193" s="11" t="s">
        <v>4111</v>
      </c>
      <c r="AN193" s="11" t="s">
        <v>4111</v>
      </c>
      <c r="AO193" s="10" t="s">
        <v>4111</v>
      </c>
      <c r="AP193" t="s">
        <v>4160</v>
      </c>
      <c r="AQ193" t="s">
        <v>4282</v>
      </c>
      <c r="AR193" t="s">
        <v>4126</v>
      </c>
      <c r="AS193" t="s">
        <v>4107</v>
      </c>
      <c r="AT193" t="s">
        <v>4115</v>
      </c>
      <c r="AU193">
        <v>5</v>
      </c>
      <c r="AV193" t="s">
        <v>4109</v>
      </c>
    </row>
    <row r="194" spans="1:48">
      <c r="A194" t="s">
        <v>1046</v>
      </c>
      <c r="B194" t="s">
        <v>1047</v>
      </c>
      <c r="C194" t="s">
        <v>1048</v>
      </c>
      <c r="D194" t="s">
        <v>1049</v>
      </c>
      <c r="E194" t="s">
        <v>62</v>
      </c>
      <c r="F194" t="s">
        <v>124</v>
      </c>
      <c r="G194" t="s">
        <v>82</v>
      </c>
      <c r="H194" t="s">
        <v>245</v>
      </c>
      <c r="I194" t="s">
        <v>246</v>
      </c>
      <c r="J194" t="s">
        <v>54</v>
      </c>
      <c r="K194" t="s">
        <v>85</v>
      </c>
      <c r="L194" t="s">
        <v>1050</v>
      </c>
      <c r="M194" t="s">
        <v>65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43</v>
      </c>
      <c r="U194" t="s">
        <v>44</v>
      </c>
      <c r="W194" t="s">
        <v>1046</v>
      </c>
      <c r="X194" t="str">
        <v>09-12-24</v>
      </c>
      <c r="Y194" t="str">
        <v>invalid date</v>
      </c>
      <c r="Z194" t="s">
        <v>1049</v>
      </c>
      <c r="AA194" t="str">
        <v>Isha Nair</v>
      </c>
      <c r="AB194" t="str">
        <f>TRIM(PROPER(F:F))</f>
        <v>Home Office</v>
      </c>
      <c r="AC194" t="str">
        <f>TRIM(PROPER(G:G))</f>
        <v>West</v>
      </c>
      <c r="AD194" t="str">
        <f>TRIM(PROPER(H:H))</f>
        <v>Gujarat</v>
      </c>
      <c r="AE194" t="str">
        <f>TRIM(PROPER(I:I))</f>
        <v>Ahmedabad</v>
      </c>
      <c r="AF194" t="str">
        <f t="shared" si="4"/>
        <v>Furniture</v>
      </c>
      <c r="AG194" t="str">
        <f t="shared" si="4"/>
        <v>Chairs</v>
      </c>
      <c r="AH194" t="str">
        <f t="shared" si="4"/>
        <v>Eco Chairs 438</v>
      </c>
      <c r="AI194" t="str">
        <f t="shared" si="4"/>
        <v>First Class</v>
      </c>
      <c r="AJ194" s="3" t="str">
        <f t="shared" si="3"/>
        <v>Invalid</v>
      </c>
      <c r="AK194" t="str">
        <f>IFERROR(Y194-X194, "invalid date")</f>
        <v>invalid date</v>
      </c>
      <c r="AL194" s="10">
        <v>0</v>
      </c>
      <c r="AM194" s="11">
        <v>8764.1200000000008</v>
      </c>
      <c r="AN194" s="11">
        <v>1544.0700000000006</v>
      </c>
      <c r="AO194" s="10">
        <v>0.17618083732308554</v>
      </c>
      <c r="AP194" t="s">
        <v>4362</v>
      </c>
      <c r="AQ194" t="s">
        <v>4105</v>
      </c>
      <c r="AR194" t="s">
        <v>4139</v>
      </c>
      <c r="AS194" t="s">
        <v>4107</v>
      </c>
      <c r="AT194" t="s">
        <v>4108</v>
      </c>
      <c r="AU194" t="s">
        <v>4105</v>
      </c>
      <c r="AV194" t="s">
        <v>4109</v>
      </c>
    </row>
    <row r="195" spans="1:48">
      <c r="A195" t="s">
        <v>1051</v>
      </c>
      <c r="B195" t="s">
        <v>1052</v>
      </c>
      <c r="C195" t="s">
        <v>1053</v>
      </c>
      <c r="D195" t="s">
        <v>1054</v>
      </c>
      <c r="E195" t="s">
        <v>151</v>
      </c>
      <c r="F195" t="s">
        <v>50</v>
      </c>
      <c r="G195" t="s">
        <v>36</v>
      </c>
      <c r="H195" t="s">
        <v>163</v>
      </c>
      <c r="I195" t="s">
        <v>164</v>
      </c>
      <c r="J195" t="s">
        <v>95</v>
      </c>
      <c r="K195" t="s">
        <v>103</v>
      </c>
      <c r="L195" t="s">
        <v>1055</v>
      </c>
      <c r="M195" t="s">
        <v>57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133</v>
      </c>
      <c r="U195" t="s">
        <v>134</v>
      </c>
      <c r="W195" t="s">
        <v>1051</v>
      </c>
      <c r="X195" t="str">
        <v>23-06-24</v>
      </c>
      <c r="Y195" t="str">
        <v>28-06-24</v>
      </c>
      <c r="Z195" t="s">
        <v>1054</v>
      </c>
      <c r="AA195" t="str">
        <v>Priya Menon</v>
      </c>
      <c r="AB195" t="str">
        <f>TRIM(PROPER(F:F))</f>
        <v>Small Business</v>
      </c>
      <c r="AC195" t="str">
        <f>TRIM(PROPER(G:G))</f>
        <v>North</v>
      </c>
      <c r="AD195" t="str">
        <f>TRIM(PROPER(H:H))</f>
        <v>Punjab</v>
      </c>
      <c r="AE195" t="str">
        <f>TRIM(PROPER(I:I))</f>
        <v>Ludhiana</v>
      </c>
      <c r="AF195" t="str">
        <f t="shared" si="4"/>
        <v>Technology</v>
      </c>
      <c r="AG195" t="str">
        <f t="shared" si="4"/>
        <v>Copiers</v>
      </c>
      <c r="AH195" t="str">
        <f t="shared" si="4"/>
        <v>Prime Copiers 142</v>
      </c>
      <c r="AI195" t="str">
        <f t="shared" si="4"/>
        <v>Same Day</v>
      </c>
      <c r="AJ195" s="3" t="str">
        <f t="shared" ref="AJ195:AJ258" si="5">IF(OR(X:X="Invalid Date",Y:Y="Invalid Date"),"Invalid",(IF(X:X&lt;Y:Y,"anomaly", "  ")))</f>
        <v>anomaly</v>
      </c>
      <c r="AK195">
        <f>IFERROR(Y195-X195, "invalid date")</f>
        <v>5</v>
      </c>
      <c r="AL195" s="10">
        <v>0.2</v>
      </c>
      <c r="AM195" s="11">
        <v>9391.8240000000005</v>
      </c>
      <c r="AN195" s="11">
        <v>3378.6040000000003</v>
      </c>
      <c r="AO195" s="10">
        <v>0.35973885370935399</v>
      </c>
      <c r="AP195" t="s">
        <v>4363</v>
      </c>
      <c r="AQ195" t="s">
        <v>4364</v>
      </c>
      <c r="AR195" t="s">
        <v>4170</v>
      </c>
      <c r="AS195" t="s">
        <v>4107</v>
      </c>
      <c r="AT195" t="s">
        <v>4115</v>
      </c>
      <c r="AU195">
        <v>5</v>
      </c>
      <c r="AV195" t="s">
        <v>4109</v>
      </c>
    </row>
    <row r="196" spans="1:48">
      <c r="A196" t="s">
        <v>1056</v>
      </c>
      <c r="B196" t="s">
        <v>1057</v>
      </c>
      <c r="C196" t="s">
        <v>1058</v>
      </c>
      <c r="D196" t="s">
        <v>1059</v>
      </c>
      <c r="E196" t="s">
        <v>151</v>
      </c>
      <c r="F196" t="s">
        <v>35</v>
      </c>
      <c r="G196" t="s">
        <v>1060</v>
      </c>
      <c r="H196" t="s">
        <v>83</v>
      </c>
      <c r="I196" t="s">
        <v>84</v>
      </c>
      <c r="J196" t="s">
        <v>54</v>
      </c>
      <c r="K196" t="s">
        <v>74</v>
      </c>
      <c r="L196" t="s">
        <v>1061</v>
      </c>
      <c r="M196" t="s">
        <v>65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146</v>
      </c>
      <c r="U196" t="s">
        <v>134</v>
      </c>
      <c r="W196" t="s">
        <v>1056</v>
      </c>
      <c r="X196" t="str">
        <v>28-01-25</v>
      </c>
      <c r="Y196" t="str">
        <v>invalid date</v>
      </c>
      <c r="Z196" t="s">
        <v>1059</v>
      </c>
      <c r="AA196" t="str">
        <v>Priya Menon</v>
      </c>
      <c r="AB196" t="str">
        <f>TRIM(PROPER(F:F))</f>
        <v>Consumer</v>
      </c>
      <c r="AC196" t="str">
        <f>TRIM(PROPER(G:G))</f>
        <v>West</v>
      </c>
      <c r="AD196" t="str">
        <f>TRIM(PROPER(H:H))</f>
        <v>Maharashtra</v>
      </c>
      <c r="AE196" t="str">
        <f>TRIM(PROPER(I:I))</f>
        <v>Mumbai</v>
      </c>
      <c r="AF196" t="str">
        <f t="shared" si="4"/>
        <v>Furniture</v>
      </c>
      <c r="AG196" t="str">
        <f t="shared" si="4"/>
        <v>Furnishings</v>
      </c>
      <c r="AH196" t="str">
        <f t="shared" si="4"/>
        <v>Prime Furnishings 433</v>
      </c>
      <c r="AI196" t="str">
        <f t="shared" si="4"/>
        <v>First Class</v>
      </c>
      <c r="AJ196" s="3" t="str">
        <f t="shared" si="5"/>
        <v>Invalid</v>
      </c>
      <c r="AK196" t="str">
        <f>IFERROR(Y196-X196, "invalid date")</f>
        <v>invalid date</v>
      </c>
      <c r="AL196" s="10">
        <v>0.05</v>
      </c>
      <c r="AM196" s="11">
        <v>7339.2344999999996</v>
      </c>
      <c r="AN196" s="11">
        <v>1905.1144999999997</v>
      </c>
      <c r="AO196" s="10">
        <v>0.25957945614082772</v>
      </c>
      <c r="AP196" t="s">
        <v>4365</v>
      </c>
      <c r="AQ196" t="s">
        <v>4105</v>
      </c>
      <c r="AR196" t="s">
        <v>4153</v>
      </c>
      <c r="AS196" t="s">
        <v>4120</v>
      </c>
      <c r="AT196" t="s">
        <v>4108</v>
      </c>
      <c r="AU196" t="s">
        <v>4105</v>
      </c>
      <c r="AV196" t="s">
        <v>4109</v>
      </c>
    </row>
    <row r="197" spans="1:48">
      <c r="A197" t="s">
        <v>1062</v>
      </c>
      <c r="B197" t="s">
        <v>1063</v>
      </c>
      <c r="C197" t="s">
        <v>1064</v>
      </c>
      <c r="D197" t="s">
        <v>1065</v>
      </c>
      <c r="E197" t="s">
        <v>102</v>
      </c>
      <c r="F197" t="s">
        <v>124</v>
      </c>
      <c r="G197" t="s">
        <v>71</v>
      </c>
      <c r="H197" t="s">
        <v>109</v>
      </c>
      <c r="I197" t="s">
        <v>110</v>
      </c>
      <c r="J197" t="s">
        <v>54</v>
      </c>
      <c r="K197" t="s">
        <v>74</v>
      </c>
      <c r="L197" t="s">
        <v>1066</v>
      </c>
      <c r="M197" t="s">
        <v>57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43</v>
      </c>
      <c r="U197" t="s">
        <v>44</v>
      </c>
      <c r="W197" t="s">
        <v>1062</v>
      </c>
      <c r="X197" t="str">
        <v>22-07-25</v>
      </c>
      <c r="Y197" t="str">
        <v>invalid date</v>
      </c>
      <c r="Z197" t="s">
        <v>1065</v>
      </c>
      <c r="AA197" t="str">
        <v>Neha Gupta</v>
      </c>
      <c r="AB197" t="str">
        <f>TRIM(PROPER(F:F))</f>
        <v>Home Office</v>
      </c>
      <c r="AC197" t="str">
        <f>TRIM(PROPER(G:G))</f>
        <v>South</v>
      </c>
      <c r="AD197" t="str">
        <f>TRIM(PROPER(H:H))</f>
        <v>Andhra Pradesh</v>
      </c>
      <c r="AE197" t="str">
        <f>TRIM(PROPER(I:I))</f>
        <v>Vijayawada</v>
      </c>
      <c r="AF197" t="str">
        <f t="shared" si="4"/>
        <v>Furniture</v>
      </c>
      <c r="AG197" t="str">
        <f t="shared" si="4"/>
        <v>Furnishings</v>
      </c>
      <c r="AH197" t="str">
        <f t="shared" si="4"/>
        <v>Smart Furnishings 685</v>
      </c>
      <c r="AI197" t="str">
        <f t="shared" si="4"/>
        <v>Same Day</v>
      </c>
      <c r="AJ197" s="3" t="str">
        <f t="shared" si="5"/>
        <v>Invalid</v>
      </c>
      <c r="AK197" t="str">
        <f>IFERROR(Y197-X197, "invalid date")</f>
        <v>invalid date</v>
      </c>
      <c r="AL197" s="10">
        <v>0</v>
      </c>
      <c r="AM197" s="11">
        <v>9614.15</v>
      </c>
      <c r="AN197" s="11">
        <v>2037.3099999999995</v>
      </c>
      <c r="AO197" s="10">
        <v>0.21190744891644084</v>
      </c>
      <c r="AP197" t="s">
        <v>4366</v>
      </c>
      <c r="AQ197" t="s">
        <v>4105</v>
      </c>
      <c r="AR197" t="s">
        <v>4106</v>
      </c>
      <c r="AS197" t="s">
        <v>4120</v>
      </c>
      <c r="AT197" t="s">
        <v>4108</v>
      </c>
      <c r="AU197" t="s">
        <v>4105</v>
      </c>
      <c r="AV197" t="s">
        <v>4109</v>
      </c>
    </row>
    <row r="198" spans="1:48">
      <c r="A198" t="s">
        <v>1067</v>
      </c>
      <c r="B198" t="s">
        <v>1068</v>
      </c>
      <c r="C198" t="s">
        <v>1069</v>
      </c>
      <c r="D198" t="s">
        <v>1070</v>
      </c>
      <c r="E198" t="s">
        <v>377</v>
      </c>
      <c r="F198" t="s">
        <v>124</v>
      </c>
      <c r="G198" t="s">
        <v>36</v>
      </c>
      <c r="H198" t="s">
        <v>183</v>
      </c>
      <c r="I198" t="s">
        <v>184</v>
      </c>
      <c r="J198" t="s">
        <v>39</v>
      </c>
      <c r="K198" t="s">
        <v>165</v>
      </c>
      <c r="L198" t="s">
        <v>1071</v>
      </c>
      <c r="M198" t="s">
        <v>65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43</v>
      </c>
      <c r="U198" t="s">
        <v>44</v>
      </c>
      <c r="W198" t="s">
        <v>1067</v>
      </c>
      <c r="X198" t="str">
        <v>22-01-24</v>
      </c>
      <c r="Y198" t="str">
        <v>25-01-24</v>
      </c>
      <c r="Z198" t="s">
        <v>1070</v>
      </c>
      <c r="AA198" t="str">
        <v>Kabir Singh</v>
      </c>
      <c r="AB198" t="str">
        <f>TRIM(PROPER(F:F))</f>
        <v>Home Office</v>
      </c>
      <c r="AC198" t="str">
        <f>TRIM(PROPER(G:G))</f>
        <v>North</v>
      </c>
      <c r="AD198" t="str">
        <f>TRIM(PROPER(H:H))</f>
        <v>Uttar Pradesh</v>
      </c>
      <c r="AE198" t="str">
        <f>TRIM(PROPER(I:I))</f>
        <v>Noida</v>
      </c>
      <c r="AF198" t="str">
        <f t="shared" si="4"/>
        <v>Office Supplies</v>
      </c>
      <c r="AG198" t="str">
        <f t="shared" si="4"/>
        <v>Storage</v>
      </c>
      <c r="AH198" t="str">
        <f t="shared" si="4"/>
        <v>Elite Storage 915</v>
      </c>
      <c r="AI198" t="str">
        <f t="shared" si="4"/>
        <v>First Class</v>
      </c>
      <c r="AJ198" s="3" t="str">
        <f t="shared" si="5"/>
        <v>anomaly</v>
      </c>
      <c r="AK198">
        <f>IFERROR(Y198-X198, "invalid date")</f>
        <v>3</v>
      </c>
      <c r="AL198" s="10">
        <v>0.1</v>
      </c>
      <c r="AM198" s="11">
        <v>3272.4810000000002</v>
      </c>
      <c r="AN198" s="11">
        <v>755.04100000000017</v>
      </c>
      <c r="AO198" s="10">
        <v>0.23072433422837293</v>
      </c>
      <c r="AP198" t="s">
        <v>4367</v>
      </c>
      <c r="AQ198" t="s">
        <v>4220</v>
      </c>
      <c r="AR198" t="s">
        <v>4153</v>
      </c>
      <c r="AS198" t="s">
        <v>4107</v>
      </c>
      <c r="AT198" t="s">
        <v>4115</v>
      </c>
      <c r="AU198">
        <v>3</v>
      </c>
      <c r="AV198" t="s">
        <v>4109</v>
      </c>
    </row>
    <row r="199" spans="1:48">
      <c r="A199" t="s">
        <v>1072</v>
      </c>
      <c r="B199" t="s">
        <v>380</v>
      </c>
      <c r="C199" t="s">
        <v>1073</v>
      </c>
      <c r="D199" t="s">
        <v>575</v>
      </c>
      <c r="E199" t="s">
        <v>157</v>
      </c>
      <c r="F199" t="s">
        <v>711</v>
      </c>
      <c r="G199" t="s">
        <v>51</v>
      </c>
      <c r="H199" t="s">
        <v>196</v>
      </c>
      <c r="I199" t="s">
        <v>197</v>
      </c>
      <c r="J199" t="s">
        <v>39</v>
      </c>
      <c r="K199" t="s">
        <v>165</v>
      </c>
      <c r="L199" t="s">
        <v>1074</v>
      </c>
      <c r="M199" t="s">
        <v>42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43</v>
      </c>
      <c r="U199" t="s">
        <v>44</v>
      </c>
      <c r="W199" t="s">
        <v>1072</v>
      </c>
      <c r="X199" t="str">
        <v>31-03-25</v>
      </c>
      <c r="Y199" t="str">
        <v>07-04-25</v>
      </c>
      <c r="Z199" t="s">
        <v>575</v>
      </c>
      <c r="AA199" t="str">
        <v>Rahul Verma</v>
      </c>
      <c r="AB199" t="str">
        <f>TRIM(PROPER(F:F))</f>
        <v>Small Business</v>
      </c>
      <c r="AC199" t="str">
        <f>TRIM(PROPER(G:G))</f>
        <v>East</v>
      </c>
      <c r="AD199" t="str">
        <f>TRIM(PROPER(H:H))</f>
        <v>Bihar</v>
      </c>
      <c r="AE199" t="str">
        <f>TRIM(PROPER(I:I))</f>
        <v>Patna</v>
      </c>
      <c r="AF199" t="str">
        <f t="shared" si="4"/>
        <v>Office Supplies</v>
      </c>
      <c r="AG199" t="str">
        <f t="shared" si="4"/>
        <v>Storage</v>
      </c>
      <c r="AH199" t="str">
        <f t="shared" si="4"/>
        <v>Basic Storage 961</v>
      </c>
      <c r="AI199" t="str">
        <f t="shared" si="4"/>
        <v>Second Class</v>
      </c>
      <c r="AJ199" s="3" t="str">
        <f t="shared" si="5"/>
        <v xml:space="preserve">  </v>
      </c>
      <c r="AK199">
        <f>IFERROR(Y199-X199, "invalid date")</f>
        <v>7</v>
      </c>
      <c r="AL199" s="10">
        <v>0.15</v>
      </c>
      <c r="AM199" s="11">
        <v>17409.869999999995</v>
      </c>
      <c r="AN199" s="11">
        <v>3333.6199999999953</v>
      </c>
      <c r="AO199" s="10">
        <v>0.19147874165631312</v>
      </c>
      <c r="AP199" t="s">
        <v>4205</v>
      </c>
      <c r="AQ199" t="s">
        <v>4368</v>
      </c>
      <c r="AR199" t="s">
        <v>4159</v>
      </c>
      <c r="AS199" t="s">
        <v>4120</v>
      </c>
      <c r="AT199" t="s">
        <v>4121</v>
      </c>
      <c r="AU199">
        <v>7</v>
      </c>
      <c r="AV199" t="s">
        <v>4109</v>
      </c>
    </row>
    <row r="200" spans="1:48">
      <c r="A200" t="s">
        <v>1075</v>
      </c>
      <c r="B200" t="s">
        <v>1076</v>
      </c>
      <c r="C200" t="s">
        <v>1077</v>
      </c>
      <c r="D200" t="s">
        <v>1078</v>
      </c>
      <c r="E200" t="s">
        <v>177</v>
      </c>
      <c r="F200" t="s">
        <v>35</v>
      </c>
      <c r="G200" t="s">
        <v>82</v>
      </c>
      <c r="H200" t="s">
        <v>245</v>
      </c>
      <c r="I200" t="s">
        <v>246</v>
      </c>
      <c r="J200" t="s">
        <v>39</v>
      </c>
      <c r="K200" t="s">
        <v>63</v>
      </c>
      <c r="L200" t="s">
        <v>1079</v>
      </c>
      <c r="M200" t="s">
        <v>42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210</v>
      </c>
      <c r="U200" t="s">
        <v>87</v>
      </c>
      <c r="W200" t="s">
        <v>1075</v>
      </c>
      <c r="X200" t="str">
        <v>05-06-24</v>
      </c>
      <c r="Y200" t="str">
        <v>06-06-24</v>
      </c>
      <c r="Z200" t="s">
        <v>1078</v>
      </c>
      <c r="AA200" t="str">
        <v>Sneha Kapoor</v>
      </c>
      <c r="AB200" t="str">
        <f>TRIM(PROPER(F:F))</f>
        <v>Consumer</v>
      </c>
      <c r="AC200" t="str">
        <f>TRIM(PROPER(G:G))</f>
        <v>West</v>
      </c>
      <c r="AD200" t="str">
        <f>TRIM(PROPER(H:H))</f>
        <v>Gujarat</v>
      </c>
      <c r="AE200" t="str">
        <f>TRIM(PROPER(I:I))</f>
        <v>Ahmedabad</v>
      </c>
      <c r="AF200" t="str">
        <f t="shared" si="4"/>
        <v>Office Supplies</v>
      </c>
      <c r="AG200" t="str">
        <f t="shared" si="4"/>
        <v>Art</v>
      </c>
      <c r="AH200" t="str">
        <f t="shared" si="4"/>
        <v>Classic Art 968</v>
      </c>
      <c r="AI200" t="str">
        <f t="shared" si="4"/>
        <v>Second Class</v>
      </c>
      <c r="AJ200" s="3" t="str">
        <f t="shared" si="5"/>
        <v>anomaly</v>
      </c>
      <c r="AK200">
        <f>IFERROR(Y200-X200, "invalid date")</f>
        <v>1</v>
      </c>
      <c r="AL200" s="10">
        <v>0.05</v>
      </c>
      <c r="AM200" s="11">
        <v>1125.3509999999999</v>
      </c>
      <c r="AN200" s="11">
        <v>448.38099999999986</v>
      </c>
      <c r="AO200" s="10">
        <v>0.39843657667696558</v>
      </c>
      <c r="AP200" t="s">
        <v>4263</v>
      </c>
      <c r="AQ200" t="s">
        <v>4369</v>
      </c>
      <c r="AR200" t="s">
        <v>4170</v>
      </c>
      <c r="AS200" t="s">
        <v>4107</v>
      </c>
      <c r="AT200" t="s">
        <v>4115</v>
      </c>
      <c r="AU200">
        <v>1</v>
      </c>
      <c r="AV200" t="s">
        <v>4109</v>
      </c>
    </row>
    <row r="201" spans="1:48">
      <c r="A201" t="s">
        <v>1080</v>
      </c>
      <c r="B201" t="s">
        <v>314</v>
      </c>
      <c r="C201" t="s">
        <v>1081</v>
      </c>
      <c r="D201" t="s">
        <v>1082</v>
      </c>
      <c r="E201" t="s">
        <v>157</v>
      </c>
      <c r="F201" t="s">
        <v>124</v>
      </c>
      <c r="G201" t="s">
        <v>51</v>
      </c>
      <c r="H201" t="s">
        <v>196</v>
      </c>
      <c r="I201" t="s">
        <v>197</v>
      </c>
      <c r="J201" t="s">
        <v>95</v>
      </c>
      <c r="K201" t="s">
        <v>393</v>
      </c>
      <c r="L201" t="s">
        <v>1083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43</v>
      </c>
      <c r="U201" t="s">
        <v>44</v>
      </c>
      <c r="W201" t="s">
        <v>1080</v>
      </c>
      <c r="X201" t="str">
        <v>03-12-24</v>
      </c>
      <c r="Y201" t="str">
        <v>12-03-24</v>
      </c>
      <c r="Z201" t="s">
        <v>1082</v>
      </c>
      <c r="AA201" t="str">
        <v>Rahul Verma</v>
      </c>
      <c r="AB201" t="str">
        <f>TRIM(PROPER(F:F))</f>
        <v>Home Office</v>
      </c>
      <c r="AC201" t="str">
        <f>TRIM(PROPER(G:G))</f>
        <v>East</v>
      </c>
      <c r="AD201" t="str">
        <f>TRIM(PROPER(H:H))</f>
        <v>Bihar</v>
      </c>
      <c r="AE201" t="str">
        <f>TRIM(PROPER(I:I))</f>
        <v>Patna</v>
      </c>
      <c r="AF201" t="str">
        <f t="shared" si="4"/>
        <v>Technology</v>
      </c>
      <c r="AG201" t="str">
        <f t="shared" si="4"/>
        <v>Machines</v>
      </c>
      <c r="AH201" t="str">
        <f t="shared" si="4"/>
        <v>Prime Machines 806</v>
      </c>
      <c r="AI201" s="4" t="s">
        <v>282</v>
      </c>
      <c r="AJ201" s="3" t="str">
        <f t="shared" si="5"/>
        <v>anomaly</v>
      </c>
      <c r="AK201">
        <f>IFERROR(Y201-X201, "invalid date")</f>
        <v>-266</v>
      </c>
      <c r="AL201" s="10">
        <v>0.25</v>
      </c>
      <c r="AM201" s="11">
        <v>9835.11</v>
      </c>
      <c r="AN201" s="11">
        <v>4397.47</v>
      </c>
      <c r="AO201" s="10">
        <v>0.44711955433136996</v>
      </c>
      <c r="AP201" t="s">
        <v>4186</v>
      </c>
      <c r="AQ201" t="s">
        <v>4325</v>
      </c>
      <c r="AR201" t="s">
        <v>4139</v>
      </c>
      <c r="AS201" t="s">
        <v>4107</v>
      </c>
      <c r="AT201" t="s">
        <v>4115</v>
      </c>
      <c r="AU201">
        <v>-266</v>
      </c>
      <c r="AV201" t="s">
        <v>4109</v>
      </c>
    </row>
    <row r="202" spans="1:48">
      <c r="A202" t="s">
        <v>1084</v>
      </c>
      <c r="B202" t="s">
        <v>1007</v>
      </c>
      <c r="C202" t="s">
        <v>1085</v>
      </c>
      <c r="D202" t="s">
        <v>1086</v>
      </c>
      <c r="E202" t="s">
        <v>151</v>
      </c>
      <c r="F202" t="s">
        <v>50</v>
      </c>
      <c r="G202" t="s">
        <v>36</v>
      </c>
      <c r="H202" t="s">
        <v>37</v>
      </c>
      <c r="I202" t="s">
        <v>38</v>
      </c>
      <c r="J202" t="s">
        <v>95</v>
      </c>
      <c r="K202" t="s">
        <v>103</v>
      </c>
      <c r="L202" t="s">
        <v>1087</v>
      </c>
      <c r="M202" t="s">
        <v>65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146</v>
      </c>
      <c r="U202" t="s">
        <v>87</v>
      </c>
      <c r="W202" t="s">
        <v>1084</v>
      </c>
      <c r="X202" t="str">
        <v>27-06-25</v>
      </c>
      <c r="Y202" t="str">
        <v>05-07-25</v>
      </c>
      <c r="Z202" t="s">
        <v>1086</v>
      </c>
      <c r="AA202" t="str">
        <v>Priya Menon</v>
      </c>
      <c r="AB202" t="str">
        <f>TRIM(PROPER(F:F))</f>
        <v>Small Business</v>
      </c>
      <c r="AC202" t="str">
        <f>TRIM(PROPER(G:G))</f>
        <v>North</v>
      </c>
      <c r="AD202" t="str">
        <f>TRIM(PROPER(H:H))</f>
        <v>Rajasthan</v>
      </c>
      <c r="AE202" t="str">
        <f>TRIM(PROPER(I:I))</f>
        <v>Jaipur</v>
      </c>
      <c r="AF202" t="str">
        <f t="shared" si="4"/>
        <v>Technology</v>
      </c>
      <c r="AG202" t="str">
        <f t="shared" si="4"/>
        <v>Copiers</v>
      </c>
      <c r="AH202" t="str">
        <f t="shared" si="4"/>
        <v>Classic Copiers 479</v>
      </c>
      <c r="AI202" t="str">
        <f t="shared" si="4"/>
        <v>First Class</v>
      </c>
      <c r="AJ202" s="3" t="str">
        <f t="shared" si="5"/>
        <v xml:space="preserve">  </v>
      </c>
      <c r="AK202">
        <f>IFERROR(Y202-X202, "invalid date")</f>
        <v>8</v>
      </c>
      <c r="AL202" s="10">
        <v>0.1</v>
      </c>
      <c r="AM202" s="11">
        <v>12907.980000000001</v>
      </c>
      <c r="AN202" s="11">
        <v>3710.9000000000015</v>
      </c>
      <c r="AO202" s="10">
        <v>0.28748882474252369</v>
      </c>
      <c r="AP202" t="s">
        <v>4353</v>
      </c>
      <c r="AQ202" t="s">
        <v>4370</v>
      </c>
      <c r="AR202" t="s">
        <v>4170</v>
      </c>
      <c r="AS202" t="s">
        <v>4120</v>
      </c>
      <c r="AT202" t="s">
        <v>4121</v>
      </c>
      <c r="AU202">
        <v>8</v>
      </c>
      <c r="AV202" t="s">
        <v>4109</v>
      </c>
    </row>
    <row r="203" spans="1:48">
      <c r="A203" t="s">
        <v>1088</v>
      </c>
      <c r="B203" t="s">
        <v>1089</v>
      </c>
      <c r="C203" t="s">
        <v>1090</v>
      </c>
      <c r="D203" t="s">
        <v>1091</v>
      </c>
      <c r="E203" t="s">
        <v>92</v>
      </c>
      <c r="F203" t="s">
        <v>35</v>
      </c>
      <c r="G203" t="s">
        <v>82</v>
      </c>
      <c r="H203" t="s">
        <v>93</v>
      </c>
      <c r="I203" t="s">
        <v>94</v>
      </c>
      <c r="J203" t="s">
        <v>39</v>
      </c>
      <c r="K203" t="s">
        <v>118</v>
      </c>
      <c r="L203" t="s">
        <v>1092</v>
      </c>
      <c r="M203" t="s">
        <v>42</v>
      </c>
      <c r="N203">
        <v>2</v>
      </c>
      <c r="O203">
        <v>2503.5300000000002</v>
      </c>
      <c r="P203" s="4" t="s">
        <v>191</v>
      </c>
      <c r="Q203">
        <v>4756.71</v>
      </c>
      <c r="R203">
        <v>2954.86</v>
      </c>
      <c r="S203">
        <v>1801.85</v>
      </c>
      <c r="T203" t="s">
        <v>133</v>
      </c>
      <c r="U203" t="s">
        <v>87</v>
      </c>
      <c r="W203" t="s">
        <v>1088</v>
      </c>
      <c r="X203" t="str">
        <v>26-07-25</v>
      </c>
      <c r="Y203" t="str">
        <v>08-03-25</v>
      </c>
      <c r="Z203" t="s">
        <v>1091</v>
      </c>
      <c r="AA203" t="str">
        <v>Vikram Iyer</v>
      </c>
      <c r="AB203" t="str">
        <f>TRIM(PROPER(F:F))</f>
        <v>Consumer</v>
      </c>
      <c r="AC203" t="str">
        <f>TRIM(PROPER(G:G))</f>
        <v>West</v>
      </c>
      <c r="AD203" t="str">
        <f>TRIM(PROPER(H:H))</f>
        <v>Madhya Pradesh</v>
      </c>
      <c r="AE203" t="str">
        <f>TRIM(PROPER(I:I))</f>
        <v>Indore</v>
      </c>
      <c r="AF203" t="str">
        <f t="shared" si="4"/>
        <v>Office Supplies</v>
      </c>
      <c r="AG203" t="str">
        <f t="shared" si="4"/>
        <v>Labels</v>
      </c>
      <c r="AH203" t="str">
        <f t="shared" si="4"/>
        <v>Basic Labels 511</v>
      </c>
      <c r="AI203" t="str">
        <f t="shared" si="4"/>
        <v>Second Class</v>
      </c>
      <c r="AJ203" s="3" t="str">
        <f t="shared" si="5"/>
        <v xml:space="preserve">  </v>
      </c>
      <c r="AK203">
        <f>IFERROR(Y203-X203, "invalid date")</f>
        <v>-140</v>
      </c>
      <c r="AL203" s="10" t="s">
        <v>191</v>
      </c>
      <c r="AM203" s="11" t="s">
        <v>4111</v>
      </c>
      <c r="AN203" s="11" t="s">
        <v>4111</v>
      </c>
      <c r="AO203" s="10" t="s">
        <v>4111</v>
      </c>
      <c r="AP203" t="s">
        <v>4371</v>
      </c>
      <c r="AQ203" t="s">
        <v>4372</v>
      </c>
      <c r="AR203" t="s">
        <v>4106</v>
      </c>
      <c r="AS203" t="s">
        <v>4120</v>
      </c>
      <c r="AT203" t="s">
        <v>4121</v>
      </c>
      <c r="AU203">
        <v>-140</v>
      </c>
      <c r="AV203" t="s">
        <v>4109</v>
      </c>
    </row>
    <row r="204" spans="1:48">
      <c r="A204" t="s">
        <v>1093</v>
      </c>
      <c r="B204" t="s">
        <v>1094</v>
      </c>
      <c r="C204" t="s">
        <v>1095</v>
      </c>
      <c r="D204" t="s">
        <v>1096</v>
      </c>
      <c r="E204" t="s">
        <v>177</v>
      </c>
      <c r="F204" t="s">
        <v>117</v>
      </c>
      <c r="G204" t="s">
        <v>82</v>
      </c>
      <c r="H204" t="s">
        <v>259</v>
      </c>
      <c r="I204" t="s">
        <v>260</v>
      </c>
      <c r="J204" t="s">
        <v>95</v>
      </c>
      <c r="K204" t="s">
        <v>96</v>
      </c>
      <c r="L204" t="s">
        <v>1097</v>
      </c>
      <c r="M204" t="s">
        <v>76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43</v>
      </c>
      <c r="U204" t="s">
        <v>44</v>
      </c>
      <c r="W204" t="s">
        <v>1093</v>
      </c>
      <c r="X204" t="str">
        <v>28-03-25</v>
      </c>
      <c r="Y204" t="str">
        <v>28-03-25</v>
      </c>
      <c r="Z204" t="s">
        <v>1096</v>
      </c>
      <c r="AA204" t="str">
        <v>Sneha Kapoor</v>
      </c>
      <c r="AB204" t="str">
        <f>TRIM(PROPER(F:F))</f>
        <v>Corporate</v>
      </c>
      <c r="AC204" t="str">
        <f>TRIM(PROPER(G:G))</f>
        <v>West</v>
      </c>
      <c r="AD204" t="str">
        <f>TRIM(PROPER(H:H))</f>
        <v>Goa</v>
      </c>
      <c r="AE204" t="str">
        <f>TRIM(PROPER(I:I))</f>
        <v>Panaji</v>
      </c>
      <c r="AF204" t="str">
        <f t="shared" si="4"/>
        <v>Technology</v>
      </c>
      <c r="AG204" t="str">
        <f t="shared" si="4"/>
        <v>Accessories</v>
      </c>
      <c r="AH204" t="str">
        <f t="shared" si="4"/>
        <v>Prime Accessories 733</v>
      </c>
      <c r="AI204" t="str">
        <f t="shared" si="4"/>
        <v>Standard Class</v>
      </c>
      <c r="AJ204" s="3" t="str">
        <f t="shared" si="5"/>
        <v xml:space="preserve">  </v>
      </c>
      <c r="AK204">
        <f>IFERROR(Y204-X204, "invalid date")</f>
        <v>0</v>
      </c>
      <c r="AL204" s="10">
        <v>0.05</v>
      </c>
      <c r="AM204" s="11">
        <v>13231.144</v>
      </c>
      <c r="AN204" s="11">
        <v>1941.0840000000007</v>
      </c>
      <c r="AO204" s="10">
        <v>0.14670568168557463</v>
      </c>
      <c r="AP204" t="s">
        <v>4373</v>
      </c>
      <c r="AQ204" t="s">
        <v>4373</v>
      </c>
      <c r="AR204" t="s">
        <v>4159</v>
      </c>
      <c r="AS204" t="s">
        <v>4120</v>
      </c>
      <c r="AT204" t="s">
        <v>4115</v>
      </c>
      <c r="AU204">
        <v>0</v>
      </c>
      <c r="AV204" t="s">
        <v>4109</v>
      </c>
    </row>
    <row r="205" spans="1:48">
      <c r="A205" t="s">
        <v>1098</v>
      </c>
      <c r="B205" t="s">
        <v>1099</v>
      </c>
      <c r="C205" t="s">
        <v>1100</v>
      </c>
      <c r="D205" t="s">
        <v>1101</v>
      </c>
      <c r="E205" t="s">
        <v>177</v>
      </c>
      <c r="F205" t="s">
        <v>117</v>
      </c>
      <c r="G205" t="s">
        <v>82</v>
      </c>
      <c r="H205" t="s">
        <v>37</v>
      </c>
      <c r="I205" t="s">
        <v>144</v>
      </c>
      <c r="J205" t="s">
        <v>95</v>
      </c>
      <c r="K205" t="s">
        <v>96</v>
      </c>
      <c r="L205" t="s">
        <v>1102</v>
      </c>
      <c r="M205" t="s">
        <v>42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43</v>
      </c>
      <c r="U205" t="s">
        <v>44</v>
      </c>
      <c r="W205" t="s">
        <v>1098</v>
      </c>
      <c r="X205" t="str">
        <v>28-03-24</v>
      </c>
      <c r="Y205" t="str">
        <v>30-03-24</v>
      </c>
      <c r="Z205" t="s">
        <v>1101</v>
      </c>
      <c r="AA205" t="str">
        <v>Sneha Kapoor</v>
      </c>
      <c r="AB205" t="str">
        <f>TRIM(PROPER(F:F))</f>
        <v>Corporate</v>
      </c>
      <c r="AC205" t="str">
        <f>TRIM(PROPER(G:G))</f>
        <v>West</v>
      </c>
      <c r="AD205" t="str">
        <f>TRIM(PROPER(H:H))</f>
        <v>Rajasthan</v>
      </c>
      <c r="AE205" t="str">
        <f>TRIM(PROPER(I:I))</f>
        <v>Udaipur</v>
      </c>
      <c r="AF205" t="str">
        <f t="shared" si="4"/>
        <v>Technology</v>
      </c>
      <c r="AG205" t="str">
        <f t="shared" si="4"/>
        <v>Accessories</v>
      </c>
      <c r="AH205" t="str">
        <f t="shared" si="4"/>
        <v>Max Accessories 186</v>
      </c>
      <c r="AI205" t="str">
        <f t="shared" si="4"/>
        <v>Second Class</v>
      </c>
      <c r="AJ205" s="3" t="str">
        <f t="shared" si="5"/>
        <v>anomaly</v>
      </c>
      <c r="AK205">
        <f>IFERROR(Y205-X205, "invalid date")</f>
        <v>2</v>
      </c>
      <c r="AL205" s="10">
        <v>0.15</v>
      </c>
      <c r="AM205" s="11">
        <v>484.78899999999999</v>
      </c>
      <c r="AN205" s="11">
        <v>151.24899999999997</v>
      </c>
      <c r="AO205" s="10">
        <v>0.3119893396921134</v>
      </c>
      <c r="AP205" t="s">
        <v>4374</v>
      </c>
      <c r="AQ205" t="s">
        <v>4317</v>
      </c>
      <c r="AR205" t="s">
        <v>4159</v>
      </c>
      <c r="AS205" t="s">
        <v>4107</v>
      </c>
      <c r="AT205" t="s">
        <v>4115</v>
      </c>
      <c r="AU205">
        <v>2</v>
      </c>
      <c r="AV205" t="s">
        <v>4109</v>
      </c>
    </row>
    <row r="206" spans="1:48">
      <c r="A206" t="s">
        <v>1103</v>
      </c>
      <c r="B206" t="s">
        <v>1104</v>
      </c>
      <c r="C206" t="s">
        <v>1105</v>
      </c>
      <c r="D206" t="s">
        <v>1106</v>
      </c>
      <c r="E206" t="s">
        <v>49</v>
      </c>
      <c r="F206" t="s">
        <v>124</v>
      </c>
      <c r="G206" t="s">
        <v>51</v>
      </c>
      <c r="H206" t="s">
        <v>130</v>
      </c>
      <c r="I206" t="s">
        <v>131</v>
      </c>
      <c r="J206" t="s">
        <v>54</v>
      </c>
      <c r="K206" t="s">
        <v>55</v>
      </c>
      <c r="L206" t="s">
        <v>1107</v>
      </c>
      <c r="M206" t="s">
        <v>42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43</v>
      </c>
      <c r="U206" t="s">
        <v>44</v>
      </c>
      <c r="W206" t="s">
        <v>1103</v>
      </c>
      <c r="X206" t="str">
        <v>20-07-25</v>
      </c>
      <c r="Y206" t="str">
        <v>23-07-25</v>
      </c>
      <c r="Z206" t="s">
        <v>1106</v>
      </c>
      <c r="AA206" t="str">
        <v>Mira Das</v>
      </c>
      <c r="AB206" t="str">
        <f>TRIM(PROPER(F:F))</f>
        <v>Home Office</v>
      </c>
      <c r="AC206" t="str">
        <f>TRIM(PROPER(G:G))</f>
        <v>East</v>
      </c>
      <c r="AD206" t="str">
        <f>TRIM(PROPER(H:H))</f>
        <v>West Bengal</v>
      </c>
      <c r="AE206" t="str">
        <f>TRIM(PROPER(I:I))</f>
        <v>Kolkata</v>
      </c>
      <c r="AF206" t="str">
        <f t="shared" si="4"/>
        <v>Furniture</v>
      </c>
      <c r="AG206" t="str">
        <f t="shared" si="4"/>
        <v>Tables</v>
      </c>
      <c r="AH206" t="str">
        <f t="shared" si="4"/>
        <v>Elite Tables 318</v>
      </c>
      <c r="AI206" t="str">
        <f t="shared" si="4"/>
        <v>Second Class</v>
      </c>
      <c r="AJ206" s="3" t="str">
        <f t="shared" si="5"/>
        <v>anomaly</v>
      </c>
      <c r="AK206">
        <f>IFERROR(Y206-X206, "invalid date")</f>
        <v>3</v>
      </c>
      <c r="AL206" s="10">
        <v>0.15</v>
      </c>
      <c r="AM206" s="11">
        <v>1624.146</v>
      </c>
      <c r="AN206" s="11">
        <v>406.15599999999995</v>
      </c>
      <c r="AO206" s="10">
        <v>0.25007357712914968</v>
      </c>
      <c r="AP206" t="s">
        <v>4375</v>
      </c>
      <c r="AQ206" t="s">
        <v>4376</v>
      </c>
      <c r="AR206" t="s">
        <v>4106</v>
      </c>
      <c r="AS206" t="s">
        <v>4120</v>
      </c>
      <c r="AT206" t="s">
        <v>4115</v>
      </c>
      <c r="AU206">
        <v>3</v>
      </c>
      <c r="AV206" t="s">
        <v>4109</v>
      </c>
    </row>
    <row r="207" spans="1:48">
      <c r="A207" t="s">
        <v>1108</v>
      </c>
      <c r="B207" t="s">
        <v>1109</v>
      </c>
      <c r="C207" t="s">
        <v>1110</v>
      </c>
      <c r="D207" t="s">
        <v>1111</v>
      </c>
      <c r="E207" t="s">
        <v>81</v>
      </c>
      <c r="F207" t="s">
        <v>35</v>
      </c>
      <c r="G207" t="s">
        <v>82</v>
      </c>
      <c r="H207" t="s">
        <v>83</v>
      </c>
      <c r="I207" t="s">
        <v>84</v>
      </c>
      <c r="J207" t="s">
        <v>928</v>
      </c>
      <c r="K207" t="s">
        <v>118</v>
      </c>
      <c r="L207" t="s">
        <v>1112</v>
      </c>
      <c r="M207" t="s">
        <v>57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43</v>
      </c>
      <c r="U207" t="s">
        <v>44</v>
      </c>
      <c r="W207" t="s">
        <v>1108</v>
      </c>
      <c r="X207" t="str">
        <v>21-04-25</v>
      </c>
      <c r="Y207" t="str">
        <v>invalid date</v>
      </c>
      <c r="Z207" t="s">
        <v>1111</v>
      </c>
      <c r="AA207" t="str">
        <v>Ananya Rao</v>
      </c>
      <c r="AB207" t="str">
        <f>TRIM(PROPER(F:F))</f>
        <v>Consumer</v>
      </c>
      <c r="AC207" t="str">
        <f>TRIM(PROPER(G:G))</f>
        <v>West</v>
      </c>
      <c r="AD207" t="str">
        <f>TRIM(PROPER(H:H))</f>
        <v>Maharashtra</v>
      </c>
      <c r="AE207" t="str">
        <f>TRIM(PROPER(I:I))</f>
        <v>Mumbai</v>
      </c>
      <c r="AF207" t="str">
        <f t="shared" si="4"/>
        <v>Office Supplies</v>
      </c>
      <c r="AG207" t="str">
        <f t="shared" si="4"/>
        <v>Labels</v>
      </c>
      <c r="AH207" t="str">
        <f t="shared" si="4"/>
        <v>Smart Labels 354</v>
      </c>
      <c r="AI207" t="str">
        <f t="shared" si="4"/>
        <v>Same Day</v>
      </c>
      <c r="AJ207" s="3" t="str">
        <f t="shared" si="5"/>
        <v>Invalid</v>
      </c>
      <c r="AK207" t="str">
        <f>IFERROR(Y207-X207, "invalid date")</f>
        <v>invalid date</v>
      </c>
      <c r="AL207" s="10">
        <v>0.2</v>
      </c>
      <c r="AM207" s="11">
        <v>4193.232</v>
      </c>
      <c r="AN207" s="11">
        <v>863.24200000000019</v>
      </c>
      <c r="AO207" s="10">
        <v>0.2058655471483572</v>
      </c>
      <c r="AP207" t="s">
        <v>4377</v>
      </c>
      <c r="AQ207" t="s">
        <v>4105</v>
      </c>
      <c r="AR207" t="s">
        <v>4199</v>
      </c>
      <c r="AS207" t="s">
        <v>4120</v>
      </c>
      <c r="AT207" t="s">
        <v>4108</v>
      </c>
      <c r="AU207" t="s">
        <v>4105</v>
      </c>
      <c r="AV207" t="s">
        <v>4109</v>
      </c>
    </row>
    <row r="208" spans="1:48">
      <c r="A208" t="s">
        <v>1113</v>
      </c>
      <c r="B208" t="s">
        <v>1114</v>
      </c>
      <c r="C208" t="s">
        <v>127</v>
      </c>
      <c r="D208" t="s">
        <v>1115</v>
      </c>
      <c r="E208" t="s">
        <v>220</v>
      </c>
      <c r="F208" t="s">
        <v>50</v>
      </c>
      <c r="G208" t="s">
        <v>36</v>
      </c>
      <c r="H208" t="s">
        <v>183</v>
      </c>
      <c r="I208" t="s">
        <v>184</v>
      </c>
      <c r="J208" t="s">
        <v>54</v>
      </c>
      <c r="K208" t="s">
        <v>74</v>
      </c>
      <c r="L208" t="s">
        <v>1116</v>
      </c>
      <c r="M208" t="s">
        <v>65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43</v>
      </c>
      <c r="U208" t="s">
        <v>44</v>
      </c>
      <c r="W208" t="s">
        <v>1113</v>
      </c>
      <c r="X208" t="str">
        <v>invalid date</v>
      </c>
      <c r="Y208" t="str">
        <v>20-05-25</v>
      </c>
      <c r="Z208" t="s">
        <v>1115</v>
      </c>
      <c r="AA208" t="str">
        <v>Diya Patel</v>
      </c>
      <c r="AB208" t="str">
        <f>TRIM(PROPER(F:F))</f>
        <v>Small Business</v>
      </c>
      <c r="AC208" t="str">
        <f>TRIM(PROPER(G:G))</f>
        <v>North</v>
      </c>
      <c r="AD208" t="str">
        <f>TRIM(PROPER(H:H))</f>
        <v>Uttar Pradesh</v>
      </c>
      <c r="AE208" t="str">
        <f>TRIM(PROPER(I:I))</f>
        <v>Noida</v>
      </c>
      <c r="AF208" t="str">
        <f t="shared" si="4"/>
        <v>Furniture</v>
      </c>
      <c r="AG208" t="str">
        <f t="shared" si="4"/>
        <v>Furnishings</v>
      </c>
      <c r="AH208" t="str">
        <f t="shared" si="4"/>
        <v>Pro Furnishings 981</v>
      </c>
      <c r="AI208" t="str">
        <f t="shared" si="4"/>
        <v>First Class</v>
      </c>
      <c r="AJ208" s="3" t="str">
        <f t="shared" si="5"/>
        <v>Invalid</v>
      </c>
      <c r="AK208" t="str">
        <f>IFERROR(Y208-X208, "invalid date")</f>
        <v>invalid date</v>
      </c>
      <c r="AL208" s="10">
        <v>0</v>
      </c>
      <c r="AM208" s="11">
        <v>430.26</v>
      </c>
      <c r="AN208" s="11">
        <v>143.88</v>
      </c>
      <c r="AO208" s="10">
        <v>0.33440245432994004</v>
      </c>
      <c r="AP208" t="s">
        <v>4105</v>
      </c>
      <c r="AQ208" t="s">
        <v>4135</v>
      </c>
      <c r="AR208" t="s">
        <v>4105</v>
      </c>
      <c r="AS208" t="s">
        <v>4105</v>
      </c>
      <c r="AT208" t="s">
        <v>4108</v>
      </c>
      <c r="AU208" t="s">
        <v>4105</v>
      </c>
      <c r="AV208" t="s">
        <v>4109</v>
      </c>
    </row>
    <row r="209" spans="1:48">
      <c r="A209" t="s">
        <v>1117</v>
      </c>
      <c r="B209" t="s">
        <v>1118</v>
      </c>
      <c r="C209" t="s">
        <v>1119</v>
      </c>
      <c r="D209" t="s">
        <v>1120</v>
      </c>
      <c r="E209" t="s">
        <v>171</v>
      </c>
      <c r="F209" t="s">
        <v>124</v>
      </c>
      <c r="G209" t="s">
        <v>82</v>
      </c>
      <c r="H209" t="s">
        <v>259</v>
      </c>
      <c r="I209" t="s">
        <v>260</v>
      </c>
      <c r="J209" t="s">
        <v>54</v>
      </c>
      <c r="K209" t="s">
        <v>214</v>
      </c>
      <c r="L209" t="s">
        <v>1121</v>
      </c>
      <c r="M209" t="s">
        <v>42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43</v>
      </c>
      <c r="U209" t="s">
        <v>44</v>
      </c>
      <c r="W209" t="s">
        <v>1117</v>
      </c>
      <c r="X209" t="str">
        <v>10-07-24</v>
      </c>
      <c r="Y209" t="str">
        <v>16-07-24</v>
      </c>
      <c r="Z209" t="s">
        <v>1120</v>
      </c>
      <c r="AA209" t="str">
        <v>Aarav Sharma</v>
      </c>
      <c r="AB209" t="str">
        <f>TRIM(PROPER(F:F))</f>
        <v>Home Office</v>
      </c>
      <c r="AC209" t="str">
        <f>TRIM(PROPER(G:G))</f>
        <v>West</v>
      </c>
      <c r="AD209" t="str">
        <f>TRIM(PROPER(H:H))</f>
        <v>Goa</v>
      </c>
      <c r="AE209" t="str">
        <f>TRIM(PROPER(I:I))</f>
        <v>Panaji</v>
      </c>
      <c r="AF209" t="str">
        <f t="shared" si="4"/>
        <v>Furniture</v>
      </c>
      <c r="AG209" t="str">
        <f t="shared" si="4"/>
        <v>Bookcases</v>
      </c>
      <c r="AH209" t="str">
        <f t="shared" si="4"/>
        <v>Eco Bookcases 671</v>
      </c>
      <c r="AI209" t="str">
        <f t="shared" si="4"/>
        <v>Second Class</v>
      </c>
      <c r="AJ209" s="3" t="str">
        <f t="shared" si="5"/>
        <v>anomaly</v>
      </c>
      <c r="AK209">
        <f>IFERROR(Y209-X209, "invalid date")</f>
        <v>6</v>
      </c>
      <c r="AL209" s="10">
        <v>0.2</v>
      </c>
      <c r="AM209" s="11">
        <v>1752.7200000000003</v>
      </c>
      <c r="AN209" s="11">
        <v>756.31000000000029</v>
      </c>
      <c r="AO209" s="10">
        <v>0.43150645853302305</v>
      </c>
      <c r="AP209" t="s">
        <v>4378</v>
      </c>
      <c r="AQ209" t="s">
        <v>4379</v>
      </c>
      <c r="AR209" t="s">
        <v>4106</v>
      </c>
      <c r="AS209" t="s">
        <v>4107</v>
      </c>
      <c r="AT209" t="s">
        <v>4115</v>
      </c>
      <c r="AU209">
        <v>6</v>
      </c>
      <c r="AV209" t="s">
        <v>4109</v>
      </c>
    </row>
    <row r="210" spans="1:48">
      <c r="A210" t="s">
        <v>1122</v>
      </c>
      <c r="B210" t="s">
        <v>1123</v>
      </c>
      <c r="C210" t="s">
        <v>1124</v>
      </c>
      <c r="D210" t="s">
        <v>1125</v>
      </c>
      <c r="E210" t="s">
        <v>220</v>
      </c>
      <c r="F210" t="s">
        <v>35</v>
      </c>
      <c r="G210" t="s">
        <v>36</v>
      </c>
      <c r="H210" t="s">
        <v>163</v>
      </c>
      <c r="I210" t="s">
        <v>164</v>
      </c>
      <c r="J210" t="s">
        <v>54</v>
      </c>
      <c r="K210" t="s">
        <v>85</v>
      </c>
      <c r="L210" t="s">
        <v>1126</v>
      </c>
      <c r="M210" t="s">
        <v>57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43</v>
      </c>
      <c r="U210" t="s">
        <v>44</v>
      </c>
      <c r="W210" t="s">
        <v>1122</v>
      </c>
      <c r="X210" t="str">
        <v>invalid date</v>
      </c>
      <c r="Y210" t="str">
        <v>05-07-25</v>
      </c>
      <c r="Z210" t="s">
        <v>1125</v>
      </c>
      <c r="AA210" t="str">
        <v>Diya Patel</v>
      </c>
      <c r="AB210" t="str">
        <f>TRIM(PROPER(F:F))</f>
        <v>Consumer</v>
      </c>
      <c r="AC210" t="str">
        <f>TRIM(PROPER(G:G))</f>
        <v>North</v>
      </c>
      <c r="AD210" t="str">
        <f>TRIM(PROPER(H:H))</f>
        <v>Punjab</v>
      </c>
      <c r="AE210" t="str">
        <f>TRIM(PROPER(I:I))</f>
        <v>Ludhiana</v>
      </c>
      <c r="AF210" t="str">
        <f t="shared" si="4"/>
        <v>Furniture</v>
      </c>
      <c r="AG210" t="str">
        <f t="shared" si="4"/>
        <v>Chairs</v>
      </c>
      <c r="AH210" t="str">
        <f t="shared" si="4"/>
        <v>Max Chairs 151</v>
      </c>
      <c r="AI210" t="str">
        <f t="shared" si="4"/>
        <v>Same Day</v>
      </c>
      <c r="AJ210" s="3" t="str">
        <f t="shared" si="5"/>
        <v>Invalid</v>
      </c>
      <c r="AK210" t="str">
        <f>IFERROR(Y210-X210, "invalid date")</f>
        <v>invalid date</v>
      </c>
      <c r="AL210" s="10">
        <v>0</v>
      </c>
      <c r="AM210" s="11">
        <v>999.83</v>
      </c>
      <c r="AN210" s="11">
        <v>364.92000000000007</v>
      </c>
      <c r="AO210" s="10">
        <v>0.3649820469479812</v>
      </c>
      <c r="AP210" t="s">
        <v>4105</v>
      </c>
      <c r="AQ210" t="s">
        <v>4370</v>
      </c>
      <c r="AR210" t="s">
        <v>4105</v>
      </c>
      <c r="AS210" t="s">
        <v>4105</v>
      </c>
      <c r="AT210" t="s">
        <v>4108</v>
      </c>
      <c r="AU210" t="s">
        <v>4105</v>
      </c>
      <c r="AV210" t="s">
        <v>4109</v>
      </c>
    </row>
    <row r="211" spans="1:48">
      <c r="A211" t="s">
        <v>1127</v>
      </c>
      <c r="B211" t="s">
        <v>1128</v>
      </c>
      <c r="C211" t="s">
        <v>1129</v>
      </c>
      <c r="D211" t="s">
        <v>1130</v>
      </c>
      <c r="E211" t="s">
        <v>189</v>
      </c>
      <c r="F211" t="s">
        <v>50</v>
      </c>
      <c r="G211" t="s">
        <v>71</v>
      </c>
      <c r="H211" t="s">
        <v>109</v>
      </c>
      <c r="I211" t="s">
        <v>110</v>
      </c>
      <c r="J211" t="s">
        <v>39</v>
      </c>
      <c r="K211" t="s">
        <v>40</v>
      </c>
      <c r="L211" t="s">
        <v>1131</v>
      </c>
      <c r="M211" t="s">
        <v>65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43</v>
      </c>
      <c r="U211" t="s">
        <v>44</v>
      </c>
      <c r="W211" t="s">
        <v>1127</v>
      </c>
      <c r="X211" t="str">
        <v>invalid date</v>
      </c>
      <c r="Y211" t="str">
        <v>invalid date</v>
      </c>
      <c r="Z211" t="s">
        <v>1130</v>
      </c>
      <c r="AA211" t="str">
        <v>Rohan Mehta</v>
      </c>
      <c r="AB211" t="str">
        <f>TRIM(PROPER(F:F))</f>
        <v>Small Business</v>
      </c>
      <c r="AC211" t="str">
        <f>TRIM(PROPER(G:G))</f>
        <v>South</v>
      </c>
      <c r="AD211" t="str">
        <f>TRIM(PROPER(H:H))</f>
        <v>Andhra Pradesh</v>
      </c>
      <c r="AE211" t="str">
        <f>TRIM(PROPER(I:I))</f>
        <v>Vijayawada</v>
      </c>
      <c r="AF211" t="str">
        <f t="shared" si="4"/>
        <v>Office Supplies</v>
      </c>
      <c r="AG211" t="str">
        <f t="shared" si="4"/>
        <v>Paper</v>
      </c>
      <c r="AH211" t="str">
        <f t="shared" si="4"/>
        <v>Prime Paper 903</v>
      </c>
      <c r="AI211" t="str">
        <f t="shared" si="4"/>
        <v>First Class</v>
      </c>
      <c r="AJ211" s="3" t="str">
        <f t="shared" si="5"/>
        <v>Invalid</v>
      </c>
      <c r="AK211" t="str">
        <f>IFERROR(Y211-X211, "invalid date")</f>
        <v>invalid date</v>
      </c>
      <c r="AL211" s="10">
        <v>0.1</v>
      </c>
      <c r="AM211" s="11">
        <v>7006.3379999999997</v>
      </c>
      <c r="AN211" s="11">
        <v>2365.4579999999996</v>
      </c>
      <c r="AO211" s="10">
        <v>0.33761688345609359</v>
      </c>
      <c r="AP211" t="s">
        <v>4105</v>
      </c>
      <c r="AQ211" t="s">
        <v>4105</v>
      </c>
      <c r="AR211" t="s">
        <v>4105</v>
      </c>
      <c r="AS211" t="s">
        <v>4105</v>
      </c>
      <c r="AT211" t="s">
        <v>4108</v>
      </c>
      <c r="AU211" t="s">
        <v>4105</v>
      </c>
      <c r="AV211" t="s">
        <v>4109</v>
      </c>
    </row>
    <row r="212" spans="1:48">
      <c r="A212" t="s">
        <v>1132</v>
      </c>
      <c r="B212" t="s">
        <v>1133</v>
      </c>
      <c r="C212" t="s">
        <v>1134</v>
      </c>
      <c r="D212" t="s">
        <v>1135</v>
      </c>
      <c r="E212" t="s">
        <v>377</v>
      </c>
      <c r="F212" t="s">
        <v>124</v>
      </c>
      <c r="G212" t="s">
        <v>71</v>
      </c>
      <c r="H212" t="s">
        <v>239</v>
      </c>
      <c r="I212" t="s">
        <v>240</v>
      </c>
      <c r="J212" t="s">
        <v>95</v>
      </c>
      <c r="K212" t="s">
        <v>393</v>
      </c>
      <c r="L212" t="s">
        <v>1136</v>
      </c>
      <c r="M212" t="s">
        <v>42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210</v>
      </c>
      <c r="U212" t="s">
        <v>134</v>
      </c>
      <c r="W212" t="s">
        <v>1132</v>
      </c>
      <c r="X212" t="str">
        <v>invalid date</v>
      </c>
      <c r="Y212" t="str">
        <v>18-03-24</v>
      </c>
      <c r="Z212" t="s">
        <v>1135</v>
      </c>
      <c r="AA212" t="str">
        <v>Kabir Singh</v>
      </c>
      <c r="AB212" t="str">
        <f>TRIM(PROPER(F:F))</f>
        <v>Home Office</v>
      </c>
      <c r="AC212" t="str">
        <f>TRIM(PROPER(G:G))</f>
        <v>South</v>
      </c>
      <c r="AD212" t="str">
        <f>TRIM(PROPER(H:H))</f>
        <v>Karnataka</v>
      </c>
      <c r="AE212" t="str">
        <f>TRIM(PROPER(I:I))</f>
        <v>Bengaluru</v>
      </c>
      <c r="AF212" t="str">
        <f t="shared" si="4"/>
        <v>Technology</v>
      </c>
      <c r="AG212" t="str">
        <f t="shared" si="4"/>
        <v>Machines</v>
      </c>
      <c r="AH212" t="str">
        <f t="shared" si="4"/>
        <v>Classic Machines 944</v>
      </c>
      <c r="AI212" t="str">
        <f t="shared" si="4"/>
        <v>Second Class</v>
      </c>
      <c r="AJ212" s="3" t="str">
        <f t="shared" si="5"/>
        <v>Invalid</v>
      </c>
      <c r="AK212" t="str">
        <f>IFERROR(Y212-X212, "invalid date")</f>
        <v>invalid date</v>
      </c>
      <c r="AL212" s="10">
        <v>0</v>
      </c>
      <c r="AM212" s="11">
        <v>4131.3599999999997</v>
      </c>
      <c r="AN212" s="11">
        <v>1194.2899999999995</v>
      </c>
      <c r="AO212" s="10">
        <v>0.28907914100925591</v>
      </c>
      <c r="AP212" t="s">
        <v>4105</v>
      </c>
      <c r="AQ212" t="s">
        <v>4380</v>
      </c>
      <c r="AR212" t="s">
        <v>4105</v>
      </c>
      <c r="AS212" t="s">
        <v>4105</v>
      </c>
      <c r="AT212" t="s">
        <v>4108</v>
      </c>
      <c r="AU212" t="s">
        <v>4105</v>
      </c>
      <c r="AV212" t="s">
        <v>4109</v>
      </c>
    </row>
    <row r="213" spans="1:48">
      <c r="A213" t="s">
        <v>1137</v>
      </c>
      <c r="B213" t="s">
        <v>1138</v>
      </c>
      <c r="C213" t="s">
        <v>1139</v>
      </c>
      <c r="D213" t="s">
        <v>1140</v>
      </c>
      <c r="E213" t="s">
        <v>189</v>
      </c>
      <c r="F213" t="s">
        <v>117</v>
      </c>
      <c r="G213" t="s">
        <v>1141</v>
      </c>
      <c r="H213" t="s">
        <v>130</v>
      </c>
      <c r="I213" t="s">
        <v>131</v>
      </c>
      <c r="J213" t="s">
        <v>95</v>
      </c>
      <c r="K213" t="s">
        <v>103</v>
      </c>
      <c r="L213" t="s">
        <v>1142</v>
      </c>
      <c r="M213" t="s">
        <v>42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43</v>
      </c>
      <c r="U213" t="s">
        <v>44</v>
      </c>
      <c r="W213" t="s">
        <v>1137</v>
      </c>
      <c r="X213" t="str">
        <v>invalid date</v>
      </c>
      <c r="Y213" t="str">
        <v>invalid date</v>
      </c>
      <c r="Z213" t="s">
        <v>1140</v>
      </c>
      <c r="AA213" t="str">
        <v>Rohan Mehta</v>
      </c>
      <c r="AB213" t="str">
        <f>TRIM(PROPER(F:F))</f>
        <v>Corporate</v>
      </c>
      <c r="AC213" t="str">
        <f>TRIM(PROPER(G:G))</f>
        <v>East</v>
      </c>
      <c r="AD213" t="str">
        <f>TRIM(PROPER(H:H))</f>
        <v>West Bengal</v>
      </c>
      <c r="AE213" t="str">
        <f>TRIM(PROPER(I:I))</f>
        <v>Kolkata</v>
      </c>
      <c r="AF213" t="str">
        <f t="shared" si="4"/>
        <v>Technology</v>
      </c>
      <c r="AG213" t="str">
        <f t="shared" si="4"/>
        <v>Copiers</v>
      </c>
      <c r="AH213" t="str">
        <f t="shared" si="4"/>
        <v>Basic Copiers 222</v>
      </c>
      <c r="AI213" t="str">
        <f t="shared" si="4"/>
        <v>Second Class</v>
      </c>
      <c r="AJ213" s="3" t="str">
        <f t="shared" si="5"/>
        <v>Invalid</v>
      </c>
      <c r="AK213" t="str">
        <f>IFERROR(Y213-X213, "invalid date")</f>
        <v>invalid date</v>
      </c>
      <c r="AL213" s="10">
        <v>0.2</v>
      </c>
      <c r="AM213" s="11">
        <v>27020.48</v>
      </c>
      <c r="AN213" s="11">
        <v>4135.239999999998</v>
      </c>
      <c r="AO213" s="10">
        <v>0.15304095264036752</v>
      </c>
      <c r="AP213" t="s">
        <v>4105</v>
      </c>
      <c r="AQ213" t="s">
        <v>4105</v>
      </c>
      <c r="AR213" t="s">
        <v>4105</v>
      </c>
      <c r="AS213" t="s">
        <v>4105</v>
      </c>
      <c r="AT213" t="s">
        <v>4108</v>
      </c>
      <c r="AU213" t="s">
        <v>4105</v>
      </c>
      <c r="AV213" t="s">
        <v>4109</v>
      </c>
    </row>
    <row r="214" spans="1:48">
      <c r="A214" t="s">
        <v>1143</v>
      </c>
      <c r="B214" t="s">
        <v>1144</v>
      </c>
      <c r="C214" t="s">
        <v>1145</v>
      </c>
      <c r="D214" t="s">
        <v>1146</v>
      </c>
      <c r="E214" t="s">
        <v>81</v>
      </c>
      <c r="F214" t="s">
        <v>50</v>
      </c>
      <c r="G214" t="s">
        <v>51</v>
      </c>
      <c r="H214" t="s">
        <v>52</v>
      </c>
      <c r="I214" t="s">
        <v>53</v>
      </c>
      <c r="J214" t="s">
        <v>95</v>
      </c>
      <c r="K214" t="s">
        <v>233</v>
      </c>
      <c r="L214" t="s">
        <v>1147</v>
      </c>
      <c r="M214" t="s">
        <v>57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43</v>
      </c>
      <c r="U214" t="s">
        <v>44</v>
      </c>
      <c r="W214" t="s">
        <v>1143</v>
      </c>
      <c r="X214" t="str">
        <v>invalid date</v>
      </c>
      <c r="Y214" t="str">
        <v>21-09-24</v>
      </c>
      <c r="Z214" t="s">
        <v>1146</v>
      </c>
      <c r="AA214" t="str">
        <v>Ananya Rao</v>
      </c>
      <c r="AB214" t="str">
        <f>TRIM(PROPER(F:F))</f>
        <v>Small Business</v>
      </c>
      <c r="AC214" t="str">
        <f>TRIM(PROPER(G:G))</f>
        <v>East</v>
      </c>
      <c r="AD214" t="str">
        <f>TRIM(PROPER(H:H))</f>
        <v>Odisha</v>
      </c>
      <c r="AE214" t="str">
        <f>TRIM(PROPER(I:I))</f>
        <v>Bhubaneswar</v>
      </c>
      <c r="AF214" t="str">
        <f t="shared" si="4"/>
        <v>Technology</v>
      </c>
      <c r="AG214" t="str">
        <f t="shared" si="4"/>
        <v>Phones</v>
      </c>
      <c r="AH214" t="str">
        <f t="shared" si="4"/>
        <v>Max Phones 329</v>
      </c>
      <c r="AI214" t="str">
        <f t="shared" si="4"/>
        <v>Same Day</v>
      </c>
      <c r="AJ214" s="3" t="str">
        <f t="shared" si="5"/>
        <v>Invalid</v>
      </c>
      <c r="AK214" t="str">
        <f>IFERROR(Y214-X214, "invalid date")</f>
        <v>invalid date</v>
      </c>
      <c r="AL214" s="10">
        <v>0.15</v>
      </c>
      <c r="AM214" s="11">
        <v>364.65</v>
      </c>
      <c r="AN214" s="11">
        <v>83.909999999999968</v>
      </c>
      <c r="AO214" s="10">
        <v>0.23011106540518297</v>
      </c>
      <c r="AP214" t="s">
        <v>4105</v>
      </c>
      <c r="AQ214" t="s">
        <v>4381</v>
      </c>
      <c r="AR214" t="s">
        <v>4105</v>
      </c>
      <c r="AS214" t="s">
        <v>4105</v>
      </c>
      <c r="AT214" t="s">
        <v>4108</v>
      </c>
      <c r="AU214" t="s">
        <v>4105</v>
      </c>
      <c r="AV214" t="s">
        <v>4109</v>
      </c>
    </row>
    <row r="215" spans="1:48">
      <c r="A215" t="s">
        <v>1148</v>
      </c>
      <c r="B215" t="s">
        <v>1149</v>
      </c>
      <c r="C215" t="s">
        <v>1150</v>
      </c>
      <c r="D215" t="s">
        <v>1151</v>
      </c>
      <c r="E215" t="s">
        <v>62</v>
      </c>
      <c r="F215" t="s">
        <v>50</v>
      </c>
      <c r="G215" t="s">
        <v>51</v>
      </c>
      <c r="H215" t="s">
        <v>196</v>
      </c>
      <c r="I215" t="s">
        <v>197</v>
      </c>
      <c r="J215" t="s">
        <v>95</v>
      </c>
      <c r="K215" t="s">
        <v>96</v>
      </c>
      <c r="L215" t="s">
        <v>1152</v>
      </c>
      <c r="M215" t="s">
        <v>42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43</v>
      </c>
      <c r="U215" t="s">
        <v>44</v>
      </c>
      <c r="W215" t="s">
        <v>1148</v>
      </c>
      <c r="X215" t="str">
        <v>15-05-24</v>
      </c>
      <c r="Y215" t="str">
        <v>21-05-24</v>
      </c>
      <c r="Z215" t="s">
        <v>1151</v>
      </c>
      <c r="AA215" t="str">
        <v>Isha Nair</v>
      </c>
      <c r="AB215" t="str">
        <f>TRIM(PROPER(F:F))</f>
        <v>Small Business</v>
      </c>
      <c r="AC215" t="str">
        <f>TRIM(PROPER(G:G))</f>
        <v>East</v>
      </c>
      <c r="AD215" t="str">
        <f>TRIM(PROPER(H:H))</f>
        <v>Bihar</v>
      </c>
      <c r="AE215" t="str">
        <f>TRIM(PROPER(I:I))</f>
        <v>Patna</v>
      </c>
      <c r="AF215" t="str">
        <f t="shared" si="4"/>
        <v>Technology</v>
      </c>
      <c r="AG215" t="str">
        <f t="shared" si="4"/>
        <v>Accessories</v>
      </c>
      <c r="AH215" t="str">
        <f t="shared" si="4"/>
        <v>Classic Accessories 840</v>
      </c>
      <c r="AI215" t="str">
        <f t="shared" si="4"/>
        <v>Second Class</v>
      </c>
      <c r="AJ215" s="3" t="str">
        <f t="shared" si="5"/>
        <v>anomaly</v>
      </c>
      <c r="AK215">
        <f>IFERROR(Y215-X215, "invalid date")</f>
        <v>6</v>
      </c>
      <c r="AL215" s="10">
        <v>0.2</v>
      </c>
      <c r="AM215" s="11">
        <v>13864.735999999999</v>
      </c>
      <c r="AN215" s="11">
        <v>2570.6759999999995</v>
      </c>
      <c r="AO215" s="10">
        <v>0.18541110339208763</v>
      </c>
      <c r="AP215" t="s">
        <v>4146</v>
      </c>
      <c r="AQ215" t="s">
        <v>4382</v>
      </c>
      <c r="AR215" t="s">
        <v>4124</v>
      </c>
      <c r="AS215" t="s">
        <v>4107</v>
      </c>
      <c r="AT215" t="s">
        <v>4115</v>
      </c>
      <c r="AU215">
        <v>6</v>
      </c>
      <c r="AV215" t="s">
        <v>4109</v>
      </c>
    </row>
    <row r="216" spans="1:48">
      <c r="A216" t="s">
        <v>1153</v>
      </c>
      <c r="B216" t="s">
        <v>1154</v>
      </c>
      <c r="C216" t="s">
        <v>1155</v>
      </c>
      <c r="D216" t="s">
        <v>1156</v>
      </c>
      <c r="E216" t="s">
        <v>157</v>
      </c>
      <c r="F216" t="s">
        <v>35</v>
      </c>
      <c r="G216" t="s">
        <v>36</v>
      </c>
      <c r="H216" t="s">
        <v>334</v>
      </c>
      <c r="I216" t="s">
        <v>335</v>
      </c>
      <c r="J216" t="s">
        <v>95</v>
      </c>
      <c r="K216" t="s">
        <v>96</v>
      </c>
      <c r="L216" t="s">
        <v>1157</v>
      </c>
      <c r="M216" t="s">
        <v>65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43</v>
      </c>
      <c r="U216" t="s">
        <v>44</v>
      </c>
      <c r="W216" t="s">
        <v>1153</v>
      </c>
      <c r="X216" t="str">
        <v>17-03-24</v>
      </c>
      <c r="Y216" t="str">
        <v>23-03-24</v>
      </c>
      <c r="Z216" t="s">
        <v>1156</v>
      </c>
      <c r="AA216" t="str">
        <v>Rahul Verma</v>
      </c>
      <c r="AB216" t="str">
        <f>TRIM(PROPER(F:F))</f>
        <v>Consumer</v>
      </c>
      <c r="AC216" t="str">
        <f>TRIM(PROPER(G:G))</f>
        <v>North</v>
      </c>
      <c r="AD216" t="str">
        <f>TRIM(PROPER(H:H))</f>
        <v>Haryana</v>
      </c>
      <c r="AE216" t="str">
        <f>TRIM(PROPER(I:I))</f>
        <v>Gurugram</v>
      </c>
      <c r="AF216" t="str">
        <f t="shared" si="4"/>
        <v>Technology</v>
      </c>
      <c r="AG216" t="str">
        <f t="shared" si="4"/>
        <v>Accessories</v>
      </c>
      <c r="AH216" t="str">
        <f t="shared" si="4"/>
        <v>Classic Accessories 757</v>
      </c>
      <c r="AI216" t="str">
        <f t="shared" si="4"/>
        <v>First Class</v>
      </c>
      <c r="AJ216" s="3" t="str">
        <f t="shared" si="5"/>
        <v>anomaly</v>
      </c>
      <c r="AK216">
        <f>IFERROR(Y216-X216, "invalid date")</f>
        <v>6</v>
      </c>
      <c r="AL216" s="10">
        <v>0.05</v>
      </c>
      <c r="AM216" s="11">
        <v>707.31299999999999</v>
      </c>
      <c r="AN216" s="11">
        <v>138.31299999999999</v>
      </c>
      <c r="AO216" s="10">
        <v>0.19554709159876885</v>
      </c>
      <c r="AP216" t="s">
        <v>4187</v>
      </c>
      <c r="AQ216" t="s">
        <v>4383</v>
      </c>
      <c r="AR216" t="s">
        <v>4159</v>
      </c>
      <c r="AS216" t="s">
        <v>4107</v>
      </c>
      <c r="AT216" t="s">
        <v>4115</v>
      </c>
      <c r="AU216">
        <v>6</v>
      </c>
      <c r="AV216" t="s">
        <v>4109</v>
      </c>
    </row>
    <row r="217" spans="1:48">
      <c r="A217" t="s">
        <v>1158</v>
      </c>
      <c r="B217" t="s">
        <v>1159</v>
      </c>
      <c r="C217" t="s">
        <v>217</v>
      </c>
      <c r="D217" t="s">
        <v>1160</v>
      </c>
      <c r="E217" t="s">
        <v>49</v>
      </c>
      <c r="F217" t="s">
        <v>35</v>
      </c>
      <c r="G217" t="s">
        <v>82</v>
      </c>
      <c r="H217" t="s">
        <v>93</v>
      </c>
      <c r="I217" t="s">
        <v>94</v>
      </c>
      <c r="J217" t="s">
        <v>39</v>
      </c>
      <c r="K217" t="s">
        <v>40</v>
      </c>
      <c r="L217" t="s">
        <v>1161</v>
      </c>
      <c r="M217" t="s">
        <v>65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43</v>
      </c>
      <c r="U217" t="s">
        <v>44</v>
      </c>
      <c r="W217" t="s">
        <v>1158</v>
      </c>
      <c r="X217" t="str">
        <v>01-03-24</v>
      </c>
      <c r="Y217" t="str">
        <v>04-03-24</v>
      </c>
      <c r="Z217" t="s">
        <v>1160</v>
      </c>
      <c r="AA217" t="str">
        <v>Mira Das</v>
      </c>
      <c r="AB217" t="str">
        <f>TRIM(PROPER(F:F))</f>
        <v>Consumer</v>
      </c>
      <c r="AC217" t="str">
        <f>TRIM(PROPER(G:G))</f>
        <v>West</v>
      </c>
      <c r="AD217" t="str">
        <f>TRIM(PROPER(H:H))</f>
        <v>Madhya Pradesh</v>
      </c>
      <c r="AE217" t="str">
        <f>TRIM(PROPER(I:I))</f>
        <v>Indore</v>
      </c>
      <c r="AF217" t="str">
        <f t="shared" si="4"/>
        <v>Office Supplies</v>
      </c>
      <c r="AG217" t="str">
        <f t="shared" si="4"/>
        <v>Paper</v>
      </c>
      <c r="AH217" t="str">
        <f t="shared" si="4"/>
        <v>Prime Paper 286</v>
      </c>
      <c r="AI217" t="str">
        <f t="shared" si="4"/>
        <v>First Class</v>
      </c>
      <c r="AJ217" s="3" t="str">
        <f t="shared" si="5"/>
        <v>anomaly</v>
      </c>
      <c r="AK217">
        <f>IFERROR(Y217-X217, "invalid date")</f>
        <v>3</v>
      </c>
      <c r="AL217" s="10">
        <v>0.25</v>
      </c>
      <c r="AM217" s="11">
        <v>19214.400000000001</v>
      </c>
      <c r="AN217" s="11">
        <v>8298.3900000000012</v>
      </c>
      <c r="AO217" s="10">
        <v>0.43188389957531853</v>
      </c>
      <c r="AP217" t="s">
        <v>4384</v>
      </c>
      <c r="AQ217" t="s">
        <v>4157</v>
      </c>
      <c r="AR217" t="s">
        <v>4159</v>
      </c>
      <c r="AS217" t="s">
        <v>4107</v>
      </c>
      <c r="AT217" t="s">
        <v>4115</v>
      </c>
      <c r="AU217">
        <v>3</v>
      </c>
      <c r="AV217" t="s">
        <v>4109</v>
      </c>
    </row>
    <row r="218" spans="1:48">
      <c r="A218" t="s">
        <v>1162</v>
      </c>
      <c r="B218" t="s">
        <v>99</v>
      </c>
      <c r="C218" t="s">
        <v>1163</v>
      </c>
      <c r="D218" t="s">
        <v>1164</v>
      </c>
      <c r="E218" t="s">
        <v>62</v>
      </c>
      <c r="F218" t="s">
        <v>35</v>
      </c>
      <c r="G218" t="s">
        <v>82</v>
      </c>
      <c r="H218" t="s">
        <v>245</v>
      </c>
      <c r="I218" t="s">
        <v>246</v>
      </c>
      <c r="J218" t="s">
        <v>54</v>
      </c>
      <c r="K218" t="s">
        <v>55</v>
      </c>
      <c r="L218" t="s">
        <v>1165</v>
      </c>
      <c r="M218" t="s">
        <v>76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210</v>
      </c>
      <c r="U218" t="s">
        <v>134</v>
      </c>
      <c r="W218" t="s">
        <v>1162</v>
      </c>
      <c r="X218" t="str">
        <v>04-10-25</v>
      </c>
      <c r="Y218" t="str">
        <v>15-04-25</v>
      </c>
      <c r="Z218" t="s">
        <v>1164</v>
      </c>
      <c r="AA218" t="str">
        <v>Isha Nair</v>
      </c>
      <c r="AB218" t="str">
        <f>TRIM(PROPER(F:F))</f>
        <v>Consumer</v>
      </c>
      <c r="AC218" t="str">
        <f>TRIM(PROPER(G:G))</f>
        <v>West</v>
      </c>
      <c r="AD218" t="str">
        <f>TRIM(PROPER(H:H))</f>
        <v>Gujarat</v>
      </c>
      <c r="AE218" t="str">
        <f>TRIM(PROPER(I:I))</f>
        <v>Ahmedabad</v>
      </c>
      <c r="AF218" t="str">
        <f t="shared" si="4"/>
        <v>Furniture</v>
      </c>
      <c r="AG218" t="str">
        <f t="shared" si="4"/>
        <v>Tables</v>
      </c>
      <c r="AH218" t="str">
        <f t="shared" si="4"/>
        <v>Basic Tables 400</v>
      </c>
      <c r="AI218" t="str">
        <f t="shared" si="4"/>
        <v>Standard Class</v>
      </c>
      <c r="AJ218" s="3" t="str">
        <f t="shared" si="5"/>
        <v>anomaly</v>
      </c>
      <c r="AK218">
        <f>IFERROR(Y218-X218, "invalid date")</f>
        <v>-172</v>
      </c>
      <c r="AL218" s="10">
        <v>0.25</v>
      </c>
      <c r="AM218" s="11">
        <v>11039.22</v>
      </c>
      <c r="AN218" s="11">
        <v>3396.3099999999995</v>
      </c>
      <c r="AO218" s="10">
        <v>0.30765851210502188</v>
      </c>
      <c r="AP218" t="s">
        <v>4125</v>
      </c>
      <c r="AQ218" t="s">
        <v>4385</v>
      </c>
      <c r="AR218" t="s">
        <v>4126</v>
      </c>
      <c r="AS218" t="s">
        <v>4120</v>
      </c>
      <c r="AT218" t="s">
        <v>4115</v>
      </c>
      <c r="AU218">
        <v>-172</v>
      </c>
      <c r="AV218" t="s">
        <v>4109</v>
      </c>
    </row>
    <row r="219" spans="1:48">
      <c r="A219" t="s">
        <v>1166</v>
      </c>
      <c r="B219" t="s">
        <v>1167</v>
      </c>
      <c r="C219" t="s">
        <v>1168</v>
      </c>
      <c r="D219" t="s">
        <v>1169</v>
      </c>
      <c r="E219" t="s">
        <v>116</v>
      </c>
      <c r="F219" t="s">
        <v>35</v>
      </c>
      <c r="G219" t="s">
        <v>51</v>
      </c>
      <c r="H219" t="s">
        <v>52</v>
      </c>
      <c r="I219" t="s">
        <v>53</v>
      </c>
      <c r="J219" t="s">
        <v>54</v>
      </c>
      <c r="K219" t="s">
        <v>214</v>
      </c>
      <c r="L219" t="s">
        <v>1170</v>
      </c>
      <c r="M219" t="s">
        <v>42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133</v>
      </c>
      <c r="U219" t="s">
        <v>87</v>
      </c>
      <c r="W219" t="s">
        <v>1166</v>
      </c>
      <c r="X219" t="str">
        <v>01-04-25</v>
      </c>
      <c r="Y219" t="str">
        <v>04-08-25</v>
      </c>
      <c r="Z219" t="s">
        <v>1169</v>
      </c>
      <c r="AA219" t="str">
        <v>Aditi Sen</v>
      </c>
      <c r="AB219" t="str">
        <f>TRIM(PROPER(F:F))</f>
        <v>Consumer</v>
      </c>
      <c r="AC219" t="str">
        <f>TRIM(PROPER(G:G))</f>
        <v>East</v>
      </c>
      <c r="AD219" t="str">
        <f>TRIM(PROPER(H:H))</f>
        <v>Odisha</v>
      </c>
      <c r="AE219" t="str">
        <f>TRIM(PROPER(I:I))</f>
        <v>Bhubaneswar</v>
      </c>
      <c r="AF219" t="str">
        <f t="shared" si="4"/>
        <v>Furniture</v>
      </c>
      <c r="AG219" t="str">
        <f t="shared" si="4"/>
        <v>Bookcases</v>
      </c>
      <c r="AH219" t="str">
        <f t="shared" si="4"/>
        <v>Basic Bookcases 405</v>
      </c>
      <c r="AI219" t="str">
        <f t="shared" si="4"/>
        <v>Second Class</v>
      </c>
      <c r="AJ219" s="3" t="str">
        <f t="shared" si="5"/>
        <v>anomaly</v>
      </c>
      <c r="AK219">
        <f>IFERROR(Y219-X219, "invalid date")</f>
        <v>125</v>
      </c>
      <c r="AL219" s="10">
        <v>0.1</v>
      </c>
      <c r="AM219" s="11">
        <v>4595.76</v>
      </c>
      <c r="AN219" s="11">
        <v>1198.96</v>
      </c>
      <c r="AO219" s="10">
        <v>0.26088394520166414</v>
      </c>
      <c r="AP219" t="s">
        <v>4386</v>
      </c>
      <c r="AQ219" t="s">
        <v>4387</v>
      </c>
      <c r="AR219" t="s">
        <v>4199</v>
      </c>
      <c r="AS219" t="s">
        <v>4120</v>
      </c>
      <c r="AT219" t="s">
        <v>4115</v>
      </c>
      <c r="AU219">
        <v>125</v>
      </c>
      <c r="AV219" t="s">
        <v>4109</v>
      </c>
    </row>
    <row r="220" spans="1:48">
      <c r="A220" t="s">
        <v>1171</v>
      </c>
      <c r="B220" t="s">
        <v>1172</v>
      </c>
      <c r="C220" t="s">
        <v>1173</v>
      </c>
      <c r="D220" t="s">
        <v>1174</v>
      </c>
      <c r="E220" t="s">
        <v>151</v>
      </c>
      <c r="F220" t="s">
        <v>117</v>
      </c>
      <c r="G220" t="s">
        <v>82</v>
      </c>
      <c r="H220" t="s">
        <v>245</v>
      </c>
      <c r="I220" t="s">
        <v>246</v>
      </c>
      <c r="J220" t="s">
        <v>54</v>
      </c>
      <c r="K220" t="s">
        <v>214</v>
      </c>
      <c r="L220" t="s">
        <v>1175</v>
      </c>
      <c r="M220" t="s">
        <v>76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43</v>
      </c>
      <c r="U220" t="s">
        <v>44</v>
      </c>
      <c r="W220" t="s">
        <v>1171</v>
      </c>
      <c r="X220" t="str">
        <v>26-02-25</v>
      </c>
      <c r="Y220" t="str">
        <v>27-02-25</v>
      </c>
      <c r="Z220" t="s">
        <v>1174</v>
      </c>
      <c r="AA220" t="str">
        <v>Priya Menon</v>
      </c>
      <c r="AB220" t="str">
        <f>TRIM(PROPER(F:F))</f>
        <v>Corporate</v>
      </c>
      <c r="AC220" t="str">
        <f>TRIM(PROPER(G:G))</f>
        <v>West</v>
      </c>
      <c r="AD220" t="str">
        <f>TRIM(PROPER(H:H))</f>
        <v>Gujarat</v>
      </c>
      <c r="AE220" t="str">
        <f>TRIM(PROPER(I:I))</f>
        <v>Ahmedabad</v>
      </c>
      <c r="AF220" t="str">
        <f t="shared" si="4"/>
        <v>Furniture</v>
      </c>
      <c r="AG220" t="str">
        <f t="shared" si="4"/>
        <v>Bookcases</v>
      </c>
      <c r="AH220" t="str">
        <f t="shared" si="4"/>
        <v>Classic Bookcases 139</v>
      </c>
      <c r="AI220" t="str">
        <f t="shared" si="4"/>
        <v>Standard Class</v>
      </c>
      <c r="AJ220" s="3" t="str">
        <f t="shared" si="5"/>
        <v>anomaly</v>
      </c>
      <c r="AK220">
        <f>IFERROR(Y220-X220, "invalid date")</f>
        <v>1</v>
      </c>
      <c r="AL220" s="10">
        <v>0</v>
      </c>
      <c r="AM220" s="11">
        <v>1291.3999999999999</v>
      </c>
      <c r="AN220" s="11">
        <v>534.46999999999991</v>
      </c>
      <c r="AO220" s="10">
        <v>0.41386866966083319</v>
      </c>
      <c r="AP220" t="s">
        <v>4128</v>
      </c>
      <c r="AQ220" t="s">
        <v>4388</v>
      </c>
      <c r="AR220" t="s">
        <v>4129</v>
      </c>
      <c r="AS220" t="s">
        <v>4120</v>
      </c>
      <c r="AT220" t="s">
        <v>4115</v>
      </c>
      <c r="AU220">
        <v>1</v>
      </c>
      <c r="AV220" t="s">
        <v>4109</v>
      </c>
    </row>
    <row r="221" spans="1:48">
      <c r="A221" t="s">
        <v>1176</v>
      </c>
      <c r="B221" t="s">
        <v>694</v>
      </c>
      <c r="C221" t="s">
        <v>1177</v>
      </c>
      <c r="D221" t="s">
        <v>1178</v>
      </c>
      <c r="E221" t="s">
        <v>157</v>
      </c>
      <c r="F221" t="s">
        <v>35</v>
      </c>
      <c r="G221" t="s">
        <v>51</v>
      </c>
      <c r="H221" t="s">
        <v>196</v>
      </c>
      <c r="I221" t="s">
        <v>197</v>
      </c>
      <c r="J221" t="s">
        <v>95</v>
      </c>
      <c r="K221" t="s">
        <v>393</v>
      </c>
      <c r="L221" t="s">
        <v>1179</v>
      </c>
      <c r="M221" t="s">
        <v>65</v>
      </c>
      <c r="N221">
        <v>2</v>
      </c>
      <c r="O221">
        <v>121.49</v>
      </c>
      <c r="P221" s="5" t="s">
        <v>191</v>
      </c>
      <c r="Q221">
        <v>242.98</v>
      </c>
      <c r="R221">
        <v>161.41999999999999</v>
      </c>
      <c r="S221">
        <v>81.56</v>
      </c>
      <c r="T221" t="s">
        <v>43</v>
      </c>
      <c r="U221" t="s">
        <v>44</v>
      </c>
      <c r="W221" t="s">
        <v>1176</v>
      </c>
      <c r="X221" t="str">
        <v>18-06-24</v>
      </c>
      <c r="Y221" t="str">
        <v>invalid date</v>
      </c>
      <c r="Z221" t="s">
        <v>1178</v>
      </c>
      <c r="AA221" t="str">
        <v>Rahul Verma</v>
      </c>
      <c r="AB221" t="str">
        <f>TRIM(PROPER(F:F))</f>
        <v>Consumer</v>
      </c>
      <c r="AC221" t="str">
        <f>TRIM(PROPER(G:G))</f>
        <v>East</v>
      </c>
      <c r="AD221" t="str">
        <f>TRIM(PROPER(H:H))</f>
        <v>Bihar</v>
      </c>
      <c r="AE221" t="str">
        <f>TRIM(PROPER(I:I))</f>
        <v>Patna</v>
      </c>
      <c r="AF221" t="str">
        <f t="shared" si="4"/>
        <v>Technology</v>
      </c>
      <c r="AG221" t="str">
        <f t="shared" si="4"/>
        <v>Machines</v>
      </c>
      <c r="AH221" t="str">
        <f t="shared" si="4"/>
        <v>Elite Machines 290</v>
      </c>
      <c r="AI221" t="str">
        <f t="shared" si="4"/>
        <v>First Class</v>
      </c>
      <c r="AJ221" s="3" t="str">
        <f t="shared" si="5"/>
        <v>Invalid</v>
      </c>
      <c r="AK221" t="str">
        <f>IFERROR(Y221-X221, "invalid date")</f>
        <v>invalid date</v>
      </c>
      <c r="AL221" s="10" t="s">
        <v>191</v>
      </c>
      <c r="AM221" s="11" t="s">
        <v>4111</v>
      </c>
      <c r="AN221" s="11" t="s">
        <v>4111</v>
      </c>
      <c r="AO221" s="10" t="s">
        <v>4111</v>
      </c>
      <c r="AP221" t="s">
        <v>4294</v>
      </c>
      <c r="AQ221" t="s">
        <v>4105</v>
      </c>
      <c r="AR221" t="s">
        <v>4170</v>
      </c>
      <c r="AS221" t="s">
        <v>4107</v>
      </c>
      <c r="AT221" t="s">
        <v>4108</v>
      </c>
      <c r="AU221" t="s">
        <v>4105</v>
      </c>
      <c r="AV221" t="s">
        <v>4109</v>
      </c>
    </row>
    <row r="222" spans="1:48">
      <c r="A222" t="s">
        <v>1180</v>
      </c>
      <c r="B222" t="s">
        <v>1181</v>
      </c>
      <c r="C222" t="s">
        <v>1181</v>
      </c>
      <c r="D222" t="s">
        <v>1182</v>
      </c>
      <c r="E222" t="s">
        <v>177</v>
      </c>
      <c r="F222" t="s">
        <v>35</v>
      </c>
      <c r="G222" t="s">
        <v>71</v>
      </c>
      <c r="H222" t="s">
        <v>252</v>
      </c>
      <c r="I222" t="s">
        <v>253</v>
      </c>
      <c r="J222" t="s">
        <v>39</v>
      </c>
      <c r="K222" t="s">
        <v>165</v>
      </c>
      <c r="L222" t="s">
        <v>1183</v>
      </c>
      <c r="M222" t="s">
        <v>65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133</v>
      </c>
      <c r="U222" t="s">
        <v>87</v>
      </c>
      <c r="W222" t="s">
        <v>1180</v>
      </c>
      <c r="X222" t="str">
        <v>09-03-24</v>
      </c>
      <c r="Y222" t="str">
        <v>09-03-24</v>
      </c>
      <c r="Z222" t="s">
        <v>1182</v>
      </c>
      <c r="AA222" t="str">
        <v>Sneha Kapoor</v>
      </c>
      <c r="AB222" t="str">
        <f>TRIM(PROPER(F:F))</f>
        <v>Consumer</v>
      </c>
      <c r="AC222" t="str">
        <f>TRIM(PROPER(G:G))</f>
        <v>South</v>
      </c>
      <c r="AD222" t="str">
        <f>TRIM(PROPER(H:H))</f>
        <v>Kerala</v>
      </c>
      <c r="AE222" t="str">
        <f>TRIM(PROPER(I:I))</f>
        <v>Kochi</v>
      </c>
      <c r="AF222" t="str">
        <f t="shared" si="4"/>
        <v>Office Supplies</v>
      </c>
      <c r="AG222" t="str">
        <f t="shared" si="4"/>
        <v>Storage</v>
      </c>
      <c r="AH222" t="str">
        <f t="shared" si="4"/>
        <v>Elite Storage 925</v>
      </c>
      <c r="AI222" t="str">
        <f t="shared" si="4"/>
        <v>First Class</v>
      </c>
      <c r="AJ222" s="3" t="str">
        <f t="shared" si="5"/>
        <v xml:space="preserve">  </v>
      </c>
      <c r="AK222">
        <f>IFERROR(Y222-X222, "invalid date")</f>
        <v>0</v>
      </c>
      <c r="AL222" s="10">
        <v>0.15</v>
      </c>
      <c r="AM222" s="11">
        <v>9554.5779999999995</v>
      </c>
      <c r="AN222" s="11">
        <v>3486.1079999999993</v>
      </c>
      <c r="AO222" s="10">
        <v>0.36486258210462036</v>
      </c>
      <c r="AP222" t="s">
        <v>4336</v>
      </c>
      <c r="AQ222" t="s">
        <v>4336</v>
      </c>
      <c r="AR222" t="s">
        <v>4159</v>
      </c>
      <c r="AS222" t="s">
        <v>4107</v>
      </c>
      <c r="AT222" t="s">
        <v>4115</v>
      </c>
      <c r="AU222">
        <v>0</v>
      </c>
      <c r="AV222" t="s">
        <v>4109</v>
      </c>
    </row>
    <row r="223" spans="1:48">
      <c r="A223" t="s">
        <v>1184</v>
      </c>
      <c r="B223" t="s">
        <v>1185</v>
      </c>
      <c r="C223" t="s">
        <v>1186</v>
      </c>
      <c r="D223" t="s">
        <v>1187</v>
      </c>
      <c r="E223" t="s">
        <v>49</v>
      </c>
      <c r="F223" t="s">
        <v>117</v>
      </c>
      <c r="G223" t="s">
        <v>71</v>
      </c>
      <c r="H223" t="s">
        <v>239</v>
      </c>
      <c r="I223" t="s">
        <v>240</v>
      </c>
      <c r="J223" t="s">
        <v>54</v>
      </c>
      <c r="K223" t="s">
        <v>85</v>
      </c>
      <c r="L223" t="s">
        <v>1188</v>
      </c>
      <c r="M223" t="s">
        <v>57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43</v>
      </c>
      <c r="U223" t="s">
        <v>44</v>
      </c>
      <c r="W223" t="s">
        <v>1184</v>
      </c>
      <c r="X223" t="str">
        <v>12-01-25</v>
      </c>
      <c r="Y223" t="str">
        <v>15-01-25</v>
      </c>
      <c r="Z223" t="s">
        <v>1187</v>
      </c>
      <c r="AA223" t="str">
        <v>Mira Das</v>
      </c>
      <c r="AB223" t="str">
        <f>TRIM(PROPER(F:F))</f>
        <v>Corporate</v>
      </c>
      <c r="AC223" t="str">
        <f>TRIM(PROPER(G:G))</f>
        <v>South</v>
      </c>
      <c r="AD223" t="str">
        <f>TRIM(PROPER(H:H))</f>
        <v>Karnataka</v>
      </c>
      <c r="AE223" t="str">
        <f>TRIM(PROPER(I:I))</f>
        <v>Bengaluru</v>
      </c>
      <c r="AF223" t="str">
        <f t="shared" si="4"/>
        <v>Furniture</v>
      </c>
      <c r="AG223" t="str">
        <f t="shared" si="4"/>
        <v>Chairs</v>
      </c>
      <c r="AH223" t="str">
        <f t="shared" si="4"/>
        <v>Classic Chairs 231</v>
      </c>
      <c r="AI223" t="str">
        <f t="shared" si="4"/>
        <v>Same Day</v>
      </c>
      <c r="AJ223" s="3" t="str">
        <f t="shared" si="5"/>
        <v>anomaly</v>
      </c>
      <c r="AK223">
        <f>IFERROR(Y223-X223, "invalid date")</f>
        <v>3</v>
      </c>
      <c r="AL223" s="10">
        <v>0.2</v>
      </c>
      <c r="AM223" s="11">
        <v>4900.8959999999997</v>
      </c>
      <c r="AN223" s="11">
        <v>1348.2059999999997</v>
      </c>
      <c r="AO223" s="10">
        <v>0.27509377877024932</v>
      </c>
      <c r="AP223" t="s">
        <v>4389</v>
      </c>
      <c r="AQ223" t="s">
        <v>4390</v>
      </c>
      <c r="AR223" t="s">
        <v>4153</v>
      </c>
      <c r="AS223" t="s">
        <v>4120</v>
      </c>
      <c r="AT223" t="s">
        <v>4115</v>
      </c>
      <c r="AU223">
        <v>3</v>
      </c>
      <c r="AV223" t="s">
        <v>4109</v>
      </c>
    </row>
    <row r="224" spans="1:48">
      <c r="A224" t="s">
        <v>1189</v>
      </c>
      <c r="B224" t="s">
        <v>1190</v>
      </c>
      <c r="C224" t="s">
        <v>1023</v>
      </c>
      <c r="D224" t="s">
        <v>1191</v>
      </c>
      <c r="E224" t="s">
        <v>92</v>
      </c>
      <c r="F224" t="s">
        <v>50</v>
      </c>
      <c r="G224" t="s">
        <v>82</v>
      </c>
      <c r="H224" t="s">
        <v>259</v>
      </c>
      <c r="I224" t="s">
        <v>260</v>
      </c>
      <c r="J224" t="s">
        <v>39</v>
      </c>
      <c r="K224" t="s">
        <v>165</v>
      </c>
      <c r="L224" t="s">
        <v>1192</v>
      </c>
      <c r="M224" t="s">
        <v>65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43</v>
      </c>
      <c r="U224" t="s">
        <v>44</v>
      </c>
      <c r="W224" t="s">
        <v>1189</v>
      </c>
      <c r="X224" t="str">
        <v>invalid date</v>
      </c>
      <c r="Y224" t="str">
        <v>02-05-25</v>
      </c>
      <c r="Z224" t="s">
        <v>1191</v>
      </c>
      <c r="AA224" t="str">
        <v>Vikram Iyer</v>
      </c>
      <c r="AB224" t="str">
        <f>TRIM(PROPER(F:F))</f>
        <v>Small Business</v>
      </c>
      <c r="AC224" t="str">
        <f>TRIM(PROPER(G:G))</f>
        <v>West</v>
      </c>
      <c r="AD224" t="str">
        <f>TRIM(PROPER(H:H))</f>
        <v>Goa</v>
      </c>
      <c r="AE224" t="str">
        <f>TRIM(PROPER(I:I))</f>
        <v>Panaji</v>
      </c>
      <c r="AF224" t="str">
        <f t="shared" si="4"/>
        <v>Office Supplies</v>
      </c>
      <c r="AG224" t="str">
        <f t="shared" si="4"/>
        <v>Storage</v>
      </c>
      <c r="AH224" t="str">
        <f t="shared" si="4"/>
        <v>Prime Storage 818</v>
      </c>
      <c r="AI224" t="str">
        <f t="shared" si="4"/>
        <v>First Class</v>
      </c>
      <c r="AJ224" s="3" t="str">
        <f t="shared" si="5"/>
        <v>Invalid</v>
      </c>
      <c r="AK224" t="str">
        <f>IFERROR(Y224-X224, "invalid date")</f>
        <v>invalid date</v>
      </c>
      <c r="AL224" s="10">
        <v>0</v>
      </c>
      <c r="AM224" s="11">
        <v>25848.54</v>
      </c>
      <c r="AN224" s="11">
        <v>8119.4500000000007</v>
      </c>
      <c r="AO224" s="10">
        <v>0.31411638723115504</v>
      </c>
      <c r="AP224" t="s">
        <v>4105</v>
      </c>
      <c r="AQ224" t="s">
        <v>4356</v>
      </c>
      <c r="AR224" t="s">
        <v>4105</v>
      </c>
      <c r="AS224" t="s">
        <v>4105</v>
      </c>
      <c r="AT224" t="s">
        <v>4108</v>
      </c>
      <c r="AU224" t="s">
        <v>4105</v>
      </c>
      <c r="AV224" t="s">
        <v>4109</v>
      </c>
    </row>
    <row r="225" spans="1:48">
      <c r="A225" t="s">
        <v>1193</v>
      </c>
      <c r="B225" t="s">
        <v>1194</v>
      </c>
      <c r="C225" t="s">
        <v>1195</v>
      </c>
      <c r="D225" t="s">
        <v>1196</v>
      </c>
      <c r="E225" t="s">
        <v>49</v>
      </c>
      <c r="F225" t="s">
        <v>117</v>
      </c>
      <c r="G225" t="s">
        <v>82</v>
      </c>
      <c r="H225" t="s">
        <v>83</v>
      </c>
      <c r="I225" t="s">
        <v>84</v>
      </c>
      <c r="J225" t="s">
        <v>54</v>
      </c>
      <c r="K225" t="s">
        <v>74</v>
      </c>
      <c r="L225" t="s">
        <v>1197</v>
      </c>
      <c r="M225" t="s">
        <v>65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146</v>
      </c>
      <c r="U225" t="s">
        <v>134</v>
      </c>
      <c r="W225" t="s">
        <v>1193</v>
      </c>
      <c r="X225" t="str">
        <v>19-02-25</v>
      </c>
      <c r="Y225" t="str">
        <v>invalid date</v>
      </c>
      <c r="Z225" t="s">
        <v>1196</v>
      </c>
      <c r="AA225" t="str">
        <v>Mira Das</v>
      </c>
      <c r="AB225" t="str">
        <f>TRIM(PROPER(F:F))</f>
        <v>Corporate</v>
      </c>
      <c r="AC225" t="str">
        <f>TRIM(PROPER(G:G))</f>
        <v>West</v>
      </c>
      <c r="AD225" t="str">
        <f>TRIM(PROPER(H:H))</f>
        <v>Maharashtra</v>
      </c>
      <c r="AE225" t="str">
        <f>TRIM(PROPER(I:I))</f>
        <v>Mumbai</v>
      </c>
      <c r="AF225" t="str">
        <f t="shared" si="4"/>
        <v>Furniture</v>
      </c>
      <c r="AG225" t="str">
        <f t="shared" si="4"/>
        <v>Furnishings</v>
      </c>
      <c r="AH225" t="str">
        <f t="shared" si="4"/>
        <v>Elite Furnishings 449</v>
      </c>
      <c r="AI225" t="str">
        <f t="shared" si="4"/>
        <v>First Class</v>
      </c>
      <c r="AJ225" s="3" t="str">
        <f t="shared" si="5"/>
        <v>Invalid</v>
      </c>
      <c r="AK225" t="str">
        <f>IFERROR(Y225-X225, "invalid date")</f>
        <v>invalid date</v>
      </c>
      <c r="AL225" s="10">
        <v>0.2</v>
      </c>
      <c r="AM225" s="11">
        <v>1176.72</v>
      </c>
      <c r="AN225" s="11">
        <v>522.39</v>
      </c>
      <c r="AO225" s="10">
        <v>0.44393738527432181</v>
      </c>
      <c r="AP225" t="s">
        <v>4291</v>
      </c>
      <c r="AQ225" t="s">
        <v>4105</v>
      </c>
      <c r="AR225" t="s">
        <v>4129</v>
      </c>
      <c r="AS225" t="s">
        <v>4120</v>
      </c>
      <c r="AT225" t="s">
        <v>4108</v>
      </c>
      <c r="AU225" t="s">
        <v>4105</v>
      </c>
      <c r="AV225" t="s">
        <v>4109</v>
      </c>
    </row>
    <row r="226" spans="1:48">
      <c r="A226" t="s">
        <v>1198</v>
      </c>
      <c r="B226" t="s">
        <v>1199</v>
      </c>
      <c r="C226" t="s">
        <v>1200</v>
      </c>
      <c r="D226" t="s">
        <v>1201</v>
      </c>
      <c r="E226" t="s">
        <v>62</v>
      </c>
      <c r="F226" t="s">
        <v>50</v>
      </c>
      <c r="G226" t="s">
        <v>36</v>
      </c>
      <c r="H226" t="s">
        <v>163</v>
      </c>
      <c r="I226" t="s">
        <v>164</v>
      </c>
      <c r="J226" t="s">
        <v>54</v>
      </c>
      <c r="K226" t="s">
        <v>74</v>
      </c>
      <c r="L226" t="s">
        <v>1202</v>
      </c>
      <c r="M226" t="s">
        <v>76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43</v>
      </c>
      <c r="U226" t="s">
        <v>87</v>
      </c>
      <c r="W226" t="s">
        <v>1198</v>
      </c>
      <c r="X226" t="str">
        <v>10-02-25</v>
      </c>
      <c r="Y226" t="str">
        <v>08-10-25</v>
      </c>
      <c r="Z226" t="s">
        <v>1201</v>
      </c>
      <c r="AA226" t="str">
        <v>Isha Nair</v>
      </c>
      <c r="AB226" t="str">
        <f>TRIM(PROPER(F:F))</f>
        <v>Small Business</v>
      </c>
      <c r="AC226" t="str">
        <f>TRIM(PROPER(G:G))</f>
        <v>North</v>
      </c>
      <c r="AD226" t="str">
        <f>TRIM(PROPER(H:H))</f>
        <v>Punjab</v>
      </c>
      <c r="AE226" t="str">
        <f>TRIM(PROPER(I:I))</f>
        <v>Ludhiana</v>
      </c>
      <c r="AF226" t="str">
        <f t="shared" si="4"/>
        <v>Furniture</v>
      </c>
      <c r="AG226" t="str">
        <f t="shared" si="4"/>
        <v>Furnishings</v>
      </c>
      <c r="AH226" t="str">
        <f t="shared" si="4"/>
        <v>Classic Furnishings 109</v>
      </c>
      <c r="AI226" t="str">
        <f t="shared" si="4"/>
        <v>Standard Class</v>
      </c>
      <c r="AJ226" s="3" t="str">
        <f t="shared" si="5"/>
        <v xml:space="preserve">  </v>
      </c>
      <c r="AK226">
        <f>IFERROR(Y226-X226, "invalid date")</f>
        <v>240</v>
      </c>
      <c r="AL226" s="10">
        <v>0.25</v>
      </c>
      <c r="AM226" s="11">
        <v>11833.92</v>
      </c>
      <c r="AN226" s="11">
        <v>5151</v>
      </c>
      <c r="AO226" s="10">
        <v>0.43527419485681834</v>
      </c>
      <c r="AP226" t="s">
        <v>4391</v>
      </c>
      <c r="AQ226" t="s">
        <v>4333</v>
      </c>
      <c r="AR226" t="s">
        <v>4129</v>
      </c>
      <c r="AS226" t="s">
        <v>4120</v>
      </c>
      <c r="AT226" t="s">
        <v>4121</v>
      </c>
      <c r="AU226">
        <v>240</v>
      </c>
      <c r="AV226" t="s">
        <v>4109</v>
      </c>
    </row>
    <row r="227" spans="1:48">
      <c r="A227" t="s">
        <v>1203</v>
      </c>
      <c r="B227" t="s">
        <v>1204</v>
      </c>
      <c r="C227" t="s">
        <v>1205</v>
      </c>
      <c r="D227" t="s">
        <v>1206</v>
      </c>
      <c r="E227" t="s">
        <v>49</v>
      </c>
      <c r="F227" t="s">
        <v>117</v>
      </c>
      <c r="G227" t="s">
        <v>82</v>
      </c>
      <c r="H227" t="s">
        <v>259</v>
      </c>
      <c r="I227" t="s">
        <v>260</v>
      </c>
      <c r="J227" t="s">
        <v>95</v>
      </c>
      <c r="K227" t="s">
        <v>233</v>
      </c>
      <c r="L227" t="s">
        <v>1207</v>
      </c>
      <c r="M227" t="s">
        <v>76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43</v>
      </c>
      <c r="U227" t="s">
        <v>44</v>
      </c>
      <c r="W227" t="s">
        <v>1203</v>
      </c>
      <c r="X227" t="str">
        <v>02-09-24</v>
      </c>
      <c r="Y227" t="str">
        <v>10-09-24</v>
      </c>
      <c r="Z227" t="s">
        <v>1206</v>
      </c>
      <c r="AA227" t="str">
        <v>Mira Das</v>
      </c>
      <c r="AB227" t="str">
        <f>TRIM(PROPER(F:F))</f>
        <v>Corporate</v>
      </c>
      <c r="AC227" t="str">
        <f>TRIM(PROPER(G:G))</f>
        <v>West</v>
      </c>
      <c r="AD227" t="str">
        <f>TRIM(PROPER(H:H))</f>
        <v>Goa</v>
      </c>
      <c r="AE227" t="str">
        <f>TRIM(PROPER(I:I))</f>
        <v>Panaji</v>
      </c>
      <c r="AF227" t="str">
        <f t="shared" si="4"/>
        <v>Technology</v>
      </c>
      <c r="AG227" t="str">
        <f t="shared" si="4"/>
        <v>Phones</v>
      </c>
      <c r="AH227" t="str">
        <f t="shared" si="4"/>
        <v>Classic Phones 548</v>
      </c>
      <c r="AI227" t="str">
        <f t="shared" si="4"/>
        <v>Standard Class</v>
      </c>
      <c r="AJ227" s="3" t="str">
        <f t="shared" si="5"/>
        <v>anomaly</v>
      </c>
      <c r="AK227">
        <f>IFERROR(Y227-X227, "invalid date")</f>
        <v>8</v>
      </c>
      <c r="AL227" s="10">
        <v>0.15</v>
      </c>
      <c r="AM227" s="11">
        <v>5265.5969999999998</v>
      </c>
      <c r="AN227" s="11">
        <v>972.48700000000008</v>
      </c>
      <c r="AO227" s="10">
        <v>0.18468694053114967</v>
      </c>
      <c r="AP227" t="s">
        <v>4392</v>
      </c>
      <c r="AQ227" t="s">
        <v>4393</v>
      </c>
      <c r="AR227" t="s">
        <v>4134</v>
      </c>
      <c r="AS227" t="s">
        <v>4107</v>
      </c>
      <c r="AT227" t="s">
        <v>4115</v>
      </c>
      <c r="AU227">
        <v>8</v>
      </c>
      <c r="AV227" t="s">
        <v>4109</v>
      </c>
    </row>
    <row r="228" spans="1:48">
      <c r="A228" t="s">
        <v>1208</v>
      </c>
      <c r="B228" t="s">
        <v>1209</v>
      </c>
      <c r="C228" t="s">
        <v>1163</v>
      </c>
      <c r="D228" t="s">
        <v>1210</v>
      </c>
      <c r="E228" t="s">
        <v>220</v>
      </c>
      <c r="F228" t="s">
        <v>124</v>
      </c>
      <c r="H228" t="s">
        <v>252</v>
      </c>
      <c r="I228" t="s">
        <v>253</v>
      </c>
      <c r="J228" t="s">
        <v>95</v>
      </c>
      <c r="K228" t="s">
        <v>103</v>
      </c>
      <c r="L228" t="s">
        <v>1211</v>
      </c>
      <c r="M228" t="s">
        <v>57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43</v>
      </c>
      <c r="U228" t="s">
        <v>44</v>
      </c>
      <c r="W228" t="s">
        <v>1208</v>
      </c>
      <c r="X228" t="str">
        <v>10-04-25</v>
      </c>
      <c r="Y228" t="str">
        <v>15-04-25</v>
      </c>
      <c r="Z228" t="s">
        <v>1210</v>
      </c>
      <c r="AA228" t="str">
        <v>Diya Patel</v>
      </c>
      <c r="AB228" t="str">
        <f>TRIM(PROPER(F:F))</f>
        <v>Home Office</v>
      </c>
      <c r="AC228" s="4" t="s">
        <v>282</v>
      </c>
      <c r="AD228" t="str">
        <f>TRIM(PROPER(H:H))</f>
        <v>Kerala</v>
      </c>
      <c r="AE228" t="str">
        <f>TRIM(PROPER(I:I))</f>
        <v>Kochi</v>
      </c>
      <c r="AF228" t="str">
        <f t="shared" si="4"/>
        <v>Technology</v>
      </c>
      <c r="AG228" t="str">
        <f t="shared" si="4"/>
        <v>Copiers</v>
      </c>
      <c r="AH228" t="str">
        <f t="shared" si="4"/>
        <v>Max Copiers 363</v>
      </c>
      <c r="AI228" t="str">
        <f t="shared" si="4"/>
        <v>Same Day</v>
      </c>
      <c r="AJ228" s="3" t="str">
        <f t="shared" si="5"/>
        <v>anomaly</v>
      </c>
      <c r="AK228">
        <f>IFERROR(Y228-X228, "invalid date")</f>
        <v>5</v>
      </c>
      <c r="AL228" s="10">
        <v>0.1</v>
      </c>
      <c r="AM228" s="11">
        <v>1987.443</v>
      </c>
      <c r="AN228" s="11">
        <v>877.21299999999997</v>
      </c>
      <c r="AO228" s="10">
        <v>0.44137768982556985</v>
      </c>
      <c r="AP228" t="s">
        <v>4394</v>
      </c>
      <c r="AQ228" t="s">
        <v>4385</v>
      </c>
      <c r="AR228" t="s">
        <v>4199</v>
      </c>
      <c r="AS228" t="s">
        <v>4120</v>
      </c>
      <c r="AT228" t="s">
        <v>4115</v>
      </c>
      <c r="AU228">
        <v>5</v>
      </c>
      <c r="AV228" t="s">
        <v>4109</v>
      </c>
    </row>
    <row r="229" spans="1:48">
      <c r="A229" t="s">
        <v>1212</v>
      </c>
      <c r="B229" t="s">
        <v>1213</v>
      </c>
      <c r="C229" t="s">
        <v>1214</v>
      </c>
      <c r="D229" t="s">
        <v>1215</v>
      </c>
      <c r="E229" t="s">
        <v>81</v>
      </c>
      <c r="F229" t="s">
        <v>1216</v>
      </c>
      <c r="G229" t="s">
        <v>82</v>
      </c>
      <c r="H229" t="s">
        <v>259</v>
      </c>
      <c r="I229" t="s">
        <v>260</v>
      </c>
      <c r="J229" t="s">
        <v>39</v>
      </c>
      <c r="K229" t="s">
        <v>208</v>
      </c>
      <c r="L229" t="s">
        <v>1217</v>
      </c>
      <c r="M229" t="s">
        <v>65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43</v>
      </c>
      <c r="U229" t="s">
        <v>44</v>
      </c>
      <c r="W229" t="s">
        <v>1212</v>
      </c>
      <c r="X229" t="str">
        <v>05-07-24</v>
      </c>
      <c r="Y229" t="str">
        <v>12-07-24</v>
      </c>
      <c r="Z229" t="s">
        <v>1215</v>
      </c>
      <c r="AA229" t="str">
        <v>Ananya Rao</v>
      </c>
      <c r="AB229" t="str">
        <f>TRIM(PROPER(F:F))</f>
        <v>Small Business</v>
      </c>
      <c r="AC229" t="str">
        <f>TRIM(PROPER(G:G))</f>
        <v>West</v>
      </c>
      <c r="AD229" t="str">
        <f>TRIM(PROPER(H:H))</f>
        <v>Goa</v>
      </c>
      <c r="AE229" t="str">
        <f>TRIM(PROPER(I:I))</f>
        <v>Panaji</v>
      </c>
      <c r="AF229" t="str">
        <f t="shared" si="4"/>
        <v>Office Supplies</v>
      </c>
      <c r="AG229" t="str">
        <f t="shared" si="4"/>
        <v>Binders</v>
      </c>
      <c r="AH229" t="str">
        <f t="shared" si="4"/>
        <v>Prime Binders 507</v>
      </c>
      <c r="AI229" t="str">
        <f t="shared" si="4"/>
        <v>First Class</v>
      </c>
      <c r="AJ229" s="3" t="str">
        <f t="shared" si="5"/>
        <v>anomaly</v>
      </c>
      <c r="AK229">
        <f>IFERROR(Y229-X229, "invalid date")</f>
        <v>7</v>
      </c>
      <c r="AL229" s="10">
        <v>0.15</v>
      </c>
      <c r="AM229" s="11">
        <v>1473.2625</v>
      </c>
      <c r="AN229" s="11">
        <v>573.40250000000003</v>
      </c>
      <c r="AO229" s="10">
        <v>0.38920592901808065</v>
      </c>
      <c r="AP229" t="s">
        <v>4395</v>
      </c>
      <c r="AQ229" t="s">
        <v>4396</v>
      </c>
      <c r="AR229" t="s">
        <v>4106</v>
      </c>
      <c r="AS229" t="s">
        <v>4107</v>
      </c>
      <c r="AT229" t="s">
        <v>4115</v>
      </c>
      <c r="AU229">
        <v>7</v>
      </c>
      <c r="AV229" t="s">
        <v>4109</v>
      </c>
    </row>
    <row r="230" spans="1:48">
      <c r="A230" t="s">
        <v>1218</v>
      </c>
      <c r="B230" t="s">
        <v>1219</v>
      </c>
      <c r="C230" t="s">
        <v>1220</v>
      </c>
      <c r="D230" t="s">
        <v>1221</v>
      </c>
      <c r="E230" t="s">
        <v>34</v>
      </c>
      <c r="F230" t="s">
        <v>50</v>
      </c>
      <c r="G230" t="s">
        <v>71</v>
      </c>
      <c r="H230" t="s">
        <v>72</v>
      </c>
      <c r="I230" t="s">
        <v>73</v>
      </c>
      <c r="J230" t="s">
        <v>39</v>
      </c>
      <c r="K230" t="s">
        <v>118</v>
      </c>
      <c r="L230" t="s">
        <v>1222</v>
      </c>
      <c r="M230" t="s">
        <v>42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43</v>
      </c>
      <c r="U230" t="s">
        <v>44</v>
      </c>
      <c r="W230" t="s">
        <v>1218</v>
      </c>
      <c r="X230" t="str">
        <v>24-04-24</v>
      </c>
      <c r="Y230" t="str">
        <v>28-04-24</v>
      </c>
      <c r="Z230" t="s">
        <v>1221</v>
      </c>
      <c r="AA230" t="str">
        <v>Karan Malhotra</v>
      </c>
      <c r="AB230" t="str">
        <f>TRIM(PROPER(F:F))</f>
        <v>Small Business</v>
      </c>
      <c r="AC230" t="str">
        <f>TRIM(PROPER(G:G))</f>
        <v>South</v>
      </c>
      <c r="AD230" t="str">
        <f>TRIM(PROPER(H:H))</f>
        <v>Telangana</v>
      </c>
      <c r="AE230" t="str">
        <f>TRIM(PROPER(I:I))</f>
        <v>Hyderabad</v>
      </c>
      <c r="AF230" t="str">
        <f>TRIM(PROPER(J:J))</f>
        <v>Office Supplies</v>
      </c>
      <c r="AG230" t="str">
        <f>TRIM(PROPER(K:K))</f>
        <v>Labels</v>
      </c>
      <c r="AH230" t="str">
        <f t="shared" ref="AH230:AI293" si="6">TRIM(PROPER(L:L))</f>
        <v>Smart Labels 914</v>
      </c>
      <c r="AI230" t="str">
        <f t="shared" si="6"/>
        <v>Second Class</v>
      </c>
      <c r="AJ230" s="3" t="str">
        <f t="shared" si="5"/>
        <v>anomaly</v>
      </c>
      <c r="AK230">
        <f>IFERROR(Y230-X230, "invalid date")</f>
        <v>4</v>
      </c>
      <c r="AL230" s="10">
        <v>0.15</v>
      </c>
      <c r="AM230" s="11">
        <v>2715.2145</v>
      </c>
      <c r="AN230" s="11">
        <v>1163.6645000000001</v>
      </c>
      <c r="AO230" s="10">
        <v>0.42857184948003191</v>
      </c>
      <c r="AP230" t="s">
        <v>4202</v>
      </c>
      <c r="AQ230" t="s">
        <v>4397</v>
      </c>
      <c r="AR230" t="s">
        <v>4199</v>
      </c>
      <c r="AS230" t="s">
        <v>4107</v>
      </c>
      <c r="AT230" t="s">
        <v>4115</v>
      </c>
      <c r="AU230">
        <v>4</v>
      </c>
      <c r="AV230" t="s">
        <v>4109</v>
      </c>
    </row>
    <row r="231" spans="1:48">
      <c r="A231" t="s">
        <v>1223</v>
      </c>
      <c r="B231" t="s">
        <v>1224</v>
      </c>
      <c r="C231" t="s">
        <v>1225</v>
      </c>
      <c r="D231" t="s">
        <v>1226</v>
      </c>
      <c r="E231" t="s">
        <v>189</v>
      </c>
      <c r="F231" t="s">
        <v>35</v>
      </c>
      <c r="G231" t="s">
        <v>71</v>
      </c>
      <c r="H231" t="s">
        <v>72</v>
      </c>
      <c r="I231" t="s">
        <v>73</v>
      </c>
      <c r="J231" t="s">
        <v>54</v>
      </c>
      <c r="K231" t="s">
        <v>214</v>
      </c>
      <c r="L231" t="s">
        <v>1227</v>
      </c>
      <c r="M231" t="s">
        <v>65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133</v>
      </c>
      <c r="U231" t="s">
        <v>134</v>
      </c>
      <c r="W231" t="s">
        <v>1223</v>
      </c>
      <c r="X231" t="str">
        <v>28-06-25</v>
      </c>
      <c r="Y231" t="str">
        <v>07-04-25</v>
      </c>
      <c r="Z231" t="s">
        <v>1226</v>
      </c>
      <c r="AA231" t="str">
        <v>Rohan Mehta</v>
      </c>
      <c r="AB231" t="str">
        <f>TRIM(PROPER(F:F))</f>
        <v>Consumer</v>
      </c>
      <c r="AC231" t="str">
        <f>TRIM(PROPER(G:G))</f>
        <v>South</v>
      </c>
      <c r="AD231" t="str">
        <f>TRIM(PROPER(H:H))</f>
        <v>Telangana</v>
      </c>
      <c r="AE231" t="str">
        <f>TRIM(PROPER(I:I))</f>
        <v>Hyderabad</v>
      </c>
      <c r="AF231" t="str">
        <f>TRIM(PROPER(J:J))</f>
        <v>Furniture</v>
      </c>
      <c r="AG231" t="str">
        <f>TRIM(PROPER(K:K))</f>
        <v>Bookcases</v>
      </c>
      <c r="AH231" t="str">
        <f t="shared" si="6"/>
        <v>Smart Bookcases 662</v>
      </c>
      <c r="AI231" t="str">
        <f t="shared" si="6"/>
        <v>First Class</v>
      </c>
      <c r="AJ231" s="3" t="str">
        <f t="shared" si="5"/>
        <v xml:space="preserve">  </v>
      </c>
      <c r="AK231">
        <f>IFERROR(Y231-X231, "invalid date")</f>
        <v>-82</v>
      </c>
      <c r="AL231" s="10">
        <v>0</v>
      </c>
      <c r="AM231" s="11">
        <v>8658.69</v>
      </c>
      <c r="AN231" s="11">
        <v>3122.7500000000009</v>
      </c>
      <c r="AO231" s="10">
        <v>0.36064924370776652</v>
      </c>
      <c r="AP231" t="s">
        <v>4398</v>
      </c>
      <c r="AQ231" t="s">
        <v>4368</v>
      </c>
      <c r="AR231" t="s">
        <v>4170</v>
      </c>
      <c r="AS231" t="s">
        <v>4120</v>
      </c>
      <c r="AT231" t="s">
        <v>4121</v>
      </c>
      <c r="AU231">
        <v>-82</v>
      </c>
      <c r="AV231" t="s">
        <v>4109</v>
      </c>
    </row>
    <row r="232" spans="1:48">
      <c r="A232" t="s">
        <v>1228</v>
      </c>
      <c r="B232" t="s">
        <v>90</v>
      </c>
      <c r="C232" t="s">
        <v>1229</v>
      </c>
      <c r="D232" t="s">
        <v>1230</v>
      </c>
      <c r="E232" t="s">
        <v>102</v>
      </c>
      <c r="F232" t="s">
        <v>50</v>
      </c>
      <c r="G232" t="s">
        <v>36</v>
      </c>
      <c r="H232" t="s">
        <v>37</v>
      </c>
      <c r="I232" t="s">
        <v>38</v>
      </c>
      <c r="J232" t="s">
        <v>39</v>
      </c>
      <c r="K232" t="s">
        <v>40</v>
      </c>
      <c r="L232" t="s">
        <v>1231</v>
      </c>
      <c r="M232" t="s">
        <v>76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43</v>
      </c>
      <c r="U232" t="s">
        <v>44</v>
      </c>
      <c r="W232" t="s">
        <v>1228</v>
      </c>
      <c r="X232" t="str">
        <v>28-05-24</v>
      </c>
      <c r="Y232" t="str">
        <v>03-06-24</v>
      </c>
      <c r="Z232" t="s">
        <v>1230</v>
      </c>
      <c r="AA232" t="str">
        <v>Neha Gupta</v>
      </c>
      <c r="AB232" t="str">
        <f>TRIM(PROPER(F:F))</f>
        <v>Small Business</v>
      </c>
      <c r="AC232" t="str">
        <f>TRIM(PROPER(G:G))</f>
        <v>North</v>
      </c>
      <c r="AD232" t="str">
        <f>TRIM(PROPER(H:H))</f>
        <v>Rajasthan</v>
      </c>
      <c r="AE232" t="str">
        <f>TRIM(PROPER(I:I))</f>
        <v>Jaipur</v>
      </c>
      <c r="AF232" t="str">
        <f>TRIM(PROPER(J:J))</f>
        <v>Office Supplies</v>
      </c>
      <c r="AG232" t="str">
        <f>TRIM(PROPER(K:K))</f>
        <v>Paper</v>
      </c>
      <c r="AH232" t="str">
        <f t="shared" si="6"/>
        <v>Eco Paper 937</v>
      </c>
      <c r="AI232" t="str">
        <f t="shared" si="6"/>
        <v>Standard Class</v>
      </c>
      <c r="AJ232" s="3" t="str">
        <f t="shared" si="5"/>
        <v xml:space="preserve">  </v>
      </c>
      <c r="AK232">
        <f>IFERROR(Y232-X232, "invalid date")</f>
        <v>6</v>
      </c>
      <c r="AL232" s="10">
        <v>0.1</v>
      </c>
      <c r="AM232" s="11">
        <v>11090.376</v>
      </c>
      <c r="AN232" s="11">
        <v>2249.4259999999995</v>
      </c>
      <c r="AO232" s="10">
        <v>0.20282684734944958</v>
      </c>
      <c r="AP232" t="s">
        <v>4123</v>
      </c>
      <c r="AQ232" t="s">
        <v>4399</v>
      </c>
      <c r="AR232" t="s">
        <v>4124</v>
      </c>
      <c r="AS232" t="s">
        <v>4107</v>
      </c>
      <c r="AT232" t="s">
        <v>4121</v>
      </c>
      <c r="AU232">
        <v>6</v>
      </c>
      <c r="AV232" t="s">
        <v>4109</v>
      </c>
    </row>
    <row r="233" spans="1:48">
      <c r="A233" t="s">
        <v>1232</v>
      </c>
      <c r="B233" t="s">
        <v>1233</v>
      </c>
      <c r="C233" t="s">
        <v>1234</v>
      </c>
      <c r="D233" t="s">
        <v>1235</v>
      </c>
      <c r="E233" t="s">
        <v>81</v>
      </c>
      <c r="F233" t="s">
        <v>117</v>
      </c>
      <c r="G233" t="s">
        <v>36</v>
      </c>
      <c r="H233" t="s">
        <v>37</v>
      </c>
      <c r="I233" t="s">
        <v>38</v>
      </c>
      <c r="J233" t="s">
        <v>1236</v>
      </c>
      <c r="K233" t="s">
        <v>118</v>
      </c>
      <c r="L233" t="s">
        <v>1237</v>
      </c>
      <c r="M233" t="s">
        <v>65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133</v>
      </c>
      <c r="U233" t="s">
        <v>87</v>
      </c>
      <c r="W233" t="s">
        <v>1232</v>
      </c>
      <c r="X233" t="str">
        <v>02-05-24</v>
      </c>
      <c r="Y233" t="str">
        <v>05-02-24</v>
      </c>
      <c r="Z233" t="s">
        <v>1235</v>
      </c>
      <c r="AA233" t="str">
        <v>Ananya Rao</v>
      </c>
      <c r="AB233" t="str">
        <f>TRIM(PROPER(F:F))</f>
        <v>Corporate</v>
      </c>
      <c r="AC233" t="str">
        <f>TRIM(PROPER(G:G))</f>
        <v>North</v>
      </c>
      <c r="AD233" t="str">
        <f>TRIM(PROPER(H:H))</f>
        <v>Rajasthan</v>
      </c>
      <c r="AE233" t="str">
        <f>TRIM(PROPER(I:I))</f>
        <v>Jaipur</v>
      </c>
      <c r="AF233" t="str">
        <f>TRIM(PROPER(J:J))</f>
        <v>Office Supplies</v>
      </c>
      <c r="AG233" t="str">
        <f>TRIM(PROPER(K:K))</f>
        <v>Labels</v>
      </c>
      <c r="AH233" t="str">
        <f t="shared" si="6"/>
        <v>Max Labels 370</v>
      </c>
      <c r="AI233" t="str">
        <f t="shared" si="6"/>
        <v>First Class</v>
      </c>
      <c r="AJ233" s="3" t="str">
        <f t="shared" si="5"/>
        <v>anomaly</v>
      </c>
      <c r="AK233">
        <f>IFERROR(Y233-X233, "invalid date")</f>
        <v>-87</v>
      </c>
      <c r="AL233" s="10">
        <v>0.25</v>
      </c>
      <c r="AM233" s="11">
        <v>11462.744999999999</v>
      </c>
      <c r="AN233" s="11">
        <v>4299.204999999999</v>
      </c>
      <c r="AO233" s="10">
        <v>0.37505894094302888</v>
      </c>
      <c r="AP233" t="s">
        <v>4344</v>
      </c>
      <c r="AQ233" t="s">
        <v>4400</v>
      </c>
      <c r="AR233" t="s">
        <v>4124</v>
      </c>
      <c r="AS233" t="s">
        <v>4107</v>
      </c>
      <c r="AT233" t="s">
        <v>4115</v>
      </c>
      <c r="AU233">
        <v>-87</v>
      </c>
      <c r="AV233" t="s">
        <v>4109</v>
      </c>
    </row>
    <row r="234" spans="1:48">
      <c r="A234" t="s">
        <v>1238</v>
      </c>
      <c r="B234" t="s">
        <v>1239</v>
      </c>
      <c r="C234" t="s">
        <v>1240</v>
      </c>
      <c r="D234" t="s">
        <v>1241</v>
      </c>
      <c r="E234" t="s">
        <v>157</v>
      </c>
      <c r="F234" t="s">
        <v>35</v>
      </c>
      <c r="G234" t="s">
        <v>71</v>
      </c>
      <c r="H234" t="s">
        <v>109</v>
      </c>
      <c r="I234" t="s">
        <v>110</v>
      </c>
      <c r="J234" t="s">
        <v>95</v>
      </c>
      <c r="K234" t="s">
        <v>233</v>
      </c>
      <c r="L234" t="s">
        <v>1242</v>
      </c>
      <c r="M234" t="s">
        <v>76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43</v>
      </c>
      <c r="U234" t="s">
        <v>44</v>
      </c>
      <c r="W234" t="s">
        <v>1238</v>
      </c>
      <c r="X234" t="str">
        <v>04-06-25</v>
      </c>
      <c r="Y234" t="str">
        <v>10-06-25</v>
      </c>
      <c r="Z234" t="s">
        <v>1241</v>
      </c>
      <c r="AA234" t="str">
        <v>Rahul Verma</v>
      </c>
      <c r="AB234" t="str">
        <f>TRIM(PROPER(F:F))</f>
        <v>Consumer</v>
      </c>
      <c r="AC234" t="str">
        <f>TRIM(PROPER(G:G))</f>
        <v>South</v>
      </c>
      <c r="AD234" t="str">
        <f>TRIM(PROPER(H:H))</f>
        <v>Andhra Pradesh</v>
      </c>
      <c r="AE234" t="str">
        <f>TRIM(PROPER(I:I))</f>
        <v>Vijayawada</v>
      </c>
      <c r="AF234" t="str">
        <f>TRIM(PROPER(J:J))</f>
        <v>Technology</v>
      </c>
      <c r="AG234" t="str">
        <f>TRIM(PROPER(K:K))</f>
        <v>Phones</v>
      </c>
      <c r="AH234" t="str">
        <f t="shared" si="6"/>
        <v>Classic Phones 530</v>
      </c>
      <c r="AI234" t="str">
        <f t="shared" si="6"/>
        <v>Standard Class</v>
      </c>
      <c r="AJ234" s="3" t="str">
        <f t="shared" si="5"/>
        <v>anomaly</v>
      </c>
      <c r="AK234">
        <f>IFERROR(Y234-X234, "invalid date")</f>
        <v>6</v>
      </c>
      <c r="AL234" s="10">
        <v>0.25</v>
      </c>
      <c r="AM234" s="11">
        <v>670.11</v>
      </c>
      <c r="AN234" s="11">
        <v>110.53999999999996</v>
      </c>
      <c r="AO234" s="10">
        <v>0.16495799197146732</v>
      </c>
      <c r="AP234" t="s">
        <v>4401</v>
      </c>
      <c r="AQ234" t="s">
        <v>4334</v>
      </c>
      <c r="AR234" t="s">
        <v>4170</v>
      </c>
      <c r="AS234" t="s">
        <v>4120</v>
      </c>
      <c r="AT234" t="s">
        <v>4115</v>
      </c>
      <c r="AU234">
        <v>6</v>
      </c>
      <c r="AV234" t="s">
        <v>4109</v>
      </c>
    </row>
    <row r="235" spans="1:48">
      <c r="A235" t="s">
        <v>1243</v>
      </c>
      <c r="B235" t="s">
        <v>1244</v>
      </c>
      <c r="C235" t="s">
        <v>1245</v>
      </c>
      <c r="D235" t="s">
        <v>1246</v>
      </c>
      <c r="E235" t="s">
        <v>92</v>
      </c>
      <c r="F235" t="s">
        <v>117</v>
      </c>
      <c r="G235" t="s">
        <v>71</v>
      </c>
      <c r="H235" t="s">
        <v>239</v>
      </c>
      <c r="I235" t="s">
        <v>240</v>
      </c>
      <c r="J235" t="s">
        <v>54</v>
      </c>
      <c r="K235" t="s">
        <v>214</v>
      </c>
      <c r="L235" t="s">
        <v>1247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43</v>
      </c>
      <c r="U235" t="s">
        <v>44</v>
      </c>
      <c r="W235" t="s">
        <v>1243</v>
      </c>
      <c r="X235" t="str">
        <v>14-10-24</v>
      </c>
      <c r="Y235" t="str">
        <v>invalid date</v>
      </c>
      <c r="Z235" t="s">
        <v>1246</v>
      </c>
      <c r="AA235" t="str">
        <v>Vikram Iyer</v>
      </c>
      <c r="AB235" t="str">
        <f>TRIM(PROPER(F:F))</f>
        <v>Corporate</v>
      </c>
      <c r="AC235" t="str">
        <f>TRIM(PROPER(G:G))</f>
        <v>South</v>
      </c>
      <c r="AD235" t="str">
        <f>TRIM(PROPER(H:H))</f>
        <v>Karnataka</v>
      </c>
      <c r="AE235" t="str">
        <f>TRIM(PROPER(I:I))</f>
        <v>Bengaluru</v>
      </c>
      <c r="AF235" t="str">
        <f>TRIM(PROPER(J:J))</f>
        <v>Furniture</v>
      </c>
      <c r="AG235" t="str">
        <f>TRIM(PROPER(K:K))</f>
        <v>Bookcases</v>
      </c>
      <c r="AH235" t="str">
        <f t="shared" si="6"/>
        <v>Smart Bookcases 328</v>
      </c>
      <c r="AI235" s="4" t="s">
        <v>282</v>
      </c>
      <c r="AJ235" s="3" t="str">
        <f t="shared" si="5"/>
        <v>Invalid</v>
      </c>
      <c r="AK235" t="str">
        <f>IFERROR(Y235-X235, "invalid date")</f>
        <v>invalid date</v>
      </c>
      <c r="AL235" s="10">
        <v>0</v>
      </c>
      <c r="AM235" s="11">
        <v>31236.720000000001</v>
      </c>
      <c r="AN235" s="11">
        <v>4859.0200000000004</v>
      </c>
      <c r="AO235" s="10">
        <v>0.15555474454424154</v>
      </c>
      <c r="AP235" t="s">
        <v>4402</v>
      </c>
      <c r="AQ235" t="s">
        <v>4105</v>
      </c>
      <c r="AR235" t="s">
        <v>4126</v>
      </c>
      <c r="AS235" t="s">
        <v>4107</v>
      </c>
      <c r="AT235" t="s">
        <v>4108</v>
      </c>
      <c r="AU235" t="s">
        <v>4105</v>
      </c>
      <c r="AV235" t="s">
        <v>4109</v>
      </c>
    </row>
    <row r="236" spans="1:48">
      <c r="A236" t="s">
        <v>1248</v>
      </c>
      <c r="B236" t="s">
        <v>1249</v>
      </c>
      <c r="C236" t="s">
        <v>1250</v>
      </c>
      <c r="D236" t="s">
        <v>1251</v>
      </c>
      <c r="E236" t="s">
        <v>377</v>
      </c>
      <c r="F236" t="s">
        <v>124</v>
      </c>
      <c r="G236" t="s">
        <v>36</v>
      </c>
      <c r="H236" t="s">
        <v>517</v>
      </c>
      <c r="I236" t="s">
        <v>518</v>
      </c>
      <c r="J236" t="s">
        <v>54</v>
      </c>
      <c r="K236" t="s">
        <v>74</v>
      </c>
      <c r="L236" t="s">
        <v>1252</v>
      </c>
      <c r="M236" t="s">
        <v>65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43</v>
      </c>
      <c r="U236" t="s">
        <v>44</v>
      </c>
      <c r="W236" t="s">
        <v>1248</v>
      </c>
      <c r="X236" t="str">
        <v>09-02-24</v>
      </c>
      <c r="Y236" t="str">
        <v>03-09-24</v>
      </c>
      <c r="Z236" t="s">
        <v>1251</v>
      </c>
      <c r="AA236" t="str">
        <v>Kabir Singh</v>
      </c>
      <c r="AB236" t="str">
        <f>TRIM(PROPER(F:F))</f>
        <v>Home Office</v>
      </c>
      <c r="AC236" t="str">
        <f>TRIM(PROPER(G:G))</f>
        <v>North</v>
      </c>
      <c r="AD236" t="str">
        <f>TRIM(PROPER(H:H))</f>
        <v>Delhi</v>
      </c>
      <c r="AE236" t="str">
        <f>TRIM(PROPER(I:I))</f>
        <v>New Delhi</v>
      </c>
      <c r="AF236" t="str">
        <f>TRIM(PROPER(J:J))</f>
        <v>Furniture</v>
      </c>
      <c r="AG236" t="str">
        <f>TRIM(PROPER(K:K))</f>
        <v>Furnishings</v>
      </c>
      <c r="AH236" t="str">
        <f t="shared" si="6"/>
        <v>Eco Furnishings 981</v>
      </c>
      <c r="AI236" t="str">
        <f t="shared" si="6"/>
        <v>First Class</v>
      </c>
      <c r="AJ236" s="3" t="str">
        <f t="shared" si="5"/>
        <v xml:space="preserve">  </v>
      </c>
      <c r="AK236">
        <f>IFERROR(Y236-X236, "invalid date")</f>
        <v>207</v>
      </c>
      <c r="AL236" s="10">
        <v>0.1</v>
      </c>
      <c r="AM236" s="11">
        <v>10964.241</v>
      </c>
      <c r="AN236" s="11">
        <v>1701.7710000000006</v>
      </c>
      <c r="AO236" s="10">
        <v>0.15521101734265058</v>
      </c>
      <c r="AP236" t="s">
        <v>4166</v>
      </c>
      <c r="AQ236" t="s">
        <v>4403</v>
      </c>
      <c r="AR236" t="s">
        <v>4129</v>
      </c>
      <c r="AS236" t="s">
        <v>4107</v>
      </c>
      <c r="AT236" t="s">
        <v>4121</v>
      </c>
      <c r="AU236">
        <v>207</v>
      </c>
      <c r="AV236" t="s">
        <v>4109</v>
      </c>
    </row>
    <row r="237" spans="1:48">
      <c r="A237" t="s">
        <v>1253</v>
      </c>
      <c r="B237" t="s">
        <v>1254</v>
      </c>
      <c r="C237" t="s">
        <v>1255</v>
      </c>
      <c r="D237" t="s">
        <v>1256</v>
      </c>
      <c r="E237" t="s">
        <v>157</v>
      </c>
      <c r="F237" t="s">
        <v>50</v>
      </c>
      <c r="G237" t="s">
        <v>82</v>
      </c>
      <c r="H237" t="s">
        <v>37</v>
      </c>
      <c r="I237" t="s">
        <v>144</v>
      </c>
      <c r="J237" t="s">
        <v>39</v>
      </c>
      <c r="K237" t="s">
        <v>165</v>
      </c>
      <c r="L237" t="s">
        <v>1257</v>
      </c>
      <c r="M237" t="s">
        <v>76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43</v>
      </c>
      <c r="U237" t="s">
        <v>44</v>
      </c>
      <c r="W237" t="s">
        <v>1253</v>
      </c>
      <c r="X237" t="str">
        <v>11-02-24</v>
      </c>
      <c r="Y237" t="str">
        <v>11-03-24</v>
      </c>
      <c r="Z237" t="s">
        <v>1256</v>
      </c>
      <c r="AA237" t="str">
        <v>Rahul Verma</v>
      </c>
      <c r="AB237" t="str">
        <f>TRIM(PROPER(F:F))</f>
        <v>Small Business</v>
      </c>
      <c r="AC237" t="str">
        <f>TRIM(PROPER(G:G))</f>
        <v>West</v>
      </c>
      <c r="AD237" t="str">
        <f>TRIM(PROPER(H:H))</f>
        <v>Rajasthan</v>
      </c>
      <c r="AE237" t="str">
        <f>TRIM(PROPER(I:I))</f>
        <v>Udaipur</v>
      </c>
      <c r="AF237" t="str">
        <f>TRIM(PROPER(J:J))</f>
        <v>Office Supplies</v>
      </c>
      <c r="AG237" t="str">
        <f>TRIM(PROPER(K:K))</f>
        <v>Storage</v>
      </c>
      <c r="AH237" t="str">
        <f t="shared" si="6"/>
        <v>Basic Storage 195</v>
      </c>
      <c r="AI237" t="str">
        <f t="shared" si="6"/>
        <v>Standard Class</v>
      </c>
      <c r="AJ237" s="3" t="str">
        <f t="shared" si="5"/>
        <v>anomaly</v>
      </c>
      <c r="AK237">
        <f>IFERROR(Y237-X237, "invalid date")</f>
        <v>29</v>
      </c>
      <c r="AL237" s="10">
        <v>0.05</v>
      </c>
      <c r="AM237" s="11">
        <v>15226.352999999999</v>
      </c>
      <c r="AN237" s="11">
        <v>4081.0729999999985</v>
      </c>
      <c r="AO237" s="10">
        <v>0.26802695300706603</v>
      </c>
      <c r="AP237" t="s">
        <v>4232</v>
      </c>
      <c r="AQ237" t="s">
        <v>4404</v>
      </c>
      <c r="AR237" t="s">
        <v>4129</v>
      </c>
      <c r="AS237" t="s">
        <v>4107</v>
      </c>
      <c r="AT237" t="s">
        <v>4115</v>
      </c>
      <c r="AU237">
        <v>29</v>
      </c>
      <c r="AV237" t="s">
        <v>4109</v>
      </c>
    </row>
    <row r="238" spans="1:48">
      <c r="A238" t="s">
        <v>1258</v>
      </c>
      <c r="B238" t="s">
        <v>1245</v>
      </c>
      <c r="C238" t="s">
        <v>1259</v>
      </c>
      <c r="D238" t="s">
        <v>1260</v>
      </c>
      <c r="E238" t="s">
        <v>151</v>
      </c>
      <c r="F238" t="s">
        <v>117</v>
      </c>
      <c r="G238" t="s">
        <v>36</v>
      </c>
      <c r="H238" t="s">
        <v>183</v>
      </c>
      <c r="I238" t="s">
        <v>184</v>
      </c>
      <c r="J238" t="s">
        <v>54</v>
      </c>
      <c r="K238" t="s">
        <v>214</v>
      </c>
      <c r="L238" t="s">
        <v>1261</v>
      </c>
      <c r="M238" t="s">
        <v>65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43</v>
      </c>
      <c r="U238" t="s">
        <v>44</v>
      </c>
      <c r="W238" t="s">
        <v>1258</v>
      </c>
      <c r="X238" t="str">
        <v>invalid date</v>
      </c>
      <c r="Y238" t="str">
        <v>21-10-24</v>
      </c>
      <c r="Z238" t="s">
        <v>1260</v>
      </c>
      <c r="AA238" t="str">
        <v>Priya Menon</v>
      </c>
      <c r="AB238" t="str">
        <f>TRIM(PROPER(F:F))</f>
        <v>Corporate</v>
      </c>
      <c r="AC238" t="str">
        <f>TRIM(PROPER(G:G))</f>
        <v>North</v>
      </c>
      <c r="AD238" t="str">
        <f>TRIM(PROPER(H:H))</f>
        <v>Uttar Pradesh</v>
      </c>
      <c r="AE238" t="str">
        <f>TRIM(PROPER(I:I))</f>
        <v>Noida</v>
      </c>
      <c r="AF238" t="str">
        <f>TRIM(PROPER(J:J))</f>
        <v>Furniture</v>
      </c>
      <c r="AG238" t="str">
        <f>TRIM(PROPER(K:K))</f>
        <v>Bookcases</v>
      </c>
      <c r="AH238" t="str">
        <f t="shared" si="6"/>
        <v>Elite Bookcases 907</v>
      </c>
      <c r="AI238" t="str">
        <f t="shared" si="6"/>
        <v>First Class</v>
      </c>
      <c r="AJ238" s="3" t="str">
        <f t="shared" si="5"/>
        <v>Invalid</v>
      </c>
      <c r="AK238" t="str">
        <f>IFERROR(Y238-X238, "invalid date")</f>
        <v>invalid date</v>
      </c>
      <c r="AL238" s="10">
        <v>0</v>
      </c>
      <c r="AM238" s="11">
        <v>24376.68</v>
      </c>
      <c r="AN238" s="11">
        <v>5843.2900000000009</v>
      </c>
      <c r="AO238" s="10">
        <v>0.23970819652224998</v>
      </c>
      <c r="AP238" t="s">
        <v>4105</v>
      </c>
      <c r="AQ238" t="s">
        <v>4405</v>
      </c>
      <c r="AR238" t="s">
        <v>4105</v>
      </c>
      <c r="AS238" t="s">
        <v>4105</v>
      </c>
      <c r="AT238" t="s">
        <v>4108</v>
      </c>
      <c r="AU238" t="s">
        <v>4105</v>
      </c>
      <c r="AV238" t="s">
        <v>4109</v>
      </c>
    </row>
    <row r="239" spans="1:48">
      <c r="A239" t="s">
        <v>1262</v>
      </c>
      <c r="B239" t="s">
        <v>1263</v>
      </c>
      <c r="C239" t="s">
        <v>1263</v>
      </c>
      <c r="D239" t="s">
        <v>1264</v>
      </c>
      <c r="E239" t="s">
        <v>49</v>
      </c>
      <c r="F239" t="s">
        <v>35</v>
      </c>
      <c r="G239" t="s">
        <v>36</v>
      </c>
      <c r="H239" t="s">
        <v>334</v>
      </c>
      <c r="I239" t="s">
        <v>335</v>
      </c>
      <c r="J239" t="s">
        <v>95</v>
      </c>
      <c r="K239" t="s">
        <v>103</v>
      </c>
      <c r="L239" t="s">
        <v>1265</v>
      </c>
      <c r="M239" t="s">
        <v>76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43</v>
      </c>
      <c r="U239" t="s">
        <v>44</v>
      </c>
      <c r="W239" t="s">
        <v>1262</v>
      </c>
      <c r="X239" t="str">
        <v>27-08-24</v>
      </c>
      <c r="Y239" t="str">
        <v>27-08-24</v>
      </c>
      <c r="Z239" t="s">
        <v>1264</v>
      </c>
      <c r="AA239" t="str">
        <v>Mira Das</v>
      </c>
      <c r="AB239" t="str">
        <f>TRIM(PROPER(F:F))</f>
        <v>Consumer</v>
      </c>
      <c r="AC239" t="str">
        <f>TRIM(PROPER(G:G))</f>
        <v>North</v>
      </c>
      <c r="AD239" t="str">
        <f>TRIM(PROPER(H:H))</f>
        <v>Haryana</v>
      </c>
      <c r="AE239" t="str">
        <f>TRIM(PROPER(I:I))</f>
        <v>Gurugram</v>
      </c>
      <c r="AF239" t="str">
        <f>TRIM(PROPER(J:J))</f>
        <v>Technology</v>
      </c>
      <c r="AG239" t="str">
        <f>TRIM(PROPER(K:K))</f>
        <v>Copiers</v>
      </c>
      <c r="AH239" t="str">
        <f t="shared" si="6"/>
        <v>Smart Copiers 471</v>
      </c>
      <c r="AI239" t="str">
        <f t="shared" si="6"/>
        <v>Standard Class</v>
      </c>
      <c r="AJ239" s="3" t="str">
        <f t="shared" si="5"/>
        <v xml:space="preserve">  </v>
      </c>
      <c r="AK239">
        <f>IFERROR(Y239-X239, "invalid date")</f>
        <v>0</v>
      </c>
      <c r="AL239" s="10">
        <v>0</v>
      </c>
      <c r="AM239" s="11">
        <v>20972.7</v>
      </c>
      <c r="AN239" s="11">
        <v>7467.8200000000015</v>
      </c>
      <c r="AO239" s="10">
        <v>0.35607337157352181</v>
      </c>
      <c r="AP239" t="s">
        <v>4406</v>
      </c>
      <c r="AQ239" t="s">
        <v>4406</v>
      </c>
      <c r="AR239" t="s">
        <v>4114</v>
      </c>
      <c r="AS239" t="s">
        <v>4107</v>
      </c>
      <c r="AT239" t="s">
        <v>4115</v>
      </c>
      <c r="AU239">
        <v>0</v>
      </c>
      <c r="AV239" t="s">
        <v>4109</v>
      </c>
    </row>
    <row r="240" spans="1:48">
      <c r="A240" t="s">
        <v>1266</v>
      </c>
      <c r="B240" t="s">
        <v>1267</v>
      </c>
      <c r="C240" t="s">
        <v>1268</v>
      </c>
      <c r="D240" t="s">
        <v>1269</v>
      </c>
      <c r="E240" t="s">
        <v>70</v>
      </c>
      <c r="F240" t="s">
        <v>35</v>
      </c>
      <c r="G240" t="s">
        <v>71</v>
      </c>
      <c r="H240" t="s">
        <v>109</v>
      </c>
      <c r="I240" t="s">
        <v>110</v>
      </c>
      <c r="J240" t="s">
        <v>39</v>
      </c>
      <c r="K240" t="s">
        <v>165</v>
      </c>
      <c r="L240" t="s">
        <v>1270</v>
      </c>
      <c r="M240" t="s">
        <v>65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43</v>
      </c>
      <c r="U240" t="s">
        <v>44</v>
      </c>
      <c r="W240" t="s">
        <v>1266</v>
      </c>
      <c r="X240" t="str">
        <v>01-12-24</v>
      </c>
      <c r="Y240" t="str">
        <v>invalid date</v>
      </c>
      <c r="Z240" t="s">
        <v>1269</v>
      </c>
      <c r="AA240" t="str">
        <v>Arjun Bose</v>
      </c>
      <c r="AB240" t="str">
        <f>TRIM(PROPER(F:F))</f>
        <v>Consumer</v>
      </c>
      <c r="AC240" t="str">
        <f>TRIM(PROPER(G:G))</f>
        <v>South</v>
      </c>
      <c r="AD240" t="str">
        <f>TRIM(PROPER(H:H))</f>
        <v>Andhra Pradesh</v>
      </c>
      <c r="AE240" t="str">
        <f>TRIM(PROPER(I:I))</f>
        <v>Vijayawada</v>
      </c>
      <c r="AF240" t="str">
        <f>TRIM(PROPER(J:J))</f>
        <v>Office Supplies</v>
      </c>
      <c r="AG240" t="str">
        <f>TRIM(PROPER(K:K))</f>
        <v>Storage</v>
      </c>
      <c r="AH240" t="str">
        <f t="shared" si="6"/>
        <v>Prime Storage 625</v>
      </c>
      <c r="AI240" t="str">
        <f t="shared" si="6"/>
        <v>First Class</v>
      </c>
      <c r="AJ240" s="3" t="str">
        <f t="shared" si="5"/>
        <v>Invalid</v>
      </c>
      <c r="AK240" t="str">
        <f>IFERROR(Y240-X240, "invalid date")</f>
        <v>invalid date</v>
      </c>
      <c r="AL240" s="10" t="s">
        <v>191</v>
      </c>
      <c r="AM240" s="11" t="s">
        <v>4111</v>
      </c>
      <c r="AN240" s="11" t="s">
        <v>4111</v>
      </c>
      <c r="AO240" s="10" t="s">
        <v>4111</v>
      </c>
      <c r="AP240" t="s">
        <v>4407</v>
      </c>
      <c r="AQ240" t="s">
        <v>4105</v>
      </c>
      <c r="AR240" t="s">
        <v>4139</v>
      </c>
      <c r="AS240" t="s">
        <v>4107</v>
      </c>
      <c r="AT240" t="s">
        <v>4108</v>
      </c>
      <c r="AU240" t="s">
        <v>4105</v>
      </c>
      <c r="AV240" t="s">
        <v>4109</v>
      </c>
    </row>
    <row r="241" spans="1:48">
      <c r="A241" t="s">
        <v>1271</v>
      </c>
      <c r="B241" t="s">
        <v>1272</v>
      </c>
      <c r="C241" t="s">
        <v>1144</v>
      </c>
      <c r="D241" t="s">
        <v>1273</v>
      </c>
      <c r="E241" t="s">
        <v>377</v>
      </c>
      <c r="F241" t="s">
        <v>117</v>
      </c>
      <c r="G241" t="s">
        <v>71</v>
      </c>
      <c r="H241" t="s">
        <v>239</v>
      </c>
      <c r="I241" t="s">
        <v>240</v>
      </c>
      <c r="J241" t="s">
        <v>95</v>
      </c>
      <c r="K241" t="s">
        <v>393</v>
      </c>
      <c r="L241" t="s">
        <v>1274</v>
      </c>
      <c r="M241" t="s">
        <v>65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43</v>
      </c>
      <c r="U241" t="s">
        <v>44</v>
      </c>
      <c r="W241" t="s">
        <v>1271</v>
      </c>
      <c r="X241" t="str">
        <v>21-09-24</v>
      </c>
      <c r="Y241" t="str">
        <v>invalid date</v>
      </c>
      <c r="Z241" t="s">
        <v>1273</v>
      </c>
      <c r="AA241" t="str">
        <v>Kabir Singh</v>
      </c>
      <c r="AB241" t="str">
        <f>TRIM(PROPER(F:F))</f>
        <v>Corporate</v>
      </c>
      <c r="AC241" t="str">
        <f>TRIM(PROPER(G:G))</f>
        <v>South</v>
      </c>
      <c r="AD241" t="str">
        <f>TRIM(PROPER(H:H))</f>
        <v>Karnataka</v>
      </c>
      <c r="AE241" t="str">
        <f>TRIM(PROPER(I:I))</f>
        <v>Bengaluru</v>
      </c>
      <c r="AF241" t="str">
        <f>TRIM(PROPER(J:J))</f>
        <v>Technology</v>
      </c>
      <c r="AG241" t="str">
        <f>TRIM(PROPER(K:K))</f>
        <v>Machines</v>
      </c>
      <c r="AH241" t="str">
        <f t="shared" si="6"/>
        <v>Smart Machines 801</v>
      </c>
      <c r="AI241" t="str">
        <f t="shared" si="6"/>
        <v>First Class</v>
      </c>
      <c r="AJ241" s="3" t="str">
        <f t="shared" si="5"/>
        <v>Invalid</v>
      </c>
      <c r="AK241" t="str">
        <f>IFERROR(Y241-X241, "invalid date")</f>
        <v>invalid date</v>
      </c>
      <c r="AL241" s="10">
        <v>0.2</v>
      </c>
      <c r="AM241" s="11">
        <v>3136.096</v>
      </c>
      <c r="AN241" s="11">
        <v>856.60600000000022</v>
      </c>
      <c r="AO241" s="10">
        <v>0.273144061916472</v>
      </c>
      <c r="AP241" t="s">
        <v>4381</v>
      </c>
      <c r="AQ241" t="s">
        <v>4105</v>
      </c>
      <c r="AR241" t="s">
        <v>4134</v>
      </c>
      <c r="AS241" t="s">
        <v>4107</v>
      </c>
      <c r="AT241" t="s">
        <v>4108</v>
      </c>
      <c r="AU241" t="s">
        <v>4105</v>
      </c>
      <c r="AV241" t="s">
        <v>4109</v>
      </c>
    </row>
    <row r="242" spans="1:48">
      <c r="A242" t="s">
        <v>1275</v>
      </c>
      <c r="B242" t="s">
        <v>1276</v>
      </c>
      <c r="C242" t="s">
        <v>834</v>
      </c>
      <c r="D242" t="s">
        <v>1277</v>
      </c>
      <c r="E242" t="s">
        <v>171</v>
      </c>
      <c r="F242" t="s">
        <v>117</v>
      </c>
      <c r="G242" t="s">
        <v>71</v>
      </c>
      <c r="H242" t="s">
        <v>72</v>
      </c>
      <c r="I242" t="s">
        <v>73</v>
      </c>
      <c r="J242" t="s">
        <v>39</v>
      </c>
      <c r="K242" t="s">
        <v>208</v>
      </c>
      <c r="L242" t="s">
        <v>1278</v>
      </c>
      <c r="M242" t="s">
        <v>65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43</v>
      </c>
      <c r="U242" t="s">
        <v>44</v>
      </c>
      <c r="W242" t="s">
        <v>1275</v>
      </c>
      <c r="X242" t="str">
        <v>17-12-24</v>
      </c>
      <c r="Y242" t="str">
        <v>23-12-24</v>
      </c>
      <c r="Z242" t="s">
        <v>1277</v>
      </c>
      <c r="AA242" t="str">
        <v>Aarav Sharma</v>
      </c>
      <c r="AB242" t="str">
        <f>TRIM(PROPER(F:F))</f>
        <v>Corporate</v>
      </c>
      <c r="AC242" t="str">
        <f>TRIM(PROPER(G:G))</f>
        <v>South</v>
      </c>
      <c r="AD242" t="str">
        <f>TRIM(PROPER(H:H))</f>
        <v>Telangana</v>
      </c>
      <c r="AE242" t="str">
        <f>TRIM(PROPER(I:I))</f>
        <v>Hyderabad</v>
      </c>
      <c r="AF242" t="str">
        <f>TRIM(PROPER(J:J))</f>
        <v>Office Supplies</v>
      </c>
      <c r="AG242" t="str">
        <f>TRIM(PROPER(K:K))</f>
        <v>Binders</v>
      </c>
      <c r="AH242" t="str">
        <f t="shared" si="6"/>
        <v>Max Binders 170</v>
      </c>
      <c r="AI242" t="str">
        <f t="shared" si="6"/>
        <v>First Class</v>
      </c>
      <c r="AJ242" s="3" t="str">
        <f t="shared" si="5"/>
        <v>anomaly</v>
      </c>
      <c r="AK242">
        <f>IFERROR(Y242-X242, "invalid date")</f>
        <v>6</v>
      </c>
      <c r="AL242" s="10">
        <v>0</v>
      </c>
      <c r="AM242" s="11">
        <v>20835.899999999998</v>
      </c>
      <c r="AN242" s="11">
        <v>6907.7099999999973</v>
      </c>
      <c r="AO242" s="10">
        <v>0.33152923559817421</v>
      </c>
      <c r="AP242" t="s">
        <v>4408</v>
      </c>
      <c r="AQ242" t="s">
        <v>4222</v>
      </c>
      <c r="AR242" t="s">
        <v>4139</v>
      </c>
      <c r="AS242" t="s">
        <v>4107</v>
      </c>
      <c r="AT242" t="s">
        <v>4115</v>
      </c>
      <c r="AU242">
        <v>6</v>
      </c>
      <c r="AV242" t="s">
        <v>4109</v>
      </c>
    </row>
    <row r="243" spans="1:48">
      <c r="A243" t="s">
        <v>1279</v>
      </c>
      <c r="B243" t="s">
        <v>1280</v>
      </c>
      <c r="C243" t="s">
        <v>1281</v>
      </c>
      <c r="D243" t="s">
        <v>1282</v>
      </c>
      <c r="E243" t="s">
        <v>177</v>
      </c>
      <c r="F243" t="s">
        <v>117</v>
      </c>
      <c r="G243" t="s">
        <v>36</v>
      </c>
      <c r="H243" t="s">
        <v>334</v>
      </c>
      <c r="I243" t="s">
        <v>335</v>
      </c>
      <c r="J243" t="s">
        <v>39</v>
      </c>
      <c r="K243" t="s">
        <v>165</v>
      </c>
      <c r="L243" t="s">
        <v>1283</v>
      </c>
      <c r="M243" t="s">
        <v>76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146</v>
      </c>
      <c r="U243" t="s">
        <v>134</v>
      </c>
      <c r="W243" t="s">
        <v>1279</v>
      </c>
      <c r="X243" t="str">
        <v>07-06-25</v>
      </c>
      <c r="Y243" t="str">
        <v>06-07-25</v>
      </c>
      <c r="Z243" t="s">
        <v>1282</v>
      </c>
      <c r="AA243" t="str">
        <v>Sneha Kapoor</v>
      </c>
      <c r="AB243" t="str">
        <f>TRIM(PROPER(F:F))</f>
        <v>Corporate</v>
      </c>
      <c r="AC243" t="str">
        <f>TRIM(PROPER(G:G))</f>
        <v>North</v>
      </c>
      <c r="AD243" t="str">
        <f>TRIM(PROPER(H:H))</f>
        <v>Haryana</v>
      </c>
      <c r="AE243" t="str">
        <f>TRIM(PROPER(I:I))</f>
        <v>Gurugram</v>
      </c>
      <c r="AF243" t="str">
        <f>TRIM(PROPER(J:J))</f>
        <v>Office Supplies</v>
      </c>
      <c r="AG243" t="str">
        <f>TRIM(PROPER(K:K))</f>
        <v>Storage</v>
      </c>
      <c r="AH243" t="str">
        <f t="shared" si="6"/>
        <v>Basic Storage 737</v>
      </c>
      <c r="AI243" t="str">
        <f t="shared" si="6"/>
        <v>Standard Class</v>
      </c>
      <c r="AJ243" s="3" t="str">
        <f t="shared" si="5"/>
        <v xml:space="preserve">  </v>
      </c>
      <c r="AK243">
        <f>IFERROR(Y243-X243, "invalid date")</f>
        <v>29</v>
      </c>
      <c r="AL243" s="10">
        <v>0.25</v>
      </c>
      <c r="AM243" s="11">
        <v>1212.9000000000001</v>
      </c>
      <c r="AN243" s="11">
        <v>522.38000000000011</v>
      </c>
      <c r="AO243" s="10">
        <v>0.4306867837414462</v>
      </c>
      <c r="AP243" t="s">
        <v>4409</v>
      </c>
      <c r="AQ243" t="s">
        <v>4410</v>
      </c>
      <c r="AR243" t="s">
        <v>4170</v>
      </c>
      <c r="AS243" t="s">
        <v>4120</v>
      </c>
      <c r="AT243" t="s">
        <v>4121</v>
      </c>
      <c r="AU243">
        <v>29</v>
      </c>
      <c r="AV243" t="s">
        <v>4109</v>
      </c>
    </row>
    <row r="244" spans="1:48">
      <c r="A244" t="s">
        <v>1284</v>
      </c>
      <c r="B244" t="s">
        <v>1285</v>
      </c>
      <c r="C244" t="s">
        <v>1286</v>
      </c>
      <c r="D244" t="s">
        <v>1287</v>
      </c>
      <c r="E244" t="s">
        <v>70</v>
      </c>
      <c r="F244" t="s">
        <v>35</v>
      </c>
      <c r="G244" t="s">
        <v>36</v>
      </c>
      <c r="H244" t="s">
        <v>183</v>
      </c>
      <c r="I244" t="s">
        <v>184</v>
      </c>
      <c r="J244" t="s">
        <v>39</v>
      </c>
      <c r="K244" t="s">
        <v>63</v>
      </c>
      <c r="L244" t="s">
        <v>1288</v>
      </c>
      <c r="M244" t="s">
        <v>42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43</v>
      </c>
      <c r="U244" t="s">
        <v>44</v>
      </c>
      <c r="W244" t="s">
        <v>1284</v>
      </c>
      <c r="X244" t="str">
        <v>07-02-25</v>
      </c>
      <c r="Y244" t="str">
        <v>07-02-25</v>
      </c>
      <c r="Z244" t="s">
        <v>1287</v>
      </c>
      <c r="AA244" t="str">
        <v>Arjun Bose</v>
      </c>
      <c r="AB244" t="str">
        <f>TRIM(PROPER(F:F))</f>
        <v>Consumer</v>
      </c>
      <c r="AC244" t="str">
        <f>TRIM(PROPER(G:G))</f>
        <v>North</v>
      </c>
      <c r="AD244" t="str">
        <f>TRIM(PROPER(H:H))</f>
        <v>Uttar Pradesh</v>
      </c>
      <c r="AE244" t="str">
        <f>TRIM(PROPER(I:I))</f>
        <v>Noida</v>
      </c>
      <c r="AF244" t="str">
        <f>TRIM(PROPER(J:J))</f>
        <v>Office Supplies</v>
      </c>
      <c r="AG244" t="str">
        <f>TRIM(PROPER(K:K))</f>
        <v>Art</v>
      </c>
      <c r="AH244" t="str">
        <f t="shared" si="6"/>
        <v>Classic Art 126</v>
      </c>
      <c r="AI244" t="str">
        <f t="shared" si="6"/>
        <v>Second Class</v>
      </c>
      <c r="AJ244" s="3" t="str">
        <f t="shared" si="5"/>
        <v xml:space="preserve">  </v>
      </c>
      <c r="AK244">
        <f>IFERROR(Y244-X244, "invalid date")</f>
        <v>0</v>
      </c>
      <c r="AL244" s="10">
        <v>0.05</v>
      </c>
      <c r="AM244" s="11">
        <v>5697.8339999999998</v>
      </c>
      <c r="AN244" s="11">
        <v>1446.3339999999998</v>
      </c>
      <c r="AO244" s="10">
        <v>0.25383926593860051</v>
      </c>
      <c r="AP244" t="s">
        <v>4226</v>
      </c>
      <c r="AQ244" t="s">
        <v>4226</v>
      </c>
      <c r="AR244" t="s">
        <v>4129</v>
      </c>
      <c r="AS244" t="s">
        <v>4120</v>
      </c>
      <c r="AT244" t="s">
        <v>4115</v>
      </c>
      <c r="AU244">
        <v>0</v>
      </c>
      <c r="AV244" t="s">
        <v>4109</v>
      </c>
    </row>
    <row r="245" spans="1:48">
      <c r="A245" t="s">
        <v>1289</v>
      </c>
      <c r="B245" t="s">
        <v>294</v>
      </c>
      <c r="C245" t="s">
        <v>1290</v>
      </c>
      <c r="D245" t="s">
        <v>1291</v>
      </c>
      <c r="E245" t="s">
        <v>177</v>
      </c>
      <c r="F245" t="s">
        <v>50</v>
      </c>
      <c r="H245" t="s">
        <v>93</v>
      </c>
      <c r="I245" t="s">
        <v>94</v>
      </c>
      <c r="J245" t="s">
        <v>95</v>
      </c>
      <c r="K245" t="s">
        <v>96</v>
      </c>
      <c r="L245" t="s">
        <v>1292</v>
      </c>
      <c r="M245" t="s">
        <v>65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43</v>
      </c>
      <c r="U245" t="s">
        <v>1036</v>
      </c>
      <c r="W245" t="s">
        <v>1289</v>
      </c>
      <c r="X245" t="str">
        <v>29-07-25</v>
      </c>
      <c r="Y245" t="str">
        <v>02-08-25</v>
      </c>
      <c r="Z245" t="s">
        <v>1291</v>
      </c>
      <c r="AA245" t="str">
        <v>Sneha Kapoor</v>
      </c>
      <c r="AB245" t="str">
        <f>TRIM(PROPER(F:F))</f>
        <v>Small Business</v>
      </c>
      <c r="AC245" s="4" t="s">
        <v>282</v>
      </c>
      <c r="AD245" t="str">
        <f>TRIM(PROPER(H:H))</f>
        <v>Madhya Pradesh</v>
      </c>
      <c r="AE245" t="str">
        <f>TRIM(PROPER(I:I))</f>
        <v>Indore</v>
      </c>
      <c r="AF245" t="str">
        <f>TRIM(PROPER(J:J))</f>
        <v>Technology</v>
      </c>
      <c r="AG245" t="str">
        <f>TRIM(PROPER(K:K))</f>
        <v>Accessories</v>
      </c>
      <c r="AH245" t="str">
        <f t="shared" si="6"/>
        <v>Prime Accessories 243</v>
      </c>
      <c r="AI245" t="str">
        <f t="shared" si="6"/>
        <v>First Class</v>
      </c>
      <c r="AJ245" s="3" t="str">
        <f t="shared" si="5"/>
        <v xml:space="preserve">  </v>
      </c>
      <c r="AK245">
        <f>IFERROR(Y245-X245, "invalid date")</f>
        <v>4</v>
      </c>
      <c r="AL245" s="10">
        <v>0.1</v>
      </c>
      <c r="AM245" s="11">
        <v>4049.5140000000001</v>
      </c>
      <c r="AN245" s="11">
        <v>1540.3140000000003</v>
      </c>
      <c r="AO245" s="10">
        <v>0.38037008885510715</v>
      </c>
      <c r="AP245" t="s">
        <v>4179</v>
      </c>
      <c r="AQ245" t="s">
        <v>4275</v>
      </c>
      <c r="AR245" t="s">
        <v>4106</v>
      </c>
      <c r="AS245" t="s">
        <v>4120</v>
      </c>
      <c r="AT245" t="s">
        <v>4121</v>
      </c>
      <c r="AU245">
        <v>4</v>
      </c>
      <c r="AV245" t="s">
        <v>4109</v>
      </c>
    </row>
    <row r="246" spans="1:48">
      <c r="A246" t="s">
        <v>1293</v>
      </c>
      <c r="B246" t="s">
        <v>647</v>
      </c>
      <c r="C246" t="s">
        <v>1294</v>
      </c>
      <c r="D246" t="s">
        <v>1295</v>
      </c>
      <c r="E246" t="s">
        <v>102</v>
      </c>
      <c r="F246" t="s">
        <v>35</v>
      </c>
      <c r="G246" t="s">
        <v>71</v>
      </c>
      <c r="H246" t="s">
        <v>72</v>
      </c>
      <c r="I246" t="s">
        <v>73</v>
      </c>
      <c r="J246" t="s">
        <v>54</v>
      </c>
      <c r="K246" t="s">
        <v>214</v>
      </c>
      <c r="L246" t="s">
        <v>1296</v>
      </c>
      <c r="M246" t="s">
        <v>57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43</v>
      </c>
      <c r="U246" t="s">
        <v>44</v>
      </c>
      <c r="W246" t="s">
        <v>1293</v>
      </c>
      <c r="X246" t="str">
        <v>invalid date</v>
      </c>
      <c r="Y246" t="str">
        <v>24-08-24</v>
      </c>
      <c r="Z246" t="s">
        <v>1295</v>
      </c>
      <c r="AA246" t="str">
        <v>Neha Gupta</v>
      </c>
      <c r="AB246" t="str">
        <f>TRIM(PROPER(F:F))</f>
        <v>Consumer</v>
      </c>
      <c r="AC246" t="str">
        <f>TRIM(PROPER(G:G))</f>
        <v>South</v>
      </c>
      <c r="AD246" t="str">
        <f>TRIM(PROPER(H:H))</f>
        <v>Telangana</v>
      </c>
      <c r="AE246" t="str">
        <f>TRIM(PROPER(I:I))</f>
        <v>Hyderabad</v>
      </c>
      <c r="AF246" t="str">
        <f>TRIM(PROPER(J:J))</f>
        <v>Furniture</v>
      </c>
      <c r="AG246" t="str">
        <f>TRIM(PROPER(K:K))</f>
        <v>Bookcases</v>
      </c>
      <c r="AH246" t="str">
        <f t="shared" si="6"/>
        <v>Eco Bookcases 768</v>
      </c>
      <c r="AI246" t="str">
        <f t="shared" si="6"/>
        <v>Same Day</v>
      </c>
      <c r="AJ246" s="3" t="str">
        <f t="shared" si="5"/>
        <v>Invalid</v>
      </c>
      <c r="AK246" t="str">
        <f>IFERROR(Y246-X246, "invalid date")</f>
        <v>invalid date</v>
      </c>
      <c r="AL246" s="10">
        <v>0</v>
      </c>
      <c r="AM246" s="11">
        <v>6131.34</v>
      </c>
      <c r="AN246" s="11">
        <v>2070.46</v>
      </c>
      <c r="AO246" s="10">
        <v>0.33768474754295147</v>
      </c>
      <c r="AP246" t="s">
        <v>4105</v>
      </c>
      <c r="AQ246" t="s">
        <v>4411</v>
      </c>
      <c r="AR246" t="s">
        <v>4105</v>
      </c>
      <c r="AS246" t="s">
        <v>4105</v>
      </c>
      <c r="AT246" t="s">
        <v>4108</v>
      </c>
      <c r="AU246" t="s">
        <v>4105</v>
      </c>
      <c r="AV246" t="s">
        <v>4109</v>
      </c>
    </row>
    <row r="247" spans="1:48">
      <c r="A247" t="s">
        <v>1297</v>
      </c>
      <c r="B247" t="s">
        <v>655</v>
      </c>
      <c r="C247" t="s">
        <v>882</v>
      </c>
      <c r="D247" t="s">
        <v>1298</v>
      </c>
      <c r="E247" t="s">
        <v>102</v>
      </c>
      <c r="F247" t="s">
        <v>124</v>
      </c>
      <c r="G247" t="s">
        <v>71</v>
      </c>
      <c r="H247" t="s">
        <v>252</v>
      </c>
      <c r="I247" t="s">
        <v>253</v>
      </c>
      <c r="J247" t="s">
        <v>1299</v>
      </c>
      <c r="K247" t="s">
        <v>85</v>
      </c>
      <c r="L247" t="s">
        <v>1300</v>
      </c>
      <c r="M247" t="s">
        <v>42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43</v>
      </c>
      <c r="U247" t="s">
        <v>44</v>
      </c>
      <c r="W247" t="s">
        <v>1297</v>
      </c>
      <c r="X247" t="str">
        <v>invalid date</v>
      </c>
      <c r="Y247" t="str">
        <v>24-10-24</v>
      </c>
      <c r="Z247" t="s">
        <v>1298</v>
      </c>
      <c r="AA247" t="str">
        <v>Neha Gupta</v>
      </c>
      <c r="AB247" t="str">
        <f>TRIM(PROPER(F:F))</f>
        <v>Home Office</v>
      </c>
      <c r="AC247" t="str">
        <f>TRIM(PROPER(G:G))</f>
        <v>South</v>
      </c>
      <c r="AD247" t="str">
        <f>TRIM(PROPER(H:H))</f>
        <v>Kerala</v>
      </c>
      <c r="AE247" t="str">
        <f>TRIM(PROPER(I:I))</f>
        <v>Kochi</v>
      </c>
      <c r="AF247" t="str">
        <f>TRIM(PROPER(J:J))</f>
        <v>Furniture</v>
      </c>
      <c r="AG247" t="str">
        <f>TRIM(PROPER(K:K))</f>
        <v>Chairs</v>
      </c>
      <c r="AH247" t="str">
        <f t="shared" si="6"/>
        <v>Pro Chairs 316</v>
      </c>
      <c r="AI247" t="str">
        <f t="shared" si="6"/>
        <v>Second Class</v>
      </c>
      <c r="AJ247" s="3" t="str">
        <f t="shared" si="5"/>
        <v>Invalid</v>
      </c>
      <c r="AK247" t="str">
        <f>IFERROR(Y247-X247, "invalid date")</f>
        <v>invalid date</v>
      </c>
      <c r="AL247" s="10">
        <v>0</v>
      </c>
      <c r="AM247" s="11">
        <v>9827.7899999999991</v>
      </c>
      <c r="AN247" s="11">
        <v>4349.5099999999993</v>
      </c>
      <c r="AO247" s="10">
        <v>0.44257254174132737</v>
      </c>
      <c r="AP247" t="s">
        <v>4105</v>
      </c>
      <c r="AQ247" t="s">
        <v>4282</v>
      </c>
      <c r="AR247" t="s">
        <v>4105</v>
      </c>
      <c r="AS247" t="s">
        <v>4105</v>
      </c>
      <c r="AT247" t="s">
        <v>4108</v>
      </c>
      <c r="AU247" t="s">
        <v>4105</v>
      </c>
      <c r="AV247" t="s">
        <v>4109</v>
      </c>
    </row>
    <row r="248" spans="1:48">
      <c r="A248" t="s">
        <v>1301</v>
      </c>
      <c r="B248" t="s">
        <v>1302</v>
      </c>
      <c r="C248" t="s">
        <v>1303</v>
      </c>
      <c r="D248" t="s">
        <v>1304</v>
      </c>
      <c r="E248" t="s">
        <v>81</v>
      </c>
      <c r="F248" t="s">
        <v>117</v>
      </c>
      <c r="G248" t="s">
        <v>36</v>
      </c>
      <c r="H248" t="s">
        <v>163</v>
      </c>
      <c r="I248" t="s">
        <v>164</v>
      </c>
      <c r="J248" t="s">
        <v>95</v>
      </c>
      <c r="K248" t="s">
        <v>393</v>
      </c>
      <c r="L248" t="s">
        <v>1305</v>
      </c>
      <c r="M248" t="s">
        <v>57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133</v>
      </c>
      <c r="U248" t="s">
        <v>87</v>
      </c>
      <c r="W248" t="s">
        <v>1301</v>
      </c>
      <c r="X248" t="str">
        <v>04-05-24</v>
      </c>
      <c r="Y248" t="str">
        <v>09-05-24</v>
      </c>
      <c r="Z248" t="s">
        <v>1304</v>
      </c>
      <c r="AA248" t="str">
        <v>Ananya Rao</v>
      </c>
      <c r="AB248" t="str">
        <f>TRIM(PROPER(F:F))</f>
        <v>Corporate</v>
      </c>
      <c r="AC248" t="str">
        <f>TRIM(PROPER(G:G))</f>
        <v>North</v>
      </c>
      <c r="AD248" t="str">
        <f>TRIM(PROPER(H:H))</f>
        <v>Punjab</v>
      </c>
      <c r="AE248" t="str">
        <f>TRIM(PROPER(I:I))</f>
        <v>Ludhiana</v>
      </c>
      <c r="AF248" t="str">
        <f>TRIM(PROPER(J:J))</f>
        <v>Technology</v>
      </c>
      <c r="AG248" t="str">
        <f>TRIM(PROPER(K:K))</f>
        <v>Machines</v>
      </c>
      <c r="AH248" t="str">
        <f t="shared" si="6"/>
        <v>Classic Machines 819</v>
      </c>
      <c r="AI248" t="str">
        <f t="shared" si="6"/>
        <v>Same Day</v>
      </c>
      <c r="AJ248" s="3" t="str">
        <f t="shared" si="5"/>
        <v>anomaly</v>
      </c>
      <c r="AK248">
        <f>IFERROR(Y248-X248, "invalid date")</f>
        <v>5</v>
      </c>
      <c r="AL248" s="10">
        <v>0.25</v>
      </c>
      <c r="AM248" s="11">
        <v>521.88749999999993</v>
      </c>
      <c r="AN248" s="11">
        <v>77.36749999999995</v>
      </c>
      <c r="AO248" s="10">
        <v>0.14824555100476627</v>
      </c>
      <c r="AP248" t="s">
        <v>4412</v>
      </c>
      <c r="AQ248" t="s">
        <v>4413</v>
      </c>
      <c r="AR248" t="s">
        <v>4124</v>
      </c>
      <c r="AS248" t="s">
        <v>4107</v>
      </c>
      <c r="AT248" t="s">
        <v>4115</v>
      </c>
      <c r="AU248">
        <v>5</v>
      </c>
      <c r="AV248" t="s">
        <v>4109</v>
      </c>
    </row>
    <row r="249" spans="1:48">
      <c r="A249" t="s">
        <v>1306</v>
      </c>
      <c r="B249" t="s">
        <v>1307</v>
      </c>
      <c r="C249" t="s">
        <v>1308</v>
      </c>
      <c r="D249" t="s">
        <v>1309</v>
      </c>
      <c r="E249" t="s">
        <v>157</v>
      </c>
      <c r="F249" t="s">
        <v>117</v>
      </c>
      <c r="G249" t="s">
        <v>36</v>
      </c>
      <c r="H249" t="s">
        <v>37</v>
      </c>
      <c r="I249" t="s">
        <v>38</v>
      </c>
      <c r="J249" t="s">
        <v>95</v>
      </c>
      <c r="K249" t="s">
        <v>96</v>
      </c>
      <c r="L249" t="s">
        <v>1310</v>
      </c>
      <c r="M249" t="s">
        <v>42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43</v>
      </c>
      <c r="U249" t="s">
        <v>44</v>
      </c>
      <c r="W249" t="s">
        <v>1306</v>
      </c>
      <c r="X249" t="str">
        <v>invalid date</v>
      </c>
      <c r="Y249" t="str">
        <v>01-08-24</v>
      </c>
      <c r="Z249" t="s">
        <v>1309</v>
      </c>
      <c r="AA249" t="str">
        <v>Rahul Verma</v>
      </c>
      <c r="AB249" t="str">
        <f>TRIM(PROPER(F:F))</f>
        <v>Corporate</v>
      </c>
      <c r="AC249" t="str">
        <f>TRIM(PROPER(G:G))</f>
        <v>North</v>
      </c>
      <c r="AD249" t="str">
        <f>TRIM(PROPER(H:H))</f>
        <v>Rajasthan</v>
      </c>
      <c r="AE249" t="str">
        <f>TRIM(PROPER(I:I))</f>
        <v>Jaipur</v>
      </c>
      <c r="AF249" t="str">
        <f>TRIM(PROPER(J:J))</f>
        <v>Technology</v>
      </c>
      <c r="AG249" t="str">
        <f>TRIM(PROPER(K:K))</f>
        <v>Accessories</v>
      </c>
      <c r="AH249" t="str">
        <f t="shared" si="6"/>
        <v>Smart Accessories 572</v>
      </c>
      <c r="AI249" t="str">
        <f t="shared" si="6"/>
        <v>Second Class</v>
      </c>
      <c r="AJ249" s="3" t="str">
        <f t="shared" si="5"/>
        <v>Invalid</v>
      </c>
      <c r="AK249" t="str">
        <f>IFERROR(Y249-X249, "invalid date")</f>
        <v>invalid date</v>
      </c>
      <c r="AL249" s="10">
        <v>0.25</v>
      </c>
      <c r="AM249" s="11">
        <v>14960.400000000001</v>
      </c>
      <c r="AN249" s="11">
        <v>2459.5600000000013</v>
      </c>
      <c r="AO249" s="10">
        <v>0.16440469506162944</v>
      </c>
      <c r="AP249" t="s">
        <v>4105</v>
      </c>
      <c r="AQ249" t="s">
        <v>4414</v>
      </c>
      <c r="AR249" t="s">
        <v>4105</v>
      </c>
      <c r="AS249" t="s">
        <v>4105</v>
      </c>
      <c r="AT249" t="s">
        <v>4108</v>
      </c>
      <c r="AU249" t="s">
        <v>4105</v>
      </c>
      <c r="AV249" t="s">
        <v>4109</v>
      </c>
    </row>
    <row r="250" spans="1:48">
      <c r="A250" t="s">
        <v>1311</v>
      </c>
      <c r="B250" t="s">
        <v>1312</v>
      </c>
      <c r="C250" t="s">
        <v>589</v>
      </c>
      <c r="D250" t="s">
        <v>1313</v>
      </c>
      <c r="E250" t="s">
        <v>189</v>
      </c>
      <c r="F250" t="s">
        <v>124</v>
      </c>
      <c r="G250" t="s">
        <v>51</v>
      </c>
      <c r="H250" t="s">
        <v>52</v>
      </c>
      <c r="I250" t="s">
        <v>53</v>
      </c>
      <c r="J250" t="s">
        <v>39</v>
      </c>
      <c r="K250" t="s">
        <v>118</v>
      </c>
      <c r="L250" t="s">
        <v>1314</v>
      </c>
      <c r="M250" t="s">
        <v>42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43</v>
      </c>
      <c r="U250" t="s">
        <v>44</v>
      </c>
      <c r="W250" t="s">
        <v>1311</v>
      </c>
      <c r="X250" t="str">
        <v>06-02-24</v>
      </c>
      <c r="Y250" t="str">
        <v>07-06-24</v>
      </c>
      <c r="Z250" t="s">
        <v>1313</v>
      </c>
      <c r="AA250" t="str">
        <v>Rohan Mehta</v>
      </c>
      <c r="AB250" t="str">
        <f>TRIM(PROPER(F:F))</f>
        <v>Home Office</v>
      </c>
      <c r="AC250" t="str">
        <f>TRIM(PROPER(G:G))</f>
        <v>East</v>
      </c>
      <c r="AD250" t="str">
        <f>TRIM(PROPER(H:H))</f>
        <v>Odisha</v>
      </c>
      <c r="AE250" t="str">
        <f>TRIM(PROPER(I:I))</f>
        <v>Bhubaneswar</v>
      </c>
      <c r="AF250" t="str">
        <f>TRIM(PROPER(J:J))</f>
        <v>Office Supplies</v>
      </c>
      <c r="AG250" t="str">
        <f>TRIM(PROPER(K:K))</f>
        <v>Labels</v>
      </c>
      <c r="AH250" t="str">
        <f t="shared" si="6"/>
        <v>Basic Labels 432</v>
      </c>
      <c r="AI250" t="str">
        <f t="shared" si="6"/>
        <v>Second Class</v>
      </c>
      <c r="AJ250" s="3" t="str">
        <f t="shared" si="5"/>
        <v>anomaly</v>
      </c>
      <c r="AK250">
        <f>IFERROR(Y250-X250, "invalid date")</f>
        <v>122</v>
      </c>
      <c r="AL250" s="10">
        <v>0.15</v>
      </c>
      <c r="AM250" s="11">
        <v>6027.5114999999996</v>
      </c>
      <c r="AN250" s="11">
        <v>1143.6914999999999</v>
      </c>
      <c r="AO250" s="10">
        <v>0.18974522072666306</v>
      </c>
      <c r="AP250" t="s">
        <v>4415</v>
      </c>
      <c r="AQ250" t="s">
        <v>4264</v>
      </c>
      <c r="AR250" t="s">
        <v>4129</v>
      </c>
      <c r="AS250" t="s">
        <v>4107</v>
      </c>
      <c r="AT250" t="s">
        <v>4115</v>
      </c>
      <c r="AU250">
        <v>122</v>
      </c>
      <c r="AV250" t="s">
        <v>4109</v>
      </c>
    </row>
    <row r="251" spans="1:48">
      <c r="A251" t="s">
        <v>1315</v>
      </c>
      <c r="B251" t="s">
        <v>830</v>
      </c>
      <c r="C251" t="s">
        <v>1316</v>
      </c>
      <c r="D251" t="s">
        <v>1317</v>
      </c>
      <c r="E251" t="s">
        <v>49</v>
      </c>
      <c r="F251" t="s">
        <v>117</v>
      </c>
      <c r="G251" t="s">
        <v>36</v>
      </c>
      <c r="H251" t="s">
        <v>37</v>
      </c>
      <c r="I251" t="s">
        <v>38</v>
      </c>
      <c r="J251" t="s">
        <v>54</v>
      </c>
      <c r="K251" t="s">
        <v>74</v>
      </c>
      <c r="L251" t="s">
        <v>1318</v>
      </c>
      <c r="M251" t="s">
        <v>65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43</v>
      </c>
      <c r="U251" t="s">
        <v>44</v>
      </c>
      <c r="W251" t="s">
        <v>1315</v>
      </c>
      <c r="X251" t="str">
        <v>08-01-25</v>
      </c>
      <c r="Y251" t="str">
        <v>08-02-25</v>
      </c>
      <c r="Z251" t="s">
        <v>1317</v>
      </c>
      <c r="AA251" t="str">
        <v>Mira Das</v>
      </c>
      <c r="AB251" t="str">
        <f>TRIM(PROPER(F:F))</f>
        <v>Corporate</v>
      </c>
      <c r="AC251" t="str">
        <f>TRIM(PROPER(G:G))</f>
        <v>North</v>
      </c>
      <c r="AD251" t="str">
        <f>TRIM(PROPER(H:H))</f>
        <v>Rajasthan</v>
      </c>
      <c r="AE251" t="str">
        <f>TRIM(PROPER(I:I))</f>
        <v>Jaipur</v>
      </c>
      <c r="AF251" t="str">
        <f>TRIM(PROPER(J:J))</f>
        <v>Furniture</v>
      </c>
      <c r="AG251" t="str">
        <f>TRIM(PROPER(K:K))</f>
        <v>Furnishings</v>
      </c>
      <c r="AH251" t="str">
        <f t="shared" si="6"/>
        <v>Classic Furnishings 378</v>
      </c>
      <c r="AI251" t="str">
        <f t="shared" si="6"/>
        <v>First Class</v>
      </c>
      <c r="AJ251" s="3" t="str">
        <f t="shared" si="5"/>
        <v>anomaly</v>
      </c>
      <c r="AK251">
        <f>IFERROR(Y251-X251, "invalid date")</f>
        <v>31</v>
      </c>
      <c r="AL251" s="10">
        <v>0.2</v>
      </c>
      <c r="AM251" s="11">
        <v>8928.9279999999999</v>
      </c>
      <c r="AN251" s="11">
        <v>3294.5479999999998</v>
      </c>
      <c r="AO251" s="10">
        <v>0.36897464062875185</v>
      </c>
      <c r="AP251" t="s">
        <v>4321</v>
      </c>
      <c r="AQ251" t="s">
        <v>4416</v>
      </c>
      <c r="AR251" t="s">
        <v>4153</v>
      </c>
      <c r="AS251" t="s">
        <v>4120</v>
      </c>
      <c r="AT251" t="s">
        <v>4115</v>
      </c>
      <c r="AU251">
        <v>31</v>
      </c>
      <c r="AV251" t="s">
        <v>4109</v>
      </c>
    </row>
    <row r="252" spans="1:48">
      <c r="A252" t="s">
        <v>1319</v>
      </c>
      <c r="B252" t="s">
        <v>1320</v>
      </c>
      <c r="C252" t="s">
        <v>1321</v>
      </c>
      <c r="D252" t="s">
        <v>1322</v>
      </c>
      <c r="E252" t="s">
        <v>70</v>
      </c>
      <c r="F252" t="s">
        <v>50</v>
      </c>
      <c r="G252" t="s">
        <v>51</v>
      </c>
      <c r="H252" t="s">
        <v>130</v>
      </c>
      <c r="I252" t="s">
        <v>131</v>
      </c>
      <c r="J252" t="s">
        <v>54</v>
      </c>
      <c r="K252" t="s">
        <v>74</v>
      </c>
      <c r="L252" t="s">
        <v>1323</v>
      </c>
      <c r="M252" t="s">
        <v>76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146</v>
      </c>
      <c r="U252" t="s">
        <v>134</v>
      </c>
      <c r="W252" t="s">
        <v>1319</v>
      </c>
      <c r="X252" t="str">
        <v>invalid date</v>
      </c>
      <c r="Y252" t="str">
        <v>invalid date</v>
      </c>
      <c r="Z252" t="s">
        <v>1322</v>
      </c>
      <c r="AA252" t="str">
        <v>Arjun Bose</v>
      </c>
      <c r="AB252" t="str">
        <f>TRIM(PROPER(F:F))</f>
        <v>Small Business</v>
      </c>
      <c r="AC252" t="str">
        <f>TRIM(PROPER(G:G))</f>
        <v>East</v>
      </c>
      <c r="AD252" t="str">
        <f>TRIM(PROPER(H:H))</f>
        <v>West Bengal</v>
      </c>
      <c r="AE252" t="str">
        <f>TRIM(PROPER(I:I))</f>
        <v>Kolkata</v>
      </c>
      <c r="AF252" t="str">
        <f>TRIM(PROPER(J:J))</f>
        <v>Furniture</v>
      </c>
      <c r="AG252" t="str">
        <f>TRIM(PROPER(K:K))</f>
        <v>Furnishings</v>
      </c>
      <c r="AH252" t="str">
        <f t="shared" si="6"/>
        <v>Prime Furnishings 781</v>
      </c>
      <c r="AI252" t="str">
        <f t="shared" si="6"/>
        <v>Standard Class</v>
      </c>
      <c r="AJ252" s="3" t="str">
        <f t="shared" si="5"/>
        <v>Invalid</v>
      </c>
      <c r="AK252" t="str">
        <f>IFERROR(Y252-X252, "invalid date")</f>
        <v>invalid date</v>
      </c>
      <c r="AL252" s="10">
        <v>0.15</v>
      </c>
      <c r="AM252" s="11">
        <v>14338.904999999999</v>
      </c>
      <c r="AN252" s="11">
        <v>2441.2549999999992</v>
      </c>
      <c r="AO252" s="10">
        <v>0.17025393501107647</v>
      </c>
      <c r="AP252" t="s">
        <v>4105</v>
      </c>
      <c r="AQ252" t="s">
        <v>4105</v>
      </c>
      <c r="AR252" t="s">
        <v>4105</v>
      </c>
      <c r="AS252" t="s">
        <v>4105</v>
      </c>
      <c r="AT252" t="s">
        <v>4108</v>
      </c>
      <c r="AU252" t="s">
        <v>4105</v>
      </c>
      <c r="AV252" t="s">
        <v>4109</v>
      </c>
    </row>
    <row r="253" spans="1:48">
      <c r="A253" t="s">
        <v>1324</v>
      </c>
      <c r="B253" t="s">
        <v>1325</v>
      </c>
      <c r="C253" t="s">
        <v>99</v>
      </c>
      <c r="D253" t="s">
        <v>1326</v>
      </c>
      <c r="E253" t="s">
        <v>81</v>
      </c>
      <c r="F253" t="s">
        <v>117</v>
      </c>
      <c r="G253" t="s">
        <v>82</v>
      </c>
      <c r="H253" t="s">
        <v>245</v>
      </c>
      <c r="I253" t="s">
        <v>246</v>
      </c>
      <c r="J253" t="s">
        <v>54</v>
      </c>
      <c r="K253" t="s">
        <v>55</v>
      </c>
      <c r="L253" t="s">
        <v>1327</v>
      </c>
      <c r="M253" t="s">
        <v>42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43</v>
      </c>
      <c r="U253" t="s">
        <v>44</v>
      </c>
      <c r="W253" t="s">
        <v>1324</v>
      </c>
      <c r="X253" t="str">
        <v>06-04-25</v>
      </c>
      <c r="Y253" t="str">
        <v>04-10-25</v>
      </c>
      <c r="Z253" t="s">
        <v>1326</v>
      </c>
      <c r="AA253" t="str">
        <v>Ananya Rao</v>
      </c>
      <c r="AB253" t="str">
        <f>TRIM(PROPER(F:F))</f>
        <v>Corporate</v>
      </c>
      <c r="AC253" t="str">
        <f>TRIM(PROPER(G:G))</f>
        <v>West</v>
      </c>
      <c r="AD253" t="str">
        <f>TRIM(PROPER(H:H))</f>
        <v>Gujarat</v>
      </c>
      <c r="AE253" t="str">
        <f>TRIM(PROPER(I:I))</f>
        <v>Ahmedabad</v>
      </c>
      <c r="AF253" t="str">
        <f>TRIM(PROPER(J:J))</f>
        <v>Furniture</v>
      </c>
      <c r="AG253" t="str">
        <f>TRIM(PROPER(K:K))</f>
        <v>Tables</v>
      </c>
      <c r="AH253" t="str">
        <f t="shared" si="6"/>
        <v>Prime Tables 263</v>
      </c>
      <c r="AI253" t="str">
        <f t="shared" si="6"/>
        <v>Second Class</v>
      </c>
      <c r="AJ253" s="3" t="str">
        <f t="shared" si="5"/>
        <v xml:space="preserve">  </v>
      </c>
      <c r="AK253">
        <f>IFERROR(Y253-X253, "invalid date")</f>
        <v>181</v>
      </c>
      <c r="AL253" s="10">
        <v>0</v>
      </c>
      <c r="AM253" s="11">
        <v>6132.96</v>
      </c>
      <c r="AN253" s="11">
        <v>1251.8599999999997</v>
      </c>
      <c r="AO253" s="10">
        <v>0.20412003339333692</v>
      </c>
      <c r="AP253" t="s">
        <v>4417</v>
      </c>
      <c r="AQ253" t="s">
        <v>4125</v>
      </c>
      <c r="AR253" t="s">
        <v>4199</v>
      </c>
      <c r="AS253" t="s">
        <v>4120</v>
      </c>
      <c r="AT253" t="s">
        <v>4121</v>
      </c>
      <c r="AU253">
        <v>181</v>
      </c>
      <c r="AV253" t="s">
        <v>4109</v>
      </c>
    </row>
    <row r="254" spans="1:48">
      <c r="A254" t="s">
        <v>1328</v>
      </c>
      <c r="B254" t="s">
        <v>1329</v>
      </c>
      <c r="C254" t="s">
        <v>1224</v>
      </c>
      <c r="D254" t="s">
        <v>1330</v>
      </c>
      <c r="E254" t="s">
        <v>70</v>
      </c>
      <c r="F254" t="s">
        <v>117</v>
      </c>
      <c r="G254" t="s">
        <v>36</v>
      </c>
      <c r="H254" t="s">
        <v>334</v>
      </c>
      <c r="I254" t="s">
        <v>335</v>
      </c>
      <c r="J254" t="s">
        <v>39</v>
      </c>
      <c r="K254" t="s">
        <v>165</v>
      </c>
      <c r="L254" t="s">
        <v>1331</v>
      </c>
      <c r="M254" t="s">
        <v>65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146</v>
      </c>
      <c r="U254" t="s">
        <v>134</v>
      </c>
      <c r="W254" t="s">
        <v>1328</v>
      </c>
      <c r="X254" t="str">
        <v>25-06-25</v>
      </c>
      <c r="Y254" t="str">
        <v>28-06-25</v>
      </c>
      <c r="Z254" t="s">
        <v>1330</v>
      </c>
      <c r="AA254" t="str">
        <v>Arjun Bose</v>
      </c>
      <c r="AB254" t="str">
        <f>TRIM(PROPER(F:F))</f>
        <v>Corporate</v>
      </c>
      <c r="AC254" t="str">
        <f>TRIM(PROPER(G:G))</f>
        <v>North</v>
      </c>
      <c r="AD254" t="str">
        <f>TRIM(PROPER(H:H))</f>
        <v>Haryana</v>
      </c>
      <c r="AE254" t="str">
        <f>TRIM(PROPER(I:I))</f>
        <v>Gurugram</v>
      </c>
      <c r="AF254" t="str">
        <f>TRIM(PROPER(J:J))</f>
        <v>Office Supplies</v>
      </c>
      <c r="AG254" t="str">
        <f>TRIM(PROPER(K:K))</f>
        <v>Storage</v>
      </c>
      <c r="AH254" t="str">
        <f t="shared" si="6"/>
        <v>Basic Storage 269</v>
      </c>
      <c r="AI254" t="str">
        <f t="shared" si="6"/>
        <v>First Class</v>
      </c>
      <c r="AJ254" s="3" t="str">
        <f t="shared" si="5"/>
        <v>anomaly</v>
      </c>
      <c r="AK254">
        <f>IFERROR(Y254-X254, "invalid date")</f>
        <v>3</v>
      </c>
      <c r="AL254" s="10">
        <v>0.2</v>
      </c>
      <c r="AM254" s="11">
        <v>2329.4720000000002</v>
      </c>
      <c r="AN254" s="11">
        <v>725.85200000000032</v>
      </c>
      <c r="AO254" s="10">
        <v>0.31159507390515973</v>
      </c>
      <c r="AP254" t="s">
        <v>4418</v>
      </c>
      <c r="AQ254" t="s">
        <v>4398</v>
      </c>
      <c r="AR254" t="s">
        <v>4170</v>
      </c>
      <c r="AS254" t="s">
        <v>4120</v>
      </c>
      <c r="AT254" t="s">
        <v>4115</v>
      </c>
      <c r="AU254">
        <v>3</v>
      </c>
      <c r="AV254" t="s">
        <v>4109</v>
      </c>
    </row>
    <row r="255" spans="1:48">
      <c r="A255" t="s">
        <v>1332</v>
      </c>
      <c r="B255" t="s">
        <v>1333</v>
      </c>
      <c r="C255" t="s">
        <v>1334</v>
      </c>
      <c r="D255" t="s">
        <v>1335</v>
      </c>
      <c r="E255" t="s">
        <v>151</v>
      </c>
      <c r="F255" t="s">
        <v>50</v>
      </c>
      <c r="G255" t="s">
        <v>36</v>
      </c>
      <c r="H255" t="s">
        <v>37</v>
      </c>
      <c r="I255" t="s">
        <v>38</v>
      </c>
      <c r="J255" t="s">
        <v>95</v>
      </c>
      <c r="K255" t="s">
        <v>233</v>
      </c>
      <c r="L255" t="s">
        <v>1336</v>
      </c>
      <c r="M255" t="s">
        <v>57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133</v>
      </c>
      <c r="U255" t="s">
        <v>87</v>
      </c>
      <c r="W255" t="s">
        <v>1332</v>
      </c>
      <c r="X255" t="str">
        <v>12-09-24</v>
      </c>
      <c r="Y255" t="str">
        <v>invalid date</v>
      </c>
      <c r="Z255" t="s">
        <v>1335</v>
      </c>
      <c r="AA255" t="str">
        <v>Priya Menon</v>
      </c>
      <c r="AB255" t="str">
        <f>TRIM(PROPER(F:F))</f>
        <v>Small Business</v>
      </c>
      <c r="AC255" t="str">
        <f>TRIM(PROPER(G:G))</f>
        <v>North</v>
      </c>
      <c r="AD255" t="str">
        <f>TRIM(PROPER(H:H))</f>
        <v>Rajasthan</v>
      </c>
      <c r="AE255" t="str">
        <f>TRIM(PROPER(I:I))</f>
        <v>Jaipur</v>
      </c>
      <c r="AF255" t="str">
        <f>TRIM(PROPER(J:J))</f>
        <v>Technology</v>
      </c>
      <c r="AG255" t="str">
        <f>TRIM(PROPER(K:K))</f>
        <v>Phones</v>
      </c>
      <c r="AH255" t="str">
        <f t="shared" si="6"/>
        <v>Classic Phones 442</v>
      </c>
      <c r="AI255" t="str">
        <f t="shared" si="6"/>
        <v>Same Day</v>
      </c>
      <c r="AJ255" s="3" t="str">
        <f t="shared" si="5"/>
        <v>Invalid</v>
      </c>
      <c r="AK255" t="str">
        <f>IFERROR(Y255-X255, "invalid date")</f>
        <v>invalid date</v>
      </c>
      <c r="AL255" s="10">
        <v>0.05</v>
      </c>
      <c r="AM255" s="11">
        <v>4746.9029999999993</v>
      </c>
      <c r="AN255" s="11">
        <v>1921.5229999999992</v>
      </c>
      <c r="AO255" s="10">
        <v>0.40479508428969363</v>
      </c>
      <c r="AP255" t="s">
        <v>4419</v>
      </c>
      <c r="AQ255" t="s">
        <v>4105</v>
      </c>
      <c r="AR255" t="s">
        <v>4134</v>
      </c>
      <c r="AS255" t="s">
        <v>4107</v>
      </c>
      <c r="AT255" t="s">
        <v>4108</v>
      </c>
      <c r="AU255" t="s">
        <v>4105</v>
      </c>
      <c r="AV255" t="s">
        <v>4109</v>
      </c>
    </row>
    <row r="256" spans="1:48">
      <c r="A256" t="s">
        <v>1337</v>
      </c>
      <c r="B256" t="s">
        <v>1338</v>
      </c>
      <c r="C256" t="s">
        <v>1339</v>
      </c>
      <c r="D256" t="s">
        <v>1340</v>
      </c>
      <c r="E256" t="s">
        <v>81</v>
      </c>
      <c r="F256" t="s">
        <v>35</v>
      </c>
      <c r="G256" t="s">
        <v>82</v>
      </c>
      <c r="H256" t="s">
        <v>93</v>
      </c>
      <c r="I256" t="s">
        <v>94</v>
      </c>
      <c r="J256" t="s">
        <v>95</v>
      </c>
      <c r="K256" t="s">
        <v>96</v>
      </c>
      <c r="L256" t="s">
        <v>1341</v>
      </c>
      <c r="M256" t="s">
        <v>57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43</v>
      </c>
      <c r="U256" t="s">
        <v>134</v>
      </c>
      <c r="W256" t="s">
        <v>1337</v>
      </c>
      <c r="X256" t="str">
        <v>01-01-25</v>
      </c>
      <c r="Y256" t="str">
        <v>03-01-25</v>
      </c>
      <c r="Z256" t="s">
        <v>1340</v>
      </c>
      <c r="AA256" t="str">
        <v>Ananya Rao</v>
      </c>
      <c r="AB256" t="str">
        <f>TRIM(PROPER(F:F))</f>
        <v>Consumer</v>
      </c>
      <c r="AC256" t="str">
        <f>TRIM(PROPER(G:G))</f>
        <v>West</v>
      </c>
      <c r="AD256" t="str">
        <f>TRIM(PROPER(H:H))</f>
        <v>Madhya Pradesh</v>
      </c>
      <c r="AE256" t="str">
        <f>TRIM(PROPER(I:I))</f>
        <v>Indore</v>
      </c>
      <c r="AF256" t="str">
        <f>TRIM(PROPER(J:J))</f>
        <v>Technology</v>
      </c>
      <c r="AG256" t="str">
        <f>TRIM(PROPER(K:K))</f>
        <v>Accessories</v>
      </c>
      <c r="AH256" t="str">
        <f t="shared" si="6"/>
        <v>Elite Accessories 978</v>
      </c>
      <c r="AI256" t="str">
        <f t="shared" si="6"/>
        <v>Same Day</v>
      </c>
      <c r="AJ256" s="3" t="str">
        <f t="shared" si="5"/>
        <v>anomaly</v>
      </c>
      <c r="AK256">
        <f>IFERROR(Y256-X256, "invalid date")</f>
        <v>2</v>
      </c>
      <c r="AL256" s="10">
        <v>0.2</v>
      </c>
      <c r="AM256" s="11">
        <v>5603.08</v>
      </c>
      <c r="AN256" s="11">
        <v>2470.56</v>
      </c>
      <c r="AO256" s="10">
        <v>0.44092891766671188</v>
      </c>
      <c r="AP256" t="s">
        <v>4289</v>
      </c>
      <c r="AQ256" t="s">
        <v>4420</v>
      </c>
      <c r="AR256" t="s">
        <v>4153</v>
      </c>
      <c r="AS256" t="s">
        <v>4120</v>
      </c>
      <c r="AT256" t="s">
        <v>4115</v>
      </c>
      <c r="AU256">
        <v>2</v>
      </c>
      <c r="AV256" t="s">
        <v>4109</v>
      </c>
    </row>
    <row r="257" spans="1:48">
      <c r="A257" t="s">
        <v>1342</v>
      </c>
      <c r="B257" t="s">
        <v>1343</v>
      </c>
      <c r="C257" t="s">
        <v>1344</v>
      </c>
      <c r="D257" t="s">
        <v>1345</v>
      </c>
      <c r="E257" t="s">
        <v>62</v>
      </c>
      <c r="F257" t="s">
        <v>117</v>
      </c>
      <c r="G257" t="s">
        <v>82</v>
      </c>
      <c r="H257" t="s">
        <v>83</v>
      </c>
      <c r="I257" t="s">
        <v>84</v>
      </c>
      <c r="J257" t="s">
        <v>95</v>
      </c>
      <c r="K257" t="s">
        <v>233</v>
      </c>
      <c r="L257" t="s">
        <v>1346</v>
      </c>
      <c r="M257" t="s">
        <v>65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43</v>
      </c>
      <c r="U257" t="s">
        <v>44</v>
      </c>
      <c r="W257" t="s">
        <v>1342</v>
      </c>
      <c r="X257" t="str">
        <v>04-02-25</v>
      </c>
      <c r="Y257" t="str">
        <v>02-10-25</v>
      </c>
      <c r="Z257" t="s">
        <v>1345</v>
      </c>
      <c r="AA257" t="str">
        <v>Isha Nair</v>
      </c>
      <c r="AB257" t="str">
        <f>TRIM(PROPER(F:F))</f>
        <v>Corporate</v>
      </c>
      <c r="AC257" t="str">
        <f>TRIM(PROPER(G:G))</f>
        <v>West</v>
      </c>
      <c r="AD257" t="str">
        <f>TRIM(PROPER(H:H))</f>
        <v>Maharashtra</v>
      </c>
      <c r="AE257" t="str">
        <f>TRIM(PROPER(I:I))</f>
        <v>Mumbai</v>
      </c>
      <c r="AF257" t="str">
        <f>TRIM(PROPER(J:J))</f>
        <v>Technology</v>
      </c>
      <c r="AG257" t="str">
        <f>TRIM(PROPER(K:K))</f>
        <v>Phones</v>
      </c>
      <c r="AH257" t="str">
        <f t="shared" si="6"/>
        <v>Eco Phones 132</v>
      </c>
      <c r="AI257" t="str">
        <f t="shared" si="6"/>
        <v>First Class</v>
      </c>
      <c r="AJ257" s="3" t="str">
        <f t="shared" si="5"/>
        <v xml:space="preserve">  </v>
      </c>
      <c r="AK257">
        <f>IFERROR(Y257-X257, "invalid date")</f>
        <v>240</v>
      </c>
      <c r="AL257" s="10">
        <v>0</v>
      </c>
      <c r="AM257" s="11">
        <v>12810</v>
      </c>
      <c r="AN257" s="11">
        <v>3475.8799999999992</v>
      </c>
      <c r="AO257" s="10">
        <v>0.27134113973458229</v>
      </c>
      <c r="AP257" t="s">
        <v>4332</v>
      </c>
      <c r="AQ257" t="s">
        <v>4421</v>
      </c>
      <c r="AR257" t="s">
        <v>4129</v>
      </c>
      <c r="AS257" t="s">
        <v>4120</v>
      </c>
      <c r="AT257" t="s">
        <v>4121</v>
      </c>
      <c r="AU257">
        <v>240</v>
      </c>
      <c r="AV257" t="s">
        <v>4109</v>
      </c>
    </row>
    <row r="258" spans="1:48">
      <c r="A258" t="s">
        <v>1347</v>
      </c>
      <c r="B258" t="s">
        <v>1348</v>
      </c>
      <c r="C258" t="s">
        <v>494</v>
      </c>
      <c r="D258" t="s">
        <v>1349</v>
      </c>
      <c r="E258" t="s">
        <v>81</v>
      </c>
      <c r="F258" t="s">
        <v>35</v>
      </c>
      <c r="G258" t="s">
        <v>51</v>
      </c>
      <c r="H258" t="s">
        <v>130</v>
      </c>
      <c r="I258" t="s">
        <v>131</v>
      </c>
      <c r="J258" t="s">
        <v>54</v>
      </c>
      <c r="K258" t="s">
        <v>55</v>
      </c>
      <c r="L258" t="s">
        <v>1350</v>
      </c>
      <c r="M258" t="s">
        <v>65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43</v>
      </c>
      <c r="U258" t="s">
        <v>44</v>
      </c>
      <c r="W258" t="s">
        <v>1347</v>
      </c>
      <c r="X258" t="str">
        <v>05-11-24</v>
      </c>
      <c r="Y258" t="str">
        <v>03-11-24</v>
      </c>
      <c r="Z258" t="s">
        <v>1349</v>
      </c>
      <c r="AA258" t="str">
        <v>Ananya Rao</v>
      </c>
      <c r="AB258" t="str">
        <f>TRIM(PROPER(F:F))</f>
        <v>Consumer</v>
      </c>
      <c r="AC258" t="str">
        <f>TRIM(PROPER(G:G))</f>
        <v>East</v>
      </c>
      <c r="AD258" t="str">
        <f>TRIM(PROPER(H:H))</f>
        <v>West Bengal</v>
      </c>
      <c r="AE258" t="str">
        <f>TRIM(PROPER(I:I))</f>
        <v>Kolkata</v>
      </c>
      <c r="AF258" t="str">
        <f>TRIM(PROPER(J:J))</f>
        <v>Furniture</v>
      </c>
      <c r="AG258" t="str">
        <f>TRIM(PROPER(K:K))</f>
        <v>Tables</v>
      </c>
      <c r="AH258" t="str">
        <f t="shared" si="6"/>
        <v>Prime Tables 481</v>
      </c>
      <c r="AI258" t="str">
        <f t="shared" si="6"/>
        <v>First Class</v>
      </c>
      <c r="AJ258" s="3" t="str">
        <f t="shared" si="5"/>
        <v xml:space="preserve">  </v>
      </c>
      <c r="AK258">
        <f>IFERROR(Y258-X258, "invalid date")</f>
        <v>-2</v>
      </c>
      <c r="AL258" s="10">
        <v>0.05</v>
      </c>
      <c r="AM258" s="11">
        <v>19328.215500000002</v>
      </c>
      <c r="AN258" s="11">
        <v>7288.7155000000021</v>
      </c>
      <c r="AO258" s="10">
        <v>0.3771023507058891</v>
      </c>
      <c r="AP258" t="s">
        <v>4422</v>
      </c>
      <c r="AQ258" t="s">
        <v>4236</v>
      </c>
      <c r="AR258" t="s">
        <v>4117</v>
      </c>
      <c r="AS258" t="s">
        <v>4107</v>
      </c>
      <c r="AT258" t="s">
        <v>4121</v>
      </c>
      <c r="AU258">
        <v>-2</v>
      </c>
      <c r="AV258" t="s">
        <v>4109</v>
      </c>
    </row>
    <row r="259" spans="1:48">
      <c r="A259" t="s">
        <v>1351</v>
      </c>
      <c r="B259" t="s">
        <v>1352</v>
      </c>
      <c r="C259" t="s">
        <v>1353</v>
      </c>
      <c r="D259" t="s">
        <v>1354</v>
      </c>
      <c r="E259" t="s">
        <v>220</v>
      </c>
      <c r="F259" t="s">
        <v>117</v>
      </c>
      <c r="G259" t="s">
        <v>71</v>
      </c>
      <c r="H259" t="s">
        <v>239</v>
      </c>
      <c r="I259" t="s">
        <v>240</v>
      </c>
      <c r="J259" t="s">
        <v>95</v>
      </c>
      <c r="K259" t="s">
        <v>96</v>
      </c>
      <c r="L259" t="s">
        <v>1355</v>
      </c>
      <c r="M259" t="s">
        <v>42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43</v>
      </c>
      <c r="U259" t="s">
        <v>87</v>
      </c>
      <c r="W259" t="s">
        <v>1351</v>
      </c>
      <c r="X259" t="str">
        <v>09-08-25</v>
      </c>
      <c r="Y259" t="str">
        <v>12-08-25</v>
      </c>
      <c r="Z259" t="s">
        <v>1354</v>
      </c>
      <c r="AA259" t="str">
        <v>Diya Patel</v>
      </c>
      <c r="AB259" t="str">
        <f>TRIM(PROPER(F:F))</f>
        <v>Corporate</v>
      </c>
      <c r="AC259" t="str">
        <f>TRIM(PROPER(G:G))</f>
        <v>South</v>
      </c>
      <c r="AD259" t="str">
        <f>TRIM(PROPER(H:H))</f>
        <v>Karnataka</v>
      </c>
      <c r="AE259" t="str">
        <f>TRIM(PROPER(I:I))</f>
        <v>Bengaluru</v>
      </c>
      <c r="AF259" t="str">
        <f>TRIM(PROPER(J:J))</f>
        <v>Technology</v>
      </c>
      <c r="AG259" t="str">
        <f>TRIM(PROPER(K:K))</f>
        <v>Accessories</v>
      </c>
      <c r="AH259" t="str">
        <f t="shared" si="6"/>
        <v>Smart Accessories 180</v>
      </c>
      <c r="AI259" t="str">
        <f t="shared" si="6"/>
        <v>Second Class</v>
      </c>
      <c r="AJ259" s="3" t="str">
        <f t="shared" ref="AJ259:AJ322" si="7">IF(OR(X:X="Invalid Date",Y:Y="Invalid Date"),"Invalid",(IF(X:X&lt;Y:Y,"anomaly", "  ")))</f>
        <v>anomaly</v>
      </c>
      <c r="AK259">
        <f>IFERROR(Y259-X259, "invalid date")</f>
        <v>3</v>
      </c>
      <c r="AL259" s="10">
        <v>0</v>
      </c>
      <c r="AM259" s="11">
        <v>6474.54</v>
      </c>
      <c r="AN259" s="11">
        <v>1378.63</v>
      </c>
      <c r="AO259" s="10">
        <v>0.21293095725719513</v>
      </c>
      <c r="AP259" t="s">
        <v>4423</v>
      </c>
      <c r="AQ259" t="s">
        <v>4424</v>
      </c>
      <c r="AR259" t="s">
        <v>4114</v>
      </c>
      <c r="AS259" t="s">
        <v>4120</v>
      </c>
      <c r="AT259" t="s">
        <v>4115</v>
      </c>
      <c r="AU259">
        <v>3</v>
      </c>
      <c r="AV259" t="s">
        <v>4109</v>
      </c>
    </row>
    <row r="260" spans="1:48">
      <c r="A260" t="s">
        <v>1356</v>
      </c>
      <c r="B260" t="s">
        <v>835</v>
      </c>
      <c r="C260" t="s">
        <v>1357</v>
      </c>
      <c r="D260" t="s">
        <v>1358</v>
      </c>
      <c r="E260" t="s">
        <v>177</v>
      </c>
      <c r="F260" t="s">
        <v>117</v>
      </c>
      <c r="G260" t="s">
        <v>71</v>
      </c>
      <c r="H260" t="s">
        <v>350</v>
      </c>
      <c r="I260" t="s">
        <v>351</v>
      </c>
      <c r="J260" t="s">
        <v>54</v>
      </c>
      <c r="K260" t="s">
        <v>55</v>
      </c>
      <c r="L260" t="s">
        <v>1359</v>
      </c>
      <c r="M260" t="s">
        <v>57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43</v>
      </c>
      <c r="U260" t="s">
        <v>44</v>
      </c>
      <c r="W260" t="s">
        <v>1356</v>
      </c>
      <c r="X260" t="str">
        <v>30-12-24</v>
      </c>
      <c r="Y260" t="str">
        <v>04-01-25</v>
      </c>
      <c r="Z260" t="s">
        <v>1358</v>
      </c>
      <c r="AA260" t="str">
        <v>Sneha Kapoor</v>
      </c>
      <c r="AB260" t="str">
        <f>TRIM(PROPER(F:F))</f>
        <v>Corporate</v>
      </c>
      <c r="AC260" t="str">
        <f>TRIM(PROPER(G:G))</f>
        <v>South</v>
      </c>
      <c r="AD260" t="str">
        <f>TRIM(PROPER(H:H))</f>
        <v>Tamil Nadu</v>
      </c>
      <c r="AE260" t="str">
        <f>TRIM(PROPER(I:I))</f>
        <v>Chennai</v>
      </c>
      <c r="AF260" t="str">
        <f>TRIM(PROPER(J:J))</f>
        <v>Furniture</v>
      </c>
      <c r="AG260" t="str">
        <f>TRIM(PROPER(K:K))</f>
        <v>Tables</v>
      </c>
      <c r="AH260" t="str">
        <f t="shared" si="6"/>
        <v>Smart Tables 774</v>
      </c>
      <c r="AI260" t="str">
        <f t="shared" si="6"/>
        <v>Same Day</v>
      </c>
      <c r="AJ260" s="3" t="str">
        <f t="shared" si="7"/>
        <v xml:space="preserve">  </v>
      </c>
      <c r="AK260">
        <f>IFERROR(Y260-X260, "invalid date")</f>
        <v>5</v>
      </c>
      <c r="AL260" s="10">
        <v>0.25</v>
      </c>
      <c r="AM260" s="11">
        <v>5580.1050000000005</v>
      </c>
      <c r="AN260" s="11">
        <v>1273.0950000000003</v>
      </c>
      <c r="AO260" s="10">
        <v>0.22814893268137429</v>
      </c>
      <c r="AP260" t="s">
        <v>4322</v>
      </c>
      <c r="AQ260" t="s">
        <v>4425</v>
      </c>
      <c r="AR260" t="s">
        <v>4139</v>
      </c>
      <c r="AS260" t="s">
        <v>4107</v>
      </c>
      <c r="AT260" t="s">
        <v>4121</v>
      </c>
      <c r="AU260">
        <v>5</v>
      </c>
      <c r="AV260" t="s">
        <v>4109</v>
      </c>
    </row>
    <row r="261" spans="1:48">
      <c r="A261" t="s">
        <v>1360</v>
      </c>
      <c r="B261" t="s">
        <v>1361</v>
      </c>
      <c r="C261" t="s">
        <v>1362</v>
      </c>
      <c r="D261" t="s">
        <v>1363</v>
      </c>
      <c r="E261" t="s">
        <v>102</v>
      </c>
      <c r="F261" t="s">
        <v>35</v>
      </c>
      <c r="G261" t="s">
        <v>71</v>
      </c>
      <c r="H261" t="s">
        <v>350</v>
      </c>
      <c r="I261" t="s">
        <v>351</v>
      </c>
      <c r="J261" t="s">
        <v>95</v>
      </c>
      <c r="K261" t="s">
        <v>393</v>
      </c>
      <c r="L261" t="s">
        <v>1364</v>
      </c>
      <c r="M261" t="s">
        <v>76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43</v>
      </c>
      <c r="U261" t="s">
        <v>44</v>
      </c>
      <c r="W261" t="s">
        <v>1360</v>
      </c>
      <c r="X261" t="str">
        <v>invalid date</v>
      </c>
      <c r="Y261" t="str">
        <v>29-06-24</v>
      </c>
      <c r="Z261" t="s">
        <v>1363</v>
      </c>
      <c r="AA261" t="str">
        <v>Neha Gupta</v>
      </c>
      <c r="AB261" t="str">
        <f>TRIM(PROPER(F:F))</f>
        <v>Consumer</v>
      </c>
      <c r="AC261" t="str">
        <f>TRIM(PROPER(G:G))</f>
        <v>South</v>
      </c>
      <c r="AD261" t="str">
        <f>TRIM(PROPER(H:H))</f>
        <v>Tamil Nadu</v>
      </c>
      <c r="AE261" t="str">
        <f>TRIM(PROPER(I:I))</f>
        <v>Chennai</v>
      </c>
      <c r="AF261" t="str">
        <f>TRIM(PROPER(J:J))</f>
        <v>Technology</v>
      </c>
      <c r="AG261" t="str">
        <f>TRIM(PROPER(K:K))</f>
        <v>Machines</v>
      </c>
      <c r="AH261" t="str">
        <f t="shared" si="6"/>
        <v>Prime Machines 793</v>
      </c>
      <c r="AI261" t="str">
        <f t="shared" si="6"/>
        <v>Standard Class</v>
      </c>
      <c r="AJ261" s="3" t="str">
        <f t="shared" si="7"/>
        <v>Invalid</v>
      </c>
      <c r="AK261" t="str">
        <f>IFERROR(Y261-X261, "invalid date")</f>
        <v>invalid date</v>
      </c>
      <c r="AL261" s="10">
        <v>0.2</v>
      </c>
      <c r="AM261" s="11">
        <v>18265.088</v>
      </c>
      <c r="AN261" s="11">
        <v>7827.9480000000003</v>
      </c>
      <c r="AO261" s="10">
        <v>0.42857433810338064</v>
      </c>
      <c r="AP261" t="s">
        <v>4105</v>
      </c>
      <c r="AQ261" t="s">
        <v>4276</v>
      </c>
      <c r="AR261" t="s">
        <v>4105</v>
      </c>
      <c r="AS261" t="s">
        <v>4105</v>
      </c>
      <c r="AT261" t="s">
        <v>4108</v>
      </c>
      <c r="AU261" t="s">
        <v>4105</v>
      </c>
      <c r="AV261" t="s">
        <v>4109</v>
      </c>
    </row>
    <row r="262" spans="1:48">
      <c r="A262" t="s">
        <v>1365</v>
      </c>
      <c r="B262" t="s">
        <v>1366</v>
      </c>
      <c r="C262" t="s">
        <v>1367</v>
      </c>
      <c r="D262" t="s">
        <v>1368</v>
      </c>
      <c r="E262" t="s">
        <v>116</v>
      </c>
      <c r="F262" t="s">
        <v>117</v>
      </c>
      <c r="G262" t="s">
        <v>51</v>
      </c>
      <c r="H262" t="s">
        <v>130</v>
      </c>
      <c r="I262" t="s">
        <v>131</v>
      </c>
      <c r="J262" t="s">
        <v>39</v>
      </c>
      <c r="K262" t="s">
        <v>208</v>
      </c>
      <c r="L262" t="s">
        <v>1369</v>
      </c>
      <c r="M262" t="s">
        <v>57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210</v>
      </c>
      <c r="U262" t="s">
        <v>134</v>
      </c>
      <c r="W262" t="s">
        <v>1365</v>
      </c>
      <c r="X262" t="str">
        <v>23-09-25</v>
      </c>
      <c r="Y262" t="str">
        <v>invalid date</v>
      </c>
      <c r="Z262" t="s">
        <v>1368</v>
      </c>
      <c r="AA262" t="str">
        <v>Aditi Sen</v>
      </c>
      <c r="AB262" t="str">
        <f>TRIM(PROPER(F:F))</f>
        <v>Corporate</v>
      </c>
      <c r="AC262" t="str">
        <f>TRIM(PROPER(G:G))</f>
        <v>East</v>
      </c>
      <c r="AD262" t="str">
        <f>TRIM(PROPER(H:H))</f>
        <v>West Bengal</v>
      </c>
      <c r="AE262" t="str">
        <f>TRIM(PROPER(I:I))</f>
        <v>Kolkata</v>
      </c>
      <c r="AF262" t="str">
        <f>TRIM(PROPER(J:J))</f>
        <v>Office Supplies</v>
      </c>
      <c r="AG262" t="str">
        <f>TRIM(PROPER(K:K))</f>
        <v>Binders</v>
      </c>
      <c r="AH262" t="str">
        <f t="shared" si="6"/>
        <v>Elite Binders 827</v>
      </c>
      <c r="AI262" t="str">
        <f t="shared" si="6"/>
        <v>Same Day</v>
      </c>
      <c r="AJ262" s="3" t="str">
        <f t="shared" si="7"/>
        <v>Invalid</v>
      </c>
      <c r="AK262" t="str">
        <f>IFERROR(Y262-X262, "invalid date")</f>
        <v>invalid date</v>
      </c>
      <c r="AL262" s="10">
        <v>0.25</v>
      </c>
      <c r="AM262" s="11">
        <v>15209.880000000001</v>
      </c>
      <c r="AN262" s="11">
        <v>4318.7300000000014</v>
      </c>
      <c r="AO262" s="10">
        <v>0.28394241111698454</v>
      </c>
      <c r="AP262" t="s">
        <v>4328</v>
      </c>
      <c r="AQ262" t="s">
        <v>4105</v>
      </c>
      <c r="AR262" t="s">
        <v>4134</v>
      </c>
      <c r="AS262" t="s">
        <v>4120</v>
      </c>
      <c r="AT262" t="s">
        <v>4108</v>
      </c>
      <c r="AU262" t="s">
        <v>4105</v>
      </c>
      <c r="AV262" t="s">
        <v>4109</v>
      </c>
    </row>
    <row r="263" spans="1:48">
      <c r="A263" t="s">
        <v>1370</v>
      </c>
      <c r="B263" t="s">
        <v>1371</v>
      </c>
      <c r="C263" t="s">
        <v>1372</v>
      </c>
      <c r="D263" t="s">
        <v>1373</v>
      </c>
      <c r="E263" t="s">
        <v>177</v>
      </c>
      <c r="F263" t="s">
        <v>117</v>
      </c>
      <c r="G263" t="s">
        <v>36</v>
      </c>
      <c r="H263" t="s">
        <v>37</v>
      </c>
      <c r="I263" t="s">
        <v>38</v>
      </c>
      <c r="J263" t="s">
        <v>39</v>
      </c>
      <c r="K263" t="s">
        <v>118</v>
      </c>
      <c r="L263" t="s">
        <v>1374</v>
      </c>
      <c r="M263" t="s">
        <v>76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210</v>
      </c>
      <c r="U263" t="s">
        <v>87</v>
      </c>
      <c r="W263" t="s">
        <v>1370</v>
      </c>
      <c r="X263" t="str">
        <v>invalid date</v>
      </c>
      <c r="Y263" t="str">
        <v>invalid date</v>
      </c>
      <c r="Z263" t="s">
        <v>1373</v>
      </c>
      <c r="AA263" t="str">
        <v>Sneha Kapoor</v>
      </c>
      <c r="AB263" t="str">
        <f>TRIM(PROPER(F:F))</f>
        <v>Corporate</v>
      </c>
      <c r="AC263" t="str">
        <f>TRIM(PROPER(G:G))</f>
        <v>North</v>
      </c>
      <c r="AD263" t="str">
        <f>TRIM(PROPER(H:H))</f>
        <v>Rajasthan</v>
      </c>
      <c r="AE263" t="str">
        <f>TRIM(PROPER(I:I))</f>
        <v>Jaipur</v>
      </c>
      <c r="AF263" t="str">
        <f>TRIM(PROPER(J:J))</f>
        <v>Office Supplies</v>
      </c>
      <c r="AG263" t="str">
        <f>TRIM(PROPER(K:K))</f>
        <v>Labels</v>
      </c>
      <c r="AH263" t="str">
        <f t="shared" si="6"/>
        <v>Prime Labels 326</v>
      </c>
      <c r="AI263" t="str">
        <f t="shared" si="6"/>
        <v>Standard Class</v>
      </c>
      <c r="AJ263" s="3" t="str">
        <f t="shared" si="7"/>
        <v>Invalid</v>
      </c>
      <c r="AK263" t="str">
        <f>IFERROR(Y263-X263, "invalid date")</f>
        <v>invalid date</v>
      </c>
      <c r="AL263" s="10">
        <v>0.2</v>
      </c>
      <c r="AM263" s="11">
        <v>1648.1760000000004</v>
      </c>
      <c r="AN263" s="11">
        <v>660.26600000000042</v>
      </c>
      <c r="AO263" s="10">
        <v>0.40060406170214846</v>
      </c>
      <c r="AP263" t="s">
        <v>4105</v>
      </c>
      <c r="AQ263" t="s">
        <v>4105</v>
      </c>
      <c r="AR263" t="s">
        <v>4105</v>
      </c>
      <c r="AS263" t="s">
        <v>4105</v>
      </c>
      <c r="AT263" t="s">
        <v>4108</v>
      </c>
      <c r="AU263" t="s">
        <v>4105</v>
      </c>
      <c r="AV263" t="s">
        <v>4109</v>
      </c>
    </row>
    <row r="264" spans="1:48">
      <c r="A264" t="s">
        <v>1375</v>
      </c>
      <c r="B264" t="s">
        <v>1376</v>
      </c>
      <c r="C264" t="s">
        <v>1377</v>
      </c>
      <c r="D264" t="s">
        <v>960</v>
      </c>
      <c r="E264" t="s">
        <v>70</v>
      </c>
      <c r="F264" t="s">
        <v>50</v>
      </c>
      <c r="G264" t="s">
        <v>36</v>
      </c>
      <c r="H264" t="s">
        <v>517</v>
      </c>
      <c r="I264" t="s">
        <v>518</v>
      </c>
      <c r="J264" t="s">
        <v>95</v>
      </c>
      <c r="K264" t="s">
        <v>233</v>
      </c>
      <c r="L264" t="s">
        <v>1378</v>
      </c>
      <c r="M264" t="s">
        <v>57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146</v>
      </c>
      <c r="U264" t="s">
        <v>134</v>
      </c>
      <c r="W264" t="s">
        <v>1375</v>
      </c>
      <c r="X264" t="str">
        <v>26-05-25</v>
      </c>
      <c r="Y264" t="str">
        <v>01-06-25</v>
      </c>
      <c r="Z264" t="s">
        <v>960</v>
      </c>
      <c r="AA264" t="str">
        <v>Arjun Bose</v>
      </c>
      <c r="AB264" t="str">
        <f>TRIM(PROPER(F:F))</f>
        <v>Small Business</v>
      </c>
      <c r="AC264" t="str">
        <f>TRIM(PROPER(G:G))</f>
        <v>North</v>
      </c>
      <c r="AD264" t="str">
        <f>TRIM(PROPER(H:H))</f>
        <v>Delhi</v>
      </c>
      <c r="AE264" t="str">
        <f>TRIM(PROPER(I:I))</f>
        <v>New Delhi</v>
      </c>
      <c r="AF264" t="str">
        <f>TRIM(PROPER(J:J))</f>
        <v>Technology</v>
      </c>
      <c r="AG264" t="str">
        <f>TRIM(PROPER(K:K))</f>
        <v>Phones</v>
      </c>
      <c r="AH264" t="str">
        <f t="shared" si="6"/>
        <v>Eco Phones 245</v>
      </c>
      <c r="AI264" t="str">
        <f t="shared" si="6"/>
        <v>Same Day</v>
      </c>
      <c r="AJ264" s="3" t="str">
        <f t="shared" si="7"/>
        <v xml:space="preserve">  </v>
      </c>
      <c r="AK264">
        <f>IFERROR(Y264-X264, "invalid date")</f>
        <v>6</v>
      </c>
      <c r="AL264" s="10">
        <v>0</v>
      </c>
      <c r="AM264" s="11">
        <v>13399.44</v>
      </c>
      <c r="AN264" s="11">
        <v>4818.09</v>
      </c>
      <c r="AO264" s="10">
        <v>0.3595739821962709</v>
      </c>
      <c r="AP264" t="s">
        <v>4426</v>
      </c>
      <c r="AQ264" t="s">
        <v>4427</v>
      </c>
      <c r="AR264" t="s">
        <v>4124</v>
      </c>
      <c r="AS264" t="s">
        <v>4120</v>
      </c>
      <c r="AT264" t="s">
        <v>4121</v>
      </c>
      <c r="AU264">
        <v>6</v>
      </c>
      <c r="AV264" t="s">
        <v>4109</v>
      </c>
    </row>
    <row r="265" spans="1:48">
      <c r="A265" t="s">
        <v>1379</v>
      </c>
      <c r="B265" t="s">
        <v>1380</v>
      </c>
      <c r="C265" t="s">
        <v>954</v>
      </c>
      <c r="D265" t="s">
        <v>1381</v>
      </c>
      <c r="E265" t="s">
        <v>189</v>
      </c>
      <c r="F265" t="s">
        <v>50</v>
      </c>
      <c r="G265" t="s">
        <v>36</v>
      </c>
      <c r="H265" t="s">
        <v>517</v>
      </c>
      <c r="I265" t="s">
        <v>518</v>
      </c>
      <c r="J265" t="s">
        <v>39</v>
      </c>
      <c r="K265" t="s">
        <v>208</v>
      </c>
      <c r="L265" t="s">
        <v>1382</v>
      </c>
      <c r="M265" t="s">
        <v>42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146</v>
      </c>
      <c r="U265" t="s">
        <v>134</v>
      </c>
      <c r="W265" t="s">
        <v>1379</v>
      </c>
      <c r="X265" t="str">
        <v>06-08-25</v>
      </c>
      <c r="Y265" t="str">
        <v>10-08-25</v>
      </c>
      <c r="Z265" t="s">
        <v>1381</v>
      </c>
      <c r="AA265" t="str">
        <v>Rohan Mehta</v>
      </c>
      <c r="AB265" t="str">
        <f>TRIM(PROPER(F:F))</f>
        <v>Small Business</v>
      </c>
      <c r="AC265" t="str">
        <f>TRIM(PROPER(G:G))</f>
        <v>North</v>
      </c>
      <c r="AD265" t="str">
        <f>TRIM(PROPER(H:H))</f>
        <v>Delhi</v>
      </c>
      <c r="AE265" t="str">
        <f>TRIM(PROPER(I:I))</f>
        <v>New Delhi</v>
      </c>
      <c r="AF265" t="str">
        <f>TRIM(PROPER(J:J))</f>
        <v>Office Supplies</v>
      </c>
      <c r="AG265" t="str">
        <f>TRIM(PROPER(K:K))</f>
        <v>Binders</v>
      </c>
      <c r="AH265" t="str">
        <f t="shared" si="6"/>
        <v>Smart Binders 905</v>
      </c>
      <c r="AI265" t="str">
        <f t="shared" si="6"/>
        <v>Second Class</v>
      </c>
      <c r="AJ265" s="3" t="str">
        <f t="shared" si="7"/>
        <v>anomaly</v>
      </c>
      <c r="AK265">
        <f>IFERROR(Y265-X265, "invalid date")</f>
        <v>4</v>
      </c>
      <c r="AL265" s="10">
        <v>0.1</v>
      </c>
      <c r="AM265" s="11">
        <v>32743.844999999998</v>
      </c>
      <c r="AN265" s="11">
        <v>10291.794999999998</v>
      </c>
      <c r="AO265" s="10">
        <v>0.314312353970647</v>
      </c>
      <c r="AP265" t="s">
        <v>4428</v>
      </c>
      <c r="AQ265" t="s">
        <v>4343</v>
      </c>
      <c r="AR265" t="s">
        <v>4114</v>
      </c>
      <c r="AS265" t="s">
        <v>4120</v>
      </c>
      <c r="AT265" t="s">
        <v>4115</v>
      </c>
      <c r="AU265">
        <v>4</v>
      </c>
      <c r="AV265" t="s">
        <v>4109</v>
      </c>
    </row>
    <row r="266" spans="1:48">
      <c r="A266" t="s">
        <v>1383</v>
      </c>
      <c r="B266" t="s">
        <v>1384</v>
      </c>
      <c r="C266" t="s">
        <v>1385</v>
      </c>
      <c r="D266" t="s">
        <v>1386</v>
      </c>
      <c r="E266" t="s">
        <v>220</v>
      </c>
      <c r="F266" t="s">
        <v>50</v>
      </c>
      <c r="G266" t="s">
        <v>51</v>
      </c>
      <c r="H266" t="s">
        <v>196</v>
      </c>
      <c r="I266" t="s">
        <v>197</v>
      </c>
      <c r="J266" t="s">
        <v>95</v>
      </c>
      <c r="K266" t="s">
        <v>103</v>
      </c>
      <c r="L266" t="s">
        <v>1387</v>
      </c>
      <c r="M266" t="s">
        <v>76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43</v>
      </c>
      <c r="U266" t="s">
        <v>44</v>
      </c>
      <c r="W266" t="s">
        <v>1383</v>
      </c>
      <c r="X266" t="str">
        <v>16-05-24</v>
      </c>
      <c r="Y266" t="str">
        <v>invalid date</v>
      </c>
      <c r="Z266" t="s">
        <v>1386</v>
      </c>
      <c r="AA266" t="str">
        <v>Diya Patel</v>
      </c>
      <c r="AB266" t="str">
        <f>TRIM(PROPER(F:F))</f>
        <v>Small Business</v>
      </c>
      <c r="AC266" t="str">
        <f>TRIM(PROPER(G:G))</f>
        <v>East</v>
      </c>
      <c r="AD266" t="str">
        <f>TRIM(PROPER(H:H))</f>
        <v>Bihar</v>
      </c>
      <c r="AE266" t="str">
        <f>TRIM(PROPER(I:I))</f>
        <v>Patna</v>
      </c>
      <c r="AF266" t="str">
        <f>TRIM(PROPER(J:J))</f>
        <v>Technology</v>
      </c>
      <c r="AG266" t="str">
        <f>TRIM(PROPER(K:K))</f>
        <v>Copiers</v>
      </c>
      <c r="AH266" t="str">
        <f t="shared" si="6"/>
        <v>Pro Copiers 599</v>
      </c>
      <c r="AI266" t="str">
        <f t="shared" si="6"/>
        <v>Standard Class</v>
      </c>
      <c r="AJ266" s="3" t="str">
        <f t="shared" si="7"/>
        <v>Invalid</v>
      </c>
      <c r="AK266" t="str">
        <f>IFERROR(Y266-X266, "invalid date")</f>
        <v>invalid date</v>
      </c>
      <c r="AL266" s="10">
        <v>0</v>
      </c>
      <c r="AM266" s="11">
        <v>6012.28</v>
      </c>
      <c r="AN266" s="11">
        <v>2084.64</v>
      </c>
      <c r="AO266" s="10">
        <v>0.34673035853286938</v>
      </c>
      <c r="AP266" t="s">
        <v>4429</v>
      </c>
      <c r="AQ266" t="s">
        <v>4105</v>
      </c>
      <c r="AR266" t="s">
        <v>4124</v>
      </c>
      <c r="AS266" t="s">
        <v>4107</v>
      </c>
      <c r="AT266" t="s">
        <v>4108</v>
      </c>
      <c r="AU266" t="s">
        <v>4105</v>
      </c>
      <c r="AV266" t="s">
        <v>4109</v>
      </c>
    </row>
    <row r="267" spans="1:48">
      <c r="A267" t="s">
        <v>1388</v>
      </c>
      <c r="B267" t="s">
        <v>1389</v>
      </c>
      <c r="C267" t="s">
        <v>921</v>
      </c>
      <c r="D267" t="s">
        <v>1390</v>
      </c>
      <c r="E267" t="s">
        <v>151</v>
      </c>
      <c r="F267" t="s">
        <v>117</v>
      </c>
      <c r="G267" t="s">
        <v>51</v>
      </c>
      <c r="H267" t="s">
        <v>196</v>
      </c>
      <c r="I267" t="s">
        <v>197</v>
      </c>
      <c r="J267" t="s">
        <v>54</v>
      </c>
      <c r="K267" t="s">
        <v>214</v>
      </c>
      <c r="L267" t="s">
        <v>1391</v>
      </c>
      <c r="M267" t="s">
        <v>57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133</v>
      </c>
      <c r="U267" t="s">
        <v>87</v>
      </c>
      <c r="W267" t="s">
        <v>1388</v>
      </c>
      <c r="X267" t="str">
        <v>14-11-24</v>
      </c>
      <c r="Y267" t="str">
        <v>invalid date</v>
      </c>
      <c r="Z267" t="s">
        <v>1390</v>
      </c>
      <c r="AA267" t="str">
        <v>Priya Menon</v>
      </c>
      <c r="AB267" t="str">
        <f>TRIM(PROPER(F:F))</f>
        <v>Corporate</v>
      </c>
      <c r="AC267" t="str">
        <f>TRIM(PROPER(G:G))</f>
        <v>East</v>
      </c>
      <c r="AD267" t="str">
        <f>TRIM(PROPER(H:H))</f>
        <v>Bihar</v>
      </c>
      <c r="AE267" t="str">
        <f>TRIM(PROPER(I:I))</f>
        <v>Patna</v>
      </c>
      <c r="AF267" t="str">
        <f>TRIM(PROPER(J:J))</f>
        <v>Furniture</v>
      </c>
      <c r="AG267" t="str">
        <f>TRIM(PROPER(K:K))</f>
        <v>Bookcases</v>
      </c>
      <c r="AH267" t="str">
        <f t="shared" si="6"/>
        <v>Basic Bookcases 570</v>
      </c>
      <c r="AI267" t="str">
        <f t="shared" si="6"/>
        <v>Same Day</v>
      </c>
      <c r="AJ267" s="3" t="str">
        <f t="shared" si="7"/>
        <v>Invalid</v>
      </c>
      <c r="AK267" t="str">
        <f>IFERROR(Y267-X267, "invalid date")</f>
        <v>invalid date</v>
      </c>
      <c r="AL267" s="10">
        <v>0.15</v>
      </c>
      <c r="AM267" s="11">
        <v>495.0145</v>
      </c>
      <c r="AN267" s="11">
        <v>209.8845</v>
      </c>
      <c r="AO267" s="10">
        <v>0.42399667080459258</v>
      </c>
      <c r="AP267" t="s">
        <v>4430</v>
      </c>
      <c r="AQ267" t="s">
        <v>4105</v>
      </c>
      <c r="AR267" t="s">
        <v>4117</v>
      </c>
      <c r="AS267" t="s">
        <v>4107</v>
      </c>
      <c r="AT267" t="s">
        <v>4108</v>
      </c>
      <c r="AU267" t="s">
        <v>4105</v>
      </c>
      <c r="AV267" t="s">
        <v>4109</v>
      </c>
    </row>
    <row r="268" spans="1:48">
      <c r="A268" t="s">
        <v>1392</v>
      </c>
      <c r="B268" t="s">
        <v>1393</v>
      </c>
      <c r="C268" t="s">
        <v>1394</v>
      </c>
      <c r="D268" t="s">
        <v>1395</v>
      </c>
      <c r="E268" t="s">
        <v>102</v>
      </c>
      <c r="F268" t="s">
        <v>124</v>
      </c>
      <c r="G268" t="s">
        <v>82</v>
      </c>
      <c r="H268" t="s">
        <v>83</v>
      </c>
      <c r="I268" t="s">
        <v>84</v>
      </c>
      <c r="J268" t="s">
        <v>39</v>
      </c>
      <c r="K268" t="s">
        <v>165</v>
      </c>
      <c r="L268" t="s">
        <v>1396</v>
      </c>
      <c r="M268" t="s">
        <v>42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43</v>
      </c>
      <c r="U268" t="s">
        <v>44</v>
      </c>
      <c r="W268" t="s">
        <v>1392</v>
      </c>
      <c r="X268" t="str">
        <v>03-05-25</v>
      </c>
      <c r="Y268" t="str">
        <v>10-05-25</v>
      </c>
      <c r="Z268" t="s">
        <v>1395</v>
      </c>
      <c r="AA268" t="str">
        <v>Neha Gupta</v>
      </c>
      <c r="AB268" t="str">
        <f>TRIM(PROPER(F:F))</f>
        <v>Home Office</v>
      </c>
      <c r="AC268" t="str">
        <f>TRIM(PROPER(G:G))</f>
        <v>West</v>
      </c>
      <c r="AD268" t="str">
        <f>TRIM(PROPER(H:H))</f>
        <v>Maharashtra</v>
      </c>
      <c r="AE268" t="str">
        <f>TRIM(PROPER(I:I))</f>
        <v>Mumbai</v>
      </c>
      <c r="AF268" t="str">
        <f>TRIM(PROPER(J:J))</f>
        <v>Office Supplies</v>
      </c>
      <c r="AG268" t="str">
        <f>TRIM(PROPER(K:K))</f>
        <v>Storage</v>
      </c>
      <c r="AH268" t="str">
        <f t="shared" si="6"/>
        <v>Classic Storage 926</v>
      </c>
      <c r="AI268" t="str">
        <f t="shared" si="6"/>
        <v>Second Class</v>
      </c>
      <c r="AJ268" s="3" t="str">
        <f t="shared" si="7"/>
        <v>anomaly</v>
      </c>
      <c r="AK268">
        <f>IFERROR(Y268-X268, "invalid date")</f>
        <v>7</v>
      </c>
      <c r="AL268" s="10">
        <v>0</v>
      </c>
      <c r="AM268" s="11">
        <v>13017.72</v>
      </c>
      <c r="AN268" s="11">
        <v>2847.1499999999996</v>
      </c>
      <c r="AO268" s="10">
        <v>0.21871341525244051</v>
      </c>
      <c r="AP268" t="s">
        <v>4431</v>
      </c>
      <c r="AQ268" t="s">
        <v>4432</v>
      </c>
      <c r="AR268" t="s">
        <v>4124</v>
      </c>
      <c r="AS268" t="s">
        <v>4120</v>
      </c>
      <c r="AT268" t="s">
        <v>4115</v>
      </c>
      <c r="AU268">
        <v>7</v>
      </c>
      <c r="AV268" t="s">
        <v>4109</v>
      </c>
    </row>
    <row r="269" spans="1:48">
      <c r="A269" t="s">
        <v>1397</v>
      </c>
      <c r="B269" t="s">
        <v>1028</v>
      </c>
      <c r="C269" t="s">
        <v>1398</v>
      </c>
      <c r="D269" t="s">
        <v>1399</v>
      </c>
      <c r="E269" t="s">
        <v>220</v>
      </c>
      <c r="F269" t="s">
        <v>117</v>
      </c>
      <c r="G269" t="s">
        <v>51</v>
      </c>
      <c r="H269" t="s">
        <v>322</v>
      </c>
      <c r="I269" t="s">
        <v>323</v>
      </c>
      <c r="J269" t="s">
        <v>54</v>
      </c>
      <c r="K269" t="s">
        <v>74</v>
      </c>
      <c r="L269" t="s">
        <v>1400</v>
      </c>
      <c r="M269" t="s">
        <v>65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43</v>
      </c>
      <c r="U269" t="s">
        <v>44</v>
      </c>
      <c r="W269" t="s">
        <v>1397</v>
      </c>
      <c r="X269" t="str">
        <v>28-05-25</v>
      </c>
      <c r="Y269" t="str">
        <v>04-06-25</v>
      </c>
      <c r="Z269" t="s">
        <v>1399</v>
      </c>
      <c r="AA269" t="str">
        <v>Diya Patel</v>
      </c>
      <c r="AB269" t="str">
        <f>TRIM(PROPER(F:F))</f>
        <v>Corporate</v>
      </c>
      <c r="AC269" t="str">
        <f>TRIM(PROPER(G:G))</f>
        <v>East</v>
      </c>
      <c r="AD269" t="str">
        <f>TRIM(PROPER(H:H))</f>
        <v>Jharkhand</v>
      </c>
      <c r="AE269" t="str">
        <f>TRIM(PROPER(I:I))</f>
        <v>Ranchi</v>
      </c>
      <c r="AF269" t="str">
        <f>TRIM(PROPER(J:J))</f>
        <v>Furniture</v>
      </c>
      <c r="AG269" t="str">
        <f>TRIM(PROPER(K:K))</f>
        <v>Furnishings</v>
      </c>
      <c r="AH269" t="str">
        <f t="shared" si="6"/>
        <v>Basic Furnishings 372</v>
      </c>
      <c r="AI269" t="str">
        <f t="shared" si="6"/>
        <v>First Class</v>
      </c>
      <c r="AJ269" s="3" t="str">
        <f t="shared" si="7"/>
        <v xml:space="preserve">  </v>
      </c>
      <c r="AK269">
        <f>IFERROR(Y269-X269, "invalid date")</f>
        <v>7</v>
      </c>
      <c r="AL269" s="10">
        <v>0.25</v>
      </c>
      <c r="AM269" s="11">
        <v>785.40000000000009</v>
      </c>
      <c r="AN269" s="11">
        <v>228.18000000000006</v>
      </c>
      <c r="AO269" s="10">
        <v>0.29052711993888469</v>
      </c>
      <c r="AP269" t="s">
        <v>4358</v>
      </c>
      <c r="AQ269" t="s">
        <v>4401</v>
      </c>
      <c r="AR269" t="s">
        <v>4124</v>
      </c>
      <c r="AS269" t="s">
        <v>4120</v>
      </c>
      <c r="AT269" t="s">
        <v>4121</v>
      </c>
      <c r="AU269">
        <v>7</v>
      </c>
      <c r="AV269" t="s">
        <v>4109</v>
      </c>
    </row>
    <row r="270" spans="1:48">
      <c r="A270" t="s">
        <v>1401</v>
      </c>
      <c r="B270" t="s">
        <v>1402</v>
      </c>
      <c r="C270" t="s">
        <v>1402</v>
      </c>
      <c r="D270" t="s">
        <v>1403</v>
      </c>
      <c r="E270" t="s">
        <v>171</v>
      </c>
      <c r="F270" t="s">
        <v>124</v>
      </c>
      <c r="G270" t="s">
        <v>36</v>
      </c>
      <c r="H270" t="s">
        <v>163</v>
      </c>
      <c r="I270" t="s">
        <v>164</v>
      </c>
      <c r="J270" t="s">
        <v>95</v>
      </c>
      <c r="K270" t="s">
        <v>96</v>
      </c>
      <c r="L270" t="s">
        <v>1404</v>
      </c>
      <c r="M270" t="s">
        <v>65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43</v>
      </c>
      <c r="U270" t="s">
        <v>44</v>
      </c>
      <c r="W270" t="s">
        <v>1401</v>
      </c>
      <c r="X270" t="str">
        <v>invalid date</v>
      </c>
      <c r="Y270" t="str">
        <v>invalid date</v>
      </c>
      <c r="Z270" t="s">
        <v>1403</v>
      </c>
      <c r="AA270" t="str">
        <v>Aarav Sharma</v>
      </c>
      <c r="AB270" t="str">
        <f>TRIM(PROPER(F:F))</f>
        <v>Home Office</v>
      </c>
      <c r="AC270" t="str">
        <f>TRIM(PROPER(G:G))</f>
        <v>North</v>
      </c>
      <c r="AD270" t="str">
        <f>TRIM(PROPER(H:H))</f>
        <v>Punjab</v>
      </c>
      <c r="AE270" t="str">
        <f>TRIM(PROPER(I:I))</f>
        <v>Ludhiana</v>
      </c>
      <c r="AF270" t="str">
        <f>TRIM(PROPER(J:J))</f>
        <v>Technology</v>
      </c>
      <c r="AG270" t="str">
        <f>TRIM(PROPER(K:K))</f>
        <v>Accessories</v>
      </c>
      <c r="AH270" t="str">
        <f t="shared" si="6"/>
        <v>Prime Accessories 367</v>
      </c>
      <c r="AI270" t="str">
        <f t="shared" si="6"/>
        <v>First Class</v>
      </c>
      <c r="AJ270" s="3" t="str">
        <f t="shared" si="7"/>
        <v>Invalid</v>
      </c>
      <c r="AK270" t="str">
        <f>IFERROR(Y270-X270, "invalid date")</f>
        <v>invalid date</v>
      </c>
      <c r="AL270" s="10">
        <v>0.25</v>
      </c>
      <c r="AM270" s="11">
        <v>3319.05</v>
      </c>
      <c r="AN270" s="11">
        <v>1194.4500000000003</v>
      </c>
      <c r="AO270" s="10">
        <v>0.35987707325891449</v>
      </c>
      <c r="AP270" t="s">
        <v>4105</v>
      </c>
      <c r="AQ270" t="s">
        <v>4105</v>
      </c>
      <c r="AR270" t="s">
        <v>4105</v>
      </c>
      <c r="AS270" t="s">
        <v>4105</v>
      </c>
      <c r="AT270" t="s">
        <v>4108</v>
      </c>
      <c r="AU270" t="s">
        <v>4105</v>
      </c>
      <c r="AV270" t="s">
        <v>4109</v>
      </c>
    </row>
    <row r="271" spans="1:48">
      <c r="A271" t="s">
        <v>1405</v>
      </c>
      <c r="B271" t="s">
        <v>1344</v>
      </c>
      <c r="C271" t="s">
        <v>1406</v>
      </c>
      <c r="D271" t="s">
        <v>1407</v>
      </c>
      <c r="E271" t="s">
        <v>157</v>
      </c>
      <c r="F271" t="s">
        <v>50</v>
      </c>
      <c r="G271" t="s">
        <v>82</v>
      </c>
      <c r="H271" t="s">
        <v>37</v>
      </c>
      <c r="I271" t="s">
        <v>144</v>
      </c>
      <c r="J271" t="s">
        <v>54</v>
      </c>
      <c r="K271" t="s">
        <v>55</v>
      </c>
      <c r="L271" t="s">
        <v>1408</v>
      </c>
      <c r="M271" t="s">
        <v>57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43</v>
      </c>
      <c r="U271" t="s">
        <v>44</v>
      </c>
      <c r="W271" t="s">
        <v>1405</v>
      </c>
      <c r="X271" t="str">
        <v>02-10-25</v>
      </c>
      <c r="Y271" t="str">
        <v>02-12-25</v>
      </c>
      <c r="Z271" t="s">
        <v>1407</v>
      </c>
      <c r="AA271" t="str">
        <v>Rahul Verma</v>
      </c>
      <c r="AB271" t="str">
        <f>TRIM(PROPER(F:F))</f>
        <v>Small Business</v>
      </c>
      <c r="AC271" t="str">
        <f>TRIM(PROPER(G:G))</f>
        <v>West</v>
      </c>
      <c r="AD271" t="str">
        <f>TRIM(PROPER(H:H))</f>
        <v>Rajasthan</v>
      </c>
      <c r="AE271" t="str">
        <f>TRIM(PROPER(I:I))</f>
        <v>Udaipur</v>
      </c>
      <c r="AF271" t="str">
        <f>TRIM(PROPER(J:J))</f>
        <v>Furniture</v>
      </c>
      <c r="AG271" t="str">
        <f>TRIM(PROPER(K:K))</f>
        <v>Tables</v>
      </c>
      <c r="AH271" t="str">
        <f t="shared" si="6"/>
        <v>Max Tables 526</v>
      </c>
      <c r="AI271" t="str">
        <f t="shared" si="6"/>
        <v>Same Day</v>
      </c>
      <c r="AJ271" s="3" t="str">
        <f t="shared" si="7"/>
        <v>anomaly</v>
      </c>
      <c r="AK271">
        <f>IFERROR(Y271-X271, "invalid date")</f>
        <v>61</v>
      </c>
      <c r="AL271" s="10">
        <v>0</v>
      </c>
      <c r="AM271" s="11">
        <v>1925.86</v>
      </c>
      <c r="AN271" s="11">
        <v>603.9699999999998</v>
      </c>
      <c r="AO271" s="10">
        <v>0.31361054282242729</v>
      </c>
      <c r="AP271" t="s">
        <v>4421</v>
      </c>
      <c r="AQ271" t="s">
        <v>4433</v>
      </c>
      <c r="AR271" t="s">
        <v>4126</v>
      </c>
      <c r="AS271" t="s">
        <v>4120</v>
      </c>
      <c r="AT271" t="s">
        <v>4115</v>
      </c>
      <c r="AU271">
        <v>61</v>
      </c>
      <c r="AV271" t="s">
        <v>4109</v>
      </c>
    </row>
    <row r="272" spans="1:48">
      <c r="A272" t="s">
        <v>1409</v>
      </c>
      <c r="B272" t="s">
        <v>1267</v>
      </c>
      <c r="C272" t="s">
        <v>574</v>
      </c>
      <c r="D272" t="s">
        <v>1410</v>
      </c>
      <c r="E272" t="s">
        <v>116</v>
      </c>
      <c r="F272" t="s">
        <v>117</v>
      </c>
      <c r="G272" t="s">
        <v>36</v>
      </c>
      <c r="H272" t="s">
        <v>183</v>
      </c>
      <c r="I272" t="s">
        <v>184</v>
      </c>
      <c r="J272" t="s">
        <v>95</v>
      </c>
      <c r="K272" t="s">
        <v>393</v>
      </c>
      <c r="L272" t="s">
        <v>1411</v>
      </c>
      <c r="M272" t="s">
        <v>57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43</v>
      </c>
      <c r="U272" t="s">
        <v>44</v>
      </c>
      <c r="W272" t="s">
        <v>1409</v>
      </c>
      <c r="X272" t="str">
        <v>01-12-24</v>
      </c>
      <c r="Y272" t="str">
        <v>13-01-24</v>
      </c>
      <c r="Z272" t="s">
        <v>1410</v>
      </c>
      <c r="AA272" t="str">
        <v>Aditi Sen</v>
      </c>
      <c r="AB272" t="str">
        <f>TRIM(PROPER(F:F))</f>
        <v>Corporate</v>
      </c>
      <c r="AC272" t="str">
        <f>TRIM(PROPER(G:G))</f>
        <v>North</v>
      </c>
      <c r="AD272" t="str">
        <f>TRIM(PROPER(H:H))</f>
        <v>Uttar Pradesh</v>
      </c>
      <c r="AE272" t="str">
        <f>TRIM(PROPER(I:I))</f>
        <v>Noida</v>
      </c>
      <c r="AF272" t="str">
        <f>TRIM(PROPER(J:J))</f>
        <v>Technology</v>
      </c>
      <c r="AG272" t="str">
        <f>TRIM(PROPER(K:K))</f>
        <v>Machines</v>
      </c>
      <c r="AH272" t="str">
        <f t="shared" si="6"/>
        <v>Prime Machines 794</v>
      </c>
      <c r="AI272" t="str">
        <f t="shared" si="6"/>
        <v>Same Day</v>
      </c>
      <c r="AJ272" s="3" t="str">
        <f t="shared" si="7"/>
        <v>anomaly</v>
      </c>
      <c r="AK272">
        <f>IFERROR(Y272-X272, "invalid date")</f>
        <v>-323</v>
      </c>
      <c r="AL272" s="10">
        <v>0</v>
      </c>
      <c r="AM272" s="11">
        <v>2482.3200000000002</v>
      </c>
      <c r="AN272" s="11">
        <v>962.11000000000013</v>
      </c>
      <c r="AO272" s="10">
        <v>0.38758500112797706</v>
      </c>
      <c r="AP272" t="s">
        <v>4407</v>
      </c>
      <c r="AQ272" t="s">
        <v>4258</v>
      </c>
      <c r="AR272" t="s">
        <v>4139</v>
      </c>
      <c r="AS272" t="s">
        <v>4107</v>
      </c>
      <c r="AT272" t="s">
        <v>4115</v>
      </c>
      <c r="AU272">
        <v>-323</v>
      </c>
      <c r="AV272" t="s">
        <v>4109</v>
      </c>
    </row>
    <row r="273" spans="1:48">
      <c r="A273" t="s">
        <v>1412</v>
      </c>
      <c r="B273" t="s">
        <v>1413</v>
      </c>
      <c r="C273" t="s">
        <v>1414</v>
      </c>
      <c r="D273" t="s">
        <v>1415</v>
      </c>
      <c r="E273" t="s">
        <v>116</v>
      </c>
      <c r="F273" t="s">
        <v>35</v>
      </c>
      <c r="G273" t="s">
        <v>71</v>
      </c>
      <c r="H273" t="s">
        <v>72</v>
      </c>
      <c r="I273" t="s">
        <v>73</v>
      </c>
      <c r="J273" t="s">
        <v>39</v>
      </c>
      <c r="K273" t="s">
        <v>208</v>
      </c>
      <c r="L273" t="s">
        <v>1416</v>
      </c>
      <c r="M273" t="s">
        <v>76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210</v>
      </c>
      <c r="U273" t="s">
        <v>87</v>
      </c>
      <c r="W273" t="s">
        <v>1412</v>
      </c>
      <c r="X273" t="str">
        <v>21-12-24</v>
      </c>
      <c r="Y273" t="str">
        <v>25-12-24</v>
      </c>
      <c r="Z273" t="s">
        <v>1415</v>
      </c>
      <c r="AA273" t="str">
        <v>Aditi Sen</v>
      </c>
      <c r="AB273" t="str">
        <f>TRIM(PROPER(F:F))</f>
        <v>Consumer</v>
      </c>
      <c r="AC273" t="str">
        <f>TRIM(PROPER(G:G))</f>
        <v>South</v>
      </c>
      <c r="AD273" t="str">
        <f>TRIM(PROPER(H:H))</f>
        <v>Telangana</v>
      </c>
      <c r="AE273" t="str">
        <f>TRIM(PROPER(I:I))</f>
        <v>Hyderabad</v>
      </c>
      <c r="AF273" t="str">
        <f t="shared" ref="AF273:AI336" si="8">TRIM(PROPER(J:J))</f>
        <v>Office Supplies</v>
      </c>
      <c r="AG273" t="str">
        <f t="shared" si="8"/>
        <v>Binders</v>
      </c>
      <c r="AH273" t="str">
        <f t="shared" si="6"/>
        <v>Max Binders 927</v>
      </c>
      <c r="AI273" t="str">
        <f t="shared" si="6"/>
        <v>Standard Class</v>
      </c>
      <c r="AJ273" s="3" t="str">
        <f t="shared" si="7"/>
        <v>anomaly</v>
      </c>
      <c r="AK273">
        <f>IFERROR(Y273-X273, "invalid date")</f>
        <v>4</v>
      </c>
      <c r="AL273" s="10">
        <v>0</v>
      </c>
      <c r="AM273" s="11">
        <v>11674.25</v>
      </c>
      <c r="AN273" s="11">
        <v>2053.0599999999995</v>
      </c>
      <c r="AO273" s="10">
        <v>0.17586226095894808</v>
      </c>
      <c r="AP273" t="s">
        <v>4434</v>
      </c>
      <c r="AQ273" t="s">
        <v>4435</v>
      </c>
      <c r="AR273" t="s">
        <v>4139</v>
      </c>
      <c r="AS273" t="s">
        <v>4107</v>
      </c>
      <c r="AT273" t="s">
        <v>4115</v>
      </c>
      <c r="AU273">
        <v>4</v>
      </c>
      <c r="AV273" t="s">
        <v>4109</v>
      </c>
    </row>
    <row r="274" spans="1:48">
      <c r="A274" t="s">
        <v>1417</v>
      </c>
      <c r="B274" t="s">
        <v>1418</v>
      </c>
      <c r="C274" t="s">
        <v>1419</v>
      </c>
      <c r="D274" t="s">
        <v>1420</v>
      </c>
      <c r="E274" t="s">
        <v>70</v>
      </c>
      <c r="F274" t="s">
        <v>35</v>
      </c>
      <c r="G274" t="s">
        <v>71</v>
      </c>
      <c r="H274" t="s">
        <v>109</v>
      </c>
      <c r="I274" t="s">
        <v>110</v>
      </c>
      <c r="J274" t="s">
        <v>54</v>
      </c>
      <c r="K274" t="s">
        <v>85</v>
      </c>
      <c r="L274" t="s">
        <v>1421</v>
      </c>
      <c r="M274" t="s">
        <v>65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43</v>
      </c>
      <c r="U274" t="s">
        <v>44</v>
      </c>
      <c r="W274" t="s">
        <v>1417</v>
      </c>
      <c r="X274" t="str">
        <v>invalid date</v>
      </c>
      <c r="Y274" t="str">
        <v>24-08-24</v>
      </c>
      <c r="Z274" t="s">
        <v>1420</v>
      </c>
      <c r="AA274" t="str">
        <v>Arjun Bose</v>
      </c>
      <c r="AB274" t="str">
        <f>TRIM(PROPER(F:F))</f>
        <v>Consumer</v>
      </c>
      <c r="AC274" t="str">
        <f>TRIM(PROPER(G:G))</f>
        <v>South</v>
      </c>
      <c r="AD274" t="str">
        <f>TRIM(PROPER(H:H))</f>
        <v>Andhra Pradesh</v>
      </c>
      <c r="AE274" t="str">
        <f>TRIM(PROPER(I:I))</f>
        <v>Vijayawada</v>
      </c>
      <c r="AF274" t="str">
        <f t="shared" si="8"/>
        <v>Furniture</v>
      </c>
      <c r="AG274" t="str">
        <f t="shared" si="8"/>
        <v>Chairs</v>
      </c>
      <c r="AH274" t="str">
        <f t="shared" si="6"/>
        <v>Eco Chairs 314</v>
      </c>
      <c r="AI274" t="str">
        <f t="shared" si="6"/>
        <v>First Class</v>
      </c>
      <c r="AJ274" s="3" t="str">
        <f t="shared" si="7"/>
        <v>Invalid</v>
      </c>
      <c r="AK274" t="str">
        <f>IFERROR(Y274-X274, "invalid date")</f>
        <v>invalid date</v>
      </c>
      <c r="AL274" s="10">
        <v>0.1</v>
      </c>
      <c r="AM274" s="11">
        <v>3510.4230000000002</v>
      </c>
      <c r="AN274" s="11">
        <v>1318.9230000000002</v>
      </c>
      <c r="AO274" s="10">
        <v>0.37571625983535323</v>
      </c>
      <c r="AP274" t="s">
        <v>4105</v>
      </c>
      <c r="AQ274" t="s">
        <v>4411</v>
      </c>
      <c r="AR274" t="s">
        <v>4105</v>
      </c>
      <c r="AS274" t="s">
        <v>4105</v>
      </c>
      <c r="AT274" t="s">
        <v>4108</v>
      </c>
      <c r="AU274" t="s">
        <v>4105</v>
      </c>
      <c r="AV274" t="s">
        <v>4109</v>
      </c>
    </row>
    <row r="275" spans="1:48">
      <c r="A275" t="s">
        <v>1422</v>
      </c>
      <c r="B275" t="s">
        <v>1423</v>
      </c>
      <c r="C275" t="s">
        <v>1424</v>
      </c>
      <c r="D275" t="s">
        <v>1425</v>
      </c>
      <c r="E275" t="s">
        <v>62</v>
      </c>
      <c r="F275" t="s">
        <v>35</v>
      </c>
      <c r="G275" t="s">
        <v>51</v>
      </c>
      <c r="H275" t="s">
        <v>196</v>
      </c>
      <c r="I275" t="s">
        <v>197</v>
      </c>
      <c r="J275" t="s">
        <v>39</v>
      </c>
      <c r="K275" t="s">
        <v>40</v>
      </c>
      <c r="L275" t="s">
        <v>1426</v>
      </c>
      <c r="M275" t="s">
        <v>42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43</v>
      </c>
      <c r="U275" t="s">
        <v>134</v>
      </c>
      <c r="W275" t="s">
        <v>1422</v>
      </c>
      <c r="X275" t="str">
        <v>invalid date</v>
      </c>
      <c r="Y275" t="str">
        <v>13-02-25</v>
      </c>
      <c r="Z275" t="s">
        <v>1425</v>
      </c>
      <c r="AA275" t="str">
        <v>Isha Nair</v>
      </c>
      <c r="AB275" t="str">
        <f>TRIM(PROPER(F:F))</f>
        <v>Consumer</v>
      </c>
      <c r="AC275" t="str">
        <f>TRIM(PROPER(G:G))</f>
        <v>East</v>
      </c>
      <c r="AD275" t="str">
        <f>TRIM(PROPER(H:H))</f>
        <v>Bihar</v>
      </c>
      <c r="AE275" t="str">
        <f>TRIM(PROPER(I:I))</f>
        <v>Patna</v>
      </c>
      <c r="AF275" t="str">
        <f t="shared" si="8"/>
        <v>Office Supplies</v>
      </c>
      <c r="AG275" t="str">
        <f t="shared" si="8"/>
        <v>Paper</v>
      </c>
      <c r="AH275" t="str">
        <f t="shared" si="6"/>
        <v>Basic Paper 657</v>
      </c>
      <c r="AI275" t="str">
        <f t="shared" si="6"/>
        <v>Second Class</v>
      </c>
      <c r="AJ275" s="3" t="str">
        <f t="shared" si="7"/>
        <v>Invalid</v>
      </c>
      <c r="AK275" t="str">
        <f>IFERROR(Y275-X275, "invalid date")</f>
        <v>invalid date</v>
      </c>
      <c r="AL275" s="10">
        <v>0</v>
      </c>
      <c r="AM275" s="11">
        <v>22694.670000000002</v>
      </c>
      <c r="AN275" s="11">
        <v>7289.3100000000013</v>
      </c>
      <c r="AO275" s="10">
        <v>0.32119039404406413</v>
      </c>
      <c r="AP275" t="s">
        <v>4105</v>
      </c>
      <c r="AQ275" t="s">
        <v>4323</v>
      </c>
      <c r="AR275" t="s">
        <v>4105</v>
      </c>
      <c r="AS275" t="s">
        <v>4105</v>
      </c>
      <c r="AT275" t="s">
        <v>4108</v>
      </c>
      <c r="AU275" t="s">
        <v>4105</v>
      </c>
      <c r="AV275" t="s">
        <v>4109</v>
      </c>
    </row>
    <row r="276" spans="1:48">
      <c r="A276" t="s">
        <v>1427</v>
      </c>
      <c r="B276" t="s">
        <v>1428</v>
      </c>
      <c r="C276" t="s">
        <v>1429</v>
      </c>
      <c r="D276" t="s">
        <v>1430</v>
      </c>
      <c r="E276" t="s">
        <v>189</v>
      </c>
      <c r="F276" t="s">
        <v>35</v>
      </c>
      <c r="G276" t="s">
        <v>71</v>
      </c>
      <c r="H276" t="s">
        <v>252</v>
      </c>
      <c r="I276" t="s">
        <v>253</v>
      </c>
      <c r="J276" t="s">
        <v>95</v>
      </c>
      <c r="K276" t="s">
        <v>103</v>
      </c>
      <c r="L276" t="s">
        <v>1431</v>
      </c>
      <c r="M276" t="s">
        <v>76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210</v>
      </c>
      <c r="U276" t="s">
        <v>134</v>
      </c>
      <c r="W276" t="s">
        <v>1427</v>
      </c>
      <c r="X276" t="str">
        <v>07-04-24</v>
      </c>
      <c r="Y276" t="str">
        <v>14-04-24</v>
      </c>
      <c r="Z276" t="s">
        <v>1430</v>
      </c>
      <c r="AA276" t="str">
        <v>Rohan Mehta</v>
      </c>
      <c r="AB276" t="str">
        <f>TRIM(PROPER(F:F))</f>
        <v>Consumer</v>
      </c>
      <c r="AC276" t="str">
        <f>TRIM(PROPER(G:G))</f>
        <v>South</v>
      </c>
      <c r="AD276" t="str">
        <f>TRIM(PROPER(H:H))</f>
        <v>Kerala</v>
      </c>
      <c r="AE276" t="str">
        <f>TRIM(PROPER(I:I))</f>
        <v>Kochi</v>
      </c>
      <c r="AF276" t="str">
        <f t="shared" si="8"/>
        <v>Technology</v>
      </c>
      <c r="AG276" t="str">
        <f t="shared" si="8"/>
        <v>Copiers</v>
      </c>
      <c r="AH276" t="str">
        <f t="shared" si="6"/>
        <v>Pro Copiers 406</v>
      </c>
      <c r="AI276" t="str">
        <f t="shared" si="6"/>
        <v>Standard Class</v>
      </c>
      <c r="AJ276" s="3" t="str">
        <f t="shared" si="7"/>
        <v>anomaly</v>
      </c>
      <c r="AK276">
        <f>IFERROR(Y276-X276, "invalid date")</f>
        <v>7</v>
      </c>
      <c r="AL276" s="10">
        <v>0.15</v>
      </c>
      <c r="AM276" s="11">
        <v>21658.221000000001</v>
      </c>
      <c r="AN276" s="11">
        <v>6167.5310000000009</v>
      </c>
      <c r="AO276" s="10">
        <v>0.28476627881856043</v>
      </c>
      <c r="AP276" t="s">
        <v>4436</v>
      </c>
      <c r="AQ276" t="s">
        <v>4437</v>
      </c>
      <c r="AR276" t="s">
        <v>4199</v>
      </c>
      <c r="AS276" t="s">
        <v>4107</v>
      </c>
      <c r="AT276" t="s">
        <v>4115</v>
      </c>
      <c r="AU276">
        <v>7</v>
      </c>
      <c r="AV276" t="s">
        <v>4109</v>
      </c>
    </row>
    <row r="277" spans="1:48">
      <c r="A277" t="s">
        <v>1432</v>
      </c>
      <c r="B277" t="s">
        <v>688</v>
      </c>
      <c r="C277" t="s">
        <v>1433</v>
      </c>
      <c r="D277" t="s">
        <v>1434</v>
      </c>
      <c r="E277" t="s">
        <v>151</v>
      </c>
      <c r="F277" t="s">
        <v>50</v>
      </c>
      <c r="G277" t="s">
        <v>51</v>
      </c>
      <c r="H277" t="s">
        <v>130</v>
      </c>
      <c r="I277" t="s">
        <v>131</v>
      </c>
      <c r="J277" t="s">
        <v>54</v>
      </c>
      <c r="K277" t="s">
        <v>74</v>
      </c>
      <c r="L277" t="s">
        <v>1435</v>
      </c>
      <c r="M277" t="s">
        <v>57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43</v>
      </c>
      <c r="U277" t="s">
        <v>44</v>
      </c>
      <c r="W277" t="s">
        <v>1432</v>
      </c>
      <c r="X277" t="str">
        <v>15-02-24</v>
      </c>
      <c r="Y277" t="str">
        <v>invalid date</v>
      </c>
      <c r="Z277" t="s">
        <v>1434</v>
      </c>
      <c r="AA277" t="str">
        <v>Priya Menon</v>
      </c>
      <c r="AB277" t="str">
        <f>TRIM(PROPER(F:F))</f>
        <v>Small Business</v>
      </c>
      <c r="AC277" t="str">
        <f>TRIM(PROPER(G:G))</f>
        <v>East</v>
      </c>
      <c r="AD277" t="str">
        <f>TRIM(PROPER(H:H))</f>
        <v>West Bengal</v>
      </c>
      <c r="AE277" t="str">
        <f>TRIM(PROPER(I:I))</f>
        <v>Kolkata</v>
      </c>
      <c r="AF277" t="str">
        <f t="shared" si="8"/>
        <v>Furniture</v>
      </c>
      <c r="AG277" t="str">
        <f t="shared" si="8"/>
        <v>Furnishings</v>
      </c>
      <c r="AH277" t="str">
        <f t="shared" si="6"/>
        <v>Eco Furnishings 678</v>
      </c>
      <c r="AI277" t="str">
        <f t="shared" si="6"/>
        <v>Same Day</v>
      </c>
      <c r="AJ277" s="3" t="str">
        <f t="shared" si="7"/>
        <v>Invalid</v>
      </c>
      <c r="AK277" t="str">
        <f>IFERROR(Y277-X277, "invalid date")</f>
        <v>invalid date</v>
      </c>
      <c r="AL277" s="10">
        <v>0</v>
      </c>
      <c r="AM277" s="11">
        <v>980.51</v>
      </c>
      <c r="AN277" s="11">
        <v>319.59000000000003</v>
      </c>
      <c r="AO277" s="10">
        <v>0.32594262169687205</v>
      </c>
      <c r="AP277" t="s">
        <v>4213</v>
      </c>
      <c r="AQ277" t="s">
        <v>4105</v>
      </c>
      <c r="AR277" t="s">
        <v>4129</v>
      </c>
      <c r="AS277" t="s">
        <v>4107</v>
      </c>
      <c r="AT277" t="s">
        <v>4108</v>
      </c>
      <c r="AU277" t="s">
        <v>4105</v>
      </c>
      <c r="AV277" t="s">
        <v>4109</v>
      </c>
    </row>
    <row r="278" spans="1:48">
      <c r="A278" t="s">
        <v>1436</v>
      </c>
      <c r="B278" t="s">
        <v>1068</v>
      </c>
      <c r="C278" t="s">
        <v>1437</v>
      </c>
      <c r="D278" t="s">
        <v>1438</v>
      </c>
      <c r="E278" t="s">
        <v>171</v>
      </c>
      <c r="F278" t="s">
        <v>50</v>
      </c>
      <c r="H278" t="s">
        <v>226</v>
      </c>
      <c r="I278" t="s">
        <v>227</v>
      </c>
      <c r="J278" t="s">
        <v>54</v>
      </c>
      <c r="K278" t="s">
        <v>85</v>
      </c>
      <c r="L278" t="s">
        <v>1439</v>
      </c>
      <c r="M278" t="s">
        <v>42</v>
      </c>
      <c r="N278">
        <v>6</v>
      </c>
      <c r="O278">
        <v>3391.53</v>
      </c>
      <c r="P278" s="4" t="s">
        <v>191</v>
      </c>
      <c r="Q278">
        <v>15261.89</v>
      </c>
      <c r="R278">
        <v>8413.5300000000007</v>
      </c>
      <c r="S278">
        <v>6848.36</v>
      </c>
      <c r="T278" t="s">
        <v>43</v>
      </c>
      <c r="U278" t="s">
        <v>44</v>
      </c>
      <c r="W278" t="s">
        <v>1436</v>
      </c>
      <c r="X278" t="str">
        <v>22-01-24</v>
      </c>
      <c r="Y278" t="str">
        <v>23-01-24</v>
      </c>
      <c r="Z278" t="s">
        <v>1438</v>
      </c>
      <c r="AA278" t="str">
        <v>Aarav Sharma</v>
      </c>
      <c r="AB278" t="str">
        <f>TRIM(PROPER(F:F))</f>
        <v>Small Business</v>
      </c>
      <c r="AC278" s="4" t="s">
        <v>282</v>
      </c>
      <c r="AD278" t="str">
        <f>TRIM(PROPER(H:H))</f>
        <v>Assam</v>
      </c>
      <c r="AE278" t="str">
        <f>TRIM(PROPER(I:I))</f>
        <v>Guwahati</v>
      </c>
      <c r="AF278" t="str">
        <f t="shared" si="8"/>
        <v>Furniture</v>
      </c>
      <c r="AG278" t="str">
        <f t="shared" si="8"/>
        <v>Chairs</v>
      </c>
      <c r="AH278" t="str">
        <f t="shared" si="6"/>
        <v>Basic Chairs 141</v>
      </c>
      <c r="AI278" t="str">
        <f t="shared" si="6"/>
        <v>Second Class</v>
      </c>
      <c r="AJ278" s="3" t="str">
        <f t="shared" si="7"/>
        <v>anomaly</v>
      </c>
      <c r="AK278">
        <f>IFERROR(Y278-X278, "invalid date")</f>
        <v>1</v>
      </c>
      <c r="AL278" s="10" t="s">
        <v>191</v>
      </c>
      <c r="AM278" s="11" t="s">
        <v>4111</v>
      </c>
      <c r="AN278" s="11" t="s">
        <v>4111</v>
      </c>
      <c r="AO278" s="10" t="s">
        <v>4111</v>
      </c>
      <c r="AP278" t="s">
        <v>4367</v>
      </c>
      <c r="AQ278" t="s">
        <v>4438</v>
      </c>
      <c r="AR278" t="s">
        <v>4153</v>
      </c>
      <c r="AS278" t="s">
        <v>4107</v>
      </c>
      <c r="AT278" t="s">
        <v>4115</v>
      </c>
      <c r="AU278">
        <v>1</v>
      </c>
      <c r="AV278" t="s">
        <v>4109</v>
      </c>
    </row>
    <row r="279" spans="1:48">
      <c r="A279" t="s">
        <v>1440</v>
      </c>
      <c r="B279" t="s">
        <v>1441</v>
      </c>
      <c r="C279" t="s">
        <v>1441</v>
      </c>
      <c r="D279" t="s">
        <v>1215</v>
      </c>
      <c r="E279" t="s">
        <v>62</v>
      </c>
      <c r="F279" t="s">
        <v>117</v>
      </c>
      <c r="G279" t="s">
        <v>36</v>
      </c>
      <c r="H279" t="s">
        <v>334</v>
      </c>
      <c r="I279" t="s">
        <v>335</v>
      </c>
      <c r="J279" t="s">
        <v>95</v>
      </c>
      <c r="K279" t="s">
        <v>96</v>
      </c>
      <c r="L279" t="s">
        <v>1442</v>
      </c>
      <c r="M279" t="s">
        <v>42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146</v>
      </c>
      <c r="U279" t="s">
        <v>87</v>
      </c>
      <c r="W279" t="s">
        <v>1440</v>
      </c>
      <c r="X279" t="str">
        <v>04-06-25</v>
      </c>
      <c r="Y279" t="str">
        <v>04-06-25</v>
      </c>
      <c r="Z279" t="s">
        <v>1215</v>
      </c>
      <c r="AA279" t="str">
        <v>Isha Nair</v>
      </c>
      <c r="AB279" t="str">
        <f>TRIM(PROPER(F:F))</f>
        <v>Corporate</v>
      </c>
      <c r="AC279" t="str">
        <f>TRIM(PROPER(G:G))</f>
        <v>North</v>
      </c>
      <c r="AD279" t="str">
        <f>TRIM(PROPER(H:H))</f>
        <v>Haryana</v>
      </c>
      <c r="AE279" t="str">
        <f>TRIM(PROPER(I:I))</f>
        <v>Gurugram</v>
      </c>
      <c r="AF279" t="str">
        <f t="shared" si="8"/>
        <v>Technology</v>
      </c>
      <c r="AG279" t="str">
        <f t="shared" si="8"/>
        <v>Accessories</v>
      </c>
      <c r="AH279" t="str">
        <f t="shared" si="6"/>
        <v>Elite Accessories 291</v>
      </c>
      <c r="AI279" t="str">
        <f t="shared" si="6"/>
        <v>Second Class</v>
      </c>
      <c r="AJ279" s="3" t="str">
        <f t="shared" si="7"/>
        <v xml:space="preserve">  </v>
      </c>
      <c r="AK279">
        <f>IFERROR(Y279-X279, "invalid date")</f>
        <v>0</v>
      </c>
      <c r="AL279" s="10">
        <v>0.15</v>
      </c>
      <c r="AM279" s="11">
        <v>1813.6704999999999</v>
      </c>
      <c r="AN279" s="11">
        <v>811.1004999999999</v>
      </c>
      <c r="AO279" s="10">
        <v>0.4472149158295291</v>
      </c>
      <c r="AP279" t="s">
        <v>4401</v>
      </c>
      <c r="AQ279" t="s">
        <v>4401</v>
      </c>
      <c r="AR279" t="s">
        <v>4170</v>
      </c>
      <c r="AS279" t="s">
        <v>4120</v>
      </c>
      <c r="AT279" t="s">
        <v>4115</v>
      </c>
      <c r="AU279">
        <v>0</v>
      </c>
      <c r="AV279" t="s">
        <v>4109</v>
      </c>
    </row>
    <row r="280" spans="1:48">
      <c r="A280" t="s">
        <v>1443</v>
      </c>
      <c r="B280" t="s">
        <v>797</v>
      </c>
      <c r="C280" t="s">
        <v>1444</v>
      </c>
      <c r="D280" t="s">
        <v>1445</v>
      </c>
      <c r="E280" t="s">
        <v>151</v>
      </c>
      <c r="F280" t="s">
        <v>50</v>
      </c>
      <c r="G280" t="s">
        <v>36</v>
      </c>
      <c r="H280" t="s">
        <v>517</v>
      </c>
      <c r="I280" t="s">
        <v>518</v>
      </c>
      <c r="J280" t="s">
        <v>95</v>
      </c>
      <c r="K280" t="s">
        <v>96</v>
      </c>
      <c r="L280" t="s">
        <v>1446</v>
      </c>
      <c r="M280" t="s">
        <v>57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43</v>
      </c>
      <c r="U280" t="s">
        <v>134</v>
      </c>
      <c r="W280" t="s">
        <v>1443</v>
      </c>
      <c r="X280" t="str">
        <v>07-03-25</v>
      </c>
      <c r="Y280" t="str">
        <v>14-03-25</v>
      </c>
      <c r="Z280" t="s">
        <v>1445</v>
      </c>
      <c r="AA280" t="str">
        <v>Priya Menon</v>
      </c>
      <c r="AB280" t="str">
        <f>TRIM(PROPER(F:F))</f>
        <v>Small Business</v>
      </c>
      <c r="AC280" t="str">
        <f>TRIM(PROPER(G:G))</f>
        <v>North</v>
      </c>
      <c r="AD280" t="str">
        <f>TRIM(PROPER(H:H))</f>
        <v>Delhi</v>
      </c>
      <c r="AE280" t="str">
        <f>TRIM(PROPER(I:I))</f>
        <v>New Delhi</v>
      </c>
      <c r="AF280" t="str">
        <f t="shared" si="8"/>
        <v>Technology</v>
      </c>
      <c r="AG280" t="str">
        <f t="shared" si="8"/>
        <v>Accessories</v>
      </c>
      <c r="AH280" t="str">
        <f t="shared" si="6"/>
        <v>Pro Accessories 207</v>
      </c>
      <c r="AI280" t="str">
        <f t="shared" si="6"/>
        <v>Same Day</v>
      </c>
      <c r="AJ280" s="3" t="str">
        <f t="shared" si="7"/>
        <v>anomaly</v>
      </c>
      <c r="AK280">
        <f>IFERROR(Y280-X280, "invalid date")</f>
        <v>7</v>
      </c>
      <c r="AL280" s="10">
        <v>0.05</v>
      </c>
      <c r="AM280" s="11">
        <v>3780.6579999999999</v>
      </c>
      <c r="AN280" s="11">
        <v>1632.348</v>
      </c>
      <c r="AO280" s="10">
        <v>0.43176293650470365</v>
      </c>
      <c r="AP280" t="s">
        <v>4313</v>
      </c>
      <c r="AQ280" t="s">
        <v>4439</v>
      </c>
      <c r="AR280" t="s">
        <v>4159</v>
      </c>
      <c r="AS280" t="s">
        <v>4120</v>
      </c>
      <c r="AT280" t="s">
        <v>4115</v>
      </c>
      <c r="AU280">
        <v>7</v>
      </c>
      <c r="AV280" t="s">
        <v>4109</v>
      </c>
    </row>
    <row r="281" spans="1:48">
      <c r="A281" t="s">
        <v>1447</v>
      </c>
      <c r="B281" t="s">
        <v>1448</v>
      </c>
      <c r="C281" t="s">
        <v>1449</v>
      </c>
      <c r="D281" t="s">
        <v>1450</v>
      </c>
      <c r="E281" t="s">
        <v>189</v>
      </c>
      <c r="F281" t="s">
        <v>50</v>
      </c>
      <c r="G281" t="s">
        <v>82</v>
      </c>
      <c r="H281" t="s">
        <v>83</v>
      </c>
      <c r="I281" t="s">
        <v>84</v>
      </c>
      <c r="J281" t="s">
        <v>39</v>
      </c>
      <c r="K281" t="s">
        <v>165</v>
      </c>
      <c r="L281" t="s">
        <v>1451</v>
      </c>
      <c r="M281" t="s">
        <v>65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43</v>
      </c>
      <c r="U281" t="s">
        <v>44</v>
      </c>
      <c r="W281" t="s">
        <v>1447</v>
      </c>
      <c r="X281" t="str">
        <v>04-09-24</v>
      </c>
      <c r="Y281" t="str">
        <v>10-04-24</v>
      </c>
      <c r="Z281" t="s">
        <v>1450</v>
      </c>
      <c r="AA281" t="str">
        <v>Rohan Mehta</v>
      </c>
      <c r="AB281" t="str">
        <f>TRIM(PROPER(F:F))</f>
        <v>Small Business</v>
      </c>
      <c r="AC281" t="str">
        <f>TRIM(PROPER(G:G))</f>
        <v>West</v>
      </c>
      <c r="AD281" t="str">
        <f>TRIM(PROPER(H:H))</f>
        <v>Maharashtra</v>
      </c>
      <c r="AE281" t="str">
        <f>TRIM(PROPER(I:I))</f>
        <v>Mumbai</v>
      </c>
      <c r="AF281" t="str">
        <f t="shared" si="8"/>
        <v>Office Supplies</v>
      </c>
      <c r="AG281" t="str">
        <f t="shared" si="8"/>
        <v>Storage</v>
      </c>
      <c r="AH281" t="str">
        <f t="shared" si="6"/>
        <v>Max Storage 564</v>
      </c>
      <c r="AI281" t="str">
        <f t="shared" si="6"/>
        <v>First Class</v>
      </c>
      <c r="AJ281" s="3" t="str">
        <f t="shared" si="7"/>
        <v>anomaly</v>
      </c>
      <c r="AK281">
        <f>IFERROR(Y281-X281, "invalid date")</f>
        <v>-147</v>
      </c>
      <c r="AL281" s="10">
        <v>0.05</v>
      </c>
      <c r="AM281" s="11">
        <v>4141.1639999999998</v>
      </c>
      <c r="AN281" s="11">
        <v>1386.9939999999997</v>
      </c>
      <c r="AO281" s="10">
        <v>0.33492853700070796</v>
      </c>
      <c r="AP281" t="s">
        <v>4440</v>
      </c>
      <c r="AQ281" t="s">
        <v>4441</v>
      </c>
      <c r="AR281" t="s">
        <v>4134</v>
      </c>
      <c r="AS281" t="s">
        <v>4107</v>
      </c>
      <c r="AT281" t="s">
        <v>4115</v>
      </c>
      <c r="AU281">
        <v>-147</v>
      </c>
      <c r="AV281" t="s">
        <v>4109</v>
      </c>
    </row>
    <row r="282" spans="1:48">
      <c r="A282" t="s">
        <v>1452</v>
      </c>
      <c r="B282" t="s">
        <v>1453</v>
      </c>
      <c r="C282" t="s">
        <v>1454</v>
      </c>
      <c r="D282" t="s">
        <v>1455</v>
      </c>
      <c r="E282" t="s">
        <v>116</v>
      </c>
      <c r="F282" t="s">
        <v>35</v>
      </c>
      <c r="G282" t="s">
        <v>71</v>
      </c>
      <c r="H282" t="s">
        <v>239</v>
      </c>
      <c r="I282" t="s">
        <v>240</v>
      </c>
      <c r="J282" t="s">
        <v>95</v>
      </c>
      <c r="K282" t="s">
        <v>103</v>
      </c>
      <c r="L282" t="s">
        <v>1456</v>
      </c>
      <c r="M282" t="s">
        <v>76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43</v>
      </c>
      <c r="U282" t="s">
        <v>44</v>
      </c>
      <c r="W282" t="s">
        <v>1452</v>
      </c>
      <c r="X282" t="str">
        <v>invalid date</v>
      </c>
      <c r="Y282" t="str">
        <v>26-12-24</v>
      </c>
      <c r="Z282" t="s">
        <v>1455</v>
      </c>
      <c r="AA282" t="str">
        <v>Aditi Sen</v>
      </c>
      <c r="AB282" t="str">
        <f>TRIM(PROPER(F:F))</f>
        <v>Consumer</v>
      </c>
      <c r="AC282" t="str">
        <f>TRIM(PROPER(G:G))</f>
        <v>South</v>
      </c>
      <c r="AD282" t="str">
        <f>TRIM(PROPER(H:H))</f>
        <v>Karnataka</v>
      </c>
      <c r="AE282" t="str">
        <f>TRIM(PROPER(I:I))</f>
        <v>Bengaluru</v>
      </c>
      <c r="AF282" t="str">
        <f t="shared" si="8"/>
        <v>Technology</v>
      </c>
      <c r="AG282" t="str">
        <f t="shared" si="8"/>
        <v>Copiers</v>
      </c>
      <c r="AH282" t="str">
        <f t="shared" si="6"/>
        <v>Prime Copiers 961</v>
      </c>
      <c r="AI282" t="str">
        <f t="shared" si="6"/>
        <v>Standard Class</v>
      </c>
      <c r="AJ282" s="3" t="str">
        <f t="shared" si="7"/>
        <v>Invalid</v>
      </c>
      <c r="AK282" t="str">
        <f>IFERROR(Y282-X282, "invalid date")</f>
        <v>invalid date</v>
      </c>
      <c r="AL282" s="10">
        <v>0</v>
      </c>
      <c r="AM282" s="11">
        <v>8943.0299999999988</v>
      </c>
      <c r="AN282" s="11">
        <v>3777.6499999999987</v>
      </c>
      <c r="AO282" s="10">
        <v>0.42241276167026154</v>
      </c>
      <c r="AP282" t="s">
        <v>4105</v>
      </c>
      <c r="AQ282" t="s">
        <v>4442</v>
      </c>
      <c r="AR282" t="s">
        <v>4105</v>
      </c>
      <c r="AS282" t="s">
        <v>4105</v>
      </c>
      <c r="AT282" t="s">
        <v>4108</v>
      </c>
      <c r="AU282" t="s">
        <v>4105</v>
      </c>
      <c r="AV282" t="s">
        <v>4109</v>
      </c>
    </row>
    <row r="283" spans="1:48">
      <c r="A283" t="s">
        <v>1457</v>
      </c>
      <c r="B283" t="s">
        <v>1458</v>
      </c>
      <c r="C283" t="s">
        <v>1459</v>
      </c>
      <c r="D283" t="s">
        <v>1460</v>
      </c>
      <c r="E283" t="s">
        <v>377</v>
      </c>
      <c r="F283" t="s">
        <v>35</v>
      </c>
      <c r="G283" t="s">
        <v>51</v>
      </c>
      <c r="H283" t="s">
        <v>322</v>
      </c>
      <c r="I283" t="s">
        <v>323</v>
      </c>
      <c r="J283" t="s">
        <v>39</v>
      </c>
      <c r="K283" t="s">
        <v>208</v>
      </c>
      <c r="L283" t="s">
        <v>1461</v>
      </c>
      <c r="M283" t="s">
        <v>42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43</v>
      </c>
      <c r="U283" t="s">
        <v>44</v>
      </c>
      <c r="W283" t="s">
        <v>1457</v>
      </c>
      <c r="X283" t="str">
        <v>25-07-25</v>
      </c>
      <c r="Y283" t="str">
        <v>invalid date</v>
      </c>
      <c r="Z283" t="s">
        <v>1460</v>
      </c>
      <c r="AA283" t="str">
        <v>Kabir Singh</v>
      </c>
      <c r="AB283" t="str">
        <f>TRIM(PROPER(F:F))</f>
        <v>Consumer</v>
      </c>
      <c r="AC283" t="str">
        <f>TRIM(PROPER(G:G))</f>
        <v>East</v>
      </c>
      <c r="AD283" t="str">
        <f>TRIM(PROPER(H:H))</f>
        <v>Jharkhand</v>
      </c>
      <c r="AE283" t="str">
        <f>TRIM(PROPER(I:I))</f>
        <v>Ranchi</v>
      </c>
      <c r="AF283" t="str">
        <f t="shared" si="8"/>
        <v>Office Supplies</v>
      </c>
      <c r="AG283" t="str">
        <f t="shared" si="8"/>
        <v>Binders</v>
      </c>
      <c r="AH283" t="str">
        <f t="shared" si="6"/>
        <v>Basic Binders 637</v>
      </c>
      <c r="AI283" t="str">
        <f t="shared" si="6"/>
        <v>Second Class</v>
      </c>
      <c r="AJ283" s="3" t="str">
        <f t="shared" si="7"/>
        <v>Invalid</v>
      </c>
      <c r="AK283" t="str">
        <f>IFERROR(Y283-X283, "invalid date")</f>
        <v>invalid date</v>
      </c>
      <c r="AL283" s="10">
        <v>0.2</v>
      </c>
      <c r="AM283" s="11">
        <v>16504.223999999998</v>
      </c>
      <c r="AN283" s="11">
        <v>5241.5139999999992</v>
      </c>
      <c r="AO283" s="10">
        <v>0.31758621308096641</v>
      </c>
      <c r="AP283" t="s">
        <v>4443</v>
      </c>
      <c r="AQ283" t="s">
        <v>4105</v>
      </c>
      <c r="AR283" t="s">
        <v>4106</v>
      </c>
      <c r="AS283" t="s">
        <v>4120</v>
      </c>
      <c r="AT283" t="s">
        <v>4108</v>
      </c>
      <c r="AU283" t="s">
        <v>4105</v>
      </c>
      <c r="AV283" t="s">
        <v>4109</v>
      </c>
    </row>
    <row r="284" spans="1:48">
      <c r="A284" t="s">
        <v>1462</v>
      </c>
      <c r="B284" t="s">
        <v>1463</v>
      </c>
      <c r="C284" t="s">
        <v>1464</v>
      </c>
      <c r="D284" t="s">
        <v>1465</v>
      </c>
      <c r="E284" t="s">
        <v>34</v>
      </c>
      <c r="F284" t="s">
        <v>124</v>
      </c>
      <c r="G284" t="s">
        <v>51</v>
      </c>
      <c r="H284" t="s">
        <v>226</v>
      </c>
      <c r="I284" t="s">
        <v>227</v>
      </c>
      <c r="J284" t="s">
        <v>54</v>
      </c>
      <c r="K284" t="s">
        <v>55</v>
      </c>
      <c r="L284" t="s">
        <v>1466</v>
      </c>
      <c r="M284" t="s">
        <v>42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43</v>
      </c>
      <c r="U284" t="s">
        <v>44</v>
      </c>
      <c r="W284" t="s">
        <v>1462</v>
      </c>
      <c r="X284" t="str">
        <v>01-10-24</v>
      </c>
      <c r="Y284" t="str">
        <v>10-02-24</v>
      </c>
      <c r="Z284" t="s">
        <v>1465</v>
      </c>
      <c r="AA284" t="str">
        <v>Karan Malhotra</v>
      </c>
      <c r="AB284" t="str">
        <f>TRIM(PROPER(F:F))</f>
        <v>Home Office</v>
      </c>
      <c r="AC284" t="str">
        <f>TRIM(PROPER(G:G))</f>
        <v>East</v>
      </c>
      <c r="AD284" t="str">
        <f>TRIM(PROPER(H:H))</f>
        <v>Assam</v>
      </c>
      <c r="AE284" t="str">
        <f>TRIM(PROPER(I:I))</f>
        <v>Guwahati</v>
      </c>
      <c r="AF284" t="str">
        <f t="shared" si="8"/>
        <v>Furniture</v>
      </c>
      <c r="AG284" t="str">
        <f t="shared" si="8"/>
        <v>Tables</v>
      </c>
      <c r="AH284" t="str">
        <f t="shared" si="6"/>
        <v>Classic Tables 811</v>
      </c>
      <c r="AI284" t="str">
        <f t="shared" si="6"/>
        <v>Second Class</v>
      </c>
      <c r="AJ284" s="3" t="str">
        <f t="shared" si="7"/>
        <v>anomaly</v>
      </c>
      <c r="AK284">
        <f>IFERROR(Y284-X284, "invalid date")</f>
        <v>-234</v>
      </c>
      <c r="AL284" s="10">
        <v>0</v>
      </c>
      <c r="AM284" s="11">
        <v>4596</v>
      </c>
      <c r="AN284" s="11">
        <v>1375.67</v>
      </c>
      <c r="AO284" s="10">
        <v>0.29931897302001742</v>
      </c>
      <c r="AP284" t="s">
        <v>4250</v>
      </c>
      <c r="AQ284" t="s">
        <v>4444</v>
      </c>
      <c r="AR284" t="s">
        <v>4126</v>
      </c>
      <c r="AS284" t="s">
        <v>4107</v>
      </c>
      <c r="AT284" t="s">
        <v>4115</v>
      </c>
      <c r="AU284">
        <v>-234</v>
      </c>
      <c r="AV284" t="s">
        <v>4109</v>
      </c>
    </row>
    <row r="285" spans="1:48">
      <c r="A285" t="s">
        <v>1467</v>
      </c>
      <c r="B285" t="s">
        <v>1468</v>
      </c>
      <c r="C285" t="s">
        <v>1469</v>
      </c>
      <c r="D285" t="s">
        <v>1470</v>
      </c>
      <c r="E285" t="s">
        <v>92</v>
      </c>
      <c r="F285" t="s">
        <v>35</v>
      </c>
      <c r="G285" t="s">
        <v>82</v>
      </c>
      <c r="H285" t="s">
        <v>83</v>
      </c>
      <c r="I285" t="s">
        <v>84</v>
      </c>
      <c r="J285" t="s">
        <v>54</v>
      </c>
      <c r="K285" t="s">
        <v>74</v>
      </c>
      <c r="L285" t="s">
        <v>1471</v>
      </c>
      <c r="M285" t="s">
        <v>65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43</v>
      </c>
      <c r="U285" t="s">
        <v>44</v>
      </c>
      <c r="W285" t="s">
        <v>1467</v>
      </c>
      <c r="X285" t="str">
        <v>invalid date</v>
      </c>
      <c r="Y285" t="str">
        <v>20-03-25</v>
      </c>
      <c r="Z285" t="s">
        <v>1470</v>
      </c>
      <c r="AA285" t="str">
        <v>Vikram Iyer</v>
      </c>
      <c r="AB285" t="str">
        <f>TRIM(PROPER(F:F))</f>
        <v>Consumer</v>
      </c>
      <c r="AC285" t="str">
        <f>TRIM(PROPER(G:G))</f>
        <v>West</v>
      </c>
      <c r="AD285" t="str">
        <f>TRIM(PROPER(H:H))</f>
        <v>Maharashtra</v>
      </c>
      <c r="AE285" t="str">
        <f>TRIM(PROPER(I:I))</f>
        <v>Mumbai</v>
      </c>
      <c r="AF285" t="str">
        <f t="shared" si="8"/>
        <v>Furniture</v>
      </c>
      <c r="AG285" t="str">
        <f t="shared" si="8"/>
        <v>Furnishings</v>
      </c>
      <c r="AH285" t="str">
        <f t="shared" si="6"/>
        <v>Classic Furnishings 819</v>
      </c>
      <c r="AI285" t="str">
        <f t="shared" si="6"/>
        <v>First Class</v>
      </c>
      <c r="AJ285" s="3" t="str">
        <f t="shared" si="7"/>
        <v>Invalid</v>
      </c>
      <c r="AK285" t="str">
        <f>IFERROR(Y285-X285, "invalid date")</f>
        <v>invalid date</v>
      </c>
      <c r="AL285" s="10">
        <v>0</v>
      </c>
      <c r="AM285" s="11">
        <v>1814.01</v>
      </c>
      <c r="AN285" s="11">
        <v>780.54</v>
      </c>
      <c r="AO285" s="10">
        <v>0.43028428729720342</v>
      </c>
      <c r="AP285" t="s">
        <v>4105</v>
      </c>
      <c r="AQ285" t="s">
        <v>4445</v>
      </c>
      <c r="AR285" t="s">
        <v>4105</v>
      </c>
      <c r="AS285" t="s">
        <v>4105</v>
      </c>
      <c r="AT285" t="s">
        <v>4108</v>
      </c>
      <c r="AU285" t="s">
        <v>4105</v>
      </c>
      <c r="AV285" t="s">
        <v>4109</v>
      </c>
    </row>
    <row r="286" spans="1:48">
      <c r="A286" t="s">
        <v>1472</v>
      </c>
      <c r="B286" t="s">
        <v>1473</v>
      </c>
      <c r="C286" t="s">
        <v>1474</v>
      </c>
      <c r="D286" t="s">
        <v>1475</v>
      </c>
      <c r="E286" t="s">
        <v>34</v>
      </c>
      <c r="F286" t="s">
        <v>35</v>
      </c>
      <c r="G286" t="s">
        <v>51</v>
      </c>
      <c r="H286" t="s">
        <v>52</v>
      </c>
      <c r="I286" t="s">
        <v>53</v>
      </c>
      <c r="J286" t="s">
        <v>54</v>
      </c>
      <c r="K286" t="s">
        <v>55</v>
      </c>
      <c r="L286" t="s">
        <v>1476</v>
      </c>
      <c r="M286" t="s">
        <v>57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43</v>
      </c>
      <c r="U286" t="s">
        <v>134</v>
      </c>
      <c r="W286" t="s">
        <v>1472</v>
      </c>
      <c r="X286" t="str">
        <v>12-08-24</v>
      </c>
      <c r="Y286" t="str">
        <v>invalid date</v>
      </c>
      <c r="Z286" t="s">
        <v>1475</v>
      </c>
      <c r="AA286" t="str">
        <v>Karan Malhotra</v>
      </c>
      <c r="AB286" t="str">
        <f>TRIM(PROPER(F:F))</f>
        <v>Consumer</v>
      </c>
      <c r="AC286" t="str">
        <f>TRIM(PROPER(G:G))</f>
        <v>East</v>
      </c>
      <c r="AD286" t="str">
        <f>TRIM(PROPER(H:H))</f>
        <v>Odisha</v>
      </c>
      <c r="AE286" t="str">
        <f>TRIM(PROPER(I:I))</f>
        <v>Bhubaneswar</v>
      </c>
      <c r="AF286" t="str">
        <f t="shared" si="8"/>
        <v>Furniture</v>
      </c>
      <c r="AG286" t="str">
        <f t="shared" si="8"/>
        <v>Tables</v>
      </c>
      <c r="AH286" t="str">
        <f t="shared" si="6"/>
        <v>Prime Tables 542</v>
      </c>
      <c r="AI286" t="str">
        <f t="shared" si="6"/>
        <v>Same Day</v>
      </c>
      <c r="AJ286" s="3" t="str">
        <f t="shared" si="7"/>
        <v>Invalid</v>
      </c>
      <c r="AK286" t="str">
        <f>IFERROR(Y286-X286, "invalid date")</f>
        <v>invalid date</v>
      </c>
      <c r="AL286" s="10">
        <v>0</v>
      </c>
      <c r="AM286" s="11">
        <v>4730.76</v>
      </c>
      <c r="AN286" s="11">
        <v>1591.0300000000002</v>
      </c>
      <c r="AO286" s="10">
        <v>0.33631594077907145</v>
      </c>
      <c r="AP286" t="s">
        <v>4195</v>
      </c>
      <c r="AQ286" t="s">
        <v>4105</v>
      </c>
      <c r="AR286" t="s">
        <v>4114</v>
      </c>
      <c r="AS286" t="s">
        <v>4107</v>
      </c>
      <c r="AT286" t="s">
        <v>4108</v>
      </c>
      <c r="AU286" t="s">
        <v>4105</v>
      </c>
      <c r="AV286" t="s">
        <v>4109</v>
      </c>
    </row>
    <row r="287" spans="1:48">
      <c r="A287" t="s">
        <v>1477</v>
      </c>
      <c r="B287" t="s">
        <v>1478</v>
      </c>
      <c r="C287" t="s">
        <v>1479</v>
      </c>
      <c r="D287" t="s">
        <v>1480</v>
      </c>
      <c r="E287" t="s">
        <v>102</v>
      </c>
      <c r="F287" t="s">
        <v>124</v>
      </c>
      <c r="G287" t="s">
        <v>36</v>
      </c>
      <c r="H287" t="s">
        <v>37</v>
      </c>
      <c r="I287" t="s">
        <v>38</v>
      </c>
      <c r="J287" t="s">
        <v>39</v>
      </c>
      <c r="K287" t="s">
        <v>165</v>
      </c>
      <c r="L287" t="s">
        <v>1481</v>
      </c>
      <c r="M287" t="s">
        <v>76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43</v>
      </c>
      <c r="U287" t="s">
        <v>44</v>
      </c>
      <c r="W287" t="s">
        <v>1477</v>
      </c>
      <c r="X287" t="str">
        <v>15-08-25</v>
      </c>
      <c r="Y287" t="str">
        <v>20-08-25</v>
      </c>
      <c r="Z287" t="s">
        <v>1480</v>
      </c>
      <c r="AA287" t="str">
        <v>Neha Gupta</v>
      </c>
      <c r="AB287" t="str">
        <f>TRIM(PROPER(F:F))</f>
        <v>Home Office</v>
      </c>
      <c r="AC287" t="str">
        <f>TRIM(PROPER(G:G))</f>
        <v>North</v>
      </c>
      <c r="AD287" t="str">
        <f>TRIM(PROPER(H:H))</f>
        <v>Rajasthan</v>
      </c>
      <c r="AE287" t="str">
        <f>TRIM(PROPER(I:I))</f>
        <v>Jaipur</v>
      </c>
      <c r="AF287" t="str">
        <f t="shared" si="8"/>
        <v>Office Supplies</v>
      </c>
      <c r="AG287" t="str">
        <f t="shared" si="8"/>
        <v>Storage</v>
      </c>
      <c r="AH287" t="str">
        <f t="shared" si="6"/>
        <v>Basic Storage 771</v>
      </c>
      <c r="AI287" t="str">
        <f t="shared" si="6"/>
        <v>Standard Class</v>
      </c>
      <c r="AJ287" s="3" t="str">
        <f t="shared" si="7"/>
        <v>anomaly</v>
      </c>
      <c r="AK287">
        <f>IFERROR(Y287-X287, "invalid date")</f>
        <v>5</v>
      </c>
      <c r="AL287" s="10">
        <v>0</v>
      </c>
      <c r="AM287" s="11">
        <v>36735.93</v>
      </c>
      <c r="AN287" s="11">
        <v>5915.09</v>
      </c>
      <c r="AO287" s="10">
        <v>0.16101647624001897</v>
      </c>
      <c r="AP287" t="s">
        <v>4446</v>
      </c>
      <c r="AQ287" t="s">
        <v>4447</v>
      </c>
      <c r="AR287" t="s">
        <v>4114</v>
      </c>
      <c r="AS287" t="s">
        <v>4120</v>
      </c>
      <c r="AT287" t="s">
        <v>4115</v>
      </c>
      <c r="AU287">
        <v>5</v>
      </c>
      <c r="AV287" t="s">
        <v>4109</v>
      </c>
    </row>
    <row r="288" spans="1:48">
      <c r="A288" t="s">
        <v>1482</v>
      </c>
      <c r="B288" t="s">
        <v>1483</v>
      </c>
      <c r="C288" t="s">
        <v>1484</v>
      </c>
      <c r="D288" t="s">
        <v>1485</v>
      </c>
      <c r="E288" t="s">
        <v>151</v>
      </c>
      <c r="F288" t="s">
        <v>50</v>
      </c>
      <c r="G288" t="s">
        <v>36</v>
      </c>
      <c r="H288" t="s">
        <v>517</v>
      </c>
      <c r="I288" t="s">
        <v>518</v>
      </c>
      <c r="J288" t="s">
        <v>54</v>
      </c>
      <c r="K288" t="s">
        <v>74</v>
      </c>
      <c r="L288" t="s">
        <v>1486</v>
      </c>
      <c r="M288" t="s">
        <v>65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146</v>
      </c>
      <c r="U288" t="s">
        <v>134</v>
      </c>
      <c r="W288" t="s">
        <v>1482</v>
      </c>
      <c r="X288" t="str">
        <v>28-02-24</v>
      </c>
      <c r="Y288" t="str">
        <v>03-02-24</v>
      </c>
      <c r="Z288" t="s">
        <v>1485</v>
      </c>
      <c r="AA288" t="str">
        <v>Priya Menon</v>
      </c>
      <c r="AB288" t="str">
        <f>TRIM(PROPER(F:F))</f>
        <v>Small Business</v>
      </c>
      <c r="AC288" t="str">
        <f>TRIM(PROPER(G:G))</f>
        <v>North</v>
      </c>
      <c r="AD288" t="str">
        <f>TRIM(PROPER(H:H))</f>
        <v>Delhi</v>
      </c>
      <c r="AE288" t="str">
        <f>TRIM(PROPER(I:I))</f>
        <v>New Delhi</v>
      </c>
      <c r="AF288" t="str">
        <f t="shared" si="8"/>
        <v>Furniture</v>
      </c>
      <c r="AG288" t="str">
        <f t="shared" si="8"/>
        <v>Furnishings</v>
      </c>
      <c r="AH288" t="str">
        <f t="shared" si="6"/>
        <v>Pro Furnishings 848</v>
      </c>
      <c r="AI288" t="str">
        <f t="shared" si="6"/>
        <v>First Class</v>
      </c>
      <c r="AJ288" s="3" t="str">
        <f t="shared" si="7"/>
        <v xml:space="preserve">  </v>
      </c>
      <c r="AK288">
        <f>IFERROR(Y288-X288, "invalid date")</f>
        <v>-25</v>
      </c>
      <c r="AL288" s="10">
        <v>0.1</v>
      </c>
      <c r="AM288" s="11">
        <v>4421.3399999999992</v>
      </c>
      <c r="AN288" s="11">
        <v>1931.3599999999992</v>
      </c>
      <c r="AO288" s="10">
        <v>0.43682684435035524</v>
      </c>
      <c r="AP288" t="s">
        <v>4278</v>
      </c>
      <c r="AQ288" t="s">
        <v>4346</v>
      </c>
      <c r="AR288" t="s">
        <v>4129</v>
      </c>
      <c r="AS288" t="s">
        <v>4107</v>
      </c>
      <c r="AT288" t="s">
        <v>4121</v>
      </c>
      <c r="AU288">
        <v>-25</v>
      </c>
      <c r="AV288" t="s">
        <v>4109</v>
      </c>
    </row>
    <row r="289" spans="1:48">
      <c r="A289" t="s">
        <v>1487</v>
      </c>
      <c r="B289" t="s">
        <v>1488</v>
      </c>
      <c r="C289" t="s">
        <v>1489</v>
      </c>
      <c r="D289" t="s">
        <v>1490</v>
      </c>
      <c r="E289" t="s">
        <v>102</v>
      </c>
      <c r="F289" t="s">
        <v>50</v>
      </c>
      <c r="G289" t="s">
        <v>71</v>
      </c>
      <c r="H289" t="s">
        <v>350</v>
      </c>
      <c r="I289" t="s">
        <v>351</v>
      </c>
      <c r="J289" t="s">
        <v>95</v>
      </c>
      <c r="K289" t="s">
        <v>103</v>
      </c>
      <c r="L289" t="s">
        <v>1491</v>
      </c>
      <c r="M289" t="s">
        <v>76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43</v>
      </c>
      <c r="U289" t="s">
        <v>87</v>
      </c>
      <c r="W289" t="s">
        <v>1487</v>
      </c>
      <c r="X289" t="str">
        <v>09-05-24</v>
      </c>
      <c r="Y289" t="str">
        <v>07-09-24</v>
      </c>
      <c r="Z289" t="s">
        <v>1490</v>
      </c>
      <c r="AA289" t="str">
        <v>Neha Gupta</v>
      </c>
      <c r="AB289" t="str">
        <f>TRIM(PROPER(F:F))</f>
        <v>Small Business</v>
      </c>
      <c r="AC289" t="str">
        <f>TRIM(PROPER(G:G))</f>
        <v>South</v>
      </c>
      <c r="AD289" t="str">
        <f>TRIM(PROPER(H:H))</f>
        <v>Tamil Nadu</v>
      </c>
      <c r="AE289" t="str">
        <f>TRIM(PROPER(I:I))</f>
        <v>Chennai</v>
      </c>
      <c r="AF289" t="str">
        <f t="shared" si="8"/>
        <v>Technology</v>
      </c>
      <c r="AG289" t="str">
        <f t="shared" si="8"/>
        <v>Copiers</v>
      </c>
      <c r="AH289" t="str">
        <f t="shared" si="6"/>
        <v>Prime Copiers 924</v>
      </c>
      <c r="AI289" t="str">
        <f t="shared" si="6"/>
        <v>Standard Class</v>
      </c>
      <c r="AJ289" s="3" t="str">
        <f t="shared" si="7"/>
        <v xml:space="preserve">  </v>
      </c>
      <c r="AK289">
        <f>IFERROR(Y289-X289, "invalid date")</f>
        <v>121</v>
      </c>
      <c r="AL289" s="10">
        <v>0.15</v>
      </c>
      <c r="AM289" s="11">
        <v>6516.9329999999991</v>
      </c>
      <c r="AN289" s="11">
        <v>2005.3929999999991</v>
      </c>
      <c r="AO289" s="10">
        <v>0.30772036477895343</v>
      </c>
      <c r="AP289" t="s">
        <v>4413</v>
      </c>
      <c r="AQ289" t="s">
        <v>4143</v>
      </c>
      <c r="AR289" t="s">
        <v>4124</v>
      </c>
      <c r="AS289" t="s">
        <v>4107</v>
      </c>
      <c r="AT289" t="s">
        <v>4121</v>
      </c>
      <c r="AU289">
        <v>121</v>
      </c>
      <c r="AV289" t="s">
        <v>4109</v>
      </c>
    </row>
    <row r="290" spans="1:48">
      <c r="A290" t="s">
        <v>1492</v>
      </c>
      <c r="B290" t="s">
        <v>1493</v>
      </c>
      <c r="C290" t="s">
        <v>1493</v>
      </c>
      <c r="D290" t="s">
        <v>1494</v>
      </c>
      <c r="E290" t="s">
        <v>189</v>
      </c>
      <c r="F290" t="s">
        <v>50</v>
      </c>
      <c r="G290" t="s">
        <v>51</v>
      </c>
      <c r="H290" t="s">
        <v>196</v>
      </c>
      <c r="I290" t="s">
        <v>197</v>
      </c>
      <c r="J290" t="s">
        <v>39</v>
      </c>
      <c r="K290" t="s">
        <v>208</v>
      </c>
      <c r="L290" t="s">
        <v>1495</v>
      </c>
      <c r="M290" t="s">
        <v>57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43</v>
      </c>
      <c r="U290" t="s">
        <v>44</v>
      </c>
      <c r="W290" t="s">
        <v>1492</v>
      </c>
      <c r="X290" t="str">
        <v>24-06-24</v>
      </c>
      <c r="Y290" t="str">
        <v>24-06-24</v>
      </c>
      <c r="Z290" t="s">
        <v>1494</v>
      </c>
      <c r="AA290" t="str">
        <v>Rohan Mehta</v>
      </c>
      <c r="AB290" t="str">
        <f>TRIM(PROPER(F:F))</f>
        <v>Small Business</v>
      </c>
      <c r="AC290" t="str">
        <f>TRIM(PROPER(G:G))</f>
        <v>East</v>
      </c>
      <c r="AD290" t="str">
        <f>TRIM(PROPER(H:H))</f>
        <v>Bihar</v>
      </c>
      <c r="AE290" t="str">
        <f>TRIM(PROPER(I:I))</f>
        <v>Patna</v>
      </c>
      <c r="AF290" t="str">
        <f t="shared" si="8"/>
        <v>Office Supplies</v>
      </c>
      <c r="AG290" t="str">
        <f t="shared" si="8"/>
        <v>Binders</v>
      </c>
      <c r="AH290" t="str">
        <f t="shared" si="6"/>
        <v>Classic Binders 721</v>
      </c>
      <c r="AI290" t="str">
        <f t="shared" si="6"/>
        <v>Same Day</v>
      </c>
      <c r="AJ290" s="3" t="str">
        <f t="shared" si="7"/>
        <v xml:space="preserve">  </v>
      </c>
      <c r="AK290">
        <f>IFERROR(Y290-X290, "invalid date")</f>
        <v>0</v>
      </c>
      <c r="AL290" s="10">
        <v>0.15</v>
      </c>
      <c r="AM290" s="11">
        <v>7411.829999999999</v>
      </c>
      <c r="AN290" s="11">
        <v>2507.1999999999989</v>
      </c>
      <c r="AO290" s="10">
        <v>0.3382700358750807</v>
      </c>
      <c r="AP290" t="s">
        <v>4448</v>
      </c>
      <c r="AQ290" t="s">
        <v>4448</v>
      </c>
      <c r="AR290" t="s">
        <v>4170</v>
      </c>
      <c r="AS290" t="s">
        <v>4107</v>
      </c>
      <c r="AT290" t="s">
        <v>4115</v>
      </c>
      <c r="AU290">
        <v>0</v>
      </c>
      <c r="AV290" t="s">
        <v>4109</v>
      </c>
    </row>
    <row r="291" spans="1:48">
      <c r="A291" t="s">
        <v>1496</v>
      </c>
      <c r="B291" t="s">
        <v>264</v>
      </c>
      <c r="C291" t="s">
        <v>660</v>
      </c>
      <c r="D291" t="s">
        <v>1497</v>
      </c>
      <c r="E291" t="s">
        <v>34</v>
      </c>
      <c r="F291" t="s">
        <v>124</v>
      </c>
      <c r="G291" t="s">
        <v>71</v>
      </c>
      <c r="H291" t="s">
        <v>350</v>
      </c>
      <c r="I291" t="s">
        <v>351</v>
      </c>
      <c r="J291" t="s">
        <v>54</v>
      </c>
      <c r="K291" t="s">
        <v>214</v>
      </c>
      <c r="L291" t="s">
        <v>1498</v>
      </c>
      <c r="M291" t="s">
        <v>65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43</v>
      </c>
      <c r="U291" t="s">
        <v>44</v>
      </c>
      <c r="W291" t="s">
        <v>1496</v>
      </c>
      <c r="X291" t="str">
        <v>19-06-25</v>
      </c>
      <c r="Y291" t="str">
        <v>invalid date</v>
      </c>
      <c r="Z291" t="s">
        <v>1497</v>
      </c>
      <c r="AA291" t="str">
        <v>Karan Malhotra</v>
      </c>
      <c r="AB291" t="str">
        <f>TRIM(PROPER(F:F))</f>
        <v>Home Office</v>
      </c>
      <c r="AC291" t="str">
        <f>TRIM(PROPER(G:G))</f>
        <v>South</v>
      </c>
      <c r="AD291" t="str">
        <f>TRIM(PROPER(H:H))</f>
        <v>Tamil Nadu</v>
      </c>
      <c r="AE291" t="str">
        <f>TRIM(PROPER(I:I))</f>
        <v>Chennai</v>
      </c>
      <c r="AF291" t="str">
        <f t="shared" si="8"/>
        <v>Furniture</v>
      </c>
      <c r="AG291" t="str">
        <f t="shared" si="8"/>
        <v>Bookcases</v>
      </c>
      <c r="AH291" t="str">
        <f t="shared" si="6"/>
        <v>Basic Bookcases 823</v>
      </c>
      <c r="AI291" t="str">
        <f t="shared" si="6"/>
        <v>First Class</v>
      </c>
      <c r="AJ291" s="3" t="str">
        <f t="shared" si="7"/>
        <v>Invalid</v>
      </c>
      <c r="AK291" t="str">
        <f>IFERROR(Y291-X291, "invalid date")</f>
        <v>invalid date</v>
      </c>
      <c r="AL291" s="10">
        <v>0.05</v>
      </c>
      <c r="AM291" s="11">
        <v>8258.7109999999993</v>
      </c>
      <c r="AN291" s="11">
        <v>1239.7409999999991</v>
      </c>
      <c r="AO291" s="10">
        <v>0.15011313508851432</v>
      </c>
      <c r="AP291" t="s">
        <v>4169</v>
      </c>
      <c r="AQ291" t="s">
        <v>4105</v>
      </c>
      <c r="AR291" t="s">
        <v>4170</v>
      </c>
      <c r="AS291" t="s">
        <v>4120</v>
      </c>
      <c r="AT291" t="s">
        <v>4108</v>
      </c>
      <c r="AU291" t="s">
        <v>4105</v>
      </c>
      <c r="AV291" t="s">
        <v>4109</v>
      </c>
    </row>
    <row r="292" spans="1:48">
      <c r="A292" t="s">
        <v>1499</v>
      </c>
      <c r="B292" t="s">
        <v>1500</v>
      </c>
      <c r="C292" t="s">
        <v>1501</v>
      </c>
      <c r="D292" t="s">
        <v>1502</v>
      </c>
      <c r="E292" t="s">
        <v>220</v>
      </c>
      <c r="F292" t="s">
        <v>124</v>
      </c>
      <c r="G292" t="s">
        <v>51</v>
      </c>
      <c r="H292" t="s">
        <v>322</v>
      </c>
      <c r="I292" t="s">
        <v>323</v>
      </c>
      <c r="J292" t="s">
        <v>54</v>
      </c>
      <c r="K292" t="s">
        <v>55</v>
      </c>
      <c r="L292" t="s">
        <v>1503</v>
      </c>
      <c r="M292" t="s">
        <v>76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43</v>
      </c>
      <c r="U292" t="s">
        <v>44</v>
      </c>
      <c r="W292" t="s">
        <v>1499</v>
      </c>
      <c r="X292" t="str">
        <v>22-08-25</v>
      </c>
      <c r="Y292" t="str">
        <v>26-08-25</v>
      </c>
      <c r="Z292" t="s">
        <v>1502</v>
      </c>
      <c r="AA292" t="str">
        <v>Diya Patel</v>
      </c>
      <c r="AB292" t="str">
        <f>TRIM(PROPER(F:F))</f>
        <v>Home Office</v>
      </c>
      <c r="AC292" t="str">
        <f>TRIM(PROPER(G:G))</f>
        <v>East</v>
      </c>
      <c r="AD292" t="str">
        <f>TRIM(PROPER(H:H))</f>
        <v>Jharkhand</v>
      </c>
      <c r="AE292" t="str">
        <f>TRIM(PROPER(I:I))</f>
        <v>Ranchi</v>
      </c>
      <c r="AF292" t="str">
        <f t="shared" si="8"/>
        <v>Furniture</v>
      </c>
      <c r="AG292" t="str">
        <f t="shared" si="8"/>
        <v>Tables</v>
      </c>
      <c r="AH292" t="str">
        <f t="shared" si="6"/>
        <v>Classic Tables 178</v>
      </c>
      <c r="AI292" t="str">
        <f t="shared" si="6"/>
        <v>Standard Class</v>
      </c>
      <c r="AJ292" s="3" t="str">
        <f t="shared" si="7"/>
        <v>anomaly</v>
      </c>
      <c r="AK292">
        <f>IFERROR(Y292-X292, "invalid date")</f>
        <v>4</v>
      </c>
      <c r="AL292" s="10">
        <v>0.1</v>
      </c>
      <c r="AM292" s="11">
        <v>1658.3670000000002</v>
      </c>
      <c r="AN292" s="11">
        <v>687.24700000000018</v>
      </c>
      <c r="AO292" s="10">
        <v>0.41441188832146331</v>
      </c>
      <c r="AP292" t="s">
        <v>4229</v>
      </c>
      <c r="AQ292" t="s">
        <v>4449</v>
      </c>
      <c r="AR292" t="s">
        <v>4114</v>
      </c>
      <c r="AS292" t="s">
        <v>4120</v>
      </c>
      <c r="AT292" t="s">
        <v>4115</v>
      </c>
      <c r="AU292">
        <v>4</v>
      </c>
      <c r="AV292" t="s">
        <v>4109</v>
      </c>
    </row>
    <row r="293" spans="1:48">
      <c r="A293" t="s">
        <v>1504</v>
      </c>
      <c r="B293" t="s">
        <v>1505</v>
      </c>
      <c r="C293" t="s">
        <v>1506</v>
      </c>
      <c r="D293" t="s">
        <v>1507</v>
      </c>
      <c r="E293" t="s">
        <v>151</v>
      </c>
      <c r="F293" t="s">
        <v>124</v>
      </c>
      <c r="G293" t="s">
        <v>36</v>
      </c>
      <c r="H293" t="s">
        <v>37</v>
      </c>
      <c r="I293" t="s">
        <v>38</v>
      </c>
      <c r="J293" t="s">
        <v>39</v>
      </c>
      <c r="K293" t="s">
        <v>208</v>
      </c>
      <c r="L293" t="s">
        <v>1508</v>
      </c>
      <c r="M293" t="s">
        <v>76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43</v>
      </c>
      <c r="U293" t="s">
        <v>44</v>
      </c>
      <c r="W293" t="s">
        <v>1504</v>
      </c>
      <c r="X293" t="str">
        <v>04-05-24</v>
      </c>
      <c r="Y293" t="str">
        <v>10-04-24</v>
      </c>
      <c r="Z293" t="s">
        <v>1507</v>
      </c>
      <c r="AA293" t="str">
        <v>Priya Menon</v>
      </c>
      <c r="AB293" t="str">
        <f>TRIM(PROPER(F:F))</f>
        <v>Home Office</v>
      </c>
      <c r="AC293" t="str">
        <f>TRIM(PROPER(G:G))</f>
        <v>North</v>
      </c>
      <c r="AD293" t="str">
        <f>TRIM(PROPER(H:H))</f>
        <v>Rajasthan</v>
      </c>
      <c r="AE293" t="str">
        <f>TRIM(PROPER(I:I))</f>
        <v>Jaipur</v>
      </c>
      <c r="AF293" t="str">
        <f t="shared" si="8"/>
        <v>Office Supplies</v>
      </c>
      <c r="AG293" t="str">
        <f t="shared" si="8"/>
        <v>Binders</v>
      </c>
      <c r="AH293" t="str">
        <f t="shared" si="6"/>
        <v>Eco Binders 153</v>
      </c>
      <c r="AI293" t="str">
        <f t="shared" si="6"/>
        <v>Standard Class</v>
      </c>
      <c r="AJ293" s="3" t="str">
        <f t="shared" si="7"/>
        <v>anomaly</v>
      </c>
      <c r="AK293">
        <f>IFERROR(Y293-X293, "invalid date")</f>
        <v>-24</v>
      </c>
      <c r="AL293" s="10">
        <v>0.25</v>
      </c>
      <c r="AM293" s="11">
        <v>9685.98</v>
      </c>
      <c r="AN293" s="11">
        <v>1955.9399999999996</v>
      </c>
      <c r="AO293" s="10">
        <v>0.20193516815025425</v>
      </c>
      <c r="AP293" t="s">
        <v>4412</v>
      </c>
      <c r="AQ293" t="s">
        <v>4441</v>
      </c>
      <c r="AR293" t="s">
        <v>4124</v>
      </c>
      <c r="AS293" t="s">
        <v>4107</v>
      </c>
      <c r="AT293" t="s">
        <v>4115</v>
      </c>
      <c r="AU293">
        <v>-24</v>
      </c>
      <c r="AV293" t="s">
        <v>4109</v>
      </c>
    </row>
    <row r="294" spans="1:48">
      <c r="A294" t="s">
        <v>1509</v>
      </c>
      <c r="B294" t="s">
        <v>1510</v>
      </c>
      <c r="C294" t="s">
        <v>1511</v>
      </c>
      <c r="D294" t="s">
        <v>1512</v>
      </c>
      <c r="E294" t="s">
        <v>377</v>
      </c>
      <c r="F294" t="s">
        <v>124</v>
      </c>
      <c r="G294" t="s">
        <v>36</v>
      </c>
      <c r="H294" t="s">
        <v>334</v>
      </c>
      <c r="I294" t="s">
        <v>335</v>
      </c>
      <c r="J294" t="s">
        <v>39</v>
      </c>
      <c r="K294" t="s">
        <v>63</v>
      </c>
      <c r="L294" t="s">
        <v>1513</v>
      </c>
      <c r="M294" t="s">
        <v>57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146</v>
      </c>
      <c r="U294" t="s">
        <v>87</v>
      </c>
      <c r="W294" t="s">
        <v>1509</v>
      </c>
      <c r="X294" t="str">
        <v>28-02-25</v>
      </c>
      <c r="Y294" t="str">
        <v>03-03-25</v>
      </c>
      <c r="Z294" t="s">
        <v>1512</v>
      </c>
      <c r="AA294" t="str">
        <v>Kabir Singh</v>
      </c>
      <c r="AB294" t="str">
        <f>TRIM(PROPER(F:F))</f>
        <v>Home Office</v>
      </c>
      <c r="AC294" t="str">
        <f>TRIM(PROPER(G:G))</f>
        <v>North</v>
      </c>
      <c r="AD294" t="str">
        <f>TRIM(PROPER(H:H))</f>
        <v>Haryana</v>
      </c>
      <c r="AE294" t="str">
        <f>TRIM(PROPER(I:I))</f>
        <v>Gurugram</v>
      </c>
      <c r="AF294" t="str">
        <f t="shared" si="8"/>
        <v>Office Supplies</v>
      </c>
      <c r="AG294" t="str">
        <f t="shared" si="8"/>
        <v>Art</v>
      </c>
      <c r="AH294" t="str">
        <f t="shared" si="8"/>
        <v>Classic Art 183</v>
      </c>
      <c r="AI294" t="str">
        <f t="shared" si="8"/>
        <v>Same Day</v>
      </c>
      <c r="AJ294" s="3" t="str">
        <f t="shared" si="7"/>
        <v xml:space="preserve">  </v>
      </c>
      <c r="AK294">
        <f>IFERROR(Y294-X294, "invalid date")</f>
        <v>3</v>
      </c>
      <c r="AL294" s="10">
        <v>0</v>
      </c>
      <c r="AM294" s="11">
        <v>33740.549999999996</v>
      </c>
      <c r="AN294" s="11">
        <v>9118.6599999999962</v>
      </c>
      <c r="AO294" s="10">
        <v>0.2702581908119458</v>
      </c>
      <c r="AP294" t="s">
        <v>4450</v>
      </c>
      <c r="AQ294" t="s">
        <v>4451</v>
      </c>
      <c r="AR294" t="s">
        <v>4129</v>
      </c>
      <c r="AS294" t="s">
        <v>4120</v>
      </c>
      <c r="AT294" t="s">
        <v>4121</v>
      </c>
      <c r="AU294">
        <v>3</v>
      </c>
      <c r="AV294" t="s">
        <v>4109</v>
      </c>
    </row>
    <row r="295" spans="1:48">
      <c r="A295" t="s">
        <v>1514</v>
      </c>
      <c r="B295" t="s">
        <v>1515</v>
      </c>
      <c r="C295" t="s">
        <v>1516</v>
      </c>
      <c r="D295" t="s">
        <v>1517</v>
      </c>
      <c r="E295" t="s">
        <v>70</v>
      </c>
      <c r="F295" t="s">
        <v>124</v>
      </c>
      <c r="G295" t="s">
        <v>71</v>
      </c>
      <c r="H295" t="s">
        <v>72</v>
      </c>
      <c r="I295" t="s">
        <v>73</v>
      </c>
      <c r="J295" t="s">
        <v>95</v>
      </c>
      <c r="K295" t="s">
        <v>233</v>
      </c>
      <c r="L295" t="s">
        <v>1518</v>
      </c>
      <c r="M295" t="s">
        <v>65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43</v>
      </c>
      <c r="U295" t="s">
        <v>44</v>
      </c>
      <c r="W295" t="s">
        <v>1514</v>
      </c>
      <c r="X295" t="str">
        <v>03-07-24</v>
      </c>
      <c r="Y295" t="str">
        <v>11-03-24</v>
      </c>
      <c r="Z295" t="s">
        <v>1517</v>
      </c>
      <c r="AA295" t="str">
        <v>Arjun Bose</v>
      </c>
      <c r="AB295" t="str">
        <f>TRIM(PROPER(F:F))</f>
        <v>Home Office</v>
      </c>
      <c r="AC295" t="str">
        <f>TRIM(PROPER(G:G))</f>
        <v>South</v>
      </c>
      <c r="AD295" t="str">
        <f>TRIM(PROPER(H:H))</f>
        <v>Telangana</v>
      </c>
      <c r="AE295" t="str">
        <f>TRIM(PROPER(I:I))</f>
        <v>Hyderabad</v>
      </c>
      <c r="AF295" t="str">
        <f t="shared" si="8"/>
        <v>Technology</v>
      </c>
      <c r="AG295" t="str">
        <f t="shared" si="8"/>
        <v>Phones</v>
      </c>
      <c r="AH295" t="str">
        <f t="shared" si="8"/>
        <v>Pro Phones 455</v>
      </c>
      <c r="AI295" t="str">
        <f t="shared" si="8"/>
        <v>First Class</v>
      </c>
      <c r="AJ295" s="3" t="str">
        <f t="shared" si="7"/>
        <v>anomaly</v>
      </c>
      <c r="AK295">
        <f>IFERROR(Y295-X295, "invalid date")</f>
        <v>-114</v>
      </c>
      <c r="AL295" s="10" t="s">
        <v>191</v>
      </c>
      <c r="AM295" s="11" t="s">
        <v>4111</v>
      </c>
      <c r="AN295" s="11" t="s">
        <v>4111</v>
      </c>
      <c r="AO295" s="10" t="s">
        <v>4111</v>
      </c>
      <c r="AP295" t="s">
        <v>4452</v>
      </c>
      <c r="AQ295" t="s">
        <v>4404</v>
      </c>
      <c r="AR295" t="s">
        <v>4106</v>
      </c>
      <c r="AS295" t="s">
        <v>4107</v>
      </c>
      <c r="AT295" t="s">
        <v>4115</v>
      </c>
      <c r="AU295">
        <v>-114</v>
      </c>
      <c r="AV295" t="s">
        <v>4109</v>
      </c>
    </row>
    <row r="296" spans="1:48">
      <c r="A296" t="s">
        <v>1519</v>
      </c>
      <c r="B296" t="s">
        <v>1520</v>
      </c>
      <c r="C296" t="s">
        <v>1521</v>
      </c>
      <c r="D296" t="s">
        <v>1522</v>
      </c>
      <c r="E296" t="s">
        <v>151</v>
      </c>
      <c r="F296" t="s">
        <v>35</v>
      </c>
      <c r="G296" t="s">
        <v>51</v>
      </c>
      <c r="H296" t="s">
        <v>52</v>
      </c>
      <c r="I296" t="s">
        <v>53</v>
      </c>
      <c r="J296" t="s">
        <v>95</v>
      </c>
      <c r="K296" t="s">
        <v>233</v>
      </c>
      <c r="L296" t="s">
        <v>1523</v>
      </c>
      <c r="M296" t="s">
        <v>42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43</v>
      </c>
      <c r="U296" t="s">
        <v>134</v>
      </c>
      <c r="W296" t="s">
        <v>1519</v>
      </c>
      <c r="X296" t="str">
        <v>16-07-25</v>
      </c>
      <c r="Y296" t="str">
        <v>invalid date</v>
      </c>
      <c r="Z296" t="s">
        <v>1522</v>
      </c>
      <c r="AA296" t="str">
        <v>Priya Menon</v>
      </c>
      <c r="AB296" t="str">
        <f>TRIM(PROPER(F:F))</f>
        <v>Consumer</v>
      </c>
      <c r="AC296" t="str">
        <f>TRIM(PROPER(G:G))</f>
        <v>East</v>
      </c>
      <c r="AD296" t="str">
        <f>TRIM(PROPER(H:H))</f>
        <v>Odisha</v>
      </c>
      <c r="AE296" t="str">
        <f>TRIM(PROPER(I:I))</f>
        <v>Bhubaneswar</v>
      </c>
      <c r="AF296" t="str">
        <f t="shared" si="8"/>
        <v>Technology</v>
      </c>
      <c r="AG296" t="str">
        <f t="shared" si="8"/>
        <v>Phones</v>
      </c>
      <c r="AH296" t="str">
        <f t="shared" si="8"/>
        <v>Basic Phones 326</v>
      </c>
      <c r="AI296" t="str">
        <f t="shared" si="8"/>
        <v>Second Class</v>
      </c>
      <c r="AJ296" s="3" t="str">
        <f t="shared" si="7"/>
        <v>Invalid</v>
      </c>
      <c r="AK296" t="str">
        <f>IFERROR(Y296-X296, "invalid date")</f>
        <v>invalid date</v>
      </c>
      <c r="AL296" s="10">
        <v>0.25</v>
      </c>
      <c r="AM296" s="11">
        <v>18716.985000000001</v>
      </c>
      <c r="AN296" s="11">
        <v>6434.5550000000003</v>
      </c>
      <c r="AO296" s="10">
        <v>0.34378159730319813</v>
      </c>
      <c r="AP296" t="s">
        <v>4273</v>
      </c>
      <c r="AQ296" t="s">
        <v>4105</v>
      </c>
      <c r="AR296" t="s">
        <v>4106</v>
      </c>
      <c r="AS296" t="s">
        <v>4120</v>
      </c>
      <c r="AT296" t="s">
        <v>4108</v>
      </c>
      <c r="AU296" t="s">
        <v>4105</v>
      </c>
      <c r="AV296" t="s">
        <v>4109</v>
      </c>
    </row>
    <row r="297" spans="1:48">
      <c r="A297" t="s">
        <v>1524</v>
      </c>
      <c r="B297" t="s">
        <v>1525</v>
      </c>
      <c r="C297" t="s">
        <v>1526</v>
      </c>
      <c r="D297" t="s">
        <v>1527</v>
      </c>
      <c r="E297" t="s">
        <v>116</v>
      </c>
      <c r="F297" t="s">
        <v>50</v>
      </c>
      <c r="G297" t="s">
        <v>51</v>
      </c>
      <c r="H297" t="s">
        <v>226</v>
      </c>
      <c r="I297" t="s">
        <v>227</v>
      </c>
      <c r="J297" t="s">
        <v>39</v>
      </c>
      <c r="K297" t="s">
        <v>208</v>
      </c>
      <c r="L297" t="s">
        <v>1528</v>
      </c>
      <c r="M297" t="s">
        <v>76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43</v>
      </c>
      <c r="U297" t="s">
        <v>44</v>
      </c>
      <c r="W297" t="s">
        <v>1524</v>
      </c>
      <c r="X297" t="str">
        <v>25-06-25</v>
      </c>
      <c r="Y297" t="str">
        <v>28-06-25</v>
      </c>
      <c r="Z297" t="s">
        <v>1527</v>
      </c>
      <c r="AA297" t="str">
        <v>Aditi Sen</v>
      </c>
      <c r="AB297" t="str">
        <f>TRIM(PROPER(F:F))</f>
        <v>Small Business</v>
      </c>
      <c r="AC297" t="str">
        <f>TRIM(PROPER(G:G))</f>
        <v>East</v>
      </c>
      <c r="AD297" t="str">
        <f>TRIM(PROPER(H:H))</f>
        <v>Assam</v>
      </c>
      <c r="AE297" t="str">
        <f>TRIM(PROPER(I:I))</f>
        <v>Guwahati</v>
      </c>
      <c r="AF297" t="str">
        <f t="shared" si="8"/>
        <v>Office Supplies</v>
      </c>
      <c r="AG297" t="str">
        <f t="shared" si="8"/>
        <v>Binders</v>
      </c>
      <c r="AH297" t="str">
        <f t="shared" si="8"/>
        <v>Max Binders 587</v>
      </c>
      <c r="AI297" t="str">
        <f t="shared" si="8"/>
        <v>Standard Class</v>
      </c>
      <c r="AJ297" s="3" t="str">
        <f t="shared" si="7"/>
        <v>anomaly</v>
      </c>
      <c r="AK297">
        <f>IFERROR(Y297-X297, "invalid date")</f>
        <v>3</v>
      </c>
      <c r="AL297" s="10">
        <v>0.1</v>
      </c>
      <c r="AM297" s="11">
        <v>9385.3350000000009</v>
      </c>
      <c r="AN297" s="11">
        <v>3556.795000000001</v>
      </c>
      <c r="AO297" s="10">
        <v>0.37897368607513748</v>
      </c>
      <c r="AP297" t="s">
        <v>4418</v>
      </c>
      <c r="AQ297" t="s">
        <v>4398</v>
      </c>
      <c r="AR297" t="s">
        <v>4170</v>
      </c>
      <c r="AS297" t="s">
        <v>4120</v>
      </c>
      <c r="AT297" t="s">
        <v>4115</v>
      </c>
      <c r="AU297">
        <v>3</v>
      </c>
      <c r="AV297" t="s">
        <v>4109</v>
      </c>
    </row>
    <row r="298" spans="1:48">
      <c r="A298" t="s">
        <v>1529</v>
      </c>
      <c r="B298" t="s">
        <v>1530</v>
      </c>
      <c r="C298" t="s">
        <v>1531</v>
      </c>
      <c r="D298" t="s">
        <v>1532</v>
      </c>
      <c r="E298" t="s">
        <v>116</v>
      </c>
      <c r="F298" t="s">
        <v>124</v>
      </c>
      <c r="G298" t="s">
        <v>36</v>
      </c>
      <c r="H298" t="s">
        <v>334</v>
      </c>
      <c r="I298" t="s">
        <v>335</v>
      </c>
      <c r="J298" t="s">
        <v>54</v>
      </c>
      <c r="K298" t="s">
        <v>74</v>
      </c>
      <c r="L298" t="s">
        <v>1533</v>
      </c>
      <c r="M298" t="s">
        <v>57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43</v>
      </c>
      <c r="U298" t="s">
        <v>44</v>
      </c>
      <c r="W298" t="s">
        <v>1529</v>
      </c>
      <c r="X298" t="str">
        <v>24-05-25</v>
      </c>
      <c r="Y298" t="str">
        <v>invalid date</v>
      </c>
      <c r="Z298" t="s">
        <v>1532</v>
      </c>
      <c r="AA298" t="str">
        <v>Aditi Sen</v>
      </c>
      <c r="AB298" t="str">
        <f>TRIM(PROPER(F:F))</f>
        <v>Home Office</v>
      </c>
      <c r="AC298" t="str">
        <f>TRIM(PROPER(G:G))</f>
        <v>North</v>
      </c>
      <c r="AD298" t="str">
        <f>TRIM(PROPER(H:H))</f>
        <v>Haryana</v>
      </c>
      <c r="AE298" t="str">
        <f>TRIM(PROPER(I:I))</f>
        <v>Gurugram</v>
      </c>
      <c r="AF298" t="str">
        <f t="shared" si="8"/>
        <v>Furniture</v>
      </c>
      <c r="AG298" t="str">
        <f t="shared" si="8"/>
        <v>Furnishings</v>
      </c>
      <c r="AH298" t="str">
        <f t="shared" si="8"/>
        <v>Basic Furnishings 617</v>
      </c>
      <c r="AI298" t="str">
        <f t="shared" si="8"/>
        <v>Same Day</v>
      </c>
      <c r="AJ298" s="3" t="str">
        <f t="shared" si="7"/>
        <v>Invalid</v>
      </c>
      <c r="AK298" t="str">
        <f>IFERROR(Y298-X298, "invalid date")</f>
        <v>invalid date</v>
      </c>
      <c r="AL298" s="10">
        <v>0.15</v>
      </c>
      <c r="AM298" s="11">
        <v>17826.591</v>
      </c>
      <c r="AN298" s="11">
        <v>6971.241</v>
      </c>
      <c r="AO298" s="10">
        <v>0.39105855965394615</v>
      </c>
      <c r="AP298" t="s">
        <v>4453</v>
      </c>
      <c r="AQ298" t="s">
        <v>4105</v>
      </c>
      <c r="AR298" t="s">
        <v>4124</v>
      </c>
      <c r="AS298" t="s">
        <v>4120</v>
      </c>
      <c r="AT298" t="s">
        <v>4108</v>
      </c>
      <c r="AU298" t="s">
        <v>4105</v>
      </c>
      <c r="AV298" t="s">
        <v>4109</v>
      </c>
    </row>
    <row r="299" spans="1:48">
      <c r="A299" t="s">
        <v>1534</v>
      </c>
      <c r="B299" t="s">
        <v>1535</v>
      </c>
      <c r="C299" t="s">
        <v>1536</v>
      </c>
      <c r="D299" t="s">
        <v>1537</v>
      </c>
      <c r="E299" t="s">
        <v>177</v>
      </c>
      <c r="F299" t="s">
        <v>117</v>
      </c>
      <c r="G299" t="s">
        <v>71</v>
      </c>
      <c r="H299" t="s">
        <v>350</v>
      </c>
      <c r="I299" t="s">
        <v>351</v>
      </c>
      <c r="J299" t="s">
        <v>95</v>
      </c>
      <c r="K299" t="s">
        <v>103</v>
      </c>
      <c r="L299" t="s">
        <v>1538</v>
      </c>
      <c r="M299" t="s">
        <v>57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43</v>
      </c>
      <c r="U299" t="s">
        <v>44</v>
      </c>
      <c r="W299" t="s">
        <v>1534</v>
      </c>
      <c r="X299" t="str">
        <v>29-10-24</v>
      </c>
      <c r="Y299" t="str">
        <v>06-11-24</v>
      </c>
      <c r="Z299" t="s">
        <v>1537</v>
      </c>
      <c r="AA299" t="str">
        <v>Sneha Kapoor</v>
      </c>
      <c r="AB299" t="str">
        <f>TRIM(PROPER(F:F))</f>
        <v>Corporate</v>
      </c>
      <c r="AC299" t="str">
        <f>TRIM(PROPER(G:G))</f>
        <v>South</v>
      </c>
      <c r="AD299" t="str">
        <f>TRIM(PROPER(H:H))</f>
        <v>Tamil Nadu</v>
      </c>
      <c r="AE299" t="str">
        <f>TRIM(PROPER(I:I))</f>
        <v>Chennai</v>
      </c>
      <c r="AF299" t="str">
        <f t="shared" si="8"/>
        <v>Technology</v>
      </c>
      <c r="AG299" t="str">
        <f t="shared" si="8"/>
        <v>Copiers</v>
      </c>
      <c r="AH299" t="str">
        <f t="shared" si="8"/>
        <v>Prime Copiers 669</v>
      </c>
      <c r="AI299" t="str">
        <f t="shared" si="8"/>
        <v>Same Day</v>
      </c>
      <c r="AJ299" s="3" t="str">
        <f t="shared" si="7"/>
        <v xml:space="preserve">  </v>
      </c>
      <c r="AK299">
        <f>IFERROR(Y299-X299, "invalid date")</f>
        <v>8</v>
      </c>
      <c r="AL299" s="10">
        <v>0.15</v>
      </c>
      <c r="AM299" s="11">
        <v>5966.5920000000006</v>
      </c>
      <c r="AN299" s="11">
        <v>1971.8720000000008</v>
      </c>
      <c r="AO299" s="10">
        <v>0.33048547646629778</v>
      </c>
      <c r="AP299" t="s">
        <v>4249</v>
      </c>
      <c r="AQ299" t="s">
        <v>4454</v>
      </c>
      <c r="AR299" t="s">
        <v>4126</v>
      </c>
      <c r="AS299" t="s">
        <v>4107</v>
      </c>
      <c r="AT299" t="s">
        <v>4121</v>
      </c>
      <c r="AU299">
        <v>8</v>
      </c>
      <c r="AV299" t="s">
        <v>4109</v>
      </c>
    </row>
    <row r="300" spans="1:48">
      <c r="A300" t="s">
        <v>1539</v>
      </c>
      <c r="B300" t="s">
        <v>1540</v>
      </c>
      <c r="C300" t="s">
        <v>1541</v>
      </c>
      <c r="D300" t="s">
        <v>1542</v>
      </c>
      <c r="E300" t="s">
        <v>62</v>
      </c>
      <c r="F300" t="s">
        <v>35</v>
      </c>
      <c r="G300" t="s">
        <v>71</v>
      </c>
      <c r="H300" t="s">
        <v>252</v>
      </c>
      <c r="I300" t="s">
        <v>253</v>
      </c>
      <c r="J300" t="s">
        <v>95</v>
      </c>
      <c r="K300" t="s">
        <v>103</v>
      </c>
      <c r="L300" t="s">
        <v>1543</v>
      </c>
      <c r="M300" t="s">
        <v>65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210</v>
      </c>
      <c r="U300" t="s">
        <v>134</v>
      </c>
      <c r="W300" t="s">
        <v>1539</v>
      </c>
      <c r="X300" t="str">
        <v>23-01-25</v>
      </c>
      <c r="Y300" t="str">
        <v>26-01-25</v>
      </c>
      <c r="Z300" t="s">
        <v>1542</v>
      </c>
      <c r="AA300" t="str">
        <v>Isha Nair</v>
      </c>
      <c r="AB300" t="str">
        <f>TRIM(PROPER(F:F))</f>
        <v>Consumer</v>
      </c>
      <c r="AC300" t="str">
        <f>TRIM(PROPER(G:G))</f>
        <v>South</v>
      </c>
      <c r="AD300" t="str">
        <f>TRIM(PROPER(H:H))</f>
        <v>Kerala</v>
      </c>
      <c r="AE300" t="str">
        <f>TRIM(PROPER(I:I))</f>
        <v>Kochi</v>
      </c>
      <c r="AF300" t="str">
        <f t="shared" si="8"/>
        <v>Technology</v>
      </c>
      <c r="AG300" t="str">
        <f t="shared" si="8"/>
        <v>Copiers</v>
      </c>
      <c r="AH300" t="str">
        <f t="shared" si="8"/>
        <v>Eco Copiers 894</v>
      </c>
      <c r="AI300" t="str">
        <f t="shared" si="8"/>
        <v>First Class</v>
      </c>
      <c r="AJ300" s="3" t="str">
        <f t="shared" si="7"/>
        <v>anomaly</v>
      </c>
      <c r="AK300">
        <f>IFERROR(Y300-X300, "invalid date")</f>
        <v>3</v>
      </c>
      <c r="AL300" s="10">
        <v>0.2</v>
      </c>
      <c r="AM300" s="11">
        <v>1951.5440000000003</v>
      </c>
      <c r="AN300" s="11">
        <v>341.59400000000028</v>
      </c>
      <c r="AO300" s="10">
        <v>0.17503781621116421</v>
      </c>
      <c r="AP300" t="s">
        <v>4152</v>
      </c>
      <c r="AQ300" t="s">
        <v>4303</v>
      </c>
      <c r="AR300" t="s">
        <v>4153</v>
      </c>
      <c r="AS300" t="s">
        <v>4120</v>
      </c>
      <c r="AT300" t="s">
        <v>4115</v>
      </c>
      <c r="AU300">
        <v>3</v>
      </c>
      <c r="AV300" t="s">
        <v>4109</v>
      </c>
    </row>
    <row r="301" spans="1:48">
      <c r="A301" t="s">
        <v>1544</v>
      </c>
      <c r="B301" t="s">
        <v>1536</v>
      </c>
      <c r="C301" t="s">
        <v>1545</v>
      </c>
      <c r="D301" t="s">
        <v>1546</v>
      </c>
      <c r="E301" t="s">
        <v>157</v>
      </c>
      <c r="F301" t="s">
        <v>50</v>
      </c>
      <c r="G301" t="s">
        <v>82</v>
      </c>
      <c r="H301" t="s">
        <v>245</v>
      </c>
      <c r="I301" t="s">
        <v>246</v>
      </c>
      <c r="J301" t="s">
        <v>95</v>
      </c>
      <c r="K301" t="s">
        <v>96</v>
      </c>
      <c r="L301" t="s">
        <v>1547</v>
      </c>
      <c r="M301" t="s">
        <v>76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43</v>
      </c>
      <c r="U301" t="s">
        <v>44</v>
      </c>
      <c r="W301" t="s">
        <v>1544</v>
      </c>
      <c r="X301" t="str">
        <v>06-11-24</v>
      </c>
      <c r="Y301" t="str">
        <v>12-11-24</v>
      </c>
      <c r="Z301" t="s">
        <v>1546</v>
      </c>
      <c r="AA301" t="str">
        <v>Rahul Verma</v>
      </c>
      <c r="AB301" t="str">
        <f>TRIM(PROPER(F:F))</f>
        <v>Small Business</v>
      </c>
      <c r="AC301" t="str">
        <f>TRIM(PROPER(G:G))</f>
        <v>West</v>
      </c>
      <c r="AD301" t="str">
        <f>TRIM(PROPER(H:H))</f>
        <v>Gujarat</v>
      </c>
      <c r="AE301" t="str">
        <f>TRIM(PROPER(I:I))</f>
        <v>Ahmedabad</v>
      </c>
      <c r="AF301" t="str">
        <f t="shared" si="8"/>
        <v>Technology</v>
      </c>
      <c r="AG301" t="str">
        <f t="shared" si="8"/>
        <v>Accessories</v>
      </c>
      <c r="AH301" t="str">
        <f t="shared" si="8"/>
        <v>Max Accessories 145</v>
      </c>
      <c r="AI301" t="str">
        <f t="shared" si="8"/>
        <v>Standard Class</v>
      </c>
      <c r="AJ301" s="3" t="str">
        <f t="shared" si="7"/>
        <v>anomaly</v>
      </c>
      <c r="AK301">
        <f>IFERROR(Y301-X301, "invalid date")</f>
        <v>6</v>
      </c>
      <c r="AL301" s="10">
        <v>0.1</v>
      </c>
      <c r="AM301" s="11">
        <v>10830.015000000001</v>
      </c>
      <c r="AN301" s="11">
        <v>3774.7050000000008</v>
      </c>
      <c r="AO301" s="10">
        <v>0.34854106850267524</v>
      </c>
      <c r="AP301" t="s">
        <v>4454</v>
      </c>
      <c r="AQ301" t="s">
        <v>4182</v>
      </c>
      <c r="AR301" t="s">
        <v>4117</v>
      </c>
      <c r="AS301" t="s">
        <v>4107</v>
      </c>
      <c r="AT301" t="s">
        <v>4115</v>
      </c>
      <c r="AU301">
        <v>6</v>
      </c>
      <c r="AV301" t="s">
        <v>4109</v>
      </c>
    </row>
    <row r="302" spans="1:48">
      <c r="A302" t="s">
        <v>1548</v>
      </c>
      <c r="B302" t="s">
        <v>1549</v>
      </c>
      <c r="C302" t="s">
        <v>1550</v>
      </c>
      <c r="D302" t="s">
        <v>1551</v>
      </c>
      <c r="E302" t="s">
        <v>220</v>
      </c>
      <c r="F302" t="s">
        <v>50</v>
      </c>
      <c r="G302" t="s">
        <v>36</v>
      </c>
      <c r="H302" t="s">
        <v>163</v>
      </c>
      <c r="I302" t="s">
        <v>164</v>
      </c>
      <c r="J302" t="s">
        <v>95</v>
      </c>
      <c r="K302" t="s">
        <v>96</v>
      </c>
      <c r="L302" t="s">
        <v>1552</v>
      </c>
      <c r="M302" t="s">
        <v>42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43</v>
      </c>
      <c r="U302" t="s">
        <v>44</v>
      </c>
      <c r="W302" t="s">
        <v>1548</v>
      </c>
      <c r="X302" t="str">
        <v>15-04-24</v>
      </c>
      <c r="Y302" t="str">
        <v>invalid date</v>
      </c>
      <c r="Z302" t="s">
        <v>1551</v>
      </c>
      <c r="AA302" t="str">
        <v>Diya Patel</v>
      </c>
      <c r="AB302" t="str">
        <f>TRIM(PROPER(F:F))</f>
        <v>Small Business</v>
      </c>
      <c r="AC302" t="str">
        <f>TRIM(PROPER(G:G))</f>
        <v>North</v>
      </c>
      <c r="AD302" t="str">
        <f>TRIM(PROPER(H:H))</f>
        <v>Punjab</v>
      </c>
      <c r="AE302" t="str">
        <f>TRIM(PROPER(I:I))</f>
        <v>Ludhiana</v>
      </c>
      <c r="AF302" t="str">
        <f t="shared" si="8"/>
        <v>Technology</v>
      </c>
      <c r="AG302" t="str">
        <f t="shared" si="8"/>
        <v>Accessories</v>
      </c>
      <c r="AH302" t="str">
        <f t="shared" si="8"/>
        <v>Classic Accessories 126</v>
      </c>
      <c r="AI302" t="str">
        <f t="shared" si="8"/>
        <v>Second Class</v>
      </c>
      <c r="AJ302" s="3" t="str">
        <f t="shared" si="7"/>
        <v>Invalid</v>
      </c>
      <c r="AK302" t="str">
        <f>IFERROR(Y302-X302, "invalid date")</f>
        <v>invalid date</v>
      </c>
      <c r="AL302" s="10">
        <v>0.1</v>
      </c>
      <c r="AM302" s="11">
        <v>31539.293999999998</v>
      </c>
      <c r="AN302" s="11">
        <v>9439.1539999999986</v>
      </c>
      <c r="AO302" s="10">
        <v>0.29928234918638313</v>
      </c>
      <c r="AP302" t="s">
        <v>4455</v>
      </c>
      <c r="AQ302" t="s">
        <v>4105</v>
      </c>
      <c r="AR302" t="s">
        <v>4199</v>
      </c>
      <c r="AS302" t="s">
        <v>4107</v>
      </c>
      <c r="AT302" t="s">
        <v>4108</v>
      </c>
      <c r="AU302" t="s">
        <v>4105</v>
      </c>
      <c r="AV302" t="s">
        <v>4109</v>
      </c>
    </row>
    <row r="303" spans="1:48">
      <c r="A303" t="s">
        <v>1553</v>
      </c>
      <c r="B303" t="s">
        <v>1028</v>
      </c>
      <c r="C303" t="s">
        <v>1554</v>
      </c>
      <c r="D303" t="s">
        <v>1555</v>
      </c>
      <c r="E303" t="s">
        <v>62</v>
      </c>
      <c r="F303" t="s">
        <v>124</v>
      </c>
      <c r="G303" t="s">
        <v>51</v>
      </c>
      <c r="H303" t="s">
        <v>196</v>
      </c>
      <c r="I303" t="s">
        <v>197</v>
      </c>
      <c r="J303" t="s">
        <v>95</v>
      </c>
      <c r="K303" t="s">
        <v>233</v>
      </c>
      <c r="L303" t="s">
        <v>1556</v>
      </c>
      <c r="M303" t="s">
        <v>57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43</v>
      </c>
      <c r="U303" t="s">
        <v>44</v>
      </c>
      <c r="W303" t="s">
        <v>1553</v>
      </c>
      <c r="X303" t="str">
        <v>28-05-25</v>
      </c>
      <c r="Y303" t="str">
        <v>01-06-25</v>
      </c>
      <c r="Z303" t="s">
        <v>1555</v>
      </c>
      <c r="AA303" t="str">
        <v>Isha Nair</v>
      </c>
      <c r="AB303" t="str">
        <f>TRIM(PROPER(F:F))</f>
        <v>Home Office</v>
      </c>
      <c r="AC303" t="str">
        <f>TRIM(PROPER(G:G))</f>
        <v>East</v>
      </c>
      <c r="AD303" t="str">
        <f>TRIM(PROPER(H:H))</f>
        <v>Bihar</v>
      </c>
      <c r="AE303" t="str">
        <f>TRIM(PROPER(I:I))</f>
        <v>Patna</v>
      </c>
      <c r="AF303" t="str">
        <f t="shared" si="8"/>
        <v>Technology</v>
      </c>
      <c r="AG303" t="str">
        <f t="shared" si="8"/>
        <v>Phones</v>
      </c>
      <c r="AH303" t="str">
        <f t="shared" si="8"/>
        <v>Elite Phones 202</v>
      </c>
      <c r="AI303" t="str">
        <f t="shared" si="8"/>
        <v>Same Day</v>
      </c>
      <c r="AJ303" s="3" t="str">
        <f t="shared" si="7"/>
        <v xml:space="preserve">  </v>
      </c>
      <c r="AK303">
        <f>IFERROR(Y303-X303, "invalid date")</f>
        <v>4</v>
      </c>
      <c r="AL303" s="10">
        <v>0.05</v>
      </c>
      <c r="AM303" s="11">
        <v>6285.6179999999995</v>
      </c>
      <c r="AN303" s="11">
        <v>2580.2379999999994</v>
      </c>
      <c r="AO303" s="10">
        <v>0.41049869718458865</v>
      </c>
      <c r="AP303" t="s">
        <v>4358</v>
      </c>
      <c r="AQ303" t="s">
        <v>4427</v>
      </c>
      <c r="AR303" t="s">
        <v>4124</v>
      </c>
      <c r="AS303" t="s">
        <v>4120</v>
      </c>
      <c r="AT303" t="s">
        <v>4121</v>
      </c>
      <c r="AU303">
        <v>4</v>
      </c>
      <c r="AV303" t="s">
        <v>4109</v>
      </c>
    </row>
    <row r="304" spans="1:48">
      <c r="A304" t="s">
        <v>1557</v>
      </c>
      <c r="B304" t="s">
        <v>1398</v>
      </c>
      <c r="C304" t="s">
        <v>1558</v>
      </c>
      <c r="D304" t="s">
        <v>1559</v>
      </c>
      <c r="E304" t="s">
        <v>102</v>
      </c>
      <c r="F304" t="s">
        <v>35</v>
      </c>
      <c r="G304" t="s">
        <v>82</v>
      </c>
      <c r="H304" t="s">
        <v>259</v>
      </c>
      <c r="I304" t="s">
        <v>260</v>
      </c>
      <c r="J304" t="s">
        <v>928</v>
      </c>
      <c r="K304" t="s">
        <v>165</v>
      </c>
      <c r="L304" t="s">
        <v>1560</v>
      </c>
      <c r="M304" t="s">
        <v>57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43</v>
      </c>
      <c r="U304" t="s">
        <v>44</v>
      </c>
      <c r="W304" t="s">
        <v>1557</v>
      </c>
      <c r="X304" t="str">
        <v>04-06-25</v>
      </c>
      <c r="Y304" t="str">
        <v>12-06-25</v>
      </c>
      <c r="Z304" t="s">
        <v>1559</v>
      </c>
      <c r="AA304" t="str">
        <v>Neha Gupta</v>
      </c>
      <c r="AB304" t="str">
        <f>TRIM(PROPER(F:F))</f>
        <v>Consumer</v>
      </c>
      <c r="AC304" t="str">
        <f>TRIM(PROPER(G:G))</f>
        <v>West</v>
      </c>
      <c r="AD304" t="str">
        <f>TRIM(PROPER(H:H))</f>
        <v>Goa</v>
      </c>
      <c r="AE304" t="str">
        <f>TRIM(PROPER(I:I))</f>
        <v>Panaji</v>
      </c>
      <c r="AF304" t="str">
        <f t="shared" si="8"/>
        <v>Office Supplies</v>
      </c>
      <c r="AG304" t="str">
        <f t="shared" si="8"/>
        <v>Storage</v>
      </c>
      <c r="AH304" t="str">
        <f t="shared" si="8"/>
        <v>Elite Storage 535</v>
      </c>
      <c r="AI304" t="str">
        <f t="shared" si="8"/>
        <v>Same Day</v>
      </c>
      <c r="AJ304" s="3" t="str">
        <f t="shared" si="7"/>
        <v>anomaly</v>
      </c>
      <c r="AK304">
        <f>IFERROR(Y304-X304, "invalid date")</f>
        <v>8</v>
      </c>
      <c r="AL304" s="10">
        <v>0.25</v>
      </c>
      <c r="AM304" s="11">
        <v>4054.92</v>
      </c>
      <c r="AN304" s="11">
        <v>1630.0900000000001</v>
      </c>
      <c r="AO304" s="10">
        <v>0.40200299882611745</v>
      </c>
      <c r="AP304" t="s">
        <v>4401</v>
      </c>
      <c r="AQ304" t="s">
        <v>4456</v>
      </c>
      <c r="AR304" t="s">
        <v>4170</v>
      </c>
      <c r="AS304" t="s">
        <v>4120</v>
      </c>
      <c r="AT304" t="s">
        <v>4115</v>
      </c>
      <c r="AU304">
        <v>8</v>
      </c>
      <c r="AV304" t="s">
        <v>4109</v>
      </c>
    </row>
    <row r="305" spans="1:48">
      <c r="A305" t="s">
        <v>1561</v>
      </c>
      <c r="B305" t="s">
        <v>1562</v>
      </c>
      <c r="C305" t="s">
        <v>1053</v>
      </c>
      <c r="D305" t="s">
        <v>1563</v>
      </c>
      <c r="E305" t="s">
        <v>220</v>
      </c>
      <c r="F305" t="s">
        <v>124</v>
      </c>
      <c r="G305" t="s">
        <v>82</v>
      </c>
      <c r="H305" t="s">
        <v>245</v>
      </c>
      <c r="I305" t="s">
        <v>246</v>
      </c>
      <c r="J305" t="s">
        <v>54</v>
      </c>
      <c r="K305" t="s">
        <v>85</v>
      </c>
      <c r="L305" t="s">
        <v>1564</v>
      </c>
      <c r="M305" t="s">
        <v>76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146</v>
      </c>
      <c r="U305" t="s">
        <v>134</v>
      </c>
      <c r="W305" t="s">
        <v>1561</v>
      </c>
      <c r="X305" t="str">
        <v>23-06-24</v>
      </c>
      <c r="Y305" t="str">
        <v>28-06-24</v>
      </c>
      <c r="Z305" t="s">
        <v>1563</v>
      </c>
      <c r="AA305" t="str">
        <v>Diya Patel</v>
      </c>
      <c r="AB305" t="str">
        <f>TRIM(PROPER(F:F))</f>
        <v>Home Office</v>
      </c>
      <c r="AC305" t="str">
        <f>TRIM(PROPER(G:G))</f>
        <v>West</v>
      </c>
      <c r="AD305" t="str">
        <f>TRIM(PROPER(H:H))</f>
        <v>Gujarat</v>
      </c>
      <c r="AE305" t="str">
        <f>TRIM(PROPER(I:I))</f>
        <v>Ahmedabad</v>
      </c>
      <c r="AF305" t="str">
        <f t="shared" si="8"/>
        <v>Furniture</v>
      </c>
      <c r="AG305" t="str">
        <f t="shared" si="8"/>
        <v>Chairs</v>
      </c>
      <c r="AH305" t="str">
        <f t="shared" si="8"/>
        <v>Elite Chairs 107</v>
      </c>
      <c r="AI305" t="str">
        <f t="shared" si="8"/>
        <v>Standard Class</v>
      </c>
      <c r="AJ305" s="3" t="str">
        <f t="shared" si="7"/>
        <v>anomaly</v>
      </c>
      <c r="AK305">
        <f>IFERROR(Y305-X305, "invalid date")</f>
        <v>5</v>
      </c>
      <c r="AL305" s="10">
        <v>0.1</v>
      </c>
      <c r="AM305" s="11">
        <v>2363.652</v>
      </c>
      <c r="AN305" s="11">
        <v>487.55200000000013</v>
      </c>
      <c r="AO305" s="10">
        <v>0.20627063544041174</v>
      </c>
      <c r="AP305" t="s">
        <v>4363</v>
      </c>
      <c r="AQ305" t="s">
        <v>4364</v>
      </c>
      <c r="AR305" t="s">
        <v>4170</v>
      </c>
      <c r="AS305" t="s">
        <v>4107</v>
      </c>
      <c r="AT305" t="s">
        <v>4115</v>
      </c>
      <c r="AU305">
        <v>5</v>
      </c>
      <c r="AV305" t="s">
        <v>4109</v>
      </c>
    </row>
    <row r="306" spans="1:48">
      <c r="A306" t="s">
        <v>1565</v>
      </c>
      <c r="B306" t="s">
        <v>1566</v>
      </c>
      <c r="C306" t="s">
        <v>1567</v>
      </c>
      <c r="D306" t="s">
        <v>1568</v>
      </c>
      <c r="E306" t="s">
        <v>34</v>
      </c>
      <c r="F306" t="s">
        <v>35</v>
      </c>
      <c r="G306" t="s">
        <v>36</v>
      </c>
      <c r="H306" t="s">
        <v>163</v>
      </c>
      <c r="I306" t="s">
        <v>164</v>
      </c>
      <c r="J306" t="s">
        <v>54</v>
      </c>
      <c r="K306" t="s">
        <v>74</v>
      </c>
      <c r="L306" t="s">
        <v>1569</v>
      </c>
      <c r="M306" t="s">
        <v>76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43</v>
      </c>
      <c r="U306" t="s">
        <v>44</v>
      </c>
      <c r="W306" t="s">
        <v>1565</v>
      </c>
      <c r="X306" t="str">
        <v>03-06-24</v>
      </c>
      <c r="Y306" t="str">
        <v>13-03-24</v>
      </c>
      <c r="Z306" t="s">
        <v>1568</v>
      </c>
      <c r="AA306" t="str">
        <v>Karan Malhotra</v>
      </c>
      <c r="AB306" t="str">
        <f>TRIM(PROPER(F:F))</f>
        <v>Consumer</v>
      </c>
      <c r="AC306" t="str">
        <f>TRIM(PROPER(G:G))</f>
        <v>North</v>
      </c>
      <c r="AD306" t="str">
        <f>TRIM(PROPER(H:H))</f>
        <v>Punjab</v>
      </c>
      <c r="AE306" t="str">
        <f>TRIM(PROPER(I:I))</f>
        <v>Ludhiana</v>
      </c>
      <c r="AF306" t="str">
        <f t="shared" si="8"/>
        <v>Furniture</v>
      </c>
      <c r="AG306" t="str">
        <f t="shared" si="8"/>
        <v>Furnishings</v>
      </c>
      <c r="AH306" t="str">
        <f t="shared" si="8"/>
        <v>Pro Furnishings 991</v>
      </c>
      <c r="AI306" t="str">
        <f t="shared" si="8"/>
        <v>Standard Class</v>
      </c>
      <c r="AJ306" s="3" t="str">
        <f t="shared" si="7"/>
        <v>anomaly</v>
      </c>
      <c r="AK306">
        <f>IFERROR(Y306-X306, "invalid date")</f>
        <v>-82</v>
      </c>
      <c r="AL306" s="10">
        <v>0.1</v>
      </c>
      <c r="AM306" s="11">
        <v>12976.470000000001</v>
      </c>
      <c r="AN306" s="11">
        <v>2956.4900000000016</v>
      </c>
      <c r="AO306" s="10">
        <v>0.22783468847845378</v>
      </c>
      <c r="AP306" t="s">
        <v>4399</v>
      </c>
      <c r="AQ306" t="s">
        <v>4457</v>
      </c>
      <c r="AR306" t="s">
        <v>4170</v>
      </c>
      <c r="AS306" t="s">
        <v>4107</v>
      </c>
      <c r="AT306" t="s">
        <v>4115</v>
      </c>
      <c r="AU306">
        <v>-82</v>
      </c>
      <c r="AV306" t="s">
        <v>4109</v>
      </c>
    </row>
    <row r="307" spans="1:48">
      <c r="A307" t="s">
        <v>1570</v>
      </c>
      <c r="B307" t="s">
        <v>1571</v>
      </c>
      <c r="C307" t="s">
        <v>1234</v>
      </c>
      <c r="D307" t="s">
        <v>1572</v>
      </c>
      <c r="E307" t="s">
        <v>81</v>
      </c>
      <c r="F307" t="s">
        <v>35</v>
      </c>
      <c r="G307" t="s">
        <v>51</v>
      </c>
      <c r="H307" t="s">
        <v>226</v>
      </c>
      <c r="I307" t="s">
        <v>227</v>
      </c>
      <c r="J307" t="s">
        <v>54</v>
      </c>
      <c r="K307" t="s">
        <v>85</v>
      </c>
      <c r="L307" t="s">
        <v>1573</v>
      </c>
      <c r="M307" t="s">
        <v>65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43</v>
      </c>
      <c r="U307" t="s">
        <v>87</v>
      </c>
      <c r="W307" t="s">
        <v>1570</v>
      </c>
      <c r="X307" t="str">
        <v>01-05-24</v>
      </c>
      <c r="Y307" t="str">
        <v>05-02-24</v>
      </c>
      <c r="Z307" t="s">
        <v>1572</v>
      </c>
      <c r="AA307" t="str">
        <v>Ananya Rao</v>
      </c>
      <c r="AB307" t="str">
        <f>TRIM(PROPER(F:F))</f>
        <v>Consumer</v>
      </c>
      <c r="AC307" t="str">
        <f>TRIM(PROPER(G:G))</f>
        <v>East</v>
      </c>
      <c r="AD307" t="str">
        <f>TRIM(PROPER(H:H))</f>
        <v>Assam</v>
      </c>
      <c r="AE307" t="str">
        <f>TRIM(PROPER(I:I))</f>
        <v>Guwahati</v>
      </c>
      <c r="AF307" t="str">
        <f t="shared" si="8"/>
        <v>Furniture</v>
      </c>
      <c r="AG307" t="str">
        <f t="shared" si="8"/>
        <v>Chairs</v>
      </c>
      <c r="AH307" t="str">
        <f t="shared" si="8"/>
        <v>Eco Chairs 105</v>
      </c>
      <c r="AI307" t="str">
        <f t="shared" si="8"/>
        <v>First Class</v>
      </c>
      <c r="AJ307" s="3" t="str">
        <f t="shared" si="7"/>
        <v>anomaly</v>
      </c>
      <c r="AK307">
        <f>IFERROR(Y307-X307, "invalid date")</f>
        <v>-86</v>
      </c>
      <c r="AL307" s="10" t="s">
        <v>191</v>
      </c>
      <c r="AM307" s="11" t="s">
        <v>4111</v>
      </c>
      <c r="AN307" s="11" t="s">
        <v>4111</v>
      </c>
      <c r="AO307" s="10" t="s">
        <v>4111</v>
      </c>
      <c r="AP307" t="s">
        <v>4458</v>
      </c>
      <c r="AQ307" t="s">
        <v>4400</v>
      </c>
      <c r="AR307" t="s">
        <v>4124</v>
      </c>
      <c r="AS307" t="s">
        <v>4107</v>
      </c>
      <c r="AT307" t="s">
        <v>4115</v>
      </c>
      <c r="AU307">
        <v>-86</v>
      </c>
      <c r="AV307" t="s">
        <v>4109</v>
      </c>
    </row>
    <row r="308" spans="1:48">
      <c r="A308" t="s">
        <v>1574</v>
      </c>
      <c r="B308" t="s">
        <v>1575</v>
      </c>
      <c r="C308" t="s">
        <v>106</v>
      </c>
      <c r="D308" t="s">
        <v>1576</v>
      </c>
      <c r="E308" t="s">
        <v>171</v>
      </c>
      <c r="F308" t="s">
        <v>35</v>
      </c>
      <c r="G308" t="s">
        <v>36</v>
      </c>
      <c r="H308" t="s">
        <v>37</v>
      </c>
      <c r="I308" t="s">
        <v>38</v>
      </c>
      <c r="J308" t="s">
        <v>95</v>
      </c>
      <c r="K308" t="s">
        <v>233</v>
      </c>
      <c r="L308" t="s">
        <v>1577</v>
      </c>
      <c r="M308" t="s">
        <v>42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43</v>
      </c>
      <c r="U308" t="s">
        <v>44</v>
      </c>
      <c r="W308" t="s">
        <v>1574</v>
      </c>
      <c r="X308" t="str">
        <v>20-02-25</v>
      </c>
      <c r="Y308" t="str">
        <v>23-02-25</v>
      </c>
      <c r="Z308" t="s">
        <v>1576</v>
      </c>
      <c r="AA308" t="str">
        <v>Aarav Sharma</v>
      </c>
      <c r="AB308" t="str">
        <f>TRIM(PROPER(F:F))</f>
        <v>Consumer</v>
      </c>
      <c r="AC308" t="str">
        <f>TRIM(PROPER(G:G))</f>
        <v>North</v>
      </c>
      <c r="AD308" t="str">
        <f>TRIM(PROPER(H:H))</f>
        <v>Rajasthan</v>
      </c>
      <c r="AE308" t="str">
        <f>TRIM(PROPER(I:I))</f>
        <v>Jaipur</v>
      </c>
      <c r="AF308" t="str">
        <f t="shared" si="8"/>
        <v>Technology</v>
      </c>
      <c r="AG308" t="str">
        <f t="shared" si="8"/>
        <v>Phones</v>
      </c>
      <c r="AH308" t="str">
        <f t="shared" si="8"/>
        <v>Pro Phones 530</v>
      </c>
      <c r="AI308" t="str">
        <f t="shared" si="8"/>
        <v>Second Class</v>
      </c>
      <c r="AJ308" s="3" t="str">
        <f t="shared" si="7"/>
        <v>anomaly</v>
      </c>
      <c r="AK308">
        <f>IFERROR(Y308-X308, "invalid date")</f>
        <v>3</v>
      </c>
      <c r="AL308" s="10">
        <v>0</v>
      </c>
      <c r="AM308" s="11">
        <v>14692.44</v>
      </c>
      <c r="AN308" s="11">
        <v>4610.25</v>
      </c>
      <c r="AO308" s="10">
        <v>0.31378382351740075</v>
      </c>
      <c r="AP308" t="s">
        <v>4340</v>
      </c>
      <c r="AQ308" t="s">
        <v>4127</v>
      </c>
      <c r="AR308" t="s">
        <v>4129</v>
      </c>
      <c r="AS308" t="s">
        <v>4120</v>
      </c>
      <c r="AT308" t="s">
        <v>4115</v>
      </c>
      <c r="AU308">
        <v>3</v>
      </c>
      <c r="AV308" t="s">
        <v>4109</v>
      </c>
    </row>
    <row r="309" spans="1:48">
      <c r="A309" t="s">
        <v>1578</v>
      </c>
      <c r="B309" t="s">
        <v>1579</v>
      </c>
      <c r="C309" t="s">
        <v>1580</v>
      </c>
      <c r="D309" t="s">
        <v>1581</v>
      </c>
      <c r="E309" t="s">
        <v>81</v>
      </c>
      <c r="F309" t="s">
        <v>117</v>
      </c>
      <c r="G309" t="s">
        <v>36</v>
      </c>
      <c r="H309" t="s">
        <v>183</v>
      </c>
      <c r="I309" t="s">
        <v>184</v>
      </c>
      <c r="J309" t="s">
        <v>54</v>
      </c>
      <c r="K309" t="s">
        <v>55</v>
      </c>
      <c r="L309" t="s">
        <v>1582</v>
      </c>
      <c r="M309" t="s">
        <v>65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1583</v>
      </c>
      <c r="U309" t="s">
        <v>87</v>
      </c>
      <c r="W309" t="s">
        <v>1578</v>
      </c>
      <c r="X309" t="str">
        <v>12-07-25</v>
      </c>
      <c r="Y309" t="str">
        <v>19-07-25</v>
      </c>
      <c r="Z309" t="s">
        <v>1581</v>
      </c>
      <c r="AA309" t="str">
        <v>Ananya Rao</v>
      </c>
      <c r="AB309" t="str">
        <f>TRIM(PROPER(F:F))</f>
        <v>Corporate</v>
      </c>
      <c r="AC309" t="str">
        <f>TRIM(PROPER(G:G))</f>
        <v>North</v>
      </c>
      <c r="AD309" t="str">
        <f>TRIM(PROPER(H:H))</f>
        <v>Uttar Pradesh</v>
      </c>
      <c r="AE309" t="str">
        <f>TRIM(PROPER(I:I))</f>
        <v>Noida</v>
      </c>
      <c r="AF309" t="str">
        <f t="shared" si="8"/>
        <v>Furniture</v>
      </c>
      <c r="AG309" t="str">
        <f t="shared" si="8"/>
        <v>Tables</v>
      </c>
      <c r="AH309" t="str">
        <f t="shared" si="8"/>
        <v>Basic Tables 911</v>
      </c>
      <c r="AI309" t="str">
        <f t="shared" si="8"/>
        <v>First Class</v>
      </c>
      <c r="AJ309" s="3" t="str">
        <f t="shared" si="7"/>
        <v>anomaly</v>
      </c>
      <c r="AK309">
        <f>IFERROR(Y309-X309, "invalid date")</f>
        <v>7</v>
      </c>
      <c r="AL309" s="10">
        <v>0.2</v>
      </c>
      <c r="AM309" s="11">
        <v>29469.888000000003</v>
      </c>
      <c r="AN309" s="11">
        <v>10534.378000000004</v>
      </c>
      <c r="AO309" s="10">
        <v>0.3574624375905332</v>
      </c>
      <c r="AP309" t="s">
        <v>4239</v>
      </c>
      <c r="AQ309" t="s">
        <v>4459</v>
      </c>
      <c r="AR309" t="s">
        <v>4106</v>
      </c>
      <c r="AS309" t="s">
        <v>4120</v>
      </c>
      <c r="AT309" t="s">
        <v>4115</v>
      </c>
      <c r="AU309">
        <v>7</v>
      </c>
      <c r="AV309" t="s">
        <v>4109</v>
      </c>
    </row>
    <row r="310" spans="1:48">
      <c r="A310" t="s">
        <v>1584</v>
      </c>
      <c r="B310" t="s">
        <v>1585</v>
      </c>
      <c r="C310" t="s">
        <v>1586</v>
      </c>
      <c r="D310" t="s">
        <v>1587</v>
      </c>
      <c r="E310" t="s">
        <v>189</v>
      </c>
      <c r="F310" t="s">
        <v>35</v>
      </c>
      <c r="G310" t="s">
        <v>36</v>
      </c>
      <c r="H310" t="s">
        <v>37</v>
      </c>
      <c r="I310" t="s">
        <v>38</v>
      </c>
      <c r="J310" t="s">
        <v>54</v>
      </c>
      <c r="K310" t="s">
        <v>55</v>
      </c>
      <c r="L310" t="s">
        <v>1588</v>
      </c>
      <c r="M310" t="s">
        <v>65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43</v>
      </c>
      <c r="U310" t="s">
        <v>44</v>
      </c>
      <c r="W310" t="s">
        <v>1584</v>
      </c>
      <c r="X310" t="str">
        <v>13-06-25</v>
      </c>
      <c r="Y310" t="str">
        <v>19-06-25</v>
      </c>
      <c r="Z310" t="s">
        <v>1587</v>
      </c>
      <c r="AA310" t="str">
        <v>Rohan Mehta</v>
      </c>
      <c r="AB310" t="str">
        <f>TRIM(PROPER(F:F))</f>
        <v>Consumer</v>
      </c>
      <c r="AC310" t="str">
        <f>TRIM(PROPER(G:G))</f>
        <v>North</v>
      </c>
      <c r="AD310" t="str">
        <f>TRIM(PROPER(H:H))</f>
        <v>Rajasthan</v>
      </c>
      <c r="AE310" t="str">
        <f>TRIM(PROPER(I:I))</f>
        <v>Jaipur</v>
      </c>
      <c r="AF310" t="str">
        <f t="shared" si="8"/>
        <v>Furniture</v>
      </c>
      <c r="AG310" t="str">
        <f t="shared" si="8"/>
        <v>Tables</v>
      </c>
      <c r="AH310" t="str">
        <f t="shared" si="8"/>
        <v>Classic Tables 224</v>
      </c>
      <c r="AI310" t="str">
        <f t="shared" si="8"/>
        <v>First Class</v>
      </c>
      <c r="AJ310" s="3" t="str">
        <f t="shared" si="7"/>
        <v>anomaly</v>
      </c>
      <c r="AK310">
        <f>IFERROR(Y310-X310, "invalid date")</f>
        <v>6</v>
      </c>
      <c r="AL310" s="10">
        <v>0.2</v>
      </c>
      <c r="AM310" s="11">
        <v>2341.0240000000003</v>
      </c>
      <c r="AN310" s="11">
        <v>775.53400000000033</v>
      </c>
      <c r="AO310" s="10">
        <v>0.33127981601213835</v>
      </c>
      <c r="AP310" t="s">
        <v>4460</v>
      </c>
      <c r="AQ310" t="s">
        <v>4169</v>
      </c>
      <c r="AR310" t="s">
        <v>4170</v>
      </c>
      <c r="AS310" t="s">
        <v>4120</v>
      </c>
      <c r="AT310" t="s">
        <v>4115</v>
      </c>
      <c r="AU310">
        <v>6</v>
      </c>
      <c r="AV310" t="s">
        <v>4109</v>
      </c>
    </row>
    <row r="311" spans="1:48">
      <c r="A311" t="s">
        <v>1589</v>
      </c>
      <c r="B311" t="s">
        <v>1590</v>
      </c>
      <c r="C311" t="s">
        <v>136</v>
      </c>
      <c r="D311" t="s">
        <v>1591</v>
      </c>
      <c r="E311" t="s">
        <v>81</v>
      </c>
      <c r="F311" t="s">
        <v>35</v>
      </c>
      <c r="G311" t="s">
        <v>71</v>
      </c>
      <c r="H311" t="s">
        <v>350</v>
      </c>
      <c r="I311" t="s">
        <v>351</v>
      </c>
      <c r="J311" t="s">
        <v>54</v>
      </c>
      <c r="K311" t="s">
        <v>55</v>
      </c>
      <c r="L311" t="s">
        <v>1592</v>
      </c>
      <c r="M311" t="s">
        <v>65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43</v>
      </c>
      <c r="U311" t="s">
        <v>87</v>
      </c>
      <c r="W311" t="s">
        <v>1589</v>
      </c>
      <c r="X311" t="str">
        <v>invalid date</v>
      </c>
      <c r="Y311" t="str">
        <v>22-07-24</v>
      </c>
      <c r="Z311" t="s">
        <v>1591</v>
      </c>
      <c r="AA311" t="str">
        <v>Ananya Rao</v>
      </c>
      <c r="AB311" t="str">
        <f>TRIM(PROPER(F:F))</f>
        <v>Consumer</v>
      </c>
      <c r="AC311" t="str">
        <f>TRIM(PROPER(G:G))</f>
        <v>South</v>
      </c>
      <c r="AD311" t="str">
        <f>TRIM(PROPER(H:H))</f>
        <v>Tamil Nadu</v>
      </c>
      <c r="AE311" t="str">
        <f>TRIM(PROPER(I:I))</f>
        <v>Chennai</v>
      </c>
      <c r="AF311" t="str">
        <f t="shared" si="8"/>
        <v>Furniture</v>
      </c>
      <c r="AG311" t="str">
        <f t="shared" si="8"/>
        <v>Tables</v>
      </c>
      <c r="AH311" t="str">
        <f t="shared" si="8"/>
        <v>Prime Tables 214</v>
      </c>
      <c r="AI311" t="str">
        <f t="shared" si="8"/>
        <v>First Class</v>
      </c>
      <c r="AJ311" s="3" t="str">
        <f t="shared" si="7"/>
        <v>Invalid</v>
      </c>
      <c r="AK311" t="str">
        <f>IFERROR(Y311-X311, "invalid date")</f>
        <v>invalid date</v>
      </c>
      <c r="AL311" s="10">
        <v>0.1</v>
      </c>
      <c r="AM311" s="11">
        <v>12982.599</v>
      </c>
      <c r="AN311" s="11">
        <v>5736.2390000000005</v>
      </c>
      <c r="AO311" s="10">
        <v>0.441840574448922</v>
      </c>
      <c r="AP311" t="s">
        <v>4105</v>
      </c>
      <c r="AQ311" t="s">
        <v>4136</v>
      </c>
      <c r="AR311" t="s">
        <v>4105</v>
      </c>
      <c r="AS311" t="s">
        <v>4105</v>
      </c>
      <c r="AT311" t="s">
        <v>4108</v>
      </c>
      <c r="AU311" t="s">
        <v>4105</v>
      </c>
      <c r="AV311" t="s">
        <v>4109</v>
      </c>
    </row>
    <row r="312" spans="1:48">
      <c r="A312" t="s">
        <v>1593</v>
      </c>
      <c r="B312" t="s">
        <v>1594</v>
      </c>
      <c r="C312" t="s">
        <v>1595</v>
      </c>
      <c r="D312" t="s">
        <v>1596</v>
      </c>
      <c r="E312" t="s">
        <v>189</v>
      </c>
      <c r="F312" t="s">
        <v>50</v>
      </c>
      <c r="G312" t="s">
        <v>71</v>
      </c>
      <c r="H312" t="s">
        <v>350</v>
      </c>
      <c r="I312" t="s">
        <v>351</v>
      </c>
      <c r="J312" t="s">
        <v>95</v>
      </c>
      <c r="K312" t="s">
        <v>393</v>
      </c>
      <c r="L312" t="s">
        <v>1597</v>
      </c>
      <c r="M312" t="s">
        <v>65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43</v>
      </c>
      <c r="U312" t="s">
        <v>44</v>
      </c>
      <c r="W312" t="s">
        <v>1593</v>
      </c>
      <c r="X312" t="str">
        <v>04-07-24</v>
      </c>
      <c r="Y312" t="str">
        <v>08-07-24</v>
      </c>
      <c r="Z312" t="s">
        <v>1596</v>
      </c>
      <c r="AA312" t="str">
        <v>Rohan Mehta</v>
      </c>
      <c r="AB312" t="str">
        <f>TRIM(PROPER(F:F))</f>
        <v>Small Business</v>
      </c>
      <c r="AC312" t="str">
        <f>TRIM(PROPER(G:G))</f>
        <v>South</v>
      </c>
      <c r="AD312" t="str">
        <f>TRIM(PROPER(H:H))</f>
        <v>Tamil Nadu</v>
      </c>
      <c r="AE312" t="str">
        <f>TRIM(PROPER(I:I))</f>
        <v>Chennai</v>
      </c>
      <c r="AF312" t="str">
        <f t="shared" si="8"/>
        <v>Technology</v>
      </c>
      <c r="AG312" t="str">
        <f t="shared" si="8"/>
        <v>Machines</v>
      </c>
      <c r="AH312" t="str">
        <f t="shared" si="8"/>
        <v>Max Machines 988</v>
      </c>
      <c r="AI312" t="str">
        <f t="shared" si="8"/>
        <v>First Class</v>
      </c>
      <c r="AJ312" s="3" t="str">
        <f t="shared" si="7"/>
        <v>anomaly</v>
      </c>
      <c r="AK312">
        <f>IFERROR(Y312-X312, "invalid date")</f>
        <v>4</v>
      </c>
      <c r="AL312" s="10">
        <v>0</v>
      </c>
      <c r="AM312" s="11">
        <v>16274</v>
      </c>
      <c r="AN312" s="11">
        <v>6849.75</v>
      </c>
      <c r="AO312" s="10">
        <v>0.42090143787636719</v>
      </c>
      <c r="AP312" t="s">
        <v>4461</v>
      </c>
      <c r="AQ312" t="s">
        <v>4462</v>
      </c>
      <c r="AR312" t="s">
        <v>4106</v>
      </c>
      <c r="AS312" t="s">
        <v>4107</v>
      </c>
      <c r="AT312" t="s">
        <v>4115</v>
      </c>
      <c r="AU312">
        <v>4</v>
      </c>
      <c r="AV312" t="s">
        <v>4109</v>
      </c>
    </row>
    <row r="313" spans="1:48">
      <c r="A313" t="s">
        <v>1598</v>
      </c>
      <c r="B313" t="s">
        <v>1599</v>
      </c>
      <c r="C313" t="s">
        <v>958</v>
      </c>
      <c r="D313" t="s">
        <v>1600</v>
      </c>
      <c r="E313" t="s">
        <v>49</v>
      </c>
      <c r="F313" t="s">
        <v>117</v>
      </c>
      <c r="G313" t="s">
        <v>71</v>
      </c>
      <c r="H313" t="s">
        <v>239</v>
      </c>
      <c r="I313" t="s">
        <v>240</v>
      </c>
      <c r="J313" t="s">
        <v>39</v>
      </c>
      <c r="K313" t="s">
        <v>208</v>
      </c>
      <c r="L313" t="s">
        <v>1601</v>
      </c>
      <c r="M313" t="s">
        <v>42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43</v>
      </c>
      <c r="U313" t="s">
        <v>44</v>
      </c>
      <c r="W313" t="s">
        <v>1598</v>
      </c>
      <c r="X313" t="str">
        <v>27-04-24</v>
      </c>
      <c r="Y313" t="str">
        <v>02-05-24</v>
      </c>
      <c r="Z313" t="s">
        <v>1600</v>
      </c>
      <c r="AA313" t="str">
        <v>Mira Das</v>
      </c>
      <c r="AB313" t="str">
        <f>TRIM(PROPER(F:F))</f>
        <v>Corporate</v>
      </c>
      <c r="AC313" t="str">
        <f>TRIM(PROPER(G:G))</f>
        <v>South</v>
      </c>
      <c r="AD313" t="str">
        <f>TRIM(PROPER(H:H))</f>
        <v>Karnataka</v>
      </c>
      <c r="AE313" t="str">
        <f>TRIM(PROPER(I:I))</f>
        <v>Bengaluru</v>
      </c>
      <c r="AF313" t="str">
        <f t="shared" si="8"/>
        <v>Office Supplies</v>
      </c>
      <c r="AG313" t="str">
        <f t="shared" si="8"/>
        <v>Binders</v>
      </c>
      <c r="AH313" t="str">
        <f t="shared" si="8"/>
        <v>Max Binders 425</v>
      </c>
      <c r="AI313" t="str">
        <f t="shared" si="8"/>
        <v>Second Class</v>
      </c>
      <c r="AJ313" s="3" t="str">
        <f t="shared" si="7"/>
        <v xml:space="preserve">  </v>
      </c>
      <c r="AK313">
        <f>IFERROR(Y313-X313, "invalid date")</f>
        <v>5</v>
      </c>
      <c r="AL313" s="10">
        <v>0.1</v>
      </c>
      <c r="AM313" s="11">
        <v>2493.1799999999998</v>
      </c>
      <c r="AN313" s="11">
        <v>729.17999999999984</v>
      </c>
      <c r="AO313" s="10">
        <v>0.29246985777200196</v>
      </c>
      <c r="AP313" t="s">
        <v>4224</v>
      </c>
      <c r="AQ313" t="s">
        <v>4344</v>
      </c>
      <c r="AR313" t="s">
        <v>4199</v>
      </c>
      <c r="AS313" t="s">
        <v>4107</v>
      </c>
      <c r="AT313" t="s">
        <v>4121</v>
      </c>
      <c r="AU313">
        <v>5</v>
      </c>
      <c r="AV313" t="s">
        <v>4109</v>
      </c>
    </row>
    <row r="314" spans="1:48">
      <c r="A314" t="s">
        <v>1602</v>
      </c>
      <c r="B314" t="s">
        <v>1603</v>
      </c>
      <c r="C314" t="s">
        <v>527</v>
      </c>
      <c r="D314" t="s">
        <v>1604</v>
      </c>
      <c r="E314" t="s">
        <v>34</v>
      </c>
      <c r="F314" t="s">
        <v>50</v>
      </c>
      <c r="G314" t="s">
        <v>51</v>
      </c>
      <c r="H314" t="s">
        <v>226</v>
      </c>
      <c r="I314" t="s">
        <v>227</v>
      </c>
      <c r="J314" t="s">
        <v>95</v>
      </c>
      <c r="K314" t="s">
        <v>233</v>
      </c>
      <c r="L314" t="s">
        <v>1605</v>
      </c>
      <c r="M314" t="s">
        <v>76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43</v>
      </c>
      <c r="U314" t="s">
        <v>87</v>
      </c>
      <c r="W314" t="s">
        <v>1602</v>
      </c>
      <c r="X314" t="str">
        <v>invalid date</v>
      </c>
      <c r="Y314" t="str">
        <v>04-08-24</v>
      </c>
      <c r="Z314" t="s">
        <v>1604</v>
      </c>
      <c r="AA314" t="str">
        <v>Karan Malhotra</v>
      </c>
      <c r="AB314" t="str">
        <f>TRIM(PROPER(F:F))</f>
        <v>Small Business</v>
      </c>
      <c r="AC314" t="str">
        <f>TRIM(PROPER(G:G))</f>
        <v>East</v>
      </c>
      <c r="AD314" t="str">
        <f>TRIM(PROPER(H:H))</f>
        <v>Assam</v>
      </c>
      <c r="AE314" t="str">
        <f>TRIM(PROPER(I:I))</f>
        <v>Guwahati</v>
      </c>
      <c r="AF314" t="str">
        <f t="shared" si="8"/>
        <v>Technology</v>
      </c>
      <c r="AG314" t="str">
        <f t="shared" si="8"/>
        <v>Phones</v>
      </c>
      <c r="AH314" t="str">
        <f t="shared" si="8"/>
        <v>Elite Phones 679</v>
      </c>
      <c r="AI314" t="str">
        <f t="shared" si="8"/>
        <v>Standard Class</v>
      </c>
      <c r="AJ314" s="3" t="str">
        <f t="shared" si="7"/>
        <v>Invalid</v>
      </c>
      <c r="AK314" t="str">
        <f>IFERROR(Y314-X314, "invalid date")</f>
        <v>invalid date</v>
      </c>
      <c r="AL314" s="10">
        <v>0</v>
      </c>
      <c r="AM314" s="11">
        <v>20917.919999999998</v>
      </c>
      <c r="AN314" s="11">
        <v>10870.589999999998</v>
      </c>
      <c r="AO314" s="10">
        <v>0.5196783427797792</v>
      </c>
      <c r="AP314" t="s">
        <v>4105</v>
      </c>
      <c r="AQ314" t="s">
        <v>4248</v>
      </c>
      <c r="AR314" t="s">
        <v>4105</v>
      </c>
      <c r="AS314" t="s">
        <v>4105</v>
      </c>
      <c r="AT314" t="s">
        <v>4108</v>
      </c>
      <c r="AU314" t="s">
        <v>4105</v>
      </c>
      <c r="AV314" t="s">
        <v>4109</v>
      </c>
    </row>
    <row r="315" spans="1:48">
      <c r="A315" t="s">
        <v>1606</v>
      </c>
      <c r="B315" t="s">
        <v>1607</v>
      </c>
      <c r="C315" t="s">
        <v>1608</v>
      </c>
      <c r="D315" t="s">
        <v>1609</v>
      </c>
      <c r="E315" t="s">
        <v>157</v>
      </c>
      <c r="F315" t="s">
        <v>117</v>
      </c>
      <c r="G315" t="s">
        <v>36</v>
      </c>
      <c r="H315" t="s">
        <v>183</v>
      </c>
      <c r="I315" t="s">
        <v>184</v>
      </c>
      <c r="J315" t="s">
        <v>95</v>
      </c>
      <c r="K315" t="s">
        <v>233</v>
      </c>
      <c r="L315" t="s">
        <v>1610</v>
      </c>
      <c r="M315" t="s">
        <v>65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133</v>
      </c>
      <c r="U315" t="s">
        <v>87</v>
      </c>
      <c r="W315" t="s">
        <v>1606</v>
      </c>
      <c r="X315" t="str">
        <v>30-05-25</v>
      </c>
      <c r="Y315" t="str">
        <v>31-05-25</v>
      </c>
      <c r="Z315" t="s">
        <v>1609</v>
      </c>
      <c r="AA315" t="str">
        <v>Rahul Verma</v>
      </c>
      <c r="AB315" t="str">
        <f>TRIM(PROPER(F:F))</f>
        <v>Corporate</v>
      </c>
      <c r="AC315" t="str">
        <f>TRIM(PROPER(G:G))</f>
        <v>North</v>
      </c>
      <c r="AD315" t="str">
        <f>TRIM(PROPER(H:H))</f>
        <v>Uttar Pradesh</v>
      </c>
      <c r="AE315" t="str">
        <f>TRIM(PROPER(I:I))</f>
        <v>Noida</v>
      </c>
      <c r="AF315" t="str">
        <f t="shared" si="8"/>
        <v>Technology</v>
      </c>
      <c r="AG315" t="str">
        <f t="shared" si="8"/>
        <v>Phones</v>
      </c>
      <c r="AH315" t="str">
        <f t="shared" si="8"/>
        <v>Pro Phones 764</v>
      </c>
      <c r="AI315" t="str">
        <f t="shared" si="8"/>
        <v>First Class</v>
      </c>
      <c r="AJ315" s="3" t="str">
        <f t="shared" si="7"/>
        <v>anomaly</v>
      </c>
      <c r="AK315">
        <f>IFERROR(Y315-X315, "invalid date")</f>
        <v>1</v>
      </c>
      <c r="AL315" s="10">
        <v>0.25</v>
      </c>
      <c r="AM315" s="11">
        <v>12488.579999999998</v>
      </c>
      <c r="AN315" s="11">
        <v>1771.1799999999985</v>
      </c>
      <c r="AO315" s="10">
        <v>0.14182397037933847</v>
      </c>
      <c r="AP315" t="s">
        <v>4206</v>
      </c>
      <c r="AQ315" t="s">
        <v>4463</v>
      </c>
      <c r="AR315" t="s">
        <v>4124</v>
      </c>
      <c r="AS315" t="s">
        <v>4120</v>
      </c>
      <c r="AT315" t="s">
        <v>4115</v>
      </c>
      <c r="AU315">
        <v>1</v>
      </c>
      <c r="AV315" t="s">
        <v>4109</v>
      </c>
    </row>
    <row r="316" spans="1:48">
      <c r="A316" t="s">
        <v>1611</v>
      </c>
      <c r="B316" t="s">
        <v>1114</v>
      </c>
      <c r="C316" t="s">
        <v>127</v>
      </c>
      <c r="D316" t="s">
        <v>1612</v>
      </c>
      <c r="E316" t="s">
        <v>62</v>
      </c>
      <c r="F316" t="s">
        <v>117</v>
      </c>
      <c r="G316" t="s">
        <v>82</v>
      </c>
      <c r="H316" t="s">
        <v>93</v>
      </c>
      <c r="I316" t="s">
        <v>94</v>
      </c>
      <c r="J316" t="s">
        <v>39</v>
      </c>
      <c r="K316" t="s">
        <v>118</v>
      </c>
      <c r="L316" t="s">
        <v>1613</v>
      </c>
      <c r="M316" t="s">
        <v>76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210</v>
      </c>
      <c r="U316" t="s">
        <v>134</v>
      </c>
      <c r="W316" t="s">
        <v>1611</v>
      </c>
      <c r="X316" t="str">
        <v>invalid date</v>
      </c>
      <c r="Y316" t="str">
        <v>20-05-25</v>
      </c>
      <c r="Z316" t="s">
        <v>1612</v>
      </c>
      <c r="AA316" t="str">
        <v>Isha Nair</v>
      </c>
      <c r="AB316" t="str">
        <f>TRIM(PROPER(F:F))</f>
        <v>Corporate</v>
      </c>
      <c r="AC316" t="str">
        <f>TRIM(PROPER(G:G))</f>
        <v>West</v>
      </c>
      <c r="AD316" t="str">
        <f>TRIM(PROPER(H:H))</f>
        <v>Madhya Pradesh</v>
      </c>
      <c r="AE316" t="str">
        <f>TRIM(PROPER(I:I))</f>
        <v>Indore</v>
      </c>
      <c r="AF316" t="str">
        <f t="shared" si="8"/>
        <v>Office Supplies</v>
      </c>
      <c r="AG316" t="str">
        <f t="shared" si="8"/>
        <v>Labels</v>
      </c>
      <c r="AH316" t="str">
        <f t="shared" si="8"/>
        <v>Elite Labels 544</v>
      </c>
      <c r="AI316" t="str">
        <f t="shared" si="8"/>
        <v>Standard Class</v>
      </c>
      <c r="AJ316" s="3" t="str">
        <f t="shared" si="7"/>
        <v>Invalid</v>
      </c>
      <c r="AK316" t="str">
        <f>IFERROR(Y316-X316, "invalid date")</f>
        <v>invalid date</v>
      </c>
      <c r="AL316" s="10">
        <v>0.15</v>
      </c>
      <c r="AM316" s="11">
        <v>6485.3639999999996</v>
      </c>
      <c r="AN316" s="11">
        <v>1109.1939999999995</v>
      </c>
      <c r="AO316" s="10">
        <v>0.17103033846673826</v>
      </c>
      <c r="AP316" t="s">
        <v>4105</v>
      </c>
      <c r="AQ316" t="s">
        <v>4135</v>
      </c>
      <c r="AR316" t="s">
        <v>4105</v>
      </c>
      <c r="AS316" t="s">
        <v>4105</v>
      </c>
      <c r="AT316" t="s">
        <v>4108</v>
      </c>
      <c r="AU316" t="s">
        <v>4105</v>
      </c>
      <c r="AV316" t="s">
        <v>4109</v>
      </c>
    </row>
    <row r="317" spans="1:48">
      <c r="A317" t="s">
        <v>1614</v>
      </c>
      <c r="B317" t="s">
        <v>1615</v>
      </c>
      <c r="C317" t="s">
        <v>1616</v>
      </c>
      <c r="D317" t="s">
        <v>1617</v>
      </c>
      <c r="E317" t="s">
        <v>189</v>
      </c>
      <c r="F317" t="s">
        <v>35</v>
      </c>
      <c r="G317" t="s">
        <v>36</v>
      </c>
      <c r="H317" t="s">
        <v>517</v>
      </c>
      <c r="I317" t="s">
        <v>518</v>
      </c>
      <c r="J317" t="s">
        <v>39</v>
      </c>
      <c r="K317" t="s">
        <v>40</v>
      </c>
      <c r="L317" t="s">
        <v>1618</v>
      </c>
      <c r="M317" t="s">
        <v>76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146</v>
      </c>
      <c r="U317" t="s">
        <v>134</v>
      </c>
      <c r="W317" t="s">
        <v>1614</v>
      </c>
      <c r="X317" t="str">
        <v>02-07-24</v>
      </c>
      <c r="Y317" t="str">
        <v>08-07-24</v>
      </c>
      <c r="Z317" t="s">
        <v>1617</v>
      </c>
      <c r="AA317" t="str">
        <v>Rohan Mehta</v>
      </c>
      <c r="AB317" t="str">
        <f>TRIM(PROPER(F:F))</f>
        <v>Consumer</v>
      </c>
      <c r="AC317" t="str">
        <f>TRIM(PROPER(G:G))</f>
        <v>North</v>
      </c>
      <c r="AD317" t="str">
        <f>TRIM(PROPER(H:H))</f>
        <v>Delhi</v>
      </c>
      <c r="AE317" t="str">
        <f>TRIM(PROPER(I:I))</f>
        <v>New Delhi</v>
      </c>
      <c r="AF317" t="str">
        <f t="shared" si="8"/>
        <v>Office Supplies</v>
      </c>
      <c r="AG317" t="str">
        <f t="shared" si="8"/>
        <v>Paper</v>
      </c>
      <c r="AH317" t="str">
        <f t="shared" si="8"/>
        <v>Smart Paper 817</v>
      </c>
      <c r="AI317" t="str">
        <f t="shared" si="8"/>
        <v>Standard Class</v>
      </c>
      <c r="AJ317" s="3" t="str">
        <f t="shared" si="7"/>
        <v>anomaly</v>
      </c>
      <c r="AK317">
        <f>IFERROR(Y317-X317, "invalid date")</f>
        <v>6</v>
      </c>
      <c r="AL317" s="10">
        <v>0.05</v>
      </c>
      <c r="AM317" s="11">
        <v>29500.920000000002</v>
      </c>
      <c r="AN317" s="11">
        <v>11511.240000000002</v>
      </c>
      <c r="AO317" s="10">
        <v>0.39019935649464493</v>
      </c>
      <c r="AP317" t="s">
        <v>4464</v>
      </c>
      <c r="AQ317" t="s">
        <v>4462</v>
      </c>
      <c r="AR317" t="s">
        <v>4106</v>
      </c>
      <c r="AS317" t="s">
        <v>4107</v>
      </c>
      <c r="AT317" t="s">
        <v>4115</v>
      </c>
      <c r="AU317">
        <v>6</v>
      </c>
      <c r="AV317" t="s">
        <v>4109</v>
      </c>
    </row>
    <row r="318" spans="1:48">
      <c r="A318" t="s">
        <v>1619</v>
      </c>
      <c r="B318" t="s">
        <v>1620</v>
      </c>
      <c r="C318" t="s">
        <v>1621</v>
      </c>
      <c r="D318" t="s">
        <v>1622</v>
      </c>
      <c r="E318" t="s">
        <v>34</v>
      </c>
      <c r="F318" t="s">
        <v>117</v>
      </c>
      <c r="G318" t="s">
        <v>36</v>
      </c>
      <c r="H318" t="s">
        <v>163</v>
      </c>
      <c r="I318" t="s">
        <v>164</v>
      </c>
      <c r="J318" t="s">
        <v>39</v>
      </c>
      <c r="K318" t="s">
        <v>118</v>
      </c>
      <c r="L318" t="s">
        <v>1623</v>
      </c>
      <c r="M318" t="s">
        <v>76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43</v>
      </c>
      <c r="U318" t="s">
        <v>87</v>
      </c>
      <c r="W318" t="s">
        <v>1619</v>
      </c>
      <c r="X318" t="str">
        <v>16-02-24</v>
      </c>
      <c r="Y318" t="str">
        <v>invalid date</v>
      </c>
      <c r="Z318" t="s">
        <v>1622</v>
      </c>
      <c r="AA318" t="str">
        <v>Karan Malhotra</v>
      </c>
      <c r="AB318" t="str">
        <f>TRIM(PROPER(F:F))</f>
        <v>Corporate</v>
      </c>
      <c r="AC318" t="str">
        <f>TRIM(PROPER(G:G))</f>
        <v>North</v>
      </c>
      <c r="AD318" t="str">
        <f>TRIM(PROPER(H:H))</f>
        <v>Punjab</v>
      </c>
      <c r="AE318" t="str">
        <f>TRIM(PROPER(I:I))</f>
        <v>Ludhiana</v>
      </c>
      <c r="AF318" t="str">
        <f t="shared" si="8"/>
        <v>Office Supplies</v>
      </c>
      <c r="AG318" t="str">
        <f t="shared" si="8"/>
        <v>Labels</v>
      </c>
      <c r="AH318" t="str">
        <f t="shared" si="8"/>
        <v>Classic Labels 466</v>
      </c>
      <c r="AI318" t="str">
        <f t="shared" si="8"/>
        <v>Standard Class</v>
      </c>
      <c r="AJ318" s="3" t="str">
        <f t="shared" si="7"/>
        <v>Invalid</v>
      </c>
      <c r="AK318" t="str">
        <f>IFERROR(Y318-X318, "invalid date")</f>
        <v>invalid date</v>
      </c>
      <c r="AL318" s="10">
        <v>0.2</v>
      </c>
      <c r="AM318" s="11">
        <v>3116.0480000000002</v>
      </c>
      <c r="AN318" s="11">
        <v>1159.4180000000001</v>
      </c>
      <c r="AO318" s="10">
        <v>0.37207963420332424</v>
      </c>
      <c r="AP318" t="s">
        <v>4465</v>
      </c>
      <c r="AQ318" t="s">
        <v>4105</v>
      </c>
      <c r="AR318" t="s">
        <v>4129</v>
      </c>
      <c r="AS318" t="s">
        <v>4107</v>
      </c>
      <c r="AT318" t="s">
        <v>4108</v>
      </c>
      <c r="AU318" t="s">
        <v>4105</v>
      </c>
      <c r="AV318" t="s">
        <v>4109</v>
      </c>
    </row>
    <row r="319" spans="1:48">
      <c r="A319" t="s">
        <v>1624</v>
      </c>
      <c r="B319" t="s">
        <v>1625</v>
      </c>
      <c r="C319" t="s">
        <v>1626</v>
      </c>
      <c r="D319" t="s">
        <v>1627</v>
      </c>
      <c r="E319" t="s">
        <v>102</v>
      </c>
      <c r="F319" t="s">
        <v>117</v>
      </c>
      <c r="G319" t="s">
        <v>71</v>
      </c>
      <c r="H319" t="s">
        <v>252</v>
      </c>
      <c r="I319" t="s">
        <v>253</v>
      </c>
      <c r="J319" t="s">
        <v>54</v>
      </c>
      <c r="K319" t="s">
        <v>55</v>
      </c>
      <c r="L319" t="s">
        <v>1628</v>
      </c>
      <c r="M319" t="s">
        <v>65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43</v>
      </c>
      <c r="U319" t="s">
        <v>44</v>
      </c>
      <c r="W319" t="s">
        <v>1624</v>
      </c>
      <c r="X319" t="str">
        <v>29-08-25</v>
      </c>
      <c r="Y319" t="str">
        <v>04-09-25</v>
      </c>
      <c r="Z319" t="s">
        <v>1627</v>
      </c>
      <c r="AA319" t="str">
        <v>Neha Gupta</v>
      </c>
      <c r="AB319" t="str">
        <f>TRIM(PROPER(F:F))</f>
        <v>Corporate</v>
      </c>
      <c r="AC319" t="str">
        <f>TRIM(PROPER(G:G))</f>
        <v>South</v>
      </c>
      <c r="AD319" t="str">
        <f>TRIM(PROPER(H:H))</f>
        <v>Kerala</v>
      </c>
      <c r="AE319" t="str">
        <f>TRIM(PROPER(I:I))</f>
        <v>Kochi</v>
      </c>
      <c r="AF319" t="str">
        <f t="shared" si="8"/>
        <v>Furniture</v>
      </c>
      <c r="AG319" t="str">
        <f t="shared" si="8"/>
        <v>Tables</v>
      </c>
      <c r="AH319" t="str">
        <f t="shared" si="8"/>
        <v>Pro Tables 778</v>
      </c>
      <c r="AI319" t="str">
        <f t="shared" si="8"/>
        <v>First Class</v>
      </c>
      <c r="AJ319" s="3" t="str">
        <f t="shared" si="7"/>
        <v xml:space="preserve">  </v>
      </c>
      <c r="AK319">
        <f>IFERROR(Y319-X319, "invalid date")</f>
        <v>6</v>
      </c>
      <c r="AL319" s="10">
        <v>0.15</v>
      </c>
      <c r="AM319" s="11">
        <v>22926.820499999998</v>
      </c>
      <c r="AN319" s="11">
        <v>8305.2304999999978</v>
      </c>
      <c r="AO319" s="10">
        <v>0.36224955396671765</v>
      </c>
      <c r="AP319" t="s">
        <v>4118</v>
      </c>
      <c r="AQ319" t="s">
        <v>4466</v>
      </c>
      <c r="AR319" t="s">
        <v>4114</v>
      </c>
      <c r="AS319" t="s">
        <v>4120</v>
      </c>
      <c r="AT319" t="s">
        <v>4121</v>
      </c>
      <c r="AU319">
        <v>6</v>
      </c>
      <c r="AV319" t="s">
        <v>4109</v>
      </c>
    </row>
    <row r="320" spans="1:48">
      <c r="A320" t="s">
        <v>1629</v>
      </c>
      <c r="B320" t="s">
        <v>1630</v>
      </c>
      <c r="C320" t="s">
        <v>1631</v>
      </c>
      <c r="D320" t="s">
        <v>1632</v>
      </c>
      <c r="E320" t="s">
        <v>49</v>
      </c>
      <c r="F320" t="s">
        <v>50</v>
      </c>
      <c r="G320" t="s">
        <v>71</v>
      </c>
      <c r="H320" t="s">
        <v>239</v>
      </c>
      <c r="I320" t="s">
        <v>240</v>
      </c>
      <c r="J320" t="s">
        <v>95</v>
      </c>
      <c r="K320" t="s">
        <v>233</v>
      </c>
      <c r="L320" t="s">
        <v>1633</v>
      </c>
      <c r="M320" t="s">
        <v>76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43</v>
      </c>
      <c r="U320" t="s">
        <v>44</v>
      </c>
      <c r="W320" t="s">
        <v>1629</v>
      </c>
      <c r="X320" t="str">
        <v>25-04-24</v>
      </c>
      <c r="Y320" t="str">
        <v>30-04-24</v>
      </c>
      <c r="Z320" t="s">
        <v>1632</v>
      </c>
      <c r="AA320" t="str">
        <v>Mira Das</v>
      </c>
      <c r="AB320" t="str">
        <f>TRIM(PROPER(F:F))</f>
        <v>Small Business</v>
      </c>
      <c r="AC320" t="str">
        <f>TRIM(PROPER(G:G))</f>
        <v>South</v>
      </c>
      <c r="AD320" t="str">
        <f>TRIM(PROPER(H:H))</f>
        <v>Karnataka</v>
      </c>
      <c r="AE320" t="str">
        <f>TRIM(PROPER(I:I))</f>
        <v>Bengaluru</v>
      </c>
      <c r="AF320" t="str">
        <f t="shared" si="8"/>
        <v>Technology</v>
      </c>
      <c r="AG320" t="str">
        <f t="shared" si="8"/>
        <v>Phones</v>
      </c>
      <c r="AH320" t="str">
        <f t="shared" si="8"/>
        <v>Basic Phones 789</v>
      </c>
      <c r="AI320" t="str">
        <f t="shared" si="8"/>
        <v>Standard Class</v>
      </c>
      <c r="AJ320" s="3" t="str">
        <f t="shared" si="7"/>
        <v>anomaly</v>
      </c>
      <c r="AK320">
        <f>IFERROR(Y320-X320, "invalid date")</f>
        <v>5</v>
      </c>
      <c r="AL320" s="10">
        <v>0.1</v>
      </c>
      <c r="AM320" s="11">
        <v>11203.542000000001</v>
      </c>
      <c r="AN320" s="11">
        <v>2750.612000000001</v>
      </c>
      <c r="AO320" s="10">
        <v>0.24551271374713468</v>
      </c>
      <c r="AP320" t="s">
        <v>4467</v>
      </c>
      <c r="AQ320" t="s">
        <v>4468</v>
      </c>
      <c r="AR320" t="s">
        <v>4199</v>
      </c>
      <c r="AS320" t="s">
        <v>4107</v>
      </c>
      <c r="AT320" t="s">
        <v>4115</v>
      </c>
      <c r="AU320">
        <v>5</v>
      </c>
      <c r="AV320" t="s">
        <v>4109</v>
      </c>
    </row>
    <row r="321" spans="1:48">
      <c r="A321" t="s">
        <v>1634</v>
      </c>
      <c r="B321" t="s">
        <v>1635</v>
      </c>
      <c r="C321" t="s">
        <v>1636</v>
      </c>
      <c r="D321" t="s">
        <v>1637</v>
      </c>
      <c r="E321" t="s">
        <v>220</v>
      </c>
      <c r="F321" t="s">
        <v>35</v>
      </c>
      <c r="G321" t="s">
        <v>82</v>
      </c>
      <c r="H321" t="s">
        <v>245</v>
      </c>
      <c r="I321" t="s">
        <v>246</v>
      </c>
      <c r="J321" t="s">
        <v>39</v>
      </c>
      <c r="K321" t="s">
        <v>208</v>
      </c>
      <c r="L321" t="s">
        <v>1638</v>
      </c>
      <c r="M321" t="s">
        <v>65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43</v>
      </c>
      <c r="U321" t="s">
        <v>44</v>
      </c>
      <c r="W321" t="s">
        <v>1634</v>
      </c>
      <c r="X321" t="str">
        <v>21-08-24</v>
      </c>
      <c r="Y321" t="str">
        <v>invalid date</v>
      </c>
      <c r="Z321" t="s">
        <v>1637</v>
      </c>
      <c r="AA321" t="str">
        <v>Diya Patel</v>
      </c>
      <c r="AB321" t="str">
        <f>TRIM(PROPER(F:F))</f>
        <v>Consumer</v>
      </c>
      <c r="AC321" t="str">
        <f>TRIM(PROPER(G:G))</f>
        <v>West</v>
      </c>
      <c r="AD321" t="str">
        <f>TRIM(PROPER(H:H))</f>
        <v>Gujarat</v>
      </c>
      <c r="AE321" t="str">
        <f>TRIM(PROPER(I:I))</f>
        <v>Ahmedabad</v>
      </c>
      <c r="AF321" t="str">
        <f t="shared" si="8"/>
        <v>Office Supplies</v>
      </c>
      <c r="AG321" t="str">
        <f t="shared" si="8"/>
        <v>Binders</v>
      </c>
      <c r="AH321" t="str">
        <f t="shared" si="8"/>
        <v>Prime Binders 554</v>
      </c>
      <c r="AI321" t="str">
        <f t="shared" si="8"/>
        <v>First Class</v>
      </c>
      <c r="AJ321" s="3" t="str">
        <f t="shared" si="7"/>
        <v>Invalid</v>
      </c>
      <c r="AK321" t="str">
        <f>IFERROR(Y321-X321, "invalid date")</f>
        <v>invalid date</v>
      </c>
      <c r="AL321" s="10">
        <v>0</v>
      </c>
      <c r="AM321" s="11">
        <v>270.27999999999997</v>
      </c>
      <c r="AN321" s="11">
        <v>113.93999999999997</v>
      </c>
      <c r="AO321" s="10">
        <v>0.42156282373834536</v>
      </c>
      <c r="AP321" t="s">
        <v>4469</v>
      </c>
      <c r="AQ321" t="s">
        <v>4105</v>
      </c>
      <c r="AR321" t="s">
        <v>4114</v>
      </c>
      <c r="AS321" t="s">
        <v>4107</v>
      </c>
      <c r="AT321" t="s">
        <v>4108</v>
      </c>
      <c r="AU321" t="s">
        <v>4105</v>
      </c>
      <c r="AV321" t="s">
        <v>4109</v>
      </c>
    </row>
    <row r="322" spans="1:48">
      <c r="A322" t="s">
        <v>1639</v>
      </c>
      <c r="B322" t="s">
        <v>1640</v>
      </c>
      <c r="C322" t="s">
        <v>1641</v>
      </c>
      <c r="D322" t="s">
        <v>1642</v>
      </c>
      <c r="E322" t="s">
        <v>171</v>
      </c>
      <c r="F322" t="s">
        <v>124</v>
      </c>
      <c r="G322" t="s">
        <v>51</v>
      </c>
      <c r="H322" t="s">
        <v>130</v>
      </c>
      <c r="I322" t="s">
        <v>131</v>
      </c>
      <c r="J322" t="s">
        <v>39</v>
      </c>
      <c r="K322" t="s">
        <v>63</v>
      </c>
      <c r="L322" t="s">
        <v>1643</v>
      </c>
      <c r="M322" t="s">
        <v>42</v>
      </c>
      <c r="N322">
        <v>3</v>
      </c>
      <c r="O322">
        <v>876.14</v>
      </c>
      <c r="P322" s="5" t="s">
        <v>191</v>
      </c>
      <c r="Q322">
        <v>2628.42</v>
      </c>
      <c r="R322">
        <v>1541.54</v>
      </c>
      <c r="S322">
        <v>1086.8800000000001</v>
      </c>
      <c r="T322" t="s">
        <v>146</v>
      </c>
      <c r="U322" t="s">
        <v>134</v>
      </c>
      <c r="W322" t="s">
        <v>1639</v>
      </c>
      <c r="X322" t="str">
        <v>12-04-24</v>
      </c>
      <c r="Y322" t="str">
        <v>12-06-24</v>
      </c>
      <c r="Z322" t="s">
        <v>1642</v>
      </c>
      <c r="AA322" t="str">
        <v>Aarav Sharma</v>
      </c>
      <c r="AB322" t="str">
        <f>TRIM(PROPER(F:F))</f>
        <v>Home Office</v>
      </c>
      <c r="AC322" t="str">
        <f>TRIM(PROPER(G:G))</f>
        <v>East</v>
      </c>
      <c r="AD322" t="str">
        <f>TRIM(PROPER(H:H))</f>
        <v>West Bengal</v>
      </c>
      <c r="AE322" t="str">
        <f>TRIM(PROPER(I:I))</f>
        <v>Kolkata</v>
      </c>
      <c r="AF322" t="str">
        <f t="shared" si="8"/>
        <v>Office Supplies</v>
      </c>
      <c r="AG322" t="str">
        <f t="shared" si="8"/>
        <v>Art</v>
      </c>
      <c r="AH322" t="str">
        <f t="shared" si="8"/>
        <v>Classic Art 299</v>
      </c>
      <c r="AI322" t="str">
        <f t="shared" si="8"/>
        <v>Second Class</v>
      </c>
      <c r="AJ322" s="3" t="str">
        <f t="shared" si="7"/>
        <v>anomaly</v>
      </c>
      <c r="AK322">
        <f>IFERROR(Y322-X322, "invalid date")</f>
        <v>61</v>
      </c>
      <c r="AL322" s="10" t="s">
        <v>191</v>
      </c>
      <c r="AM322" s="11" t="s">
        <v>4111</v>
      </c>
      <c r="AN322" s="11" t="s">
        <v>4111</v>
      </c>
      <c r="AO322" s="10" t="s">
        <v>4111</v>
      </c>
      <c r="AP322" t="s">
        <v>4470</v>
      </c>
      <c r="AQ322" t="s">
        <v>4295</v>
      </c>
      <c r="AR322" t="s">
        <v>4199</v>
      </c>
      <c r="AS322" t="s">
        <v>4107</v>
      </c>
      <c r="AT322" t="s">
        <v>4115</v>
      </c>
      <c r="AU322">
        <v>61</v>
      </c>
      <c r="AV322" t="s">
        <v>4109</v>
      </c>
    </row>
    <row r="323" spans="1:48">
      <c r="A323" t="s">
        <v>1644</v>
      </c>
      <c r="B323" t="s">
        <v>1645</v>
      </c>
      <c r="C323" t="s">
        <v>1646</v>
      </c>
      <c r="D323" t="s">
        <v>1647</v>
      </c>
      <c r="E323" t="s">
        <v>102</v>
      </c>
      <c r="F323" t="s">
        <v>50</v>
      </c>
      <c r="G323" t="s">
        <v>82</v>
      </c>
      <c r="H323" t="s">
        <v>259</v>
      </c>
      <c r="I323" t="s">
        <v>260</v>
      </c>
      <c r="J323" t="s">
        <v>95</v>
      </c>
      <c r="K323" t="s">
        <v>96</v>
      </c>
      <c r="L323" t="s">
        <v>1648</v>
      </c>
      <c r="M323" t="s">
        <v>57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210</v>
      </c>
      <c r="U323" t="s">
        <v>87</v>
      </c>
      <c r="W323" t="s">
        <v>1644</v>
      </c>
      <c r="X323" t="str">
        <v>invalid date</v>
      </c>
      <c r="Y323" t="str">
        <v>30-06-24</v>
      </c>
      <c r="Z323" t="s">
        <v>1647</v>
      </c>
      <c r="AA323" t="str">
        <v>Neha Gupta</v>
      </c>
      <c r="AB323" t="str">
        <f>TRIM(PROPER(F:F))</f>
        <v>Small Business</v>
      </c>
      <c r="AC323" t="str">
        <f>TRIM(PROPER(G:G))</f>
        <v>West</v>
      </c>
      <c r="AD323" t="str">
        <f>TRIM(PROPER(H:H))</f>
        <v>Goa</v>
      </c>
      <c r="AE323" t="str">
        <f>TRIM(PROPER(I:I))</f>
        <v>Panaji</v>
      </c>
      <c r="AF323" t="str">
        <f t="shared" si="8"/>
        <v>Technology</v>
      </c>
      <c r="AG323" t="str">
        <f t="shared" si="8"/>
        <v>Accessories</v>
      </c>
      <c r="AH323" t="str">
        <f t="shared" si="8"/>
        <v>Eco Accessories 220</v>
      </c>
      <c r="AI323" t="str">
        <f t="shared" si="8"/>
        <v>Same Day</v>
      </c>
      <c r="AJ323" s="3" t="str">
        <f t="shared" ref="AJ323:AJ386" si="9">IF(OR(X:X="Invalid Date",Y:Y="Invalid Date"),"Invalid",(IF(X:X&lt;Y:Y,"anomaly", "  ")))</f>
        <v>Invalid</v>
      </c>
      <c r="AK323" t="str">
        <f>IFERROR(Y323-X323, "invalid date")</f>
        <v>invalid date</v>
      </c>
      <c r="AL323" s="10">
        <v>0</v>
      </c>
      <c r="AM323" s="11">
        <v>2699.28</v>
      </c>
      <c r="AN323" s="11">
        <v>939.52000000000021</v>
      </c>
      <c r="AO323" s="10">
        <v>0.34806318722029583</v>
      </c>
      <c r="AP323" t="s">
        <v>4105</v>
      </c>
      <c r="AQ323" t="s">
        <v>4471</v>
      </c>
      <c r="AR323" t="s">
        <v>4105</v>
      </c>
      <c r="AS323" t="s">
        <v>4105</v>
      </c>
      <c r="AT323" t="s">
        <v>4108</v>
      </c>
      <c r="AU323" t="s">
        <v>4105</v>
      </c>
      <c r="AV323" t="s">
        <v>4109</v>
      </c>
    </row>
    <row r="324" spans="1:48">
      <c r="A324" t="s">
        <v>1649</v>
      </c>
      <c r="B324" t="s">
        <v>1545</v>
      </c>
      <c r="C324" t="s">
        <v>1650</v>
      </c>
      <c r="D324" t="s">
        <v>1651</v>
      </c>
      <c r="E324" t="s">
        <v>62</v>
      </c>
      <c r="F324" t="s">
        <v>35</v>
      </c>
      <c r="G324" t="s">
        <v>36</v>
      </c>
      <c r="H324" t="s">
        <v>183</v>
      </c>
      <c r="I324" t="s">
        <v>184</v>
      </c>
      <c r="J324" t="s">
        <v>95</v>
      </c>
      <c r="K324" t="s">
        <v>233</v>
      </c>
      <c r="L324" t="s">
        <v>1652</v>
      </c>
      <c r="M324" t="s">
        <v>42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43</v>
      </c>
      <c r="U324" t="s">
        <v>44</v>
      </c>
      <c r="W324" t="s">
        <v>1649</v>
      </c>
      <c r="X324" t="str">
        <v>12-11-24</v>
      </c>
      <c r="Y324" t="str">
        <v>12-11-24</v>
      </c>
      <c r="Z324" t="s">
        <v>1651</v>
      </c>
      <c r="AA324" t="str">
        <v>Isha Nair</v>
      </c>
      <c r="AB324" t="str">
        <f>TRIM(PROPER(F:F))</f>
        <v>Consumer</v>
      </c>
      <c r="AC324" t="str">
        <f>TRIM(PROPER(G:G))</f>
        <v>North</v>
      </c>
      <c r="AD324" t="str">
        <f>TRIM(PROPER(H:H))</f>
        <v>Uttar Pradesh</v>
      </c>
      <c r="AE324" t="str">
        <f>TRIM(PROPER(I:I))</f>
        <v>Noida</v>
      </c>
      <c r="AF324" t="str">
        <f t="shared" si="8"/>
        <v>Technology</v>
      </c>
      <c r="AG324" t="str">
        <f t="shared" si="8"/>
        <v>Phones</v>
      </c>
      <c r="AH324" t="str">
        <f t="shared" si="8"/>
        <v>Max Phones 422</v>
      </c>
      <c r="AI324" t="str">
        <f t="shared" si="8"/>
        <v>Second Class</v>
      </c>
      <c r="AJ324" s="3" t="str">
        <f t="shared" si="9"/>
        <v xml:space="preserve">  </v>
      </c>
      <c r="AK324">
        <f>IFERROR(Y324-X324, "invalid date")</f>
        <v>0</v>
      </c>
      <c r="AL324" s="10">
        <v>0.15</v>
      </c>
      <c r="AM324" s="11">
        <v>6984.3480000000009</v>
      </c>
      <c r="AN324" s="11">
        <v>2960.7180000000008</v>
      </c>
      <c r="AO324" s="10">
        <v>0.42390757161584736</v>
      </c>
      <c r="AP324" t="s">
        <v>4182</v>
      </c>
      <c r="AQ324" t="s">
        <v>4182</v>
      </c>
      <c r="AR324" t="s">
        <v>4117</v>
      </c>
      <c r="AS324" t="s">
        <v>4107</v>
      </c>
      <c r="AT324" t="s">
        <v>4115</v>
      </c>
      <c r="AU324">
        <v>0</v>
      </c>
      <c r="AV324" t="s">
        <v>4109</v>
      </c>
    </row>
    <row r="325" spans="1:48">
      <c r="A325" t="s">
        <v>1653</v>
      </c>
      <c r="B325" t="s">
        <v>1654</v>
      </c>
      <c r="C325" t="s">
        <v>1655</v>
      </c>
      <c r="D325" t="s">
        <v>1656</v>
      </c>
      <c r="E325" t="s">
        <v>62</v>
      </c>
      <c r="F325" t="s">
        <v>50</v>
      </c>
      <c r="G325" t="s">
        <v>82</v>
      </c>
      <c r="H325" t="s">
        <v>259</v>
      </c>
      <c r="I325" t="s">
        <v>260</v>
      </c>
      <c r="J325" t="s">
        <v>54</v>
      </c>
      <c r="K325" t="s">
        <v>74</v>
      </c>
      <c r="L325" t="s">
        <v>203</v>
      </c>
      <c r="M325" t="s">
        <v>76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43</v>
      </c>
      <c r="U325" t="s">
        <v>44</v>
      </c>
      <c r="W325" t="s">
        <v>1653</v>
      </c>
      <c r="X325" t="str">
        <v>25-02-24</v>
      </c>
      <c r="Y325" t="str">
        <v>29-02-24</v>
      </c>
      <c r="Z325" t="s">
        <v>1656</v>
      </c>
      <c r="AA325" t="str">
        <v>Isha Nair</v>
      </c>
      <c r="AB325" t="str">
        <f>TRIM(PROPER(F:F))</f>
        <v>Small Business</v>
      </c>
      <c r="AC325" t="str">
        <f>TRIM(PROPER(G:G))</f>
        <v>West</v>
      </c>
      <c r="AD325" t="str">
        <f>TRIM(PROPER(H:H))</f>
        <v>Goa</v>
      </c>
      <c r="AE325" t="str">
        <f>TRIM(PROPER(I:I))</f>
        <v>Panaji</v>
      </c>
      <c r="AF325" t="str">
        <f t="shared" si="8"/>
        <v>Furniture</v>
      </c>
      <c r="AG325" t="str">
        <f t="shared" si="8"/>
        <v>Furnishings</v>
      </c>
      <c r="AH325" t="str">
        <f t="shared" si="8"/>
        <v>Eco Furnishings 897</v>
      </c>
      <c r="AI325" t="str">
        <f t="shared" si="8"/>
        <v>Standard Class</v>
      </c>
      <c r="AJ325" s="3" t="str">
        <f t="shared" si="9"/>
        <v>anomaly</v>
      </c>
      <c r="AK325">
        <f>IFERROR(Y325-X325, "invalid date")</f>
        <v>4</v>
      </c>
      <c r="AL325" s="10">
        <v>0.15</v>
      </c>
      <c r="AM325" s="11">
        <v>10185.669</v>
      </c>
      <c r="AN325" s="11">
        <v>3706.3589999999995</v>
      </c>
      <c r="AO325" s="10">
        <v>0.36387978050337189</v>
      </c>
      <c r="AP325" t="s">
        <v>4472</v>
      </c>
      <c r="AQ325" t="s">
        <v>4473</v>
      </c>
      <c r="AR325" t="s">
        <v>4129</v>
      </c>
      <c r="AS325" t="s">
        <v>4107</v>
      </c>
      <c r="AT325" t="s">
        <v>4115</v>
      </c>
      <c r="AU325">
        <v>4</v>
      </c>
      <c r="AV325" t="s">
        <v>4109</v>
      </c>
    </row>
    <row r="326" spans="1:48">
      <c r="A326" t="s">
        <v>1657</v>
      </c>
      <c r="B326" t="s">
        <v>1658</v>
      </c>
      <c r="C326" t="s">
        <v>953</v>
      </c>
      <c r="D326" t="s">
        <v>1659</v>
      </c>
      <c r="E326" t="s">
        <v>189</v>
      </c>
      <c r="F326" t="s">
        <v>124</v>
      </c>
      <c r="G326" t="s">
        <v>71</v>
      </c>
      <c r="H326" t="s">
        <v>109</v>
      </c>
      <c r="I326" t="s">
        <v>110</v>
      </c>
      <c r="J326" t="s">
        <v>39</v>
      </c>
      <c r="K326" t="s">
        <v>118</v>
      </c>
      <c r="L326" t="s">
        <v>1660</v>
      </c>
      <c r="M326" t="s">
        <v>57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43</v>
      </c>
      <c r="U326" t="s">
        <v>134</v>
      </c>
      <c r="W326" t="s">
        <v>1657</v>
      </c>
      <c r="X326" t="str">
        <v>31-07-25</v>
      </c>
      <c r="Y326" t="str">
        <v>02-08-25</v>
      </c>
      <c r="Z326" t="s">
        <v>1659</v>
      </c>
      <c r="AA326" t="str">
        <v>Rohan Mehta</v>
      </c>
      <c r="AB326" t="str">
        <f>TRIM(PROPER(F:F))</f>
        <v>Home Office</v>
      </c>
      <c r="AC326" t="str">
        <f>TRIM(PROPER(G:G))</f>
        <v>South</v>
      </c>
      <c r="AD326" t="str">
        <f>TRIM(PROPER(H:H))</f>
        <v>Andhra Pradesh</v>
      </c>
      <c r="AE326" t="str">
        <f>TRIM(PROPER(I:I))</f>
        <v>Vijayawada</v>
      </c>
      <c r="AF326" t="str">
        <f t="shared" si="8"/>
        <v>Office Supplies</v>
      </c>
      <c r="AG326" t="str">
        <f t="shared" si="8"/>
        <v>Labels</v>
      </c>
      <c r="AH326" t="str">
        <f t="shared" si="8"/>
        <v>Basic Labels 102</v>
      </c>
      <c r="AI326" t="str">
        <f t="shared" si="8"/>
        <v>Same Day</v>
      </c>
      <c r="AJ326" s="3" t="str">
        <f t="shared" si="9"/>
        <v xml:space="preserve">  </v>
      </c>
      <c r="AK326">
        <f>IFERROR(Y326-X326, "invalid date")</f>
        <v>2</v>
      </c>
      <c r="AL326" s="10">
        <v>0.15</v>
      </c>
      <c r="AM326" s="11">
        <v>1655.6980000000001</v>
      </c>
      <c r="AN326" s="11">
        <v>300.89800000000014</v>
      </c>
      <c r="AO326" s="10">
        <v>0.1817348332848141</v>
      </c>
      <c r="AP326" t="s">
        <v>4474</v>
      </c>
      <c r="AQ326" t="s">
        <v>4275</v>
      </c>
      <c r="AR326" t="s">
        <v>4106</v>
      </c>
      <c r="AS326" t="s">
        <v>4120</v>
      </c>
      <c r="AT326" t="s">
        <v>4121</v>
      </c>
      <c r="AU326">
        <v>2</v>
      </c>
      <c r="AV326" t="s">
        <v>4109</v>
      </c>
    </row>
    <row r="327" spans="1:48">
      <c r="A327" t="s">
        <v>1661</v>
      </c>
      <c r="B327" t="s">
        <v>1662</v>
      </c>
      <c r="C327" t="s">
        <v>1663</v>
      </c>
      <c r="D327" t="s">
        <v>1664</v>
      </c>
      <c r="E327" t="s">
        <v>177</v>
      </c>
      <c r="F327" t="s">
        <v>124</v>
      </c>
      <c r="G327" t="s">
        <v>51</v>
      </c>
      <c r="H327" t="s">
        <v>130</v>
      </c>
      <c r="I327" t="s">
        <v>131</v>
      </c>
      <c r="J327" t="s">
        <v>95</v>
      </c>
      <c r="K327" t="s">
        <v>103</v>
      </c>
      <c r="L327" t="s">
        <v>1665</v>
      </c>
      <c r="M327" t="s">
        <v>42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43</v>
      </c>
      <c r="U327" t="s">
        <v>44</v>
      </c>
      <c r="W327" t="s">
        <v>1661</v>
      </c>
      <c r="X327" t="str">
        <v>invalid date</v>
      </c>
      <c r="Y327" t="str">
        <v>22-09-25</v>
      </c>
      <c r="Z327" t="s">
        <v>1664</v>
      </c>
      <c r="AA327" t="str">
        <v>Sneha Kapoor</v>
      </c>
      <c r="AB327" t="str">
        <f>TRIM(PROPER(F:F))</f>
        <v>Home Office</v>
      </c>
      <c r="AC327" t="str">
        <f>TRIM(PROPER(G:G))</f>
        <v>East</v>
      </c>
      <c r="AD327" t="str">
        <f>TRIM(PROPER(H:H))</f>
        <v>West Bengal</v>
      </c>
      <c r="AE327" t="str">
        <f>TRIM(PROPER(I:I))</f>
        <v>Kolkata</v>
      </c>
      <c r="AF327" t="str">
        <f t="shared" si="8"/>
        <v>Technology</v>
      </c>
      <c r="AG327" t="str">
        <f t="shared" si="8"/>
        <v>Copiers</v>
      </c>
      <c r="AH327" t="str">
        <f t="shared" si="8"/>
        <v>Prime Copiers 170</v>
      </c>
      <c r="AI327" t="str">
        <f t="shared" si="8"/>
        <v>Second Class</v>
      </c>
      <c r="AJ327" s="3" t="str">
        <f t="shared" si="9"/>
        <v>Invalid</v>
      </c>
      <c r="AK327" t="str">
        <f>IFERROR(Y327-X327, "invalid date")</f>
        <v>invalid date</v>
      </c>
      <c r="AL327" s="10">
        <v>0.15</v>
      </c>
      <c r="AM327" s="11">
        <v>15602.6</v>
      </c>
      <c r="AN327" s="11">
        <v>3694.08</v>
      </c>
      <c r="AO327" s="10">
        <v>0.236760539910015</v>
      </c>
      <c r="AP327" t="s">
        <v>4105</v>
      </c>
      <c r="AQ327" t="s">
        <v>4475</v>
      </c>
      <c r="AR327" t="s">
        <v>4105</v>
      </c>
      <c r="AS327" t="s">
        <v>4105</v>
      </c>
      <c r="AT327" t="s">
        <v>4108</v>
      </c>
      <c r="AU327" t="s">
        <v>4105</v>
      </c>
      <c r="AV327" t="s">
        <v>4109</v>
      </c>
    </row>
    <row r="328" spans="1:48">
      <c r="A328" t="s">
        <v>1666</v>
      </c>
      <c r="B328" t="s">
        <v>1667</v>
      </c>
      <c r="C328" t="s">
        <v>1521</v>
      </c>
      <c r="D328" t="s">
        <v>1668</v>
      </c>
      <c r="E328" t="s">
        <v>177</v>
      </c>
      <c r="F328" t="s">
        <v>117</v>
      </c>
      <c r="G328" t="s">
        <v>51</v>
      </c>
      <c r="H328" t="s">
        <v>322</v>
      </c>
      <c r="I328" t="s">
        <v>323</v>
      </c>
      <c r="J328" t="s">
        <v>54</v>
      </c>
      <c r="K328" t="s">
        <v>74</v>
      </c>
      <c r="L328" t="s">
        <v>1669</v>
      </c>
      <c r="M328" t="s">
        <v>57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43</v>
      </c>
      <c r="U328" t="s">
        <v>44</v>
      </c>
      <c r="W328" t="s">
        <v>1666</v>
      </c>
      <c r="X328" t="str">
        <v>22-07-25</v>
      </c>
      <c r="Y328" t="str">
        <v>invalid date</v>
      </c>
      <c r="Z328" t="s">
        <v>1668</v>
      </c>
      <c r="AA328" t="str">
        <v>Sneha Kapoor</v>
      </c>
      <c r="AB328" t="str">
        <f>TRIM(PROPER(F:F))</f>
        <v>Corporate</v>
      </c>
      <c r="AC328" t="str">
        <f>TRIM(PROPER(G:G))</f>
        <v>East</v>
      </c>
      <c r="AD328" t="str">
        <f>TRIM(PROPER(H:H))</f>
        <v>Jharkhand</v>
      </c>
      <c r="AE328" t="str">
        <f>TRIM(PROPER(I:I))</f>
        <v>Ranchi</v>
      </c>
      <c r="AF328" t="str">
        <f t="shared" si="8"/>
        <v>Furniture</v>
      </c>
      <c r="AG328" t="str">
        <f t="shared" si="8"/>
        <v>Furnishings</v>
      </c>
      <c r="AH328" t="str">
        <f t="shared" si="8"/>
        <v>Smart Furnishings 533</v>
      </c>
      <c r="AI328" t="str">
        <f t="shared" si="8"/>
        <v>Same Day</v>
      </c>
      <c r="AJ328" s="3" t="str">
        <f t="shared" si="9"/>
        <v>Invalid</v>
      </c>
      <c r="AK328" t="str">
        <f>IFERROR(Y328-X328, "invalid date")</f>
        <v>invalid date</v>
      </c>
      <c r="AL328" s="10">
        <v>0.05</v>
      </c>
      <c r="AM328" s="11">
        <v>15138.487499999999</v>
      </c>
      <c r="AN328" s="11">
        <v>3902.7674999999999</v>
      </c>
      <c r="AO328" s="10">
        <v>0.25780432160082045</v>
      </c>
      <c r="AP328" t="s">
        <v>4366</v>
      </c>
      <c r="AQ328" t="s">
        <v>4105</v>
      </c>
      <c r="AR328" t="s">
        <v>4106</v>
      </c>
      <c r="AS328" t="s">
        <v>4120</v>
      </c>
      <c r="AT328" t="s">
        <v>4108</v>
      </c>
      <c r="AU328" t="s">
        <v>4105</v>
      </c>
      <c r="AV328" t="s">
        <v>4109</v>
      </c>
    </row>
    <row r="329" spans="1:48">
      <c r="A329" t="s">
        <v>1670</v>
      </c>
      <c r="B329" t="s">
        <v>1671</v>
      </c>
      <c r="C329" t="s">
        <v>274</v>
      </c>
      <c r="D329" t="s">
        <v>1672</v>
      </c>
      <c r="E329" t="s">
        <v>62</v>
      </c>
      <c r="F329" t="s">
        <v>35</v>
      </c>
      <c r="G329" t="s">
        <v>82</v>
      </c>
      <c r="H329" t="s">
        <v>37</v>
      </c>
      <c r="I329" t="s">
        <v>144</v>
      </c>
      <c r="J329" t="s">
        <v>95</v>
      </c>
      <c r="K329" t="s">
        <v>96</v>
      </c>
      <c r="L329" t="s">
        <v>1673</v>
      </c>
      <c r="M329" t="s">
        <v>42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146</v>
      </c>
      <c r="U329" t="s">
        <v>87</v>
      </c>
      <c r="W329" t="s">
        <v>1670</v>
      </c>
      <c r="X329" t="str">
        <v>24-07-24</v>
      </c>
      <c r="Y329" t="str">
        <v>27-07-24</v>
      </c>
      <c r="Z329" t="s">
        <v>1672</v>
      </c>
      <c r="AA329" t="str">
        <v>Isha Nair</v>
      </c>
      <c r="AB329" t="str">
        <f>TRIM(PROPER(F:F))</f>
        <v>Consumer</v>
      </c>
      <c r="AC329" t="str">
        <f>TRIM(PROPER(G:G))</f>
        <v>West</v>
      </c>
      <c r="AD329" t="str">
        <f>TRIM(PROPER(H:H))</f>
        <v>Rajasthan</v>
      </c>
      <c r="AE329" t="str">
        <f>TRIM(PROPER(I:I))</f>
        <v>Udaipur</v>
      </c>
      <c r="AF329" t="str">
        <f t="shared" si="8"/>
        <v>Technology</v>
      </c>
      <c r="AG329" t="str">
        <f t="shared" si="8"/>
        <v>Accessories</v>
      </c>
      <c r="AH329" t="str">
        <f t="shared" si="8"/>
        <v>Classic Accessories 489</v>
      </c>
      <c r="AI329" t="str">
        <f t="shared" si="8"/>
        <v>Second Class</v>
      </c>
      <c r="AJ329" s="3" t="str">
        <f t="shared" si="9"/>
        <v>anomaly</v>
      </c>
      <c r="AK329">
        <f>IFERROR(Y329-X329, "invalid date")</f>
        <v>3</v>
      </c>
      <c r="AL329" s="10">
        <v>0.2</v>
      </c>
      <c r="AM329" s="11">
        <v>4402.92</v>
      </c>
      <c r="AN329" s="11">
        <v>1408.98</v>
      </c>
      <c r="AO329" s="10">
        <v>0.32001035676323897</v>
      </c>
      <c r="AP329" t="s">
        <v>4476</v>
      </c>
      <c r="AQ329" t="s">
        <v>4173</v>
      </c>
      <c r="AR329" t="s">
        <v>4106</v>
      </c>
      <c r="AS329" t="s">
        <v>4107</v>
      </c>
      <c r="AT329" t="s">
        <v>4115</v>
      </c>
      <c r="AU329">
        <v>3</v>
      </c>
      <c r="AV329" t="s">
        <v>4109</v>
      </c>
    </row>
    <row r="330" spans="1:48">
      <c r="A330" t="s">
        <v>1674</v>
      </c>
      <c r="B330" t="s">
        <v>1675</v>
      </c>
      <c r="C330" t="s">
        <v>1441</v>
      </c>
      <c r="D330" t="s">
        <v>1676</v>
      </c>
      <c r="E330" t="s">
        <v>220</v>
      </c>
      <c r="F330" t="s">
        <v>35</v>
      </c>
      <c r="G330" t="s">
        <v>82</v>
      </c>
      <c r="H330" t="s">
        <v>83</v>
      </c>
      <c r="I330" t="s">
        <v>84</v>
      </c>
      <c r="J330" t="s">
        <v>39</v>
      </c>
      <c r="K330" t="s">
        <v>165</v>
      </c>
      <c r="L330" t="s">
        <v>1677</v>
      </c>
      <c r="M330" t="s">
        <v>65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43</v>
      </c>
      <c r="U330" t="s">
        <v>44</v>
      </c>
      <c r="W330" t="s">
        <v>1674</v>
      </c>
      <c r="X330" t="str">
        <v>29-05-25</v>
      </c>
      <c r="Y330" t="str">
        <v>04-06-25</v>
      </c>
      <c r="Z330" t="s">
        <v>1676</v>
      </c>
      <c r="AA330" t="str">
        <v>Diya Patel</v>
      </c>
      <c r="AB330" t="str">
        <f>TRIM(PROPER(F:F))</f>
        <v>Consumer</v>
      </c>
      <c r="AC330" t="str">
        <f>TRIM(PROPER(G:G))</f>
        <v>West</v>
      </c>
      <c r="AD330" t="str">
        <f>TRIM(PROPER(H:H))</f>
        <v>Maharashtra</v>
      </c>
      <c r="AE330" t="str">
        <f>TRIM(PROPER(I:I))</f>
        <v>Mumbai</v>
      </c>
      <c r="AF330" t="str">
        <f t="shared" si="8"/>
        <v>Office Supplies</v>
      </c>
      <c r="AG330" t="str">
        <f t="shared" si="8"/>
        <v>Storage</v>
      </c>
      <c r="AH330" t="str">
        <f t="shared" si="8"/>
        <v>Smart Storage 439</v>
      </c>
      <c r="AI330" t="str">
        <f t="shared" si="8"/>
        <v>First Class</v>
      </c>
      <c r="AJ330" s="3" t="str">
        <f t="shared" si="9"/>
        <v xml:space="preserve">  </v>
      </c>
      <c r="AK330">
        <f>IFERROR(Y330-X330, "invalid date")</f>
        <v>6</v>
      </c>
      <c r="AL330" s="10">
        <v>0</v>
      </c>
      <c r="AM330" s="11">
        <v>18604.079999999998</v>
      </c>
      <c r="AN330" s="11">
        <v>2769.7799999999988</v>
      </c>
      <c r="AO330" s="10">
        <v>0.1488802456235406</v>
      </c>
      <c r="AP330" t="s">
        <v>4477</v>
      </c>
      <c r="AQ330" t="s">
        <v>4401</v>
      </c>
      <c r="AR330" t="s">
        <v>4124</v>
      </c>
      <c r="AS330" t="s">
        <v>4120</v>
      </c>
      <c r="AT330" t="s">
        <v>4121</v>
      </c>
      <c r="AU330">
        <v>6</v>
      </c>
      <c r="AV330" t="s">
        <v>4109</v>
      </c>
    </row>
    <row r="331" spans="1:48">
      <c r="A331" t="s">
        <v>1678</v>
      </c>
      <c r="B331" t="s">
        <v>1679</v>
      </c>
      <c r="C331" t="s">
        <v>1680</v>
      </c>
      <c r="D331" t="s">
        <v>1681</v>
      </c>
      <c r="E331" t="s">
        <v>102</v>
      </c>
      <c r="F331" t="s">
        <v>50</v>
      </c>
      <c r="G331" t="s">
        <v>82</v>
      </c>
      <c r="H331" t="s">
        <v>83</v>
      </c>
      <c r="I331" t="s">
        <v>84</v>
      </c>
      <c r="J331" t="s">
        <v>39</v>
      </c>
      <c r="K331" t="s">
        <v>165</v>
      </c>
      <c r="L331" t="s">
        <v>1682</v>
      </c>
      <c r="M331" t="s">
        <v>76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43</v>
      </c>
      <c r="U331" t="s">
        <v>44</v>
      </c>
      <c r="W331" t="s">
        <v>1678</v>
      </c>
      <c r="X331" t="str">
        <v>12-05-25</v>
      </c>
      <c r="Y331" t="str">
        <v>18-05-25</v>
      </c>
      <c r="Z331" t="s">
        <v>1681</v>
      </c>
      <c r="AA331" t="str">
        <v>Neha Gupta</v>
      </c>
      <c r="AB331" t="str">
        <f>TRIM(PROPER(F:F))</f>
        <v>Small Business</v>
      </c>
      <c r="AC331" t="str">
        <f>TRIM(PROPER(G:G))</f>
        <v>West</v>
      </c>
      <c r="AD331" t="str">
        <f>TRIM(PROPER(H:H))</f>
        <v>Maharashtra</v>
      </c>
      <c r="AE331" t="str">
        <f>TRIM(PROPER(I:I))</f>
        <v>Mumbai</v>
      </c>
      <c r="AF331" t="str">
        <f t="shared" si="8"/>
        <v>Office Supplies</v>
      </c>
      <c r="AG331" t="str">
        <f t="shared" si="8"/>
        <v>Storage</v>
      </c>
      <c r="AH331" t="str">
        <f t="shared" si="8"/>
        <v>Prime Storage 232</v>
      </c>
      <c r="AI331" t="str">
        <f t="shared" si="8"/>
        <v>Standard Class</v>
      </c>
      <c r="AJ331" s="3" t="str">
        <f t="shared" si="9"/>
        <v>anomaly</v>
      </c>
      <c r="AK331">
        <f>IFERROR(Y331-X331, "invalid date")</f>
        <v>6</v>
      </c>
      <c r="AL331" s="10">
        <v>0.05</v>
      </c>
      <c r="AM331" s="11">
        <v>15401.513999999999</v>
      </c>
      <c r="AN331" s="11">
        <v>6751.0939999999991</v>
      </c>
      <c r="AO331" s="10">
        <v>0.43833963336331738</v>
      </c>
      <c r="AP331" t="s">
        <v>4478</v>
      </c>
      <c r="AQ331" t="s">
        <v>4479</v>
      </c>
      <c r="AR331" t="s">
        <v>4124</v>
      </c>
      <c r="AS331" t="s">
        <v>4120</v>
      </c>
      <c r="AT331" t="s">
        <v>4115</v>
      </c>
      <c r="AU331">
        <v>6</v>
      </c>
      <c r="AV331" t="s">
        <v>4109</v>
      </c>
    </row>
    <row r="332" spans="1:48">
      <c r="A332" t="s">
        <v>1683</v>
      </c>
      <c r="B332" t="s">
        <v>1138</v>
      </c>
      <c r="C332" t="s">
        <v>719</v>
      </c>
      <c r="D332" t="s">
        <v>1684</v>
      </c>
      <c r="E332" t="s">
        <v>70</v>
      </c>
      <c r="F332" t="s">
        <v>124</v>
      </c>
      <c r="G332" t="s">
        <v>36</v>
      </c>
      <c r="H332" t="s">
        <v>163</v>
      </c>
      <c r="I332" t="s">
        <v>164</v>
      </c>
      <c r="J332" t="s">
        <v>95</v>
      </c>
      <c r="K332" t="s">
        <v>96</v>
      </c>
      <c r="L332" t="s">
        <v>1685</v>
      </c>
      <c r="M332" t="s">
        <v>57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210</v>
      </c>
      <c r="U332" t="s">
        <v>87</v>
      </c>
      <c r="W332" t="s">
        <v>1683</v>
      </c>
      <c r="X332" t="str">
        <v>invalid date</v>
      </c>
      <c r="Y332" t="str">
        <v>invalid date</v>
      </c>
      <c r="Z332" t="s">
        <v>1684</v>
      </c>
      <c r="AA332" t="str">
        <v>Arjun Bose</v>
      </c>
      <c r="AB332" t="str">
        <f>TRIM(PROPER(F:F))</f>
        <v>Home Office</v>
      </c>
      <c r="AC332" t="str">
        <f>TRIM(PROPER(G:G))</f>
        <v>North</v>
      </c>
      <c r="AD332" t="str">
        <f>TRIM(PROPER(H:H))</f>
        <v>Punjab</v>
      </c>
      <c r="AE332" t="str">
        <f>TRIM(PROPER(I:I))</f>
        <v>Ludhiana</v>
      </c>
      <c r="AF332" t="str">
        <f t="shared" si="8"/>
        <v>Technology</v>
      </c>
      <c r="AG332" t="str">
        <f t="shared" si="8"/>
        <v>Accessories</v>
      </c>
      <c r="AH332" t="str">
        <f t="shared" si="8"/>
        <v>Prime Accessories 335</v>
      </c>
      <c r="AI332" t="str">
        <f t="shared" si="8"/>
        <v>Same Day</v>
      </c>
      <c r="AJ332" s="3" t="str">
        <f t="shared" si="9"/>
        <v>Invalid</v>
      </c>
      <c r="AK332" t="str">
        <f>IFERROR(Y332-X332, "invalid date")</f>
        <v>invalid date</v>
      </c>
      <c r="AL332" s="10">
        <v>0</v>
      </c>
      <c r="AM332" s="11">
        <v>783.09</v>
      </c>
      <c r="AN332" s="11">
        <v>279.20000000000005</v>
      </c>
      <c r="AO332" s="10">
        <v>0.3565362857398256</v>
      </c>
      <c r="AP332" t="s">
        <v>4105</v>
      </c>
      <c r="AQ332" t="s">
        <v>4105</v>
      </c>
      <c r="AR332" t="s">
        <v>4105</v>
      </c>
      <c r="AS332" t="s">
        <v>4105</v>
      </c>
      <c r="AT332" t="s">
        <v>4108</v>
      </c>
      <c r="AU332" t="s">
        <v>4105</v>
      </c>
      <c r="AV332" t="s">
        <v>4109</v>
      </c>
    </row>
    <row r="333" spans="1:48">
      <c r="A333" t="s">
        <v>1686</v>
      </c>
      <c r="B333" t="s">
        <v>715</v>
      </c>
      <c r="C333" t="s">
        <v>1687</v>
      </c>
      <c r="D333" t="s">
        <v>1688</v>
      </c>
      <c r="E333" t="s">
        <v>177</v>
      </c>
      <c r="F333" t="s">
        <v>124</v>
      </c>
      <c r="G333" t="s">
        <v>51</v>
      </c>
      <c r="H333" t="s">
        <v>52</v>
      </c>
      <c r="I333" t="s">
        <v>53</v>
      </c>
      <c r="J333" t="s">
        <v>39</v>
      </c>
      <c r="K333" t="s">
        <v>208</v>
      </c>
      <c r="L333" t="s">
        <v>1689</v>
      </c>
      <c r="M333" t="s">
        <v>42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43</v>
      </c>
      <c r="U333" t="s">
        <v>134</v>
      </c>
      <c r="W333" t="s">
        <v>1686</v>
      </c>
      <c r="X333" t="str">
        <v>04-12-24</v>
      </c>
      <c r="Y333" t="str">
        <v>06-12-24</v>
      </c>
      <c r="Z333" t="s">
        <v>1688</v>
      </c>
      <c r="AA333" t="str">
        <v>Sneha Kapoor</v>
      </c>
      <c r="AB333" t="str">
        <f>TRIM(PROPER(F:F))</f>
        <v>Home Office</v>
      </c>
      <c r="AC333" t="str">
        <f>TRIM(PROPER(G:G))</f>
        <v>East</v>
      </c>
      <c r="AD333" t="str">
        <f>TRIM(PROPER(H:H))</f>
        <v>Odisha</v>
      </c>
      <c r="AE333" t="str">
        <f>TRIM(PROPER(I:I))</f>
        <v>Bhubaneswar</v>
      </c>
      <c r="AF333" t="str">
        <f t="shared" si="8"/>
        <v>Office Supplies</v>
      </c>
      <c r="AG333" t="str">
        <f t="shared" si="8"/>
        <v>Binders</v>
      </c>
      <c r="AH333" t="str">
        <f t="shared" si="8"/>
        <v>Smart Binders 939</v>
      </c>
      <c r="AI333" t="str">
        <f t="shared" si="8"/>
        <v>Second Class</v>
      </c>
      <c r="AJ333" s="3" t="str">
        <f t="shared" si="9"/>
        <v>anomaly</v>
      </c>
      <c r="AK333">
        <f>IFERROR(Y333-X333, "invalid date")</f>
        <v>2</v>
      </c>
      <c r="AL333" s="10">
        <v>0</v>
      </c>
      <c r="AM333" s="11">
        <v>10742.64</v>
      </c>
      <c r="AN333" s="11">
        <v>4265.2699999999995</v>
      </c>
      <c r="AO333" s="10">
        <v>0.39704113700170535</v>
      </c>
      <c r="AP333" t="s">
        <v>4298</v>
      </c>
      <c r="AQ333" t="s">
        <v>4480</v>
      </c>
      <c r="AR333" t="s">
        <v>4139</v>
      </c>
      <c r="AS333" t="s">
        <v>4107</v>
      </c>
      <c r="AT333" t="s">
        <v>4115</v>
      </c>
      <c r="AU333">
        <v>2</v>
      </c>
      <c r="AV333" t="s">
        <v>4109</v>
      </c>
    </row>
    <row r="334" spans="1:48">
      <c r="A334" t="s">
        <v>1690</v>
      </c>
      <c r="B334" t="s">
        <v>1691</v>
      </c>
      <c r="C334" t="s">
        <v>1692</v>
      </c>
      <c r="D334" t="s">
        <v>1693</v>
      </c>
      <c r="E334" t="s">
        <v>171</v>
      </c>
      <c r="F334" t="s">
        <v>35</v>
      </c>
      <c r="G334" t="s">
        <v>71</v>
      </c>
      <c r="H334" t="s">
        <v>109</v>
      </c>
      <c r="I334" t="s">
        <v>110</v>
      </c>
      <c r="J334" t="s">
        <v>95</v>
      </c>
      <c r="K334" t="s">
        <v>1694</v>
      </c>
      <c r="L334" t="s">
        <v>1695</v>
      </c>
      <c r="M334" t="s">
        <v>42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43</v>
      </c>
      <c r="U334" t="s">
        <v>44</v>
      </c>
      <c r="W334" t="s">
        <v>1690</v>
      </c>
      <c r="X334" t="str">
        <v>27-05-25</v>
      </c>
      <c r="Y334" t="str">
        <v>28-05-25</v>
      </c>
      <c r="Z334" t="s">
        <v>1693</v>
      </c>
      <c r="AA334" t="str">
        <v>Aarav Sharma</v>
      </c>
      <c r="AB334" t="str">
        <f>TRIM(PROPER(F:F))</f>
        <v>Consumer</v>
      </c>
      <c r="AC334" t="str">
        <f>TRIM(PROPER(G:G))</f>
        <v>South</v>
      </c>
      <c r="AD334" t="str">
        <f>TRIM(PROPER(H:H))</f>
        <v>Andhra Pradesh</v>
      </c>
      <c r="AE334" t="str">
        <f>TRIM(PROPER(I:I))</f>
        <v>Vijayawada</v>
      </c>
      <c r="AF334" t="str">
        <f t="shared" si="8"/>
        <v>Technology</v>
      </c>
      <c r="AG334" t="str">
        <f t="shared" si="8"/>
        <v>Machines</v>
      </c>
      <c r="AH334" t="str">
        <f t="shared" si="8"/>
        <v>Basic Machines 601</v>
      </c>
      <c r="AI334" t="str">
        <f t="shared" si="8"/>
        <v>Second Class</v>
      </c>
      <c r="AJ334" s="3" t="str">
        <f t="shared" si="9"/>
        <v>anomaly</v>
      </c>
      <c r="AK334">
        <f>IFERROR(Y334-X334, "invalid date")</f>
        <v>1</v>
      </c>
      <c r="AL334" s="10">
        <v>0</v>
      </c>
      <c r="AM334" s="11">
        <v>7823.92</v>
      </c>
      <c r="AN334" s="11">
        <v>1789.29</v>
      </c>
      <c r="AO334" s="10">
        <v>0.22869482305545047</v>
      </c>
      <c r="AP334" t="s">
        <v>4481</v>
      </c>
      <c r="AQ334" t="s">
        <v>4358</v>
      </c>
      <c r="AR334" t="s">
        <v>4124</v>
      </c>
      <c r="AS334" t="s">
        <v>4120</v>
      </c>
      <c r="AT334" t="s">
        <v>4115</v>
      </c>
      <c r="AU334">
        <v>1</v>
      </c>
      <c r="AV334" t="s">
        <v>4109</v>
      </c>
    </row>
    <row r="335" spans="1:48">
      <c r="A335" t="s">
        <v>1696</v>
      </c>
      <c r="B335" t="s">
        <v>1697</v>
      </c>
      <c r="C335" t="s">
        <v>1698</v>
      </c>
      <c r="D335" t="s">
        <v>1699</v>
      </c>
      <c r="E335" t="s">
        <v>189</v>
      </c>
      <c r="F335" t="s">
        <v>124</v>
      </c>
      <c r="H335" t="s">
        <v>517</v>
      </c>
      <c r="I335" t="s">
        <v>518</v>
      </c>
      <c r="J335" t="s">
        <v>95</v>
      </c>
      <c r="K335" t="s">
        <v>233</v>
      </c>
      <c r="L335" t="s">
        <v>1700</v>
      </c>
      <c r="M335" t="s">
        <v>65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43</v>
      </c>
      <c r="U335" t="s">
        <v>44</v>
      </c>
      <c r="W335" t="s">
        <v>1696</v>
      </c>
      <c r="X335" t="str">
        <v>22-06-25</v>
      </c>
      <c r="Y335" t="str">
        <v>27-06-25</v>
      </c>
      <c r="Z335" t="s">
        <v>1699</v>
      </c>
      <c r="AA335" t="str">
        <v>Rohan Mehta</v>
      </c>
      <c r="AB335" t="str">
        <f>TRIM(PROPER(F:F))</f>
        <v>Home Office</v>
      </c>
      <c r="AC335" s="4" t="s">
        <v>282</v>
      </c>
      <c r="AD335" t="str">
        <f>TRIM(PROPER(H:H))</f>
        <v>Delhi</v>
      </c>
      <c r="AE335" t="str">
        <f>TRIM(PROPER(I:I))</f>
        <v>New Delhi</v>
      </c>
      <c r="AF335" t="str">
        <f t="shared" si="8"/>
        <v>Technology</v>
      </c>
      <c r="AG335" t="str">
        <f t="shared" si="8"/>
        <v>Phones</v>
      </c>
      <c r="AH335" t="str">
        <f t="shared" si="8"/>
        <v>Pro Phones 968</v>
      </c>
      <c r="AI335" t="str">
        <f t="shared" si="8"/>
        <v>First Class</v>
      </c>
      <c r="AJ335" s="3" t="str">
        <f t="shared" si="9"/>
        <v>anomaly</v>
      </c>
      <c r="AK335">
        <f>IFERROR(Y335-X335, "invalid date")</f>
        <v>5</v>
      </c>
      <c r="AL335" s="10">
        <v>0</v>
      </c>
      <c r="AM335" s="11">
        <v>2936.1</v>
      </c>
      <c r="AN335" s="11">
        <v>1013</v>
      </c>
      <c r="AO335" s="10">
        <v>0.34501549674738602</v>
      </c>
      <c r="AP335" t="s">
        <v>4482</v>
      </c>
      <c r="AQ335" t="s">
        <v>4353</v>
      </c>
      <c r="AR335" t="s">
        <v>4170</v>
      </c>
      <c r="AS335" t="s">
        <v>4120</v>
      </c>
      <c r="AT335" t="s">
        <v>4115</v>
      </c>
      <c r="AU335">
        <v>5</v>
      </c>
      <c r="AV335" t="s">
        <v>4109</v>
      </c>
    </row>
    <row r="336" spans="1:48">
      <c r="A336" t="s">
        <v>1701</v>
      </c>
      <c r="B336" t="s">
        <v>1702</v>
      </c>
      <c r="C336" t="s">
        <v>1703</v>
      </c>
      <c r="D336" t="s">
        <v>1704</v>
      </c>
      <c r="E336" t="s">
        <v>81</v>
      </c>
      <c r="F336" t="s">
        <v>35</v>
      </c>
      <c r="G336" t="s">
        <v>51</v>
      </c>
      <c r="H336" t="s">
        <v>322</v>
      </c>
      <c r="I336" t="s">
        <v>323</v>
      </c>
      <c r="J336" t="s">
        <v>39</v>
      </c>
      <c r="K336" t="s">
        <v>165</v>
      </c>
      <c r="L336" t="s">
        <v>1705</v>
      </c>
      <c r="M336" t="s">
        <v>65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43</v>
      </c>
      <c r="U336" t="s">
        <v>44</v>
      </c>
      <c r="W336" t="s">
        <v>1701</v>
      </c>
      <c r="X336" t="str">
        <v>12-09-24</v>
      </c>
      <c r="Y336" t="str">
        <v>17-09-24</v>
      </c>
      <c r="Z336" t="s">
        <v>1704</v>
      </c>
      <c r="AA336" t="str">
        <v>Ananya Rao</v>
      </c>
      <c r="AB336" t="str">
        <f>TRIM(PROPER(F:F))</f>
        <v>Consumer</v>
      </c>
      <c r="AC336" t="str">
        <f>TRIM(PROPER(G:G))</f>
        <v>East</v>
      </c>
      <c r="AD336" t="str">
        <f>TRIM(PROPER(H:H))</f>
        <v>Jharkhand</v>
      </c>
      <c r="AE336" t="str">
        <f>TRIM(PROPER(I:I))</f>
        <v>Ranchi</v>
      </c>
      <c r="AF336" t="str">
        <f t="shared" si="8"/>
        <v>Office Supplies</v>
      </c>
      <c r="AG336" t="str">
        <f t="shared" si="8"/>
        <v>Storage</v>
      </c>
      <c r="AH336" t="str">
        <f t="shared" si="8"/>
        <v>Pro Storage 563</v>
      </c>
      <c r="AI336" t="str">
        <f t="shared" si="8"/>
        <v>First Class</v>
      </c>
      <c r="AJ336" s="3" t="str">
        <f t="shared" si="9"/>
        <v>anomaly</v>
      </c>
      <c r="AK336">
        <f>IFERROR(Y336-X336, "invalid date")</f>
        <v>5</v>
      </c>
      <c r="AL336" s="10">
        <v>0.25</v>
      </c>
      <c r="AM336" s="11">
        <v>12969.922500000001</v>
      </c>
      <c r="AN336" s="11">
        <v>3571.4625000000015</v>
      </c>
      <c r="AO336" s="10">
        <v>0.27536498386941027</v>
      </c>
      <c r="AP336" t="s">
        <v>4419</v>
      </c>
      <c r="AQ336" t="s">
        <v>4483</v>
      </c>
      <c r="AR336" t="s">
        <v>4134</v>
      </c>
      <c r="AS336" t="s">
        <v>4107</v>
      </c>
      <c r="AT336" t="s">
        <v>4115</v>
      </c>
      <c r="AU336">
        <v>5</v>
      </c>
      <c r="AV336" t="s">
        <v>4109</v>
      </c>
    </row>
    <row r="337" spans="1:48">
      <c r="A337" t="s">
        <v>1706</v>
      </c>
      <c r="B337" t="s">
        <v>1707</v>
      </c>
      <c r="C337" t="s">
        <v>1708</v>
      </c>
      <c r="D337" t="s">
        <v>1709</v>
      </c>
      <c r="E337" t="s">
        <v>157</v>
      </c>
      <c r="F337" t="s">
        <v>124</v>
      </c>
      <c r="G337" t="s">
        <v>82</v>
      </c>
      <c r="H337" t="s">
        <v>93</v>
      </c>
      <c r="I337" t="s">
        <v>94</v>
      </c>
      <c r="J337" t="s">
        <v>39</v>
      </c>
      <c r="K337" t="s">
        <v>40</v>
      </c>
      <c r="L337" t="s">
        <v>1710</v>
      </c>
      <c r="M337" t="s">
        <v>65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43</v>
      </c>
      <c r="U337" t="s">
        <v>44</v>
      </c>
      <c r="W337" t="s">
        <v>1706</v>
      </c>
      <c r="X337" t="str">
        <v>invalid date</v>
      </c>
      <c r="Y337" t="str">
        <v>18-06-25</v>
      </c>
      <c r="Z337" t="s">
        <v>1709</v>
      </c>
      <c r="AA337" t="str">
        <v>Rahul Verma</v>
      </c>
      <c r="AB337" t="str">
        <f>TRIM(PROPER(F:F))</f>
        <v>Home Office</v>
      </c>
      <c r="AC337" t="str">
        <f>TRIM(PROPER(G:G))</f>
        <v>West</v>
      </c>
      <c r="AD337" t="str">
        <f>TRIM(PROPER(H:H))</f>
        <v>Madhya Pradesh</v>
      </c>
      <c r="AE337" t="str">
        <f>TRIM(PROPER(I:I))</f>
        <v>Indore</v>
      </c>
      <c r="AF337" t="str">
        <f>TRIM(PROPER(J:J))</f>
        <v>Office Supplies</v>
      </c>
      <c r="AG337" t="str">
        <f t="shared" ref="AG337:AI400" si="10">TRIM(PROPER(K:K))</f>
        <v>Paper</v>
      </c>
      <c r="AH337" t="str">
        <f t="shared" si="10"/>
        <v>Prime Paper 559</v>
      </c>
      <c r="AI337" t="str">
        <f t="shared" si="10"/>
        <v>First Class</v>
      </c>
      <c r="AJ337" s="3" t="str">
        <f t="shared" si="9"/>
        <v>Invalid</v>
      </c>
      <c r="AK337" t="str">
        <f>IFERROR(Y337-X337, "invalid date")</f>
        <v>invalid date</v>
      </c>
      <c r="AL337" s="10">
        <v>0.1</v>
      </c>
      <c r="AM337" s="11">
        <v>11581.299000000001</v>
      </c>
      <c r="AN337" s="11">
        <v>4751.8690000000006</v>
      </c>
      <c r="AO337" s="10">
        <v>0.41030535521101735</v>
      </c>
      <c r="AP337" t="s">
        <v>4105</v>
      </c>
      <c r="AQ337" t="s">
        <v>4484</v>
      </c>
      <c r="AR337" t="s">
        <v>4105</v>
      </c>
      <c r="AS337" t="s">
        <v>4105</v>
      </c>
      <c r="AT337" t="s">
        <v>4108</v>
      </c>
      <c r="AU337" t="s">
        <v>4105</v>
      </c>
      <c r="AV337" t="s">
        <v>4109</v>
      </c>
    </row>
    <row r="338" spans="1:48">
      <c r="A338" t="s">
        <v>1711</v>
      </c>
      <c r="B338" t="s">
        <v>315</v>
      </c>
      <c r="C338" t="s">
        <v>1712</v>
      </c>
      <c r="D338" t="s">
        <v>1330</v>
      </c>
      <c r="E338" t="s">
        <v>171</v>
      </c>
      <c r="F338" t="s">
        <v>35</v>
      </c>
      <c r="G338" t="s">
        <v>36</v>
      </c>
      <c r="H338" t="s">
        <v>37</v>
      </c>
      <c r="I338" t="s">
        <v>38</v>
      </c>
      <c r="J338" t="s">
        <v>95</v>
      </c>
      <c r="K338" t="s">
        <v>103</v>
      </c>
      <c r="L338" t="s">
        <v>1713</v>
      </c>
      <c r="M338" t="s">
        <v>65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43</v>
      </c>
      <c r="U338" t="s">
        <v>44</v>
      </c>
      <c r="W338" t="s">
        <v>1711</v>
      </c>
      <c r="X338" t="str">
        <v>17-03-24</v>
      </c>
      <c r="Y338" t="str">
        <v>invalid date</v>
      </c>
      <c r="Z338" t="s">
        <v>1330</v>
      </c>
      <c r="AA338" t="str">
        <v>Aarav Sharma</v>
      </c>
      <c r="AB338" t="str">
        <f>TRIM(PROPER(F:F))</f>
        <v>Consumer</v>
      </c>
      <c r="AC338" t="str">
        <f>TRIM(PROPER(G:G))</f>
        <v>North</v>
      </c>
      <c r="AD338" t="str">
        <f>TRIM(PROPER(H:H))</f>
        <v>Rajasthan</v>
      </c>
      <c r="AE338" t="str">
        <f>TRIM(PROPER(I:I))</f>
        <v>Jaipur</v>
      </c>
      <c r="AF338" t="str">
        <f>TRIM(PROPER(J:J))</f>
        <v>Technology</v>
      </c>
      <c r="AG338" t="str">
        <f t="shared" si="10"/>
        <v>Copiers</v>
      </c>
      <c r="AH338" t="str">
        <f t="shared" si="10"/>
        <v>Pro Copiers 999</v>
      </c>
      <c r="AI338" t="str">
        <f t="shared" si="10"/>
        <v>First Class</v>
      </c>
      <c r="AJ338" s="3" t="str">
        <f t="shared" si="9"/>
        <v>Invalid</v>
      </c>
      <c r="AK338" t="str">
        <f>IFERROR(Y338-X338, "invalid date")</f>
        <v>invalid date</v>
      </c>
      <c r="AL338" s="10">
        <v>0</v>
      </c>
      <c r="AM338" s="11">
        <v>15940.56</v>
      </c>
      <c r="AN338" s="11">
        <v>3593.41</v>
      </c>
      <c r="AO338" s="10">
        <v>0.2254255810335396</v>
      </c>
      <c r="AP338" t="s">
        <v>4187</v>
      </c>
      <c r="AQ338" t="s">
        <v>4105</v>
      </c>
      <c r="AR338" t="s">
        <v>4159</v>
      </c>
      <c r="AS338" t="s">
        <v>4107</v>
      </c>
      <c r="AT338" t="s">
        <v>4108</v>
      </c>
      <c r="AU338" t="s">
        <v>4105</v>
      </c>
      <c r="AV338" t="s">
        <v>4109</v>
      </c>
    </row>
    <row r="339" spans="1:48">
      <c r="A339" t="s">
        <v>1714</v>
      </c>
      <c r="B339" t="s">
        <v>1715</v>
      </c>
      <c r="C339" t="s">
        <v>1716</v>
      </c>
      <c r="D339" t="s">
        <v>1717</v>
      </c>
      <c r="E339" t="s">
        <v>81</v>
      </c>
      <c r="F339" t="s">
        <v>35</v>
      </c>
      <c r="G339" t="s">
        <v>51</v>
      </c>
      <c r="H339" t="s">
        <v>226</v>
      </c>
      <c r="I339" t="s">
        <v>227</v>
      </c>
      <c r="J339" t="s">
        <v>39</v>
      </c>
      <c r="K339" t="s">
        <v>118</v>
      </c>
      <c r="L339" t="s">
        <v>1718</v>
      </c>
      <c r="M339" t="s">
        <v>57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43</v>
      </c>
      <c r="U339" t="s">
        <v>44</v>
      </c>
      <c r="W339" t="s">
        <v>1714</v>
      </c>
      <c r="X339" t="str">
        <v>12-08-24</v>
      </c>
      <c r="Y339" t="str">
        <v>18-08-24</v>
      </c>
      <c r="Z339" t="s">
        <v>1717</v>
      </c>
      <c r="AA339" t="str">
        <v>Ananya Rao</v>
      </c>
      <c r="AB339" t="str">
        <f>TRIM(PROPER(F:F))</f>
        <v>Consumer</v>
      </c>
      <c r="AC339" t="str">
        <f>TRIM(PROPER(G:G))</f>
        <v>East</v>
      </c>
      <c r="AD339" t="str">
        <f>TRIM(PROPER(H:H))</f>
        <v>Assam</v>
      </c>
      <c r="AE339" t="str">
        <f>TRIM(PROPER(I:I))</f>
        <v>Guwahati</v>
      </c>
      <c r="AF339" t="str">
        <f>TRIM(PROPER(J:J))</f>
        <v>Office Supplies</v>
      </c>
      <c r="AG339" t="str">
        <f t="shared" si="10"/>
        <v>Labels</v>
      </c>
      <c r="AH339" t="str">
        <f t="shared" si="10"/>
        <v>Classic Labels 206</v>
      </c>
      <c r="AI339" t="str">
        <f t="shared" si="10"/>
        <v>Same Day</v>
      </c>
      <c r="AJ339" s="3" t="str">
        <f t="shared" si="9"/>
        <v>anomaly</v>
      </c>
      <c r="AK339">
        <f>IFERROR(Y339-X339, "invalid date")</f>
        <v>6</v>
      </c>
      <c r="AL339" s="10">
        <v>0</v>
      </c>
      <c r="AM339" s="11">
        <v>7090.4400000000005</v>
      </c>
      <c r="AN339" s="11">
        <v>1418.17</v>
      </c>
      <c r="AO339" s="10">
        <v>0.20001156486762456</v>
      </c>
      <c r="AP339" t="s">
        <v>4195</v>
      </c>
      <c r="AQ339" t="s">
        <v>4297</v>
      </c>
      <c r="AR339" t="s">
        <v>4114</v>
      </c>
      <c r="AS339" t="s">
        <v>4107</v>
      </c>
      <c r="AT339" t="s">
        <v>4115</v>
      </c>
      <c r="AU339">
        <v>6</v>
      </c>
      <c r="AV339" t="s">
        <v>4109</v>
      </c>
    </row>
    <row r="340" spans="1:48">
      <c r="A340" t="s">
        <v>1719</v>
      </c>
      <c r="B340" t="s">
        <v>1720</v>
      </c>
      <c r="C340" t="s">
        <v>1473</v>
      </c>
      <c r="D340" t="s">
        <v>1721</v>
      </c>
      <c r="E340" t="s">
        <v>70</v>
      </c>
      <c r="F340" t="s">
        <v>50</v>
      </c>
      <c r="G340" t="s">
        <v>71</v>
      </c>
      <c r="H340" t="s">
        <v>109</v>
      </c>
      <c r="I340" t="s">
        <v>110</v>
      </c>
      <c r="J340" t="s">
        <v>95</v>
      </c>
      <c r="K340" t="s">
        <v>96</v>
      </c>
      <c r="L340" t="s">
        <v>1722</v>
      </c>
      <c r="M340" t="s">
        <v>65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43</v>
      </c>
      <c r="U340" t="s">
        <v>44</v>
      </c>
      <c r="W340" t="s">
        <v>1719</v>
      </c>
      <c r="X340" t="str">
        <v>08-12-24</v>
      </c>
      <c r="Y340" t="str">
        <v>12-08-24</v>
      </c>
      <c r="Z340" t="s">
        <v>1721</v>
      </c>
      <c r="AA340" t="str">
        <v>Arjun Bose</v>
      </c>
      <c r="AB340" t="str">
        <f>TRIM(PROPER(F:F))</f>
        <v>Small Business</v>
      </c>
      <c r="AC340" t="str">
        <f>TRIM(PROPER(G:G))</f>
        <v>South</v>
      </c>
      <c r="AD340" t="str">
        <f>TRIM(PROPER(H:H))</f>
        <v>Andhra Pradesh</v>
      </c>
      <c r="AE340" t="str">
        <f>TRIM(PROPER(I:I))</f>
        <v>Vijayawada</v>
      </c>
      <c r="AF340" t="str">
        <f>TRIM(PROPER(J:J))</f>
        <v>Technology</v>
      </c>
      <c r="AG340" t="str">
        <f t="shared" si="10"/>
        <v>Accessories</v>
      </c>
      <c r="AH340" t="str">
        <f t="shared" si="10"/>
        <v>Eco Accessories 315</v>
      </c>
      <c r="AI340" t="str">
        <f t="shared" si="10"/>
        <v>First Class</v>
      </c>
      <c r="AJ340" s="3" t="str">
        <f t="shared" si="9"/>
        <v>anomaly</v>
      </c>
      <c r="AK340">
        <f>IFERROR(Y340-X340, "invalid date")</f>
        <v>-118</v>
      </c>
      <c r="AL340" s="10">
        <v>0.25</v>
      </c>
      <c r="AM340" s="11">
        <v>26414.159999999996</v>
      </c>
      <c r="AN340" s="11">
        <v>4591.6299999999974</v>
      </c>
      <c r="AO340" s="10">
        <v>0.17383214154832097</v>
      </c>
      <c r="AP340" t="s">
        <v>4485</v>
      </c>
      <c r="AQ340" t="s">
        <v>4195</v>
      </c>
      <c r="AR340" t="s">
        <v>4139</v>
      </c>
      <c r="AS340" t="s">
        <v>4107</v>
      </c>
      <c r="AT340" t="s">
        <v>4115</v>
      </c>
      <c r="AU340">
        <v>-118</v>
      </c>
      <c r="AV340" t="s">
        <v>4109</v>
      </c>
    </row>
    <row r="341" spans="1:48">
      <c r="A341" t="s">
        <v>1723</v>
      </c>
      <c r="B341" t="s">
        <v>926</v>
      </c>
      <c r="C341" t="s">
        <v>1724</v>
      </c>
      <c r="D341" t="s">
        <v>1725</v>
      </c>
      <c r="E341" t="s">
        <v>102</v>
      </c>
      <c r="F341" t="s">
        <v>117</v>
      </c>
      <c r="G341" t="s">
        <v>51</v>
      </c>
      <c r="H341" t="s">
        <v>322</v>
      </c>
      <c r="I341" t="s">
        <v>323</v>
      </c>
      <c r="J341" t="s">
        <v>54</v>
      </c>
      <c r="K341" t="s">
        <v>214</v>
      </c>
      <c r="L341" t="s">
        <v>1726</v>
      </c>
      <c r="M341" t="s">
        <v>76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43</v>
      </c>
      <c r="U341" t="s">
        <v>44</v>
      </c>
      <c r="W341" t="s">
        <v>1723</v>
      </c>
      <c r="X341" t="str">
        <v>20-02-25</v>
      </c>
      <c r="Y341" t="str">
        <v>22-02-25</v>
      </c>
      <c r="Z341" t="s">
        <v>1725</v>
      </c>
      <c r="AA341" t="str">
        <v>Neha Gupta</v>
      </c>
      <c r="AB341" t="str">
        <f>TRIM(PROPER(F:F))</f>
        <v>Corporate</v>
      </c>
      <c r="AC341" t="str">
        <f>TRIM(PROPER(G:G))</f>
        <v>East</v>
      </c>
      <c r="AD341" t="str">
        <f>TRIM(PROPER(H:H))</f>
        <v>Jharkhand</v>
      </c>
      <c r="AE341" t="str">
        <f>TRIM(PROPER(I:I))</f>
        <v>Ranchi</v>
      </c>
      <c r="AF341" t="str">
        <f>TRIM(PROPER(J:J))</f>
        <v>Furniture</v>
      </c>
      <c r="AG341" t="str">
        <f t="shared" si="10"/>
        <v>Bookcases</v>
      </c>
      <c r="AH341" t="str">
        <f t="shared" si="10"/>
        <v>Elite Bookcases 988</v>
      </c>
      <c r="AI341" t="str">
        <f t="shared" si="10"/>
        <v>Standard Class</v>
      </c>
      <c r="AJ341" s="3" t="str">
        <f t="shared" si="9"/>
        <v>anomaly</v>
      </c>
      <c r="AK341">
        <f>IFERROR(Y341-X341, "invalid date")</f>
        <v>2</v>
      </c>
      <c r="AL341" s="10">
        <v>0.2</v>
      </c>
      <c r="AM341" s="11">
        <v>20900.864000000001</v>
      </c>
      <c r="AN341" s="11">
        <v>8387.724000000002</v>
      </c>
      <c r="AO341" s="10">
        <v>0.40130991714026759</v>
      </c>
      <c r="AP341" t="s">
        <v>4340</v>
      </c>
      <c r="AQ341" t="s">
        <v>4486</v>
      </c>
      <c r="AR341" t="s">
        <v>4129</v>
      </c>
      <c r="AS341" t="s">
        <v>4120</v>
      </c>
      <c r="AT341" t="s">
        <v>4115</v>
      </c>
      <c r="AU341">
        <v>2</v>
      </c>
      <c r="AV341" t="s">
        <v>4109</v>
      </c>
    </row>
    <row r="342" spans="1:48">
      <c r="A342" t="s">
        <v>1727</v>
      </c>
      <c r="B342" t="s">
        <v>1728</v>
      </c>
      <c r="C342" t="s">
        <v>1729</v>
      </c>
      <c r="D342" t="s">
        <v>1730</v>
      </c>
      <c r="E342" t="s">
        <v>102</v>
      </c>
      <c r="F342" t="s">
        <v>35</v>
      </c>
      <c r="G342" t="s">
        <v>71</v>
      </c>
      <c r="H342" t="s">
        <v>239</v>
      </c>
      <c r="I342" t="s">
        <v>240</v>
      </c>
      <c r="J342" t="s">
        <v>39</v>
      </c>
      <c r="K342" t="s">
        <v>208</v>
      </c>
      <c r="L342" t="s">
        <v>1731</v>
      </c>
      <c r="M342" t="s">
        <v>76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43</v>
      </c>
      <c r="U342" t="s">
        <v>44</v>
      </c>
      <c r="W342" t="s">
        <v>1727</v>
      </c>
      <c r="X342" t="str">
        <v>21-01-24</v>
      </c>
      <c r="Y342" t="str">
        <v>invalid date</v>
      </c>
      <c r="Z342" t="s">
        <v>1730</v>
      </c>
      <c r="AA342" t="str">
        <v>Neha Gupta</v>
      </c>
      <c r="AB342" t="str">
        <f>TRIM(PROPER(F:F))</f>
        <v>Consumer</v>
      </c>
      <c r="AC342" t="str">
        <f>TRIM(PROPER(G:G))</f>
        <v>South</v>
      </c>
      <c r="AD342" t="str">
        <f>TRIM(PROPER(H:H))</f>
        <v>Karnataka</v>
      </c>
      <c r="AE342" t="str">
        <f>TRIM(PROPER(I:I))</f>
        <v>Bengaluru</v>
      </c>
      <c r="AF342" t="str">
        <f>TRIM(PROPER(J:J))</f>
        <v>Office Supplies</v>
      </c>
      <c r="AG342" t="str">
        <f t="shared" si="10"/>
        <v>Binders</v>
      </c>
      <c r="AH342" t="str">
        <f t="shared" si="10"/>
        <v>Smart Binders 414</v>
      </c>
      <c r="AI342" t="str">
        <f t="shared" si="10"/>
        <v>Standard Class</v>
      </c>
      <c r="AJ342" s="3" t="str">
        <f t="shared" si="9"/>
        <v>Invalid</v>
      </c>
      <c r="AK342" t="str">
        <f>IFERROR(Y342-X342, "invalid date")</f>
        <v>invalid date</v>
      </c>
      <c r="AL342" s="10">
        <v>0.1</v>
      </c>
      <c r="AM342" s="11">
        <v>18261.36</v>
      </c>
      <c r="AN342" s="11">
        <v>6861.42</v>
      </c>
      <c r="AO342" s="10">
        <v>0.3757343374206521</v>
      </c>
      <c r="AP342" t="s">
        <v>4487</v>
      </c>
      <c r="AQ342" t="s">
        <v>4105</v>
      </c>
      <c r="AR342" t="s">
        <v>4153</v>
      </c>
      <c r="AS342" t="s">
        <v>4107</v>
      </c>
      <c r="AT342" t="s">
        <v>4108</v>
      </c>
      <c r="AU342" t="s">
        <v>4105</v>
      </c>
      <c r="AV342" t="s">
        <v>4109</v>
      </c>
    </row>
    <row r="343" spans="1:48">
      <c r="A343" t="s">
        <v>1732</v>
      </c>
      <c r="B343" t="s">
        <v>1733</v>
      </c>
      <c r="C343" t="s">
        <v>1734</v>
      </c>
      <c r="D343" t="s">
        <v>1735</v>
      </c>
      <c r="E343" t="s">
        <v>189</v>
      </c>
      <c r="F343" t="s">
        <v>124</v>
      </c>
      <c r="G343" t="s">
        <v>82</v>
      </c>
      <c r="H343" t="s">
        <v>245</v>
      </c>
      <c r="I343" t="s">
        <v>246</v>
      </c>
      <c r="J343" t="s">
        <v>54</v>
      </c>
      <c r="K343" t="s">
        <v>85</v>
      </c>
      <c r="L343" t="s">
        <v>1736</v>
      </c>
      <c r="M343" t="s">
        <v>42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43</v>
      </c>
      <c r="U343" t="s">
        <v>44</v>
      </c>
      <c r="W343" t="s">
        <v>1732</v>
      </c>
      <c r="X343" t="str">
        <v>08-09-25</v>
      </c>
      <c r="Y343" t="str">
        <v>09-09-25</v>
      </c>
      <c r="Z343" t="s">
        <v>1735</v>
      </c>
      <c r="AA343" t="str">
        <v>Rohan Mehta</v>
      </c>
      <c r="AB343" t="str">
        <f>TRIM(PROPER(F:F))</f>
        <v>Home Office</v>
      </c>
      <c r="AC343" t="str">
        <f>TRIM(PROPER(G:G))</f>
        <v>West</v>
      </c>
      <c r="AD343" t="str">
        <f>TRIM(PROPER(H:H))</f>
        <v>Gujarat</v>
      </c>
      <c r="AE343" t="str">
        <f>TRIM(PROPER(I:I))</f>
        <v>Ahmedabad</v>
      </c>
      <c r="AF343" t="str">
        <f>TRIM(PROPER(J:J))</f>
        <v>Furniture</v>
      </c>
      <c r="AG343" t="str">
        <f t="shared" si="10"/>
        <v>Chairs</v>
      </c>
      <c r="AH343" t="str">
        <f t="shared" si="10"/>
        <v>Eco Chairs 552</v>
      </c>
      <c r="AI343" t="str">
        <f t="shared" si="10"/>
        <v>Second Class</v>
      </c>
      <c r="AJ343" s="3" t="str">
        <f t="shared" si="9"/>
        <v>anomaly</v>
      </c>
      <c r="AK343">
        <f>IFERROR(Y343-X343, "invalid date")</f>
        <v>1</v>
      </c>
      <c r="AL343" s="10">
        <v>0.05</v>
      </c>
      <c r="AM343" s="11">
        <v>7524.6269999999995</v>
      </c>
      <c r="AN343" s="11">
        <v>1295.0269999999991</v>
      </c>
      <c r="AO343" s="10">
        <v>0.17210514222166751</v>
      </c>
      <c r="AP343" t="s">
        <v>4488</v>
      </c>
      <c r="AQ343" t="s">
        <v>4338</v>
      </c>
      <c r="AR343" t="s">
        <v>4134</v>
      </c>
      <c r="AS343" t="s">
        <v>4120</v>
      </c>
      <c r="AT343" t="s">
        <v>4115</v>
      </c>
      <c r="AU343">
        <v>1</v>
      </c>
      <c r="AV343" t="s">
        <v>4109</v>
      </c>
    </row>
    <row r="344" spans="1:48">
      <c r="A344" t="s">
        <v>1737</v>
      </c>
      <c r="B344" t="s">
        <v>1738</v>
      </c>
      <c r="C344" t="s">
        <v>1739</v>
      </c>
      <c r="D344" t="s">
        <v>1740</v>
      </c>
      <c r="E344" t="s">
        <v>377</v>
      </c>
      <c r="F344" t="s">
        <v>50</v>
      </c>
      <c r="G344" t="s">
        <v>51</v>
      </c>
      <c r="H344" t="s">
        <v>322</v>
      </c>
      <c r="I344" t="s">
        <v>323</v>
      </c>
      <c r="J344" t="s">
        <v>39</v>
      </c>
      <c r="K344" t="s">
        <v>208</v>
      </c>
      <c r="L344" t="s">
        <v>1741</v>
      </c>
      <c r="M344" t="s">
        <v>65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43</v>
      </c>
      <c r="U344" t="s">
        <v>44</v>
      </c>
      <c r="W344" t="s">
        <v>1737</v>
      </c>
      <c r="X344" t="str">
        <v>24-07-25</v>
      </c>
      <c r="Y344" t="str">
        <v>01-08-25</v>
      </c>
      <c r="Z344" t="s">
        <v>1740</v>
      </c>
      <c r="AA344" t="str">
        <v>Kabir Singh</v>
      </c>
      <c r="AB344" t="str">
        <f>TRIM(PROPER(F:F))</f>
        <v>Small Business</v>
      </c>
      <c r="AC344" t="str">
        <f>TRIM(PROPER(G:G))</f>
        <v>East</v>
      </c>
      <c r="AD344" t="str">
        <f>TRIM(PROPER(H:H))</f>
        <v>Jharkhand</v>
      </c>
      <c r="AE344" t="str">
        <f>TRIM(PROPER(I:I))</f>
        <v>Ranchi</v>
      </c>
      <c r="AF344" t="str">
        <f>TRIM(PROPER(J:J))</f>
        <v>Office Supplies</v>
      </c>
      <c r="AG344" t="str">
        <f t="shared" si="10"/>
        <v>Binders</v>
      </c>
      <c r="AH344" t="str">
        <f t="shared" si="10"/>
        <v>Smart Binders 574</v>
      </c>
      <c r="AI344" t="str">
        <f t="shared" si="10"/>
        <v>First Class</v>
      </c>
      <c r="AJ344" s="3" t="str">
        <f t="shared" si="9"/>
        <v xml:space="preserve">  </v>
      </c>
      <c r="AK344">
        <f>IFERROR(Y344-X344, "invalid date")</f>
        <v>8</v>
      </c>
      <c r="AL344" s="10">
        <v>0</v>
      </c>
      <c r="AM344" s="11">
        <v>12231.36</v>
      </c>
      <c r="AN344" s="11">
        <v>3464.4600000000009</v>
      </c>
      <c r="AO344" s="10">
        <v>0.28324405462679547</v>
      </c>
      <c r="AP344" t="s">
        <v>4335</v>
      </c>
      <c r="AQ344" t="s">
        <v>4489</v>
      </c>
      <c r="AR344" t="s">
        <v>4106</v>
      </c>
      <c r="AS344" t="s">
        <v>4120</v>
      </c>
      <c r="AT344" t="s">
        <v>4121</v>
      </c>
      <c r="AU344">
        <v>8</v>
      </c>
      <c r="AV344" t="s">
        <v>4109</v>
      </c>
    </row>
    <row r="345" spans="1:48">
      <c r="A345" t="s">
        <v>1742</v>
      </c>
      <c r="B345" t="s">
        <v>1743</v>
      </c>
      <c r="C345" t="s">
        <v>1200</v>
      </c>
      <c r="D345" t="s">
        <v>1744</v>
      </c>
      <c r="E345" t="s">
        <v>171</v>
      </c>
      <c r="F345" t="s">
        <v>117</v>
      </c>
      <c r="G345" t="s">
        <v>82</v>
      </c>
      <c r="H345" t="s">
        <v>93</v>
      </c>
      <c r="I345" t="s">
        <v>94</v>
      </c>
      <c r="J345" t="s">
        <v>95</v>
      </c>
      <c r="K345" t="s">
        <v>393</v>
      </c>
      <c r="L345" t="s">
        <v>1745</v>
      </c>
      <c r="M345" t="s">
        <v>57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43</v>
      </c>
      <c r="U345" t="s">
        <v>44</v>
      </c>
      <c r="W345" t="s">
        <v>1742</v>
      </c>
      <c r="X345" t="str">
        <v>10-03-25</v>
      </c>
      <c r="Y345" t="str">
        <v>08-10-25</v>
      </c>
      <c r="Z345" t="s">
        <v>1744</v>
      </c>
      <c r="AA345" t="str">
        <v>Aarav Sharma</v>
      </c>
      <c r="AB345" t="str">
        <f>TRIM(PROPER(F:F))</f>
        <v>Corporate</v>
      </c>
      <c r="AC345" t="str">
        <f>TRIM(PROPER(G:G))</f>
        <v>West</v>
      </c>
      <c r="AD345" t="str">
        <f>TRIM(PROPER(H:H))</f>
        <v>Madhya Pradesh</v>
      </c>
      <c r="AE345" t="str">
        <f>TRIM(PROPER(I:I))</f>
        <v>Indore</v>
      </c>
      <c r="AF345" t="str">
        <f>TRIM(PROPER(J:J))</f>
        <v>Technology</v>
      </c>
      <c r="AG345" t="str">
        <f t="shared" si="10"/>
        <v>Machines</v>
      </c>
      <c r="AH345" t="str">
        <f t="shared" si="10"/>
        <v>Pro Machines 444</v>
      </c>
      <c r="AI345" t="str">
        <f t="shared" si="10"/>
        <v>Same Day</v>
      </c>
      <c r="AJ345" s="3" t="str">
        <f t="shared" si="9"/>
        <v xml:space="preserve">  </v>
      </c>
      <c r="AK345">
        <f>IFERROR(Y345-X345, "invalid date")</f>
        <v>212</v>
      </c>
      <c r="AL345" s="10">
        <v>0.1</v>
      </c>
      <c r="AM345" s="11">
        <v>31079.7</v>
      </c>
      <c r="AN345" s="11">
        <v>13321.45</v>
      </c>
      <c r="AO345" s="10">
        <v>0.4286222196481948</v>
      </c>
      <c r="AP345" t="s">
        <v>4490</v>
      </c>
      <c r="AQ345" t="s">
        <v>4333</v>
      </c>
      <c r="AR345" t="s">
        <v>4159</v>
      </c>
      <c r="AS345" t="s">
        <v>4120</v>
      </c>
      <c r="AT345" t="s">
        <v>4121</v>
      </c>
      <c r="AU345">
        <v>212</v>
      </c>
      <c r="AV345" t="s">
        <v>4109</v>
      </c>
    </row>
    <row r="346" spans="1:48">
      <c r="A346" t="s">
        <v>1746</v>
      </c>
      <c r="B346" t="s">
        <v>1516</v>
      </c>
      <c r="C346" t="s">
        <v>1516</v>
      </c>
      <c r="D346" t="s">
        <v>1747</v>
      </c>
      <c r="E346" t="s">
        <v>151</v>
      </c>
      <c r="F346" t="s">
        <v>35</v>
      </c>
      <c r="G346" t="s">
        <v>36</v>
      </c>
      <c r="H346" t="s">
        <v>163</v>
      </c>
      <c r="I346" t="s">
        <v>164</v>
      </c>
      <c r="J346" t="s">
        <v>54</v>
      </c>
      <c r="K346" t="s">
        <v>214</v>
      </c>
      <c r="L346" t="s">
        <v>1748</v>
      </c>
      <c r="M346" t="s">
        <v>57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146</v>
      </c>
      <c r="U346" t="s">
        <v>134</v>
      </c>
      <c r="W346" t="s">
        <v>1746</v>
      </c>
      <c r="X346" t="str">
        <v>11-03-24</v>
      </c>
      <c r="Y346" t="str">
        <v>11-03-24</v>
      </c>
      <c r="Z346" t="s">
        <v>1747</v>
      </c>
      <c r="AA346" t="str">
        <v>Priya Menon</v>
      </c>
      <c r="AB346" t="str">
        <f>TRIM(PROPER(F:F))</f>
        <v>Consumer</v>
      </c>
      <c r="AC346" t="str">
        <f>TRIM(PROPER(G:G))</f>
        <v>North</v>
      </c>
      <c r="AD346" t="str">
        <f>TRIM(PROPER(H:H))</f>
        <v>Punjab</v>
      </c>
      <c r="AE346" t="str">
        <f>TRIM(PROPER(I:I))</f>
        <v>Ludhiana</v>
      </c>
      <c r="AF346" t="str">
        <f>TRIM(PROPER(J:J))</f>
        <v>Furniture</v>
      </c>
      <c r="AG346" t="str">
        <f t="shared" si="10"/>
        <v>Bookcases</v>
      </c>
      <c r="AH346" t="str">
        <f t="shared" si="10"/>
        <v>Elite Bookcases 184</v>
      </c>
      <c r="AI346" t="str">
        <f t="shared" si="10"/>
        <v>Same Day</v>
      </c>
      <c r="AJ346" s="3" t="str">
        <f t="shared" si="9"/>
        <v xml:space="preserve">  </v>
      </c>
      <c r="AK346">
        <f>IFERROR(Y346-X346, "invalid date")</f>
        <v>0</v>
      </c>
      <c r="AL346" s="10">
        <v>0</v>
      </c>
      <c r="AM346" s="11">
        <v>31107.420000000002</v>
      </c>
      <c r="AN346" s="11">
        <v>10960.760000000002</v>
      </c>
      <c r="AO346" s="10">
        <v>0.3523519468988428</v>
      </c>
      <c r="AP346" t="s">
        <v>4404</v>
      </c>
      <c r="AQ346" t="s">
        <v>4404</v>
      </c>
      <c r="AR346" t="s">
        <v>4159</v>
      </c>
      <c r="AS346" t="s">
        <v>4107</v>
      </c>
      <c r="AT346" t="s">
        <v>4115</v>
      </c>
      <c r="AU346">
        <v>0</v>
      </c>
      <c r="AV346" t="s">
        <v>4109</v>
      </c>
    </row>
    <row r="347" spans="1:48">
      <c r="A347" t="s">
        <v>1749</v>
      </c>
      <c r="B347" t="s">
        <v>1750</v>
      </c>
      <c r="C347" t="s">
        <v>1751</v>
      </c>
      <c r="D347" t="s">
        <v>1752</v>
      </c>
      <c r="E347" t="s">
        <v>34</v>
      </c>
      <c r="F347" t="s">
        <v>35</v>
      </c>
      <c r="G347" t="s">
        <v>82</v>
      </c>
      <c r="H347" t="s">
        <v>93</v>
      </c>
      <c r="I347" t="s">
        <v>94</v>
      </c>
      <c r="J347" t="s">
        <v>54</v>
      </c>
      <c r="K347" t="s">
        <v>74</v>
      </c>
      <c r="L347" t="s">
        <v>1753</v>
      </c>
      <c r="M347" t="s">
        <v>42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43</v>
      </c>
      <c r="U347" t="s">
        <v>44</v>
      </c>
      <c r="W347" t="s">
        <v>1749</v>
      </c>
      <c r="X347" t="str">
        <v>14-09-24</v>
      </c>
      <c r="Y347" t="str">
        <v>22-09-24</v>
      </c>
      <c r="Z347" t="s">
        <v>1752</v>
      </c>
      <c r="AA347" t="str">
        <v>Karan Malhotra</v>
      </c>
      <c r="AB347" t="str">
        <f>TRIM(PROPER(F:F))</f>
        <v>Consumer</v>
      </c>
      <c r="AC347" t="str">
        <f>TRIM(PROPER(G:G))</f>
        <v>West</v>
      </c>
      <c r="AD347" t="str">
        <f>TRIM(PROPER(H:H))</f>
        <v>Madhya Pradesh</v>
      </c>
      <c r="AE347" t="str">
        <f>TRIM(PROPER(I:I))</f>
        <v>Indore</v>
      </c>
      <c r="AF347" t="str">
        <f>TRIM(PROPER(J:J))</f>
        <v>Furniture</v>
      </c>
      <c r="AG347" t="str">
        <f t="shared" si="10"/>
        <v>Furnishings</v>
      </c>
      <c r="AH347" t="str">
        <f t="shared" si="10"/>
        <v>Elite Furnishings 138</v>
      </c>
      <c r="AI347" t="str">
        <f t="shared" si="10"/>
        <v>Second Class</v>
      </c>
      <c r="AJ347" s="3" t="str">
        <f t="shared" si="9"/>
        <v>anomaly</v>
      </c>
      <c r="AK347">
        <f>IFERROR(Y347-X347, "invalid date")</f>
        <v>8</v>
      </c>
      <c r="AL347" s="10">
        <v>0</v>
      </c>
      <c r="AM347" s="11">
        <v>5530.6</v>
      </c>
      <c r="AN347" s="11">
        <v>1077.4900000000007</v>
      </c>
      <c r="AO347" s="10">
        <v>0.19482334647235391</v>
      </c>
      <c r="AP347" t="s">
        <v>4491</v>
      </c>
      <c r="AQ347" t="s">
        <v>4492</v>
      </c>
      <c r="AR347" t="s">
        <v>4134</v>
      </c>
      <c r="AS347" t="s">
        <v>4107</v>
      </c>
      <c r="AT347" t="s">
        <v>4115</v>
      </c>
      <c r="AU347">
        <v>8</v>
      </c>
      <c r="AV347" t="s">
        <v>4109</v>
      </c>
    </row>
    <row r="348" spans="1:48">
      <c r="A348" t="s">
        <v>1754</v>
      </c>
      <c r="B348" t="s">
        <v>1667</v>
      </c>
      <c r="C348" t="s">
        <v>1755</v>
      </c>
      <c r="D348" t="s">
        <v>1756</v>
      </c>
      <c r="E348" t="s">
        <v>157</v>
      </c>
      <c r="F348" t="s">
        <v>117</v>
      </c>
      <c r="G348" t="s">
        <v>71</v>
      </c>
      <c r="H348" t="s">
        <v>252</v>
      </c>
      <c r="I348" t="s">
        <v>253</v>
      </c>
      <c r="J348" t="s">
        <v>54</v>
      </c>
      <c r="K348" t="s">
        <v>85</v>
      </c>
      <c r="L348" t="s">
        <v>1757</v>
      </c>
      <c r="M348" t="s">
        <v>42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43</v>
      </c>
      <c r="U348" t="s">
        <v>44</v>
      </c>
      <c r="W348" t="s">
        <v>1754</v>
      </c>
      <c r="X348" t="str">
        <v>22-07-25</v>
      </c>
      <c r="Y348" t="str">
        <v>28-07-25</v>
      </c>
      <c r="Z348" t="s">
        <v>1756</v>
      </c>
      <c r="AA348" t="str">
        <v>Rahul Verma</v>
      </c>
      <c r="AB348" t="str">
        <f>TRIM(PROPER(F:F))</f>
        <v>Corporate</v>
      </c>
      <c r="AC348" t="str">
        <f>TRIM(PROPER(G:G))</f>
        <v>South</v>
      </c>
      <c r="AD348" t="str">
        <f>TRIM(PROPER(H:H))</f>
        <v>Kerala</v>
      </c>
      <c r="AE348" t="str">
        <f>TRIM(PROPER(I:I))</f>
        <v>Kochi</v>
      </c>
      <c r="AF348" t="str">
        <f>TRIM(PROPER(J:J))</f>
        <v>Furniture</v>
      </c>
      <c r="AG348" t="str">
        <f t="shared" si="10"/>
        <v>Chairs</v>
      </c>
      <c r="AH348" t="str">
        <f t="shared" si="10"/>
        <v>Eco Chairs 369</v>
      </c>
      <c r="AI348" t="str">
        <f t="shared" si="10"/>
        <v>Second Class</v>
      </c>
      <c r="AJ348" s="3" t="str">
        <f t="shared" si="9"/>
        <v>anomaly</v>
      </c>
      <c r="AK348">
        <f>IFERROR(Y348-X348, "invalid date")</f>
        <v>6</v>
      </c>
      <c r="AL348" s="10">
        <v>0.2</v>
      </c>
      <c r="AM348" s="11">
        <v>7715.8080000000009</v>
      </c>
      <c r="AN348" s="11">
        <v>3457.3880000000008</v>
      </c>
      <c r="AO348" s="10">
        <v>0.4480915025360922</v>
      </c>
      <c r="AP348" t="s">
        <v>4366</v>
      </c>
      <c r="AQ348" t="s">
        <v>4493</v>
      </c>
      <c r="AR348" t="s">
        <v>4106</v>
      </c>
      <c r="AS348" t="s">
        <v>4120</v>
      </c>
      <c r="AT348" t="s">
        <v>4115</v>
      </c>
      <c r="AU348">
        <v>6</v>
      </c>
      <c r="AV348" t="s">
        <v>4109</v>
      </c>
    </row>
    <row r="349" spans="1:48">
      <c r="A349" t="s">
        <v>1758</v>
      </c>
      <c r="B349" t="s">
        <v>1759</v>
      </c>
      <c r="C349" t="s">
        <v>1473</v>
      </c>
      <c r="D349" t="s">
        <v>1760</v>
      </c>
      <c r="E349" t="s">
        <v>171</v>
      </c>
      <c r="F349" t="s">
        <v>50</v>
      </c>
      <c r="G349" t="s">
        <v>82</v>
      </c>
      <c r="H349" t="s">
        <v>259</v>
      </c>
      <c r="I349" t="s">
        <v>260</v>
      </c>
      <c r="J349" t="s">
        <v>54</v>
      </c>
      <c r="K349" t="s">
        <v>85</v>
      </c>
      <c r="L349" t="s">
        <v>1761</v>
      </c>
      <c r="M349" t="s">
        <v>42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133</v>
      </c>
      <c r="U349" t="s">
        <v>134</v>
      </c>
      <c r="W349" t="s">
        <v>1758</v>
      </c>
      <c r="X349" t="str">
        <v>01-12-24</v>
      </c>
      <c r="Y349" t="str">
        <v>12-08-24</v>
      </c>
      <c r="Z349" t="s">
        <v>1760</v>
      </c>
      <c r="AA349" t="str">
        <v>Aarav Sharma</v>
      </c>
      <c r="AB349" t="str">
        <f>TRIM(PROPER(F:F))</f>
        <v>Small Business</v>
      </c>
      <c r="AC349" t="str">
        <f>TRIM(PROPER(G:G))</f>
        <v>West</v>
      </c>
      <c r="AD349" t="str">
        <f>TRIM(PROPER(H:H))</f>
        <v>Goa</v>
      </c>
      <c r="AE349" t="str">
        <f>TRIM(PROPER(I:I))</f>
        <v>Panaji</v>
      </c>
      <c r="AF349" t="str">
        <f>TRIM(PROPER(J:J))</f>
        <v>Furniture</v>
      </c>
      <c r="AG349" t="str">
        <f t="shared" si="10"/>
        <v>Chairs</v>
      </c>
      <c r="AH349" t="str">
        <f t="shared" si="10"/>
        <v>Max Chairs 487</v>
      </c>
      <c r="AI349" t="str">
        <f t="shared" si="10"/>
        <v>Second Class</v>
      </c>
      <c r="AJ349" s="3" t="str">
        <f t="shared" si="9"/>
        <v>anomaly</v>
      </c>
      <c r="AK349">
        <f>IFERROR(Y349-X349, "invalid date")</f>
        <v>-111</v>
      </c>
      <c r="AL349" s="10">
        <v>0.2</v>
      </c>
      <c r="AM349" s="11">
        <v>11925.96</v>
      </c>
      <c r="AN349" s="11">
        <v>1822.4499999999989</v>
      </c>
      <c r="AO349" s="10">
        <v>0.15281369382422874</v>
      </c>
      <c r="AP349" t="s">
        <v>4407</v>
      </c>
      <c r="AQ349" t="s">
        <v>4195</v>
      </c>
      <c r="AR349" t="s">
        <v>4139</v>
      </c>
      <c r="AS349" t="s">
        <v>4107</v>
      </c>
      <c r="AT349" t="s">
        <v>4115</v>
      </c>
      <c r="AU349">
        <v>-111</v>
      </c>
      <c r="AV349" t="s">
        <v>4109</v>
      </c>
    </row>
    <row r="350" spans="1:48">
      <c r="A350" t="s">
        <v>1762</v>
      </c>
      <c r="B350" t="s">
        <v>1312</v>
      </c>
      <c r="C350" t="s">
        <v>1763</v>
      </c>
      <c r="D350" t="s">
        <v>1764</v>
      </c>
      <c r="E350" t="s">
        <v>171</v>
      </c>
      <c r="F350" t="s">
        <v>117</v>
      </c>
      <c r="G350" t="s">
        <v>71</v>
      </c>
      <c r="H350" t="s">
        <v>239</v>
      </c>
      <c r="I350" t="s">
        <v>240</v>
      </c>
      <c r="J350" t="s">
        <v>95</v>
      </c>
      <c r="K350" t="s">
        <v>233</v>
      </c>
      <c r="L350" t="s">
        <v>1765</v>
      </c>
      <c r="M350" t="s">
        <v>57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43</v>
      </c>
      <c r="U350" t="s">
        <v>44</v>
      </c>
      <c r="W350" t="s">
        <v>1762</v>
      </c>
      <c r="X350" t="str">
        <v>06-02-24</v>
      </c>
      <c r="Y350" t="str">
        <v>06-07-24</v>
      </c>
      <c r="Z350" t="s">
        <v>1764</v>
      </c>
      <c r="AA350" t="str">
        <v>Aarav Sharma</v>
      </c>
      <c r="AB350" t="str">
        <f>TRIM(PROPER(F:F))</f>
        <v>Corporate</v>
      </c>
      <c r="AC350" t="str">
        <f>TRIM(PROPER(G:G))</f>
        <v>South</v>
      </c>
      <c r="AD350" t="str">
        <f>TRIM(PROPER(H:H))</f>
        <v>Karnataka</v>
      </c>
      <c r="AE350" t="str">
        <f>TRIM(PROPER(I:I))</f>
        <v>Bengaluru</v>
      </c>
      <c r="AF350" t="str">
        <f>TRIM(PROPER(J:J))</f>
        <v>Technology</v>
      </c>
      <c r="AG350" t="str">
        <f t="shared" si="10"/>
        <v>Phones</v>
      </c>
      <c r="AH350" t="str">
        <f t="shared" si="10"/>
        <v>Classic Phones 989</v>
      </c>
      <c r="AI350" t="str">
        <f t="shared" si="10"/>
        <v>Same Day</v>
      </c>
      <c r="AJ350" s="3" t="str">
        <f t="shared" si="9"/>
        <v>anomaly</v>
      </c>
      <c r="AK350">
        <f>IFERROR(Y350-X350, "invalid date")</f>
        <v>151</v>
      </c>
      <c r="AL350" s="10">
        <v>0.25</v>
      </c>
      <c r="AM350" s="11">
        <v>19306.755000000005</v>
      </c>
      <c r="AN350" s="11">
        <v>4864.3750000000055</v>
      </c>
      <c r="AO350" s="10">
        <v>0.25195197225012717</v>
      </c>
      <c r="AP350" t="s">
        <v>4415</v>
      </c>
      <c r="AQ350" t="s">
        <v>4494</v>
      </c>
      <c r="AR350" t="s">
        <v>4129</v>
      </c>
      <c r="AS350" t="s">
        <v>4107</v>
      </c>
      <c r="AT350" t="s">
        <v>4115</v>
      </c>
      <c r="AU350">
        <v>151</v>
      </c>
      <c r="AV350" t="s">
        <v>4109</v>
      </c>
    </row>
    <row r="351" spans="1:48">
      <c r="A351" t="s">
        <v>1766</v>
      </c>
      <c r="B351" t="s">
        <v>1767</v>
      </c>
      <c r="C351" t="s">
        <v>757</v>
      </c>
      <c r="D351" t="s">
        <v>1768</v>
      </c>
      <c r="E351" t="s">
        <v>377</v>
      </c>
      <c r="F351" t="s">
        <v>124</v>
      </c>
      <c r="G351" t="s">
        <v>51</v>
      </c>
      <c r="H351" t="s">
        <v>322</v>
      </c>
      <c r="I351" t="s">
        <v>323</v>
      </c>
      <c r="J351" t="s">
        <v>54</v>
      </c>
      <c r="K351" t="s">
        <v>74</v>
      </c>
      <c r="L351" t="s">
        <v>1769</v>
      </c>
      <c r="M351" t="s">
        <v>42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43</v>
      </c>
      <c r="U351" t="s">
        <v>44</v>
      </c>
      <c r="W351" t="s">
        <v>1766</v>
      </c>
      <c r="X351" t="str">
        <v>27-09-25</v>
      </c>
      <c r="Y351" t="str">
        <v>invalid date</v>
      </c>
      <c r="Z351" t="s">
        <v>1768</v>
      </c>
      <c r="AA351" t="str">
        <v>Kabir Singh</v>
      </c>
      <c r="AB351" t="str">
        <f>TRIM(PROPER(F:F))</f>
        <v>Home Office</v>
      </c>
      <c r="AC351" t="str">
        <f>TRIM(PROPER(G:G))</f>
        <v>East</v>
      </c>
      <c r="AD351" t="str">
        <f>TRIM(PROPER(H:H))</f>
        <v>Jharkhand</v>
      </c>
      <c r="AE351" t="str">
        <f>TRIM(PROPER(I:I))</f>
        <v>Ranchi</v>
      </c>
      <c r="AF351" t="str">
        <f>TRIM(PROPER(J:J))</f>
        <v>Furniture</v>
      </c>
      <c r="AG351" t="str">
        <f t="shared" si="10"/>
        <v>Furnishings</v>
      </c>
      <c r="AH351" t="str">
        <f t="shared" si="10"/>
        <v>Max Furnishings 628</v>
      </c>
      <c r="AI351" t="str">
        <f t="shared" si="10"/>
        <v>Second Class</v>
      </c>
      <c r="AJ351" s="3" t="str">
        <f t="shared" si="9"/>
        <v>Invalid</v>
      </c>
      <c r="AK351" t="str">
        <f>IFERROR(Y351-X351, "invalid date")</f>
        <v>invalid date</v>
      </c>
      <c r="AL351" s="10">
        <v>0.25</v>
      </c>
      <c r="AM351" s="11">
        <v>19355.962500000001</v>
      </c>
      <c r="AN351" s="11">
        <v>4343.5125000000007</v>
      </c>
      <c r="AO351" s="10">
        <v>0.22440178317146461</v>
      </c>
      <c r="AP351" t="s">
        <v>4241</v>
      </c>
      <c r="AQ351" t="s">
        <v>4105</v>
      </c>
      <c r="AR351" t="s">
        <v>4134</v>
      </c>
      <c r="AS351" t="s">
        <v>4120</v>
      </c>
      <c r="AT351" t="s">
        <v>4108</v>
      </c>
      <c r="AU351" t="s">
        <v>4105</v>
      </c>
      <c r="AV351" t="s">
        <v>4109</v>
      </c>
    </row>
    <row r="352" spans="1:48">
      <c r="A352" t="s">
        <v>1770</v>
      </c>
      <c r="B352" t="s">
        <v>1771</v>
      </c>
      <c r="C352" t="s">
        <v>1772</v>
      </c>
      <c r="D352" t="s">
        <v>1773</v>
      </c>
      <c r="E352" t="s">
        <v>177</v>
      </c>
      <c r="F352" t="s">
        <v>50</v>
      </c>
      <c r="G352" t="s">
        <v>51</v>
      </c>
      <c r="H352" t="s">
        <v>322</v>
      </c>
      <c r="I352" t="s">
        <v>323</v>
      </c>
      <c r="J352" t="s">
        <v>54</v>
      </c>
      <c r="K352" t="s">
        <v>74</v>
      </c>
      <c r="L352" t="s">
        <v>1774</v>
      </c>
      <c r="M352" t="s">
        <v>42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133</v>
      </c>
      <c r="U352" t="s">
        <v>134</v>
      </c>
      <c r="W352" t="s">
        <v>1770</v>
      </c>
      <c r="X352" t="str">
        <v>07-01-24</v>
      </c>
      <c r="Y352" t="str">
        <v>14-01-24</v>
      </c>
      <c r="Z352" t="s">
        <v>1773</v>
      </c>
      <c r="AA352" t="str">
        <v>Sneha Kapoor</v>
      </c>
      <c r="AB352" t="str">
        <f>TRIM(PROPER(F:F))</f>
        <v>Small Business</v>
      </c>
      <c r="AC352" t="str">
        <f>TRIM(PROPER(G:G))</f>
        <v>East</v>
      </c>
      <c r="AD352" t="str">
        <f>TRIM(PROPER(H:H))</f>
        <v>Jharkhand</v>
      </c>
      <c r="AE352" t="str">
        <f>TRIM(PROPER(I:I))</f>
        <v>Ranchi</v>
      </c>
      <c r="AF352" t="str">
        <f>TRIM(PROPER(J:J))</f>
        <v>Furniture</v>
      </c>
      <c r="AG352" t="str">
        <f t="shared" si="10"/>
        <v>Furnishings</v>
      </c>
      <c r="AH352" t="str">
        <f t="shared" si="10"/>
        <v>Elite Furnishings 279</v>
      </c>
      <c r="AI352" t="str">
        <f t="shared" si="10"/>
        <v>Second Class</v>
      </c>
      <c r="AJ352" s="3" t="str">
        <f t="shared" si="9"/>
        <v>anomaly</v>
      </c>
      <c r="AK352">
        <f>IFERROR(Y352-X352, "invalid date")</f>
        <v>7</v>
      </c>
      <c r="AL352" s="10">
        <v>0.1</v>
      </c>
      <c r="AM352" s="11">
        <v>11914.344000000001</v>
      </c>
      <c r="AN352" s="11">
        <v>2143.1040000000012</v>
      </c>
      <c r="AO352" s="10">
        <v>0.17987595456367561</v>
      </c>
      <c r="AP352" t="s">
        <v>4495</v>
      </c>
      <c r="AQ352" t="s">
        <v>4285</v>
      </c>
      <c r="AR352" t="s">
        <v>4153</v>
      </c>
      <c r="AS352" t="s">
        <v>4107</v>
      </c>
      <c r="AT352" t="s">
        <v>4115</v>
      </c>
      <c r="AU352">
        <v>7</v>
      </c>
      <c r="AV352" t="s">
        <v>4109</v>
      </c>
    </row>
    <row r="353" spans="1:48">
      <c r="A353" t="s">
        <v>1775</v>
      </c>
      <c r="B353" t="s">
        <v>1776</v>
      </c>
      <c r="C353" t="s">
        <v>1691</v>
      </c>
      <c r="D353" t="s">
        <v>1777</v>
      </c>
      <c r="E353" t="s">
        <v>92</v>
      </c>
      <c r="F353" t="s">
        <v>50</v>
      </c>
      <c r="G353" t="s">
        <v>71</v>
      </c>
      <c r="H353" t="s">
        <v>72</v>
      </c>
      <c r="I353" t="s">
        <v>73</v>
      </c>
      <c r="J353" t="s">
        <v>39</v>
      </c>
      <c r="K353" t="s">
        <v>165</v>
      </c>
      <c r="L353" t="s">
        <v>1778</v>
      </c>
      <c r="M353" t="s">
        <v>65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146</v>
      </c>
      <c r="U353" t="s">
        <v>87</v>
      </c>
      <c r="W353" t="s">
        <v>1775</v>
      </c>
      <c r="X353" t="str">
        <v>23-05-25</v>
      </c>
      <c r="Y353" t="str">
        <v>27-05-25</v>
      </c>
      <c r="Z353" t="s">
        <v>1777</v>
      </c>
      <c r="AA353" t="str">
        <v>Vikram Iyer</v>
      </c>
      <c r="AB353" t="str">
        <f>TRIM(PROPER(F:F))</f>
        <v>Small Business</v>
      </c>
      <c r="AC353" t="str">
        <f>TRIM(PROPER(G:G))</f>
        <v>South</v>
      </c>
      <c r="AD353" t="str">
        <f>TRIM(PROPER(H:H))</f>
        <v>Telangana</v>
      </c>
      <c r="AE353" t="str">
        <f>TRIM(PROPER(I:I))</f>
        <v>Hyderabad</v>
      </c>
      <c r="AF353" t="str">
        <f>TRIM(PROPER(J:J))</f>
        <v>Office Supplies</v>
      </c>
      <c r="AG353" t="str">
        <f t="shared" si="10"/>
        <v>Storage</v>
      </c>
      <c r="AH353" t="str">
        <f t="shared" si="10"/>
        <v>Pro Storage 847</v>
      </c>
      <c r="AI353" t="str">
        <f t="shared" si="10"/>
        <v>First Class</v>
      </c>
      <c r="AJ353" s="3" t="str">
        <f t="shared" si="9"/>
        <v>anomaly</v>
      </c>
      <c r="AK353">
        <f>IFERROR(Y353-X353, "invalid date")</f>
        <v>4</v>
      </c>
      <c r="AL353" s="10">
        <v>0.25</v>
      </c>
      <c r="AM353" s="11">
        <v>3237.4800000000005</v>
      </c>
      <c r="AN353" s="11">
        <v>1119.1400000000003</v>
      </c>
      <c r="AO353" s="10">
        <v>0.34568244437031276</v>
      </c>
      <c r="AP353" t="s">
        <v>4496</v>
      </c>
      <c r="AQ353" t="s">
        <v>4481</v>
      </c>
      <c r="AR353" t="s">
        <v>4124</v>
      </c>
      <c r="AS353" t="s">
        <v>4120</v>
      </c>
      <c r="AT353" t="s">
        <v>4115</v>
      </c>
      <c r="AU353">
        <v>4</v>
      </c>
      <c r="AV353" t="s">
        <v>4109</v>
      </c>
    </row>
    <row r="354" spans="1:48">
      <c r="A354" t="s">
        <v>1779</v>
      </c>
      <c r="B354" t="s">
        <v>1780</v>
      </c>
      <c r="C354" t="s">
        <v>1402</v>
      </c>
      <c r="D354" t="s">
        <v>1781</v>
      </c>
      <c r="E354" t="s">
        <v>220</v>
      </c>
      <c r="F354" t="s">
        <v>50</v>
      </c>
      <c r="G354" t="s">
        <v>51</v>
      </c>
      <c r="H354" t="s">
        <v>226</v>
      </c>
      <c r="I354" t="s">
        <v>227</v>
      </c>
      <c r="J354" t="s">
        <v>95</v>
      </c>
      <c r="K354" t="s">
        <v>103</v>
      </c>
      <c r="L354" t="s">
        <v>1782</v>
      </c>
      <c r="M354" t="s">
        <v>65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43</v>
      </c>
      <c r="U354" t="s">
        <v>44</v>
      </c>
      <c r="W354" t="s">
        <v>1779</v>
      </c>
      <c r="X354" t="str">
        <v>15-08-25</v>
      </c>
      <c r="Y354" t="str">
        <v>invalid date</v>
      </c>
      <c r="Z354" t="s">
        <v>1781</v>
      </c>
      <c r="AA354" t="str">
        <v>Diya Patel</v>
      </c>
      <c r="AB354" t="str">
        <f>TRIM(PROPER(F:F))</f>
        <v>Small Business</v>
      </c>
      <c r="AC354" t="str">
        <f>TRIM(PROPER(G:G))</f>
        <v>East</v>
      </c>
      <c r="AD354" t="str">
        <f>TRIM(PROPER(H:H))</f>
        <v>Assam</v>
      </c>
      <c r="AE354" t="str">
        <f>TRIM(PROPER(I:I))</f>
        <v>Guwahati</v>
      </c>
      <c r="AF354" t="str">
        <f>TRIM(PROPER(J:J))</f>
        <v>Technology</v>
      </c>
      <c r="AG354" t="str">
        <f t="shared" si="10"/>
        <v>Copiers</v>
      </c>
      <c r="AH354" t="str">
        <f t="shared" si="10"/>
        <v>Elite Copiers 706</v>
      </c>
      <c r="AI354" t="str">
        <f t="shared" si="10"/>
        <v>First Class</v>
      </c>
      <c r="AJ354" s="3" t="str">
        <f t="shared" si="9"/>
        <v>Invalid</v>
      </c>
      <c r="AK354" t="str">
        <f>IFERROR(Y354-X354, "invalid date")</f>
        <v>invalid date</v>
      </c>
      <c r="AL354" s="10">
        <v>0.25</v>
      </c>
      <c r="AM354" s="11">
        <v>10734.75</v>
      </c>
      <c r="AN354" s="11">
        <v>4259.0200000000004</v>
      </c>
      <c r="AO354" s="10">
        <v>0.39675073942103917</v>
      </c>
      <c r="AP354" t="s">
        <v>4446</v>
      </c>
      <c r="AQ354" t="s">
        <v>4105</v>
      </c>
      <c r="AR354" t="s">
        <v>4114</v>
      </c>
      <c r="AS354" t="s">
        <v>4120</v>
      </c>
      <c r="AT354" t="s">
        <v>4108</v>
      </c>
      <c r="AU354" t="s">
        <v>4105</v>
      </c>
      <c r="AV354" t="s">
        <v>4109</v>
      </c>
    </row>
    <row r="355" spans="1:48">
      <c r="A355" t="s">
        <v>1783</v>
      </c>
      <c r="B355" t="s">
        <v>1784</v>
      </c>
      <c r="C355" t="s">
        <v>1173</v>
      </c>
      <c r="D355" t="s">
        <v>1785</v>
      </c>
      <c r="E355" t="s">
        <v>81</v>
      </c>
      <c r="F355" t="s">
        <v>35</v>
      </c>
      <c r="G355" t="s">
        <v>36</v>
      </c>
      <c r="H355" t="s">
        <v>37</v>
      </c>
      <c r="I355" t="s">
        <v>38</v>
      </c>
      <c r="J355" t="s">
        <v>39</v>
      </c>
      <c r="K355" t="s">
        <v>63</v>
      </c>
      <c r="L355" t="s">
        <v>1786</v>
      </c>
      <c r="M355" t="s">
        <v>57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43</v>
      </c>
      <c r="U355" t="s">
        <v>44</v>
      </c>
      <c r="W355" t="s">
        <v>1783</v>
      </c>
      <c r="X355" t="str">
        <v>21-02-25</v>
      </c>
      <c r="Y355" t="str">
        <v>27-02-25</v>
      </c>
      <c r="Z355" t="s">
        <v>1785</v>
      </c>
      <c r="AA355" t="str">
        <v>Ananya Rao</v>
      </c>
      <c r="AB355" t="str">
        <f>TRIM(PROPER(F:F))</f>
        <v>Consumer</v>
      </c>
      <c r="AC355" t="str">
        <f>TRIM(PROPER(G:G))</f>
        <v>North</v>
      </c>
      <c r="AD355" t="str">
        <f>TRIM(PROPER(H:H))</f>
        <v>Rajasthan</v>
      </c>
      <c r="AE355" t="str">
        <f>TRIM(PROPER(I:I))</f>
        <v>Jaipur</v>
      </c>
      <c r="AF355" t="str">
        <f>TRIM(PROPER(J:J))</f>
        <v>Office Supplies</v>
      </c>
      <c r="AG355" t="str">
        <f t="shared" si="10"/>
        <v>Art</v>
      </c>
      <c r="AH355" t="str">
        <f t="shared" si="10"/>
        <v>Prime Art 978</v>
      </c>
      <c r="AI355" t="str">
        <f t="shared" si="10"/>
        <v>Same Day</v>
      </c>
      <c r="AJ355" s="3" t="str">
        <f t="shared" si="9"/>
        <v>anomaly</v>
      </c>
      <c r="AK355">
        <f>IFERROR(Y355-X355, "invalid date")</f>
        <v>6</v>
      </c>
      <c r="AL355" s="10">
        <v>0.2</v>
      </c>
      <c r="AM355" s="11">
        <v>10308.024000000001</v>
      </c>
      <c r="AN355" s="11">
        <v>4485.7140000000009</v>
      </c>
      <c r="AO355" s="10">
        <v>0.4351672056642476</v>
      </c>
      <c r="AP355" t="s">
        <v>4497</v>
      </c>
      <c r="AQ355" t="s">
        <v>4388</v>
      </c>
      <c r="AR355" t="s">
        <v>4129</v>
      </c>
      <c r="AS355" t="s">
        <v>4120</v>
      </c>
      <c r="AT355" t="s">
        <v>4115</v>
      </c>
      <c r="AU355">
        <v>6</v>
      </c>
      <c r="AV355" t="s">
        <v>4109</v>
      </c>
    </row>
    <row r="356" spans="1:48">
      <c r="A356" t="s">
        <v>1787</v>
      </c>
      <c r="B356" t="s">
        <v>154</v>
      </c>
      <c r="C356" t="s">
        <v>1788</v>
      </c>
      <c r="D356" t="s">
        <v>1789</v>
      </c>
      <c r="E356" t="s">
        <v>377</v>
      </c>
      <c r="F356" t="s">
        <v>1790</v>
      </c>
      <c r="G356" t="s">
        <v>36</v>
      </c>
      <c r="H356" t="s">
        <v>163</v>
      </c>
      <c r="I356" t="s">
        <v>164</v>
      </c>
      <c r="J356" t="s">
        <v>54</v>
      </c>
      <c r="K356" t="s">
        <v>74</v>
      </c>
      <c r="L356" t="s">
        <v>1791</v>
      </c>
      <c r="M356" t="s">
        <v>76</v>
      </c>
      <c r="N356">
        <v>6</v>
      </c>
      <c r="O356">
        <v>3346.78</v>
      </c>
      <c r="P356" s="4" t="s">
        <v>191</v>
      </c>
      <c r="Q356">
        <v>20080.68</v>
      </c>
      <c r="R356">
        <v>12908.84</v>
      </c>
      <c r="S356">
        <v>7171.84</v>
      </c>
      <c r="T356" t="s">
        <v>146</v>
      </c>
      <c r="U356" t="s">
        <v>87</v>
      </c>
      <c r="W356" t="s">
        <v>1787</v>
      </c>
      <c r="X356" t="str">
        <v>27-12-24</v>
      </c>
      <c r="Y356" t="str">
        <v>31-12-24</v>
      </c>
      <c r="Z356" t="s">
        <v>1789</v>
      </c>
      <c r="AA356" t="str">
        <v>Kabir Singh</v>
      </c>
      <c r="AB356" t="str">
        <f>TRIM(PROPER(F:F))</f>
        <v>Corporate</v>
      </c>
      <c r="AC356" t="str">
        <f>TRIM(PROPER(G:G))</f>
        <v>North</v>
      </c>
      <c r="AD356" t="str">
        <f>TRIM(PROPER(H:H))</f>
        <v>Punjab</v>
      </c>
      <c r="AE356" t="str">
        <f>TRIM(PROPER(I:I))</f>
        <v>Ludhiana</v>
      </c>
      <c r="AF356" t="str">
        <f>TRIM(PROPER(J:J))</f>
        <v>Furniture</v>
      </c>
      <c r="AG356" t="str">
        <f t="shared" si="10"/>
        <v>Furnishings</v>
      </c>
      <c r="AH356" t="str">
        <f t="shared" si="10"/>
        <v>Classic Furnishings 498</v>
      </c>
      <c r="AI356" t="str">
        <f t="shared" si="10"/>
        <v>Standard Class</v>
      </c>
      <c r="AJ356" s="3" t="str">
        <f t="shared" si="9"/>
        <v>anomaly</v>
      </c>
      <c r="AK356">
        <f>IFERROR(Y356-X356, "invalid date")</f>
        <v>4</v>
      </c>
      <c r="AL356" s="10" t="s">
        <v>191</v>
      </c>
      <c r="AM356" s="11" t="s">
        <v>4111</v>
      </c>
      <c r="AN356" s="11" t="s">
        <v>4111</v>
      </c>
      <c r="AO356" s="10" t="s">
        <v>4111</v>
      </c>
      <c r="AP356" t="s">
        <v>4142</v>
      </c>
      <c r="AQ356" t="s">
        <v>4498</v>
      </c>
      <c r="AR356" t="s">
        <v>4139</v>
      </c>
      <c r="AS356" t="s">
        <v>4107</v>
      </c>
      <c r="AT356" t="s">
        <v>4115</v>
      </c>
      <c r="AU356">
        <v>4</v>
      </c>
      <c r="AV356" t="s">
        <v>4109</v>
      </c>
    </row>
    <row r="357" spans="1:48">
      <c r="A357" t="s">
        <v>1792</v>
      </c>
      <c r="B357" t="s">
        <v>1793</v>
      </c>
      <c r="C357" t="s">
        <v>1794</v>
      </c>
      <c r="D357" t="s">
        <v>1795</v>
      </c>
      <c r="E357" t="s">
        <v>151</v>
      </c>
      <c r="F357" t="s">
        <v>117</v>
      </c>
      <c r="G357" t="s">
        <v>82</v>
      </c>
      <c r="H357" t="s">
        <v>37</v>
      </c>
      <c r="I357" t="s">
        <v>144</v>
      </c>
      <c r="J357" t="s">
        <v>54</v>
      </c>
      <c r="K357" t="s">
        <v>55</v>
      </c>
      <c r="L357" t="s">
        <v>1796</v>
      </c>
      <c r="M357" t="s">
        <v>76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146</v>
      </c>
      <c r="U357" t="s">
        <v>87</v>
      </c>
      <c r="W357" t="s">
        <v>1792</v>
      </c>
      <c r="X357" t="str">
        <v>12-05-24</v>
      </c>
      <c r="Y357" t="str">
        <v>09-05-24</v>
      </c>
      <c r="Z357" t="s">
        <v>1795</v>
      </c>
      <c r="AA357" t="str">
        <v>Priya Menon</v>
      </c>
      <c r="AB357" t="str">
        <f>TRIM(PROPER(F:F))</f>
        <v>Corporate</v>
      </c>
      <c r="AC357" t="str">
        <f>TRIM(PROPER(G:G))</f>
        <v>West</v>
      </c>
      <c r="AD357" t="str">
        <f>TRIM(PROPER(H:H))</f>
        <v>Rajasthan</v>
      </c>
      <c r="AE357" t="str">
        <f>TRIM(PROPER(I:I))</f>
        <v>Udaipur</v>
      </c>
      <c r="AF357" t="str">
        <f>TRIM(PROPER(J:J))</f>
        <v>Furniture</v>
      </c>
      <c r="AG357" t="str">
        <f t="shared" si="10"/>
        <v>Tables</v>
      </c>
      <c r="AH357" t="str">
        <f t="shared" si="10"/>
        <v>Max Tables 829</v>
      </c>
      <c r="AI357" t="str">
        <f t="shared" si="10"/>
        <v>Standard Class</v>
      </c>
      <c r="AJ357" s="3" t="str">
        <f t="shared" si="9"/>
        <v xml:space="preserve">  </v>
      </c>
      <c r="AK357">
        <f>IFERROR(Y357-X357, "invalid date")</f>
        <v>-3</v>
      </c>
      <c r="AL357" s="10">
        <v>0</v>
      </c>
      <c r="AM357" s="11">
        <v>16017.4</v>
      </c>
      <c r="AN357" s="11">
        <v>6459.6</v>
      </c>
      <c r="AO357" s="10">
        <v>0.40328642601171227</v>
      </c>
      <c r="AP357" t="s">
        <v>4499</v>
      </c>
      <c r="AQ357" t="s">
        <v>4413</v>
      </c>
      <c r="AR357" t="s">
        <v>4124</v>
      </c>
      <c r="AS357" t="s">
        <v>4107</v>
      </c>
      <c r="AT357" t="s">
        <v>4121</v>
      </c>
      <c r="AU357">
        <v>-3</v>
      </c>
      <c r="AV357" t="s">
        <v>4109</v>
      </c>
    </row>
    <row r="358" spans="1:48">
      <c r="A358" t="s">
        <v>1797</v>
      </c>
      <c r="B358" t="s">
        <v>1798</v>
      </c>
      <c r="C358" t="s">
        <v>1799</v>
      </c>
      <c r="D358" t="s">
        <v>1800</v>
      </c>
      <c r="E358" t="s">
        <v>189</v>
      </c>
      <c r="F358" t="s">
        <v>124</v>
      </c>
      <c r="G358" t="s">
        <v>71</v>
      </c>
      <c r="H358" t="s">
        <v>72</v>
      </c>
      <c r="I358" t="s">
        <v>73</v>
      </c>
      <c r="J358" t="s">
        <v>54</v>
      </c>
      <c r="K358" t="s">
        <v>85</v>
      </c>
      <c r="L358" t="s">
        <v>1801</v>
      </c>
      <c r="M358" t="s">
        <v>65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146</v>
      </c>
      <c r="U358" t="s">
        <v>134</v>
      </c>
      <c r="W358" t="s">
        <v>1797</v>
      </c>
      <c r="X358" t="str">
        <v>27-06-25</v>
      </c>
      <c r="Y358" t="str">
        <v>29-06-25</v>
      </c>
      <c r="Z358" t="s">
        <v>1800</v>
      </c>
      <c r="AA358" t="str">
        <v>Rohan Mehta</v>
      </c>
      <c r="AB358" t="str">
        <f>TRIM(PROPER(F:F))</f>
        <v>Home Office</v>
      </c>
      <c r="AC358" t="str">
        <f>TRIM(PROPER(G:G))</f>
        <v>South</v>
      </c>
      <c r="AD358" t="str">
        <f>TRIM(PROPER(H:H))</f>
        <v>Telangana</v>
      </c>
      <c r="AE358" t="str">
        <f>TRIM(PROPER(I:I))</f>
        <v>Hyderabad</v>
      </c>
      <c r="AF358" t="str">
        <f>TRIM(PROPER(J:J))</f>
        <v>Furniture</v>
      </c>
      <c r="AG358" t="str">
        <f t="shared" si="10"/>
        <v>Chairs</v>
      </c>
      <c r="AH358" t="str">
        <f t="shared" si="10"/>
        <v>Eco Chairs 346</v>
      </c>
      <c r="AI358" t="str">
        <f t="shared" si="10"/>
        <v>First Class</v>
      </c>
      <c r="AJ358" s="3" t="str">
        <f t="shared" si="9"/>
        <v>anomaly</v>
      </c>
      <c r="AK358">
        <f>IFERROR(Y358-X358, "invalid date")</f>
        <v>2</v>
      </c>
      <c r="AL358" s="10">
        <v>0.2</v>
      </c>
      <c r="AM358" s="11">
        <v>2486.8000000000002</v>
      </c>
      <c r="AN358" s="11">
        <v>355.07000000000016</v>
      </c>
      <c r="AO358" s="10">
        <v>0.1427818883705968</v>
      </c>
      <c r="AP358" t="s">
        <v>4353</v>
      </c>
      <c r="AQ358" t="s">
        <v>4500</v>
      </c>
      <c r="AR358" t="s">
        <v>4170</v>
      </c>
      <c r="AS358" t="s">
        <v>4120</v>
      </c>
      <c r="AT358" t="s">
        <v>4115</v>
      </c>
      <c r="AU358">
        <v>2</v>
      </c>
      <c r="AV358" t="s">
        <v>4109</v>
      </c>
    </row>
    <row r="359" spans="1:48">
      <c r="A359" t="s">
        <v>1802</v>
      </c>
      <c r="B359" t="s">
        <v>206</v>
      </c>
      <c r="C359" t="s">
        <v>1803</v>
      </c>
      <c r="D359" t="s">
        <v>1804</v>
      </c>
      <c r="E359" t="s">
        <v>49</v>
      </c>
      <c r="F359" t="s">
        <v>124</v>
      </c>
      <c r="G359" t="s">
        <v>71</v>
      </c>
      <c r="H359" t="s">
        <v>109</v>
      </c>
      <c r="I359" t="s">
        <v>110</v>
      </c>
      <c r="J359" t="s">
        <v>95</v>
      </c>
      <c r="K359" t="s">
        <v>393</v>
      </c>
      <c r="L359" t="s">
        <v>1805</v>
      </c>
      <c r="M359" t="s">
        <v>42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43</v>
      </c>
      <c r="U359" t="s">
        <v>87</v>
      </c>
      <c r="W359" t="s">
        <v>1802</v>
      </c>
      <c r="X359" t="str">
        <v>21-01-25</v>
      </c>
      <c r="Y359" t="str">
        <v>invalid date</v>
      </c>
      <c r="Z359" t="s">
        <v>1804</v>
      </c>
      <c r="AA359" t="str">
        <v>Mira Das</v>
      </c>
      <c r="AB359" t="str">
        <f>TRIM(PROPER(F:F))</f>
        <v>Home Office</v>
      </c>
      <c r="AC359" t="str">
        <f>TRIM(PROPER(G:G))</f>
        <v>South</v>
      </c>
      <c r="AD359" t="str">
        <f>TRIM(PROPER(H:H))</f>
        <v>Andhra Pradesh</v>
      </c>
      <c r="AE359" t="str">
        <f>TRIM(PROPER(I:I))</f>
        <v>Vijayawada</v>
      </c>
      <c r="AF359" t="str">
        <f>TRIM(PROPER(J:J))</f>
        <v>Technology</v>
      </c>
      <c r="AG359" t="str">
        <f t="shared" si="10"/>
        <v>Machines</v>
      </c>
      <c r="AH359" t="str">
        <f t="shared" si="10"/>
        <v>Max Machines 770</v>
      </c>
      <c r="AI359" t="str">
        <f t="shared" si="10"/>
        <v>Second Class</v>
      </c>
      <c r="AJ359" s="3" t="str">
        <f t="shared" si="9"/>
        <v>Invalid</v>
      </c>
      <c r="AK359" t="str">
        <f>IFERROR(Y359-X359, "invalid date")</f>
        <v>invalid date</v>
      </c>
      <c r="AL359" s="10">
        <v>0</v>
      </c>
      <c r="AM359" s="11">
        <v>4369.04</v>
      </c>
      <c r="AN359" s="11">
        <v>652.15999999999985</v>
      </c>
      <c r="AO359" s="10">
        <v>0.14926848918755603</v>
      </c>
      <c r="AP359" t="s">
        <v>4151</v>
      </c>
      <c r="AQ359" t="s">
        <v>4105</v>
      </c>
      <c r="AR359" t="s">
        <v>4153</v>
      </c>
      <c r="AS359" t="s">
        <v>4120</v>
      </c>
      <c r="AT359" t="s">
        <v>4108</v>
      </c>
      <c r="AU359" t="s">
        <v>4105</v>
      </c>
      <c r="AV359" t="s">
        <v>4109</v>
      </c>
    </row>
    <row r="360" spans="1:48">
      <c r="A360" t="s">
        <v>1806</v>
      </c>
      <c r="B360" t="s">
        <v>1807</v>
      </c>
      <c r="C360" t="s">
        <v>1808</v>
      </c>
      <c r="D360" t="s">
        <v>1809</v>
      </c>
      <c r="E360" t="s">
        <v>92</v>
      </c>
      <c r="F360" t="s">
        <v>124</v>
      </c>
      <c r="G360" t="s">
        <v>82</v>
      </c>
      <c r="H360" t="s">
        <v>245</v>
      </c>
      <c r="I360" t="s">
        <v>246</v>
      </c>
      <c r="J360" t="s">
        <v>54</v>
      </c>
      <c r="K360" t="s">
        <v>214</v>
      </c>
      <c r="L360" t="s">
        <v>1810</v>
      </c>
      <c r="M360" t="s">
        <v>42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146</v>
      </c>
      <c r="U360" t="s">
        <v>134</v>
      </c>
      <c r="W360" t="s">
        <v>1806</v>
      </c>
      <c r="X360" t="str">
        <v>08-09-25</v>
      </c>
      <c r="Y360" t="str">
        <v>07-08-25</v>
      </c>
      <c r="Z360" t="s">
        <v>1809</v>
      </c>
      <c r="AA360" t="str">
        <v>Vikram Iyer</v>
      </c>
      <c r="AB360" t="str">
        <f>TRIM(PROPER(F:F))</f>
        <v>Home Office</v>
      </c>
      <c r="AC360" t="str">
        <f>TRIM(PROPER(G:G))</f>
        <v>West</v>
      </c>
      <c r="AD360" t="str">
        <f>TRIM(PROPER(H:H))</f>
        <v>Gujarat</v>
      </c>
      <c r="AE360" t="str">
        <f>TRIM(PROPER(I:I))</f>
        <v>Ahmedabad</v>
      </c>
      <c r="AF360" t="str">
        <f>TRIM(PROPER(J:J))</f>
        <v>Furniture</v>
      </c>
      <c r="AG360" t="str">
        <f t="shared" si="10"/>
        <v>Bookcases</v>
      </c>
      <c r="AH360" t="str">
        <f t="shared" si="10"/>
        <v>Smart Bookcases 134</v>
      </c>
      <c r="AI360" t="str">
        <f t="shared" si="10"/>
        <v>Second Class</v>
      </c>
      <c r="AJ360" s="3" t="str">
        <f t="shared" si="9"/>
        <v xml:space="preserve">  </v>
      </c>
      <c r="AK360">
        <f>IFERROR(Y360-X360, "invalid date")</f>
        <v>-32</v>
      </c>
      <c r="AL360" s="10">
        <v>0.05</v>
      </c>
      <c r="AM360" s="11">
        <v>5956.12</v>
      </c>
      <c r="AN360" s="11">
        <v>1576.9399999999996</v>
      </c>
      <c r="AO360" s="10">
        <v>0.26475960860425907</v>
      </c>
      <c r="AP360" t="s">
        <v>4488</v>
      </c>
      <c r="AQ360" t="s">
        <v>4238</v>
      </c>
      <c r="AR360" t="s">
        <v>4134</v>
      </c>
      <c r="AS360" t="s">
        <v>4120</v>
      </c>
      <c r="AT360" t="s">
        <v>4121</v>
      </c>
      <c r="AU360">
        <v>-32</v>
      </c>
      <c r="AV360" t="s">
        <v>4109</v>
      </c>
    </row>
    <row r="361" spans="1:48">
      <c r="A361" t="s">
        <v>1811</v>
      </c>
      <c r="B361" t="s">
        <v>1635</v>
      </c>
      <c r="C361" t="s">
        <v>1812</v>
      </c>
      <c r="D361" t="s">
        <v>1813</v>
      </c>
      <c r="E361" t="s">
        <v>62</v>
      </c>
      <c r="F361" t="s">
        <v>35</v>
      </c>
      <c r="G361" t="s">
        <v>71</v>
      </c>
      <c r="H361" t="s">
        <v>350</v>
      </c>
      <c r="I361" t="s">
        <v>351</v>
      </c>
      <c r="J361" t="s">
        <v>95</v>
      </c>
      <c r="K361" t="s">
        <v>233</v>
      </c>
      <c r="L361" t="s">
        <v>1814</v>
      </c>
      <c r="M361" t="s">
        <v>57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43</v>
      </c>
      <c r="U361" t="s">
        <v>44</v>
      </c>
      <c r="W361" t="s">
        <v>1811</v>
      </c>
      <c r="X361" t="str">
        <v>21-08-24</v>
      </c>
      <c r="Y361" t="str">
        <v>22-08-24</v>
      </c>
      <c r="Z361" t="s">
        <v>1813</v>
      </c>
      <c r="AA361" t="str">
        <v>Isha Nair</v>
      </c>
      <c r="AB361" t="str">
        <f>TRIM(PROPER(F:F))</f>
        <v>Consumer</v>
      </c>
      <c r="AC361" t="str">
        <f>TRIM(PROPER(G:G))</f>
        <v>South</v>
      </c>
      <c r="AD361" t="str">
        <f>TRIM(PROPER(H:H))</f>
        <v>Tamil Nadu</v>
      </c>
      <c r="AE361" t="str">
        <f>TRIM(PROPER(I:I))</f>
        <v>Chennai</v>
      </c>
      <c r="AF361" t="str">
        <f>TRIM(PROPER(J:J))</f>
        <v>Technology</v>
      </c>
      <c r="AG361" t="str">
        <f t="shared" si="10"/>
        <v>Phones</v>
      </c>
      <c r="AH361" t="str">
        <f t="shared" si="10"/>
        <v>Classic Phones 586</v>
      </c>
      <c r="AI361" t="str">
        <f t="shared" si="10"/>
        <v>Same Day</v>
      </c>
      <c r="AJ361" s="3" t="str">
        <f t="shared" si="9"/>
        <v>anomaly</v>
      </c>
      <c r="AK361">
        <f>IFERROR(Y361-X361, "invalid date")</f>
        <v>1</v>
      </c>
      <c r="AL361" s="10">
        <v>0.1</v>
      </c>
      <c r="AM361" s="11">
        <v>4997.3760000000002</v>
      </c>
      <c r="AN361" s="11">
        <v>2025.9860000000003</v>
      </c>
      <c r="AO361" s="10">
        <v>0.40540995914656014</v>
      </c>
      <c r="AP361" t="s">
        <v>4469</v>
      </c>
      <c r="AQ361" t="s">
        <v>4501</v>
      </c>
      <c r="AR361" t="s">
        <v>4114</v>
      </c>
      <c r="AS361" t="s">
        <v>4107</v>
      </c>
      <c r="AT361" t="s">
        <v>4115</v>
      </c>
      <c r="AU361">
        <v>1</v>
      </c>
      <c r="AV361" t="s">
        <v>4109</v>
      </c>
    </row>
    <row r="362" spans="1:48">
      <c r="A362" t="s">
        <v>1815</v>
      </c>
      <c r="B362" t="s">
        <v>1816</v>
      </c>
      <c r="C362" t="s">
        <v>1817</v>
      </c>
      <c r="D362" t="s">
        <v>1818</v>
      </c>
      <c r="E362" t="s">
        <v>177</v>
      </c>
      <c r="F362" t="s">
        <v>50</v>
      </c>
      <c r="G362" t="s">
        <v>82</v>
      </c>
      <c r="H362" t="s">
        <v>245</v>
      </c>
      <c r="I362" t="s">
        <v>246</v>
      </c>
      <c r="J362" t="s">
        <v>54</v>
      </c>
      <c r="K362" t="s">
        <v>74</v>
      </c>
      <c r="L362" t="s">
        <v>1819</v>
      </c>
      <c r="M362" t="s">
        <v>76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133</v>
      </c>
      <c r="U362" t="s">
        <v>87</v>
      </c>
      <c r="W362" t="s">
        <v>1815</v>
      </c>
      <c r="X362" t="str">
        <v>17-06-24</v>
      </c>
      <c r="Y362" t="str">
        <v>20-06-24</v>
      </c>
      <c r="Z362" t="s">
        <v>1818</v>
      </c>
      <c r="AA362" t="str">
        <v>Sneha Kapoor</v>
      </c>
      <c r="AB362" t="str">
        <f>TRIM(PROPER(F:F))</f>
        <v>Small Business</v>
      </c>
      <c r="AC362" t="str">
        <f>TRIM(PROPER(G:G))</f>
        <v>West</v>
      </c>
      <c r="AD362" t="str">
        <f>TRIM(PROPER(H:H))</f>
        <v>Gujarat</v>
      </c>
      <c r="AE362" t="str">
        <f>TRIM(PROPER(I:I))</f>
        <v>Ahmedabad</v>
      </c>
      <c r="AF362" t="str">
        <f>TRIM(PROPER(J:J))</f>
        <v>Furniture</v>
      </c>
      <c r="AG362" t="str">
        <f t="shared" si="10"/>
        <v>Furnishings</v>
      </c>
      <c r="AH362" t="str">
        <f t="shared" si="10"/>
        <v>Elite Furnishings 634</v>
      </c>
      <c r="AI362" t="str">
        <f t="shared" si="10"/>
        <v>Standard Class</v>
      </c>
      <c r="AJ362" s="3" t="str">
        <f t="shared" si="9"/>
        <v>anomaly</v>
      </c>
      <c r="AK362">
        <f>IFERROR(Y362-X362, "invalid date")</f>
        <v>3</v>
      </c>
      <c r="AL362" s="10">
        <v>0.2</v>
      </c>
      <c r="AM362" s="11">
        <v>17669.400000000001</v>
      </c>
      <c r="AN362" s="11">
        <v>3950.630000000001</v>
      </c>
      <c r="AO362" s="10">
        <v>0.2235859734908939</v>
      </c>
      <c r="AP362" t="s">
        <v>4180</v>
      </c>
      <c r="AQ362" t="s">
        <v>4502</v>
      </c>
      <c r="AR362" t="s">
        <v>4170</v>
      </c>
      <c r="AS362" t="s">
        <v>4107</v>
      </c>
      <c r="AT362" t="s">
        <v>4115</v>
      </c>
      <c r="AU362">
        <v>3</v>
      </c>
      <c r="AV362" t="s">
        <v>4109</v>
      </c>
    </row>
    <row r="363" spans="1:48">
      <c r="A363" t="s">
        <v>1820</v>
      </c>
      <c r="B363" t="s">
        <v>1167</v>
      </c>
      <c r="C363" t="s">
        <v>1821</v>
      </c>
      <c r="D363" t="s">
        <v>1822</v>
      </c>
      <c r="E363" t="s">
        <v>189</v>
      </c>
      <c r="F363" t="s">
        <v>117</v>
      </c>
      <c r="G363" t="s">
        <v>51</v>
      </c>
      <c r="H363" t="s">
        <v>52</v>
      </c>
      <c r="I363" t="s">
        <v>53</v>
      </c>
      <c r="J363" t="s">
        <v>54</v>
      </c>
      <c r="K363" t="s">
        <v>85</v>
      </c>
      <c r="L363" t="s">
        <v>1823</v>
      </c>
      <c r="M363" t="s">
        <v>42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146</v>
      </c>
      <c r="U363" t="s">
        <v>134</v>
      </c>
      <c r="W363" t="s">
        <v>1820</v>
      </c>
      <c r="X363" t="str">
        <v>01-04-25</v>
      </c>
      <c r="Y363" t="str">
        <v>02-04-25</v>
      </c>
      <c r="Z363" t="s">
        <v>1822</v>
      </c>
      <c r="AA363" t="str">
        <v>Rohan Mehta</v>
      </c>
      <c r="AB363" t="str">
        <f>TRIM(PROPER(F:F))</f>
        <v>Corporate</v>
      </c>
      <c r="AC363" t="str">
        <f>TRIM(PROPER(G:G))</f>
        <v>East</v>
      </c>
      <c r="AD363" t="str">
        <f>TRIM(PROPER(H:H))</f>
        <v>Odisha</v>
      </c>
      <c r="AE363" t="str">
        <f>TRIM(PROPER(I:I))</f>
        <v>Bhubaneswar</v>
      </c>
      <c r="AF363" t="str">
        <f>TRIM(PROPER(J:J))</f>
        <v>Furniture</v>
      </c>
      <c r="AG363" t="str">
        <f t="shared" si="10"/>
        <v>Chairs</v>
      </c>
      <c r="AH363" t="str">
        <f t="shared" si="10"/>
        <v>Basic Chairs 113</v>
      </c>
      <c r="AI363" t="str">
        <f t="shared" si="10"/>
        <v>Second Class</v>
      </c>
      <c r="AJ363" s="3" t="str">
        <f t="shared" si="9"/>
        <v>anomaly</v>
      </c>
      <c r="AK363">
        <f>IFERROR(Y363-X363, "invalid date")</f>
        <v>1</v>
      </c>
      <c r="AL363" s="10">
        <v>0.05</v>
      </c>
      <c r="AM363" s="11">
        <v>35615.709000000003</v>
      </c>
      <c r="AN363" s="11">
        <v>15225.999000000003</v>
      </c>
      <c r="AO363" s="10">
        <v>0.42750795723314122</v>
      </c>
      <c r="AP363" t="s">
        <v>4386</v>
      </c>
      <c r="AQ363" t="s">
        <v>4503</v>
      </c>
      <c r="AR363" t="s">
        <v>4199</v>
      </c>
      <c r="AS363" t="s">
        <v>4120</v>
      </c>
      <c r="AT363" t="s">
        <v>4115</v>
      </c>
      <c r="AU363">
        <v>1</v>
      </c>
      <c r="AV363" t="s">
        <v>4109</v>
      </c>
    </row>
    <row r="364" spans="1:48">
      <c r="A364" t="s">
        <v>1824</v>
      </c>
      <c r="B364" t="s">
        <v>1825</v>
      </c>
      <c r="C364" t="s">
        <v>1826</v>
      </c>
      <c r="D364" t="s">
        <v>1827</v>
      </c>
      <c r="E364" t="s">
        <v>92</v>
      </c>
      <c r="F364" t="s">
        <v>35</v>
      </c>
      <c r="G364" t="s">
        <v>82</v>
      </c>
      <c r="H364" t="s">
        <v>259</v>
      </c>
      <c r="I364" t="s">
        <v>260</v>
      </c>
      <c r="J364" t="s">
        <v>95</v>
      </c>
      <c r="K364" t="s">
        <v>393</v>
      </c>
      <c r="L364" t="s">
        <v>1828</v>
      </c>
      <c r="M364" t="s">
        <v>57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43</v>
      </c>
      <c r="U364" t="s">
        <v>44</v>
      </c>
      <c r="W364" t="s">
        <v>1824</v>
      </c>
      <c r="X364" t="str">
        <v>23-08-24</v>
      </c>
      <c r="Y364" t="str">
        <v>25-08-24</v>
      </c>
      <c r="Z364" t="s">
        <v>1827</v>
      </c>
      <c r="AA364" t="str">
        <v>Vikram Iyer</v>
      </c>
      <c r="AB364" t="str">
        <f>TRIM(PROPER(F:F))</f>
        <v>Consumer</v>
      </c>
      <c r="AC364" t="str">
        <f>TRIM(PROPER(G:G))</f>
        <v>West</v>
      </c>
      <c r="AD364" t="str">
        <f>TRIM(PROPER(H:H))</f>
        <v>Goa</v>
      </c>
      <c r="AE364" t="str">
        <f>TRIM(PROPER(I:I))</f>
        <v>Panaji</v>
      </c>
      <c r="AF364" t="str">
        <f>TRIM(PROPER(J:J))</f>
        <v>Technology</v>
      </c>
      <c r="AG364" t="str">
        <f t="shared" si="10"/>
        <v>Machines</v>
      </c>
      <c r="AH364" t="str">
        <f t="shared" si="10"/>
        <v>Elite Machines 216</v>
      </c>
      <c r="AI364" t="str">
        <f t="shared" si="10"/>
        <v>Same Day</v>
      </c>
      <c r="AJ364" s="3" t="str">
        <f t="shared" si="9"/>
        <v>anomaly</v>
      </c>
      <c r="AK364">
        <f>IFERROR(Y364-X364, "invalid date")</f>
        <v>2</v>
      </c>
      <c r="AL364" s="10">
        <v>0.05</v>
      </c>
      <c r="AM364" s="11">
        <v>1866.4079999999999</v>
      </c>
      <c r="AN364" s="11">
        <v>289.91799999999989</v>
      </c>
      <c r="AO364" s="10">
        <v>0.15533473924243782</v>
      </c>
      <c r="AP364" t="s">
        <v>4504</v>
      </c>
      <c r="AQ364" t="s">
        <v>4505</v>
      </c>
      <c r="AR364" t="s">
        <v>4114</v>
      </c>
      <c r="AS364" t="s">
        <v>4107</v>
      </c>
      <c r="AT364" t="s">
        <v>4115</v>
      </c>
      <c r="AU364">
        <v>2</v>
      </c>
      <c r="AV364" t="s">
        <v>4109</v>
      </c>
    </row>
    <row r="365" spans="1:48">
      <c r="A365" t="s">
        <v>1829</v>
      </c>
      <c r="B365" t="s">
        <v>1830</v>
      </c>
      <c r="C365" t="s">
        <v>1831</v>
      </c>
      <c r="D365" t="s">
        <v>1832</v>
      </c>
      <c r="E365" t="s">
        <v>220</v>
      </c>
      <c r="F365" t="s">
        <v>117</v>
      </c>
      <c r="G365" t="s">
        <v>51</v>
      </c>
      <c r="H365" t="s">
        <v>130</v>
      </c>
      <c r="I365" t="s">
        <v>131</v>
      </c>
      <c r="J365" t="s">
        <v>54</v>
      </c>
      <c r="K365" t="s">
        <v>55</v>
      </c>
      <c r="L365" t="s">
        <v>1833</v>
      </c>
      <c r="M365" t="s">
        <v>42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43</v>
      </c>
      <c r="U365" t="s">
        <v>44</v>
      </c>
      <c r="W365" t="s">
        <v>1829</v>
      </c>
      <c r="X365" t="str">
        <v>07-07-25</v>
      </c>
      <c r="Y365" t="str">
        <v>07-12-25</v>
      </c>
      <c r="Z365" t="s">
        <v>1832</v>
      </c>
      <c r="AA365" t="str">
        <v>Diya Patel</v>
      </c>
      <c r="AB365" t="str">
        <f>TRIM(PROPER(F:F))</f>
        <v>Corporate</v>
      </c>
      <c r="AC365" t="str">
        <f>TRIM(PROPER(G:G))</f>
        <v>East</v>
      </c>
      <c r="AD365" t="str">
        <f>TRIM(PROPER(H:H))</f>
        <v>West Bengal</v>
      </c>
      <c r="AE365" t="str">
        <f>TRIM(PROPER(I:I))</f>
        <v>Kolkata</v>
      </c>
      <c r="AF365" t="str">
        <f>TRIM(PROPER(J:J))</f>
        <v>Furniture</v>
      </c>
      <c r="AG365" t="str">
        <f t="shared" si="10"/>
        <v>Tables</v>
      </c>
      <c r="AH365" t="str">
        <f t="shared" si="10"/>
        <v>Smart Tables 943</v>
      </c>
      <c r="AI365" t="str">
        <f t="shared" si="10"/>
        <v>Second Class</v>
      </c>
      <c r="AJ365" s="3" t="str">
        <f t="shared" si="9"/>
        <v>anomaly</v>
      </c>
      <c r="AK365">
        <f>IFERROR(Y365-X365, "invalid date")</f>
        <v>153</v>
      </c>
      <c r="AL365" s="10">
        <v>0.25</v>
      </c>
      <c r="AM365" s="11">
        <v>6867.6374999999989</v>
      </c>
      <c r="AN365" s="11">
        <v>1662.2774999999992</v>
      </c>
      <c r="AO365" s="10">
        <v>0.24204502640100028</v>
      </c>
      <c r="AP365" t="s">
        <v>4506</v>
      </c>
      <c r="AQ365" t="s">
        <v>4507</v>
      </c>
      <c r="AR365" t="s">
        <v>4106</v>
      </c>
      <c r="AS365" t="s">
        <v>4120</v>
      </c>
      <c r="AT365" t="s">
        <v>4115</v>
      </c>
      <c r="AU365">
        <v>153</v>
      </c>
      <c r="AV365" t="s">
        <v>4109</v>
      </c>
    </row>
    <row r="366" spans="1:48">
      <c r="A366" t="s">
        <v>1834</v>
      </c>
      <c r="B366" t="s">
        <v>1835</v>
      </c>
      <c r="C366" t="s">
        <v>1836</v>
      </c>
      <c r="D366" t="s">
        <v>1837</v>
      </c>
      <c r="E366" t="s">
        <v>171</v>
      </c>
      <c r="F366" t="s">
        <v>50</v>
      </c>
      <c r="G366" t="s">
        <v>71</v>
      </c>
      <c r="H366" t="s">
        <v>109</v>
      </c>
      <c r="I366" t="s">
        <v>110</v>
      </c>
      <c r="J366" t="s">
        <v>54</v>
      </c>
      <c r="K366" t="s">
        <v>85</v>
      </c>
      <c r="L366" t="s">
        <v>1838</v>
      </c>
      <c r="M366" t="s">
        <v>42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43</v>
      </c>
      <c r="U366" t="s">
        <v>44</v>
      </c>
      <c r="W366" t="s">
        <v>1834</v>
      </c>
      <c r="X366" t="str">
        <v>invalid date</v>
      </c>
      <c r="Y366" t="str">
        <v>24-03-25</v>
      </c>
      <c r="Z366" t="s">
        <v>1837</v>
      </c>
      <c r="AA366" t="str">
        <v>Aarav Sharma</v>
      </c>
      <c r="AB366" t="str">
        <f>TRIM(PROPER(F:F))</f>
        <v>Small Business</v>
      </c>
      <c r="AC366" t="str">
        <f>TRIM(PROPER(G:G))</f>
        <v>South</v>
      </c>
      <c r="AD366" t="str">
        <f>TRIM(PROPER(H:H))</f>
        <v>Andhra Pradesh</v>
      </c>
      <c r="AE366" t="str">
        <f>TRIM(PROPER(I:I))</f>
        <v>Vijayawada</v>
      </c>
      <c r="AF366" t="str">
        <f>TRIM(PROPER(J:J))</f>
        <v>Furniture</v>
      </c>
      <c r="AG366" t="str">
        <f t="shared" si="10"/>
        <v>Chairs</v>
      </c>
      <c r="AH366" t="str">
        <f t="shared" si="10"/>
        <v>Prime Chairs 101</v>
      </c>
      <c r="AI366" t="str">
        <f t="shared" si="10"/>
        <v>Second Class</v>
      </c>
      <c r="AJ366" s="3" t="str">
        <f t="shared" si="9"/>
        <v>Invalid</v>
      </c>
      <c r="AK366" t="str">
        <f>IFERROR(Y366-X366, "invalid date")</f>
        <v>invalid date</v>
      </c>
      <c r="AL366" s="10">
        <v>0</v>
      </c>
      <c r="AM366" s="11">
        <v>6195.75</v>
      </c>
      <c r="AN366" s="11">
        <v>2228.73</v>
      </c>
      <c r="AO366" s="10">
        <v>0.35971916232901585</v>
      </c>
      <c r="AP366" t="s">
        <v>4105</v>
      </c>
      <c r="AQ366" t="s">
        <v>4508</v>
      </c>
      <c r="AR366" t="s">
        <v>4105</v>
      </c>
      <c r="AS366" t="s">
        <v>4105</v>
      </c>
      <c r="AT366" t="s">
        <v>4108</v>
      </c>
      <c r="AU366" t="s">
        <v>4105</v>
      </c>
      <c r="AV366" t="s">
        <v>4109</v>
      </c>
    </row>
    <row r="367" spans="1:48">
      <c r="A367" t="s">
        <v>1839</v>
      </c>
      <c r="B367" t="s">
        <v>1840</v>
      </c>
      <c r="C367" t="s">
        <v>1841</v>
      </c>
      <c r="D367" t="s">
        <v>1842</v>
      </c>
      <c r="E367" t="s">
        <v>116</v>
      </c>
      <c r="F367" t="s">
        <v>117</v>
      </c>
      <c r="G367" t="s">
        <v>82</v>
      </c>
      <c r="H367" t="s">
        <v>259</v>
      </c>
      <c r="I367" t="s">
        <v>260</v>
      </c>
      <c r="J367" t="s">
        <v>95</v>
      </c>
      <c r="K367" t="s">
        <v>96</v>
      </c>
      <c r="L367" t="s">
        <v>1843</v>
      </c>
      <c r="M367" t="s">
        <v>65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43</v>
      </c>
      <c r="U367" t="s">
        <v>44</v>
      </c>
      <c r="W367" t="s">
        <v>1839</v>
      </c>
      <c r="X367" t="str">
        <v>15-06-24</v>
      </c>
      <c r="Y367" t="str">
        <v>21-06-24</v>
      </c>
      <c r="Z367" t="s">
        <v>1842</v>
      </c>
      <c r="AA367" t="str">
        <v>Aditi Sen</v>
      </c>
      <c r="AB367" t="str">
        <f>TRIM(PROPER(F:F))</f>
        <v>Corporate</v>
      </c>
      <c r="AC367" t="str">
        <f>TRIM(PROPER(G:G))</f>
        <v>West</v>
      </c>
      <c r="AD367" t="str">
        <f>TRIM(PROPER(H:H))</f>
        <v>Goa</v>
      </c>
      <c r="AE367" t="str">
        <f>TRIM(PROPER(I:I))</f>
        <v>Panaji</v>
      </c>
      <c r="AF367" t="str">
        <f>TRIM(PROPER(J:J))</f>
        <v>Technology</v>
      </c>
      <c r="AG367" t="str">
        <f t="shared" si="10"/>
        <v>Accessories</v>
      </c>
      <c r="AH367" t="str">
        <f t="shared" si="10"/>
        <v>Basic Accessories 774</v>
      </c>
      <c r="AI367" t="str">
        <f t="shared" si="10"/>
        <v>First Class</v>
      </c>
      <c r="AJ367" s="3" t="str">
        <f t="shared" si="9"/>
        <v>anomaly</v>
      </c>
      <c r="AK367">
        <f>IFERROR(Y367-X367, "invalid date")</f>
        <v>6</v>
      </c>
      <c r="AL367" s="10">
        <v>0</v>
      </c>
      <c r="AM367" s="11">
        <v>13651.2</v>
      </c>
      <c r="AN367" s="11">
        <v>3531.59</v>
      </c>
      <c r="AO367" s="10">
        <v>0.2587017991092358</v>
      </c>
      <c r="AP367" t="s">
        <v>4113</v>
      </c>
      <c r="AQ367" t="s">
        <v>4509</v>
      </c>
      <c r="AR367" t="s">
        <v>4170</v>
      </c>
      <c r="AS367" t="s">
        <v>4107</v>
      </c>
      <c r="AT367" t="s">
        <v>4115</v>
      </c>
      <c r="AU367">
        <v>6</v>
      </c>
      <c r="AV367" t="s">
        <v>4109</v>
      </c>
    </row>
    <row r="368" spans="1:48">
      <c r="A368" t="s">
        <v>1844</v>
      </c>
      <c r="B368" t="s">
        <v>1845</v>
      </c>
      <c r="C368" t="s">
        <v>1846</v>
      </c>
      <c r="D368" t="s">
        <v>1847</v>
      </c>
      <c r="E368" t="s">
        <v>177</v>
      </c>
      <c r="F368" t="s">
        <v>117</v>
      </c>
      <c r="G368" t="s">
        <v>36</v>
      </c>
      <c r="H368" t="s">
        <v>37</v>
      </c>
      <c r="I368" t="s">
        <v>38</v>
      </c>
      <c r="J368" t="s">
        <v>54</v>
      </c>
      <c r="K368" t="s">
        <v>55</v>
      </c>
      <c r="L368" t="s">
        <v>1848</v>
      </c>
      <c r="M368" t="s">
        <v>57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43</v>
      </c>
      <c r="U368" t="s">
        <v>44</v>
      </c>
      <c r="W368" t="s">
        <v>1844</v>
      </c>
      <c r="X368" t="str">
        <v>16-01-25</v>
      </c>
      <c r="Y368" t="str">
        <v>22-01-25</v>
      </c>
      <c r="Z368" t="s">
        <v>1847</v>
      </c>
      <c r="AA368" t="str">
        <v>Sneha Kapoor</v>
      </c>
      <c r="AB368" t="str">
        <f>TRIM(PROPER(F:F))</f>
        <v>Corporate</v>
      </c>
      <c r="AC368" t="str">
        <f>TRIM(PROPER(G:G))</f>
        <v>North</v>
      </c>
      <c r="AD368" t="str">
        <f>TRIM(PROPER(H:H))</f>
        <v>Rajasthan</v>
      </c>
      <c r="AE368" t="str">
        <f>TRIM(PROPER(I:I))</f>
        <v>Jaipur</v>
      </c>
      <c r="AF368" t="str">
        <f>TRIM(PROPER(J:J))</f>
        <v>Furniture</v>
      </c>
      <c r="AG368" t="str">
        <f t="shared" si="10"/>
        <v>Tables</v>
      </c>
      <c r="AH368" t="str">
        <f t="shared" si="10"/>
        <v>Max Tables 478</v>
      </c>
      <c r="AI368" t="str">
        <f t="shared" si="10"/>
        <v>Same Day</v>
      </c>
      <c r="AJ368" s="3" t="str">
        <f t="shared" si="9"/>
        <v>anomaly</v>
      </c>
      <c r="AK368">
        <f>IFERROR(Y368-X368, "invalid date")</f>
        <v>6</v>
      </c>
      <c r="AL368" s="10">
        <v>0</v>
      </c>
      <c r="AM368" s="11">
        <v>8836.56</v>
      </c>
      <c r="AN368" s="11">
        <v>2968.8099999999995</v>
      </c>
      <c r="AO368" s="10">
        <v>0.33596897435201023</v>
      </c>
      <c r="AP368" t="s">
        <v>4510</v>
      </c>
      <c r="AQ368" t="s">
        <v>4511</v>
      </c>
      <c r="AR368" t="s">
        <v>4153</v>
      </c>
      <c r="AS368" t="s">
        <v>4120</v>
      </c>
      <c r="AT368" t="s">
        <v>4115</v>
      </c>
      <c r="AU368">
        <v>6</v>
      </c>
      <c r="AV368" t="s">
        <v>4109</v>
      </c>
    </row>
    <row r="369" spans="1:48">
      <c r="A369" t="s">
        <v>1849</v>
      </c>
      <c r="B369" t="s">
        <v>988</v>
      </c>
      <c r="C369" t="s">
        <v>1850</v>
      </c>
      <c r="D369" t="s">
        <v>1851</v>
      </c>
      <c r="E369" t="s">
        <v>189</v>
      </c>
      <c r="F369" t="s">
        <v>35</v>
      </c>
      <c r="G369" t="s">
        <v>36</v>
      </c>
      <c r="H369" t="s">
        <v>517</v>
      </c>
      <c r="I369" t="s">
        <v>518</v>
      </c>
      <c r="J369" t="s">
        <v>39</v>
      </c>
      <c r="K369" t="s">
        <v>63</v>
      </c>
      <c r="L369" t="s">
        <v>1852</v>
      </c>
      <c r="M369" t="s">
        <v>76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210</v>
      </c>
      <c r="U369" t="s">
        <v>87</v>
      </c>
      <c r="W369" t="s">
        <v>1849</v>
      </c>
      <c r="X369" t="str">
        <v>15-03-24</v>
      </c>
      <c r="Y369" t="str">
        <v>invalid date</v>
      </c>
      <c r="Z369" t="s">
        <v>1851</v>
      </c>
      <c r="AA369" t="str">
        <v>Rohan Mehta</v>
      </c>
      <c r="AB369" t="str">
        <f>TRIM(PROPER(F:F))</f>
        <v>Consumer</v>
      </c>
      <c r="AC369" t="str">
        <f>TRIM(PROPER(G:G))</f>
        <v>North</v>
      </c>
      <c r="AD369" t="str">
        <f>TRIM(PROPER(H:H))</f>
        <v>Delhi</v>
      </c>
      <c r="AE369" t="str">
        <f>TRIM(PROPER(I:I))</f>
        <v>New Delhi</v>
      </c>
      <c r="AF369" t="str">
        <f>TRIM(PROPER(J:J))</f>
        <v>Office Supplies</v>
      </c>
      <c r="AG369" t="str">
        <f t="shared" si="10"/>
        <v>Art</v>
      </c>
      <c r="AH369" t="str">
        <f t="shared" si="10"/>
        <v>Eco Art 646</v>
      </c>
      <c r="AI369" t="str">
        <f t="shared" si="10"/>
        <v>Standard Class</v>
      </c>
      <c r="AJ369" s="3" t="str">
        <f t="shared" si="9"/>
        <v>Invalid</v>
      </c>
      <c r="AK369" t="str">
        <f>IFERROR(Y369-X369, "invalid date")</f>
        <v>invalid date</v>
      </c>
      <c r="AL369" s="10">
        <v>0.15</v>
      </c>
      <c r="AM369" s="11">
        <v>19456.958999999999</v>
      </c>
      <c r="AN369" s="11">
        <v>4936.8989999999994</v>
      </c>
      <c r="AO369" s="10">
        <v>0.25373435797443988</v>
      </c>
      <c r="AP369" t="s">
        <v>4349</v>
      </c>
      <c r="AQ369" t="s">
        <v>4105</v>
      </c>
      <c r="AR369" t="s">
        <v>4159</v>
      </c>
      <c r="AS369" t="s">
        <v>4107</v>
      </c>
      <c r="AT369" t="s">
        <v>4108</v>
      </c>
      <c r="AU369" t="s">
        <v>4105</v>
      </c>
      <c r="AV369" t="s">
        <v>4109</v>
      </c>
    </row>
    <row r="370" spans="1:48">
      <c r="A370" t="s">
        <v>1853</v>
      </c>
      <c r="B370" t="s">
        <v>1281</v>
      </c>
      <c r="C370" t="s">
        <v>1281</v>
      </c>
      <c r="D370" t="s">
        <v>1854</v>
      </c>
      <c r="E370" t="s">
        <v>171</v>
      </c>
      <c r="F370" t="s">
        <v>124</v>
      </c>
      <c r="G370" t="s">
        <v>36</v>
      </c>
      <c r="H370" t="s">
        <v>37</v>
      </c>
      <c r="I370" t="s">
        <v>38</v>
      </c>
      <c r="J370" t="s">
        <v>95</v>
      </c>
      <c r="K370" t="s">
        <v>96</v>
      </c>
      <c r="L370" t="s">
        <v>1855</v>
      </c>
      <c r="M370" t="s">
        <v>57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133</v>
      </c>
      <c r="U370" t="s">
        <v>134</v>
      </c>
      <c r="W370" t="s">
        <v>1853</v>
      </c>
      <c r="X370" t="str">
        <v>06-07-25</v>
      </c>
      <c r="Y370" t="str">
        <v>06-07-25</v>
      </c>
      <c r="Z370" t="s">
        <v>1854</v>
      </c>
      <c r="AA370" t="str">
        <v>Aarav Sharma</v>
      </c>
      <c r="AB370" t="str">
        <f>TRIM(PROPER(F:F))</f>
        <v>Home Office</v>
      </c>
      <c r="AC370" t="str">
        <f>TRIM(PROPER(G:G))</f>
        <v>North</v>
      </c>
      <c r="AD370" t="str">
        <f>TRIM(PROPER(H:H))</f>
        <v>Rajasthan</v>
      </c>
      <c r="AE370" t="str">
        <f>TRIM(PROPER(I:I))</f>
        <v>Jaipur</v>
      </c>
      <c r="AF370" t="str">
        <f>TRIM(PROPER(J:J))</f>
        <v>Technology</v>
      </c>
      <c r="AG370" t="str">
        <f t="shared" si="10"/>
        <v>Accessories</v>
      </c>
      <c r="AH370" t="str">
        <f t="shared" si="10"/>
        <v>Prime Accessories 962</v>
      </c>
      <c r="AI370" t="str">
        <f t="shared" si="10"/>
        <v>Same Day</v>
      </c>
      <c r="AJ370" s="3" t="str">
        <f t="shared" si="9"/>
        <v xml:space="preserve">  </v>
      </c>
      <c r="AK370">
        <f>IFERROR(Y370-X370, "invalid date")</f>
        <v>0</v>
      </c>
      <c r="AL370" s="10">
        <v>0.05</v>
      </c>
      <c r="AM370" s="11">
        <v>2079.2745</v>
      </c>
      <c r="AN370" s="11">
        <v>567.10449999999992</v>
      </c>
      <c r="AO370" s="10">
        <v>0.27274152595051782</v>
      </c>
      <c r="AP370" t="s">
        <v>4410</v>
      </c>
      <c r="AQ370" t="s">
        <v>4410</v>
      </c>
      <c r="AR370" t="s">
        <v>4106</v>
      </c>
      <c r="AS370" t="s">
        <v>4120</v>
      </c>
      <c r="AT370" t="s">
        <v>4115</v>
      </c>
      <c r="AU370">
        <v>0</v>
      </c>
      <c r="AV370" t="s">
        <v>4109</v>
      </c>
    </row>
    <row r="371" spans="1:48">
      <c r="A371" t="s">
        <v>1856</v>
      </c>
      <c r="B371" t="s">
        <v>1540</v>
      </c>
      <c r="C371" t="s">
        <v>201</v>
      </c>
      <c r="D371" t="s">
        <v>1857</v>
      </c>
      <c r="E371" t="s">
        <v>151</v>
      </c>
      <c r="F371" t="s">
        <v>35</v>
      </c>
      <c r="G371" t="s">
        <v>36</v>
      </c>
      <c r="H371" t="s">
        <v>517</v>
      </c>
      <c r="I371" t="s">
        <v>518</v>
      </c>
      <c r="J371" t="s">
        <v>39</v>
      </c>
      <c r="K371" t="s">
        <v>118</v>
      </c>
      <c r="L371" t="s">
        <v>1858</v>
      </c>
      <c r="M371" t="s">
        <v>76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43</v>
      </c>
      <c r="U371" t="s">
        <v>44</v>
      </c>
      <c r="W371" t="s">
        <v>1856</v>
      </c>
      <c r="X371" t="str">
        <v>23-01-25</v>
      </c>
      <c r="Y371" t="str">
        <v>invalid date</v>
      </c>
      <c r="Z371" t="s">
        <v>1857</v>
      </c>
      <c r="AA371" t="str">
        <v>Priya Menon</v>
      </c>
      <c r="AB371" t="str">
        <f>TRIM(PROPER(F:F))</f>
        <v>Consumer</v>
      </c>
      <c r="AC371" t="str">
        <f>TRIM(PROPER(G:G))</f>
        <v>North</v>
      </c>
      <c r="AD371" t="str">
        <f>TRIM(PROPER(H:H))</f>
        <v>Delhi</v>
      </c>
      <c r="AE371" t="str">
        <f>TRIM(PROPER(I:I))</f>
        <v>New Delhi</v>
      </c>
      <c r="AF371" t="str">
        <f>TRIM(PROPER(J:J))</f>
        <v>Office Supplies</v>
      </c>
      <c r="AG371" t="str">
        <f t="shared" si="10"/>
        <v>Labels</v>
      </c>
      <c r="AH371" t="str">
        <f t="shared" si="10"/>
        <v>Eco Labels 646</v>
      </c>
      <c r="AI371" t="str">
        <f t="shared" si="10"/>
        <v>Standard Class</v>
      </c>
      <c r="AJ371" s="3" t="str">
        <f t="shared" si="9"/>
        <v>Invalid</v>
      </c>
      <c r="AK371" t="str">
        <f>IFERROR(Y371-X371, "invalid date")</f>
        <v>invalid date</v>
      </c>
      <c r="AL371" s="10">
        <v>0.15</v>
      </c>
      <c r="AM371" s="11">
        <v>8945.6804999999986</v>
      </c>
      <c r="AN371" s="11">
        <v>2205.3304999999982</v>
      </c>
      <c r="AO371" s="10">
        <v>0.24652462157574245</v>
      </c>
      <c r="AP371" t="s">
        <v>4152</v>
      </c>
      <c r="AQ371" t="s">
        <v>4105</v>
      </c>
      <c r="AR371" t="s">
        <v>4153</v>
      </c>
      <c r="AS371" t="s">
        <v>4120</v>
      </c>
      <c r="AT371" t="s">
        <v>4108</v>
      </c>
      <c r="AU371" t="s">
        <v>4105</v>
      </c>
      <c r="AV371" t="s">
        <v>4109</v>
      </c>
    </row>
    <row r="372" spans="1:48">
      <c r="A372" t="s">
        <v>1859</v>
      </c>
      <c r="B372" t="s">
        <v>1860</v>
      </c>
      <c r="C372" t="s">
        <v>1635</v>
      </c>
      <c r="D372" t="s">
        <v>1861</v>
      </c>
      <c r="E372" t="s">
        <v>81</v>
      </c>
      <c r="F372" t="s">
        <v>50</v>
      </c>
      <c r="G372" t="s">
        <v>82</v>
      </c>
      <c r="H372" t="s">
        <v>37</v>
      </c>
      <c r="I372" t="s">
        <v>144</v>
      </c>
      <c r="J372" t="s">
        <v>95</v>
      </c>
      <c r="K372" t="s">
        <v>103</v>
      </c>
      <c r="L372" t="s">
        <v>1862</v>
      </c>
      <c r="M372" t="s">
        <v>65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43</v>
      </c>
      <c r="U372" t="s">
        <v>44</v>
      </c>
      <c r="W372" t="s">
        <v>1859</v>
      </c>
      <c r="X372" t="str">
        <v>invalid date</v>
      </c>
      <c r="Y372" t="str">
        <v>21-08-24</v>
      </c>
      <c r="Z372" t="s">
        <v>1861</v>
      </c>
      <c r="AA372" t="str">
        <v>Ananya Rao</v>
      </c>
      <c r="AB372" t="str">
        <f>TRIM(PROPER(F:F))</f>
        <v>Small Business</v>
      </c>
      <c r="AC372" t="str">
        <f>TRIM(PROPER(G:G))</f>
        <v>West</v>
      </c>
      <c r="AD372" t="str">
        <f>TRIM(PROPER(H:H))</f>
        <v>Rajasthan</v>
      </c>
      <c r="AE372" t="str">
        <f>TRIM(PROPER(I:I))</f>
        <v>Udaipur</v>
      </c>
      <c r="AF372" t="str">
        <f>TRIM(PROPER(J:J))</f>
        <v>Technology</v>
      </c>
      <c r="AG372" t="str">
        <f t="shared" si="10"/>
        <v>Copiers</v>
      </c>
      <c r="AH372" t="str">
        <f t="shared" si="10"/>
        <v>Classic Copiers 505</v>
      </c>
      <c r="AI372" t="str">
        <f t="shared" si="10"/>
        <v>First Class</v>
      </c>
      <c r="AJ372" s="3" t="str">
        <f t="shared" si="9"/>
        <v>Invalid</v>
      </c>
      <c r="AK372" t="str">
        <f>IFERROR(Y372-X372, "invalid date")</f>
        <v>invalid date</v>
      </c>
      <c r="AL372" s="10">
        <v>0.2</v>
      </c>
      <c r="AM372" s="11">
        <v>13069.336000000001</v>
      </c>
      <c r="AN372" s="11">
        <v>4300.746000000001</v>
      </c>
      <c r="AO372" s="10">
        <v>0.32907149988339124</v>
      </c>
      <c r="AP372" t="s">
        <v>4105</v>
      </c>
      <c r="AQ372" t="s">
        <v>4469</v>
      </c>
      <c r="AR372" t="s">
        <v>4105</v>
      </c>
      <c r="AS372" t="s">
        <v>4105</v>
      </c>
      <c r="AT372" t="s">
        <v>4108</v>
      </c>
      <c r="AU372" t="s">
        <v>4105</v>
      </c>
      <c r="AV372" t="s">
        <v>4109</v>
      </c>
    </row>
    <row r="373" spans="1:48">
      <c r="A373" t="s">
        <v>1863</v>
      </c>
      <c r="B373" t="s">
        <v>1068</v>
      </c>
      <c r="C373" t="s">
        <v>1864</v>
      </c>
      <c r="D373" t="s">
        <v>1865</v>
      </c>
      <c r="E373" t="s">
        <v>220</v>
      </c>
      <c r="F373" t="s">
        <v>124</v>
      </c>
      <c r="G373" t="s">
        <v>82</v>
      </c>
      <c r="H373" t="s">
        <v>83</v>
      </c>
      <c r="I373" t="s">
        <v>84</v>
      </c>
      <c r="J373" t="s">
        <v>39</v>
      </c>
      <c r="K373" t="s">
        <v>63</v>
      </c>
      <c r="L373" t="s">
        <v>1866</v>
      </c>
      <c r="M373" t="s">
        <v>76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133</v>
      </c>
      <c r="U373" t="s">
        <v>87</v>
      </c>
      <c r="W373" t="s">
        <v>1863</v>
      </c>
      <c r="X373" t="str">
        <v>22-01-24</v>
      </c>
      <c r="Y373" t="str">
        <v>24-01-24</v>
      </c>
      <c r="Z373" t="s">
        <v>1865</v>
      </c>
      <c r="AA373" t="str">
        <v>Diya Patel</v>
      </c>
      <c r="AB373" t="str">
        <f>TRIM(PROPER(F:F))</f>
        <v>Home Office</v>
      </c>
      <c r="AC373" t="str">
        <f>TRIM(PROPER(G:G))</f>
        <v>West</v>
      </c>
      <c r="AD373" t="str">
        <f>TRIM(PROPER(H:H))</f>
        <v>Maharashtra</v>
      </c>
      <c r="AE373" t="str">
        <f>TRIM(PROPER(I:I))</f>
        <v>Mumbai</v>
      </c>
      <c r="AF373" t="str">
        <f>TRIM(PROPER(J:J))</f>
        <v>Office Supplies</v>
      </c>
      <c r="AG373" t="str">
        <f t="shared" si="10"/>
        <v>Art</v>
      </c>
      <c r="AH373" t="str">
        <f t="shared" si="10"/>
        <v>Pro Art 906</v>
      </c>
      <c r="AI373" t="str">
        <f t="shared" si="10"/>
        <v>Standard Class</v>
      </c>
      <c r="AJ373" s="3" t="str">
        <f t="shared" si="9"/>
        <v>anomaly</v>
      </c>
      <c r="AK373">
        <f>IFERROR(Y373-X373, "invalid date")</f>
        <v>2</v>
      </c>
      <c r="AL373" s="10">
        <v>0</v>
      </c>
      <c r="AM373" s="11">
        <v>6156.36</v>
      </c>
      <c r="AN373" s="11">
        <v>3174.4199999999996</v>
      </c>
      <c r="AO373" s="10">
        <v>0.51563261407714944</v>
      </c>
      <c r="AP373" t="s">
        <v>4367</v>
      </c>
      <c r="AQ373" t="s">
        <v>4193</v>
      </c>
      <c r="AR373" t="s">
        <v>4153</v>
      </c>
      <c r="AS373" t="s">
        <v>4107</v>
      </c>
      <c r="AT373" t="s">
        <v>4115</v>
      </c>
      <c r="AU373">
        <v>2</v>
      </c>
      <c r="AV373" t="s">
        <v>4109</v>
      </c>
    </row>
    <row r="374" spans="1:48">
      <c r="A374" t="s">
        <v>1867</v>
      </c>
      <c r="B374" t="s">
        <v>1868</v>
      </c>
      <c r="C374" t="s">
        <v>931</v>
      </c>
      <c r="D374" t="s">
        <v>980</v>
      </c>
      <c r="E374" t="s">
        <v>377</v>
      </c>
      <c r="F374" t="s">
        <v>35</v>
      </c>
      <c r="G374" t="s">
        <v>51</v>
      </c>
      <c r="H374" t="s">
        <v>322</v>
      </c>
      <c r="I374" t="s">
        <v>323</v>
      </c>
      <c r="J374" t="s">
        <v>54</v>
      </c>
      <c r="K374" t="s">
        <v>85</v>
      </c>
      <c r="L374" t="s">
        <v>1869</v>
      </c>
      <c r="M374" t="s">
        <v>57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43</v>
      </c>
      <c r="U374" t="s">
        <v>44</v>
      </c>
      <c r="W374" t="s">
        <v>1867</v>
      </c>
      <c r="X374" t="str">
        <v>16-08-25</v>
      </c>
      <c r="Y374" t="str">
        <v>18-08-25</v>
      </c>
      <c r="Z374" t="s">
        <v>980</v>
      </c>
      <c r="AA374" t="str">
        <v>Kabir Singh</v>
      </c>
      <c r="AB374" t="str">
        <f>TRIM(PROPER(F:F))</f>
        <v>Consumer</v>
      </c>
      <c r="AC374" t="str">
        <f>TRIM(PROPER(G:G))</f>
        <v>East</v>
      </c>
      <c r="AD374" t="str">
        <f>TRIM(PROPER(H:H))</f>
        <v>Jharkhand</v>
      </c>
      <c r="AE374" t="str">
        <f>TRIM(PROPER(I:I))</f>
        <v>Ranchi</v>
      </c>
      <c r="AF374" t="str">
        <f>TRIM(PROPER(J:J))</f>
        <v>Furniture</v>
      </c>
      <c r="AG374" t="str">
        <f t="shared" si="10"/>
        <v>Chairs</v>
      </c>
      <c r="AH374" t="str">
        <f t="shared" si="10"/>
        <v>Max Chairs 181</v>
      </c>
      <c r="AI374" t="str">
        <f t="shared" si="10"/>
        <v>Same Day</v>
      </c>
      <c r="AJ374" s="3" t="str">
        <f t="shared" si="9"/>
        <v>anomaly</v>
      </c>
      <c r="AK374">
        <f>IFERROR(Y374-X374, "invalid date")</f>
        <v>2</v>
      </c>
      <c r="AL374" s="10">
        <v>0</v>
      </c>
      <c r="AM374" s="11">
        <v>7651.7999999999993</v>
      </c>
      <c r="AN374" s="11">
        <v>2480.0199999999995</v>
      </c>
      <c r="AO374" s="10">
        <v>0.32410935988917638</v>
      </c>
      <c r="AP374" t="s">
        <v>4512</v>
      </c>
      <c r="AQ374" t="s">
        <v>4341</v>
      </c>
      <c r="AR374" t="s">
        <v>4114</v>
      </c>
      <c r="AS374" t="s">
        <v>4120</v>
      </c>
      <c r="AT374" t="s">
        <v>4115</v>
      </c>
      <c r="AU374">
        <v>2</v>
      </c>
      <c r="AV374" t="s">
        <v>4109</v>
      </c>
    </row>
    <row r="375" spans="1:48">
      <c r="A375" t="s">
        <v>1870</v>
      </c>
      <c r="B375" t="s">
        <v>1871</v>
      </c>
      <c r="C375" t="s">
        <v>1871</v>
      </c>
      <c r="D375" t="s">
        <v>1872</v>
      </c>
      <c r="E375" t="s">
        <v>177</v>
      </c>
      <c r="F375" t="s">
        <v>50</v>
      </c>
      <c r="G375" t="s">
        <v>36</v>
      </c>
      <c r="H375" t="s">
        <v>183</v>
      </c>
      <c r="I375" t="s">
        <v>184</v>
      </c>
      <c r="J375" t="s">
        <v>39</v>
      </c>
      <c r="K375" t="s">
        <v>165</v>
      </c>
      <c r="L375" t="s">
        <v>1873</v>
      </c>
      <c r="M375" t="s">
        <v>42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43</v>
      </c>
      <c r="U375" t="s">
        <v>44</v>
      </c>
      <c r="W375" t="s">
        <v>1870</v>
      </c>
      <c r="X375" t="str">
        <v>13-04-25</v>
      </c>
      <c r="Y375" t="str">
        <v>13-04-25</v>
      </c>
      <c r="Z375" t="s">
        <v>1872</v>
      </c>
      <c r="AA375" t="str">
        <v>Sneha Kapoor</v>
      </c>
      <c r="AB375" t="str">
        <f>TRIM(PROPER(F:F))</f>
        <v>Small Business</v>
      </c>
      <c r="AC375" t="str">
        <f>TRIM(PROPER(G:G))</f>
        <v>North</v>
      </c>
      <c r="AD375" t="str">
        <f>TRIM(PROPER(H:H))</f>
        <v>Uttar Pradesh</v>
      </c>
      <c r="AE375" t="str">
        <f>TRIM(PROPER(I:I))</f>
        <v>Noida</v>
      </c>
      <c r="AF375" t="str">
        <f>TRIM(PROPER(J:J))</f>
        <v>Office Supplies</v>
      </c>
      <c r="AG375" t="str">
        <f t="shared" si="10"/>
        <v>Storage</v>
      </c>
      <c r="AH375" t="str">
        <f t="shared" si="10"/>
        <v>Prime Storage 951</v>
      </c>
      <c r="AI375" t="str">
        <f t="shared" si="10"/>
        <v>Second Class</v>
      </c>
      <c r="AJ375" s="3" t="str">
        <f t="shared" si="9"/>
        <v xml:space="preserve">  </v>
      </c>
      <c r="AK375">
        <f>IFERROR(Y375-X375, "invalid date")</f>
        <v>0</v>
      </c>
      <c r="AL375" s="10">
        <v>0</v>
      </c>
      <c r="AM375" s="11">
        <v>10068.120000000001</v>
      </c>
      <c r="AN375" s="11">
        <v>1472.75</v>
      </c>
      <c r="AO375" s="10">
        <v>0.14627855051389932</v>
      </c>
      <c r="AP375" t="s">
        <v>4513</v>
      </c>
      <c r="AQ375" t="s">
        <v>4513</v>
      </c>
      <c r="AR375" t="s">
        <v>4199</v>
      </c>
      <c r="AS375" t="s">
        <v>4120</v>
      </c>
      <c r="AT375" t="s">
        <v>4115</v>
      </c>
      <c r="AU375">
        <v>0</v>
      </c>
      <c r="AV375" t="s">
        <v>4109</v>
      </c>
    </row>
    <row r="376" spans="1:48">
      <c r="A376" t="s">
        <v>1874</v>
      </c>
      <c r="B376" t="s">
        <v>1875</v>
      </c>
      <c r="C376" t="s">
        <v>1876</v>
      </c>
      <c r="D376" t="s">
        <v>1877</v>
      </c>
      <c r="E376" t="s">
        <v>116</v>
      </c>
      <c r="F376" t="s">
        <v>50</v>
      </c>
      <c r="G376" t="s">
        <v>36</v>
      </c>
      <c r="H376" t="s">
        <v>183</v>
      </c>
      <c r="I376" t="s">
        <v>184</v>
      </c>
      <c r="J376" t="s">
        <v>39</v>
      </c>
      <c r="K376" t="s">
        <v>118</v>
      </c>
      <c r="L376" t="s">
        <v>1878</v>
      </c>
      <c r="M376" t="s">
        <v>76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43</v>
      </c>
      <c r="U376" t="s">
        <v>44</v>
      </c>
      <c r="W376" t="s">
        <v>1874</v>
      </c>
      <c r="X376" t="str">
        <v>27-02-25</v>
      </c>
      <c r="Y376" t="str">
        <v>28-02-25</v>
      </c>
      <c r="Z376" t="s">
        <v>1877</v>
      </c>
      <c r="AA376" t="str">
        <v>Aditi Sen</v>
      </c>
      <c r="AB376" t="str">
        <f>TRIM(PROPER(F:F))</f>
        <v>Small Business</v>
      </c>
      <c r="AC376" t="str">
        <f>TRIM(PROPER(G:G))</f>
        <v>North</v>
      </c>
      <c r="AD376" t="str">
        <f>TRIM(PROPER(H:H))</f>
        <v>Uttar Pradesh</v>
      </c>
      <c r="AE376" t="str">
        <f>TRIM(PROPER(I:I))</f>
        <v>Noida</v>
      </c>
      <c r="AF376" t="str">
        <f>TRIM(PROPER(J:J))</f>
        <v>Office Supplies</v>
      </c>
      <c r="AG376" t="str">
        <f t="shared" si="10"/>
        <v>Labels</v>
      </c>
      <c r="AH376" t="str">
        <f t="shared" si="10"/>
        <v>Smart Labels 668</v>
      </c>
      <c r="AI376" t="str">
        <f t="shared" si="10"/>
        <v>Standard Class</v>
      </c>
      <c r="AJ376" s="3" t="str">
        <f t="shared" si="9"/>
        <v>anomaly</v>
      </c>
      <c r="AK376">
        <f>IFERROR(Y376-X376, "invalid date")</f>
        <v>1</v>
      </c>
      <c r="AL376" s="10">
        <v>0</v>
      </c>
      <c r="AM376" s="11">
        <v>14359.5</v>
      </c>
      <c r="AN376" s="11">
        <v>6241.79</v>
      </c>
      <c r="AO376" s="10">
        <v>0.43468017688638183</v>
      </c>
      <c r="AP376" t="s">
        <v>4388</v>
      </c>
      <c r="AQ376" t="s">
        <v>4450</v>
      </c>
      <c r="AR376" t="s">
        <v>4129</v>
      </c>
      <c r="AS376" t="s">
        <v>4120</v>
      </c>
      <c r="AT376" t="s">
        <v>4115</v>
      </c>
      <c r="AU376">
        <v>1</v>
      </c>
      <c r="AV376" t="s">
        <v>4109</v>
      </c>
    </row>
    <row r="377" spans="1:48">
      <c r="A377" t="s">
        <v>1879</v>
      </c>
      <c r="B377" t="s">
        <v>1880</v>
      </c>
      <c r="C377" t="s">
        <v>1881</v>
      </c>
      <c r="D377" t="s">
        <v>1882</v>
      </c>
      <c r="E377" t="s">
        <v>92</v>
      </c>
      <c r="F377" t="s">
        <v>35</v>
      </c>
      <c r="G377" t="s">
        <v>36</v>
      </c>
      <c r="H377" t="s">
        <v>517</v>
      </c>
      <c r="I377" t="s">
        <v>518</v>
      </c>
      <c r="J377" t="s">
        <v>54</v>
      </c>
      <c r="K377" t="s">
        <v>85</v>
      </c>
      <c r="L377" t="s">
        <v>1883</v>
      </c>
      <c r="M377" t="s">
        <v>57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43</v>
      </c>
      <c r="U377" t="s">
        <v>44</v>
      </c>
      <c r="W377" t="s">
        <v>1879</v>
      </c>
      <c r="X377" t="str">
        <v>31-12-24</v>
      </c>
      <c r="Y377" t="str">
        <v>04-01-25</v>
      </c>
      <c r="Z377" t="s">
        <v>1882</v>
      </c>
      <c r="AA377" t="str">
        <v>Vikram Iyer</v>
      </c>
      <c r="AB377" t="str">
        <f>TRIM(PROPER(F:F))</f>
        <v>Consumer</v>
      </c>
      <c r="AC377" t="str">
        <f>TRIM(PROPER(G:G))</f>
        <v>North</v>
      </c>
      <c r="AD377" t="str">
        <f>TRIM(PROPER(H:H))</f>
        <v>Delhi</v>
      </c>
      <c r="AE377" t="str">
        <f>TRIM(PROPER(I:I))</f>
        <v>New Delhi</v>
      </c>
      <c r="AF377" t="str">
        <f>TRIM(PROPER(J:J))</f>
        <v>Furniture</v>
      </c>
      <c r="AG377" t="str">
        <f t="shared" si="10"/>
        <v>Chairs</v>
      </c>
      <c r="AH377" t="str">
        <f t="shared" si="10"/>
        <v>Pro Chairs 364</v>
      </c>
      <c r="AI377" t="str">
        <f t="shared" si="10"/>
        <v>Same Day</v>
      </c>
      <c r="AJ377" s="3" t="str">
        <f t="shared" si="9"/>
        <v xml:space="preserve">  </v>
      </c>
      <c r="AK377">
        <f>IFERROR(Y377-X377, "invalid date")</f>
        <v>4</v>
      </c>
      <c r="AL377" s="10">
        <v>0.25</v>
      </c>
      <c r="AM377" s="11">
        <v>2624.8724999999999</v>
      </c>
      <c r="AN377" s="11">
        <v>370.99249999999984</v>
      </c>
      <c r="AO377" s="10">
        <v>0.14133734114704613</v>
      </c>
      <c r="AP377" t="s">
        <v>4498</v>
      </c>
      <c r="AQ377" t="s">
        <v>4425</v>
      </c>
      <c r="AR377" t="s">
        <v>4139</v>
      </c>
      <c r="AS377" t="s">
        <v>4107</v>
      </c>
      <c r="AT377" t="s">
        <v>4121</v>
      </c>
      <c r="AU377">
        <v>4</v>
      </c>
      <c r="AV377" t="s">
        <v>4109</v>
      </c>
    </row>
    <row r="378" spans="1:48">
      <c r="A378" t="s">
        <v>1884</v>
      </c>
      <c r="B378" t="s">
        <v>1885</v>
      </c>
      <c r="C378" t="s">
        <v>1788</v>
      </c>
      <c r="D378" t="s">
        <v>1886</v>
      </c>
      <c r="E378" t="s">
        <v>62</v>
      </c>
      <c r="F378" t="s">
        <v>50</v>
      </c>
      <c r="G378" t="s">
        <v>51</v>
      </c>
      <c r="H378" t="s">
        <v>196</v>
      </c>
      <c r="I378" t="s">
        <v>197</v>
      </c>
      <c r="J378" t="s">
        <v>54</v>
      </c>
      <c r="K378" t="s">
        <v>85</v>
      </c>
      <c r="L378" t="s">
        <v>1887</v>
      </c>
      <c r="M378" t="s">
        <v>65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43</v>
      </c>
      <c r="U378" t="s">
        <v>44</v>
      </c>
      <c r="W378" t="s">
        <v>1884</v>
      </c>
      <c r="X378" t="str">
        <v>29-12-24</v>
      </c>
      <c r="Y378" t="str">
        <v>31-12-24</v>
      </c>
      <c r="Z378" t="s">
        <v>1886</v>
      </c>
      <c r="AA378" t="str">
        <v>Isha Nair</v>
      </c>
      <c r="AB378" t="str">
        <f>TRIM(PROPER(F:F))</f>
        <v>Small Business</v>
      </c>
      <c r="AC378" t="str">
        <f>TRIM(PROPER(G:G))</f>
        <v>East</v>
      </c>
      <c r="AD378" t="str">
        <f>TRIM(PROPER(H:H))</f>
        <v>Bihar</v>
      </c>
      <c r="AE378" t="str">
        <f>TRIM(PROPER(I:I))</f>
        <v>Patna</v>
      </c>
      <c r="AF378" t="str">
        <f>TRIM(PROPER(J:J))</f>
        <v>Furniture</v>
      </c>
      <c r="AG378" t="str">
        <f t="shared" si="10"/>
        <v>Chairs</v>
      </c>
      <c r="AH378" t="str">
        <f t="shared" si="10"/>
        <v>Basic Chairs 248</v>
      </c>
      <c r="AI378" t="str">
        <f t="shared" si="10"/>
        <v>First Class</v>
      </c>
      <c r="AJ378" s="3" t="str">
        <f t="shared" si="9"/>
        <v>anomaly</v>
      </c>
      <c r="AK378">
        <f>IFERROR(Y378-X378, "invalid date")</f>
        <v>2</v>
      </c>
      <c r="AL378" s="10">
        <v>0.2</v>
      </c>
      <c r="AM378" s="11">
        <v>8854.9440000000013</v>
      </c>
      <c r="AN378" s="11">
        <v>1420.9940000000015</v>
      </c>
      <c r="AO378" s="10">
        <v>0.1604746455765278</v>
      </c>
      <c r="AP378" t="s">
        <v>4514</v>
      </c>
      <c r="AQ378" t="s">
        <v>4498</v>
      </c>
      <c r="AR378" t="s">
        <v>4139</v>
      </c>
      <c r="AS378" t="s">
        <v>4107</v>
      </c>
      <c r="AT378" t="s">
        <v>4115</v>
      </c>
      <c r="AU378">
        <v>2</v>
      </c>
      <c r="AV378" t="s">
        <v>4109</v>
      </c>
    </row>
    <row r="379" spans="1:48">
      <c r="A379" t="s">
        <v>1888</v>
      </c>
      <c r="B379" t="s">
        <v>1530</v>
      </c>
      <c r="C379" t="s">
        <v>1889</v>
      </c>
      <c r="D379" t="s">
        <v>1890</v>
      </c>
      <c r="E379" t="s">
        <v>377</v>
      </c>
      <c r="F379" t="s">
        <v>50</v>
      </c>
      <c r="G379" t="s">
        <v>51</v>
      </c>
      <c r="H379" t="s">
        <v>52</v>
      </c>
      <c r="I379" t="s">
        <v>53</v>
      </c>
      <c r="J379" t="s">
        <v>39</v>
      </c>
      <c r="K379" t="s">
        <v>1891</v>
      </c>
      <c r="L379" t="s">
        <v>1892</v>
      </c>
      <c r="M379" t="s">
        <v>57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43</v>
      </c>
      <c r="U379" t="s">
        <v>44</v>
      </c>
      <c r="W379" t="s">
        <v>1888</v>
      </c>
      <c r="X379" t="str">
        <v>24-05-25</v>
      </c>
      <c r="Y379" t="str">
        <v>30-05-25</v>
      </c>
      <c r="Z379" t="s">
        <v>1890</v>
      </c>
      <c r="AA379" t="str">
        <v>Kabir Singh</v>
      </c>
      <c r="AB379" t="str">
        <f>TRIM(PROPER(F:F))</f>
        <v>Small Business</v>
      </c>
      <c r="AC379" t="str">
        <f>TRIM(PROPER(G:G))</f>
        <v>East</v>
      </c>
      <c r="AD379" t="str">
        <f>TRIM(PROPER(H:H))</f>
        <v>Odisha</v>
      </c>
      <c r="AE379" t="str">
        <f>TRIM(PROPER(I:I))</f>
        <v>Bhubaneswar</v>
      </c>
      <c r="AF379" t="str">
        <f>TRIM(PROPER(J:J))</f>
        <v>Office Supplies</v>
      </c>
      <c r="AG379" t="str">
        <f t="shared" si="10"/>
        <v>Storage</v>
      </c>
      <c r="AH379" t="str">
        <f t="shared" si="10"/>
        <v>Basic Storage 360</v>
      </c>
      <c r="AI379" t="str">
        <f t="shared" si="10"/>
        <v>Same Day</v>
      </c>
      <c r="AJ379" s="3" t="str">
        <f t="shared" si="9"/>
        <v>anomaly</v>
      </c>
      <c r="AK379">
        <f>IFERROR(Y379-X379, "invalid date")</f>
        <v>6</v>
      </c>
      <c r="AL379" s="10">
        <v>0</v>
      </c>
      <c r="AM379" s="11">
        <v>2564.7399999999998</v>
      </c>
      <c r="AN379" s="11">
        <v>810.15999999999985</v>
      </c>
      <c r="AO379" s="10">
        <v>0.31588387126960232</v>
      </c>
      <c r="AP379" t="s">
        <v>4453</v>
      </c>
      <c r="AQ379" t="s">
        <v>4206</v>
      </c>
      <c r="AR379" t="s">
        <v>4124</v>
      </c>
      <c r="AS379" t="s">
        <v>4120</v>
      </c>
      <c r="AT379" t="s">
        <v>4115</v>
      </c>
      <c r="AU379">
        <v>6</v>
      </c>
      <c r="AV379" t="s">
        <v>4109</v>
      </c>
    </row>
    <row r="380" spans="1:48">
      <c r="A380" t="s">
        <v>1893</v>
      </c>
      <c r="B380" t="s">
        <v>1894</v>
      </c>
      <c r="C380" t="s">
        <v>1894</v>
      </c>
      <c r="D380" t="s">
        <v>1895</v>
      </c>
      <c r="E380" t="s">
        <v>49</v>
      </c>
      <c r="F380" t="s">
        <v>35</v>
      </c>
      <c r="G380" t="s">
        <v>82</v>
      </c>
      <c r="H380" t="s">
        <v>259</v>
      </c>
      <c r="I380" t="s">
        <v>260</v>
      </c>
      <c r="J380" t="s">
        <v>95</v>
      </c>
      <c r="K380" t="s">
        <v>96</v>
      </c>
      <c r="L380" t="s">
        <v>1896</v>
      </c>
      <c r="M380" t="s">
        <v>76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43</v>
      </c>
      <c r="U380" t="s">
        <v>44</v>
      </c>
      <c r="W380" t="s">
        <v>1893</v>
      </c>
      <c r="X380" t="str">
        <v>22-05-25</v>
      </c>
      <c r="Y380" t="str">
        <v>22-05-25</v>
      </c>
      <c r="Z380" t="s">
        <v>1895</v>
      </c>
      <c r="AA380" t="str">
        <v>Mira Das</v>
      </c>
      <c r="AB380" t="str">
        <f>TRIM(PROPER(F:F))</f>
        <v>Consumer</v>
      </c>
      <c r="AC380" t="str">
        <f>TRIM(PROPER(G:G))</f>
        <v>West</v>
      </c>
      <c r="AD380" t="str">
        <f>TRIM(PROPER(H:H))</f>
        <v>Goa</v>
      </c>
      <c r="AE380" t="str">
        <f>TRIM(PROPER(I:I))</f>
        <v>Panaji</v>
      </c>
      <c r="AF380" t="str">
        <f>TRIM(PROPER(J:J))</f>
        <v>Technology</v>
      </c>
      <c r="AG380" t="str">
        <f t="shared" si="10"/>
        <v>Accessories</v>
      </c>
      <c r="AH380" t="str">
        <f t="shared" si="10"/>
        <v>Basic Accessories 988</v>
      </c>
      <c r="AI380" t="str">
        <f t="shared" si="10"/>
        <v>Standard Class</v>
      </c>
      <c r="AJ380" s="3" t="str">
        <f t="shared" si="9"/>
        <v xml:space="preserve">  </v>
      </c>
      <c r="AK380">
        <f>IFERROR(Y380-X380, "invalid date")</f>
        <v>0</v>
      </c>
      <c r="AL380" s="10">
        <v>0</v>
      </c>
      <c r="AM380" s="11">
        <v>7821.22</v>
      </c>
      <c r="AN380" s="11">
        <v>2826.76</v>
      </c>
      <c r="AO380" s="10">
        <v>0.36142187535959863</v>
      </c>
      <c r="AP380" t="s">
        <v>4515</v>
      </c>
      <c r="AQ380" t="s">
        <v>4515</v>
      </c>
      <c r="AR380" t="s">
        <v>4124</v>
      </c>
      <c r="AS380" t="s">
        <v>4120</v>
      </c>
      <c r="AT380" t="s">
        <v>4115</v>
      </c>
      <c r="AU380">
        <v>0</v>
      </c>
      <c r="AV380" t="s">
        <v>4109</v>
      </c>
    </row>
    <row r="381" spans="1:48">
      <c r="A381" t="s">
        <v>1897</v>
      </c>
      <c r="B381" t="s">
        <v>1898</v>
      </c>
      <c r="C381" t="s">
        <v>1899</v>
      </c>
      <c r="D381" t="s">
        <v>1900</v>
      </c>
      <c r="E381" t="s">
        <v>49</v>
      </c>
      <c r="F381" t="s">
        <v>50</v>
      </c>
      <c r="G381" t="s">
        <v>71</v>
      </c>
      <c r="H381" t="s">
        <v>252</v>
      </c>
      <c r="I381" t="s">
        <v>253</v>
      </c>
      <c r="J381" t="s">
        <v>39</v>
      </c>
      <c r="K381" t="s">
        <v>40</v>
      </c>
      <c r="L381" t="s">
        <v>1901</v>
      </c>
      <c r="M381" t="s">
        <v>76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43</v>
      </c>
      <c r="U381" t="s">
        <v>44</v>
      </c>
      <c r="W381" t="s">
        <v>1897</v>
      </c>
      <c r="X381" t="str">
        <v>invalid date</v>
      </c>
      <c r="Y381" t="str">
        <v>23-09-24</v>
      </c>
      <c r="Z381" t="s">
        <v>1900</v>
      </c>
      <c r="AA381" t="str">
        <v>Mira Das</v>
      </c>
      <c r="AB381" t="str">
        <f>TRIM(PROPER(F:F))</f>
        <v>Small Business</v>
      </c>
      <c r="AC381" t="str">
        <f>TRIM(PROPER(G:G))</f>
        <v>South</v>
      </c>
      <c r="AD381" t="str">
        <f>TRIM(PROPER(H:H))</f>
        <v>Kerala</v>
      </c>
      <c r="AE381" t="str">
        <f>TRIM(PROPER(I:I))</f>
        <v>Kochi</v>
      </c>
      <c r="AF381" t="str">
        <f>TRIM(PROPER(J:J))</f>
        <v>Office Supplies</v>
      </c>
      <c r="AG381" t="str">
        <f t="shared" si="10"/>
        <v>Paper</v>
      </c>
      <c r="AH381" t="str">
        <f t="shared" si="10"/>
        <v>Max Paper 334</v>
      </c>
      <c r="AI381" t="str">
        <f t="shared" si="10"/>
        <v>Standard Class</v>
      </c>
      <c r="AJ381" s="3" t="str">
        <f t="shared" si="9"/>
        <v>Invalid</v>
      </c>
      <c r="AK381" t="str">
        <f>IFERROR(Y381-X381, "invalid date")</f>
        <v>invalid date</v>
      </c>
      <c r="AL381" s="10">
        <v>0</v>
      </c>
      <c r="AM381" s="11">
        <v>7956.76</v>
      </c>
      <c r="AN381" s="11">
        <v>3157.2200000000003</v>
      </c>
      <c r="AO381" s="10">
        <v>0.39679718880549369</v>
      </c>
      <c r="AP381" t="s">
        <v>4105</v>
      </c>
      <c r="AQ381" t="s">
        <v>4516</v>
      </c>
      <c r="AR381" t="s">
        <v>4105</v>
      </c>
      <c r="AS381" t="s">
        <v>4105</v>
      </c>
      <c r="AT381" t="s">
        <v>4108</v>
      </c>
      <c r="AU381" t="s">
        <v>4105</v>
      </c>
      <c r="AV381" t="s">
        <v>4109</v>
      </c>
    </row>
    <row r="382" spans="1:48">
      <c r="A382" t="s">
        <v>1902</v>
      </c>
      <c r="B382" t="s">
        <v>1903</v>
      </c>
      <c r="C382" t="s">
        <v>1429</v>
      </c>
      <c r="D382" t="s">
        <v>1904</v>
      </c>
      <c r="E382" t="s">
        <v>92</v>
      </c>
      <c r="F382" t="s">
        <v>35</v>
      </c>
      <c r="G382" t="s">
        <v>82</v>
      </c>
      <c r="H382" t="s">
        <v>83</v>
      </c>
      <c r="I382" t="s">
        <v>84</v>
      </c>
      <c r="J382" t="s">
        <v>54</v>
      </c>
      <c r="K382" t="s">
        <v>214</v>
      </c>
      <c r="L382" t="s">
        <v>1905</v>
      </c>
      <c r="M382" t="s">
        <v>57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43</v>
      </c>
      <c r="U382" t="s">
        <v>134</v>
      </c>
      <c r="W382" t="s">
        <v>1902</v>
      </c>
      <c r="X382" t="str">
        <v>07-04-24</v>
      </c>
      <c r="Y382" t="str">
        <v>14-04-24</v>
      </c>
      <c r="Z382" t="s">
        <v>1904</v>
      </c>
      <c r="AA382" t="str">
        <v>Vikram Iyer</v>
      </c>
      <c r="AB382" t="str">
        <f>TRIM(PROPER(F:F))</f>
        <v>Consumer</v>
      </c>
      <c r="AC382" t="str">
        <f>TRIM(PROPER(G:G))</f>
        <v>West</v>
      </c>
      <c r="AD382" t="str">
        <f>TRIM(PROPER(H:H))</f>
        <v>Maharashtra</v>
      </c>
      <c r="AE382" t="str">
        <f>TRIM(PROPER(I:I))</f>
        <v>Mumbai</v>
      </c>
      <c r="AF382" t="str">
        <f>TRIM(PROPER(J:J))</f>
        <v>Furniture</v>
      </c>
      <c r="AG382" t="str">
        <f t="shared" si="10"/>
        <v>Bookcases</v>
      </c>
      <c r="AH382" t="str">
        <f t="shared" si="10"/>
        <v>Prime Bookcases 952</v>
      </c>
      <c r="AI382" t="str">
        <f t="shared" si="10"/>
        <v>Same Day</v>
      </c>
      <c r="AJ382" s="3" t="str">
        <f t="shared" si="9"/>
        <v>anomaly</v>
      </c>
      <c r="AK382">
        <f>IFERROR(Y382-X382, "invalid date")</f>
        <v>7</v>
      </c>
      <c r="AL382" s="10">
        <v>0.25</v>
      </c>
      <c r="AM382" s="11">
        <v>8384.4375</v>
      </c>
      <c r="AN382" s="11">
        <v>3618.4775</v>
      </c>
      <c r="AO382" s="10">
        <v>0.43157069272685256</v>
      </c>
      <c r="AP382" t="s">
        <v>4436</v>
      </c>
      <c r="AQ382" t="s">
        <v>4437</v>
      </c>
      <c r="AR382" t="s">
        <v>4199</v>
      </c>
      <c r="AS382" t="s">
        <v>4107</v>
      </c>
      <c r="AT382" t="s">
        <v>4115</v>
      </c>
      <c r="AU382">
        <v>7</v>
      </c>
      <c r="AV382" t="s">
        <v>4109</v>
      </c>
    </row>
    <row r="383" spans="1:48">
      <c r="A383" t="s">
        <v>1906</v>
      </c>
      <c r="B383" t="s">
        <v>1907</v>
      </c>
      <c r="C383" t="s">
        <v>1908</v>
      </c>
      <c r="D383" t="s">
        <v>1909</v>
      </c>
      <c r="E383" t="s">
        <v>70</v>
      </c>
      <c r="F383" t="s">
        <v>1910</v>
      </c>
      <c r="G383" t="s">
        <v>36</v>
      </c>
      <c r="H383" t="s">
        <v>517</v>
      </c>
      <c r="I383" t="s">
        <v>518</v>
      </c>
      <c r="J383" t="s">
        <v>39</v>
      </c>
      <c r="K383" t="s">
        <v>208</v>
      </c>
      <c r="L383" t="s">
        <v>1911</v>
      </c>
      <c r="M383" t="s">
        <v>76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210</v>
      </c>
      <c r="U383" t="s">
        <v>87</v>
      </c>
      <c r="W383" t="s">
        <v>1906</v>
      </c>
      <c r="X383" t="str">
        <v>19-09-25</v>
      </c>
      <c r="Y383" t="str">
        <v>23-09-25</v>
      </c>
      <c r="Z383" t="s">
        <v>1909</v>
      </c>
      <c r="AA383" t="str">
        <v>Arjun Bose</v>
      </c>
      <c r="AB383" t="str">
        <f>TRIM(PROPER(F:F))</f>
        <v>Home Office</v>
      </c>
      <c r="AC383" t="str">
        <f>TRIM(PROPER(G:G))</f>
        <v>North</v>
      </c>
      <c r="AD383" t="str">
        <f>TRIM(PROPER(H:H))</f>
        <v>Delhi</v>
      </c>
      <c r="AE383" t="str">
        <f>TRIM(PROPER(I:I))</f>
        <v>New Delhi</v>
      </c>
      <c r="AF383" t="str">
        <f>TRIM(PROPER(J:J))</f>
        <v>Office Supplies</v>
      </c>
      <c r="AG383" t="str">
        <f t="shared" si="10"/>
        <v>Binders</v>
      </c>
      <c r="AH383" t="str">
        <f t="shared" si="10"/>
        <v>Prime Binders 523</v>
      </c>
      <c r="AI383" t="str">
        <f t="shared" si="10"/>
        <v>Standard Class</v>
      </c>
      <c r="AJ383" s="3" t="str">
        <f t="shared" si="9"/>
        <v>anomaly</v>
      </c>
      <c r="AK383">
        <f>IFERROR(Y383-X383, "invalid date")</f>
        <v>4</v>
      </c>
      <c r="AL383" s="10">
        <v>0.05</v>
      </c>
      <c r="AM383" s="11">
        <v>16671.169999999998</v>
      </c>
      <c r="AN383" s="11">
        <v>5837.9799999999977</v>
      </c>
      <c r="AO383" s="10">
        <v>0.35018418023450054</v>
      </c>
      <c r="AP383" t="s">
        <v>4517</v>
      </c>
      <c r="AQ383" t="s">
        <v>4328</v>
      </c>
      <c r="AR383" t="s">
        <v>4134</v>
      </c>
      <c r="AS383" t="s">
        <v>4120</v>
      </c>
      <c r="AT383" t="s">
        <v>4115</v>
      </c>
      <c r="AU383">
        <v>4</v>
      </c>
      <c r="AV383" t="s">
        <v>4109</v>
      </c>
    </row>
    <row r="384" spans="1:48">
      <c r="A384" t="s">
        <v>1912</v>
      </c>
      <c r="B384" t="s">
        <v>1913</v>
      </c>
      <c r="C384" t="s">
        <v>566</v>
      </c>
      <c r="D384" t="s">
        <v>213</v>
      </c>
      <c r="E384" t="s">
        <v>70</v>
      </c>
      <c r="F384" t="s">
        <v>50</v>
      </c>
      <c r="G384" t="s">
        <v>51</v>
      </c>
      <c r="H384" t="s">
        <v>196</v>
      </c>
      <c r="I384" t="s">
        <v>197</v>
      </c>
      <c r="J384" t="s">
        <v>1914</v>
      </c>
      <c r="K384" t="s">
        <v>233</v>
      </c>
      <c r="L384" t="s">
        <v>1915</v>
      </c>
      <c r="M384" t="s">
        <v>65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43</v>
      </c>
      <c r="U384" t="s">
        <v>44</v>
      </c>
      <c r="W384" t="s">
        <v>1912</v>
      </c>
      <c r="X384" t="str">
        <v>04-03-25</v>
      </c>
      <c r="Y384" t="str">
        <v>03-08-25</v>
      </c>
      <c r="Z384" t="s">
        <v>213</v>
      </c>
      <c r="AA384" t="str">
        <v>Arjun Bose</v>
      </c>
      <c r="AB384" t="str">
        <f>TRIM(PROPER(F:F))</f>
        <v>Small Business</v>
      </c>
      <c r="AC384" t="str">
        <f>TRIM(PROPER(G:G))</f>
        <v>East</v>
      </c>
      <c r="AD384" t="str">
        <f>TRIM(PROPER(H:H))</f>
        <v>Bihar</v>
      </c>
      <c r="AE384" t="str">
        <f>TRIM(PROPER(I:I))</f>
        <v>Patna</v>
      </c>
      <c r="AF384" t="str">
        <f>TRIM(PROPER(J:J))</f>
        <v>Technology</v>
      </c>
      <c r="AG384" t="str">
        <f t="shared" si="10"/>
        <v>Phones</v>
      </c>
      <c r="AH384" t="str">
        <f t="shared" si="10"/>
        <v>Pro Phones 538</v>
      </c>
      <c r="AI384" t="str">
        <f t="shared" si="10"/>
        <v>First Class</v>
      </c>
      <c r="AJ384" s="3" t="str">
        <f t="shared" si="9"/>
        <v xml:space="preserve">  </v>
      </c>
      <c r="AK384">
        <f>IFERROR(Y384-X384, "invalid date")</f>
        <v>152</v>
      </c>
      <c r="AL384" s="10">
        <v>0.2</v>
      </c>
      <c r="AM384" s="11">
        <v>10468.440000000002</v>
      </c>
      <c r="AN384" s="11">
        <v>2068.5700000000015</v>
      </c>
      <c r="AO384" s="10">
        <v>0.19760059760575607</v>
      </c>
      <c r="AP384" t="s">
        <v>4234</v>
      </c>
      <c r="AQ384" t="s">
        <v>4257</v>
      </c>
      <c r="AR384" t="s">
        <v>4159</v>
      </c>
      <c r="AS384" t="s">
        <v>4120</v>
      </c>
      <c r="AT384" t="s">
        <v>4121</v>
      </c>
      <c r="AU384">
        <v>152</v>
      </c>
      <c r="AV384" t="s">
        <v>4109</v>
      </c>
    </row>
    <row r="385" spans="1:48">
      <c r="A385" t="s">
        <v>1916</v>
      </c>
      <c r="B385" t="s">
        <v>1526</v>
      </c>
      <c r="C385" t="s">
        <v>1085</v>
      </c>
      <c r="D385" t="s">
        <v>1917</v>
      </c>
      <c r="E385" t="s">
        <v>92</v>
      </c>
      <c r="F385" t="s">
        <v>117</v>
      </c>
      <c r="G385" t="s">
        <v>51</v>
      </c>
      <c r="H385" t="s">
        <v>130</v>
      </c>
      <c r="I385" t="s">
        <v>131</v>
      </c>
      <c r="J385" t="s">
        <v>39</v>
      </c>
      <c r="K385" t="s">
        <v>63</v>
      </c>
      <c r="L385" t="s">
        <v>1918</v>
      </c>
      <c r="M385" t="s">
        <v>65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43</v>
      </c>
      <c r="U385" t="s">
        <v>87</v>
      </c>
      <c r="W385" t="s">
        <v>1916</v>
      </c>
      <c r="X385" t="str">
        <v>28-06-25</v>
      </c>
      <c r="Y385" t="str">
        <v>05-07-25</v>
      </c>
      <c r="Z385" t="s">
        <v>1917</v>
      </c>
      <c r="AA385" t="str">
        <v>Vikram Iyer</v>
      </c>
      <c r="AB385" t="str">
        <f>TRIM(PROPER(F:F))</f>
        <v>Corporate</v>
      </c>
      <c r="AC385" t="str">
        <f>TRIM(PROPER(G:G))</f>
        <v>East</v>
      </c>
      <c r="AD385" t="str">
        <f>TRIM(PROPER(H:H))</f>
        <v>West Bengal</v>
      </c>
      <c r="AE385" t="str">
        <f>TRIM(PROPER(I:I))</f>
        <v>Kolkata</v>
      </c>
      <c r="AF385" t="str">
        <f>TRIM(PROPER(J:J))</f>
        <v>Office Supplies</v>
      </c>
      <c r="AG385" t="str">
        <f t="shared" si="10"/>
        <v>Art</v>
      </c>
      <c r="AH385" t="str">
        <f t="shared" si="10"/>
        <v>Basic Art 608</v>
      </c>
      <c r="AI385" t="str">
        <f t="shared" si="10"/>
        <v>First Class</v>
      </c>
      <c r="AJ385" s="3" t="str">
        <f t="shared" si="9"/>
        <v xml:space="preserve">  </v>
      </c>
      <c r="AK385">
        <f>IFERROR(Y385-X385, "invalid date")</f>
        <v>7</v>
      </c>
      <c r="AL385" s="10">
        <v>0</v>
      </c>
      <c r="AM385" s="11">
        <v>4485.5</v>
      </c>
      <c r="AN385" s="11">
        <v>1353.6399999999999</v>
      </c>
      <c r="AO385" s="10">
        <v>0.30178129528480657</v>
      </c>
      <c r="AP385" t="s">
        <v>4398</v>
      </c>
      <c r="AQ385" t="s">
        <v>4370</v>
      </c>
      <c r="AR385" t="s">
        <v>4170</v>
      </c>
      <c r="AS385" t="s">
        <v>4120</v>
      </c>
      <c r="AT385" t="s">
        <v>4121</v>
      </c>
      <c r="AU385">
        <v>7</v>
      </c>
      <c r="AV385" t="s">
        <v>4109</v>
      </c>
    </row>
    <row r="386" spans="1:48">
      <c r="A386" t="s">
        <v>1919</v>
      </c>
      <c r="B386" t="s">
        <v>1920</v>
      </c>
      <c r="C386" t="s">
        <v>1921</v>
      </c>
      <c r="D386" t="s">
        <v>1922</v>
      </c>
      <c r="E386" t="s">
        <v>189</v>
      </c>
      <c r="F386" t="s">
        <v>35</v>
      </c>
      <c r="G386" t="s">
        <v>51</v>
      </c>
      <c r="H386" t="s">
        <v>322</v>
      </c>
      <c r="I386" t="s">
        <v>323</v>
      </c>
      <c r="J386" t="s">
        <v>95</v>
      </c>
      <c r="K386" t="s">
        <v>103</v>
      </c>
      <c r="L386" t="s">
        <v>1923</v>
      </c>
      <c r="M386" t="s">
        <v>76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43</v>
      </c>
      <c r="U386" t="s">
        <v>134</v>
      </c>
      <c r="W386" t="s">
        <v>1919</v>
      </c>
      <c r="X386" t="str">
        <v>15-03-24</v>
      </c>
      <c r="Y386" t="str">
        <v>20-03-24</v>
      </c>
      <c r="Z386" t="s">
        <v>1922</v>
      </c>
      <c r="AA386" t="str">
        <v>Rohan Mehta</v>
      </c>
      <c r="AB386" t="str">
        <f>TRIM(PROPER(F:F))</f>
        <v>Consumer</v>
      </c>
      <c r="AC386" t="str">
        <f>TRIM(PROPER(G:G))</f>
        <v>East</v>
      </c>
      <c r="AD386" t="str">
        <f>TRIM(PROPER(H:H))</f>
        <v>Jharkhand</v>
      </c>
      <c r="AE386" t="str">
        <f>TRIM(PROPER(I:I))</f>
        <v>Ranchi</v>
      </c>
      <c r="AF386" t="str">
        <f>TRIM(PROPER(J:J))</f>
        <v>Technology</v>
      </c>
      <c r="AG386" t="str">
        <f t="shared" si="10"/>
        <v>Copiers</v>
      </c>
      <c r="AH386" t="str">
        <f t="shared" si="10"/>
        <v>Prime Copiers 820</v>
      </c>
      <c r="AI386" t="str">
        <f t="shared" si="10"/>
        <v>Standard Class</v>
      </c>
      <c r="AJ386" s="3" t="str">
        <f t="shared" si="9"/>
        <v>anomaly</v>
      </c>
      <c r="AK386">
        <f>IFERROR(Y386-X386, "invalid date")</f>
        <v>5</v>
      </c>
      <c r="AL386" s="10">
        <v>0.25</v>
      </c>
      <c r="AM386" s="11">
        <v>2822.1000000000004</v>
      </c>
      <c r="AN386" s="11">
        <v>1197.5300000000004</v>
      </c>
      <c r="AO386" s="10">
        <v>0.42434003047376079</v>
      </c>
      <c r="AP386" t="s">
        <v>4349</v>
      </c>
      <c r="AQ386" t="s">
        <v>4518</v>
      </c>
      <c r="AR386" t="s">
        <v>4159</v>
      </c>
      <c r="AS386" t="s">
        <v>4107</v>
      </c>
      <c r="AT386" t="s">
        <v>4115</v>
      </c>
      <c r="AU386">
        <v>5</v>
      </c>
      <c r="AV386" t="s">
        <v>4109</v>
      </c>
    </row>
    <row r="387" spans="1:48">
      <c r="A387" t="s">
        <v>1924</v>
      </c>
      <c r="B387" t="s">
        <v>1006</v>
      </c>
      <c r="C387" t="s">
        <v>1925</v>
      </c>
      <c r="D387" t="s">
        <v>1926</v>
      </c>
      <c r="E387" t="s">
        <v>70</v>
      </c>
      <c r="F387" t="s">
        <v>35</v>
      </c>
      <c r="G387" t="s">
        <v>36</v>
      </c>
      <c r="H387" t="s">
        <v>334</v>
      </c>
      <c r="I387" t="s">
        <v>335</v>
      </c>
      <c r="J387" t="s">
        <v>39</v>
      </c>
      <c r="K387" t="s">
        <v>118</v>
      </c>
      <c r="L387" t="s">
        <v>1927</v>
      </c>
      <c r="M387" t="s">
        <v>76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43</v>
      </c>
      <c r="U387" t="s">
        <v>44</v>
      </c>
      <c r="W387" t="s">
        <v>1924</v>
      </c>
      <c r="X387" t="str">
        <v>24-06-25</v>
      </c>
      <c r="Y387" t="str">
        <v>30-06-25</v>
      </c>
      <c r="Z387" t="s">
        <v>1926</v>
      </c>
      <c r="AA387" t="str">
        <v>Arjun Bose</v>
      </c>
      <c r="AB387" t="str">
        <f>TRIM(PROPER(F:F))</f>
        <v>Consumer</v>
      </c>
      <c r="AC387" t="str">
        <f>TRIM(PROPER(G:G))</f>
        <v>North</v>
      </c>
      <c r="AD387" t="str">
        <f>TRIM(PROPER(H:H))</f>
        <v>Haryana</v>
      </c>
      <c r="AE387" t="str">
        <f>TRIM(PROPER(I:I))</f>
        <v>Gurugram</v>
      </c>
      <c r="AF387" t="str">
        <f>TRIM(PROPER(J:J))</f>
        <v>Office Supplies</v>
      </c>
      <c r="AG387" t="str">
        <f t="shared" si="10"/>
        <v>Labels</v>
      </c>
      <c r="AH387" t="str">
        <f t="shared" si="10"/>
        <v>Classic Labels 670</v>
      </c>
      <c r="AI387" t="str">
        <f t="shared" si="10"/>
        <v>Standard Class</v>
      </c>
      <c r="AJ387" s="3" t="str">
        <f t="shared" ref="AJ387:AJ450" si="11">IF(OR(X:X="Invalid Date",Y:Y="Invalid Date"),"Invalid",(IF(X:X&lt;Y:Y,"anomaly", "  ")))</f>
        <v>anomaly</v>
      </c>
      <c r="AK387">
        <f>IFERROR(Y387-X387, "invalid date")</f>
        <v>6</v>
      </c>
      <c r="AL387" s="10">
        <v>0.1</v>
      </c>
      <c r="AM387" s="11">
        <v>1975.104</v>
      </c>
      <c r="AN387" s="11">
        <v>859.75400000000013</v>
      </c>
      <c r="AO387" s="10">
        <v>0.4352955591199249</v>
      </c>
      <c r="AP387" t="s">
        <v>4352</v>
      </c>
      <c r="AQ387" t="s">
        <v>4283</v>
      </c>
      <c r="AR387" t="s">
        <v>4170</v>
      </c>
      <c r="AS387" t="s">
        <v>4120</v>
      </c>
      <c r="AT387" t="s">
        <v>4115</v>
      </c>
      <c r="AU387">
        <v>6</v>
      </c>
      <c r="AV387" t="s">
        <v>4109</v>
      </c>
    </row>
    <row r="388" spans="1:48">
      <c r="A388" t="s">
        <v>1928</v>
      </c>
      <c r="B388" t="s">
        <v>1406</v>
      </c>
      <c r="C388" t="s">
        <v>1929</v>
      </c>
      <c r="D388" t="s">
        <v>1930</v>
      </c>
      <c r="E388" t="s">
        <v>177</v>
      </c>
      <c r="F388" t="s">
        <v>35</v>
      </c>
      <c r="G388" t="s">
        <v>82</v>
      </c>
      <c r="H388" t="s">
        <v>83</v>
      </c>
      <c r="I388" t="s">
        <v>84</v>
      </c>
      <c r="J388" t="s">
        <v>54</v>
      </c>
      <c r="K388" t="s">
        <v>74</v>
      </c>
      <c r="L388" t="s">
        <v>1931</v>
      </c>
      <c r="M388" t="s">
        <v>42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43</v>
      </c>
      <c r="U388" t="s">
        <v>44</v>
      </c>
      <c r="W388" t="s">
        <v>1928</v>
      </c>
      <c r="X388" t="str">
        <v>02-12-25</v>
      </c>
      <c r="Y388" t="str">
        <v>14-02-25</v>
      </c>
      <c r="Z388" t="s">
        <v>1930</v>
      </c>
      <c r="AA388" t="str">
        <v>Sneha Kapoor</v>
      </c>
      <c r="AB388" t="str">
        <f>TRIM(PROPER(F:F))</f>
        <v>Consumer</v>
      </c>
      <c r="AC388" t="str">
        <f>TRIM(PROPER(G:G))</f>
        <v>West</v>
      </c>
      <c r="AD388" t="str">
        <f>TRIM(PROPER(H:H))</f>
        <v>Maharashtra</v>
      </c>
      <c r="AE388" t="str">
        <f>TRIM(PROPER(I:I))</f>
        <v>Mumbai</v>
      </c>
      <c r="AF388" t="str">
        <f>TRIM(PROPER(J:J))</f>
        <v>Furniture</v>
      </c>
      <c r="AG388" t="str">
        <f t="shared" si="10"/>
        <v>Furnishings</v>
      </c>
      <c r="AH388" t="str">
        <f t="shared" si="10"/>
        <v>Prime Furnishings 597</v>
      </c>
      <c r="AI388" t="str">
        <f t="shared" si="10"/>
        <v>Second Class</v>
      </c>
      <c r="AJ388" s="3" t="str">
        <f t="shared" si="11"/>
        <v>anomaly</v>
      </c>
      <c r="AK388">
        <f>IFERROR(Y388-X388, "invalid date")</f>
        <v>-291</v>
      </c>
      <c r="AL388" s="10">
        <v>0.1</v>
      </c>
      <c r="AM388" s="11">
        <v>20063.952000000001</v>
      </c>
      <c r="AN388" s="11">
        <v>5700.5720000000019</v>
      </c>
      <c r="AO388" s="10">
        <v>0.2841200975759911</v>
      </c>
      <c r="AP388" t="s">
        <v>4433</v>
      </c>
      <c r="AQ388" t="s">
        <v>4519</v>
      </c>
      <c r="AR388" t="s">
        <v>4139</v>
      </c>
      <c r="AS388" t="s">
        <v>4120</v>
      </c>
      <c r="AT388" t="s">
        <v>4115</v>
      </c>
      <c r="AU388">
        <v>-291</v>
      </c>
      <c r="AV388" t="s">
        <v>4109</v>
      </c>
    </row>
    <row r="389" spans="1:48">
      <c r="A389" t="s">
        <v>1932</v>
      </c>
      <c r="B389" t="s">
        <v>954</v>
      </c>
      <c r="C389" t="s">
        <v>1128</v>
      </c>
      <c r="D389" t="s">
        <v>1933</v>
      </c>
      <c r="E389" t="s">
        <v>151</v>
      </c>
      <c r="F389" t="s">
        <v>50</v>
      </c>
      <c r="G389" t="s">
        <v>82</v>
      </c>
      <c r="H389" t="s">
        <v>93</v>
      </c>
      <c r="I389" t="s">
        <v>94</v>
      </c>
      <c r="J389" t="s">
        <v>54</v>
      </c>
      <c r="K389" t="s">
        <v>85</v>
      </c>
      <c r="L389" t="s">
        <v>1934</v>
      </c>
      <c r="M389" t="s">
        <v>76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146</v>
      </c>
      <c r="U389" t="s">
        <v>87</v>
      </c>
      <c r="W389" t="s">
        <v>1932</v>
      </c>
      <c r="X389" t="str">
        <v>10-08-25</v>
      </c>
      <c r="Y389" t="str">
        <v>invalid date</v>
      </c>
      <c r="Z389" t="s">
        <v>1933</v>
      </c>
      <c r="AA389" t="str">
        <v>Priya Menon</v>
      </c>
      <c r="AB389" t="str">
        <f>TRIM(PROPER(F:F))</f>
        <v>Small Business</v>
      </c>
      <c r="AC389" t="str">
        <f>TRIM(PROPER(G:G))</f>
        <v>West</v>
      </c>
      <c r="AD389" t="str">
        <f>TRIM(PROPER(H:H))</f>
        <v>Madhya Pradesh</v>
      </c>
      <c r="AE389" t="str">
        <f>TRIM(PROPER(I:I))</f>
        <v>Indore</v>
      </c>
      <c r="AF389" t="str">
        <f>TRIM(PROPER(J:J))</f>
        <v>Furniture</v>
      </c>
      <c r="AG389" t="str">
        <f t="shared" si="10"/>
        <v>Chairs</v>
      </c>
      <c r="AH389" t="str">
        <f t="shared" si="10"/>
        <v>Prime Chairs 196</v>
      </c>
      <c r="AI389" t="str">
        <f t="shared" si="10"/>
        <v>Standard Class</v>
      </c>
      <c r="AJ389" s="3" t="str">
        <f t="shared" si="11"/>
        <v>Invalid</v>
      </c>
      <c r="AK389" t="str">
        <f>IFERROR(Y389-X389, "invalid date")</f>
        <v>invalid date</v>
      </c>
      <c r="AL389" s="10">
        <v>0</v>
      </c>
      <c r="AM389" s="11">
        <v>1764.3000000000002</v>
      </c>
      <c r="AN389" s="11">
        <v>431.81000000000017</v>
      </c>
      <c r="AO389" s="10">
        <v>0.24474862551720236</v>
      </c>
      <c r="AP389" t="s">
        <v>4343</v>
      </c>
      <c r="AQ389" t="s">
        <v>4105</v>
      </c>
      <c r="AR389" t="s">
        <v>4114</v>
      </c>
      <c r="AS389" t="s">
        <v>4120</v>
      </c>
      <c r="AT389" t="s">
        <v>4108</v>
      </c>
      <c r="AU389" t="s">
        <v>4105</v>
      </c>
      <c r="AV389" t="s">
        <v>4109</v>
      </c>
    </row>
    <row r="390" spans="1:48">
      <c r="A390" t="s">
        <v>1935</v>
      </c>
      <c r="B390" t="s">
        <v>1936</v>
      </c>
      <c r="C390" t="s">
        <v>1937</v>
      </c>
      <c r="D390" t="s">
        <v>1938</v>
      </c>
      <c r="E390" t="s">
        <v>62</v>
      </c>
      <c r="F390" t="s">
        <v>50</v>
      </c>
      <c r="G390" t="s">
        <v>82</v>
      </c>
      <c r="H390" t="s">
        <v>245</v>
      </c>
      <c r="I390" t="s">
        <v>246</v>
      </c>
      <c r="J390" t="s">
        <v>54</v>
      </c>
      <c r="K390" t="s">
        <v>85</v>
      </c>
      <c r="L390" t="s">
        <v>1939</v>
      </c>
      <c r="M390" t="s">
        <v>76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43</v>
      </c>
      <c r="U390" t="s">
        <v>44</v>
      </c>
      <c r="W390" t="s">
        <v>1935</v>
      </c>
      <c r="X390" t="str">
        <v>13-05-24</v>
      </c>
      <c r="Y390" t="str">
        <v>18-05-24</v>
      </c>
      <c r="Z390" t="s">
        <v>1938</v>
      </c>
      <c r="AA390" t="str">
        <v>Isha Nair</v>
      </c>
      <c r="AB390" t="str">
        <f>TRIM(PROPER(F:F))</f>
        <v>Small Business</v>
      </c>
      <c r="AC390" t="str">
        <f>TRIM(PROPER(G:G))</f>
        <v>West</v>
      </c>
      <c r="AD390" t="str">
        <f>TRIM(PROPER(H:H))</f>
        <v>Gujarat</v>
      </c>
      <c r="AE390" t="str">
        <f>TRIM(PROPER(I:I))</f>
        <v>Ahmedabad</v>
      </c>
      <c r="AF390" t="str">
        <f>TRIM(PROPER(J:J))</f>
        <v>Furniture</v>
      </c>
      <c r="AG390" t="str">
        <f t="shared" si="10"/>
        <v>Chairs</v>
      </c>
      <c r="AH390" t="str">
        <f t="shared" si="10"/>
        <v>Elite Chairs 639</v>
      </c>
      <c r="AI390" t="str">
        <f t="shared" si="10"/>
        <v>Standard Class</v>
      </c>
      <c r="AJ390" s="3" t="str">
        <f t="shared" si="11"/>
        <v>anomaly</v>
      </c>
      <c r="AK390">
        <f>IFERROR(Y390-X390, "invalid date")</f>
        <v>5</v>
      </c>
      <c r="AL390" s="10">
        <v>0</v>
      </c>
      <c r="AM390" s="11">
        <v>9385.77</v>
      </c>
      <c r="AN390" s="11">
        <v>2513.3300000000008</v>
      </c>
      <c r="AO390" s="10">
        <v>0.26778090662779941</v>
      </c>
      <c r="AP390" t="s">
        <v>4520</v>
      </c>
      <c r="AQ390" t="s">
        <v>4521</v>
      </c>
      <c r="AR390" t="s">
        <v>4124</v>
      </c>
      <c r="AS390" t="s">
        <v>4107</v>
      </c>
      <c r="AT390" t="s">
        <v>4115</v>
      </c>
      <c r="AU390">
        <v>5</v>
      </c>
      <c r="AV390" t="s">
        <v>4109</v>
      </c>
    </row>
    <row r="391" spans="1:48">
      <c r="A391" t="s">
        <v>1940</v>
      </c>
      <c r="B391" t="s">
        <v>1941</v>
      </c>
      <c r="C391" t="s">
        <v>360</v>
      </c>
      <c r="D391" t="s">
        <v>1942</v>
      </c>
      <c r="E391" t="s">
        <v>220</v>
      </c>
      <c r="F391" t="s">
        <v>117</v>
      </c>
      <c r="G391" t="s">
        <v>82</v>
      </c>
      <c r="H391" t="s">
        <v>245</v>
      </c>
      <c r="I391" t="s">
        <v>246</v>
      </c>
      <c r="J391" t="s">
        <v>95</v>
      </c>
      <c r="K391" t="s">
        <v>393</v>
      </c>
      <c r="L391" t="s">
        <v>1943</v>
      </c>
      <c r="M391" t="s">
        <v>42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146</v>
      </c>
      <c r="U391" t="s">
        <v>87</v>
      </c>
      <c r="W391" t="s">
        <v>1940</v>
      </c>
      <c r="X391" t="str">
        <v>05-04-24</v>
      </c>
      <c r="Y391" t="str">
        <v>13-04-24</v>
      </c>
      <c r="Z391" t="s">
        <v>1942</v>
      </c>
      <c r="AA391" t="str">
        <v>Diya Patel</v>
      </c>
      <c r="AB391" t="str">
        <f>TRIM(PROPER(F:F))</f>
        <v>Corporate</v>
      </c>
      <c r="AC391" t="str">
        <f>TRIM(PROPER(G:G))</f>
        <v>West</v>
      </c>
      <c r="AD391" t="str">
        <f>TRIM(PROPER(H:H))</f>
        <v>Gujarat</v>
      </c>
      <c r="AE391" t="str">
        <f>TRIM(PROPER(I:I))</f>
        <v>Ahmedabad</v>
      </c>
      <c r="AF391" t="str">
        <f>TRIM(PROPER(J:J))</f>
        <v>Technology</v>
      </c>
      <c r="AG391" t="str">
        <f t="shared" si="10"/>
        <v>Machines</v>
      </c>
      <c r="AH391" t="str">
        <f t="shared" si="10"/>
        <v>Elite Machines 563</v>
      </c>
      <c r="AI391" t="str">
        <f t="shared" si="10"/>
        <v>Second Class</v>
      </c>
      <c r="AJ391" s="3" t="str">
        <f t="shared" si="11"/>
        <v>anomaly</v>
      </c>
      <c r="AK391">
        <f>IFERROR(Y391-X391, "invalid date")</f>
        <v>8</v>
      </c>
      <c r="AL391" s="10">
        <v>0.2</v>
      </c>
      <c r="AM391" s="11">
        <v>7750.1600000000008</v>
      </c>
      <c r="AN391" s="11">
        <v>2315.8600000000006</v>
      </c>
      <c r="AO391" s="10">
        <v>0.29881447608823564</v>
      </c>
      <c r="AP391" t="s">
        <v>4522</v>
      </c>
      <c r="AQ391" t="s">
        <v>4198</v>
      </c>
      <c r="AR391" t="s">
        <v>4199</v>
      </c>
      <c r="AS391" t="s">
        <v>4107</v>
      </c>
      <c r="AT391" t="s">
        <v>4115</v>
      </c>
      <c r="AU391">
        <v>8</v>
      </c>
      <c r="AV391" t="s">
        <v>4109</v>
      </c>
    </row>
    <row r="392" spans="1:48">
      <c r="A392" t="s">
        <v>1944</v>
      </c>
      <c r="B392" t="s">
        <v>1945</v>
      </c>
      <c r="C392" t="s">
        <v>495</v>
      </c>
      <c r="D392" t="s">
        <v>1946</v>
      </c>
      <c r="E392" t="s">
        <v>62</v>
      </c>
      <c r="F392" t="s">
        <v>35</v>
      </c>
      <c r="G392" t="s">
        <v>82</v>
      </c>
      <c r="H392" t="s">
        <v>245</v>
      </c>
      <c r="I392" t="s">
        <v>246</v>
      </c>
      <c r="J392" t="s">
        <v>54</v>
      </c>
      <c r="K392" t="s">
        <v>74</v>
      </c>
      <c r="L392" t="s">
        <v>1947</v>
      </c>
      <c r="M392" t="s">
        <v>76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43</v>
      </c>
      <c r="U392" t="s">
        <v>44</v>
      </c>
      <c r="W392" t="s">
        <v>1944</v>
      </c>
      <c r="X392" t="str">
        <v>06-11-24</v>
      </c>
      <c r="Y392" t="str">
        <v>11-11-24</v>
      </c>
      <c r="Z392" t="s">
        <v>1946</v>
      </c>
      <c r="AA392" t="str">
        <v>Isha Nair</v>
      </c>
      <c r="AB392" t="str">
        <f>TRIM(PROPER(F:F))</f>
        <v>Consumer</v>
      </c>
      <c r="AC392" t="str">
        <f>TRIM(PROPER(G:G))</f>
        <v>West</v>
      </c>
      <c r="AD392" t="str">
        <f>TRIM(PROPER(H:H))</f>
        <v>Gujarat</v>
      </c>
      <c r="AE392" t="str">
        <f>TRIM(PROPER(I:I))</f>
        <v>Ahmedabad</v>
      </c>
      <c r="AF392" t="str">
        <f>TRIM(PROPER(J:J))</f>
        <v>Furniture</v>
      </c>
      <c r="AG392" t="str">
        <f t="shared" si="10"/>
        <v>Furnishings</v>
      </c>
      <c r="AH392" t="str">
        <f t="shared" si="10"/>
        <v>Pro Furnishings 281</v>
      </c>
      <c r="AI392" t="str">
        <f t="shared" si="10"/>
        <v>Standard Class</v>
      </c>
      <c r="AJ392" s="3" t="str">
        <f t="shared" si="11"/>
        <v>anomaly</v>
      </c>
      <c r="AK392">
        <f>IFERROR(Y392-X392, "invalid date")</f>
        <v>5</v>
      </c>
      <c r="AL392" s="10">
        <v>0.2</v>
      </c>
      <c r="AM392" s="11">
        <v>6135.232</v>
      </c>
      <c r="AN392" s="11">
        <v>2695.442</v>
      </c>
      <c r="AO392" s="10">
        <v>0.43933823529411764</v>
      </c>
      <c r="AP392" t="s">
        <v>4454</v>
      </c>
      <c r="AQ392" t="s">
        <v>4237</v>
      </c>
      <c r="AR392" t="s">
        <v>4117</v>
      </c>
      <c r="AS392" t="s">
        <v>4107</v>
      </c>
      <c r="AT392" t="s">
        <v>4115</v>
      </c>
      <c r="AU392">
        <v>5</v>
      </c>
      <c r="AV392" t="s">
        <v>4109</v>
      </c>
    </row>
    <row r="393" spans="1:48">
      <c r="A393" t="s">
        <v>1948</v>
      </c>
      <c r="B393" t="s">
        <v>1929</v>
      </c>
      <c r="C393" t="s">
        <v>1949</v>
      </c>
      <c r="D393" t="s">
        <v>1950</v>
      </c>
      <c r="E393" t="s">
        <v>220</v>
      </c>
      <c r="F393" t="s">
        <v>35</v>
      </c>
      <c r="G393" t="s">
        <v>71</v>
      </c>
      <c r="H393" t="s">
        <v>239</v>
      </c>
      <c r="I393" t="s">
        <v>240</v>
      </c>
      <c r="J393" t="s">
        <v>39</v>
      </c>
      <c r="K393" t="s">
        <v>165</v>
      </c>
      <c r="L393" t="s">
        <v>1951</v>
      </c>
      <c r="M393" t="s">
        <v>65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43</v>
      </c>
      <c r="U393" t="s">
        <v>44</v>
      </c>
      <c r="W393" t="s">
        <v>1948</v>
      </c>
      <c r="X393" t="str">
        <v>14-02-25</v>
      </c>
      <c r="Y393" t="str">
        <v>14-02-25</v>
      </c>
      <c r="Z393" t="s">
        <v>1950</v>
      </c>
      <c r="AA393" t="str">
        <v>Diya Patel</v>
      </c>
      <c r="AB393" t="str">
        <f>TRIM(PROPER(F:F))</f>
        <v>Consumer</v>
      </c>
      <c r="AC393" t="str">
        <f>TRIM(PROPER(G:G))</f>
        <v>South</v>
      </c>
      <c r="AD393" t="str">
        <f>TRIM(PROPER(H:H))</f>
        <v>Karnataka</v>
      </c>
      <c r="AE393" t="str">
        <f>TRIM(PROPER(I:I))</f>
        <v>Bengaluru</v>
      </c>
      <c r="AF393" t="str">
        <f>TRIM(PROPER(J:J))</f>
        <v>Office Supplies</v>
      </c>
      <c r="AG393" t="str">
        <f t="shared" si="10"/>
        <v>Storage</v>
      </c>
      <c r="AH393" t="str">
        <f t="shared" si="10"/>
        <v>Eco Storage 285</v>
      </c>
      <c r="AI393" t="str">
        <f t="shared" si="10"/>
        <v>First Class</v>
      </c>
      <c r="AJ393" s="3" t="str">
        <f t="shared" si="11"/>
        <v xml:space="preserve">  </v>
      </c>
      <c r="AK393">
        <f>IFERROR(Y393-X393, "invalid date")</f>
        <v>0</v>
      </c>
      <c r="AL393" s="10">
        <v>0</v>
      </c>
      <c r="AM393" s="11">
        <v>714.43</v>
      </c>
      <c r="AN393" s="11">
        <v>148.9899999999999</v>
      </c>
      <c r="AO393" s="10">
        <v>0.20854387413742412</v>
      </c>
      <c r="AP393" t="s">
        <v>4519</v>
      </c>
      <c r="AQ393" t="s">
        <v>4519</v>
      </c>
      <c r="AR393" t="s">
        <v>4129</v>
      </c>
      <c r="AS393" t="s">
        <v>4120</v>
      </c>
      <c r="AT393" t="s">
        <v>4115</v>
      </c>
      <c r="AU393">
        <v>0</v>
      </c>
      <c r="AV393" t="s">
        <v>4109</v>
      </c>
    </row>
    <row r="394" spans="1:48">
      <c r="A394" t="s">
        <v>1952</v>
      </c>
      <c r="B394" t="s">
        <v>1953</v>
      </c>
      <c r="C394" t="s">
        <v>1954</v>
      </c>
      <c r="D394" t="s">
        <v>1955</v>
      </c>
      <c r="E394" t="s">
        <v>116</v>
      </c>
      <c r="F394" t="s">
        <v>50</v>
      </c>
      <c r="G394" t="s">
        <v>71</v>
      </c>
      <c r="H394" t="s">
        <v>252</v>
      </c>
      <c r="I394" t="s">
        <v>253</v>
      </c>
      <c r="J394" t="s">
        <v>54</v>
      </c>
      <c r="K394" t="s">
        <v>74</v>
      </c>
      <c r="L394" t="s">
        <v>1956</v>
      </c>
      <c r="M394" t="s">
        <v>57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43</v>
      </c>
      <c r="U394" t="s">
        <v>44</v>
      </c>
      <c r="W394" t="s">
        <v>1952</v>
      </c>
      <c r="X394" t="str">
        <v>invalid date</v>
      </c>
      <c r="Y394" t="str">
        <v>22-02-24</v>
      </c>
      <c r="Z394" t="s">
        <v>1955</v>
      </c>
      <c r="AA394" t="str">
        <v>Aditi Sen</v>
      </c>
      <c r="AB394" t="str">
        <f>TRIM(PROPER(F:F))</f>
        <v>Small Business</v>
      </c>
      <c r="AC394" t="str">
        <f>TRIM(PROPER(G:G))</f>
        <v>South</v>
      </c>
      <c r="AD394" t="str">
        <f>TRIM(PROPER(H:H))</f>
        <v>Kerala</v>
      </c>
      <c r="AE394" t="str">
        <f>TRIM(PROPER(I:I))</f>
        <v>Kochi</v>
      </c>
      <c r="AF394" t="str">
        <f>TRIM(PROPER(J:J))</f>
        <v>Furniture</v>
      </c>
      <c r="AG394" t="str">
        <f t="shared" si="10"/>
        <v>Furnishings</v>
      </c>
      <c r="AH394" t="str">
        <f t="shared" si="10"/>
        <v>Classic Furnishings 746</v>
      </c>
      <c r="AI394" t="str">
        <f t="shared" si="10"/>
        <v>Same Day</v>
      </c>
      <c r="AJ394" s="3" t="str">
        <f t="shared" si="11"/>
        <v>Invalid</v>
      </c>
      <c r="AK394" t="str">
        <f>IFERROR(Y394-X394, "invalid date")</f>
        <v>invalid date</v>
      </c>
      <c r="AL394" s="10">
        <v>0</v>
      </c>
      <c r="AM394" s="11">
        <v>36477.090000000004</v>
      </c>
      <c r="AN394" s="11">
        <v>11951.610000000004</v>
      </c>
      <c r="AO394" s="10">
        <v>0.32764702447481425</v>
      </c>
      <c r="AP394" t="s">
        <v>4105</v>
      </c>
      <c r="AQ394" t="s">
        <v>4523</v>
      </c>
      <c r="AR394" t="s">
        <v>4105</v>
      </c>
      <c r="AS394" t="s">
        <v>4105</v>
      </c>
      <c r="AT394" t="s">
        <v>4108</v>
      </c>
      <c r="AU394" t="s">
        <v>4105</v>
      </c>
      <c r="AV394" t="s">
        <v>4109</v>
      </c>
    </row>
    <row r="395" spans="1:48">
      <c r="A395" t="s">
        <v>1957</v>
      </c>
      <c r="B395" t="s">
        <v>1958</v>
      </c>
      <c r="C395" t="s">
        <v>1959</v>
      </c>
      <c r="D395" t="s">
        <v>1960</v>
      </c>
      <c r="E395" t="s">
        <v>49</v>
      </c>
      <c r="F395" t="s">
        <v>117</v>
      </c>
      <c r="G395" t="s">
        <v>36</v>
      </c>
      <c r="H395" t="s">
        <v>183</v>
      </c>
      <c r="I395" t="s">
        <v>184</v>
      </c>
      <c r="J395" t="s">
        <v>39</v>
      </c>
      <c r="K395" t="s">
        <v>118</v>
      </c>
      <c r="L395" t="s">
        <v>1961</v>
      </c>
      <c r="M395" t="s">
        <v>57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43</v>
      </c>
      <c r="U395" t="s">
        <v>44</v>
      </c>
      <c r="W395" t="s">
        <v>1957</v>
      </c>
      <c r="X395" t="str">
        <v>23-08-24</v>
      </c>
      <c r="Y395" t="str">
        <v>invalid date</v>
      </c>
      <c r="Z395" t="s">
        <v>1960</v>
      </c>
      <c r="AA395" t="str">
        <v>Mira Das</v>
      </c>
      <c r="AB395" t="str">
        <f>TRIM(PROPER(F:F))</f>
        <v>Corporate</v>
      </c>
      <c r="AC395" t="str">
        <f>TRIM(PROPER(G:G))</f>
        <v>North</v>
      </c>
      <c r="AD395" t="str">
        <f>TRIM(PROPER(H:H))</f>
        <v>Uttar Pradesh</v>
      </c>
      <c r="AE395" t="str">
        <f>TRIM(PROPER(I:I))</f>
        <v>Noida</v>
      </c>
      <c r="AF395" t="str">
        <f>TRIM(PROPER(J:J))</f>
        <v>Office Supplies</v>
      </c>
      <c r="AG395" t="str">
        <f t="shared" si="10"/>
        <v>Labels</v>
      </c>
      <c r="AH395" t="str">
        <f t="shared" si="10"/>
        <v>Eco Labels 815</v>
      </c>
      <c r="AI395" t="str">
        <f t="shared" si="10"/>
        <v>Same Day</v>
      </c>
      <c r="AJ395" s="3" t="str">
        <f t="shared" si="11"/>
        <v>Invalid</v>
      </c>
      <c r="AK395" t="str">
        <f>IFERROR(Y395-X395, "invalid date")</f>
        <v>invalid date</v>
      </c>
      <c r="AL395" s="10">
        <v>0.05</v>
      </c>
      <c r="AM395" s="11">
        <v>3680.1289999999999</v>
      </c>
      <c r="AN395" s="11">
        <v>712.66899999999987</v>
      </c>
      <c r="AO395" s="10">
        <v>0.19365326595888346</v>
      </c>
      <c r="AP395" t="s">
        <v>4504</v>
      </c>
      <c r="AQ395" t="s">
        <v>4105</v>
      </c>
      <c r="AR395" t="s">
        <v>4114</v>
      </c>
      <c r="AS395" t="s">
        <v>4107</v>
      </c>
      <c r="AT395" t="s">
        <v>4108</v>
      </c>
      <c r="AU395" t="s">
        <v>4105</v>
      </c>
      <c r="AV395" t="s">
        <v>4109</v>
      </c>
    </row>
    <row r="396" spans="1:48">
      <c r="A396" t="s">
        <v>1962</v>
      </c>
      <c r="B396" t="s">
        <v>1963</v>
      </c>
      <c r="C396" t="s">
        <v>1964</v>
      </c>
      <c r="D396" t="s">
        <v>1965</v>
      </c>
      <c r="E396" t="s">
        <v>377</v>
      </c>
      <c r="F396" t="s">
        <v>35</v>
      </c>
      <c r="G396" t="s">
        <v>82</v>
      </c>
      <c r="H396" t="s">
        <v>83</v>
      </c>
      <c r="I396" t="s">
        <v>84</v>
      </c>
      <c r="J396" t="s">
        <v>54</v>
      </c>
      <c r="K396" t="s">
        <v>74</v>
      </c>
      <c r="L396" t="s">
        <v>1966</v>
      </c>
      <c r="M396" t="s">
        <v>65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43</v>
      </c>
      <c r="U396" t="s">
        <v>44</v>
      </c>
      <c r="W396" t="s">
        <v>1962</v>
      </c>
      <c r="X396" t="str">
        <v>03-04-24</v>
      </c>
      <c r="Y396" t="str">
        <v>04-04-24</v>
      </c>
      <c r="Z396" t="s">
        <v>1965</v>
      </c>
      <c r="AA396" t="str">
        <v>Kabir Singh</v>
      </c>
      <c r="AB396" t="str">
        <f>TRIM(PROPER(F:F))</f>
        <v>Consumer</v>
      </c>
      <c r="AC396" t="str">
        <f>TRIM(PROPER(G:G))</f>
        <v>West</v>
      </c>
      <c r="AD396" t="str">
        <f>TRIM(PROPER(H:H))</f>
        <v>Maharashtra</v>
      </c>
      <c r="AE396" t="str">
        <f>TRIM(PROPER(I:I))</f>
        <v>Mumbai</v>
      </c>
      <c r="AF396" t="str">
        <f>TRIM(PROPER(J:J))</f>
        <v>Furniture</v>
      </c>
      <c r="AG396" t="str">
        <f t="shared" si="10"/>
        <v>Furnishings</v>
      </c>
      <c r="AH396" t="str">
        <f t="shared" si="10"/>
        <v>Prime Furnishings 879</v>
      </c>
      <c r="AI396" t="str">
        <f t="shared" si="10"/>
        <v>First Class</v>
      </c>
      <c r="AJ396" s="3" t="str">
        <f t="shared" si="11"/>
        <v>anomaly</v>
      </c>
      <c r="AK396">
        <f>IFERROR(Y396-X396, "invalid date")</f>
        <v>1</v>
      </c>
      <c r="AL396" s="10">
        <v>0</v>
      </c>
      <c r="AM396" s="11">
        <v>27616.47</v>
      </c>
      <c r="AN396" s="11">
        <v>6391.2100000000028</v>
      </c>
      <c r="AO396" s="10">
        <v>0.23142747787823725</v>
      </c>
      <c r="AP396" t="s">
        <v>4524</v>
      </c>
      <c r="AQ396" t="s">
        <v>4525</v>
      </c>
      <c r="AR396" t="s">
        <v>4199</v>
      </c>
      <c r="AS396" t="s">
        <v>4107</v>
      </c>
      <c r="AT396" t="s">
        <v>4115</v>
      </c>
      <c r="AU396">
        <v>1</v>
      </c>
      <c r="AV396" t="s">
        <v>4109</v>
      </c>
    </row>
    <row r="397" spans="1:48">
      <c r="A397" t="s">
        <v>1967</v>
      </c>
      <c r="B397" t="s">
        <v>1077</v>
      </c>
      <c r="C397" t="s">
        <v>1763</v>
      </c>
      <c r="D397" t="s">
        <v>1968</v>
      </c>
      <c r="E397" t="s">
        <v>157</v>
      </c>
      <c r="F397" t="s">
        <v>124</v>
      </c>
      <c r="G397" t="s">
        <v>71</v>
      </c>
      <c r="H397" t="s">
        <v>350</v>
      </c>
      <c r="I397" t="s">
        <v>351</v>
      </c>
      <c r="J397" t="s">
        <v>54</v>
      </c>
      <c r="K397" t="s">
        <v>55</v>
      </c>
      <c r="L397" t="s">
        <v>1969</v>
      </c>
      <c r="M397" t="s">
        <v>57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43</v>
      </c>
      <c r="U397" t="s">
        <v>44</v>
      </c>
      <c r="W397" t="s">
        <v>1967</v>
      </c>
      <c r="X397" t="str">
        <v>06-06-24</v>
      </c>
      <c r="Y397" t="str">
        <v>06-07-24</v>
      </c>
      <c r="Z397" t="s">
        <v>1968</v>
      </c>
      <c r="AA397" t="str">
        <v>Rahul Verma</v>
      </c>
      <c r="AB397" t="str">
        <f>TRIM(PROPER(F:F))</f>
        <v>Home Office</v>
      </c>
      <c r="AC397" t="str">
        <f>TRIM(PROPER(G:G))</f>
        <v>South</v>
      </c>
      <c r="AD397" t="str">
        <f>TRIM(PROPER(H:H))</f>
        <v>Tamil Nadu</v>
      </c>
      <c r="AE397" t="str">
        <f>TRIM(PROPER(I:I))</f>
        <v>Chennai</v>
      </c>
      <c r="AF397" t="str">
        <f>TRIM(PROPER(J:J))</f>
        <v>Furniture</v>
      </c>
      <c r="AG397" t="str">
        <f t="shared" si="10"/>
        <v>Tables</v>
      </c>
      <c r="AH397" t="str">
        <f t="shared" si="10"/>
        <v>Pro Tables 142</v>
      </c>
      <c r="AI397" t="str">
        <f t="shared" si="10"/>
        <v>Same Day</v>
      </c>
      <c r="AJ397" s="3" t="str">
        <f t="shared" si="11"/>
        <v>anomaly</v>
      </c>
      <c r="AK397">
        <f>IFERROR(Y397-X397, "invalid date")</f>
        <v>30</v>
      </c>
      <c r="AL397" s="10">
        <v>0.05</v>
      </c>
      <c r="AM397" s="11">
        <v>5731.7014999999992</v>
      </c>
      <c r="AN397" s="11">
        <v>1616.1414999999988</v>
      </c>
      <c r="AO397" s="10">
        <v>0.28196539893084088</v>
      </c>
      <c r="AP397" t="s">
        <v>4369</v>
      </c>
      <c r="AQ397" t="s">
        <v>4494</v>
      </c>
      <c r="AR397" t="s">
        <v>4170</v>
      </c>
      <c r="AS397" t="s">
        <v>4107</v>
      </c>
      <c r="AT397" t="s">
        <v>4115</v>
      </c>
      <c r="AU397">
        <v>30</v>
      </c>
      <c r="AV397" t="s">
        <v>4109</v>
      </c>
    </row>
    <row r="398" spans="1:48">
      <c r="A398" t="s">
        <v>1970</v>
      </c>
      <c r="B398" t="s">
        <v>1971</v>
      </c>
      <c r="C398" t="s">
        <v>1972</v>
      </c>
      <c r="D398" t="s">
        <v>1973</v>
      </c>
      <c r="E398" t="s">
        <v>116</v>
      </c>
      <c r="F398" t="s">
        <v>50</v>
      </c>
      <c r="G398" t="s">
        <v>71</v>
      </c>
      <c r="H398" t="s">
        <v>239</v>
      </c>
      <c r="I398" t="s">
        <v>240</v>
      </c>
      <c r="J398" t="s">
        <v>95</v>
      </c>
      <c r="K398" t="s">
        <v>393</v>
      </c>
      <c r="L398" t="s">
        <v>1974</v>
      </c>
      <c r="M398" t="s">
        <v>76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43</v>
      </c>
      <c r="U398" t="s">
        <v>44</v>
      </c>
      <c r="W398" t="s">
        <v>1970</v>
      </c>
      <c r="X398" t="str">
        <v>14-04-25</v>
      </c>
      <c r="Y398" t="str">
        <v>22-04-25</v>
      </c>
      <c r="Z398" t="s">
        <v>1973</v>
      </c>
      <c r="AA398" t="str">
        <v>Aditi Sen</v>
      </c>
      <c r="AB398" t="str">
        <f>TRIM(PROPER(F:F))</f>
        <v>Small Business</v>
      </c>
      <c r="AC398" t="str">
        <f>TRIM(PROPER(G:G))</f>
        <v>South</v>
      </c>
      <c r="AD398" t="str">
        <f>TRIM(PROPER(H:H))</f>
        <v>Karnataka</v>
      </c>
      <c r="AE398" t="str">
        <f>TRIM(PROPER(I:I))</f>
        <v>Bengaluru</v>
      </c>
      <c r="AF398" t="str">
        <f>TRIM(PROPER(J:J))</f>
        <v>Technology</v>
      </c>
      <c r="AG398" t="str">
        <f t="shared" si="10"/>
        <v>Machines</v>
      </c>
      <c r="AH398" t="str">
        <f t="shared" si="10"/>
        <v>Prime Machines 267</v>
      </c>
      <c r="AI398" t="str">
        <f t="shared" si="10"/>
        <v>Standard Class</v>
      </c>
      <c r="AJ398" s="3" t="str">
        <f t="shared" si="11"/>
        <v>anomaly</v>
      </c>
      <c r="AK398">
        <f>IFERROR(Y398-X398, "invalid date")</f>
        <v>8</v>
      </c>
      <c r="AL398" s="10">
        <v>0.05</v>
      </c>
      <c r="AM398" s="11">
        <v>1213.587</v>
      </c>
      <c r="AN398" s="11">
        <v>257.36699999999996</v>
      </c>
      <c r="AO398" s="10">
        <v>0.21207132245154239</v>
      </c>
      <c r="AP398" t="s">
        <v>4526</v>
      </c>
      <c r="AQ398" t="s">
        <v>4527</v>
      </c>
      <c r="AR398" t="s">
        <v>4199</v>
      </c>
      <c r="AS398" t="s">
        <v>4120</v>
      </c>
      <c r="AT398" t="s">
        <v>4115</v>
      </c>
      <c r="AU398">
        <v>8</v>
      </c>
      <c r="AV398" t="s">
        <v>4109</v>
      </c>
    </row>
    <row r="399" spans="1:48">
      <c r="A399" t="s">
        <v>1975</v>
      </c>
      <c r="B399" t="s">
        <v>1976</v>
      </c>
      <c r="C399" t="s">
        <v>1977</v>
      </c>
      <c r="D399" t="s">
        <v>1978</v>
      </c>
      <c r="E399" t="s">
        <v>177</v>
      </c>
      <c r="F399" t="s">
        <v>50</v>
      </c>
      <c r="G399" t="s">
        <v>36</v>
      </c>
      <c r="H399" t="s">
        <v>183</v>
      </c>
      <c r="I399" t="s">
        <v>184</v>
      </c>
      <c r="J399" t="s">
        <v>54</v>
      </c>
      <c r="K399" t="s">
        <v>55</v>
      </c>
      <c r="L399" t="s">
        <v>1979</v>
      </c>
      <c r="M399" t="s">
        <v>42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43</v>
      </c>
      <c r="U399" t="s">
        <v>44</v>
      </c>
      <c r="W399" t="s">
        <v>1975</v>
      </c>
      <c r="X399" t="str">
        <v>09-06-25</v>
      </c>
      <c r="Y399" t="str">
        <v>10-06-25</v>
      </c>
      <c r="Z399" t="s">
        <v>1978</v>
      </c>
      <c r="AA399" t="str">
        <v>Sneha Kapoor</v>
      </c>
      <c r="AB399" t="str">
        <f>TRIM(PROPER(F:F))</f>
        <v>Small Business</v>
      </c>
      <c r="AC399" t="str">
        <f>TRIM(PROPER(G:G))</f>
        <v>North</v>
      </c>
      <c r="AD399" t="str">
        <f>TRIM(PROPER(H:H))</f>
        <v>Uttar Pradesh</v>
      </c>
      <c r="AE399" t="str">
        <f>TRIM(PROPER(I:I))</f>
        <v>Noida</v>
      </c>
      <c r="AF399" t="str">
        <f>TRIM(PROPER(J:J))</f>
        <v>Furniture</v>
      </c>
      <c r="AG399" t="str">
        <f t="shared" si="10"/>
        <v>Tables</v>
      </c>
      <c r="AH399" t="str">
        <f t="shared" si="10"/>
        <v>Eco Tables 378</v>
      </c>
      <c r="AI399" t="str">
        <f t="shared" si="10"/>
        <v>Second Class</v>
      </c>
      <c r="AJ399" s="3" t="str">
        <f t="shared" si="11"/>
        <v>anomaly</v>
      </c>
      <c r="AK399">
        <f>IFERROR(Y399-X399, "invalid date")</f>
        <v>1</v>
      </c>
      <c r="AL399" s="10">
        <v>0</v>
      </c>
      <c r="AM399" s="11">
        <v>3463.76</v>
      </c>
      <c r="AN399" s="11">
        <v>1320.0200000000004</v>
      </c>
      <c r="AO399" s="10">
        <v>0.38109453310852959</v>
      </c>
      <c r="AP399" t="s">
        <v>4528</v>
      </c>
      <c r="AQ399" t="s">
        <v>4334</v>
      </c>
      <c r="AR399" t="s">
        <v>4170</v>
      </c>
      <c r="AS399" t="s">
        <v>4120</v>
      </c>
      <c r="AT399" t="s">
        <v>4115</v>
      </c>
      <c r="AU399">
        <v>1</v>
      </c>
      <c r="AV399" t="s">
        <v>4109</v>
      </c>
    </row>
    <row r="400" spans="1:48">
      <c r="A400" t="s">
        <v>1980</v>
      </c>
      <c r="B400" t="s">
        <v>1981</v>
      </c>
      <c r="C400" t="s">
        <v>1982</v>
      </c>
      <c r="D400" t="s">
        <v>1983</v>
      </c>
      <c r="E400" t="s">
        <v>92</v>
      </c>
      <c r="F400" t="s">
        <v>117</v>
      </c>
      <c r="G400" t="s">
        <v>36</v>
      </c>
      <c r="H400" t="s">
        <v>163</v>
      </c>
      <c r="I400" t="s">
        <v>164</v>
      </c>
      <c r="J400" t="s">
        <v>95</v>
      </c>
      <c r="K400" t="s">
        <v>393</v>
      </c>
      <c r="L400" t="s">
        <v>1984</v>
      </c>
      <c r="M400" t="s">
        <v>57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43</v>
      </c>
      <c r="U400" t="s">
        <v>44</v>
      </c>
      <c r="W400" t="s">
        <v>1980</v>
      </c>
      <c r="X400" t="str">
        <v>19-07-24</v>
      </c>
      <c r="Y400" t="str">
        <v>26-07-24</v>
      </c>
      <c r="Z400" t="s">
        <v>1983</v>
      </c>
      <c r="AA400" t="str">
        <v>Vikram Iyer</v>
      </c>
      <c r="AB400" t="str">
        <f>TRIM(PROPER(F:F))</f>
        <v>Corporate</v>
      </c>
      <c r="AC400" t="str">
        <f>TRIM(PROPER(G:G))</f>
        <v>North</v>
      </c>
      <c r="AD400" t="str">
        <f>TRIM(PROPER(H:H))</f>
        <v>Punjab</v>
      </c>
      <c r="AE400" t="str">
        <f>TRIM(PROPER(I:I))</f>
        <v>Ludhiana</v>
      </c>
      <c r="AF400" t="str">
        <f>TRIM(PROPER(J:J))</f>
        <v>Technology</v>
      </c>
      <c r="AG400" t="str">
        <f t="shared" si="10"/>
        <v>Machines</v>
      </c>
      <c r="AH400" t="str">
        <f t="shared" si="10"/>
        <v>Elite Machines 523</v>
      </c>
      <c r="AI400" t="str">
        <f t="shared" si="10"/>
        <v>Same Day</v>
      </c>
      <c r="AJ400" s="3" t="str">
        <f t="shared" si="11"/>
        <v>anomaly</v>
      </c>
      <c r="AK400">
        <f>IFERROR(Y400-X400, "invalid date")</f>
        <v>7</v>
      </c>
      <c r="AL400" s="10">
        <v>0.2</v>
      </c>
      <c r="AM400" s="11">
        <v>2021.8400000000001</v>
      </c>
      <c r="AN400" s="11">
        <v>666.62000000000012</v>
      </c>
      <c r="AO400" s="10">
        <v>0.32970957147944452</v>
      </c>
      <c r="AP400" t="s">
        <v>4194</v>
      </c>
      <c r="AQ400" t="s">
        <v>4529</v>
      </c>
      <c r="AR400" t="s">
        <v>4106</v>
      </c>
      <c r="AS400" t="s">
        <v>4107</v>
      </c>
      <c r="AT400" t="s">
        <v>4115</v>
      </c>
      <c r="AU400">
        <v>7</v>
      </c>
      <c r="AV400" t="s">
        <v>4109</v>
      </c>
    </row>
    <row r="401" spans="1:48">
      <c r="A401" t="s">
        <v>1985</v>
      </c>
      <c r="B401" t="s">
        <v>1986</v>
      </c>
      <c r="C401" t="s">
        <v>1987</v>
      </c>
      <c r="D401" t="s">
        <v>1988</v>
      </c>
      <c r="E401" t="s">
        <v>220</v>
      </c>
      <c r="F401" t="s">
        <v>50</v>
      </c>
      <c r="G401" t="s">
        <v>71</v>
      </c>
      <c r="H401" t="s">
        <v>109</v>
      </c>
      <c r="I401" t="s">
        <v>110</v>
      </c>
      <c r="J401" t="s">
        <v>39</v>
      </c>
      <c r="K401" t="s">
        <v>40</v>
      </c>
      <c r="L401" t="s">
        <v>1989</v>
      </c>
      <c r="M401" t="s">
        <v>57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43</v>
      </c>
      <c r="U401" t="s">
        <v>44</v>
      </c>
      <c r="W401" t="s">
        <v>1985</v>
      </c>
      <c r="X401" t="str">
        <v>invalid date</v>
      </c>
      <c r="Y401" t="str">
        <v>29-04-25</v>
      </c>
      <c r="Z401" t="s">
        <v>1988</v>
      </c>
      <c r="AA401" t="str">
        <v>Diya Patel</v>
      </c>
      <c r="AB401" t="str">
        <f>TRIM(PROPER(F:F))</f>
        <v>Small Business</v>
      </c>
      <c r="AC401" t="str">
        <f>TRIM(PROPER(G:G))</f>
        <v>South</v>
      </c>
      <c r="AD401" t="str">
        <f>TRIM(PROPER(H:H))</f>
        <v>Andhra Pradesh</v>
      </c>
      <c r="AE401" t="str">
        <f>TRIM(PROPER(I:I))</f>
        <v>Vijayawada</v>
      </c>
      <c r="AF401" t="str">
        <f>TRIM(PROPER(J:J))</f>
        <v>Office Supplies</v>
      </c>
      <c r="AG401" t="str">
        <f>TRIM(PROPER(K:K))</f>
        <v>Paper</v>
      </c>
      <c r="AH401" t="str">
        <f>TRIM(PROPER(L:L))</f>
        <v>Elite Paper 308</v>
      </c>
      <c r="AI401" t="str">
        <f>TRIM(PROPER(M:M))</f>
        <v>Same Day</v>
      </c>
      <c r="AJ401" s="3" t="str">
        <f t="shared" si="11"/>
        <v>Invalid</v>
      </c>
      <c r="AK401" t="str">
        <f>IFERROR(Y401-X401, "invalid date")</f>
        <v>invalid date</v>
      </c>
      <c r="AL401" s="10">
        <v>0.25</v>
      </c>
      <c r="AM401" s="11">
        <v>3268.875</v>
      </c>
      <c r="AN401" s="11">
        <v>1275.135</v>
      </c>
      <c r="AO401" s="10">
        <v>0.39008374440747962</v>
      </c>
      <c r="AP401" t="s">
        <v>4105</v>
      </c>
      <c r="AQ401" t="s">
        <v>4530</v>
      </c>
      <c r="AR401" t="s">
        <v>4105</v>
      </c>
      <c r="AS401" t="s">
        <v>4105</v>
      </c>
      <c r="AT401" t="s">
        <v>4108</v>
      </c>
      <c r="AU401" t="s">
        <v>4105</v>
      </c>
      <c r="AV401" t="s">
        <v>4109</v>
      </c>
    </row>
    <row r="402" spans="1:48">
      <c r="A402" t="s">
        <v>1990</v>
      </c>
      <c r="B402" t="s">
        <v>1991</v>
      </c>
      <c r="C402" t="s">
        <v>1992</v>
      </c>
      <c r="D402" t="s">
        <v>1993</v>
      </c>
      <c r="E402" t="s">
        <v>177</v>
      </c>
      <c r="F402" t="s">
        <v>50</v>
      </c>
      <c r="G402" t="s">
        <v>36</v>
      </c>
      <c r="H402" t="s">
        <v>183</v>
      </c>
      <c r="I402" t="s">
        <v>184</v>
      </c>
      <c r="J402" t="s">
        <v>39</v>
      </c>
      <c r="K402" t="s">
        <v>40</v>
      </c>
      <c r="L402" t="s">
        <v>1994</v>
      </c>
      <c r="M402" t="s">
        <v>57</v>
      </c>
      <c r="N402">
        <v>7</v>
      </c>
      <c r="O402">
        <v>878.09</v>
      </c>
      <c r="P402" s="4" t="s">
        <v>191</v>
      </c>
      <c r="Q402">
        <v>5839.3</v>
      </c>
      <c r="R402">
        <v>4877.38</v>
      </c>
      <c r="S402">
        <v>961.92</v>
      </c>
      <c r="T402" t="s">
        <v>43</v>
      </c>
      <c r="U402" t="s">
        <v>44</v>
      </c>
      <c r="W402" t="s">
        <v>1990</v>
      </c>
      <c r="X402" t="str">
        <v>06-06-25</v>
      </c>
      <c r="Y402" t="str">
        <v>11-06-25</v>
      </c>
      <c r="Z402" t="s">
        <v>1993</v>
      </c>
      <c r="AA402" t="str">
        <v>Sneha Kapoor</v>
      </c>
      <c r="AB402" t="str">
        <f>TRIM(PROPER(F:F))</f>
        <v>Small Business</v>
      </c>
      <c r="AC402" t="str">
        <f>TRIM(PROPER(G:G))</f>
        <v>North</v>
      </c>
      <c r="AD402" t="str">
        <f>TRIM(PROPER(H:H))</f>
        <v>Uttar Pradesh</v>
      </c>
      <c r="AE402" t="str">
        <f>TRIM(PROPER(I:I))</f>
        <v>Noida</v>
      </c>
      <c r="AF402" t="str">
        <f>TRIM(PROPER(J:J))</f>
        <v>Office Supplies</v>
      </c>
      <c r="AG402" t="str">
        <f>TRIM(PROPER(K:K))</f>
        <v>Paper</v>
      </c>
      <c r="AH402" t="str">
        <f>TRIM(PROPER(L:L))</f>
        <v>Prime Paper 851</v>
      </c>
      <c r="AI402" t="str">
        <f>TRIM(PROPER(M:M))</f>
        <v>Same Day</v>
      </c>
      <c r="AJ402" s="3" t="str">
        <f t="shared" si="11"/>
        <v>anomaly</v>
      </c>
      <c r="AK402">
        <f>IFERROR(Y402-X402, "invalid date")</f>
        <v>5</v>
      </c>
      <c r="AL402" s="10" t="s">
        <v>191</v>
      </c>
      <c r="AM402" s="11" t="s">
        <v>4111</v>
      </c>
      <c r="AN402" s="11" t="s">
        <v>4111</v>
      </c>
      <c r="AO402" s="10" t="s">
        <v>4111</v>
      </c>
      <c r="AP402" t="s">
        <v>4531</v>
      </c>
      <c r="AQ402" t="s">
        <v>4532</v>
      </c>
      <c r="AR402" t="s">
        <v>4170</v>
      </c>
      <c r="AS402" t="s">
        <v>4120</v>
      </c>
      <c r="AT402" t="s">
        <v>4115</v>
      </c>
      <c r="AU402">
        <v>5</v>
      </c>
      <c r="AV402" t="s">
        <v>4109</v>
      </c>
    </row>
    <row r="403" spans="1:48">
      <c r="A403" t="s">
        <v>1995</v>
      </c>
      <c r="B403" t="s">
        <v>1996</v>
      </c>
      <c r="C403" t="s">
        <v>1997</v>
      </c>
      <c r="D403" t="s">
        <v>1998</v>
      </c>
      <c r="E403" t="s">
        <v>70</v>
      </c>
      <c r="F403" t="s">
        <v>50</v>
      </c>
      <c r="G403" t="s">
        <v>51</v>
      </c>
      <c r="H403" t="s">
        <v>322</v>
      </c>
      <c r="I403" t="s">
        <v>323</v>
      </c>
      <c r="J403" t="s">
        <v>54</v>
      </c>
      <c r="K403" t="s">
        <v>55</v>
      </c>
      <c r="L403" t="s">
        <v>1999</v>
      </c>
      <c r="M403" t="s">
        <v>57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43</v>
      </c>
      <c r="U403" t="s">
        <v>44</v>
      </c>
      <c r="W403" t="s">
        <v>1995</v>
      </c>
      <c r="X403" t="str">
        <v>09-03-25</v>
      </c>
      <c r="Y403" t="str">
        <v>16-03-25</v>
      </c>
      <c r="Z403" t="s">
        <v>1998</v>
      </c>
      <c r="AA403" t="str">
        <v>Arjun Bose</v>
      </c>
      <c r="AB403" t="str">
        <f>TRIM(PROPER(F:F))</f>
        <v>Small Business</v>
      </c>
      <c r="AC403" t="str">
        <f>TRIM(PROPER(G:G))</f>
        <v>East</v>
      </c>
      <c r="AD403" t="str">
        <f>TRIM(PROPER(H:H))</f>
        <v>Jharkhand</v>
      </c>
      <c r="AE403" t="str">
        <f>TRIM(PROPER(I:I))</f>
        <v>Ranchi</v>
      </c>
      <c r="AF403" t="str">
        <f>TRIM(PROPER(J:J))</f>
        <v>Furniture</v>
      </c>
      <c r="AG403" t="str">
        <f>TRIM(PROPER(K:K))</f>
        <v>Tables</v>
      </c>
      <c r="AH403" t="str">
        <f>TRIM(PROPER(L:L))</f>
        <v>Classic Tables 151</v>
      </c>
      <c r="AI403" t="str">
        <f>TRIM(PROPER(M:M))</f>
        <v>Same Day</v>
      </c>
      <c r="AJ403" s="3" t="str">
        <f t="shared" si="11"/>
        <v>anomaly</v>
      </c>
      <c r="AK403">
        <f>IFERROR(Y403-X403, "invalid date")</f>
        <v>7</v>
      </c>
      <c r="AL403" s="10">
        <v>0</v>
      </c>
      <c r="AM403" s="11">
        <v>7877.5499999999993</v>
      </c>
      <c r="AN403" s="11">
        <v>2314.7799999999988</v>
      </c>
      <c r="AO403" s="10">
        <v>0.29384516759652418</v>
      </c>
      <c r="AP403" t="s">
        <v>4533</v>
      </c>
      <c r="AQ403" t="s">
        <v>4245</v>
      </c>
      <c r="AR403" t="s">
        <v>4159</v>
      </c>
      <c r="AS403" t="s">
        <v>4120</v>
      </c>
      <c r="AT403" t="s">
        <v>4115</v>
      </c>
      <c r="AU403">
        <v>7</v>
      </c>
      <c r="AV403" t="s">
        <v>4109</v>
      </c>
    </row>
    <row r="404" spans="1:48">
      <c r="A404" t="s">
        <v>2000</v>
      </c>
      <c r="B404" t="s">
        <v>2001</v>
      </c>
      <c r="C404" t="s">
        <v>2002</v>
      </c>
      <c r="D404" t="s">
        <v>2003</v>
      </c>
      <c r="E404" t="s">
        <v>151</v>
      </c>
      <c r="F404" t="s">
        <v>50</v>
      </c>
      <c r="G404" t="s">
        <v>71</v>
      </c>
      <c r="H404" t="s">
        <v>239</v>
      </c>
      <c r="I404" t="s">
        <v>240</v>
      </c>
      <c r="J404" t="s">
        <v>54</v>
      </c>
      <c r="K404" t="s">
        <v>55</v>
      </c>
      <c r="L404" t="s">
        <v>2004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43</v>
      </c>
      <c r="U404" t="s">
        <v>44</v>
      </c>
      <c r="W404" t="s">
        <v>2000</v>
      </c>
      <c r="X404" t="str">
        <v>22-03-24</v>
      </c>
      <c r="Y404" t="str">
        <v>invalid date</v>
      </c>
      <c r="Z404" t="s">
        <v>2003</v>
      </c>
      <c r="AA404" t="str">
        <v>Priya Menon</v>
      </c>
      <c r="AB404" t="str">
        <f>TRIM(PROPER(F:F))</f>
        <v>Small Business</v>
      </c>
      <c r="AC404" t="str">
        <f>TRIM(PROPER(G:G))</f>
        <v>South</v>
      </c>
      <c r="AD404" t="str">
        <f>TRIM(PROPER(H:H))</f>
        <v>Karnataka</v>
      </c>
      <c r="AE404" t="str">
        <f>TRIM(PROPER(I:I))</f>
        <v>Bengaluru</v>
      </c>
      <c r="AF404" t="str">
        <f>TRIM(PROPER(J:J))</f>
        <v>Furniture</v>
      </c>
      <c r="AG404" t="str">
        <f>TRIM(PROPER(K:K))</f>
        <v>Tables</v>
      </c>
      <c r="AH404" t="str">
        <f>TRIM(PROPER(L:L))</f>
        <v>Smart Tables 829</v>
      </c>
      <c r="AI404" s="4" t="s">
        <v>282</v>
      </c>
      <c r="AJ404" s="3" t="str">
        <f t="shared" si="11"/>
        <v>Invalid</v>
      </c>
      <c r="AK404" t="str">
        <f>IFERROR(Y404-X404, "invalid date")</f>
        <v>invalid date</v>
      </c>
      <c r="AL404" s="10">
        <v>0</v>
      </c>
      <c r="AM404" s="11">
        <v>4095.7799999999997</v>
      </c>
      <c r="AN404" s="11">
        <v>1288.0099999999998</v>
      </c>
      <c r="AO404" s="10">
        <v>0.31447245701673426</v>
      </c>
      <c r="AP404" t="s">
        <v>4534</v>
      </c>
      <c r="AQ404" t="s">
        <v>4105</v>
      </c>
      <c r="AR404" t="s">
        <v>4159</v>
      </c>
      <c r="AS404" t="s">
        <v>4107</v>
      </c>
      <c r="AT404" t="s">
        <v>4108</v>
      </c>
      <c r="AU404" t="s">
        <v>4105</v>
      </c>
      <c r="AV404" t="s">
        <v>4109</v>
      </c>
    </row>
    <row r="405" spans="1:48">
      <c r="A405" t="s">
        <v>2005</v>
      </c>
      <c r="B405" t="s">
        <v>2006</v>
      </c>
      <c r="C405" t="s">
        <v>2007</v>
      </c>
      <c r="D405" t="s">
        <v>2008</v>
      </c>
      <c r="E405" t="s">
        <v>70</v>
      </c>
      <c r="F405" t="s">
        <v>50</v>
      </c>
      <c r="G405" t="s">
        <v>71</v>
      </c>
      <c r="H405" t="s">
        <v>252</v>
      </c>
      <c r="I405" t="s">
        <v>253</v>
      </c>
      <c r="J405" t="s">
        <v>39</v>
      </c>
      <c r="K405" t="s">
        <v>2009</v>
      </c>
      <c r="L405" t="s">
        <v>2010</v>
      </c>
      <c r="M405" t="s">
        <v>57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43</v>
      </c>
      <c r="U405" t="s">
        <v>134</v>
      </c>
      <c r="W405" t="s">
        <v>2005</v>
      </c>
      <c r="X405" t="str">
        <v>invalid date</v>
      </c>
      <c r="Y405" t="str">
        <v>04-10-24</v>
      </c>
      <c r="Z405" t="s">
        <v>2008</v>
      </c>
      <c r="AA405" t="str">
        <v>Arjun Bose</v>
      </c>
      <c r="AB405" t="str">
        <f>TRIM(PROPER(F:F))</f>
        <v>Small Business</v>
      </c>
      <c r="AC405" t="str">
        <f>TRIM(PROPER(G:G))</f>
        <v>South</v>
      </c>
      <c r="AD405" t="str">
        <f>TRIM(PROPER(H:H))</f>
        <v>Kerala</v>
      </c>
      <c r="AE405" t="str">
        <f>TRIM(PROPER(I:I))</f>
        <v>Kochi</v>
      </c>
      <c r="AF405" t="str">
        <f>TRIM(PROPER(J:J))</f>
        <v>Office Supplies</v>
      </c>
      <c r="AG405" t="str">
        <f>TRIM(PROPER(K:K))</f>
        <v>Paper</v>
      </c>
      <c r="AH405" t="str">
        <f>TRIM(PROPER(L:L))</f>
        <v>Classic Paper 237</v>
      </c>
      <c r="AI405" t="str">
        <f>TRIM(PROPER(M:M))</f>
        <v>Same Day</v>
      </c>
      <c r="AJ405" s="3" t="str">
        <f t="shared" si="11"/>
        <v>Invalid</v>
      </c>
      <c r="AK405" t="str">
        <f>IFERROR(Y405-X405, "invalid date")</f>
        <v>invalid date</v>
      </c>
      <c r="AL405" s="10">
        <v>0.05</v>
      </c>
      <c r="AM405" s="11">
        <v>16683.1875</v>
      </c>
      <c r="AN405" s="11">
        <v>6382.0275000000001</v>
      </c>
      <c r="AO405" s="10">
        <v>0.38254245479168775</v>
      </c>
      <c r="AP405" t="s">
        <v>4105</v>
      </c>
      <c r="AQ405" t="s">
        <v>4535</v>
      </c>
      <c r="AR405" t="s">
        <v>4105</v>
      </c>
      <c r="AS405" t="s">
        <v>4105</v>
      </c>
      <c r="AT405" t="s">
        <v>4108</v>
      </c>
      <c r="AU405" t="s">
        <v>4105</v>
      </c>
      <c r="AV405" t="s">
        <v>4109</v>
      </c>
    </row>
    <row r="406" spans="1:48">
      <c r="A406" t="s">
        <v>2011</v>
      </c>
      <c r="B406" t="s">
        <v>2012</v>
      </c>
      <c r="C406" t="s">
        <v>2013</v>
      </c>
      <c r="D406" t="s">
        <v>2014</v>
      </c>
      <c r="E406" t="s">
        <v>116</v>
      </c>
      <c r="F406" t="s">
        <v>117</v>
      </c>
      <c r="G406" t="s">
        <v>82</v>
      </c>
      <c r="H406" t="s">
        <v>37</v>
      </c>
      <c r="I406" t="s">
        <v>144</v>
      </c>
      <c r="J406" t="s">
        <v>54</v>
      </c>
      <c r="K406" t="s">
        <v>85</v>
      </c>
      <c r="L406" t="s">
        <v>2015</v>
      </c>
      <c r="M406" t="s">
        <v>57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43</v>
      </c>
      <c r="U406" t="s">
        <v>44</v>
      </c>
      <c r="W406" t="s">
        <v>2011</v>
      </c>
      <c r="X406" t="str">
        <v>27-01-24</v>
      </c>
      <c r="Y406" t="str">
        <v>02-03-24</v>
      </c>
      <c r="Z406" t="s">
        <v>2014</v>
      </c>
      <c r="AA406" t="str">
        <v>Aditi Sen</v>
      </c>
      <c r="AB406" t="str">
        <f>TRIM(PROPER(F:F))</f>
        <v>Corporate</v>
      </c>
      <c r="AC406" t="str">
        <f>TRIM(PROPER(G:G))</f>
        <v>West</v>
      </c>
      <c r="AD406" t="str">
        <f>TRIM(PROPER(H:H))</f>
        <v>Rajasthan</v>
      </c>
      <c r="AE406" t="str">
        <f>TRIM(PROPER(I:I))</f>
        <v>Udaipur</v>
      </c>
      <c r="AF406" t="str">
        <f>TRIM(PROPER(J:J))</f>
        <v>Furniture</v>
      </c>
      <c r="AG406" t="str">
        <f>TRIM(PROPER(K:K))</f>
        <v>Chairs</v>
      </c>
      <c r="AH406" t="str">
        <f>TRIM(PROPER(L:L))</f>
        <v>Prime Chairs 891</v>
      </c>
      <c r="AI406" t="str">
        <f>TRIM(PROPER(M:M))</f>
        <v>Same Day</v>
      </c>
      <c r="AJ406" s="3" t="str">
        <f t="shared" si="11"/>
        <v xml:space="preserve">  </v>
      </c>
      <c r="AK406">
        <f>IFERROR(Y406-X406, "invalid date")</f>
        <v>35</v>
      </c>
      <c r="AL406" s="10">
        <v>0</v>
      </c>
      <c r="AM406" s="11">
        <v>1078.83</v>
      </c>
      <c r="AN406" s="11">
        <v>152.4799999999999</v>
      </c>
      <c r="AO406" s="10">
        <v>0.14133830167867034</v>
      </c>
      <c r="AP406" t="s">
        <v>4306</v>
      </c>
      <c r="AQ406" t="s">
        <v>4536</v>
      </c>
      <c r="AR406" t="s">
        <v>4153</v>
      </c>
      <c r="AS406" t="s">
        <v>4107</v>
      </c>
      <c r="AT406" t="s">
        <v>4121</v>
      </c>
      <c r="AU406">
        <v>35</v>
      </c>
      <c r="AV406" t="s">
        <v>4109</v>
      </c>
    </row>
    <row r="407" spans="1:48">
      <c r="A407" t="s">
        <v>2016</v>
      </c>
      <c r="B407" t="s">
        <v>2017</v>
      </c>
      <c r="C407" t="s">
        <v>2018</v>
      </c>
      <c r="D407" t="s">
        <v>2019</v>
      </c>
      <c r="E407" t="s">
        <v>116</v>
      </c>
      <c r="F407" t="s">
        <v>124</v>
      </c>
      <c r="G407" t="s">
        <v>82</v>
      </c>
      <c r="H407" t="s">
        <v>245</v>
      </c>
      <c r="I407" t="s">
        <v>246</v>
      </c>
      <c r="J407" t="s">
        <v>54</v>
      </c>
      <c r="K407" t="s">
        <v>214</v>
      </c>
      <c r="L407" t="s">
        <v>2020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43</v>
      </c>
      <c r="U407" t="s">
        <v>44</v>
      </c>
      <c r="W407" t="s">
        <v>2016</v>
      </c>
      <c r="X407" t="str">
        <v>invalid date</v>
      </c>
      <c r="Y407" t="str">
        <v>24-09-24</v>
      </c>
      <c r="Z407" t="s">
        <v>2019</v>
      </c>
      <c r="AA407" t="str">
        <v>Aditi Sen</v>
      </c>
      <c r="AB407" t="str">
        <f>TRIM(PROPER(F:F))</f>
        <v>Home Office</v>
      </c>
      <c r="AC407" t="str">
        <f>TRIM(PROPER(G:G))</f>
        <v>West</v>
      </c>
      <c r="AD407" t="str">
        <f>TRIM(PROPER(H:H))</f>
        <v>Gujarat</v>
      </c>
      <c r="AE407" t="str">
        <f>TRIM(PROPER(I:I))</f>
        <v>Ahmedabad</v>
      </c>
      <c r="AF407" t="str">
        <f>TRIM(PROPER(J:J))</f>
        <v>Furniture</v>
      </c>
      <c r="AG407" t="str">
        <f>TRIM(PROPER(K:K))</f>
        <v>Bookcases</v>
      </c>
      <c r="AH407" t="str">
        <f>TRIM(PROPER(L:L))</f>
        <v>Max Bookcases 812</v>
      </c>
      <c r="AI407" s="4" t="s">
        <v>282</v>
      </c>
      <c r="AJ407" s="3" t="str">
        <f t="shared" si="11"/>
        <v>Invalid</v>
      </c>
      <c r="AK407" t="str">
        <f>IFERROR(Y407-X407, "invalid date")</f>
        <v>invalid date</v>
      </c>
      <c r="AL407" s="10">
        <v>0.1</v>
      </c>
      <c r="AM407" s="11">
        <v>24431.463</v>
      </c>
      <c r="AN407" s="11">
        <v>6229.1029999999992</v>
      </c>
      <c r="AO407" s="10">
        <v>0.25496234097810677</v>
      </c>
      <c r="AP407" t="s">
        <v>4105</v>
      </c>
      <c r="AQ407" t="s">
        <v>4537</v>
      </c>
      <c r="AR407" t="s">
        <v>4105</v>
      </c>
      <c r="AS407" t="s">
        <v>4105</v>
      </c>
      <c r="AT407" t="s">
        <v>4108</v>
      </c>
      <c r="AU407" t="s">
        <v>4105</v>
      </c>
      <c r="AV407" t="s">
        <v>4109</v>
      </c>
    </row>
    <row r="408" spans="1:48">
      <c r="A408" t="s">
        <v>2021</v>
      </c>
      <c r="B408" t="s">
        <v>2022</v>
      </c>
      <c r="C408" t="s">
        <v>2022</v>
      </c>
      <c r="D408" t="s">
        <v>2023</v>
      </c>
      <c r="E408" t="s">
        <v>377</v>
      </c>
      <c r="F408" t="s">
        <v>50</v>
      </c>
      <c r="G408" t="s">
        <v>82</v>
      </c>
      <c r="H408" t="s">
        <v>259</v>
      </c>
      <c r="I408" t="s">
        <v>260</v>
      </c>
      <c r="J408" t="s">
        <v>54</v>
      </c>
      <c r="K408" t="s">
        <v>74</v>
      </c>
      <c r="L408" t="s">
        <v>2024</v>
      </c>
      <c r="M408" t="s">
        <v>76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146</v>
      </c>
      <c r="U408" t="s">
        <v>134</v>
      </c>
      <c r="W408" t="s">
        <v>2021</v>
      </c>
      <c r="X408" t="str">
        <v>25-02-25</v>
      </c>
      <c r="Y408" t="str">
        <v>25-02-25</v>
      </c>
      <c r="Z408" t="s">
        <v>2023</v>
      </c>
      <c r="AA408" t="str">
        <v>Kabir Singh</v>
      </c>
      <c r="AB408" t="str">
        <f>TRIM(PROPER(F:F))</f>
        <v>Small Business</v>
      </c>
      <c r="AC408" t="str">
        <f>TRIM(PROPER(G:G))</f>
        <v>West</v>
      </c>
      <c r="AD408" t="str">
        <f>TRIM(PROPER(H:H))</f>
        <v>Goa</v>
      </c>
      <c r="AE408" t="str">
        <f>TRIM(PROPER(I:I))</f>
        <v>Panaji</v>
      </c>
      <c r="AF408" t="str">
        <f>TRIM(PROPER(J:J))</f>
        <v>Furniture</v>
      </c>
      <c r="AG408" t="str">
        <f>TRIM(PROPER(K:K))</f>
        <v>Furnishings</v>
      </c>
      <c r="AH408" t="str">
        <f>TRIM(PROPER(L:L))</f>
        <v>Basic Furnishings 164</v>
      </c>
      <c r="AI408" t="str">
        <f>TRIM(PROPER(M:M))</f>
        <v>Standard Class</v>
      </c>
      <c r="AJ408" s="3" t="str">
        <f t="shared" si="11"/>
        <v xml:space="preserve">  </v>
      </c>
      <c r="AK408">
        <f>IFERROR(Y408-X408, "invalid date")</f>
        <v>0</v>
      </c>
      <c r="AL408" s="10">
        <v>0.25</v>
      </c>
      <c r="AM408" s="11">
        <v>5886.2999999999993</v>
      </c>
      <c r="AN408" s="11">
        <v>2264.5399999999991</v>
      </c>
      <c r="AO408" s="10">
        <v>0.38471365713606159</v>
      </c>
      <c r="AP408" t="s">
        <v>4538</v>
      </c>
      <c r="AQ408" t="s">
        <v>4538</v>
      </c>
      <c r="AR408" t="s">
        <v>4129</v>
      </c>
      <c r="AS408" t="s">
        <v>4120</v>
      </c>
      <c r="AT408" t="s">
        <v>4115</v>
      </c>
      <c r="AU408">
        <v>0</v>
      </c>
      <c r="AV408" t="s">
        <v>4109</v>
      </c>
    </row>
    <row r="409" spans="1:48">
      <c r="A409" t="s">
        <v>2025</v>
      </c>
      <c r="B409" t="s">
        <v>2026</v>
      </c>
      <c r="C409" t="s">
        <v>2027</v>
      </c>
      <c r="D409" t="s">
        <v>2028</v>
      </c>
      <c r="E409" t="s">
        <v>157</v>
      </c>
      <c r="F409" t="s">
        <v>117</v>
      </c>
      <c r="G409" t="s">
        <v>82</v>
      </c>
      <c r="H409" t="s">
        <v>259</v>
      </c>
      <c r="I409" t="s">
        <v>260</v>
      </c>
      <c r="J409" t="s">
        <v>39</v>
      </c>
      <c r="K409" t="s">
        <v>118</v>
      </c>
      <c r="L409" t="s">
        <v>2029</v>
      </c>
      <c r="M409" t="s">
        <v>42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43</v>
      </c>
      <c r="U409" t="s">
        <v>44</v>
      </c>
      <c r="W409" t="s">
        <v>2025</v>
      </c>
      <c r="X409" t="str">
        <v>12-05-24</v>
      </c>
      <c r="Y409" t="str">
        <v>13-05-24</v>
      </c>
      <c r="Z409" t="s">
        <v>2028</v>
      </c>
      <c r="AA409" t="str">
        <v>Rahul Verma</v>
      </c>
      <c r="AB409" t="str">
        <f>TRIM(PROPER(F:F))</f>
        <v>Corporate</v>
      </c>
      <c r="AC409" t="str">
        <f>TRIM(PROPER(G:G))</f>
        <v>West</v>
      </c>
      <c r="AD409" t="str">
        <f>TRIM(PROPER(H:H))</f>
        <v>Goa</v>
      </c>
      <c r="AE409" t="str">
        <f>TRIM(PROPER(I:I))</f>
        <v>Panaji</v>
      </c>
      <c r="AF409" t="str">
        <f>TRIM(PROPER(J:J))</f>
        <v>Office Supplies</v>
      </c>
      <c r="AG409" t="str">
        <f>TRIM(PROPER(K:K))</f>
        <v>Labels</v>
      </c>
      <c r="AH409" t="str">
        <f>TRIM(PROPER(L:L))</f>
        <v>Smart Labels 261</v>
      </c>
      <c r="AI409" t="str">
        <f>TRIM(PROPER(M:M))</f>
        <v>Second Class</v>
      </c>
      <c r="AJ409" s="3" t="str">
        <f t="shared" si="11"/>
        <v>anomaly</v>
      </c>
      <c r="AK409">
        <f>IFERROR(Y409-X409, "invalid date")</f>
        <v>1</v>
      </c>
      <c r="AL409" s="10">
        <v>0</v>
      </c>
      <c r="AM409" s="11">
        <v>7933.6500000000005</v>
      </c>
      <c r="AN409" s="11">
        <v>2235.2300000000005</v>
      </c>
      <c r="AO409" s="10">
        <v>0.2817404347305465</v>
      </c>
      <c r="AP409" t="s">
        <v>4499</v>
      </c>
      <c r="AQ409" t="s">
        <v>4520</v>
      </c>
      <c r="AR409" t="s">
        <v>4124</v>
      </c>
      <c r="AS409" t="s">
        <v>4107</v>
      </c>
      <c r="AT409" t="s">
        <v>4115</v>
      </c>
      <c r="AU409">
        <v>1</v>
      </c>
      <c r="AV409" t="s">
        <v>4109</v>
      </c>
    </row>
    <row r="410" spans="1:48">
      <c r="A410" t="s">
        <v>2030</v>
      </c>
      <c r="B410" t="s">
        <v>830</v>
      </c>
      <c r="C410" t="s">
        <v>1090</v>
      </c>
      <c r="D410" t="s">
        <v>2031</v>
      </c>
      <c r="E410" t="s">
        <v>177</v>
      </c>
      <c r="F410" t="s">
        <v>35</v>
      </c>
      <c r="G410" t="s">
        <v>82</v>
      </c>
      <c r="H410" t="s">
        <v>83</v>
      </c>
      <c r="I410" t="s">
        <v>84</v>
      </c>
      <c r="J410" t="s">
        <v>54</v>
      </c>
      <c r="K410" t="s">
        <v>85</v>
      </c>
      <c r="L410" t="s">
        <v>2032</v>
      </c>
      <c r="M410" t="s">
        <v>65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210</v>
      </c>
      <c r="U410" t="s">
        <v>134</v>
      </c>
      <c r="W410" t="s">
        <v>2030</v>
      </c>
      <c r="X410" t="str">
        <v>08-01-25</v>
      </c>
      <c r="Y410" t="str">
        <v>08-03-25</v>
      </c>
      <c r="Z410" t="s">
        <v>2031</v>
      </c>
      <c r="AA410" t="str">
        <v>Sneha Kapoor</v>
      </c>
      <c r="AB410" t="str">
        <f>TRIM(PROPER(F:F))</f>
        <v>Consumer</v>
      </c>
      <c r="AC410" t="str">
        <f>TRIM(PROPER(G:G))</f>
        <v>West</v>
      </c>
      <c r="AD410" t="str">
        <f>TRIM(PROPER(H:H))</f>
        <v>Maharashtra</v>
      </c>
      <c r="AE410" t="str">
        <f>TRIM(PROPER(I:I))</f>
        <v>Mumbai</v>
      </c>
      <c r="AF410" t="str">
        <f>TRIM(PROPER(J:J))</f>
        <v>Furniture</v>
      </c>
      <c r="AG410" t="str">
        <f>TRIM(PROPER(K:K))</f>
        <v>Chairs</v>
      </c>
      <c r="AH410" t="str">
        <f>TRIM(PROPER(L:L))</f>
        <v>Max Chairs 765</v>
      </c>
      <c r="AI410" t="str">
        <f>TRIM(PROPER(M:M))</f>
        <v>First Class</v>
      </c>
      <c r="AJ410" s="3" t="str">
        <f t="shared" si="11"/>
        <v>anomaly</v>
      </c>
      <c r="AK410">
        <f>IFERROR(Y410-X410, "invalid date")</f>
        <v>59</v>
      </c>
      <c r="AL410" s="10">
        <v>0</v>
      </c>
      <c r="AM410" s="11">
        <v>7093.84</v>
      </c>
      <c r="AN410" s="11">
        <v>2506.3500000000004</v>
      </c>
      <c r="AO410" s="10">
        <v>0.35331357910525191</v>
      </c>
      <c r="AP410" t="s">
        <v>4321</v>
      </c>
      <c r="AQ410" t="s">
        <v>4372</v>
      </c>
      <c r="AR410" t="s">
        <v>4153</v>
      </c>
      <c r="AS410" t="s">
        <v>4120</v>
      </c>
      <c r="AT410" t="s">
        <v>4115</v>
      </c>
      <c r="AU410">
        <v>59</v>
      </c>
      <c r="AV410" t="s">
        <v>4109</v>
      </c>
    </row>
    <row r="411" spans="1:48">
      <c r="A411" t="s">
        <v>2033</v>
      </c>
      <c r="B411" t="s">
        <v>840</v>
      </c>
      <c r="C411" t="s">
        <v>781</v>
      </c>
      <c r="D411" t="s">
        <v>2034</v>
      </c>
      <c r="E411" t="s">
        <v>34</v>
      </c>
      <c r="F411" t="s">
        <v>35</v>
      </c>
      <c r="G411" t="s">
        <v>51</v>
      </c>
      <c r="H411" t="s">
        <v>226</v>
      </c>
      <c r="I411" t="s">
        <v>227</v>
      </c>
      <c r="J411" t="s">
        <v>95</v>
      </c>
      <c r="K411" t="s">
        <v>96</v>
      </c>
      <c r="L411" t="s">
        <v>2035</v>
      </c>
      <c r="M411" t="s">
        <v>57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133</v>
      </c>
      <c r="U411" t="s">
        <v>134</v>
      </c>
      <c r="W411" t="s">
        <v>2033</v>
      </c>
      <c r="X411" t="str">
        <v>13-02-25</v>
      </c>
      <c r="Y411" t="str">
        <v>15-02-25</v>
      </c>
      <c r="Z411" t="s">
        <v>2034</v>
      </c>
      <c r="AA411" t="str">
        <v>Karan Malhotra</v>
      </c>
      <c r="AB411" t="str">
        <f>TRIM(PROPER(F:F))</f>
        <v>Consumer</v>
      </c>
      <c r="AC411" t="str">
        <f>TRIM(PROPER(G:G))</f>
        <v>East</v>
      </c>
      <c r="AD411" t="str">
        <f>TRIM(PROPER(H:H))</f>
        <v>Assam</v>
      </c>
      <c r="AE411" t="str">
        <f>TRIM(PROPER(I:I))</f>
        <v>Guwahati</v>
      </c>
      <c r="AF411" t="str">
        <f>TRIM(PROPER(J:J))</f>
        <v>Technology</v>
      </c>
      <c r="AG411" t="str">
        <f>TRIM(PROPER(K:K))</f>
        <v>Accessories</v>
      </c>
      <c r="AH411" t="str">
        <f>TRIM(PROPER(L:L))</f>
        <v>Pro Accessories 686</v>
      </c>
      <c r="AI411" t="str">
        <f>TRIM(PROPER(M:M))</f>
        <v>Same Day</v>
      </c>
      <c r="AJ411" s="3" t="str">
        <f t="shared" si="11"/>
        <v>anomaly</v>
      </c>
      <c r="AK411">
        <f>IFERROR(Y411-X411, "invalid date")</f>
        <v>2</v>
      </c>
      <c r="AL411" s="10">
        <v>0.25</v>
      </c>
      <c r="AM411" s="11">
        <v>2269.0950000000003</v>
      </c>
      <c r="AN411" s="11">
        <v>675.50500000000034</v>
      </c>
      <c r="AO411" s="10">
        <v>0.29769798091309541</v>
      </c>
      <c r="AP411" t="s">
        <v>4323</v>
      </c>
      <c r="AQ411" t="s">
        <v>4290</v>
      </c>
      <c r="AR411" t="s">
        <v>4129</v>
      </c>
      <c r="AS411" t="s">
        <v>4120</v>
      </c>
      <c r="AT411" t="s">
        <v>4115</v>
      </c>
      <c r="AU411">
        <v>2</v>
      </c>
      <c r="AV411" t="s">
        <v>4109</v>
      </c>
    </row>
    <row r="412" spans="1:48">
      <c r="A412" t="s">
        <v>2036</v>
      </c>
      <c r="B412" t="s">
        <v>2037</v>
      </c>
      <c r="C412" t="s">
        <v>2038</v>
      </c>
      <c r="D412" t="s">
        <v>2039</v>
      </c>
      <c r="E412" t="s">
        <v>220</v>
      </c>
      <c r="F412" t="s">
        <v>35</v>
      </c>
      <c r="G412" t="s">
        <v>82</v>
      </c>
      <c r="H412" t="s">
        <v>259</v>
      </c>
      <c r="I412" t="s">
        <v>260</v>
      </c>
      <c r="J412" t="s">
        <v>54</v>
      </c>
      <c r="K412" t="s">
        <v>55</v>
      </c>
      <c r="L412" t="s">
        <v>2040</v>
      </c>
      <c r="M412" t="s">
        <v>65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43</v>
      </c>
      <c r="U412" t="s">
        <v>44</v>
      </c>
      <c r="W412" t="s">
        <v>2036</v>
      </c>
      <c r="X412" t="str">
        <v>12-04-24</v>
      </c>
      <c r="Y412" t="str">
        <v>20-04-24</v>
      </c>
      <c r="Z412" t="s">
        <v>2039</v>
      </c>
      <c r="AA412" t="str">
        <v>Diya Patel</v>
      </c>
      <c r="AB412" t="str">
        <f>TRIM(PROPER(F:F))</f>
        <v>Consumer</v>
      </c>
      <c r="AC412" t="str">
        <f>TRIM(PROPER(G:G))</f>
        <v>West</v>
      </c>
      <c r="AD412" t="str">
        <f>TRIM(PROPER(H:H))</f>
        <v>Goa</v>
      </c>
      <c r="AE412" t="str">
        <f>TRIM(PROPER(I:I))</f>
        <v>Panaji</v>
      </c>
      <c r="AF412" t="str">
        <f>TRIM(PROPER(J:J))</f>
        <v>Furniture</v>
      </c>
      <c r="AG412" t="str">
        <f>TRIM(PROPER(K:K))</f>
        <v>Tables</v>
      </c>
      <c r="AH412" t="str">
        <f>TRIM(PROPER(L:L))</f>
        <v>Smart Tables 100</v>
      </c>
      <c r="AI412" t="str">
        <f>TRIM(PROPER(M:M))</f>
        <v>First Class</v>
      </c>
      <c r="AJ412" s="3" t="str">
        <f t="shared" si="11"/>
        <v>anomaly</v>
      </c>
      <c r="AK412">
        <f>IFERROR(Y412-X412, "invalid date")</f>
        <v>8</v>
      </c>
      <c r="AL412" s="10">
        <v>0.2</v>
      </c>
      <c r="AM412" s="11">
        <v>9378.7919999999995</v>
      </c>
      <c r="AN412" s="11">
        <v>2604.3119999999999</v>
      </c>
      <c r="AO412" s="10">
        <v>0.27768096360384154</v>
      </c>
      <c r="AP412" t="s">
        <v>4470</v>
      </c>
      <c r="AQ412" t="s">
        <v>4539</v>
      </c>
      <c r="AR412" t="s">
        <v>4199</v>
      </c>
      <c r="AS412" t="s">
        <v>4107</v>
      </c>
      <c r="AT412" t="s">
        <v>4115</v>
      </c>
      <c r="AU412">
        <v>8</v>
      </c>
      <c r="AV412" t="s">
        <v>4109</v>
      </c>
    </row>
    <row r="413" spans="1:48">
      <c r="A413" t="s">
        <v>2041</v>
      </c>
      <c r="B413" t="s">
        <v>2042</v>
      </c>
      <c r="C413" t="s">
        <v>2043</v>
      </c>
      <c r="D413" t="s">
        <v>2044</v>
      </c>
      <c r="E413" t="s">
        <v>70</v>
      </c>
      <c r="F413" t="s">
        <v>124</v>
      </c>
      <c r="G413" t="s">
        <v>82</v>
      </c>
      <c r="H413" t="s">
        <v>37</v>
      </c>
      <c r="I413" t="s">
        <v>144</v>
      </c>
      <c r="J413" t="s">
        <v>54</v>
      </c>
      <c r="K413" t="s">
        <v>55</v>
      </c>
      <c r="L413" t="s">
        <v>2045</v>
      </c>
      <c r="M413" t="s">
        <v>65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210</v>
      </c>
      <c r="U413" t="s">
        <v>134</v>
      </c>
      <c r="W413" t="s">
        <v>2041</v>
      </c>
      <c r="X413" t="str">
        <v>23-08-25</v>
      </c>
      <c r="Y413" t="str">
        <v>28-08-25</v>
      </c>
      <c r="Z413" t="s">
        <v>2044</v>
      </c>
      <c r="AA413" t="str">
        <v>Arjun Bose</v>
      </c>
      <c r="AB413" t="str">
        <f>TRIM(PROPER(F:F))</f>
        <v>Home Office</v>
      </c>
      <c r="AC413" t="str">
        <f>TRIM(PROPER(G:G))</f>
        <v>West</v>
      </c>
      <c r="AD413" t="str">
        <f>TRIM(PROPER(H:H))</f>
        <v>Rajasthan</v>
      </c>
      <c r="AE413" t="str">
        <f>TRIM(PROPER(I:I))</f>
        <v>Udaipur</v>
      </c>
      <c r="AF413" t="str">
        <f>TRIM(PROPER(J:J))</f>
        <v>Furniture</v>
      </c>
      <c r="AG413" t="str">
        <f>TRIM(PROPER(K:K))</f>
        <v>Tables</v>
      </c>
      <c r="AH413" t="str">
        <f>TRIM(PROPER(L:L))</f>
        <v>Basic Tables 615</v>
      </c>
      <c r="AI413" t="str">
        <f>TRIM(PROPER(M:M))</f>
        <v>First Class</v>
      </c>
      <c r="AJ413" s="3" t="str">
        <f t="shared" si="11"/>
        <v>anomaly</v>
      </c>
      <c r="AK413">
        <f>IFERROR(Y413-X413, "invalid date")</f>
        <v>5</v>
      </c>
      <c r="AL413" s="10">
        <v>0.2</v>
      </c>
      <c r="AM413" s="11">
        <v>3334.2480000000005</v>
      </c>
      <c r="AN413" s="11">
        <v>565.47800000000052</v>
      </c>
      <c r="AO413" s="10">
        <v>0.16959686262089696</v>
      </c>
      <c r="AP413" t="s">
        <v>4281</v>
      </c>
      <c r="AQ413" t="s">
        <v>4540</v>
      </c>
      <c r="AR413" t="s">
        <v>4114</v>
      </c>
      <c r="AS413" t="s">
        <v>4120</v>
      </c>
      <c r="AT413" t="s">
        <v>4115</v>
      </c>
      <c r="AU413">
        <v>5</v>
      </c>
      <c r="AV413" t="s">
        <v>4109</v>
      </c>
    </row>
    <row r="414" spans="1:48">
      <c r="A414" t="s">
        <v>2046</v>
      </c>
      <c r="B414" t="s">
        <v>2047</v>
      </c>
      <c r="C414" t="s">
        <v>844</v>
      </c>
      <c r="D414" t="s">
        <v>2048</v>
      </c>
      <c r="E414" t="s">
        <v>62</v>
      </c>
      <c r="F414" t="s">
        <v>117</v>
      </c>
      <c r="G414" t="s">
        <v>71</v>
      </c>
      <c r="H414" t="s">
        <v>239</v>
      </c>
      <c r="I414" t="s">
        <v>240</v>
      </c>
      <c r="J414" t="s">
        <v>54</v>
      </c>
      <c r="K414" t="s">
        <v>85</v>
      </c>
      <c r="L414" t="s">
        <v>2049</v>
      </c>
      <c r="M414" t="s">
        <v>57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43</v>
      </c>
      <c r="U414" t="s">
        <v>44</v>
      </c>
      <c r="W414" t="s">
        <v>2046</v>
      </c>
      <c r="X414" t="str">
        <v>22-01-24</v>
      </c>
      <c r="Y414" t="str">
        <v>30-01-24</v>
      </c>
      <c r="Z414" t="s">
        <v>2048</v>
      </c>
      <c r="AA414" t="str">
        <v>Isha Nair</v>
      </c>
      <c r="AB414" t="str">
        <f>TRIM(PROPER(F:F))</f>
        <v>Corporate</v>
      </c>
      <c r="AC414" t="str">
        <f>TRIM(PROPER(G:G))</f>
        <v>South</v>
      </c>
      <c r="AD414" t="str">
        <f>TRIM(PROPER(H:H))</f>
        <v>Karnataka</v>
      </c>
      <c r="AE414" t="str">
        <f>TRIM(PROPER(I:I))</f>
        <v>Bengaluru</v>
      </c>
      <c r="AF414" t="str">
        <f>TRIM(PROPER(J:J))</f>
        <v>Furniture</v>
      </c>
      <c r="AG414" t="str">
        <f>TRIM(PROPER(K:K))</f>
        <v>Chairs</v>
      </c>
      <c r="AH414" t="str">
        <f>TRIM(PROPER(L:L))</f>
        <v>Basic Chairs 790</v>
      </c>
      <c r="AI414" t="str">
        <f>TRIM(PROPER(M:M))</f>
        <v>Same Day</v>
      </c>
      <c r="AJ414" s="3" t="str">
        <f t="shared" si="11"/>
        <v>anomaly</v>
      </c>
      <c r="AK414">
        <f>IFERROR(Y414-X414, "invalid date")</f>
        <v>8</v>
      </c>
      <c r="AL414" s="10">
        <v>0.25</v>
      </c>
      <c r="AM414" s="11">
        <v>1583.5425</v>
      </c>
      <c r="AN414" s="11">
        <v>569.35249999999996</v>
      </c>
      <c r="AO414" s="10">
        <v>0.35954355503562424</v>
      </c>
      <c r="AP414" t="s">
        <v>4367</v>
      </c>
      <c r="AQ414" t="s">
        <v>4324</v>
      </c>
      <c r="AR414" t="s">
        <v>4153</v>
      </c>
      <c r="AS414" t="s">
        <v>4107</v>
      </c>
      <c r="AT414" t="s">
        <v>4115</v>
      </c>
      <c r="AU414">
        <v>8</v>
      </c>
      <c r="AV414" t="s">
        <v>4109</v>
      </c>
    </row>
    <row r="415" spans="1:48">
      <c r="A415" t="s">
        <v>2050</v>
      </c>
      <c r="B415" t="s">
        <v>250</v>
      </c>
      <c r="C415" t="s">
        <v>2051</v>
      </c>
      <c r="D415" t="s">
        <v>2052</v>
      </c>
      <c r="E415" t="s">
        <v>102</v>
      </c>
      <c r="F415" t="s">
        <v>124</v>
      </c>
      <c r="G415" t="s">
        <v>82</v>
      </c>
      <c r="H415" t="s">
        <v>93</v>
      </c>
      <c r="I415" t="s">
        <v>94</v>
      </c>
      <c r="J415" t="s">
        <v>95</v>
      </c>
      <c r="K415" t="s">
        <v>96</v>
      </c>
      <c r="L415" t="s">
        <v>2053</v>
      </c>
      <c r="M415" t="s">
        <v>42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146</v>
      </c>
      <c r="U415" t="s">
        <v>87</v>
      </c>
      <c r="W415" t="s">
        <v>2050</v>
      </c>
      <c r="X415" t="str">
        <v>13-08-25</v>
      </c>
      <c r="Y415" t="str">
        <v>17-08-25</v>
      </c>
      <c r="Z415" t="s">
        <v>2052</v>
      </c>
      <c r="AA415" t="str">
        <v>Neha Gupta</v>
      </c>
      <c r="AB415" t="str">
        <f>TRIM(PROPER(F:F))</f>
        <v>Home Office</v>
      </c>
      <c r="AC415" t="str">
        <f>TRIM(PROPER(G:G))</f>
        <v>West</v>
      </c>
      <c r="AD415" t="str">
        <f>TRIM(PROPER(H:H))</f>
        <v>Madhya Pradesh</v>
      </c>
      <c r="AE415" t="str">
        <f>TRIM(PROPER(I:I))</f>
        <v>Indore</v>
      </c>
      <c r="AF415" t="str">
        <f>TRIM(PROPER(J:J))</f>
        <v>Technology</v>
      </c>
      <c r="AG415" t="str">
        <f>TRIM(PROPER(K:K))</f>
        <v>Accessories</v>
      </c>
      <c r="AH415" t="str">
        <f>TRIM(PROPER(L:L))</f>
        <v>Smart Accessories 226</v>
      </c>
      <c r="AI415" t="str">
        <f>TRIM(PROPER(M:M))</f>
        <v>Second Class</v>
      </c>
      <c r="AJ415" s="3" t="str">
        <f t="shared" si="11"/>
        <v>anomaly</v>
      </c>
      <c r="AK415">
        <f>IFERROR(Y415-X415, "invalid date")</f>
        <v>4</v>
      </c>
      <c r="AL415" s="10">
        <v>0</v>
      </c>
      <c r="AM415" s="11">
        <v>15345.84</v>
      </c>
      <c r="AN415" s="11">
        <v>4610.51</v>
      </c>
      <c r="AO415" s="10">
        <v>0.30044037993358463</v>
      </c>
      <c r="AP415" t="s">
        <v>4165</v>
      </c>
      <c r="AQ415" t="s">
        <v>4541</v>
      </c>
      <c r="AR415" t="s">
        <v>4114</v>
      </c>
      <c r="AS415" t="s">
        <v>4120</v>
      </c>
      <c r="AT415" t="s">
        <v>4115</v>
      </c>
      <c r="AU415">
        <v>4</v>
      </c>
      <c r="AV415" t="s">
        <v>4109</v>
      </c>
    </row>
    <row r="416" spans="1:48">
      <c r="A416" t="s">
        <v>2054</v>
      </c>
      <c r="B416" t="s">
        <v>2055</v>
      </c>
      <c r="C416" t="s">
        <v>2056</v>
      </c>
      <c r="D416" t="s">
        <v>2057</v>
      </c>
      <c r="E416" t="s">
        <v>70</v>
      </c>
      <c r="F416" t="s">
        <v>124</v>
      </c>
      <c r="G416" t="s">
        <v>51</v>
      </c>
      <c r="H416" t="s">
        <v>226</v>
      </c>
      <c r="I416" t="s">
        <v>227</v>
      </c>
      <c r="J416" t="s">
        <v>39</v>
      </c>
      <c r="K416" t="s">
        <v>165</v>
      </c>
      <c r="L416" t="s">
        <v>2058</v>
      </c>
      <c r="M416" t="s">
        <v>65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43</v>
      </c>
      <c r="U416" t="s">
        <v>44</v>
      </c>
      <c r="W416" t="s">
        <v>2054</v>
      </c>
      <c r="X416" t="str">
        <v>29-08-24</v>
      </c>
      <c r="Y416" t="str">
        <v>invalid date</v>
      </c>
      <c r="Z416" t="s">
        <v>2057</v>
      </c>
      <c r="AA416" t="str">
        <v>Arjun Bose</v>
      </c>
      <c r="AB416" t="str">
        <f>TRIM(PROPER(F:F))</f>
        <v>Home Office</v>
      </c>
      <c r="AC416" t="str">
        <f>TRIM(PROPER(G:G))</f>
        <v>East</v>
      </c>
      <c r="AD416" t="str">
        <f>TRIM(PROPER(H:H))</f>
        <v>Assam</v>
      </c>
      <c r="AE416" t="str">
        <f>TRIM(PROPER(I:I))</f>
        <v>Guwahati</v>
      </c>
      <c r="AF416" t="str">
        <f>TRIM(PROPER(J:J))</f>
        <v>Office Supplies</v>
      </c>
      <c r="AG416" t="str">
        <f>TRIM(PROPER(K:K))</f>
        <v>Storage</v>
      </c>
      <c r="AH416" t="str">
        <f>TRIM(PROPER(L:L))</f>
        <v>Max Storage 692</v>
      </c>
      <c r="AI416" t="str">
        <f>TRIM(PROPER(M:M))</f>
        <v>First Class</v>
      </c>
      <c r="AJ416" s="3" t="str">
        <f t="shared" si="11"/>
        <v>Invalid</v>
      </c>
      <c r="AK416" t="str">
        <f>IFERROR(Y416-X416, "invalid date")</f>
        <v>invalid date</v>
      </c>
      <c r="AL416" s="10">
        <v>0.05</v>
      </c>
      <c r="AM416" s="11">
        <v>9439.503999999999</v>
      </c>
      <c r="AN416" s="11">
        <v>3920.1139999999987</v>
      </c>
      <c r="AO416" s="10">
        <v>0.41528813378330037</v>
      </c>
      <c r="AP416" t="s">
        <v>4542</v>
      </c>
      <c r="AQ416" t="s">
        <v>4105</v>
      </c>
      <c r="AR416" t="s">
        <v>4114</v>
      </c>
      <c r="AS416" t="s">
        <v>4107</v>
      </c>
      <c r="AT416" t="s">
        <v>4108</v>
      </c>
      <c r="AU416" t="s">
        <v>4105</v>
      </c>
      <c r="AV416" t="s">
        <v>4109</v>
      </c>
    </row>
    <row r="417" spans="1:48">
      <c r="A417" t="s">
        <v>2059</v>
      </c>
      <c r="B417" t="s">
        <v>2060</v>
      </c>
      <c r="C417" t="s">
        <v>2012</v>
      </c>
      <c r="D417" t="s">
        <v>2061</v>
      </c>
      <c r="E417" t="s">
        <v>171</v>
      </c>
      <c r="F417" t="s">
        <v>117</v>
      </c>
      <c r="G417" t="s">
        <v>71</v>
      </c>
      <c r="H417" t="s">
        <v>239</v>
      </c>
      <c r="I417" t="s">
        <v>240</v>
      </c>
      <c r="J417" t="s">
        <v>39</v>
      </c>
      <c r="K417" t="s">
        <v>165</v>
      </c>
      <c r="L417" t="s">
        <v>2062</v>
      </c>
      <c r="M417" t="s">
        <v>57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43</v>
      </c>
      <c r="U417" t="s">
        <v>134</v>
      </c>
      <c r="W417" t="s">
        <v>2059</v>
      </c>
      <c r="X417" t="str">
        <v>invalid date</v>
      </c>
      <c r="Y417" t="str">
        <v>27-01-24</v>
      </c>
      <c r="Z417" t="s">
        <v>2061</v>
      </c>
      <c r="AA417" t="str">
        <v>Aarav Sharma</v>
      </c>
      <c r="AB417" t="str">
        <f>TRIM(PROPER(F:F))</f>
        <v>Corporate</v>
      </c>
      <c r="AC417" t="str">
        <f>TRIM(PROPER(G:G))</f>
        <v>South</v>
      </c>
      <c r="AD417" t="str">
        <f>TRIM(PROPER(H:H))</f>
        <v>Karnataka</v>
      </c>
      <c r="AE417" t="str">
        <f>TRIM(PROPER(I:I))</f>
        <v>Bengaluru</v>
      </c>
      <c r="AF417" t="str">
        <f>TRIM(PROPER(J:J))</f>
        <v>Office Supplies</v>
      </c>
      <c r="AG417" t="str">
        <f>TRIM(PROPER(K:K))</f>
        <v>Storage</v>
      </c>
      <c r="AH417" t="str">
        <f>TRIM(PROPER(L:L))</f>
        <v>Basic Storage 684</v>
      </c>
      <c r="AI417" t="str">
        <f>TRIM(PROPER(M:M))</f>
        <v>Same Day</v>
      </c>
      <c r="AJ417" s="3" t="str">
        <f t="shared" si="11"/>
        <v>Invalid</v>
      </c>
      <c r="AK417" t="str">
        <f>IFERROR(Y417-X417, "invalid date")</f>
        <v>invalid date</v>
      </c>
      <c r="AL417" s="10">
        <v>0.15</v>
      </c>
      <c r="AM417" s="11">
        <v>10277.197</v>
      </c>
      <c r="AN417" s="11">
        <v>2370.6970000000001</v>
      </c>
      <c r="AO417" s="10">
        <v>0.23067544584384245</v>
      </c>
      <c r="AP417" t="s">
        <v>4105</v>
      </c>
      <c r="AQ417" t="s">
        <v>4306</v>
      </c>
      <c r="AR417" t="s">
        <v>4105</v>
      </c>
      <c r="AS417" t="s">
        <v>4105</v>
      </c>
      <c r="AT417" t="s">
        <v>4108</v>
      </c>
      <c r="AU417" t="s">
        <v>4105</v>
      </c>
      <c r="AV417" t="s">
        <v>4109</v>
      </c>
    </row>
    <row r="418" spans="1:48">
      <c r="A418" t="s">
        <v>2063</v>
      </c>
      <c r="B418" t="s">
        <v>2064</v>
      </c>
      <c r="C418" t="s">
        <v>2065</v>
      </c>
      <c r="D418" t="s">
        <v>2066</v>
      </c>
      <c r="E418" t="s">
        <v>102</v>
      </c>
      <c r="F418" t="s">
        <v>35</v>
      </c>
      <c r="G418" t="s">
        <v>71</v>
      </c>
      <c r="H418" t="s">
        <v>72</v>
      </c>
      <c r="I418" t="s">
        <v>73</v>
      </c>
      <c r="J418" t="s">
        <v>54</v>
      </c>
      <c r="K418" t="s">
        <v>74</v>
      </c>
      <c r="L418" t="s">
        <v>2067</v>
      </c>
      <c r="M418" t="s">
        <v>65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43</v>
      </c>
      <c r="U418" t="s">
        <v>44</v>
      </c>
      <c r="W418" t="s">
        <v>2063</v>
      </c>
      <c r="X418" t="str">
        <v>08-01-25</v>
      </c>
      <c r="Y418" t="str">
        <v>16-01-25</v>
      </c>
      <c r="Z418" t="s">
        <v>2066</v>
      </c>
      <c r="AA418" t="str">
        <v>Neha Gupta</v>
      </c>
      <c r="AB418" t="str">
        <f>TRIM(PROPER(F:F))</f>
        <v>Consumer</v>
      </c>
      <c r="AC418" t="str">
        <f>TRIM(PROPER(G:G))</f>
        <v>South</v>
      </c>
      <c r="AD418" t="str">
        <f>TRIM(PROPER(H:H))</f>
        <v>Telangana</v>
      </c>
      <c r="AE418" t="str">
        <f>TRIM(PROPER(I:I))</f>
        <v>Hyderabad</v>
      </c>
      <c r="AF418" t="str">
        <f>TRIM(PROPER(J:J))</f>
        <v>Furniture</v>
      </c>
      <c r="AG418" t="str">
        <f>TRIM(PROPER(K:K))</f>
        <v>Furnishings</v>
      </c>
      <c r="AH418" t="str">
        <f>TRIM(PROPER(L:L))</f>
        <v>Smart Furnishings 152</v>
      </c>
      <c r="AI418" t="str">
        <f>TRIM(PROPER(M:M))</f>
        <v>First Class</v>
      </c>
      <c r="AJ418" s="3" t="str">
        <f t="shared" si="11"/>
        <v>anomaly</v>
      </c>
      <c r="AK418">
        <f>IFERROR(Y418-X418, "invalid date")</f>
        <v>8</v>
      </c>
      <c r="AL418" s="10">
        <v>0.25</v>
      </c>
      <c r="AM418" s="11">
        <v>3833.7000000000003</v>
      </c>
      <c r="AN418" s="11">
        <v>947.35000000000036</v>
      </c>
      <c r="AO418" s="10">
        <v>0.24711114589039318</v>
      </c>
      <c r="AP418" t="s">
        <v>4321</v>
      </c>
      <c r="AQ418" t="s">
        <v>4510</v>
      </c>
      <c r="AR418" t="s">
        <v>4153</v>
      </c>
      <c r="AS418" t="s">
        <v>4120</v>
      </c>
      <c r="AT418" t="s">
        <v>4115</v>
      </c>
      <c r="AU418">
        <v>8</v>
      </c>
      <c r="AV418" t="s">
        <v>4109</v>
      </c>
    </row>
    <row r="419" spans="1:48">
      <c r="A419" t="s">
        <v>2068</v>
      </c>
      <c r="B419" t="s">
        <v>1803</v>
      </c>
      <c r="C419" t="s">
        <v>2069</v>
      </c>
      <c r="D419" t="s">
        <v>2070</v>
      </c>
      <c r="E419" t="s">
        <v>49</v>
      </c>
      <c r="F419" t="s">
        <v>35</v>
      </c>
      <c r="G419" t="s">
        <v>82</v>
      </c>
      <c r="H419" t="s">
        <v>245</v>
      </c>
      <c r="I419" t="s">
        <v>246</v>
      </c>
      <c r="J419" t="s">
        <v>39</v>
      </c>
      <c r="K419" t="s">
        <v>63</v>
      </c>
      <c r="L419" t="s">
        <v>2071</v>
      </c>
      <c r="M419" t="s">
        <v>65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43</v>
      </c>
      <c r="U419" t="s">
        <v>44</v>
      </c>
      <c r="W419" t="s">
        <v>2068</v>
      </c>
      <c r="X419" t="str">
        <v>invalid date</v>
      </c>
      <c r="Y419" t="str">
        <v>02-05-25</v>
      </c>
      <c r="Z419" t="s">
        <v>2070</v>
      </c>
      <c r="AA419" t="str">
        <v>Mira Das</v>
      </c>
      <c r="AB419" t="str">
        <f>TRIM(PROPER(F:F))</f>
        <v>Consumer</v>
      </c>
      <c r="AC419" t="str">
        <f>TRIM(PROPER(G:G))</f>
        <v>West</v>
      </c>
      <c r="AD419" t="str">
        <f>TRIM(PROPER(H:H))</f>
        <v>Gujarat</v>
      </c>
      <c r="AE419" t="str">
        <f>TRIM(PROPER(I:I))</f>
        <v>Ahmedabad</v>
      </c>
      <c r="AF419" t="str">
        <f>TRIM(PROPER(J:J))</f>
        <v>Office Supplies</v>
      </c>
      <c r="AG419" t="str">
        <f>TRIM(PROPER(K:K))</f>
        <v>Art</v>
      </c>
      <c r="AH419" t="str">
        <f>TRIM(PROPER(L:L))</f>
        <v>Max Art 736</v>
      </c>
      <c r="AI419" t="str">
        <f>TRIM(PROPER(M:M))</f>
        <v>First Class</v>
      </c>
      <c r="AJ419" s="3" t="str">
        <f t="shared" si="11"/>
        <v>Invalid</v>
      </c>
      <c r="AK419" t="str">
        <f>IFERROR(Y419-X419, "invalid date")</f>
        <v>invalid date</v>
      </c>
      <c r="AL419" s="10">
        <v>0.2</v>
      </c>
      <c r="AM419" s="11">
        <v>18542.400000000001</v>
      </c>
      <c r="AN419" s="11">
        <v>7348.6500000000015</v>
      </c>
      <c r="AO419" s="10">
        <v>0.39631601087237905</v>
      </c>
      <c r="AP419" t="s">
        <v>4105</v>
      </c>
      <c r="AQ419" t="s">
        <v>4356</v>
      </c>
      <c r="AR419" t="s">
        <v>4105</v>
      </c>
      <c r="AS419" t="s">
        <v>4105</v>
      </c>
      <c r="AT419" t="s">
        <v>4108</v>
      </c>
      <c r="AU419" t="s">
        <v>4105</v>
      </c>
      <c r="AV419" t="s">
        <v>4109</v>
      </c>
    </row>
    <row r="420" spans="1:48">
      <c r="A420" t="s">
        <v>2072</v>
      </c>
      <c r="B420" t="s">
        <v>2073</v>
      </c>
      <c r="C420" t="s">
        <v>2074</v>
      </c>
      <c r="D420" t="s">
        <v>2075</v>
      </c>
      <c r="E420" t="s">
        <v>177</v>
      </c>
      <c r="F420" t="s">
        <v>117</v>
      </c>
      <c r="G420" t="s">
        <v>51</v>
      </c>
      <c r="H420" t="s">
        <v>52</v>
      </c>
      <c r="I420" t="s">
        <v>53</v>
      </c>
      <c r="J420" t="s">
        <v>95</v>
      </c>
      <c r="K420" t="s">
        <v>103</v>
      </c>
      <c r="L420" t="s">
        <v>2076</v>
      </c>
      <c r="M420" t="s">
        <v>76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210</v>
      </c>
      <c r="U420" t="s">
        <v>87</v>
      </c>
      <c r="W420" t="s">
        <v>2072</v>
      </c>
      <c r="X420" t="str">
        <v>11-09-24</v>
      </c>
      <c r="Y420" t="str">
        <v>invalid date</v>
      </c>
      <c r="Z420" t="s">
        <v>2075</v>
      </c>
      <c r="AA420" t="str">
        <v>Sneha Kapoor</v>
      </c>
      <c r="AB420" t="str">
        <f>TRIM(PROPER(F:F))</f>
        <v>Corporate</v>
      </c>
      <c r="AC420" t="str">
        <f>TRIM(PROPER(G:G))</f>
        <v>East</v>
      </c>
      <c r="AD420" t="str">
        <f>TRIM(PROPER(H:H))</f>
        <v>Odisha</v>
      </c>
      <c r="AE420" t="str">
        <f>TRIM(PROPER(I:I))</f>
        <v>Bhubaneswar</v>
      </c>
      <c r="AF420" t="str">
        <f>TRIM(PROPER(J:J))</f>
        <v>Technology</v>
      </c>
      <c r="AG420" t="str">
        <f>TRIM(PROPER(K:K))</f>
        <v>Copiers</v>
      </c>
      <c r="AH420" t="str">
        <f>TRIM(PROPER(L:L))</f>
        <v>Elite Copiers 971</v>
      </c>
      <c r="AI420" t="str">
        <f>TRIM(PROPER(M:M))</f>
        <v>Standard Class</v>
      </c>
      <c r="AJ420" s="3" t="str">
        <f t="shared" si="11"/>
        <v>Invalid</v>
      </c>
      <c r="AK420" t="str">
        <f>IFERROR(Y420-X420, "invalid date")</f>
        <v>invalid date</v>
      </c>
      <c r="AL420" s="10">
        <v>0</v>
      </c>
      <c r="AM420" s="11">
        <v>21962.400000000001</v>
      </c>
      <c r="AN420" s="11">
        <v>6630.4100000000017</v>
      </c>
      <c r="AO420" s="10">
        <v>0.3018982442720286</v>
      </c>
      <c r="AP420" t="s">
        <v>4543</v>
      </c>
      <c r="AQ420" t="s">
        <v>4105</v>
      </c>
      <c r="AR420" t="s">
        <v>4134</v>
      </c>
      <c r="AS420" t="s">
        <v>4107</v>
      </c>
      <c r="AT420" t="s">
        <v>4108</v>
      </c>
      <c r="AU420" t="s">
        <v>4105</v>
      </c>
      <c r="AV420" t="s">
        <v>4109</v>
      </c>
    </row>
    <row r="421" spans="1:48">
      <c r="A421" t="s">
        <v>2077</v>
      </c>
      <c r="B421" t="s">
        <v>2078</v>
      </c>
      <c r="C421" t="s">
        <v>2079</v>
      </c>
      <c r="D421" t="s">
        <v>2080</v>
      </c>
      <c r="E421" t="s">
        <v>177</v>
      </c>
      <c r="F421" t="s">
        <v>124</v>
      </c>
      <c r="G421" t="s">
        <v>36</v>
      </c>
      <c r="H421" t="s">
        <v>334</v>
      </c>
      <c r="I421" t="s">
        <v>335</v>
      </c>
      <c r="J421" t="s">
        <v>95</v>
      </c>
      <c r="K421" t="s">
        <v>233</v>
      </c>
      <c r="L421" t="s">
        <v>2081</v>
      </c>
      <c r="M421" t="s">
        <v>57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43</v>
      </c>
      <c r="U421" t="s">
        <v>44</v>
      </c>
      <c r="W421" t="s">
        <v>2077</v>
      </c>
      <c r="X421" t="str">
        <v>26-09-25</v>
      </c>
      <c r="Y421" t="str">
        <v>invalid date</v>
      </c>
      <c r="Z421" t="s">
        <v>2080</v>
      </c>
      <c r="AA421" t="str">
        <v>Sneha Kapoor</v>
      </c>
      <c r="AB421" t="str">
        <f>TRIM(PROPER(F:F))</f>
        <v>Home Office</v>
      </c>
      <c r="AC421" t="str">
        <f>TRIM(PROPER(G:G))</f>
        <v>North</v>
      </c>
      <c r="AD421" t="str">
        <f>TRIM(PROPER(H:H))</f>
        <v>Haryana</v>
      </c>
      <c r="AE421" t="str">
        <f>TRIM(PROPER(I:I))</f>
        <v>Gurugram</v>
      </c>
      <c r="AF421" t="str">
        <f>TRIM(PROPER(J:J))</f>
        <v>Technology</v>
      </c>
      <c r="AG421" t="str">
        <f>TRIM(PROPER(K:K))</f>
        <v>Phones</v>
      </c>
      <c r="AH421" t="str">
        <f>TRIM(PROPER(L:L))</f>
        <v>Classic Phones 940</v>
      </c>
      <c r="AI421" t="str">
        <f>TRIM(PROPER(M:M))</f>
        <v>Same Day</v>
      </c>
      <c r="AJ421" s="3" t="str">
        <f t="shared" si="11"/>
        <v>Invalid</v>
      </c>
      <c r="AK421" t="str">
        <f>IFERROR(Y421-X421, "invalid date")</f>
        <v>invalid date</v>
      </c>
      <c r="AL421" s="10">
        <v>0.05</v>
      </c>
      <c r="AM421" s="11">
        <v>1308.777</v>
      </c>
      <c r="AN421" s="11">
        <v>465.77700000000004</v>
      </c>
      <c r="AO421" s="10">
        <v>0.35588721378813964</v>
      </c>
      <c r="AP421" t="s">
        <v>4302</v>
      </c>
      <c r="AQ421" t="s">
        <v>4105</v>
      </c>
      <c r="AR421" t="s">
        <v>4134</v>
      </c>
      <c r="AS421" t="s">
        <v>4120</v>
      </c>
      <c r="AT421" t="s">
        <v>4108</v>
      </c>
      <c r="AU421" t="s">
        <v>4105</v>
      </c>
      <c r="AV421" t="s">
        <v>4109</v>
      </c>
    </row>
    <row r="422" spans="1:48">
      <c r="A422" t="s">
        <v>2082</v>
      </c>
      <c r="B422" t="s">
        <v>973</v>
      </c>
      <c r="C422" t="s">
        <v>2083</v>
      </c>
      <c r="D422" t="s">
        <v>2084</v>
      </c>
      <c r="E422" t="s">
        <v>62</v>
      </c>
      <c r="F422" t="s">
        <v>117</v>
      </c>
      <c r="G422" t="s">
        <v>71</v>
      </c>
      <c r="H422" t="s">
        <v>350</v>
      </c>
      <c r="I422" t="s">
        <v>351</v>
      </c>
      <c r="J422" t="s">
        <v>95</v>
      </c>
      <c r="K422" t="s">
        <v>393</v>
      </c>
      <c r="L422" t="s">
        <v>2085</v>
      </c>
      <c r="M422" t="s">
        <v>76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146</v>
      </c>
      <c r="U422" t="s">
        <v>87</v>
      </c>
      <c r="W422" t="s">
        <v>2082</v>
      </c>
      <c r="X422" t="str">
        <v>18-03-25</v>
      </c>
      <c r="Y422" t="str">
        <v>19-03-25</v>
      </c>
      <c r="Z422" t="s">
        <v>2084</v>
      </c>
      <c r="AA422" t="str">
        <v>Isha Nair</v>
      </c>
      <c r="AB422" t="str">
        <f>TRIM(PROPER(F:F))</f>
        <v>Corporate</v>
      </c>
      <c r="AC422" t="str">
        <f>TRIM(PROPER(G:G))</f>
        <v>South</v>
      </c>
      <c r="AD422" t="str">
        <f>TRIM(PROPER(H:H))</f>
        <v>Tamil Nadu</v>
      </c>
      <c r="AE422" t="str">
        <f>TRIM(PROPER(I:I))</f>
        <v>Chennai</v>
      </c>
      <c r="AF422" t="str">
        <f>TRIM(PROPER(J:J))</f>
        <v>Technology</v>
      </c>
      <c r="AG422" t="str">
        <f>TRIM(PROPER(K:K))</f>
        <v>Machines</v>
      </c>
      <c r="AH422" t="str">
        <f>TRIM(PROPER(L:L))</f>
        <v>Pro Machines 579</v>
      </c>
      <c r="AI422" t="str">
        <f>TRIM(PROPER(M:M))</f>
        <v>Standard Class</v>
      </c>
      <c r="AJ422" s="3" t="str">
        <f t="shared" si="11"/>
        <v>anomaly</v>
      </c>
      <c r="AK422">
        <f>IFERROR(Y422-X422, "invalid date")</f>
        <v>1</v>
      </c>
      <c r="AL422" s="10">
        <v>0.25</v>
      </c>
      <c r="AM422" s="11">
        <v>1814.9850000000001</v>
      </c>
      <c r="AN422" s="11">
        <v>694.92500000000018</v>
      </c>
      <c r="AO422" s="10">
        <v>0.38288195219244242</v>
      </c>
      <c r="AP422" t="s">
        <v>4347</v>
      </c>
      <c r="AQ422" t="s">
        <v>4544</v>
      </c>
      <c r="AR422" t="s">
        <v>4159</v>
      </c>
      <c r="AS422" t="s">
        <v>4120</v>
      </c>
      <c r="AT422" t="s">
        <v>4115</v>
      </c>
      <c r="AU422">
        <v>1</v>
      </c>
      <c r="AV422" t="s">
        <v>4109</v>
      </c>
    </row>
    <row r="423" spans="1:48">
      <c r="A423" t="s">
        <v>2086</v>
      </c>
      <c r="B423" t="s">
        <v>2087</v>
      </c>
      <c r="C423" t="s">
        <v>2088</v>
      </c>
      <c r="D423" t="s">
        <v>2089</v>
      </c>
      <c r="E423" t="s">
        <v>189</v>
      </c>
      <c r="F423" t="s">
        <v>50</v>
      </c>
      <c r="G423" t="s">
        <v>36</v>
      </c>
      <c r="H423" t="s">
        <v>517</v>
      </c>
      <c r="I423" t="s">
        <v>518</v>
      </c>
      <c r="J423" t="s">
        <v>39</v>
      </c>
      <c r="K423" t="s">
        <v>208</v>
      </c>
      <c r="L423" t="s">
        <v>2090</v>
      </c>
      <c r="M423" t="s">
        <v>57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146</v>
      </c>
      <c r="U423" t="s">
        <v>134</v>
      </c>
      <c r="W423" t="s">
        <v>2086</v>
      </c>
      <c r="X423" t="str">
        <v>invalid date</v>
      </c>
      <c r="Y423" t="str">
        <v>19-06-25</v>
      </c>
      <c r="Z423" t="s">
        <v>2089</v>
      </c>
      <c r="AA423" t="str">
        <v>Rohan Mehta</v>
      </c>
      <c r="AB423" t="str">
        <f>TRIM(PROPER(F:F))</f>
        <v>Small Business</v>
      </c>
      <c r="AC423" t="str">
        <f>TRIM(PROPER(G:G))</f>
        <v>North</v>
      </c>
      <c r="AD423" t="str">
        <f>TRIM(PROPER(H:H))</f>
        <v>Delhi</v>
      </c>
      <c r="AE423" t="str">
        <f>TRIM(PROPER(I:I))</f>
        <v>New Delhi</v>
      </c>
      <c r="AF423" t="str">
        <f>TRIM(PROPER(J:J))</f>
        <v>Office Supplies</v>
      </c>
      <c r="AG423" t="str">
        <f>TRIM(PROPER(K:K))</f>
        <v>Binders</v>
      </c>
      <c r="AH423" t="str">
        <f>TRIM(PROPER(L:L))</f>
        <v>Elite Binders 943</v>
      </c>
      <c r="AI423" t="str">
        <f>TRIM(PROPER(M:M))</f>
        <v>Same Day</v>
      </c>
      <c r="AJ423" s="3" t="str">
        <f t="shared" si="11"/>
        <v>Invalid</v>
      </c>
      <c r="AK423" t="str">
        <f>IFERROR(Y423-X423, "invalid date")</f>
        <v>invalid date</v>
      </c>
      <c r="AL423" s="10">
        <v>0.2</v>
      </c>
      <c r="AM423" s="11">
        <v>2489.8800000000006</v>
      </c>
      <c r="AN423" s="11">
        <v>782.36000000000058</v>
      </c>
      <c r="AO423" s="10">
        <v>0.31421594615001541</v>
      </c>
      <c r="AP423" t="s">
        <v>4105</v>
      </c>
      <c r="AQ423" t="s">
        <v>4169</v>
      </c>
      <c r="AR423" t="s">
        <v>4105</v>
      </c>
      <c r="AS423" t="s">
        <v>4105</v>
      </c>
      <c r="AT423" t="s">
        <v>4108</v>
      </c>
      <c r="AU423" t="s">
        <v>4105</v>
      </c>
      <c r="AV423" t="s">
        <v>4109</v>
      </c>
    </row>
    <row r="424" spans="1:48">
      <c r="A424" t="s">
        <v>2091</v>
      </c>
      <c r="B424" t="s">
        <v>2092</v>
      </c>
      <c r="C424" t="s">
        <v>2093</v>
      </c>
      <c r="D424" t="s">
        <v>2094</v>
      </c>
      <c r="E424" t="s">
        <v>377</v>
      </c>
      <c r="F424" t="s">
        <v>35</v>
      </c>
      <c r="G424" t="s">
        <v>82</v>
      </c>
      <c r="H424" t="s">
        <v>93</v>
      </c>
      <c r="I424" t="s">
        <v>94</v>
      </c>
      <c r="J424" t="s">
        <v>95</v>
      </c>
      <c r="K424" t="s">
        <v>103</v>
      </c>
      <c r="L424" t="s">
        <v>2095</v>
      </c>
      <c r="M424" t="s">
        <v>57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43</v>
      </c>
      <c r="U424" t="s">
        <v>44</v>
      </c>
      <c r="W424" t="s">
        <v>2091</v>
      </c>
      <c r="X424" t="str">
        <v>09-03-25</v>
      </c>
      <c r="Y424" t="str">
        <v>06-09-25</v>
      </c>
      <c r="Z424" t="s">
        <v>2094</v>
      </c>
      <c r="AA424" t="str">
        <v>Kabir Singh</v>
      </c>
      <c r="AB424" t="str">
        <f>TRIM(PROPER(F:F))</f>
        <v>Consumer</v>
      </c>
      <c r="AC424" t="str">
        <f>TRIM(PROPER(G:G))</f>
        <v>West</v>
      </c>
      <c r="AD424" t="str">
        <f>TRIM(PROPER(H:H))</f>
        <v>Madhya Pradesh</v>
      </c>
      <c r="AE424" t="str">
        <f>TRIM(PROPER(I:I))</f>
        <v>Indore</v>
      </c>
      <c r="AF424" t="str">
        <f>TRIM(PROPER(J:J))</f>
        <v>Technology</v>
      </c>
      <c r="AG424" t="str">
        <f>TRIM(PROPER(K:K))</f>
        <v>Copiers</v>
      </c>
      <c r="AH424" t="str">
        <f>TRIM(PROPER(L:L))</f>
        <v>Elite Copiers 474</v>
      </c>
      <c r="AI424" t="str">
        <f>TRIM(PROPER(M:M))</f>
        <v>Same Day</v>
      </c>
      <c r="AJ424" s="3" t="str">
        <f t="shared" si="11"/>
        <v xml:space="preserve">  </v>
      </c>
      <c r="AK424">
        <f>IFERROR(Y424-X424, "invalid date")</f>
        <v>181</v>
      </c>
      <c r="AL424" s="10">
        <v>0.15</v>
      </c>
      <c r="AM424" s="11">
        <v>4098.6574999999993</v>
      </c>
      <c r="AN424" s="11">
        <v>1420.5974999999994</v>
      </c>
      <c r="AO424" s="10">
        <v>0.34660068571233377</v>
      </c>
      <c r="AP424" t="s">
        <v>4533</v>
      </c>
      <c r="AQ424" t="s">
        <v>4545</v>
      </c>
      <c r="AR424" t="s">
        <v>4159</v>
      </c>
      <c r="AS424" t="s">
        <v>4120</v>
      </c>
      <c r="AT424" t="s">
        <v>4121</v>
      </c>
      <c r="AU424">
        <v>181</v>
      </c>
      <c r="AV424" t="s">
        <v>4109</v>
      </c>
    </row>
    <row r="425" spans="1:48">
      <c r="A425" t="s">
        <v>2096</v>
      </c>
      <c r="B425" t="s">
        <v>2097</v>
      </c>
      <c r="C425" t="s">
        <v>2098</v>
      </c>
      <c r="D425" t="s">
        <v>2099</v>
      </c>
      <c r="E425" t="s">
        <v>220</v>
      </c>
      <c r="F425" t="s">
        <v>35</v>
      </c>
      <c r="G425" t="s">
        <v>71</v>
      </c>
      <c r="H425" t="s">
        <v>252</v>
      </c>
      <c r="I425" t="s">
        <v>253</v>
      </c>
      <c r="J425" t="s">
        <v>95</v>
      </c>
      <c r="K425" t="s">
        <v>96</v>
      </c>
      <c r="L425" t="s">
        <v>2100</v>
      </c>
      <c r="M425" t="s">
        <v>2101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43</v>
      </c>
      <c r="U425" t="s">
        <v>44</v>
      </c>
      <c r="W425" t="s">
        <v>2096</v>
      </c>
      <c r="X425" t="str">
        <v>20-02-24</v>
      </c>
      <c r="Y425" t="str">
        <v>27-02-24</v>
      </c>
      <c r="Z425" t="s">
        <v>2099</v>
      </c>
      <c r="AA425" t="str">
        <v>Diya Patel</v>
      </c>
      <c r="AB425" t="str">
        <f>TRIM(PROPER(F:F))</f>
        <v>Consumer</v>
      </c>
      <c r="AC425" t="str">
        <f>TRIM(PROPER(G:G))</f>
        <v>South</v>
      </c>
      <c r="AD425" t="str">
        <f>TRIM(PROPER(H:H))</f>
        <v>Kerala</v>
      </c>
      <c r="AE425" t="str">
        <f>TRIM(PROPER(I:I))</f>
        <v>Kochi</v>
      </c>
      <c r="AF425" t="str">
        <f>TRIM(PROPER(J:J))</f>
        <v>Technology</v>
      </c>
      <c r="AG425" t="str">
        <f t="shared" ref="AG425:AI488" si="12">TRIM(PROPER(K:K))</f>
        <v>Accessories</v>
      </c>
      <c r="AH425" t="str">
        <f t="shared" si="12"/>
        <v>Prime Accessories 236</v>
      </c>
      <c r="AI425" t="str">
        <f t="shared" si="12"/>
        <v>First Class</v>
      </c>
      <c r="AJ425" s="3" t="str">
        <f t="shared" si="11"/>
        <v>anomaly</v>
      </c>
      <c r="AK425">
        <f>IFERROR(Y425-X425, "invalid date")</f>
        <v>7</v>
      </c>
      <c r="AL425" s="10">
        <v>0.2</v>
      </c>
      <c r="AM425" s="11">
        <v>27211.032000000003</v>
      </c>
      <c r="AN425" s="11">
        <v>9270.6020000000026</v>
      </c>
      <c r="AO425" s="10">
        <v>0.34069277490100347</v>
      </c>
      <c r="AP425" t="s">
        <v>4277</v>
      </c>
      <c r="AQ425" t="s">
        <v>4546</v>
      </c>
      <c r="AR425" t="s">
        <v>4129</v>
      </c>
      <c r="AS425" t="s">
        <v>4107</v>
      </c>
      <c r="AT425" t="s">
        <v>4115</v>
      </c>
      <c r="AU425">
        <v>7</v>
      </c>
      <c r="AV425" t="s">
        <v>4109</v>
      </c>
    </row>
    <row r="426" spans="1:48">
      <c r="A426" t="s">
        <v>2102</v>
      </c>
      <c r="B426" t="s">
        <v>2103</v>
      </c>
      <c r="C426" t="s">
        <v>2104</v>
      </c>
      <c r="D426" t="s">
        <v>2105</v>
      </c>
      <c r="E426" t="s">
        <v>102</v>
      </c>
      <c r="F426" t="s">
        <v>117</v>
      </c>
      <c r="G426" t="s">
        <v>36</v>
      </c>
      <c r="H426" t="s">
        <v>163</v>
      </c>
      <c r="I426" t="s">
        <v>164</v>
      </c>
      <c r="J426" t="s">
        <v>95</v>
      </c>
      <c r="K426" t="s">
        <v>233</v>
      </c>
      <c r="L426" t="s">
        <v>2106</v>
      </c>
      <c r="M426" t="s">
        <v>76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43</v>
      </c>
      <c r="U426" t="s">
        <v>44</v>
      </c>
      <c r="W426" t="s">
        <v>2102</v>
      </c>
      <c r="X426" t="str">
        <v>invalid date</v>
      </c>
      <c r="Y426" t="str">
        <v>29-06-24</v>
      </c>
      <c r="Z426" t="s">
        <v>2105</v>
      </c>
      <c r="AA426" t="str">
        <v>Neha Gupta</v>
      </c>
      <c r="AB426" t="str">
        <f>TRIM(PROPER(F:F))</f>
        <v>Corporate</v>
      </c>
      <c r="AC426" t="str">
        <f>TRIM(PROPER(G:G))</f>
        <v>North</v>
      </c>
      <c r="AD426" t="str">
        <f>TRIM(PROPER(H:H))</f>
        <v>Punjab</v>
      </c>
      <c r="AE426" t="str">
        <f>TRIM(PROPER(I:I))</f>
        <v>Ludhiana</v>
      </c>
      <c r="AF426" t="str">
        <f>TRIM(PROPER(J:J))</f>
        <v>Technology</v>
      </c>
      <c r="AG426" t="str">
        <f t="shared" si="12"/>
        <v>Phones</v>
      </c>
      <c r="AH426" t="str">
        <f t="shared" si="12"/>
        <v>Prime Phones 881</v>
      </c>
      <c r="AI426" t="str">
        <f t="shared" si="12"/>
        <v>Standard Class</v>
      </c>
      <c r="AJ426" s="3" t="str">
        <f t="shared" si="11"/>
        <v>Invalid</v>
      </c>
      <c r="AK426" t="str">
        <f>IFERROR(Y426-X426, "invalid date")</f>
        <v>invalid date</v>
      </c>
      <c r="AL426" s="10">
        <v>0</v>
      </c>
      <c r="AM426" s="11">
        <v>6436.16</v>
      </c>
      <c r="AN426" s="11">
        <v>2172.33</v>
      </c>
      <c r="AO426" s="10">
        <v>0.33751957689056827</v>
      </c>
      <c r="AP426" t="s">
        <v>4105</v>
      </c>
      <c r="AQ426" t="s">
        <v>4276</v>
      </c>
      <c r="AR426" t="s">
        <v>4105</v>
      </c>
      <c r="AS426" t="s">
        <v>4105</v>
      </c>
      <c r="AT426" t="s">
        <v>4108</v>
      </c>
      <c r="AU426" t="s">
        <v>4105</v>
      </c>
      <c r="AV426" t="s">
        <v>4109</v>
      </c>
    </row>
    <row r="427" spans="1:48">
      <c r="A427" t="s">
        <v>2107</v>
      </c>
      <c r="B427" t="s">
        <v>2108</v>
      </c>
      <c r="C427" t="s">
        <v>2109</v>
      </c>
      <c r="D427" t="s">
        <v>2110</v>
      </c>
      <c r="E427" t="s">
        <v>62</v>
      </c>
      <c r="F427" t="s">
        <v>124</v>
      </c>
      <c r="G427" t="s">
        <v>36</v>
      </c>
      <c r="H427" t="s">
        <v>517</v>
      </c>
      <c r="I427" t="s">
        <v>518</v>
      </c>
      <c r="J427" t="s">
        <v>39</v>
      </c>
      <c r="K427" t="s">
        <v>118</v>
      </c>
      <c r="L427" t="s">
        <v>2111</v>
      </c>
      <c r="M427" t="s">
        <v>65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133</v>
      </c>
      <c r="U427" t="s">
        <v>87</v>
      </c>
      <c r="W427" t="s">
        <v>2107</v>
      </c>
      <c r="X427" t="str">
        <v>26-09-24</v>
      </c>
      <c r="Y427" t="str">
        <v>invalid date</v>
      </c>
      <c r="Z427" t="s">
        <v>2110</v>
      </c>
      <c r="AA427" t="str">
        <v>Isha Nair</v>
      </c>
      <c r="AB427" t="str">
        <f>TRIM(PROPER(F:F))</f>
        <v>Home Office</v>
      </c>
      <c r="AC427" t="str">
        <f>TRIM(PROPER(G:G))</f>
        <v>North</v>
      </c>
      <c r="AD427" t="str">
        <f>TRIM(PROPER(H:H))</f>
        <v>Delhi</v>
      </c>
      <c r="AE427" t="str">
        <f>TRIM(PROPER(I:I))</f>
        <v>New Delhi</v>
      </c>
      <c r="AF427" t="str">
        <f>TRIM(PROPER(J:J))</f>
        <v>Office Supplies</v>
      </c>
      <c r="AG427" t="str">
        <f t="shared" si="12"/>
        <v>Labels</v>
      </c>
      <c r="AH427" t="str">
        <f t="shared" si="12"/>
        <v>Pro Labels 903</v>
      </c>
      <c r="AI427" t="str">
        <f t="shared" si="12"/>
        <v>First Class</v>
      </c>
      <c r="AJ427" s="3" t="str">
        <f t="shared" si="11"/>
        <v>Invalid</v>
      </c>
      <c r="AK427" t="str">
        <f>IFERROR(Y427-X427, "invalid date")</f>
        <v>invalid date</v>
      </c>
      <c r="AL427" s="10">
        <v>0.1</v>
      </c>
      <c r="AM427" s="11">
        <v>1918.2420000000002</v>
      </c>
      <c r="AN427" s="11">
        <v>544.72200000000021</v>
      </c>
      <c r="AO427" s="10">
        <v>0.2839693844676533</v>
      </c>
      <c r="AP427" t="s">
        <v>4547</v>
      </c>
      <c r="AQ427" t="s">
        <v>4105</v>
      </c>
      <c r="AR427" t="s">
        <v>4134</v>
      </c>
      <c r="AS427" t="s">
        <v>4107</v>
      </c>
      <c r="AT427" t="s">
        <v>4108</v>
      </c>
      <c r="AU427" t="s">
        <v>4105</v>
      </c>
      <c r="AV427" t="s">
        <v>4109</v>
      </c>
    </row>
    <row r="428" spans="1:48">
      <c r="A428" t="s">
        <v>2112</v>
      </c>
      <c r="B428" t="s">
        <v>2113</v>
      </c>
      <c r="C428" t="s">
        <v>2114</v>
      </c>
      <c r="D428" t="s">
        <v>2115</v>
      </c>
      <c r="E428" t="s">
        <v>116</v>
      </c>
      <c r="F428" t="s">
        <v>35</v>
      </c>
      <c r="G428" t="s">
        <v>36</v>
      </c>
      <c r="H428" t="s">
        <v>334</v>
      </c>
      <c r="I428" t="s">
        <v>335</v>
      </c>
      <c r="J428" t="s">
        <v>95</v>
      </c>
      <c r="K428" t="s">
        <v>103</v>
      </c>
      <c r="L428" t="s">
        <v>2116</v>
      </c>
      <c r="M428" t="s">
        <v>57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43</v>
      </c>
      <c r="U428" t="s">
        <v>44</v>
      </c>
      <c r="W428" t="s">
        <v>2112</v>
      </c>
      <c r="X428" t="str">
        <v>30-06-24</v>
      </c>
      <c r="Y428" t="str">
        <v>01-07-24</v>
      </c>
      <c r="Z428" t="s">
        <v>2115</v>
      </c>
      <c r="AA428" t="str">
        <v>Aditi Sen</v>
      </c>
      <c r="AB428" t="str">
        <f>TRIM(PROPER(F:F))</f>
        <v>Consumer</v>
      </c>
      <c r="AC428" t="str">
        <f>TRIM(PROPER(G:G))</f>
        <v>North</v>
      </c>
      <c r="AD428" t="str">
        <f>TRIM(PROPER(H:H))</f>
        <v>Haryana</v>
      </c>
      <c r="AE428" t="str">
        <f>TRIM(PROPER(I:I))</f>
        <v>Gurugram</v>
      </c>
      <c r="AF428" t="str">
        <f>TRIM(PROPER(J:J))</f>
        <v>Technology</v>
      </c>
      <c r="AG428" t="str">
        <f t="shared" si="12"/>
        <v>Copiers</v>
      </c>
      <c r="AH428" t="str">
        <f t="shared" si="12"/>
        <v>Max Copiers 402</v>
      </c>
      <c r="AI428" t="str">
        <f t="shared" si="12"/>
        <v>Same Day</v>
      </c>
      <c r="AJ428" s="3" t="str">
        <f t="shared" si="11"/>
        <v xml:space="preserve">  </v>
      </c>
      <c r="AK428">
        <f>IFERROR(Y428-X428, "invalid date")</f>
        <v>1</v>
      </c>
      <c r="AL428" s="10">
        <v>0.1</v>
      </c>
      <c r="AM428" s="11">
        <v>27047.952000000001</v>
      </c>
      <c r="AN428" s="11">
        <v>8616.6219999999994</v>
      </c>
      <c r="AO428" s="10">
        <v>0.31856837072174626</v>
      </c>
      <c r="AP428" t="s">
        <v>4471</v>
      </c>
      <c r="AQ428" t="s">
        <v>4147</v>
      </c>
      <c r="AR428" t="s">
        <v>4170</v>
      </c>
      <c r="AS428" t="s">
        <v>4107</v>
      </c>
      <c r="AT428" t="s">
        <v>4121</v>
      </c>
      <c r="AU428">
        <v>1</v>
      </c>
      <c r="AV428" t="s">
        <v>4109</v>
      </c>
    </row>
    <row r="429" spans="1:48">
      <c r="A429" t="s">
        <v>2117</v>
      </c>
      <c r="B429" t="s">
        <v>2118</v>
      </c>
      <c r="C429" t="s">
        <v>2119</v>
      </c>
      <c r="D429" t="s">
        <v>2120</v>
      </c>
      <c r="E429" t="s">
        <v>62</v>
      </c>
      <c r="F429" t="s">
        <v>117</v>
      </c>
      <c r="H429" t="s">
        <v>322</v>
      </c>
      <c r="I429" t="s">
        <v>323</v>
      </c>
      <c r="J429" t="s">
        <v>95</v>
      </c>
      <c r="K429" t="s">
        <v>96</v>
      </c>
      <c r="L429" t="s">
        <v>2121</v>
      </c>
      <c r="M429" t="s">
        <v>297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43</v>
      </c>
      <c r="U429" t="s">
        <v>44</v>
      </c>
      <c r="W429" t="s">
        <v>2117</v>
      </c>
      <c r="X429" t="str">
        <v>22-04-25</v>
      </c>
      <c r="Y429" t="str">
        <v>24-04-25</v>
      </c>
      <c r="Z429" t="s">
        <v>2120</v>
      </c>
      <c r="AA429" t="str">
        <v>Isha Nair</v>
      </c>
      <c r="AB429" t="str">
        <f>TRIM(PROPER(F:F))</f>
        <v>Corporate</v>
      </c>
      <c r="AC429" s="4" t="s">
        <v>282</v>
      </c>
      <c r="AD429" t="str">
        <f>TRIM(PROPER(H:H))</f>
        <v>Jharkhand</v>
      </c>
      <c r="AE429" t="str">
        <f>TRIM(PROPER(I:I))</f>
        <v>Ranchi</v>
      </c>
      <c r="AF429" t="str">
        <f>TRIM(PROPER(J:J))</f>
        <v>Technology</v>
      </c>
      <c r="AG429" t="str">
        <f t="shared" si="12"/>
        <v>Accessories</v>
      </c>
      <c r="AH429" t="str">
        <f t="shared" si="12"/>
        <v>Prime Accessories 419</v>
      </c>
      <c r="AI429" t="str">
        <f t="shared" si="12"/>
        <v>Standard Class</v>
      </c>
      <c r="AJ429" s="3" t="str">
        <f t="shared" si="11"/>
        <v>anomaly</v>
      </c>
      <c r="AK429">
        <f>IFERROR(Y429-X429, "invalid date")</f>
        <v>2</v>
      </c>
      <c r="AL429" s="10">
        <v>0</v>
      </c>
      <c r="AM429" s="11">
        <v>26454.959999999999</v>
      </c>
      <c r="AN429" s="11">
        <v>8824.7099999999991</v>
      </c>
      <c r="AO429" s="10">
        <v>0.33357487594008833</v>
      </c>
      <c r="AP429" t="s">
        <v>4527</v>
      </c>
      <c r="AQ429" t="s">
        <v>4548</v>
      </c>
      <c r="AR429" t="s">
        <v>4199</v>
      </c>
      <c r="AS429" t="s">
        <v>4120</v>
      </c>
      <c r="AT429" t="s">
        <v>4115</v>
      </c>
      <c r="AU429">
        <v>2</v>
      </c>
      <c r="AV429" t="s">
        <v>4109</v>
      </c>
    </row>
    <row r="430" spans="1:48">
      <c r="A430" t="s">
        <v>2122</v>
      </c>
      <c r="B430" t="s">
        <v>2123</v>
      </c>
      <c r="C430" t="s">
        <v>2124</v>
      </c>
      <c r="D430" t="s">
        <v>2125</v>
      </c>
      <c r="E430" t="s">
        <v>34</v>
      </c>
      <c r="F430" t="s">
        <v>50</v>
      </c>
      <c r="G430" t="s">
        <v>51</v>
      </c>
      <c r="H430" t="s">
        <v>130</v>
      </c>
      <c r="I430" t="s">
        <v>131</v>
      </c>
      <c r="J430" t="s">
        <v>95</v>
      </c>
      <c r="K430" t="s">
        <v>233</v>
      </c>
      <c r="L430" t="s">
        <v>2126</v>
      </c>
      <c r="M430" t="s">
        <v>57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146</v>
      </c>
      <c r="U430" t="s">
        <v>87</v>
      </c>
      <c r="W430" t="s">
        <v>2122</v>
      </c>
      <c r="X430" t="str">
        <v>15-03-25</v>
      </c>
      <c r="Y430" t="str">
        <v>22-03-25</v>
      </c>
      <c r="Z430" t="s">
        <v>2125</v>
      </c>
      <c r="AA430" t="str">
        <v>Karan Malhotra</v>
      </c>
      <c r="AB430" t="str">
        <f>TRIM(PROPER(F:F))</f>
        <v>Small Business</v>
      </c>
      <c r="AC430" t="str">
        <f>TRIM(PROPER(G:G))</f>
        <v>East</v>
      </c>
      <c r="AD430" t="str">
        <f>TRIM(PROPER(H:H))</f>
        <v>West Bengal</v>
      </c>
      <c r="AE430" t="str">
        <f>TRIM(PROPER(I:I))</f>
        <v>Kolkata</v>
      </c>
      <c r="AF430" t="str">
        <f>TRIM(PROPER(J:J))</f>
        <v>Technology</v>
      </c>
      <c r="AG430" t="str">
        <f t="shared" si="12"/>
        <v>Phones</v>
      </c>
      <c r="AH430" t="str">
        <f t="shared" si="12"/>
        <v>Elite Phones 488</v>
      </c>
      <c r="AI430" t="str">
        <f t="shared" si="12"/>
        <v>Same Day</v>
      </c>
      <c r="AJ430" s="3" t="str">
        <f t="shared" si="11"/>
        <v>anomaly</v>
      </c>
      <c r="AK430">
        <f>IFERROR(Y430-X430, "invalid date")</f>
        <v>7</v>
      </c>
      <c r="AL430" s="10">
        <v>0.25</v>
      </c>
      <c r="AM430" s="11">
        <v>1853.895</v>
      </c>
      <c r="AN430" s="11">
        <v>752.66499999999996</v>
      </c>
      <c r="AO430" s="10">
        <v>0.40599116994220275</v>
      </c>
      <c r="AP430" t="s">
        <v>4549</v>
      </c>
      <c r="AQ430" t="s">
        <v>4550</v>
      </c>
      <c r="AR430" t="s">
        <v>4159</v>
      </c>
      <c r="AS430" t="s">
        <v>4120</v>
      </c>
      <c r="AT430" t="s">
        <v>4115</v>
      </c>
      <c r="AU430">
        <v>7</v>
      </c>
      <c r="AV430" t="s">
        <v>4109</v>
      </c>
    </row>
    <row r="431" spans="1:48">
      <c r="A431" t="s">
        <v>2127</v>
      </c>
      <c r="B431" t="s">
        <v>2128</v>
      </c>
      <c r="C431" t="s">
        <v>2129</v>
      </c>
      <c r="D431" t="s">
        <v>2130</v>
      </c>
      <c r="E431" t="s">
        <v>102</v>
      </c>
      <c r="F431" t="s">
        <v>124</v>
      </c>
      <c r="G431" t="s">
        <v>36</v>
      </c>
      <c r="H431" t="s">
        <v>37</v>
      </c>
      <c r="I431" t="s">
        <v>38</v>
      </c>
      <c r="J431" t="s">
        <v>95</v>
      </c>
      <c r="K431" t="s">
        <v>103</v>
      </c>
      <c r="L431" t="s">
        <v>2131</v>
      </c>
      <c r="M431" t="s">
        <v>57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43</v>
      </c>
      <c r="U431" t="s">
        <v>44</v>
      </c>
      <c r="W431" t="s">
        <v>2127</v>
      </c>
      <c r="X431" t="str">
        <v>01-03-25</v>
      </c>
      <c r="Y431" t="str">
        <v>08-03-25</v>
      </c>
      <c r="Z431" t="s">
        <v>2130</v>
      </c>
      <c r="AA431" t="str">
        <v>Neha Gupta</v>
      </c>
      <c r="AB431" t="str">
        <f>TRIM(PROPER(F:F))</f>
        <v>Home Office</v>
      </c>
      <c r="AC431" t="str">
        <f>TRIM(PROPER(G:G))</f>
        <v>North</v>
      </c>
      <c r="AD431" t="str">
        <f>TRIM(PROPER(H:H))</f>
        <v>Rajasthan</v>
      </c>
      <c r="AE431" t="str">
        <f>TRIM(PROPER(I:I))</f>
        <v>Jaipur</v>
      </c>
      <c r="AF431" t="str">
        <f>TRIM(PROPER(J:J))</f>
        <v>Technology</v>
      </c>
      <c r="AG431" t="str">
        <f t="shared" si="12"/>
        <v>Copiers</v>
      </c>
      <c r="AH431" t="str">
        <f t="shared" si="12"/>
        <v>Prime Copiers 109</v>
      </c>
      <c r="AI431" t="str">
        <f t="shared" si="12"/>
        <v>Same Day</v>
      </c>
      <c r="AJ431" s="3" t="str">
        <f t="shared" si="11"/>
        <v>anomaly</v>
      </c>
      <c r="AK431">
        <f>IFERROR(Y431-X431, "invalid date")</f>
        <v>7</v>
      </c>
      <c r="AL431" s="10">
        <v>0.25</v>
      </c>
      <c r="AM431" s="11">
        <v>17658.599999999999</v>
      </c>
      <c r="AN431" s="11">
        <v>3816.119999999999</v>
      </c>
      <c r="AO431" s="10">
        <v>0.2161054670245659</v>
      </c>
      <c r="AP431" t="s">
        <v>4235</v>
      </c>
      <c r="AQ431" t="s">
        <v>4372</v>
      </c>
      <c r="AR431" t="s">
        <v>4159</v>
      </c>
      <c r="AS431" t="s">
        <v>4120</v>
      </c>
      <c r="AT431" t="s">
        <v>4115</v>
      </c>
      <c r="AU431">
        <v>7</v>
      </c>
      <c r="AV431" t="s">
        <v>4109</v>
      </c>
    </row>
    <row r="432" spans="1:48">
      <c r="A432" t="s">
        <v>2132</v>
      </c>
      <c r="B432" t="s">
        <v>2133</v>
      </c>
      <c r="C432" t="s">
        <v>2134</v>
      </c>
      <c r="D432" t="s">
        <v>2135</v>
      </c>
      <c r="E432" t="s">
        <v>102</v>
      </c>
      <c r="F432" t="s">
        <v>50</v>
      </c>
      <c r="G432" t="s">
        <v>36</v>
      </c>
      <c r="H432" t="s">
        <v>334</v>
      </c>
      <c r="I432" t="s">
        <v>335</v>
      </c>
      <c r="J432" t="s">
        <v>39</v>
      </c>
      <c r="K432" t="s">
        <v>40</v>
      </c>
      <c r="L432" t="s">
        <v>2136</v>
      </c>
      <c r="M432" t="s">
        <v>42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43</v>
      </c>
      <c r="U432" t="s">
        <v>44</v>
      </c>
      <c r="W432" t="s">
        <v>2132</v>
      </c>
      <c r="X432" t="str">
        <v>30-08-24</v>
      </c>
      <c r="Y432" t="str">
        <v>02-09-24</v>
      </c>
      <c r="Z432" t="s">
        <v>2135</v>
      </c>
      <c r="AA432" t="str">
        <v>Neha Gupta</v>
      </c>
      <c r="AB432" t="str">
        <f>TRIM(PROPER(F:F))</f>
        <v>Small Business</v>
      </c>
      <c r="AC432" t="str">
        <f>TRIM(PROPER(G:G))</f>
        <v>North</v>
      </c>
      <c r="AD432" t="str">
        <f>TRIM(PROPER(H:H))</f>
        <v>Haryana</v>
      </c>
      <c r="AE432" t="str">
        <f>TRIM(PROPER(I:I))</f>
        <v>Gurugram</v>
      </c>
      <c r="AF432" t="str">
        <f>TRIM(PROPER(J:J))</f>
        <v>Office Supplies</v>
      </c>
      <c r="AG432" t="str">
        <f t="shared" si="12"/>
        <v>Paper</v>
      </c>
      <c r="AH432" t="str">
        <f t="shared" si="12"/>
        <v>Max Paper 576</v>
      </c>
      <c r="AI432" t="str">
        <f t="shared" si="12"/>
        <v>Second Class</v>
      </c>
      <c r="AJ432" s="3" t="str">
        <f t="shared" si="11"/>
        <v xml:space="preserve">  </v>
      </c>
      <c r="AK432">
        <f>IFERROR(Y432-X432, "invalid date")</f>
        <v>3</v>
      </c>
      <c r="AL432" s="10">
        <v>0.15</v>
      </c>
      <c r="AM432" s="11">
        <v>3672.7139999999999</v>
      </c>
      <c r="AN432" s="11">
        <v>958.48399999999992</v>
      </c>
      <c r="AO432" s="10">
        <v>0.26097430946161337</v>
      </c>
      <c r="AP432" t="s">
        <v>4551</v>
      </c>
      <c r="AQ432" t="s">
        <v>4392</v>
      </c>
      <c r="AR432" t="s">
        <v>4114</v>
      </c>
      <c r="AS432" t="s">
        <v>4107</v>
      </c>
      <c r="AT432" t="s">
        <v>4121</v>
      </c>
      <c r="AU432">
        <v>3</v>
      </c>
      <c r="AV432" t="s">
        <v>4109</v>
      </c>
    </row>
    <row r="433" spans="1:48">
      <c r="A433" t="s">
        <v>2137</v>
      </c>
      <c r="B433" t="s">
        <v>2138</v>
      </c>
      <c r="C433" t="s">
        <v>2139</v>
      </c>
      <c r="D433" t="s">
        <v>2140</v>
      </c>
      <c r="E433" t="s">
        <v>34</v>
      </c>
      <c r="F433" t="s">
        <v>124</v>
      </c>
      <c r="G433" t="s">
        <v>82</v>
      </c>
      <c r="H433" t="s">
        <v>259</v>
      </c>
      <c r="I433" t="s">
        <v>260</v>
      </c>
      <c r="J433" t="s">
        <v>95</v>
      </c>
      <c r="K433" t="s">
        <v>393</v>
      </c>
      <c r="L433" t="s">
        <v>2141</v>
      </c>
      <c r="M433" t="s">
        <v>57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43</v>
      </c>
      <c r="U433" t="s">
        <v>44</v>
      </c>
      <c r="W433" t="s">
        <v>2137</v>
      </c>
      <c r="X433" t="str">
        <v>10-02-24</v>
      </c>
      <c r="Y433" t="str">
        <v>invalid date</v>
      </c>
      <c r="Z433" t="s">
        <v>2140</v>
      </c>
      <c r="AA433" t="str">
        <v>Karan Malhotra</v>
      </c>
      <c r="AB433" t="str">
        <f>TRIM(PROPER(F:F))</f>
        <v>Home Office</v>
      </c>
      <c r="AC433" t="str">
        <f>TRIM(PROPER(G:G))</f>
        <v>West</v>
      </c>
      <c r="AD433" t="str">
        <f>TRIM(PROPER(H:H))</f>
        <v>Goa</v>
      </c>
      <c r="AE433" t="str">
        <f>TRIM(PROPER(I:I))</f>
        <v>Panaji</v>
      </c>
      <c r="AF433" t="str">
        <f>TRIM(PROPER(J:J))</f>
        <v>Technology</v>
      </c>
      <c r="AG433" t="str">
        <f t="shared" si="12"/>
        <v>Machines</v>
      </c>
      <c r="AH433" t="str">
        <f t="shared" si="12"/>
        <v>Max Machines 412</v>
      </c>
      <c r="AI433" t="str">
        <f t="shared" si="12"/>
        <v>Same Day</v>
      </c>
      <c r="AJ433" s="3" t="str">
        <f t="shared" si="11"/>
        <v>Invalid</v>
      </c>
      <c r="AK433" t="str">
        <f>IFERROR(Y433-X433, "invalid date")</f>
        <v>invalid date</v>
      </c>
      <c r="AL433" s="10">
        <v>0.25</v>
      </c>
      <c r="AM433" s="11">
        <v>6177.6749999999993</v>
      </c>
      <c r="AN433" s="11">
        <v>1656.9249999999993</v>
      </c>
      <c r="AO433" s="10">
        <v>0.26821174632851347</v>
      </c>
      <c r="AP433" t="s">
        <v>4444</v>
      </c>
      <c r="AQ433" t="s">
        <v>4105</v>
      </c>
      <c r="AR433" t="s">
        <v>4129</v>
      </c>
      <c r="AS433" t="s">
        <v>4107</v>
      </c>
      <c r="AT433" t="s">
        <v>4108</v>
      </c>
      <c r="AU433" t="s">
        <v>4105</v>
      </c>
      <c r="AV433" t="s">
        <v>4109</v>
      </c>
    </row>
    <row r="434" spans="1:48">
      <c r="A434" t="s">
        <v>2142</v>
      </c>
      <c r="B434" t="s">
        <v>1959</v>
      </c>
      <c r="C434" t="s">
        <v>2134</v>
      </c>
      <c r="D434" t="s">
        <v>2143</v>
      </c>
      <c r="E434" t="s">
        <v>151</v>
      </c>
      <c r="F434" t="s">
        <v>50</v>
      </c>
      <c r="G434" t="s">
        <v>82</v>
      </c>
      <c r="H434" t="s">
        <v>83</v>
      </c>
      <c r="I434" t="s">
        <v>84</v>
      </c>
      <c r="J434" t="s">
        <v>54</v>
      </c>
      <c r="K434" t="s">
        <v>214</v>
      </c>
      <c r="L434" t="s">
        <v>2144</v>
      </c>
      <c r="M434" t="s">
        <v>76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43</v>
      </c>
      <c r="U434" t="s">
        <v>44</v>
      </c>
      <c r="W434" t="s">
        <v>2142</v>
      </c>
      <c r="X434" t="str">
        <v>invalid date</v>
      </c>
      <c r="Y434" t="str">
        <v>02-09-24</v>
      </c>
      <c r="Z434" t="s">
        <v>2143</v>
      </c>
      <c r="AA434" t="str">
        <v>Priya Menon</v>
      </c>
      <c r="AB434" t="str">
        <f>TRIM(PROPER(F:F))</f>
        <v>Small Business</v>
      </c>
      <c r="AC434" t="str">
        <f>TRIM(PROPER(G:G))</f>
        <v>West</v>
      </c>
      <c r="AD434" t="str">
        <f>TRIM(PROPER(H:H))</f>
        <v>Maharashtra</v>
      </c>
      <c r="AE434" t="str">
        <f>TRIM(PROPER(I:I))</f>
        <v>Mumbai</v>
      </c>
      <c r="AF434" t="str">
        <f>TRIM(PROPER(J:J))</f>
        <v>Furniture</v>
      </c>
      <c r="AG434" t="str">
        <f t="shared" si="12"/>
        <v>Bookcases</v>
      </c>
      <c r="AH434" t="str">
        <f t="shared" si="12"/>
        <v>Classic Bookcases 291</v>
      </c>
      <c r="AI434" t="str">
        <f t="shared" si="12"/>
        <v>Standard Class</v>
      </c>
      <c r="AJ434" s="3" t="str">
        <f t="shared" si="11"/>
        <v>Invalid</v>
      </c>
      <c r="AK434" t="str">
        <f>IFERROR(Y434-X434, "invalid date")</f>
        <v>invalid date</v>
      </c>
      <c r="AL434" s="10">
        <v>0.05</v>
      </c>
      <c r="AM434" s="11">
        <v>985.07400000000007</v>
      </c>
      <c r="AN434" s="11">
        <v>140.59400000000005</v>
      </c>
      <c r="AO434" s="10">
        <v>0.14272430294576857</v>
      </c>
      <c r="AP434" t="s">
        <v>4105</v>
      </c>
      <c r="AQ434" t="s">
        <v>4392</v>
      </c>
      <c r="AR434" t="s">
        <v>4105</v>
      </c>
      <c r="AS434" t="s">
        <v>4105</v>
      </c>
      <c r="AT434" t="s">
        <v>4108</v>
      </c>
      <c r="AU434" t="s">
        <v>4105</v>
      </c>
      <c r="AV434" t="s">
        <v>4109</v>
      </c>
    </row>
    <row r="435" spans="1:48">
      <c r="A435" t="s">
        <v>2145</v>
      </c>
      <c r="B435" t="s">
        <v>2146</v>
      </c>
      <c r="C435" t="s">
        <v>2147</v>
      </c>
      <c r="D435" t="s">
        <v>2148</v>
      </c>
      <c r="E435" t="s">
        <v>151</v>
      </c>
      <c r="F435" t="s">
        <v>117</v>
      </c>
      <c r="G435" t="s">
        <v>71</v>
      </c>
      <c r="H435" t="s">
        <v>252</v>
      </c>
      <c r="I435" t="s">
        <v>253</v>
      </c>
      <c r="J435" t="s">
        <v>39</v>
      </c>
      <c r="K435" t="s">
        <v>63</v>
      </c>
      <c r="L435" t="s">
        <v>2149</v>
      </c>
      <c r="M435" t="s">
        <v>42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133</v>
      </c>
      <c r="U435" t="s">
        <v>134</v>
      </c>
      <c r="W435" t="s">
        <v>2145</v>
      </c>
      <c r="X435" t="str">
        <v>invalid date</v>
      </c>
      <c r="Y435" t="str">
        <v>20-04-24</v>
      </c>
      <c r="Z435" t="s">
        <v>2148</v>
      </c>
      <c r="AA435" t="str">
        <v>Priya Menon</v>
      </c>
      <c r="AB435" t="str">
        <f>TRIM(PROPER(F:F))</f>
        <v>Corporate</v>
      </c>
      <c r="AC435" t="str">
        <f>TRIM(PROPER(G:G))</f>
        <v>South</v>
      </c>
      <c r="AD435" t="str">
        <f>TRIM(PROPER(H:H))</f>
        <v>Kerala</v>
      </c>
      <c r="AE435" t="str">
        <f>TRIM(PROPER(I:I))</f>
        <v>Kochi</v>
      </c>
      <c r="AF435" t="str">
        <f>TRIM(PROPER(J:J))</f>
        <v>Office Supplies</v>
      </c>
      <c r="AG435" t="str">
        <f t="shared" si="12"/>
        <v>Art</v>
      </c>
      <c r="AH435" t="str">
        <f t="shared" si="12"/>
        <v>Elite Art 946</v>
      </c>
      <c r="AI435" t="str">
        <f t="shared" si="12"/>
        <v>Second Class</v>
      </c>
      <c r="AJ435" s="3" t="str">
        <f t="shared" si="11"/>
        <v>Invalid</v>
      </c>
      <c r="AK435" t="str">
        <f>IFERROR(Y435-X435, "invalid date")</f>
        <v>invalid date</v>
      </c>
      <c r="AL435" s="10">
        <v>0</v>
      </c>
      <c r="AM435" s="11">
        <v>6160.88</v>
      </c>
      <c r="AN435" s="11">
        <v>1222.1800000000003</v>
      </c>
      <c r="AO435" s="10">
        <v>0.19837750451234243</v>
      </c>
      <c r="AP435" t="s">
        <v>4105</v>
      </c>
      <c r="AQ435" t="s">
        <v>4539</v>
      </c>
      <c r="AR435" t="s">
        <v>4105</v>
      </c>
      <c r="AS435" t="s">
        <v>4105</v>
      </c>
      <c r="AT435" t="s">
        <v>4108</v>
      </c>
      <c r="AU435" t="s">
        <v>4105</v>
      </c>
      <c r="AV435" t="s">
        <v>4109</v>
      </c>
    </row>
    <row r="436" spans="1:48">
      <c r="A436" t="s">
        <v>2150</v>
      </c>
      <c r="B436" t="s">
        <v>2151</v>
      </c>
      <c r="C436" t="s">
        <v>2152</v>
      </c>
      <c r="D436" t="s">
        <v>2153</v>
      </c>
      <c r="E436" t="s">
        <v>49</v>
      </c>
      <c r="F436" t="s">
        <v>124</v>
      </c>
      <c r="G436" t="s">
        <v>36</v>
      </c>
      <c r="H436" t="s">
        <v>183</v>
      </c>
      <c r="I436" t="s">
        <v>184</v>
      </c>
      <c r="J436" t="s">
        <v>95</v>
      </c>
      <c r="K436" t="s">
        <v>96</v>
      </c>
      <c r="L436" t="s">
        <v>2154</v>
      </c>
      <c r="M436" t="s">
        <v>42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43</v>
      </c>
      <c r="U436" t="s">
        <v>44</v>
      </c>
      <c r="W436" t="s">
        <v>2150</v>
      </c>
      <c r="X436" t="str">
        <v>04-11-25</v>
      </c>
      <c r="Y436" t="str">
        <v>15-04-25</v>
      </c>
      <c r="Z436" t="s">
        <v>2153</v>
      </c>
      <c r="AA436" t="str">
        <v>Mira Das</v>
      </c>
      <c r="AB436" t="str">
        <f>TRIM(PROPER(F:F))</f>
        <v>Home Office</v>
      </c>
      <c r="AC436" t="str">
        <f>TRIM(PROPER(G:G))</f>
        <v>North</v>
      </c>
      <c r="AD436" t="str">
        <f>TRIM(PROPER(H:H))</f>
        <v>Uttar Pradesh</v>
      </c>
      <c r="AE436" t="str">
        <f>TRIM(PROPER(I:I))</f>
        <v>Noida</v>
      </c>
      <c r="AF436" t="str">
        <f>TRIM(PROPER(J:J))</f>
        <v>Technology</v>
      </c>
      <c r="AG436" t="str">
        <f t="shared" si="12"/>
        <v>Accessories</v>
      </c>
      <c r="AH436" t="str">
        <f t="shared" si="12"/>
        <v>Eco Accessories 705</v>
      </c>
      <c r="AI436" t="str">
        <f t="shared" si="12"/>
        <v>Second Class</v>
      </c>
      <c r="AJ436" s="3" t="str">
        <f t="shared" si="11"/>
        <v>anomaly</v>
      </c>
      <c r="AK436">
        <f>IFERROR(Y436-X436, "invalid date")</f>
        <v>-203</v>
      </c>
      <c r="AL436" s="10">
        <v>0</v>
      </c>
      <c r="AM436" s="11">
        <v>3263.8999999999996</v>
      </c>
      <c r="AN436" s="11">
        <v>1195.4599999999996</v>
      </c>
      <c r="AO436" s="10">
        <v>0.3662673488771101</v>
      </c>
      <c r="AP436" t="s">
        <v>4552</v>
      </c>
      <c r="AQ436" t="s">
        <v>4385</v>
      </c>
      <c r="AR436" t="s">
        <v>4117</v>
      </c>
      <c r="AS436" t="s">
        <v>4120</v>
      </c>
      <c r="AT436" t="s">
        <v>4115</v>
      </c>
      <c r="AU436">
        <v>-203</v>
      </c>
      <c r="AV436" t="s">
        <v>4109</v>
      </c>
    </row>
    <row r="437" spans="1:48">
      <c r="A437" t="s">
        <v>2155</v>
      </c>
      <c r="B437" t="s">
        <v>2156</v>
      </c>
      <c r="C437" t="s">
        <v>1038</v>
      </c>
      <c r="D437" t="s">
        <v>2157</v>
      </c>
      <c r="E437" t="s">
        <v>377</v>
      </c>
      <c r="F437" t="s">
        <v>124</v>
      </c>
      <c r="G437" t="s">
        <v>36</v>
      </c>
      <c r="H437" t="s">
        <v>517</v>
      </c>
      <c r="I437" t="s">
        <v>518</v>
      </c>
      <c r="J437" t="s">
        <v>95</v>
      </c>
      <c r="K437" t="s">
        <v>393</v>
      </c>
      <c r="L437" t="s">
        <v>2158</v>
      </c>
      <c r="M437" t="s">
        <v>76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43</v>
      </c>
      <c r="U437" t="s">
        <v>87</v>
      </c>
      <c r="W437" t="s">
        <v>2155</v>
      </c>
      <c r="X437" t="str">
        <v>12-04-25</v>
      </c>
      <c r="Y437" t="str">
        <v>20-04-25</v>
      </c>
      <c r="Z437" t="s">
        <v>2157</v>
      </c>
      <c r="AA437" t="str">
        <v>Kabir Singh</v>
      </c>
      <c r="AB437" t="str">
        <f>TRIM(PROPER(F:F))</f>
        <v>Home Office</v>
      </c>
      <c r="AC437" t="str">
        <f>TRIM(PROPER(G:G))</f>
        <v>North</v>
      </c>
      <c r="AD437" t="str">
        <f>TRIM(PROPER(H:H))</f>
        <v>Delhi</v>
      </c>
      <c r="AE437" t="str">
        <f>TRIM(PROPER(I:I))</f>
        <v>New Delhi</v>
      </c>
      <c r="AF437" t="str">
        <f>TRIM(PROPER(J:J))</f>
        <v>Technology</v>
      </c>
      <c r="AG437" t="str">
        <f t="shared" si="12"/>
        <v>Machines</v>
      </c>
      <c r="AH437" t="str">
        <f t="shared" si="12"/>
        <v>Max Machines 151</v>
      </c>
      <c r="AI437" t="str">
        <f t="shared" si="12"/>
        <v>Standard Class</v>
      </c>
      <c r="AJ437" s="3" t="str">
        <f t="shared" si="11"/>
        <v>anomaly</v>
      </c>
      <c r="AK437">
        <f>IFERROR(Y437-X437, "invalid date")</f>
        <v>8</v>
      </c>
      <c r="AL437" s="10">
        <v>0.15</v>
      </c>
      <c r="AM437" s="11">
        <v>2327.0535</v>
      </c>
      <c r="AN437" s="11">
        <v>407.63349999999991</v>
      </c>
      <c r="AO437" s="10">
        <v>0.17517152055163318</v>
      </c>
      <c r="AP437" t="s">
        <v>4553</v>
      </c>
      <c r="AQ437" t="s">
        <v>4361</v>
      </c>
      <c r="AR437" t="s">
        <v>4199</v>
      </c>
      <c r="AS437" t="s">
        <v>4120</v>
      </c>
      <c r="AT437" t="s">
        <v>4115</v>
      </c>
      <c r="AU437">
        <v>8</v>
      </c>
      <c r="AV437" t="s">
        <v>4109</v>
      </c>
    </row>
    <row r="438" spans="1:48">
      <c r="A438" t="s">
        <v>2159</v>
      </c>
      <c r="B438" t="s">
        <v>2160</v>
      </c>
      <c r="C438" t="s">
        <v>2161</v>
      </c>
      <c r="D438" t="s">
        <v>2162</v>
      </c>
      <c r="E438" t="s">
        <v>102</v>
      </c>
      <c r="F438" t="s">
        <v>35</v>
      </c>
      <c r="G438" t="s">
        <v>71</v>
      </c>
      <c r="H438" t="s">
        <v>252</v>
      </c>
      <c r="I438" t="s">
        <v>253</v>
      </c>
      <c r="J438" t="s">
        <v>54</v>
      </c>
      <c r="K438" t="s">
        <v>74</v>
      </c>
      <c r="L438" t="s">
        <v>2163</v>
      </c>
      <c r="M438" t="s">
        <v>57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43</v>
      </c>
      <c r="U438" t="s">
        <v>134</v>
      </c>
      <c r="W438" t="s">
        <v>2159</v>
      </c>
      <c r="X438" t="str">
        <v>16-06-24</v>
      </c>
      <c r="Y438" t="str">
        <v>21-06-24</v>
      </c>
      <c r="Z438" t="s">
        <v>2162</v>
      </c>
      <c r="AA438" t="str">
        <v>Neha Gupta</v>
      </c>
      <c r="AB438" t="str">
        <f>TRIM(PROPER(F:F))</f>
        <v>Consumer</v>
      </c>
      <c r="AC438" t="str">
        <f>TRIM(PROPER(G:G))</f>
        <v>South</v>
      </c>
      <c r="AD438" t="str">
        <f>TRIM(PROPER(H:H))</f>
        <v>Kerala</v>
      </c>
      <c r="AE438" t="str">
        <f>TRIM(PROPER(I:I))</f>
        <v>Kochi</v>
      </c>
      <c r="AF438" t="str">
        <f>TRIM(PROPER(J:J))</f>
        <v>Furniture</v>
      </c>
      <c r="AG438" t="str">
        <f t="shared" si="12"/>
        <v>Furnishings</v>
      </c>
      <c r="AH438" t="str">
        <f t="shared" si="12"/>
        <v>Max Furnishings 803</v>
      </c>
      <c r="AI438" t="str">
        <f t="shared" si="12"/>
        <v>Same Day</v>
      </c>
      <c r="AJ438" s="3" t="str">
        <f t="shared" si="11"/>
        <v>anomaly</v>
      </c>
      <c r="AK438">
        <f>IFERROR(Y438-X438, "invalid date")</f>
        <v>5</v>
      </c>
      <c r="AL438" s="10">
        <v>0.05</v>
      </c>
      <c r="AM438" s="11">
        <v>6593.6459999999997</v>
      </c>
      <c r="AN438" s="11">
        <v>2234.2559999999994</v>
      </c>
      <c r="AO438" s="10">
        <v>0.33884985636171544</v>
      </c>
      <c r="AP438" t="s">
        <v>4554</v>
      </c>
      <c r="AQ438" t="s">
        <v>4509</v>
      </c>
      <c r="AR438" t="s">
        <v>4170</v>
      </c>
      <c r="AS438" t="s">
        <v>4107</v>
      </c>
      <c r="AT438" t="s">
        <v>4115</v>
      </c>
      <c r="AU438">
        <v>5</v>
      </c>
      <c r="AV438" t="s">
        <v>4109</v>
      </c>
    </row>
    <row r="439" spans="1:48">
      <c r="A439" t="s">
        <v>2164</v>
      </c>
      <c r="B439" t="s">
        <v>2165</v>
      </c>
      <c r="C439" t="s">
        <v>2166</v>
      </c>
      <c r="D439" t="s">
        <v>2167</v>
      </c>
      <c r="E439" t="s">
        <v>116</v>
      </c>
      <c r="F439" t="s">
        <v>50</v>
      </c>
      <c r="G439" t="s">
        <v>71</v>
      </c>
      <c r="H439" t="s">
        <v>252</v>
      </c>
      <c r="I439" t="s">
        <v>253</v>
      </c>
      <c r="J439" t="s">
        <v>95</v>
      </c>
      <c r="K439" t="s">
        <v>96</v>
      </c>
      <c r="L439" t="s">
        <v>2168</v>
      </c>
      <c r="M439" t="s">
        <v>57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210</v>
      </c>
      <c r="U439" t="s">
        <v>134</v>
      </c>
      <c r="W439" t="s">
        <v>2164</v>
      </c>
      <c r="X439" t="str">
        <v>15-02-24</v>
      </c>
      <c r="Y439" t="str">
        <v>18-02-24</v>
      </c>
      <c r="Z439" t="s">
        <v>2167</v>
      </c>
      <c r="AA439" t="str">
        <v>Aditi Sen</v>
      </c>
      <c r="AB439" t="str">
        <f>TRIM(PROPER(F:F))</f>
        <v>Small Business</v>
      </c>
      <c r="AC439" t="str">
        <f>TRIM(PROPER(G:G))</f>
        <v>South</v>
      </c>
      <c r="AD439" t="str">
        <f>TRIM(PROPER(H:H))</f>
        <v>Kerala</v>
      </c>
      <c r="AE439" t="str">
        <f>TRIM(PROPER(I:I))</f>
        <v>Kochi</v>
      </c>
      <c r="AF439" t="str">
        <f>TRIM(PROPER(J:J))</f>
        <v>Technology</v>
      </c>
      <c r="AG439" t="str">
        <f t="shared" si="12"/>
        <v>Accessories</v>
      </c>
      <c r="AH439" t="str">
        <f t="shared" si="12"/>
        <v>Max Accessories 423</v>
      </c>
      <c r="AI439" t="str">
        <f t="shared" si="12"/>
        <v>Same Day</v>
      </c>
      <c r="AJ439" s="3" t="str">
        <f t="shared" si="11"/>
        <v>anomaly</v>
      </c>
      <c r="AK439">
        <f>IFERROR(Y439-X439, "invalid date")</f>
        <v>3</v>
      </c>
      <c r="AL439" s="10">
        <v>0.05</v>
      </c>
      <c r="AM439" s="11">
        <v>2886.6319999999996</v>
      </c>
      <c r="AN439" s="11">
        <v>1298.4019999999996</v>
      </c>
      <c r="AO439" s="10">
        <v>0.44979824238073984</v>
      </c>
      <c r="AP439" t="s">
        <v>4213</v>
      </c>
      <c r="AQ439" t="s">
        <v>4555</v>
      </c>
      <c r="AR439" t="s">
        <v>4129</v>
      </c>
      <c r="AS439" t="s">
        <v>4107</v>
      </c>
      <c r="AT439" t="s">
        <v>4115</v>
      </c>
      <c r="AU439">
        <v>3</v>
      </c>
      <c r="AV439" t="s">
        <v>4109</v>
      </c>
    </row>
    <row r="440" spans="1:48">
      <c r="A440" t="s">
        <v>2169</v>
      </c>
      <c r="B440" t="s">
        <v>1033</v>
      </c>
      <c r="C440" t="s">
        <v>2170</v>
      </c>
      <c r="D440" t="s">
        <v>2171</v>
      </c>
      <c r="E440" t="s">
        <v>102</v>
      </c>
      <c r="F440" t="s">
        <v>117</v>
      </c>
      <c r="G440" t="s">
        <v>51</v>
      </c>
      <c r="H440" t="s">
        <v>322</v>
      </c>
      <c r="I440" t="s">
        <v>323</v>
      </c>
      <c r="J440" t="s">
        <v>95</v>
      </c>
      <c r="K440" t="s">
        <v>233</v>
      </c>
      <c r="L440" t="s">
        <v>2172</v>
      </c>
      <c r="M440" t="s">
        <v>76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43</v>
      </c>
      <c r="U440" t="s">
        <v>44</v>
      </c>
      <c r="W440" t="s">
        <v>2169</v>
      </c>
      <c r="X440" t="str">
        <v>07-05-25</v>
      </c>
      <c r="Y440" t="str">
        <v>05-05-25</v>
      </c>
      <c r="Z440" t="s">
        <v>2171</v>
      </c>
      <c r="AA440" t="str">
        <v>Neha Gupta</v>
      </c>
      <c r="AB440" t="str">
        <f>TRIM(PROPER(F:F))</f>
        <v>Corporate</v>
      </c>
      <c r="AC440" t="str">
        <f>TRIM(PROPER(G:G))</f>
        <v>East</v>
      </c>
      <c r="AD440" t="str">
        <f>TRIM(PROPER(H:H))</f>
        <v>Jharkhand</v>
      </c>
      <c r="AE440" t="str">
        <f>TRIM(PROPER(I:I))</f>
        <v>Ranchi</v>
      </c>
      <c r="AF440" t="str">
        <f>TRIM(PROPER(J:J))</f>
        <v>Technology</v>
      </c>
      <c r="AG440" t="str">
        <f t="shared" si="12"/>
        <v>Phones</v>
      </c>
      <c r="AH440" t="str">
        <f t="shared" si="12"/>
        <v>Elite Phones 276</v>
      </c>
      <c r="AI440" t="str">
        <f t="shared" si="12"/>
        <v>Standard Class</v>
      </c>
      <c r="AJ440" s="3" t="str">
        <f t="shared" si="11"/>
        <v xml:space="preserve">  </v>
      </c>
      <c r="AK440">
        <f>IFERROR(Y440-X440, "invalid date")</f>
        <v>-2</v>
      </c>
      <c r="AL440" s="10">
        <v>0.2</v>
      </c>
      <c r="AM440" s="11">
        <v>1813.1759999999999</v>
      </c>
      <c r="AN440" s="11">
        <v>449.53599999999983</v>
      </c>
      <c r="AO440" s="10">
        <v>0.24792739370033567</v>
      </c>
      <c r="AP440" t="s">
        <v>4360</v>
      </c>
      <c r="AQ440" t="s">
        <v>4556</v>
      </c>
      <c r="AR440" t="s">
        <v>4124</v>
      </c>
      <c r="AS440" t="s">
        <v>4120</v>
      </c>
      <c r="AT440" t="s">
        <v>4121</v>
      </c>
      <c r="AU440">
        <v>-2</v>
      </c>
      <c r="AV440" t="s">
        <v>4109</v>
      </c>
    </row>
    <row r="441" spans="1:48">
      <c r="A441" t="s">
        <v>2173</v>
      </c>
      <c r="B441" t="s">
        <v>2174</v>
      </c>
      <c r="C441" t="s">
        <v>2175</v>
      </c>
      <c r="D441" t="s">
        <v>2176</v>
      </c>
      <c r="E441" t="s">
        <v>171</v>
      </c>
      <c r="F441" t="s">
        <v>124</v>
      </c>
      <c r="G441" t="s">
        <v>82</v>
      </c>
      <c r="H441" t="s">
        <v>259</v>
      </c>
      <c r="I441" t="s">
        <v>260</v>
      </c>
      <c r="J441" t="s">
        <v>39</v>
      </c>
      <c r="K441" t="s">
        <v>165</v>
      </c>
      <c r="L441" t="s">
        <v>2177</v>
      </c>
      <c r="M441" t="s">
        <v>57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133</v>
      </c>
      <c r="U441" t="s">
        <v>134</v>
      </c>
      <c r="W441" t="s">
        <v>2173</v>
      </c>
      <c r="X441" t="str">
        <v>30-06-25</v>
      </c>
      <c r="Y441" t="str">
        <v>03-07-25</v>
      </c>
      <c r="Z441" t="s">
        <v>2176</v>
      </c>
      <c r="AA441" t="str">
        <v>Aarav Sharma</v>
      </c>
      <c r="AB441" t="str">
        <f>TRIM(PROPER(F:F))</f>
        <v>Home Office</v>
      </c>
      <c r="AC441" t="str">
        <f>TRIM(PROPER(G:G))</f>
        <v>West</v>
      </c>
      <c r="AD441" t="str">
        <f>TRIM(PROPER(H:H))</f>
        <v>Goa</v>
      </c>
      <c r="AE441" t="str">
        <f>TRIM(PROPER(I:I))</f>
        <v>Panaji</v>
      </c>
      <c r="AF441" t="str">
        <f>TRIM(PROPER(J:J))</f>
        <v>Office Supplies</v>
      </c>
      <c r="AG441" t="str">
        <f t="shared" si="12"/>
        <v>Storage</v>
      </c>
      <c r="AH441" t="str">
        <f t="shared" si="12"/>
        <v>Smart Storage 287</v>
      </c>
      <c r="AI441" t="str">
        <f t="shared" si="12"/>
        <v>Same Day</v>
      </c>
      <c r="AJ441" s="3" t="str">
        <f t="shared" si="11"/>
        <v xml:space="preserve">  </v>
      </c>
      <c r="AK441">
        <f>IFERROR(Y441-X441, "invalid date")</f>
        <v>3</v>
      </c>
      <c r="AL441" s="10">
        <v>0</v>
      </c>
      <c r="AM441" s="11">
        <v>3326.25</v>
      </c>
      <c r="AN441" s="11">
        <v>636.88999999999987</v>
      </c>
      <c r="AO441" s="10">
        <v>0.19147388199924836</v>
      </c>
      <c r="AP441" t="s">
        <v>4283</v>
      </c>
      <c r="AQ441" t="s">
        <v>4209</v>
      </c>
      <c r="AR441" t="s">
        <v>4170</v>
      </c>
      <c r="AS441" t="s">
        <v>4120</v>
      </c>
      <c r="AT441" t="s">
        <v>4121</v>
      </c>
      <c r="AU441">
        <v>3</v>
      </c>
      <c r="AV441" t="s">
        <v>4109</v>
      </c>
    </row>
    <row r="442" spans="1:48">
      <c r="A442" t="s">
        <v>2178</v>
      </c>
      <c r="B442" t="s">
        <v>2179</v>
      </c>
      <c r="C442" t="s">
        <v>2180</v>
      </c>
      <c r="D442" t="s">
        <v>387</v>
      </c>
      <c r="E442" t="s">
        <v>92</v>
      </c>
      <c r="F442" t="s">
        <v>117</v>
      </c>
      <c r="G442" t="s">
        <v>51</v>
      </c>
      <c r="H442" t="s">
        <v>52</v>
      </c>
      <c r="I442" t="s">
        <v>53</v>
      </c>
      <c r="J442" t="s">
        <v>95</v>
      </c>
      <c r="K442" t="s">
        <v>393</v>
      </c>
      <c r="L442" t="s">
        <v>2181</v>
      </c>
      <c r="M442" t="s">
        <v>42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43</v>
      </c>
      <c r="U442" t="s">
        <v>44</v>
      </c>
      <c r="W442" t="s">
        <v>2178</v>
      </c>
      <c r="X442" t="str">
        <v>04-02-24</v>
      </c>
      <c r="Y442" t="str">
        <v>04-08-24</v>
      </c>
      <c r="Z442" t="s">
        <v>387</v>
      </c>
      <c r="AA442" t="str">
        <v>Vikram Iyer</v>
      </c>
      <c r="AB442" t="str">
        <f>TRIM(PROPER(F:F))</f>
        <v>Corporate</v>
      </c>
      <c r="AC442" t="str">
        <f>TRIM(PROPER(G:G))</f>
        <v>East</v>
      </c>
      <c r="AD442" t="str">
        <f>TRIM(PROPER(H:H))</f>
        <v>Odisha</v>
      </c>
      <c r="AE442" t="str">
        <f>TRIM(PROPER(I:I))</f>
        <v>Bhubaneswar</v>
      </c>
      <c r="AF442" t="str">
        <f>TRIM(PROPER(J:J))</f>
        <v>Technology</v>
      </c>
      <c r="AG442" t="str">
        <f t="shared" si="12"/>
        <v>Machines</v>
      </c>
      <c r="AH442" t="str">
        <f t="shared" si="12"/>
        <v>Basic Machines 610</v>
      </c>
      <c r="AI442" t="str">
        <f t="shared" si="12"/>
        <v>Second Class</v>
      </c>
      <c r="AJ442" s="3" t="str">
        <f t="shared" si="11"/>
        <v>anomaly</v>
      </c>
      <c r="AK442">
        <f>IFERROR(Y442-X442, "invalid date")</f>
        <v>182</v>
      </c>
      <c r="AL442" s="10">
        <v>0.2</v>
      </c>
      <c r="AM442" s="11">
        <v>17869.632000000001</v>
      </c>
      <c r="AN442" s="11">
        <v>5705.8320000000022</v>
      </c>
      <c r="AO442" s="10">
        <v>0.31930327384469931</v>
      </c>
      <c r="AP442" t="s">
        <v>4557</v>
      </c>
      <c r="AQ442" t="s">
        <v>4248</v>
      </c>
      <c r="AR442" t="s">
        <v>4129</v>
      </c>
      <c r="AS442" t="s">
        <v>4107</v>
      </c>
      <c r="AT442" t="s">
        <v>4115</v>
      </c>
      <c r="AU442">
        <v>182</v>
      </c>
      <c r="AV442" t="s">
        <v>4109</v>
      </c>
    </row>
    <row r="443" spans="1:48">
      <c r="A443" t="s">
        <v>2182</v>
      </c>
      <c r="B443" t="s">
        <v>2183</v>
      </c>
      <c r="C443" t="s">
        <v>536</v>
      </c>
      <c r="D443" t="s">
        <v>2184</v>
      </c>
      <c r="E443" t="s">
        <v>34</v>
      </c>
      <c r="F443" t="s">
        <v>35</v>
      </c>
      <c r="G443" t="s">
        <v>51</v>
      </c>
      <c r="H443" t="s">
        <v>196</v>
      </c>
      <c r="I443" t="s">
        <v>197</v>
      </c>
      <c r="J443" t="s">
        <v>54</v>
      </c>
      <c r="K443" t="s">
        <v>214</v>
      </c>
      <c r="L443" t="s">
        <v>2185</v>
      </c>
      <c r="M443" t="s">
        <v>76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43</v>
      </c>
      <c r="U443" t="s">
        <v>87</v>
      </c>
      <c r="W443" t="s">
        <v>2182</v>
      </c>
      <c r="X443" t="str">
        <v>03-10-24</v>
      </c>
      <c r="Y443" t="str">
        <v>03-10-24</v>
      </c>
      <c r="Z443" t="s">
        <v>2184</v>
      </c>
      <c r="AA443" t="str">
        <v>Karan Malhotra</v>
      </c>
      <c r="AB443" t="str">
        <f>TRIM(PROPER(F:F))</f>
        <v>Consumer</v>
      </c>
      <c r="AC443" t="str">
        <f>TRIM(PROPER(G:G))</f>
        <v>East</v>
      </c>
      <c r="AD443" t="str">
        <f>TRIM(PROPER(H:H))</f>
        <v>Bihar</v>
      </c>
      <c r="AE443" t="str">
        <f>TRIM(PROPER(I:I))</f>
        <v>Patna</v>
      </c>
      <c r="AF443" t="str">
        <f>TRIM(PROPER(J:J))</f>
        <v>Furniture</v>
      </c>
      <c r="AG443" t="str">
        <f t="shared" si="12"/>
        <v>Bookcases</v>
      </c>
      <c r="AH443" t="str">
        <f t="shared" si="12"/>
        <v>Elite Bookcases 393</v>
      </c>
      <c r="AI443" t="str">
        <f t="shared" si="12"/>
        <v>Standard Class</v>
      </c>
      <c r="AJ443" s="3" t="str">
        <f t="shared" si="11"/>
        <v xml:space="preserve">  </v>
      </c>
      <c r="AK443">
        <f>IFERROR(Y443-X443, "invalid date")</f>
        <v>0</v>
      </c>
      <c r="AL443" s="10">
        <v>0</v>
      </c>
      <c r="AM443" s="11">
        <v>25304.94</v>
      </c>
      <c r="AN443" s="11">
        <v>4532.989999999998</v>
      </c>
      <c r="AO443" s="10">
        <v>0.17913458795002077</v>
      </c>
      <c r="AP443" t="s">
        <v>4251</v>
      </c>
      <c r="AQ443" t="s">
        <v>4251</v>
      </c>
      <c r="AR443" t="s">
        <v>4126</v>
      </c>
      <c r="AS443" t="s">
        <v>4107</v>
      </c>
      <c r="AT443" t="s">
        <v>4115</v>
      </c>
      <c r="AU443">
        <v>0</v>
      </c>
      <c r="AV443" t="s">
        <v>4109</v>
      </c>
    </row>
    <row r="444" spans="1:48">
      <c r="A444" t="s">
        <v>2186</v>
      </c>
      <c r="B444" t="s">
        <v>2187</v>
      </c>
      <c r="C444" t="s">
        <v>2188</v>
      </c>
      <c r="D444" t="s">
        <v>2189</v>
      </c>
      <c r="E444" t="s">
        <v>171</v>
      </c>
      <c r="F444" t="s">
        <v>35</v>
      </c>
      <c r="G444" t="s">
        <v>51</v>
      </c>
      <c r="H444" t="s">
        <v>322</v>
      </c>
      <c r="I444" t="s">
        <v>323</v>
      </c>
      <c r="J444" t="s">
        <v>54</v>
      </c>
      <c r="K444" t="s">
        <v>55</v>
      </c>
      <c r="L444" t="s">
        <v>2190</v>
      </c>
      <c r="M444" t="s">
        <v>65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43</v>
      </c>
      <c r="U444" t="s">
        <v>44</v>
      </c>
      <c r="W444" t="s">
        <v>2186</v>
      </c>
      <c r="X444" t="str">
        <v>12-01-25</v>
      </c>
      <c r="Y444" t="str">
        <v>19-01-25</v>
      </c>
      <c r="Z444" t="s">
        <v>2189</v>
      </c>
      <c r="AA444" t="str">
        <v>Aarav Sharma</v>
      </c>
      <c r="AB444" t="str">
        <f>TRIM(PROPER(F:F))</f>
        <v>Consumer</v>
      </c>
      <c r="AC444" t="str">
        <f>TRIM(PROPER(G:G))</f>
        <v>East</v>
      </c>
      <c r="AD444" t="str">
        <f>TRIM(PROPER(H:H))</f>
        <v>Jharkhand</v>
      </c>
      <c r="AE444" t="str">
        <f>TRIM(PROPER(I:I))</f>
        <v>Ranchi</v>
      </c>
      <c r="AF444" t="str">
        <f>TRIM(PROPER(J:J))</f>
        <v>Furniture</v>
      </c>
      <c r="AG444" t="str">
        <f t="shared" si="12"/>
        <v>Tables</v>
      </c>
      <c r="AH444" t="str">
        <f t="shared" si="12"/>
        <v>Prime Tables 242</v>
      </c>
      <c r="AI444" t="str">
        <f t="shared" si="12"/>
        <v>First Class</v>
      </c>
      <c r="AJ444" s="3" t="str">
        <f t="shared" si="11"/>
        <v>anomaly</v>
      </c>
      <c r="AK444">
        <f>IFERROR(Y444-X444, "invalid date")</f>
        <v>7</v>
      </c>
      <c r="AL444" s="10">
        <v>0</v>
      </c>
      <c r="AM444" s="11">
        <v>1842.31</v>
      </c>
      <c r="AN444" s="11">
        <v>823.14</v>
      </c>
      <c r="AO444" s="10">
        <v>0.44679777019068451</v>
      </c>
      <c r="AP444" t="s">
        <v>4389</v>
      </c>
      <c r="AQ444" t="s">
        <v>4155</v>
      </c>
      <c r="AR444" t="s">
        <v>4153</v>
      </c>
      <c r="AS444" t="s">
        <v>4120</v>
      </c>
      <c r="AT444" t="s">
        <v>4115</v>
      </c>
      <c r="AU444">
        <v>7</v>
      </c>
      <c r="AV444" t="s">
        <v>4109</v>
      </c>
    </row>
    <row r="445" spans="1:48">
      <c r="A445" t="s">
        <v>2191</v>
      </c>
      <c r="B445" t="s">
        <v>2192</v>
      </c>
      <c r="C445" t="s">
        <v>1903</v>
      </c>
      <c r="D445" t="s">
        <v>2193</v>
      </c>
      <c r="E445" t="s">
        <v>189</v>
      </c>
      <c r="F445" t="s">
        <v>124</v>
      </c>
      <c r="G445" t="s">
        <v>51</v>
      </c>
      <c r="H445" t="s">
        <v>52</v>
      </c>
      <c r="I445" t="s">
        <v>53</v>
      </c>
      <c r="J445" t="s">
        <v>54</v>
      </c>
      <c r="K445" t="s">
        <v>74</v>
      </c>
      <c r="L445" t="s">
        <v>2194</v>
      </c>
      <c r="M445" t="s">
        <v>65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43</v>
      </c>
      <c r="U445" t="s">
        <v>44</v>
      </c>
      <c r="W445" t="s">
        <v>2191</v>
      </c>
      <c r="X445" t="str">
        <v>04-04-24</v>
      </c>
      <c r="Y445" t="str">
        <v>07-04-24</v>
      </c>
      <c r="Z445" t="s">
        <v>2193</v>
      </c>
      <c r="AA445" t="str">
        <v>Rohan Mehta</v>
      </c>
      <c r="AB445" t="str">
        <f>TRIM(PROPER(F:F))</f>
        <v>Home Office</v>
      </c>
      <c r="AC445" t="str">
        <f>TRIM(PROPER(G:G))</f>
        <v>East</v>
      </c>
      <c r="AD445" t="str">
        <f>TRIM(PROPER(H:H))</f>
        <v>Odisha</v>
      </c>
      <c r="AE445" t="str">
        <f>TRIM(PROPER(I:I))</f>
        <v>Bhubaneswar</v>
      </c>
      <c r="AF445" t="str">
        <f>TRIM(PROPER(J:J))</f>
        <v>Furniture</v>
      </c>
      <c r="AG445" t="str">
        <f t="shared" si="12"/>
        <v>Furnishings</v>
      </c>
      <c r="AH445" t="str">
        <f t="shared" si="12"/>
        <v>Basic Furnishings 563</v>
      </c>
      <c r="AI445" t="str">
        <f t="shared" si="12"/>
        <v>First Class</v>
      </c>
      <c r="AJ445" s="3" t="str">
        <f t="shared" si="11"/>
        <v>anomaly</v>
      </c>
      <c r="AK445">
        <f>IFERROR(Y445-X445, "invalid date")</f>
        <v>3</v>
      </c>
      <c r="AL445" s="10">
        <v>0.1</v>
      </c>
      <c r="AM445" s="11">
        <v>3315.375</v>
      </c>
      <c r="AN445" s="11">
        <v>967.69500000000016</v>
      </c>
      <c r="AO445" s="10">
        <v>0.29188100893564084</v>
      </c>
      <c r="AP445" t="s">
        <v>4525</v>
      </c>
      <c r="AQ445" t="s">
        <v>4436</v>
      </c>
      <c r="AR445" t="s">
        <v>4199</v>
      </c>
      <c r="AS445" t="s">
        <v>4107</v>
      </c>
      <c r="AT445" t="s">
        <v>4115</v>
      </c>
      <c r="AU445">
        <v>3</v>
      </c>
      <c r="AV445" t="s">
        <v>4109</v>
      </c>
    </row>
    <row r="446" spans="1:48">
      <c r="A446" t="s">
        <v>2195</v>
      </c>
      <c r="B446" t="s">
        <v>2196</v>
      </c>
      <c r="C446" t="s">
        <v>1868</v>
      </c>
      <c r="D446" t="s">
        <v>2197</v>
      </c>
      <c r="E446" t="s">
        <v>81</v>
      </c>
      <c r="F446" t="s">
        <v>35</v>
      </c>
      <c r="G446" t="s">
        <v>51</v>
      </c>
      <c r="H446" t="s">
        <v>226</v>
      </c>
      <c r="I446" t="s">
        <v>227</v>
      </c>
      <c r="J446" t="s">
        <v>95</v>
      </c>
      <c r="K446" t="s">
        <v>96</v>
      </c>
      <c r="L446" t="s">
        <v>2198</v>
      </c>
      <c r="M446" t="s">
        <v>57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43</v>
      </c>
      <c r="U446" t="s">
        <v>44</v>
      </c>
      <c r="W446" t="s">
        <v>2195</v>
      </c>
      <c r="X446" t="str">
        <v>12-08-25</v>
      </c>
      <c r="Y446" t="str">
        <v>16-08-25</v>
      </c>
      <c r="Z446" t="s">
        <v>2197</v>
      </c>
      <c r="AA446" t="str">
        <v>Ananya Rao</v>
      </c>
      <c r="AB446" t="str">
        <f>TRIM(PROPER(F:F))</f>
        <v>Consumer</v>
      </c>
      <c r="AC446" t="str">
        <f>TRIM(PROPER(G:G))</f>
        <v>East</v>
      </c>
      <c r="AD446" t="str">
        <f>TRIM(PROPER(H:H))</f>
        <v>Assam</v>
      </c>
      <c r="AE446" t="str">
        <f>TRIM(PROPER(I:I))</f>
        <v>Guwahati</v>
      </c>
      <c r="AF446" t="str">
        <f>TRIM(PROPER(J:J))</f>
        <v>Technology</v>
      </c>
      <c r="AG446" t="str">
        <f t="shared" si="12"/>
        <v>Accessories</v>
      </c>
      <c r="AH446" t="str">
        <f t="shared" si="12"/>
        <v>Prime Accessories 482</v>
      </c>
      <c r="AI446" t="str">
        <f t="shared" si="12"/>
        <v>Same Day</v>
      </c>
      <c r="AJ446" s="3" t="str">
        <f t="shared" si="11"/>
        <v>anomaly</v>
      </c>
      <c r="AK446">
        <f>IFERROR(Y446-X446, "invalid date")</f>
        <v>4</v>
      </c>
      <c r="AL446" s="10">
        <v>0.05</v>
      </c>
      <c r="AM446" s="11">
        <v>20342.501999999997</v>
      </c>
      <c r="AN446" s="11">
        <v>7934.9919999999966</v>
      </c>
      <c r="AO446" s="10">
        <v>0.39006961877157481</v>
      </c>
      <c r="AP446" t="s">
        <v>4424</v>
      </c>
      <c r="AQ446" t="s">
        <v>4512</v>
      </c>
      <c r="AR446" t="s">
        <v>4114</v>
      </c>
      <c r="AS446" t="s">
        <v>4120</v>
      </c>
      <c r="AT446" t="s">
        <v>4115</v>
      </c>
      <c r="AU446">
        <v>4</v>
      </c>
      <c r="AV446" t="s">
        <v>4109</v>
      </c>
    </row>
    <row r="447" spans="1:48">
      <c r="A447" t="s">
        <v>2199</v>
      </c>
      <c r="B447" t="s">
        <v>2200</v>
      </c>
      <c r="C447" t="s">
        <v>2201</v>
      </c>
      <c r="D447" t="s">
        <v>2202</v>
      </c>
      <c r="E447" t="s">
        <v>70</v>
      </c>
      <c r="F447" t="s">
        <v>35</v>
      </c>
      <c r="G447" t="s">
        <v>51</v>
      </c>
      <c r="H447" t="s">
        <v>226</v>
      </c>
      <c r="I447" t="s">
        <v>227</v>
      </c>
      <c r="J447" t="s">
        <v>54</v>
      </c>
      <c r="K447" t="s">
        <v>214</v>
      </c>
      <c r="L447" t="s">
        <v>2203</v>
      </c>
      <c r="M447" t="s">
        <v>57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43</v>
      </c>
      <c r="U447" t="s">
        <v>44</v>
      </c>
      <c r="W447" t="s">
        <v>2199</v>
      </c>
      <c r="X447" t="str">
        <v>05-09-24</v>
      </c>
      <c r="Y447" t="str">
        <v>05-05-24</v>
      </c>
      <c r="Z447" t="s">
        <v>2202</v>
      </c>
      <c r="AA447" t="str">
        <v>Arjun Bose</v>
      </c>
      <c r="AB447" t="str">
        <f>TRIM(PROPER(F:F))</f>
        <v>Consumer</v>
      </c>
      <c r="AC447" t="str">
        <f>TRIM(PROPER(G:G))</f>
        <v>East</v>
      </c>
      <c r="AD447" t="str">
        <f>TRIM(PROPER(H:H))</f>
        <v>Assam</v>
      </c>
      <c r="AE447" t="str">
        <f>TRIM(PROPER(I:I))</f>
        <v>Guwahati</v>
      </c>
      <c r="AF447" t="str">
        <f>TRIM(PROPER(J:J))</f>
        <v>Furniture</v>
      </c>
      <c r="AG447" t="str">
        <f t="shared" si="12"/>
        <v>Bookcases</v>
      </c>
      <c r="AH447" t="str">
        <f t="shared" si="12"/>
        <v>Eco Bookcases 215</v>
      </c>
      <c r="AI447" t="str">
        <f t="shared" si="12"/>
        <v>Same Day</v>
      </c>
      <c r="AJ447" s="3" t="str">
        <f t="shared" si="11"/>
        <v xml:space="preserve">  </v>
      </c>
      <c r="AK447">
        <f>IFERROR(Y447-X447, "invalid date")</f>
        <v>-123</v>
      </c>
      <c r="AL447" s="10">
        <v>0.2</v>
      </c>
      <c r="AM447" s="11">
        <v>3377.9680000000003</v>
      </c>
      <c r="AN447" s="11">
        <v>881.67800000000034</v>
      </c>
      <c r="AO447" s="10">
        <v>0.26100839321154029</v>
      </c>
      <c r="AP447" t="s">
        <v>4110</v>
      </c>
      <c r="AQ447" t="s">
        <v>4558</v>
      </c>
      <c r="AR447" t="s">
        <v>4134</v>
      </c>
      <c r="AS447" t="s">
        <v>4107</v>
      </c>
      <c r="AT447" t="s">
        <v>4121</v>
      </c>
      <c r="AU447">
        <v>-123</v>
      </c>
      <c r="AV447" t="s">
        <v>4109</v>
      </c>
    </row>
    <row r="448" spans="1:48">
      <c r="A448" t="s">
        <v>2204</v>
      </c>
      <c r="B448" t="s">
        <v>2205</v>
      </c>
      <c r="C448" t="s">
        <v>2206</v>
      </c>
      <c r="D448" t="s">
        <v>2207</v>
      </c>
      <c r="E448" t="s">
        <v>177</v>
      </c>
      <c r="F448" t="s">
        <v>124</v>
      </c>
      <c r="G448" t="s">
        <v>71</v>
      </c>
      <c r="H448" t="s">
        <v>109</v>
      </c>
      <c r="I448" t="s">
        <v>110</v>
      </c>
      <c r="J448" t="s">
        <v>39</v>
      </c>
      <c r="K448" t="s">
        <v>165</v>
      </c>
      <c r="L448" t="s">
        <v>2208</v>
      </c>
      <c r="M448" t="s">
        <v>57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43</v>
      </c>
      <c r="U448" t="s">
        <v>44</v>
      </c>
      <c r="W448" t="s">
        <v>2204</v>
      </c>
      <c r="X448" t="str">
        <v>18-09-25</v>
      </c>
      <c r="Y448" t="str">
        <v>19-09-25</v>
      </c>
      <c r="Z448" t="s">
        <v>2207</v>
      </c>
      <c r="AA448" t="str">
        <v>Sneha Kapoor</v>
      </c>
      <c r="AB448" t="str">
        <f>TRIM(PROPER(F:F))</f>
        <v>Home Office</v>
      </c>
      <c r="AC448" t="str">
        <f>TRIM(PROPER(G:G))</f>
        <v>South</v>
      </c>
      <c r="AD448" t="str">
        <f>TRIM(PROPER(H:H))</f>
        <v>Andhra Pradesh</v>
      </c>
      <c r="AE448" t="str">
        <f>TRIM(PROPER(I:I))</f>
        <v>Vijayawada</v>
      </c>
      <c r="AF448" t="str">
        <f>TRIM(PROPER(J:J))</f>
        <v>Office Supplies</v>
      </c>
      <c r="AG448" t="str">
        <f t="shared" si="12"/>
        <v>Storage</v>
      </c>
      <c r="AH448" t="str">
        <f t="shared" si="12"/>
        <v>Eco Storage 793</v>
      </c>
      <c r="AI448" t="str">
        <f t="shared" si="12"/>
        <v>Same Day</v>
      </c>
      <c r="AJ448" s="3" t="str">
        <f t="shared" si="11"/>
        <v>anomaly</v>
      </c>
      <c r="AK448">
        <f>IFERROR(Y448-X448, "invalid date")</f>
        <v>1</v>
      </c>
      <c r="AL448" s="10">
        <v>0</v>
      </c>
      <c r="AM448" s="11">
        <v>33940.080000000002</v>
      </c>
      <c r="AN448" s="11">
        <v>10185.890000000003</v>
      </c>
      <c r="AO448" s="10">
        <v>0.30011390662603044</v>
      </c>
      <c r="AP448" t="s">
        <v>4271</v>
      </c>
      <c r="AQ448" t="s">
        <v>4517</v>
      </c>
      <c r="AR448" t="s">
        <v>4134</v>
      </c>
      <c r="AS448" t="s">
        <v>4120</v>
      </c>
      <c r="AT448" t="s">
        <v>4115</v>
      </c>
      <c r="AU448">
        <v>1</v>
      </c>
      <c r="AV448" t="s">
        <v>4109</v>
      </c>
    </row>
    <row r="449" spans="1:48">
      <c r="A449" t="s">
        <v>2209</v>
      </c>
      <c r="B449" t="s">
        <v>954</v>
      </c>
      <c r="C449" t="s">
        <v>2210</v>
      </c>
      <c r="D449" t="s">
        <v>2211</v>
      </c>
      <c r="E449" t="s">
        <v>189</v>
      </c>
      <c r="F449" t="s">
        <v>124</v>
      </c>
      <c r="G449" t="s">
        <v>71</v>
      </c>
      <c r="H449" t="s">
        <v>72</v>
      </c>
      <c r="I449" t="s">
        <v>73</v>
      </c>
      <c r="J449" t="s">
        <v>54</v>
      </c>
      <c r="K449" t="s">
        <v>214</v>
      </c>
      <c r="L449" t="s">
        <v>2212</v>
      </c>
      <c r="M449" t="s">
        <v>76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146</v>
      </c>
      <c r="U449" t="s">
        <v>134</v>
      </c>
      <c r="W449" t="s">
        <v>2209</v>
      </c>
      <c r="X449" t="str">
        <v>10-08-25</v>
      </c>
      <c r="Y449" t="str">
        <v>10-08-25</v>
      </c>
      <c r="Z449" t="s">
        <v>2211</v>
      </c>
      <c r="AA449" t="str">
        <v>Rohan Mehta</v>
      </c>
      <c r="AB449" t="str">
        <f>TRIM(PROPER(F:F))</f>
        <v>Home Office</v>
      </c>
      <c r="AC449" t="str">
        <f>TRIM(PROPER(G:G))</f>
        <v>South</v>
      </c>
      <c r="AD449" t="str">
        <f>TRIM(PROPER(H:H))</f>
        <v>Telangana</v>
      </c>
      <c r="AE449" t="str">
        <f>TRIM(PROPER(I:I))</f>
        <v>Hyderabad</v>
      </c>
      <c r="AF449" t="str">
        <f>TRIM(PROPER(J:J))</f>
        <v>Furniture</v>
      </c>
      <c r="AG449" t="str">
        <f t="shared" si="12"/>
        <v>Bookcases</v>
      </c>
      <c r="AH449" t="str">
        <f t="shared" si="12"/>
        <v>Basic Bookcases 182</v>
      </c>
      <c r="AI449" t="str">
        <f t="shared" si="12"/>
        <v>Standard Class</v>
      </c>
      <c r="AJ449" s="3" t="str">
        <f t="shared" si="11"/>
        <v xml:space="preserve">  </v>
      </c>
      <c r="AK449">
        <f>IFERROR(Y449-X449, "invalid date")</f>
        <v>0</v>
      </c>
      <c r="AL449" s="10">
        <v>0.15</v>
      </c>
      <c r="AM449" s="11">
        <v>21872.369999999995</v>
      </c>
      <c r="AN449" s="11">
        <v>8042.8699999999953</v>
      </c>
      <c r="AO449" s="10">
        <v>0.36771826738483288</v>
      </c>
      <c r="AP449" t="s">
        <v>4343</v>
      </c>
      <c r="AQ449" t="s">
        <v>4343</v>
      </c>
      <c r="AR449" t="s">
        <v>4114</v>
      </c>
      <c r="AS449" t="s">
        <v>4120</v>
      </c>
      <c r="AT449" t="s">
        <v>4115</v>
      </c>
      <c r="AU449">
        <v>0</v>
      </c>
      <c r="AV449" t="s">
        <v>4109</v>
      </c>
    </row>
    <row r="450" spans="1:48">
      <c r="A450" t="s">
        <v>2213</v>
      </c>
      <c r="B450" t="s">
        <v>2214</v>
      </c>
      <c r="C450" t="s">
        <v>338</v>
      </c>
      <c r="D450" t="s">
        <v>2215</v>
      </c>
      <c r="E450" t="s">
        <v>49</v>
      </c>
      <c r="F450" t="s">
        <v>50</v>
      </c>
      <c r="G450" t="s">
        <v>71</v>
      </c>
      <c r="H450" t="s">
        <v>109</v>
      </c>
      <c r="I450" t="s">
        <v>110</v>
      </c>
      <c r="J450" t="s">
        <v>54</v>
      </c>
      <c r="K450" t="s">
        <v>85</v>
      </c>
      <c r="L450" t="s">
        <v>2216</v>
      </c>
      <c r="M450" t="s">
        <v>65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43</v>
      </c>
      <c r="U450" t="s">
        <v>44</v>
      </c>
      <c r="W450" t="s">
        <v>2213</v>
      </c>
      <c r="X450" t="str">
        <v>invalid date</v>
      </c>
      <c r="Y450" t="str">
        <v>18-01-24</v>
      </c>
      <c r="Z450" t="s">
        <v>2215</v>
      </c>
      <c r="AA450" t="str">
        <v>Mira Das</v>
      </c>
      <c r="AB450" t="str">
        <f>TRIM(PROPER(F:F))</f>
        <v>Small Business</v>
      </c>
      <c r="AC450" t="str">
        <f>TRIM(PROPER(G:G))</f>
        <v>South</v>
      </c>
      <c r="AD450" t="str">
        <f>TRIM(PROPER(H:H))</f>
        <v>Andhra Pradesh</v>
      </c>
      <c r="AE450" t="str">
        <f>TRIM(PROPER(I:I))</f>
        <v>Vijayawada</v>
      </c>
      <c r="AF450" t="str">
        <f>TRIM(PROPER(J:J))</f>
        <v>Furniture</v>
      </c>
      <c r="AG450" t="str">
        <f t="shared" si="12"/>
        <v>Chairs</v>
      </c>
      <c r="AH450" t="str">
        <f t="shared" si="12"/>
        <v>Prime Chairs 631</v>
      </c>
      <c r="AI450" t="str">
        <f t="shared" si="12"/>
        <v>First Class</v>
      </c>
      <c r="AJ450" s="3" t="str">
        <f t="shared" si="11"/>
        <v>Invalid</v>
      </c>
      <c r="AK450" t="str">
        <f>IFERROR(Y450-X450, "invalid date")</f>
        <v>invalid date</v>
      </c>
      <c r="AL450" s="10">
        <v>0.15</v>
      </c>
      <c r="AM450" s="11">
        <v>342.05700000000002</v>
      </c>
      <c r="AN450" s="11">
        <v>97.487000000000023</v>
      </c>
      <c r="AO450" s="10">
        <v>0.28500220723446684</v>
      </c>
      <c r="AP450" t="s">
        <v>4105</v>
      </c>
      <c r="AQ450" t="s">
        <v>4192</v>
      </c>
      <c r="AR450" t="s">
        <v>4105</v>
      </c>
      <c r="AS450" t="s">
        <v>4105</v>
      </c>
      <c r="AT450" t="s">
        <v>4108</v>
      </c>
      <c r="AU450" t="s">
        <v>4105</v>
      </c>
      <c r="AV450" t="s">
        <v>4109</v>
      </c>
    </row>
    <row r="451" spans="1:48">
      <c r="A451" t="s">
        <v>2217</v>
      </c>
      <c r="B451" t="s">
        <v>2218</v>
      </c>
      <c r="C451" t="s">
        <v>2219</v>
      </c>
      <c r="D451" t="s">
        <v>2052</v>
      </c>
      <c r="E451" t="s">
        <v>116</v>
      </c>
      <c r="F451" t="s">
        <v>117</v>
      </c>
      <c r="G451" t="s">
        <v>51</v>
      </c>
      <c r="H451" t="s">
        <v>226</v>
      </c>
      <c r="I451" t="s">
        <v>227</v>
      </c>
      <c r="J451" t="s">
        <v>95</v>
      </c>
      <c r="K451" t="s">
        <v>393</v>
      </c>
      <c r="L451" t="s">
        <v>2220</v>
      </c>
      <c r="M451" t="s">
        <v>42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43</v>
      </c>
      <c r="U451" t="s">
        <v>44</v>
      </c>
      <c r="W451" t="s">
        <v>2217</v>
      </c>
      <c r="X451" t="str">
        <v>06-06-24</v>
      </c>
      <c r="Y451" t="str">
        <v>13-06-24</v>
      </c>
      <c r="Z451" t="s">
        <v>2052</v>
      </c>
      <c r="AA451" t="str">
        <v>Aditi Sen</v>
      </c>
      <c r="AB451" t="str">
        <f>TRIM(PROPER(F:F))</f>
        <v>Corporate</v>
      </c>
      <c r="AC451" t="str">
        <f>TRIM(PROPER(G:G))</f>
        <v>East</v>
      </c>
      <c r="AD451" t="str">
        <f>TRIM(PROPER(H:H))</f>
        <v>Assam</v>
      </c>
      <c r="AE451" t="str">
        <f>TRIM(PROPER(I:I))</f>
        <v>Guwahati</v>
      </c>
      <c r="AF451" t="str">
        <f>TRIM(PROPER(J:J))</f>
        <v>Technology</v>
      </c>
      <c r="AG451" t="str">
        <f t="shared" si="12"/>
        <v>Machines</v>
      </c>
      <c r="AH451" t="str">
        <f t="shared" si="12"/>
        <v>Basic Machines 808</v>
      </c>
      <c r="AI451" t="str">
        <f t="shared" si="12"/>
        <v>Second Class</v>
      </c>
      <c r="AJ451" s="3" t="str">
        <f t="shared" ref="AJ451:AJ514" si="13">IF(OR(X:X="Invalid Date",Y:Y="Invalid Date"),"Invalid",(IF(X:X&lt;Y:Y,"anomaly", "  ")))</f>
        <v>anomaly</v>
      </c>
      <c r="AK451">
        <f>IFERROR(Y451-X451, "invalid date")</f>
        <v>7</v>
      </c>
      <c r="AL451" s="10">
        <v>0</v>
      </c>
      <c r="AM451" s="11">
        <v>19622.16</v>
      </c>
      <c r="AN451" s="11">
        <v>5350.8899999999994</v>
      </c>
      <c r="AO451" s="10">
        <v>0.27269627808559299</v>
      </c>
      <c r="AP451" t="s">
        <v>4369</v>
      </c>
      <c r="AQ451" t="s">
        <v>4559</v>
      </c>
      <c r="AR451" t="s">
        <v>4170</v>
      </c>
      <c r="AS451" t="s">
        <v>4107</v>
      </c>
      <c r="AT451" t="s">
        <v>4115</v>
      </c>
      <c r="AU451">
        <v>7</v>
      </c>
      <c r="AV451" t="s">
        <v>4109</v>
      </c>
    </row>
    <row r="452" spans="1:48">
      <c r="A452" t="s">
        <v>2221</v>
      </c>
      <c r="B452" t="s">
        <v>2222</v>
      </c>
      <c r="C452" t="s">
        <v>1586</v>
      </c>
      <c r="D452" t="s">
        <v>2223</v>
      </c>
      <c r="E452" t="s">
        <v>81</v>
      </c>
      <c r="F452" t="s">
        <v>117</v>
      </c>
      <c r="G452" t="s">
        <v>36</v>
      </c>
      <c r="H452" t="s">
        <v>517</v>
      </c>
      <c r="I452" t="s">
        <v>518</v>
      </c>
      <c r="J452" t="s">
        <v>54</v>
      </c>
      <c r="K452" t="s">
        <v>85</v>
      </c>
      <c r="L452" t="s">
        <v>2224</v>
      </c>
      <c r="M452" t="s">
        <v>76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43</v>
      </c>
      <c r="U452" t="s">
        <v>44</v>
      </c>
      <c r="W452" t="s">
        <v>2221</v>
      </c>
      <c r="X452" t="str">
        <v>06-12-25</v>
      </c>
      <c r="Y452" t="str">
        <v>19-06-25</v>
      </c>
      <c r="Z452" t="s">
        <v>2223</v>
      </c>
      <c r="AA452" t="str">
        <v>Ananya Rao</v>
      </c>
      <c r="AB452" t="str">
        <f>TRIM(PROPER(F:F))</f>
        <v>Corporate</v>
      </c>
      <c r="AC452" t="str">
        <f>TRIM(PROPER(G:G))</f>
        <v>North</v>
      </c>
      <c r="AD452" t="str">
        <f>TRIM(PROPER(H:H))</f>
        <v>Delhi</v>
      </c>
      <c r="AE452" t="str">
        <f>TRIM(PROPER(I:I))</f>
        <v>New Delhi</v>
      </c>
      <c r="AF452" t="str">
        <f>TRIM(PROPER(J:J))</f>
        <v>Furniture</v>
      </c>
      <c r="AG452" t="str">
        <f t="shared" si="12"/>
        <v>Chairs</v>
      </c>
      <c r="AH452" t="str">
        <f t="shared" si="12"/>
        <v>Pro Chairs 302</v>
      </c>
      <c r="AI452" t="str">
        <f t="shared" si="12"/>
        <v>Standard Class</v>
      </c>
      <c r="AJ452" s="3" t="str">
        <f t="shared" si="13"/>
        <v>anomaly</v>
      </c>
      <c r="AK452">
        <f>IFERROR(Y452-X452, "invalid date")</f>
        <v>-170</v>
      </c>
      <c r="AL452" s="10">
        <v>0.25</v>
      </c>
      <c r="AM452" s="11">
        <v>15380.3475</v>
      </c>
      <c r="AN452" s="11">
        <v>5472.9774999999991</v>
      </c>
      <c r="AO452" s="10">
        <v>0.35584225258889624</v>
      </c>
      <c r="AP452" t="s">
        <v>4560</v>
      </c>
      <c r="AQ452" t="s">
        <v>4169</v>
      </c>
      <c r="AR452" t="s">
        <v>4139</v>
      </c>
      <c r="AS452" t="s">
        <v>4120</v>
      </c>
      <c r="AT452" t="s">
        <v>4115</v>
      </c>
      <c r="AU452">
        <v>-170</v>
      </c>
      <c r="AV452" t="s">
        <v>4109</v>
      </c>
    </row>
    <row r="453" spans="1:48">
      <c r="A453" t="s">
        <v>2225</v>
      </c>
      <c r="B453" t="s">
        <v>2226</v>
      </c>
      <c r="C453" t="s">
        <v>2227</v>
      </c>
      <c r="D453" t="s">
        <v>2228</v>
      </c>
      <c r="E453" t="s">
        <v>189</v>
      </c>
      <c r="F453" t="s">
        <v>50</v>
      </c>
      <c r="G453" t="s">
        <v>36</v>
      </c>
      <c r="H453" t="s">
        <v>334</v>
      </c>
      <c r="I453" t="s">
        <v>335</v>
      </c>
      <c r="J453" t="s">
        <v>39</v>
      </c>
      <c r="K453" t="s">
        <v>40</v>
      </c>
      <c r="L453" t="s">
        <v>2229</v>
      </c>
      <c r="M453" t="s">
        <v>42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43</v>
      </c>
      <c r="U453" t="s">
        <v>87</v>
      </c>
      <c r="W453" t="s">
        <v>2225</v>
      </c>
      <c r="X453" t="str">
        <v>24-03-24</v>
      </c>
      <c r="Y453" t="str">
        <v>26-03-24</v>
      </c>
      <c r="Z453" t="s">
        <v>2228</v>
      </c>
      <c r="AA453" t="str">
        <v>Rohan Mehta</v>
      </c>
      <c r="AB453" t="str">
        <f>TRIM(PROPER(F:F))</f>
        <v>Small Business</v>
      </c>
      <c r="AC453" t="str">
        <f>TRIM(PROPER(G:G))</f>
        <v>North</v>
      </c>
      <c r="AD453" t="str">
        <f>TRIM(PROPER(H:H))</f>
        <v>Haryana</v>
      </c>
      <c r="AE453" t="str">
        <f>TRIM(PROPER(I:I))</f>
        <v>Gurugram</v>
      </c>
      <c r="AF453" t="str">
        <f>TRIM(PROPER(J:J))</f>
        <v>Office Supplies</v>
      </c>
      <c r="AG453" t="str">
        <f t="shared" si="12"/>
        <v>Paper</v>
      </c>
      <c r="AH453" t="str">
        <f t="shared" si="12"/>
        <v>Classic Paper 272</v>
      </c>
      <c r="AI453" t="str">
        <f t="shared" si="12"/>
        <v>Second Class</v>
      </c>
      <c r="AJ453" s="3" t="str">
        <f t="shared" si="13"/>
        <v>anomaly</v>
      </c>
      <c r="AK453">
        <f>IFERROR(Y453-X453, "invalid date")</f>
        <v>2</v>
      </c>
      <c r="AL453" s="10">
        <v>0.15</v>
      </c>
      <c r="AM453" s="11">
        <v>13039.952000000001</v>
      </c>
      <c r="AN453" s="11">
        <v>1912.1320000000014</v>
      </c>
      <c r="AO453" s="10">
        <v>0.1466364293365498</v>
      </c>
      <c r="AP453" t="s">
        <v>4561</v>
      </c>
      <c r="AQ453" t="s">
        <v>4318</v>
      </c>
      <c r="AR453" t="s">
        <v>4159</v>
      </c>
      <c r="AS453" t="s">
        <v>4107</v>
      </c>
      <c r="AT453" t="s">
        <v>4115</v>
      </c>
      <c r="AU453">
        <v>2</v>
      </c>
      <c r="AV453" t="s">
        <v>4109</v>
      </c>
    </row>
    <row r="454" spans="1:48">
      <c r="A454" t="s">
        <v>2230</v>
      </c>
      <c r="B454" t="s">
        <v>2231</v>
      </c>
      <c r="C454" t="s">
        <v>1384</v>
      </c>
      <c r="D454" t="s">
        <v>2232</v>
      </c>
      <c r="E454" t="s">
        <v>220</v>
      </c>
      <c r="F454" t="s">
        <v>124</v>
      </c>
      <c r="G454" t="s">
        <v>51</v>
      </c>
      <c r="H454" t="s">
        <v>322</v>
      </c>
      <c r="I454" t="s">
        <v>323</v>
      </c>
      <c r="J454" t="s">
        <v>95</v>
      </c>
      <c r="K454" t="s">
        <v>96</v>
      </c>
      <c r="L454" t="s">
        <v>2233</v>
      </c>
      <c r="M454" t="s">
        <v>42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43</v>
      </c>
      <c r="U454" t="s">
        <v>44</v>
      </c>
      <c r="W454" t="s">
        <v>2230</v>
      </c>
      <c r="X454" t="str">
        <v>10-05-24</v>
      </c>
      <c r="Y454" t="str">
        <v>16-05-24</v>
      </c>
      <c r="Z454" t="s">
        <v>2232</v>
      </c>
      <c r="AA454" t="str">
        <v>Diya Patel</v>
      </c>
      <c r="AB454" t="str">
        <f>TRIM(PROPER(F:F))</f>
        <v>Home Office</v>
      </c>
      <c r="AC454" t="str">
        <f>TRIM(PROPER(G:G))</f>
        <v>East</v>
      </c>
      <c r="AD454" t="str">
        <f>TRIM(PROPER(H:H))</f>
        <v>Jharkhand</v>
      </c>
      <c r="AE454" t="str">
        <f>TRIM(PROPER(I:I))</f>
        <v>Ranchi</v>
      </c>
      <c r="AF454" t="str">
        <f>TRIM(PROPER(J:J))</f>
        <v>Technology</v>
      </c>
      <c r="AG454" t="str">
        <f t="shared" si="12"/>
        <v>Accessories</v>
      </c>
      <c r="AH454" t="str">
        <f t="shared" si="12"/>
        <v>Smart Accessories 149</v>
      </c>
      <c r="AI454" t="str">
        <f t="shared" si="12"/>
        <v>Second Class</v>
      </c>
      <c r="AJ454" s="3" t="str">
        <f t="shared" si="13"/>
        <v>anomaly</v>
      </c>
      <c r="AK454">
        <f>IFERROR(Y454-X454, "invalid date")</f>
        <v>6</v>
      </c>
      <c r="AL454" s="10">
        <v>0.2</v>
      </c>
      <c r="AM454" s="11">
        <v>9663.9840000000004</v>
      </c>
      <c r="AN454" s="11">
        <v>4035.0540000000001</v>
      </c>
      <c r="AO454" s="10">
        <v>0.41753525254180884</v>
      </c>
      <c r="AP454" t="s">
        <v>4562</v>
      </c>
      <c r="AQ454" t="s">
        <v>4429</v>
      </c>
      <c r="AR454" t="s">
        <v>4124</v>
      </c>
      <c r="AS454" t="s">
        <v>4107</v>
      </c>
      <c r="AT454" t="s">
        <v>4115</v>
      </c>
      <c r="AU454">
        <v>6</v>
      </c>
      <c r="AV454" t="s">
        <v>4109</v>
      </c>
    </row>
    <row r="455" spans="1:48">
      <c r="A455" t="s">
        <v>2234</v>
      </c>
      <c r="B455" t="s">
        <v>2235</v>
      </c>
      <c r="C455" t="s">
        <v>2236</v>
      </c>
      <c r="D455" t="s">
        <v>2237</v>
      </c>
      <c r="E455" t="s">
        <v>189</v>
      </c>
      <c r="F455" t="s">
        <v>50</v>
      </c>
      <c r="G455" t="s">
        <v>82</v>
      </c>
      <c r="H455" t="s">
        <v>93</v>
      </c>
      <c r="I455" t="s">
        <v>94</v>
      </c>
      <c r="J455" t="s">
        <v>39</v>
      </c>
      <c r="K455" t="s">
        <v>118</v>
      </c>
      <c r="L455" t="s">
        <v>2238</v>
      </c>
      <c r="M455" t="s">
        <v>57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43</v>
      </c>
      <c r="U455" t="s">
        <v>44</v>
      </c>
      <c r="W455" t="s">
        <v>2234</v>
      </c>
      <c r="X455" t="str">
        <v>05-03-25</v>
      </c>
      <c r="Y455" t="str">
        <v>11-05-25</v>
      </c>
      <c r="Z455" t="s">
        <v>2237</v>
      </c>
      <c r="AA455" t="str">
        <v>Rohan Mehta</v>
      </c>
      <c r="AB455" t="str">
        <f>TRIM(PROPER(F:F))</f>
        <v>Small Business</v>
      </c>
      <c r="AC455" t="str">
        <f>TRIM(PROPER(G:G))</f>
        <v>West</v>
      </c>
      <c r="AD455" t="str">
        <f>TRIM(PROPER(H:H))</f>
        <v>Madhya Pradesh</v>
      </c>
      <c r="AE455" t="str">
        <f>TRIM(PROPER(I:I))</f>
        <v>Indore</v>
      </c>
      <c r="AF455" t="str">
        <f>TRIM(PROPER(J:J))</f>
        <v>Office Supplies</v>
      </c>
      <c r="AG455" t="str">
        <f t="shared" si="12"/>
        <v>Labels</v>
      </c>
      <c r="AH455" t="str">
        <f t="shared" si="12"/>
        <v>Elite Labels 322</v>
      </c>
      <c r="AI455" t="str">
        <f t="shared" si="12"/>
        <v>Same Day</v>
      </c>
      <c r="AJ455" s="3" t="str">
        <f t="shared" si="13"/>
        <v>anomaly</v>
      </c>
      <c r="AK455">
        <f>IFERROR(Y455-X455, "invalid date")</f>
        <v>67</v>
      </c>
      <c r="AL455" s="10">
        <v>0</v>
      </c>
      <c r="AM455" s="11">
        <v>7417.6</v>
      </c>
      <c r="AN455" s="11">
        <v>2461.7400000000007</v>
      </c>
      <c r="AO455" s="10">
        <v>0.3318782355478862</v>
      </c>
      <c r="AP455" t="s">
        <v>4563</v>
      </c>
      <c r="AQ455" t="s">
        <v>4564</v>
      </c>
      <c r="AR455" t="s">
        <v>4159</v>
      </c>
      <c r="AS455" t="s">
        <v>4120</v>
      </c>
      <c r="AT455" t="s">
        <v>4115</v>
      </c>
      <c r="AU455">
        <v>67</v>
      </c>
      <c r="AV455" t="s">
        <v>4109</v>
      </c>
    </row>
    <row r="456" spans="1:48">
      <c r="A456" t="s">
        <v>2239</v>
      </c>
      <c r="B456" t="s">
        <v>2240</v>
      </c>
      <c r="C456" t="s">
        <v>2241</v>
      </c>
      <c r="D456" t="s">
        <v>2242</v>
      </c>
      <c r="E456" t="s">
        <v>92</v>
      </c>
      <c r="F456" t="s">
        <v>50</v>
      </c>
      <c r="G456" t="s">
        <v>36</v>
      </c>
      <c r="H456" t="s">
        <v>37</v>
      </c>
      <c r="I456" t="s">
        <v>38</v>
      </c>
      <c r="J456" t="s">
        <v>54</v>
      </c>
      <c r="K456" t="s">
        <v>74</v>
      </c>
      <c r="L456" t="s">
        <v>2243</v>
      </c>
      <c r="M456" t="s">
        <v>76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43</v>
      </c>
      <c r="U456" t="s">
        <v>44</v>
      </c>
      <c r="W456" t="s">
        <v>2239</v>
      </c>
      <c r="X456" t="str">
        <v>23-03-25</v>
      </c>
      <c r="Y456" t="str">
        <v>28-03-25</v>
      </c>
      <c r="Z456" t="s">
        <v>2242</v>
      </c>
      <c r="AA456" t="str">
        <v>Vikram Iyer</v>
      </c>
      <c r="AB456" t="str">
        <f>TRIM(PROPER(F:F))</f>
        <v>Small Business</v>
      </c>
      <c r="AC456" t="str">
        <f>TRIM(PROPER(G:G))</f>
        <v>North</v>
      </c>
      <c r="AD456" t="str">
        <f>TRIM(PROPER(H:H))</f>
        <v>Rajasthan</v>
      </c>
      <c r="AE456" t="str">
        <f>TRIM(PROPER(I:I))</f>
        <v>Jaipur</v>
      </c>
      <c r="AF456" t="str">
        <f>TRIM(PROPER(J:J))</f>
        <v>Furniture</v>
      </c>
      <c r="AG456" t="str">
        <f t="shared" si="12"/>
        <v>Furnishings</v>
      </c>
      <c r="AH456" t="str">
        <f t="shared" si="12"/>
        <v>Max Furnishings 821</v>
      </c>
      <c r="AI456" t="str">
        <f t="shared" si="12"/>
        <v>Standard Class</v>
      </c>
      <c r="AJ456" s="3" t="str">
        <f t="shared" si="13"/>
        <v>anomaly</v>
      </c>
      <c r="AK456">
        <f>IFERROR(Y456-X456, "invalid date")</f>
        <v>5</v>
      </c>
      <c r="AL456" s="10">
        <v>0.15</v>
      </c>
      <c r="AM456" s="11">
        <v>25229.7</v>
      </c>
      <c r="AN456" s="11">
        <v>5059.2700000000004</v>
      </c>
      <c r="AO456" s="10">
        <v>0.20052834556098567</v>
      </c>
      <c r="AP456" t="s">
        <v>4565</v>
      </c>
      <c r="AQ456" t="s">
        <v>4373</v>
      </c>
      <c r="AR456" t="s">
        <v>4159</v>
      </c>
      <c r="AS456" t="s">
        <v>4120</v>
      </c>
      <c r="AT456" t="s">
        <v>4115</v>
      </c>
      <c r="AU456">
        <v>5</v>
      </c>
      <c r="AV456" t="s">
        <v>4109</v>
      </c>
    </row>
    <row r="457" spans="1:48">
      <c r="A457" t="s">
        <v>2244</v>
      </c>
      <c r="B457" t="s">
        <v>2245</v>
      </c>
      <c r="C457" t="s">
        <v>2246</v>
      </c>
      <c r="D457" t="s">
        <v>2247</v>
      </c>
      <c r="E457" t="s">
        <v>102</v>
      </c>
      <c r="F457" t="s">
        <v>50</v>
      </c>
      <c r="G457" t="s">
        <v>71</v>
      </c>
      <c r="H457" t="s">
        <v>72</v>
      </c>
      <c r="I457" t="s">
        <v>73</v>
      </c>
      <c r="J457" t="s">
        <v>39</v>
      </c>
      <c r="K457" t="s">
        <v>63</v>
      </c>
      <c r="L457" t="s">
        <v>2248</v>
      </c>
      <c r="M457" t="s">
        <v>76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43</v>
      </c>
      <c r="U457" t="s">
        <v>44</v>
      </c>
      <c r="W457" t="s">
        <v>2244</v>
      </c>
      <c r="X457" t="str">
        <v>18-07-24</v>
      </c>
      <c r="Y457" t="str">
        <v>22-07-24</v>
      </c>
      <c r="Z457" t="s">
        <v>2247</v>
      </c>
      <c r="AA457" t="str">
        <v>Neha Gupta</v>
      </c>
      <c r="AB457" t="str">
        <f>TRIM(PROPER(F:F))</f>
        <v>Small Business</v>
      </c>
      <c r="AC457" t="str">
        <f>TRIM(PROPER(G:G))</f>
        <v>South</v>
      </c>
      <c r="AD457" t="str">
        <f>TRIM(PROPER(H:H))</f>
        <v>Telangana</v>
      </c>
      <c r="AE457" t="str">
        <f>TRIM(PROPER(I:I))</f>
        <v>Hyderabad</v>
      </c>
      <c r="AF457" t="str">
        <f>TRIM(PROPER(J:J))</f>
        <v>Office Supplies</v>
      </c>
      <c r="AG457" t="str">
        <f t="shared" si="12"/>
        <v>Art</v>
      </c>
      <c r="AH457" t="str">
        <f t="shared" si="12"/>
        <v>Basic Art 556</v>
      </c>
      <c r="AI457" t="str">
        <f t="shared" si="12"/>
        <v>Standard Class</v>
      </c>
      <c r="AJ457" s="3" t="str">
        <f t="shared" si="13"/>
        <v>anomaly</v>
      </c>
      <c r="AK457">
        <f>IFERROR(Y457-X457, "invalid date")</f>
        <v>4</v>
      </c>
      <c r="AL457" s="10">
        <v>0</v>
      </c>
      <c r="AM457" s="11">
        <v>3235.08</v>
      </c>
      <c r="AN457" s="11">
        <v>1386.48</v>
      </c>
      <c r="AO457" s="10">
        <v>0.42857672762342819</v>
      </c>
      <c r="AP457" t="s">
        <v>4566</v>
      </c>
      <c r="AQ457" t="s">
        <v>4136</v>
      </c>
      <c r="AR457" t="s">
        <v>4106</v>
      </c>
      <c r="AS457" t="s">
        <v>4107</v>
      </c>
      <c r="AT457" t="s">
        <v>4115</v>
      </c>
      <c r="AU457">
        <v>4</v>
      </c>
      <c r="AV457" t="s">
        <v>4109</v>
      </c>
    </row>
    <row r="458" spans="1:48">
      <c r="A458" t="s">
        <v>2249</v>
      </c>
      <c r="B458" t="s">
        <v>2097</v>
      </c>
      <c r="C458" t="s">
        <v>2097</v>
      </c>
      <c r="D458" t="s">
        <v>2250</v>
      </c>
      <c r="E458" t="s">
        <v>102</v>
      </c>
      <c r="F458" t="s">
        <v>117</v>
      </c>
      <c r="G458" t="s">
        <v>36</v>
      </c>
      <c r="H458" t="s">
        <v>183</v>
      </c>
      <c r="I458" t="s">
        <v>184</v>
      </c>
      <c r="J458" t="s">
        <v>95</v>
      </c>
      <c r="K458" t="s">
        <v>96</v>
      </c>
      <c r="L458" t="s">
        <v>2251</v>
      </c>
      <c r="M458" t="s">
        <v>57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43</v>
      </c>
      <c r="U458" t="s">
        <v>134</v>
      </c>
      <c r="W458" t="s">
        <v>2249</v>
      </c>
      <c r="X458" t="str">
        <v>20-02-24</v>
      </c>
      <c r="Y458" t="str">
        <v>20-02-24</v>
      </c>
      <c r="Z458" t="s">
        <v>2250</v>
      </c>
      <c r="AA458" t="str">
        <v>Neha Gupta</v>
      </c>
      <c r="AB458" t="str">
        <f>TRIM(PROPER(F:F))</f>
        <v>Corporate</v>
      </c>
      <c r="AC458" t="str">
        <f>TRIM(PROPER(G:G))</f>
        <v>North</v>
      </c>
      <c r="AD458" t="str">
        <f>TRIM(PROPER(H:H))</f>
        <v>Uttar Pradesh</v>
      </c>
      <c r="AE458" t="str">
        <f>TRIM(PROPER(I:I))</f>
        <v>Noida</v>
      </c>
      <c r="AF458" t="str">
        <f>TRIM(PROPER(J:J))</f>
        <v>Technology</v>
      </c>
      <c r="AG458" t="str">
        <f t="shared" si="12"/>
        <v>Accessories</v>
      </c>
      <c r="AH458" t="str">
        <f t="shared" si="12"/>
        <v>Smart Accessories 265</v>
      </c>
      <c r="AI458" t="str">
        <f t="shared" si="12"/>
        <v>Same Day</v>
      </c>
      <c r="AJ458" s="3" t="str">
        <f t="shared" si="13"/>
        <v xml:space="preserve">  </v>
      </c>
      <c r="AK458">
        <f>IFERROR(Y458-X458, "invalid date")</f>
        <v>0</v>
      </c>
      <c r="AL458" s="10">
        <v>0.15</v>
      </c>
      <c r="AM458" s="11">
        <v>11070.867499999998</v>
      </c>
      <c r="AN458" s="11">
        <v>4447.2574999999988</v>
      </c>
      <c r="AO458" s="10">
        <v>0.40170813172499803</v>
      </c>
      <c r="AP458" t="s">
        <v>4277</v>
      </c>
      <c r="AQ458" t="s">
        <v>4277</v>
      </c>
      <c r="AR458" t="s">
        <v>4129</v>
      </c>
      <c r="AS458" t="s">
        <v>4107</v>
      </c>
      <c r="AT458" t="s">
        <v>4115</v>
      </c>
      <c r="AU458">
        <v>0</v>
      </c>
      <c r="AV458" t="s">
        <v>4109</v>
      </c>
    </row>
    <row r="459" spans="1:48">
      <c r="A459" t="s">
        <v>2252</v>
      </c>
      <c r="B459" t="s">
        <v>2253</v>
      </c>
      <c r="C459" t="s">
        <v>2254</v>
      </c>
      <c r="D459" t="s">
        <v>2255</v>
      </c>
      <c r="E459" t="s">
        <v>49</v>
      </c>
      <c r="F459" t="s">
        <v>50</v>
      </c>
      <c r="G459" t="s">
        <v>82</v>
      </c>
      <c r="H459" t="s">
        <v>259</v>
      </c>
      <c r="I459" t="s">
        <v>260</v>
      </c>
      <c r="J459" t="s">
        <v>54</v>
      </c>
      <c r="K459" t="s">
        <v>55</v>
      </c>
      <c r="L459" t="s">
        <v>2256</v>
      </c>
      <c r="M459" t="s">
        <v>76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43</v>
      </c>
      <c r="U459" t="s">
        <v>44</v>
      </c>
      <c r="W459" t="s">
        <v>2252</v>
      </c>
      <c r="X459" t="str">
        <v>05-04-24</v>
      </c>
      <c r="Y459" t="str">
        <v>04-05-24</v>
      </c>
      <c r="Z459" t="s">
        <v>2255</v>
      </c>
      <c r="AA459" t="str">
        <v>Mira Das</v>
      </c>
      <c r="AB459" t="str">
        <f>TRIM(PROPER(F:F))</f>
        <v>Small Business</v>
      </c>
      <c r="AC459" t="str">
        <f>TRIM(PROPER(G:G))</f>
        <v>West</v>
      </c>
      <c r="AD459" t="str">
        <f>TRIM(PROPER(H:H))</f>
        <v>Goa</v>
      </c>
      <c r="AE459" t="str">
        <f>TRIM(PROPER(I:I))</f>
        <v>Panaji</v>
      </c>
      <c r="AF459" t="str">
        <f>TRIM(PROPER(J:J))</f>
        <v>Furniture</v>
      </c>
      <c r="AG459" t="str">
        <f t="shared" si="12"/>
        <v>Tables</v>
      </c>
      <c r="AH459" t="str">
        <f t="shared" si="12"/>
        <v>Elite Tables 418</v>
      </c>
      <c r="AI459" t="str">
        <f t="shared" si="12"/>
        <v>Standard Class</v>
      </c>
      <c r="AJ459" s="3" t="str">
        <f t="shared" si="13"/>
        <v xml:space="preserve">  </v>
      </c>
      <c r="AK459">
        <f>IFERROR(Y459-X459, "invalid date")</f>
        <v>29</v>
      </c>
      <c r="AL459" s="10">
        <v>0</v>
      </c>
      <c r="AM459" s="11">
        <v>19960.57</v>
      </c>
      <c r="AN459" s="11">
        <v>3356.9700000000012</v>
      </c>
      <c r="AO459" s="10">
        <v>0.1681800670020947</v>
      </c>
      <c r="AP459" t="s">
        <v>4522</v>
      </c>
      <c r="AQ459" t="s">
        <v>4412</v>
      </c>
      <c r="AR459" t="s">
        <v>4199</v>
      </c>
      <c r="AS459" t="s">
        <v>4107</v>
      </c>
      <c r="AT459" t="s">
        <v>4121</v>
      </c>
      <c r="AU459">
        <v>29</v>
      </c>
      <c r="AV459" t="s">
        <v>4109</v>
      </c>
    </row>
    <row r="460" spans="1:48">
      <c r="A460" t="s">
        <v>2257</v>
      </c>
      <c r="B460" t="s">
        <v>2258</v>
      </c>
      <c r="C460" t="s">
        <v>870</v>
      </c>
      <c r="D460" t="s">
        <v>2259</v>
      </c>
      <c r="E460" t="s">
        <v>34</v>
      </c>
      <c r="F460" t="s">
        <v>117</v>
      </c>
      <c r="G460" t="s">
        <v>36</v>
      </c>
      <c r="H460" t="s">
        <v>37</v>
      </c>
      <c r="I460" t="s">
        <v>38</v>
      </c>
      <c r="J460" t="s">
        <v>95</v>
      </c>
      <c r="K460" t="s">
        <v>233</v>
      </c>
      <c r="L460" t="s">
        <v>2260</v>
      </c>
      <c r="M460" t="s">
        <v>42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43</v>
      </c>
      <c r="U460" t="s">
        <v>44</v>
      </c>
      <c r="W460" t="s">
        <v>2257</v>
      </c>
      <c r="X460" t="str">
        <v>10-02-24</v>
      </c>
      <c r="Y460" t="str">
        <v>02-11-24</v>
      </c>
      <c r="Z460" t="s">
        <v>2259</v>
      </c>
      <c r="AA460" t="str">
        <v>Karan Malhotra</v>
      </c>
      <c r="AB460" t="str">
        <f>TRIM(PROPER(F:F))</f>
        <v>Corporate</v>
      </c>
      <c r="AC460" t="str">
        <f>TRIM(PROPER(G:G))</f>
        <v>North</v>
      </c>
      <c r="AD460" t="str">
        <f>TRIM(PROPER(H:H))</f>
        <v>Rajasthan</v>
      </c>
      <c r="AE460" t="str">
        <f>TRIM(PROPER(I:I))</f>
        <v>Jaipur</v>
      </c>
      <c r="AF460" t="str">
        <f>TRIM(PROPER(J:J))</f>
        <v>Technology</v>
      </c>
      <c r="AG460" t="str">
        <f t="shared" si="12"/>
        <v>Phones</v>
      </c>
      <c r="AH460" t="str">
        <f t="shared" si="12"/>
        <v>Pro Phones 907</v>
      </c>
      <c r="AI460" t="str">
        <f t="shared" si="12"/>
        <v>Second Class</v>
      </c>
      <c r="AJ460" s="3" t="str">
        <f t="shared" si="13"/>
        <v xml:space="preserve">  </v>
      </c>
      <c r="AK460">
        <f>IFERROR(Y460-X460, "invalid date")</f>
        <v>266</v>
      </c>
      <c r="AL460" s="10">
        <v>0.1</v>
      </c>
      <c r="AM460" s="11">
        <v>8596.0439999999999</v>
      </c>
      <c r="AN460" s="11">
        <v>3217.884</v>
      </c>
      <c r="AO460" s="10">
        <v>0.37434475672762962</v>
      </c>
      <c r="AP460" t="s">
        <v>4444</v>
      </c>
      <c r="AQ460" t="s">
        <v>4219</v>
      </c>
      <c r="AR460" t="s">
        <v>4129</v>
      </c>
      <c r="AS460" t="s">
        <v>4107</v>
      </c>
      <c r="AT460" t="s">
        <v>4121</v>
      </c>
      <c r="AU460">
        <v>266</v>
      </c>
      <c r="AV460" t="s">
        <v>4109</v>
      </c>
    </row>
    <row r="461" spans="1:48">
      <c r="A461" t="s">
        <v>2261</v>
      </c>
      <c r="B461" t="s">
        <v>2262</v>
      </c>
      <c r="C461" t="s">
        <v>2192</v>
      </c>
      <c r="D461" t="s">
        <v>2263</v>
      </c>
      <c r="E461" t="s">
        <v>81</v>
      </c>
      <c r="F461" t="s">
        <v>124</v>
      </c>
      <c r="G461" t="s">
        <v>82</v>
      </c>
      <c r="H461" t="s">
        <v>259</v>
      </c>
      <c r="I461" t="s">
        <v>260</v>
      </c>
      <c r="J461" t="s">
        <v>39</v>
      </c>
      <c r="K461" t="s">
        <v>40</v>
      </c>
      <c r="L461" t="s">
        <v>2264</v>
      </c>
      <c r="M461" t="s">
        <v>65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43</v>
      </c>
      <c r="U461" t="s">
        <v>44</v>
      </c>
      <c r="W461" t="s">
        <v>2261</v>
      </c>
      <c r="X461" t="str">
        <v>invalid date</v>
      </c>
      <c r="Y461" t="str">
        <v>04-04-24</v>
      </c>
      <c r="Z461" t="s">
        <v>2263</v>
      </c>
      <c r="AA461" t="str">
        <v>Ananya Rao</v>
      </c>
      <c r="AB461" t="str">
        <f>TRIM(PROPER(F:F))</f>
        <v>Home Office</v>
      </c>
      <c r="AC461" t="str">
        <f>TRIM(PROPER(G:G))</f>
        <v>West</v>
      </c>
      <c r="AD461" t="str">
        <f>TRIM(PROPER(H:H))</f>
        <v>Goa</v>
      </c>
      <c r="AE461" t="str">
        <f>TRIM(PROPER(I:I))</f>
        <v>Panaji</v>
      </c>
      <c r="AF461" t="str">
        <f>TRIM(PROPER(J:J))</f>
        <v>Office Supplies</v>
      </c>
      <c r="AG461" t="str">
        <f t="shared" si="12"/>
        <v>Paper</v>
      </c>
      <c r="AH461" t="str">
        <f t="shared" si="12"/>
        <v>Basic Paper 233</v>
      </c>
      <c r="AI461" t="str">
        <f t="shared" si="12"/>
        <v>First Class</v>
      </c>
      <c r="AJ461" s="3" t="str">
        <f t="shared" si="13"/>
        <v>Invalid</v>
      </c>
      <c r="AK461" t="str">
        <f>IFERROR(Y461-X461, "invalid date")</f>
        <v>invalid date</v>
      </c>
      <c r="AL461" s="10">
        <v>0</v>
      </c>
      <c r="AM461" s="11">
        <v>3452.76</v>
      </c>
      <c r="AN461" s="11">
        <v>1374.8000000000002</v>
      </c>
      <c r="AO461" s="10">
        <v>0.39817421425178701</v>
      </c>
      <c r="AP461" t="s">
        <v>4105</v>
      </c>
      <c r="AQ461" t="s">
        <v>4525</v>
      </c>
      <c r="AR461" t="s">
        <v>4105</v>
      </c>
      <c r="AS461" t="s">
        <v>4105</v>
      </c>
      <c r="AT461" t="s">
        <v>4108</v>
      </c>
      <c r="AU461" t="s">
        <v>4105</v>
      </c>
      <c r="AV461" t="s">
        <v>4109</v>
      </c>
    </row>
    <row r="462" spans="1:48">
      <c r="A462" t="s">
        <v>2265</v>
      </c>
      <c r="B462" t="s">
        <v>2266</v>
      </c>
      <c r="C462" t="s">
        <v>2267</v>
      </c>
      <c r="D462" t="s">
        <v>2268</v>
      </c>
      <c r="E462" t="s">
        <v>171</v>
      </c>
      <c r="F462" t="s">
        <v>117</v>
      </c>
      <c r="H462" t="s">
        <v>37</v>
      </c>
      <c r="I462" t="s">
        <v>38</v>
      </c>
      <c r="J462" t="s">
        <v>95</v>
      </c>
      <c r="K462" t="s">
        <v>103</v>
      </c>
      <c r="L462" t="s">
        <v>2269</v>
      </c>
      <c r="M462" t="s">
        <v>42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43</v>
      </c>
      <c r="U462" t="s">
        <v>44</v>
      </c>
      <c r="W462" t="s">
        <v>2265</v>
      </c>
      <c r="X462" t="str">
        <v>30-09-25</v>
      </c>
      <c r="Y462" t="str">
        <v>06-10-25</v>
      </c>
      <c r="Z462" t="s">
        <v>2268</v>
      </c>
      <c r="AA462" t="str">
        <v>Aarav Sharma</v>
      </c>
      <c r="AB462" t="str">
        <f>TRIM(PROPER(F:F))</f>
        <v>Corporate</v>
      </c>
      <c r="AC462" s="4" t="s">
        <v>282</v>
      </c>
      <c r="AD462" t="str">
        <f>TRIM(PROPER(H:H))</f>
        <v>Rajasthan</v>
      </c>
      <c r="AE462" t="str">
        <f>TRIM(PROPER(I:I))</f>
        <v>Jaipur</v>
      </c>
      <c r="AF462" t="str">
        <f>TRIM(PROPER(J:J))</f>
        <v>Technology</v>
      </c>
      <c r="AG462" t="str">
        <f t="shared" si="12"/>
        <v>Copiers</v>
      </c>
      <c r="AH462" t="str">
        <f t="shared" si="12"/>
        <v>Eco Copiers 603</v>
      </c>
      <c r="AI462" t="str">
        <f t="shared" si="12"/>
        <v>Second Class</v>
      </c>
      <c r="AJ462" s="3" t="str">
        <f t="shared" si="13"/>
        <v xml:space="preserve">  </v>
      </c>
      <c r="AK462">
        <f>IFERROR(Y462-X462, "invalid date")</f>
        <v>6</v>
      </c>
      <c r="AL462" s="10">
        <v>0.05</v>
      </c>
      <c r="AM462" s="11">
        <v>11626.974000000002</v>
      </c>
      <c r="AN462" s="11">
        <v>4232.9040000000023</v>
      </c>
      <c r="AO462" s="10">
        <v>0.36405895463428417</v>
      </c>
      <c r="AP462" t="s">
        <v>4567</v>
      </c>
      <c r="AQ462" t="s">
        <v>4568</v>
      </c>
      <c r="AR462" t="s">
        <v>4134</v>
      </c>
      <c r="AS462" t="s">
        <v>4120</v>
      </c>
      <c r="AT462" t="s">
        <v>4121</v>
      </c>
      <c r="AU462">
        <v>6</v>
      </c>
      <c r="AV462" t="s">
        <v>4109</v>
      </c>
    </row>
    <row r="463" spans="1:48">
      <c r="A463" t="s">
        <v>2270</v>
      </c>
      <c r="B463" t="s">
        <v>2271</v>
      </c>
      <c r="C463" t="s">
        <v>1531</v>
      </c>
      <c r="D463" t="s">
        <v>2272</v>
      </c>
      <c r="E463" t="s">
        <v>102</v>
      </c>
      <c r="F463" t="s">
        <v>117</v>
      </c>
      <c r="G463" t="s">
        <v>71</v>
      </c>
      <c r="H463" t="s">
        <v>109</v>
      </c>
      <c r="I463" t="s">
        <v>110</v>
      </c>
      <c r="J463" t="s">
        <v>39</v>
      </c>
      <c r="K463" t="s">
        <v>40</v>
      </c>
      <c r="L463" t="s">
        <v>2273</v>
      </c>
      <c r="M463" t="s">
        <v>76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43</v>
      </c>
      <c r="U463" t="s">
        <v>44</v>
      </c>
      <c r="W463" t="s">
        <v>2270</v>
      </c>
      <c r="X463" t="str">
        <v>invalid date</v>
      </c>
      <c r="Y463" t="str">
        <v>invalid date</v>
      </c>
      <c r="Z463" t="s">
        <v>2272</v>
      </c>
      <c r="AA463" t="str">
        <v>Neha Gupta</v>
      </c>
      <c r="AB463" t="str">
        <f>TRIM(PROPER(F:F))</f>
        <v>Corporate</v>
      </c>
      <c r="AC463" t="str">
        <f>TRIM(PROPER(G:G))</f>
        <v>South</v>
      </c>
      <c r="AD463" t="str">
        <f>TRIM(PROPER(H:H))</f>
        <v>Andhra Pradesh</v>
      </c>
      <c r="AE463" t="str">
        <f>TRIM(PROPER(I:I))</f>
        <v>Vijayawada</v>
      </c>
      <c r="AF463" t="str">
        <f>TRIM(PROPER(J:J))</f>
        <v>Office Supplies</v>
      </c>
      <c r="AG463" t="str">
        <f t="shared" si="12"/>
        <v>Paper</v>
      </c>
      <c r="AH463" t="str">
        <f t="shared" si="12"/>
        <v>Max Paper 700</v>
      </c>
      <c r="AI463" t="str">
        <f t="shared" si="12"/>
        <v>Standard Class</v>
      </c>
      <c r="AJ463" s="3" t="str">
        <f t="shared" si="13"/>
        <v>Invalid</v>
      </c>
      <c r="AK463" t="str">
        <f>IFERROR(Y463-X463, "invalid date")</f>
        <v>invalid date</v>
      </c>
      <c r="AL463" s="10">
        <v>0.15</v>
      </c>
      <c r="AM463" s="11">
        <v>8614.2825000000012</v>
      </c>
      <c r="AN463" s="11">
        <v>1562.2025000000012</v>
      </c>
      <c r="AO463" s="10">
        <v>0.18135027496486225</v>
      </c>
      <c r="AP463" t="s">
        <v>4105</v>
      </c>
      <c r="AQ463" t="s">
        <v>4105</v>
      </c>
      <c r="AR463" t="s">
        <v>4105</v>
      </c>
      <c r="AS463" t="s">
        <v>4105</v>
      </c>
      <c r="AT463" t="s">
        <v>4108</v>
      </c>
      <c r="AU463" t="s">
        <v>4105</v>
      </c>
      <c r="AV463" t="s">
        <v>4109</v>
      </c>
    </row>
    <row r="464" spans="1:48">
      <c r="A464" t="s">
        <v>2274</v>
      </c>
      <c r="B464" t="s">
        <v>2017</v>
      </c>
      <c r="C464" t="s">
        <v>2275</v>
      </c>
      <c r="D464" t="s">
        <v>2276</v>
      </c>
      <c r="E464" t="s">
        <v>171</v>
      </c>
      <c r="F464" t="s">
        <v>124</v>
      </c>
      <c r="G464" t="s">
        <v>36</v>
      </c>
      <c r="H464" t="s">
        <v>517</v>
      </c>
      <c r="I464" t="s">
        <v>518</v>
      </c>
      <c r="J464" t="s">
        <v>39</v>
      </c>
      <c r="K464" t="s">
        <v>208</v>
      </c>
      <c r="L464" t="s">
        <v>2277</v>
      </c>
      <c r="M464" t="s">
        <v>65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43</v>
      </c>
      <c r="U464" t="s">
        <v>44</v>
      </c>
      <c r="W464" t="s">
        <v>2274</v>
      </c>
      <c r="X464" t="str">
        <v>invalid date</v>
      </c>
      <c r="Y464" t="str">
        <v>25-09-24</v>
      </c>
      <c r="Z464" t="s">
        <v>2276</v>
      </c>
      <c r="AA464" t="str">
        <v>Aarav Sharma</v>
      </c>
      <c r="AB464" t="str">
        <f>TRIM(PROPER(F:F))</f>
        <v>Home Office</v>
      </c>
      <c r="AC464" t="str">
        <f>TRIM(PROPER(G:G))</f>
        <v>North</v>
      </c>
      <c r="AD464" t="str">
        <f>TRIM(PROPER(H:H))</f>
        <v>Delhi</v>
      </c>
      <c r="AE464" t="str">
        <f>TRIM(PROPER(I:I))</f>
        <v>New Delhi</v>
      </c>
      <c r="AF464" t="str">
        <f>TRIM(PROPER(J:J))</f>
        <v>Office Supplies</v>
      </c>
      <c r="AG464" t="str">
        <f t="shared" si="12"/>
        <v>Binders</v>
      </c>
      <c r="AH464" t="str">
        <f t="shared" si="12"/>
        <v>Pro Binders 404</v>
      </c>
      <c r="AI464" t="str">
        <f t="shared" si="12"/>
        <v>First Class</v>
      </c>
      <c r="AJ464" s="3" t="str">
        <f t="shared" si="13"/>
        <v>Invalid</v>
      </c>
      <c r="AK464" t="str">
        <f>IFERROR(Y464-X464, "invalid date")</f>
        <v>invalid date</v>
      </c>
      <c r="AL464" s="10">
        <v>0.2</v>
      </c>
      <c r="AM464" s="11">
        <v>2040.2240000000002</v>
      </c>
      <c r="AN464" s="11">
        <v>644.51400000000012</v>
      </c>
      <c r="AO464" s="10">
        <v>0.31590354784572677</v>
      </c>
      <c r="AP464" t="s">
        <v>4105</v>
      </c>
      <c r="AQ464" t="s">
        <v>4287</v>
      </c>
      <c r="AR464" t="s">
        <v>4105</v>
      </c>
      <c r="AS464" t="s">
        <v>4105</v>
      </c>
      <c r="AT464" t="s">
        <v>4108</v>
      </c>
      <c r="AU464" t="s">
        <v>4105</v>
      </c>
      <c r="AV464" t="s">
        <v>4109</v>
      </c>
    </row>
    <row r="465" spans="1:48">
      <c r="A465" t="s">
        <v>2278</v>
      </c>
      <c r="B465" t="s">
        <v>452</v>
      </c>
      <c r="C465" t="s">
        <v>2279</v>
      </c>
      <c r="D465" t="s">
        <v>2280</v>
      </c>
      <c r="E465" t="s">
        <v>70</v>
      </c>
      <c r="F465" t="s">
        <v>117</v>
      </c>
      <c r="G465" t="s">
        <v>82</v>
      </c>
      <c r="H465" t="s">
        <v>93</v>
      </c>
      <c r="I465" t="s">
        <v>94</v>
      </c>
      <c r="J465" t="s">
        <v>95</v>
      </c>
      <c r="K465" t="s">
        <v>233</v>
      </c>
      <c r="L465" t="s">
        <v>2281</v>
      </c>
      <c r="M465" t="s">
        <v>76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43</v>
      </c>
      <c r="U465" t="s">
        <v>44</v>
      </c>
      <c r="W465" t="s">
        <v>2278</v>
      </c>
      <c r="X465" t="str">
        <v>07-02-25</v>
      </c>
      <c r="Y465" t="str">
        <v>08-02-25</v>
      </c>
      <c r="Z465" t="s">
        <v>2280</v>
      </c>
      <c r="AA465" t="str">
        <v>Arjun Bose</v>
      </c>
      <c r="AB465" t="str">
        <f>TRIM(PROPER(F:F))</f>
        <v>Corporate</v>
      </c>
      <c r="AC465" t="str">
        <f>TRIM(PROPER(G:G))</f>
        <v>West</v>
      </c>
      <c r="AD465" t="str">
        <f>TRIM(PROPER(H:H))</f>
        <v>Madhya Pradesh</v>
      </c>
      <c r="AE465" t="str">
        <f>TRIM(PROPER(I:I))</f>
        <v>Indore</v>
      </c>
      <c r="AF465" t="str">
        <f>TRIM(PROPER(J:J))</f>
        <v>Technology</v>
      </c>
      <c r="AG465" t="str">
        <f t="shared" si="12"/>
        <v>Phones</v>
      </c>
      <c r="AH465" t="str">
        <f t="shared" si="12"/>
        <v>Eco Phones 208</v>
      </c>
      <c r="AI465" t="str">
        <f t="shared" si="12"/>
        <v>Standard Class</v>
      </c>
      <c r="AJ465" s="3" t="str">
        <f t="shared" si="13"/>
        <v>anomaly</v>
      </c>
      <c r="AK465">
        <f>IFERROR(Y465-X465, "invalid date")</f>
        <v>1</v>
      </c>
      <c r="AL465" s="10">
        <v>0.2</v>
      </c>
      <c r="AM465" s="11">
        <v>2846.4</v>
      </c>
      <c r="AN465" s="11">
        <v>714.0300000000002</v>
      </c>
      <c r="AO465" s="10">
        <v>0.25085370994940986</v>
      </c>
      <c r="AP465" t="s">
        <v>4226</v>
      </c>
      <c r="AQ465" t="s">
        <v>4416</v>
      </c>
      <c r="AR465" t="s">
        <v>4129</v>
      </c>
      <c r="AS465" t="s">
        <v>4120</v>
      </c>
      <c r="AT465" t="s">
        <v>4115</v>
      </c>
      <c r="AU465">
        <v>1</v>
      </c>
      <c r="AV465" t="s">
        <v>4109</v>
      </c>
    </row>
    <row r="466" spans="1:48">
      <c r="A466" t="s">
        <v>2282</v>
      </c>
      <c r="B466" t="s">
        <v>2283</v>
      </c>
      <c r="C466" t="s">
        <v>2284</v>
      </c>
      <c r="D466" t="s">
        <v>2285</v>
      </c>
      <c r="E466" t="s">
        <v>70</v>
      </c>
      <c r="F466" t="s">
        <v>117</v>
      </c>
      <c r="G466" t="s">
        <v>51</v>
      </c>
      <c r="H466" t="s">
        <v>196</v>
      </c>
      <c r="I466" t="s">
        <v>197</v>
      </c>
      <c r="J466" t="s">
        <v>39</v>
      </c>
      <c r="K466" t="s">
        <v>40</v>
      </c>
      <c r="L466" t="s">
        <v>2286</v>
      </c>
      <c r="M466" t="s">
        <v>57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146</v>
      </c>
      <c r="U466" t="s">
        <v>87</v>
      </c>
      <c r="W466" t="s">
        <v>2282</v>
      </c>
      <c r="X466" t="str">
        <v>11-03-25</v>
      </c>
      <c r="Y466" t="str">
        <v>invalid date</v>
      </c>
      <c r="Z466" t="s">
        <v>2285</v>
      </c>
      <c r="AA466" t="str">
        <v>Arjun Bose</v>
      </c>
      <c r="AB466" t="str">
        <f>TRIM(PROPER(F:F))</f>
        <v>Corporate</v>
      </c>
      <c r="AC466" t="str">
        <f>TRIM(PROPER(G:G))</f>
        <v>East</v>
      </c>
      <c r="AD466" t="str">
        <f>TRIM(PROPER(H:H))</f>
        <v>Bihar</v>
      </c>
      <c r="AE466" t="str">
        <f>TRIM(PROPER(I:I))</f>
        <v>Patna</v>
      </c>
      <c r="AF466" t="str">
        <f>TRIM(PROPER(J:J))</f>
        <v>Office Supplies</v>
      </c>
      <c r="AG466" t="str">
        <f t="shared" si="12"/>
        <v>Paper</v>
      </c>
      <c r="AH466" t="str">
        <f t="shared" si="12"/>
        <v>Elite Paper 106</v>
      </c>
      <c r="AI466" t="str">
        <f t="shared" si="12"/>
        <v>Same Day</v>
      </c>
      <c r="AJ466" s="3" t="str">
        <f t="shared" si="13"/>
        <v>Invalid</v>
      </c>
      <c r="AK466" t="str">
        <f>IFERROR(Y466-X466, "invalid date")</f>
        <v>invalid date</v>
      </c>
      <c r="AL466" s="10">
        <v>0.05</v>
      </c>
      <c r="AM466" s="11">
        <v>10331.477999999999</v>
      </c>
      <c r="AN466" s="11">
        <v>3199.5679999999993</v>
      </c>
      <c r="AO466" s="10">
        <v>0.30969121746181905</v>
      </c>
      <c r="AP466" t="s">
        <v>4569</v>
      </c>
      <c r="AQ466" t="s">
        <v>4105</v>
      </c>
      <c r="AR466" t="s">
        <v>4159</v>
      </c>
      <c r="AS466" t="s">
        <v>4120</v>
      </c>
      <c r="AT466" t="s">
        <v>4108</v>
      </c>
      <c r="AU466" t="s">
        <v>4105</v>
      </c>
      <c r="AV466" t="s">
        <v>4109</v>
      </c>
    </row>
    <row r="467" spans="1:48">
      <c r="A467" t="s">
        <v>2287</v>
      </c>
      <c r="B467" t="s">
        <v>2288</v>
      </c>
      <c r="C467" t="s">
        <v>2289</v>
      </c>
      <c r="D467" t="s">
        <v>2290</v>
      </c>
      <c r="E467" t="s">
        <v>171</v>
      </c>
      <c r="F467" t="s">
        <v>50</v>
      </c>
      <c r="G467" t="s">
        <v>82</v>
      </c>
      <c r="H467" t="s">
        <v>93</v>
      </c>
      <c r="I467" t="s">
        <v>94</v>
      </c>
      <c r="J467" t="s">
        <v>39</v>
      </c>
      <c r="K467" t="s">
        <v>118</v>
      </c>
      <c r="L467" t="s">
        <v>2291</v>
      </c>
      <c r="M467" t="s">
        <v>76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43</v>
      </c>
      <c r="U467" t="s">
        <v>44</v>
      </c>
      <c r="W467" t="s">
        <v>2287</v>
      </c>
      <c r="X467" t="str">
        <v>29-01-24</v>
      </c>
      <c r="Y467" t="str">
        <v>06-02-24</v>
      </c>
      <c r="Z467" t="s">
        <v>2290</v>
      </c>
      <c r="AA467" t="str">
        <v>Aarav Sharma</v>
      </c>
      <c r="AB467" t="str">
        <f>TRIM(PROPER(F:F))</f>
        <v>Small Business</v>
      </c>
      <c r="AC467" t="str">
        <f>TRIM(PROPER(G:G))</f>
        <v>West</v>
      </c>
      <c r="AD467" t="str">
        <f>TRIM(PROPER(H:H))</f>
        <v>Madhya Pradesh</v>
      </c>
      <c r="AE467" t="str">
        <f>TRIM(PROPER(I:I))</f>
        <v>Indore</v>
      </c>
      <c r="AF467" t="str">
        <f>TRIM(PROPER(J:J))</f>
        <v>Office Supplies</v>
      </c>
      <c r="AG467" t="str">
        <f t="shared" si="12"/>
        <v>Labels</v>
      </c>
      <c r="AH467" t="str">
        <f t="shared" si="12"/>
        <v>Eco Labels 914</v>
      </c>
      <c r="AI467" t="str">
        <f t="shared" si="12"/>
        <v>Standard Class</v>
      </c>
      <c r="AJ467" s="3" t="str">
        <f t="shared" si="13"/>
        <v xml:space="preserve">  </v>
      </c>
      <c r="AK467">
        <f>IFERROR(Y467-X467, "invalid date")</f>
        <v>8</v>
      </c>
      <c r="AL467" s="10">
        <v>0</v>
      </c>
      <c r="AM467" s="11">
        <v>2517.8000000000002</v>
      </c>
      <c r="AN467" s="11">
        <v>1039.2600000000002</v>
      </c>
      <c r="AO467" s="10">
        <v>0.41276511239971408</v>
      </c>
      <c r="AP467" t="s">
        <v>4570</v>
      </c>
      <c r="AQ467" t="s">
        <v>4415</v>
      </c>
      <c r="AR467" t="s">
        <v>4153</v>
      </c>
      <c r="AS467" t="s">
        <v>4107</v>
      </c>
      <c r="AT467" t="s">
        <v>4121</v>
      </c>
      <c r="AU467">
        <v>8</v>
      </c>
      <c r="AV467" t="s">
        <v>4109</v>
      </c>
    </row>
    <row r="468" spans="1:48">
      <c r="A468" t="s">
        <v>2292</v>
      </c>
      <c r="B468" t="s">
        <v>2293</v>
      </c>
      <c r="C468" t="s">
        <v>2294</v>
      </c>
      <c r="D468" t="s">
        <v>2295</v>
      </c>
      <c r="E468" t="s">
        <v>49</v>
      </c>
      <c r="F468" t="s">
        <v>50</v>
      </c>
      <c r="G468" t="s">
        <v>51</v>
      </c>
      <c r="H468" t="s">
        <v>196</v>
      </c>
      <c r="I468" t="s">
        <v>197</v>
      </c>
      <c r="J468" t="s">
        <v>95</v>
      </c>
      <c r="K468" t="s">
        <v>96</v>
      </c>
      <c r="L468" t="s">
        <v>2296</v>
      </c>
      <c r="M468" t="s">
        <v>57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43</v>
      </c>
      <c r="U468" t="s">
        <v>44</v>
      </c>
      <c r="W468" t="s">
        <v>2292</v>
      </c>
      <c r="X468" t="str">
        <v>04-01-24</v>
      </c>
      <c r="Y468" t="str">
        <v>01-08-24</v>
      </c>
      <c r="Z468" t="s">
        <v>2295</v>
      </c>
      <c r="AA468" t="str">
        <v>Mira Das</v>
      </c>
      <c r="AB468" t="str">
        <f>TRIM(PROPER(F:F))</f>
        <v>Small Business</v>
      </c>
      <c r="AC468" t="str">
        <f>TRIM(PROPER(G:G))</f>
        <v>East</v>
      </c>
      <c r="AD468" t="str">
        <f>TRIM(PROPER(H:H))</f>
        <v>Bihar</v>
      </c>
      <c r="AE468" t="str">
        <f>TRIM(PROPER(I:I))</f>
        <v>Patna</v>
      </c>
      <c r="AF468" t="str">
        <f>TRIM(PROPER(J:J))</f>
        <v>Technology</v>
      </c>
      <c r="AG468" t="str">
        <f t="shared" si="12"/>
        <v>Accessories</v>
      </c>
      <c r="AH468" t="str">
        <f t="shared" si="12"/>
        <v>Max Accessories 486</v>
      </c>
      <c r="AI468" t="str">
        <f t="shared" si="12"/>
        <v>Same Day</v>
      </c>
      <c r="AJ468" s="3" t="str">
        <f t="shared" si="13"/>
        <v xml:space="preserve">  </v>
      </c>
      <c r="AK468">
        <f>IFERROR(Y468-X468, "invalid date")</f>
        <v>210</v>
      </c>
      <c r="AL468" s="10">
        <v>0.2</v>
      </c>
      <c r="AM468" s="11">
        <v>11462.112000000001</v>
      </c>
      <c r="AN468" s="11">
        <v>4356.6320000000014</v>
      </c>
      <c r="AO468" s="10">
        <v>0.38008981241851425</v>
      </c>
      <c r="AP468" t="s">
        <v>4571</v>
      </c>
      <c r="AQ468" t="s">
        <v>4414</v>
      </c>
      <c r="AR468" t="s">
        <v>4153</v>
      </c>
      <c r="AS468" t="s">
        <v>4107</v>
      </c>
      <c r="AT468" t="s">
        <v>4121</v>
      </c>
      <c r="AU468">
        <v>210</v>
      </c>
      <c r="AV468" t="s">
        <v>4109</v>
      </c>
    </row>
    <row r="469" spans="1:48">
      <c r="A469" t="s">
        <v>2297</v>
      </c>
      <c r="B469" t="s">
        <v>2298</v>
      </c>
      <c r="C469" t="s">
        <v>1635</v>
      </c>
      <c r="D469" t="s">
        <v>2299</v>
      </c>
      <c r="E469" t="s">
        <v>116</v>
      </c>
      <c r="F469" t="s">
        <v>117</v>
      </c>
      <c r="G469" t="s">
        <v>51</v>
      </c>
      <c r="H469" t="s">
        <v>52</v>
      </c>
      <c r="I469" t="s">
        <v>53</v>
      </c>
      <c r="J469" t="s">
        <v>95</v>
      </c>
      <c r="K469" t="s">
        <v>103</v>
      </c>
      <c r="L469" t="s">
        <v>2300</v>
      </c>
      <c r="M469" t="s">
        <v>65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133</v>
      </c>
      <c r="U469" t="s">
        <v>87</v>
      </c>
      <c r="W469" t="s">
        <v>2297</v>
      </c>
      <c r="X469" t="str">
        <v>20-08-24</v>
      </c>
      <c r="Y469" t="str">
        <v>21-08-24</v>
      </c>
      <c r="Z469" t="s">
        <v>2299</v>
      </c>
      <c r="AA469" t="str">
        <v>Aditi Sen</v>
      </c>
      <c r="AB469" t="str">
        <f>TRIM(PROPER(F:F))</f>
        <v>Corporate</v>
      </c>
      <c r="AC469" t="str">
        <f>TRIM(PROPER(G:G))</f>
        <v>East</v>
      </c>
      <c r="AD469" t="str">
        <f>TRIM(PROPER(H:H))</f>
        <v>Odisha</v>
      </c>
      <c r="AE469" t="str">
        <f>TRIM(PROPER(I:I))</f>
        <v>Bhubaneswar</v>
      </c>
      <c r="AF469" t="str">
        <f>TRIM(PROPER(J:J))</f>
        <v>Technology</v>
      </c>
      <c r="AG469" t="str">
        <f t="shared" si="12"/>
        <v>Copiers</v>
      </c>
      <c r="AH469" t="str">
        <f t="shared" si="12"/>
        <v>Max Copiers 867</v>
      </c>
      <c r="AI469" t="str">
        <f t="shared" si="12"/>
        <v>First Class</v>
      </c>
      <c r="AJ469" s="3" t="str">
        <f t="shared" si="13"/>
        <v>anomaly</v>
      </c>
      <c r="AK469">
        <f>IFERROR(Y469-X469, "invalid date")</f>
        <v>1</v>
      </c>
      <c r="AL469" s="10">
        <v>0.1</v>
      </c>
      <c r="AM469" s="11">
        <v>19297.485000000001</v>
      </c>
      <c r="AN469" s="11">
        <v>3845.8250000000007</v>
      </c>
      <c r="AO469" s="10">
        <v>0.1992915138941681</v>
      </c>
      <c r="AP469" t="s">
        <v>4572</v>
      </c>
      <c r="AQ469" t="s">
        <v>4469</v>
      </c>
      <c r="AR469" t="s">
        <v>4114</v>
      </c>
      <c r="AS469" t="s">
        <v>4107</v>
      </c>
      <c r="AT469" t="s">
        <v>4115</v>
      </c>
      <c r="AU469">
        <v>1</v>
      </c>
      <c r="AV469" t="s">
        <v>4109</v>
      </c>
    </row>
    <row r="470" spans="1:48">
      <c r="A470" t="s">
        <v>2301</v>
      </c>
      <c r="B470" t="s">
        <v>2302</v>
      </c>
      <c r="C470" t="s">
        <v>2303</v>
      </c>
      <c r="D470" t="s">
        <v>2304</v>
      </c>
      <c r="E470" t="s">
        <v>171</v>
      </c>
      <c r="F470" t="s">
        <v>124</v>
      </c>
      <c r="G470" t="s">
        <v>51</v>
      </c>
      <c r="H470" t="s">
        <v>130</v>
      </c>
      <c r="I470" t="s">
        <v>131</v>
      </c>
      <c r="J470" t="s">
        <v>39</v>
      </c>
      <c r="K470" t="s">
        <v>208</v>
      </c>
      <c r="L470" t="s">
        <v>2305</v>
      </c>
      <c r="M470" t="s">
        <v>42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43</v>
      </c>
      <c r="U470" t="s">
        <v>44</v>
      </c>
      <c r="W470" t="s">
        <v>2301</v>
      </c>
      <c r="X470" t="str">
        <v>09-01-25</v>
      </c>
      <c r="Y470" t="str">
        <v>07-01-25</v>
      </c>
      <c r="Z470" t="s">
        <v>2304</v>
      </c>
      <c r="AA470" t="str">
        <v>Aarav Sharma</v>
      </c>
      <c r="AB470" t="str">
        <f>TRIM(PROPER(F:F))</f>
        <v>Home Office</v>
      </c>
      <c r="AC470" t="str">
        <f>TRIM(PROPER(G:G))</f>
        <v>East</v>
      </c>
      <c r="AD470" t="str">
        <f>TRIM(PROPER(H:H))</f>
        <v>West Bengal</v>
      </c>
      <c r="AE470" t="str">
        <f>TRIM(PROPER(I:I))</f>
        <v>Kolkata</v>
      </c>
      <c r="AF470" t="str">
        <f>TRIM(PROPER(J:J))</f>
        <v>Office Supplies</v>
      </c>
      <c r="AG470" t="str">
        <f t="shared" si="12"/>
        <v>Binders</v>
      </c>
      <c r="AH470" t="str">
        <f t="shared" si="12"/>
        <v>Pro Binders 555</v>
      </c>
      <c r="AI470" t="str">
        <f t="shared" si="12"/>
        <v>Second Class</v>
      </c>
      <c r="AJ470" s="3" t="str">
        <f t="shared" si="13"/>
        <v xml:space="preserve">  </v>
      </c>
      <c r="AK470">
        <f>IFERROR(Y470-X470, "invalid date")</f>
        <v>-2</v>
      </c>
      <c r="AL470" s="10">
        <v>0</v>
      </c>
      <c r="AM470" s="11">
        <v>6564.99</v>
      </c>
      <c r="AN470" s="11">
        <v>1157.75</v>
      </c>
      <c r="AO470" s="10">
        <v>0.17635213458055535</v>
      </c>
      <c r="AP470" t="s">
        <v>4311</v>
      </c>
      <c r="AQ470" t="s">
        <v>4573</v>
      </c>
      <c r="AR470" t="s">
        <v>4153</v>
      </c>
      <c r="AS470" t="s">
        <v>4120</v>
      </c>
      <c r="AT470" t="s">
        <v>4121</v>
      </c>
      <c r="AU470">
        <v>-2</v>
      </c>
      <c r="AV470" t="s">
        <v>4109</v>
      </c>
    </row>
    <row r="471" spans="1:48">
      <c r="A471" t="s">
        <v>2306</v>
      </c>
      <c r="B471" t="s">
        <v>2307</v>
      </c>
      <c r="C471" t="s">
        <v>2060</v>
      </c>
      <c r="D471" t="s">
        <v>2308</v>
      </c>
      <c r="E471" t="s">
        <v>116</v>
      </c>
      <c r="F471" t="s">
        <v>117</v>
      </c>
      <c r="G471" t="s">
        <v>82</v>
      </c>
      <c r="H471" t="s">
        <v>259</v>
      </c>
      <c r="I471" t="s">
        <v>260</v>
      </c>
      <c r="J471" t="s">
        <v>95</v>
      </c>
      <c r="K471" t="s">
        <v>103</v>
      </c>
      <c r="L471" t="s">
        <v>2309</v>
      </c>
      <c r="M471" t="s">
        <v>65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43</v>
      </c>
      <c r="U471" t="s">
        <v>44</v>
      </c>
      <c r="W471" t="s">
        <v>2306</v>
      </c>
      <c r="X471" t="str">
        <v>19-01-24</v>
      </c>
      <c r="Y471" t="str">
        <v>invalid date</v>
      </c>
      <c r="Z471" t="s">
        <v>2308</v>
      </c>
      <c r="AA471" t="str">
        <v>Aditi Sen</v>
      </c>
      <c r="AB471" t="str">
        <f>TRIM(PROPER(F:F))</f>
        <v>Corporate</v>
      </c>
      <c r="AC471" t="str">
        <f>TRIM(PROPER(G:G))</f>
        <v>West</v>
      </c>
      <c r="AD471" t="str">
        <f>TRIM(PROPER(H:H))</f>
        <v>Goa</v>
      </c>
      <c r="AE471" t="str">
        <f>TRIM(PROPER(I:I))</f>
        <v>Panaji</v>
      </c>
      <c r="AF471" t="str">
        <f>TRIM(PROPER(J:J))</f>
        <v>Technology</v>
      </c>
      <c r="AG471" t="str">
        <f t="shared" si="12"/>
        <v>Copiers</v>
      </c>
      <c r="AH471" t="str">
        <f t="shared" si="12"/>
        <v>Pro Copiers 971</v>
      </c>
      <c r="AI471" t="str">
        <f t="shared" si="12"/>
        <v>First Class</v>
      </c>
      <c r="AJ471" s="3" t="str">
        <f t="shared" si="13"/>
        <v>Invalid</v>
      </c>
      <c r="AK471" t="str">
        <f>IFERROR(Y471-X471, "invalid date")</f>
        <v>invalid date</v>
      </c>
      <c r="AL471" s="10">
        <v>0.1</v>
      </c>
      <c r="AM471" s="11">
        <v>2812.4820000000004</v>
      </c>
      <c r="AN471" s="11">
        <v>530.36200000000053</v>
      </c>
      <c r="AO471" s="10">
        <v>0.18857436243147527</v>
      </c>
      <c r="AP471" t="s">
        <v>4574</v>
      </c>
      <c r="AQ471" t="s">
        <v>4105</v>
      </c>
      <c r="AR471" t="s">
        <v>4153</v>
      </c>
      <c r="AS471" t="s">
        <v>4107</v>
      </c>
      <c r="AT471" t="s">
        <v>4108</v>
      </c>
      <c r="AU471" t="s">
        <v>4105</v>
      </c>
      <c r="AV471" t="s">
        <v>4109</v>
      </c>
    </row>
    <row r="472" spans="1:48">
      <c r="A472" t="s">
        <v>2310</v>
      </c>
      <c r="B472" t="s">
        <v>2311</v>
      </c>
      <c r="C472" t="s">
        <v>1603</v>
      </c>
      <c r="D472" t="s">
        <v>2312</v>
      </c>
      <c r="E472" t="s">
        <v>116</v>
      </c>
      <c r="F472" t="s">
        <v>35</v>
      </c>
      <c r="G472" t="s">
        <v>36</v>
      </c>
      <c r="H472" t="s">
        <v>37</v>
      </c>
      <c r="I472" t="s">
        <v>38</v>
      </c>
      <c r="J472" t="s">
        <v>54</v>
      </c>
      <c r="K472" t="s">
        <v>55</v>
      </c>
      <c r="L472" t="s">
        <v>2313</v>
      </c>
      <c r="M472" t="s">
        <v>57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43</v>
      </c>
      <c r="U472" t="s">
        <v>44</v>
      </c>
      <c r="W472" t="s">
        <v>2310</v>
      </c>
      <c r="X472" t="str">
        <v>28-07-24</v>
      </c>
      <c r="Y472" t="str">
        <v>invalid date</v>
      </c>
      <c r="Z472" t="s">
        <v>2312</v>
      </c>
      <c r="AA472" t="str">
        <v>Aditi Sen</v>
      </c>
      <c r="AB472" t="str">
        <f>TRIM(PROPER(F:F))</f>
        <v>Consumer</v>
      </c>
      <c r="AC472" t="str">
        <f>TRIM(PROPER(G:G))</f>
        <v>North</v>
      </c>
      <c r="AD472" t="str">
        <f>TRIM(PROPER(H:H))</f>
        <v>Rajasthan</v>
      </c>
      <c r="AE472" t="str">
        <f>TRIM(PROPER(I:I))</f>
        <v>Jaipur</v>
      </c>
      <c r="AF472" t="str">
        <f>TRIM(PROPER(J:J))</f>
        <v>Furniture</v>
      </c>
      <c r="AG472" t="str">
        <f t="shared" si="12"/>
        <v>Tables</v>
      </c>
      <c r="AH472" t="str">
        <f t="shared" si="12"/>
        <v>Pro Tables 833</v>
      </c>
      <c r="AI472" t="str">
        <f t="shared" si="12"/>
        <v>Same Day</v>
      </c>
      <c r="AJ472" s="3" t="str">
        <f t="shared" si="13"/>
        <v>Invalid</v>
      </c>
      <c r="AK472" t="str">
        <f>IFERROR(Y472-X472, "invalid date")</f>
        <v>invalid date</v>
      </c>
      <c r="AL472" s="10">
        <v>0.2</v>
      </c>
      <c r="AM472" s="11">
        <v>7079.6480000000001</v>
      </c>
      <c r="AN472" s="11">
        <v>2613.7380000000003</v>
      </c>
      <c r="AO472" s="10">
        <v>0.36919038912669105</v>
      </c>
      <c r="AP472" t="s">
        <v>4575</v>
      </c>
      <c r="AQ472" t="s">
        <v>4105</v>
      </c>
      <c r="AR472" t="s">
        <v>4106</v>
      </c>
      <c r="AS472" t="s">
        <v>4107</v>
      </c>
      <c r="AT472" t="s">
        <v>4108</v>
      </c>
      <c r="AU472" t="s">
        <v>4105</v>
      </c>
      <c r="AV472" t="s">
        <v>4109</v>
      </c>
    </row>
    <row r="473" spans="1:48">
      <c r="A473" t="s">
        <v>2314</v>
      </c>
      <c r="B473" t="s">
        <v>2315</v>
      </c>
      <c r="C473" t="s">
        <v>2316</v>
      </c>
      <c r="D473" t="s">
        <v>2317</v>
      </c>
      <c r="E473" t="s">
        <v>377</v>
      </c>
      <c r="F473" t="s">
        <v>35</v>
      </c>
      <c r="G473" t="s">
        <v>71</v>
      </c>
      <c r="H473" t="s">
        <v>72</v>
      </c>
      <c r="I473" t="s">
        <v>73</v>
      </c>
      <c r="J473" t="s">
        <v>39</v>
      </c>
      <c r="K473" t="s">
        <v>208</v>
      </c>
      <c r="L473" t="s">
        <v>2318</v>
      </c>
      <c r="M473" t="s">
        <v>76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43</v>
      </c>
      <c r="U473" t="s">
        <v>44</v>
      </c>
      <c r="W473" t="s">
        <v>2314</v>
      </c>
      <c r="X473" t="str">
        <v>11-02-24</v>
      </c>
      <c r="Y473" t="str">
        <v>invalid date</v>
      </c>
      <c r="Z473" t="s">
        <v>2317</v>
      </c>
      <c r="AA473" t="str">
        <v>Kabir Singh</v>
      </c>
      <c r="AB473" t="str">
        <f>TRIM(PROPER(F:F))</f>
        <v>Consumer</v>
      </c>
      <c r="AC473" t="str">
        <f>TRIM(PROPER(G:G))</f>
        <v>South</v>
      </c>
      <c r="AD473" t="str">
        <f>TRIM(PROPER(H:H))</f>
        <v>Telangana</v>
      </c>
      <c r="AE473" t="str">
        <f>TRIM(PROPER(I:I))</f>
        <v>Hyderabad</v>
      </c>
      <c r="AF473" t="str">
        <f>TRIM(PROPER(J:J))</f>
        <v>Office Supplies</v>
      </c>
      <c r="AG473" t="str">
        <f t="shared" si="12"/>
        <v>Binders</v>
      </c>
      <c r="AH473" t="str">
        <f t="shared" si="12"/>
        <v>Prime Binders 497</v>
      </c>
      <c r="AI473" t="str">
        <f t="shared" si="12"/>
        <v>Standard Class</v>
      </c>
      <c r="AJ473" s="3" t="str">
        <f t="shared" si="13"/>
        <v>Invalid</v>
      </c>
      <c r="AK473" t="str">
        <f>IFERROR(Y473-X473, "invalid date")</f>
        <v>invalid date</v>
      </c>
      <c r="AL473" s="10">
        <v>0.25</v>
      </c>
      <c r="AM473" s="11">
        <v>6793.0650000000005</v>
      </c>
      <c r="AN473" s="11">
        <v>1807.8450000000003</v>
      </c>
      <c r="AO473" s="10">
        <v>0.26613097327936652</v>
      </c>
      <c r="AP473" t="s">
        <v>4232</v>
      </c>
      <c r="AQ473" t="s">
        <v>4105</v>
      </c>
      <c r="AR473" t="s">
        <v>4129</v>
      </c>
      <c r="AS473" t="s">
        <v>4107</v>
      </c>
      <c r="AT473" t="s">
        <v>4108</v>
      </c>
      <c r="AU473" t="s">
        <v>4105</v>
      </c>
      <c r="AV473" t="s">
        <v>4109</v>
      </c>
    </row>
    <row r="474" spans="1:48">
      <c r="A474" t="s">
        <v>2319</v>
      </c>
      <c r="B474" t="s">
        <v>2320</v>
      </c>
      <c r="C474" t="s">
        <v>1515</v>
      </c>
      <c r="D474" t="s">
        <v>2321</v>
      </c>
      <c r="E474" t="s">
        <v>189</v>
      </c>
      <c r="F474" t="s">
        <v>117</v>
      </c>
      <c r="G474" t="s">
        <v>51</v>
      </c>
      <c r="H474" t="s">
        <v>52</v>
      </c>
      <c r="I474" t="s">
        <v>53</v>
      </c>
      <c r="J474" t="s">
        <v>39</v>
      </c>
      <c r="K474" t="s">
        <v>165</v>
      </c>
      <c r="L474" t="s">
        <v>2322</v>
      </c>
      <c r="M474" t="s">
        <v>76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43</v>
      </c>
      <c r="U474" t="s">
        <v>44</v>
      </c>
      <c r="W474" t="s">
        <v>2319</v>
      </c>
      <c r="X474" t="str">
        <v>02-03-24</v>
      </c>
      <c r="Y474" t="str">
        <v>03-07-24</v>
      </c>
      <c r="Z474" t="s">
        <v>2321</v>
      </c>
      <c r="AA474" t="str">
        <v>Rohan Mehta</v>
      </c>
      <c r="AB474" t="str">
        <f>TRIM(PROPER(F:F))</f>
        <v>Corporate</v>
      </c>
      <c r="AC474" t="str">
        <f>TRIM(PROPER(G:G))</f>
        <v>East</v>
      </c>
      <c r="AD474" t="str">
        <f>TRIM(PROPER(H:H))</f>
        <v>Odisha</v>
      </c>
      <c r="AE474" t="str">
        <f>TRIM(PROPER(I:I))</f>
        <v>Bhubaneswar</v>
      </c>
      <c r="AF474" t="str">
        <f>TRIM(PROPER(J:J))</f>
        <v>Office Supplies</v>
      </c>
      <c r="AG474" t="str">
        <f t="shared" si="12"/>
        <v>Storage</v>
      </c>
      <c r="AH474" t="str">
        <f t="shared" si="12"/>
        <v>Pro Storage 756</v>
      </c>
      <c r="AI474" t="str">
        <f t="shared" si="12"/>
        <v>Standard Class</v>
      </c>
      <c r="AJ474" s="3" t="str">
        <f t="shared" si="13"/>
        <v>anomaly</v>
      </c>
      <c r="AK474">
        <f>IFERROR(Y474-X474, "invalid date")</f>
        <v>123</v>
      </c>
      <c r="AL474" s="10">
        <v>0</v>
      </c>
      <c r="AM474" s="11">
        <v>1844.2199999999998</v>
      </c>
      <c r="AN474" s="11">
        <v>750.00999999999976</v>
      </c>
      <c r="AO474" s="10">
        <v>0.40668141544934977</v>
      </c>
      <c r="AP474" t="s">
        <v>4536</v>
      </c>
      <c r="AQ474" t="s">
        <v>4452</v>
      </c>
      <c r="AR474" t="s">
        <v>4159</v>
      </c>
      <c r="AS474" t="s">
        <v>4107</v>
      </c>
      <c r="AT474" t="s">
        <v>4115</v>
      </c>
      <c r="AU474">
        <v>123</v>
      </c>
      <c r="AV474" t="s">
        <v>4109</v>
      </c>
    </row>
    <row r="475" spans="1:48">
      <c r="A475" t="s">
        <v>2323</v>
      </c>
      <c r="B475" t="s">
        <v>2324</v>
      </c>
      <c r="C475" t="s">
        <v>456</v>
      </c>
      <c r="D475" t="s">
        <v>2325</v>
      </c>
      <c r="E475" t="s">
        <v>151</v>
      </c>
      <c r="F475" t="s">
        <v>35</v>
      </c>
      <c r="G475" t="s">
        <v>82</v>
      </c>
      <c r="H475" t="s">
        <v>259</v>
      </c>
      <c r="I475" t="s">
        <v>260</v>
      </c>
      <c r="J475" t="s">
        <v>95</v>
      </c>
      <c r="K475" t="s">
        <v>103</v>
      </c>
      <c r="L475" t="s">
        <v>2326</v>
      </c>
      <c r="M475" t="s">
        <v>76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43</v>
      </c>
      <c r="U475" t="s">
        <v>44</v>
      </c>
      <c r="W475" t="s">
        <v>2323</v>
      </c>
      <c r="X475" t="str">
        <v>13-11-24</v>
      </c>
      <c r="Y475" t="str">
        <v>13-11-24</v>
      </c>
      <c r="Z475" t="s">
        <v>2325</v>
      </c>
      <c r="AA475" t="str">
        <v>Priya Menon</v>
      </c>
      <c r="AB475" t="str">
        <f>TRIM(PROPER(F:F))</f>
        <v>Consumer</v>
      </c>
      <c r="AC475" t="str">
        <f>TRIM(PROPER(G:G))</f>
        <v>West</v>
      </c>
      <c r="AD475" t="str">
        <f>TRIM(PROPER(H:H))</f>
        <v>Goa</v>
      </c>
      <c r="AE475" t="str">
        <f>TRIM(PROPER(I:I))</f>
        <v>Panaji</v>
      </c>
      <c r="AF475" t="str">
        <f>TRIM(PROPER(J:J))</f>
        <v>Technology</v>
      </c>
      <c r="AG475" t="str">
        <f t="shared" si="12"/>
        <v>Copiers</v>
      </c>
      <c r="AH475" t="str">
        <f t="shared" si="12"/>
        <v>Max Copiers 829</v>
      </c>
      <c r="AI475" t="str">
        <f t="shared" si="12"/>
        <v>Standard Class</v>
      </c>
      <c r="AJ475" s="3" t="str">
        <f t="shared" si="13"/>
        <v xml:space="preserve">  </v>
      </c>
      <c r="AK475">
        <f>IFERROR(Y475-X475, "invalid date")</f>
        <v>0</v>
      </c>
      <c r="AL475" s="10">
        <v>0.2</v>
      </c>
      <c r="AM475" s="11">
        <v>918.95999999999992</v>
      </c>
      <c r="AN475" s="11">
        <v>364.78</v>
      </c>
      <c r="AO475" s="10">
        <v>0.39694872464525116</v>
      </c>
      <c r="AP475" t="s">
        <v>4227</v>
      </c>
      <c r="AQ475" t="s">
        <v>4227</v>
      </c>
      <c r="AR475" t="s">
        <v>4117</v>
      </c>
      <c r="AS475" t="s">
        <v>4107</v>
      </c>
      <c r="AT475" t="s">
        <v>4115</v>
      </c>
      <c r="AU475">
        <v>0</v>
      </c>
      <c r="AV475" t="s">
        <v>4109</v>
      </c>
    </row>
    <row r="476" spans="1:48">
      <c r="A476" t="s">
        <v>2327</v>
      </c>
      <c r="B476" t="s">
        <v>1229</v>
      </c>
      <c r="C476" t="s">
        <v>2328</v>
      </c>
      <c r="D476" t="s">
        <v>2329</v>
      </c>
      <c r="E476" t="s">
        <v>220</v>
      </c>
      <c r="F476" t="s">
        <v>117</v>
      </c>
      <c r="G476" t="s">
        <v>36</v>
      </c>
      <c r="H476" t="s">
        <v>163</v>
      </c>
      <c r="I476" t="s">
        <v>164</v>
      </c>
      <c r="J476" t="s">
        <v>54</v>
      </c>
      <c r="K476" t="s">
        <v>74</v>
      </c>
      <c r="L476" t="s">
        <v>2330</v>
      </c>
      <c r="M476" t="s">
        <v>76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43</v>
      </c>
      <c r="U476" t="s">
        <v>44</v>
      </c>
      <c r="W476" t="s">
        <v>2327</v>
      </c>
      <c r="X476" t="str">
        <v>03-06-24</v>
      </c>
      <c r="Y476" t="str">
        <v>10-06-24</v>
      </c>
      <c r="Z476" t="s">
        <v>2329</v>
      </c>
      <c r="AA476" t="str">
        <v>Diya Patel</v>
      </c>
      <c r="AB476" t="str">
        <f>TRIM(PROPER(F:F))</f>
        <v>Corporate</v>
      </c>
      <c r="AC476" t="str">
        <f>TRIM(PROPER(G:G))</f>
        <v>North</v>
      </c>
      <c r="AD476" t="str">
        <f>TRIM(PROPER(H:H))</f>
        <v>Punjab</v>
      </c>
      <c r="AE476" t="str">
        <f>TRIM(PROPER(I:I))</f>
        <v>Ludhiana</v>
      </c>
      <c r="AF476" t="str">
        <f>TRIM(PROPER(J:J))</f>
        <v>Furniture</v>
      </c>
      <c r="AG476" t="str">
        <f t="shared" si="12"/>
        <v>Furnishings</v>
      </c>
      <c r="AH476" t="str">
        <f t="shared" si="12"/>
        <v>Prime Furnishings 827</v>
      </c>
      <c r="AI476" t="str">
        <f t="shared" si="12"/>
        <v>Standard Class</v>
      </c>
      <c r="AJ476" s="3" t="str">
        <f t="shared" si="13"/>
        <v>anomaly</v>
      </c>
      <c r="AK476">
        <f>IFERROR(Y476-X476, "invalid date")</f>
        <v>7</v>
      </c>
      <c r="AL476" s="10">
        <v>0</v>
      </c>
      <c r="AM476" s="11">
        <v>4900.71</v>
      </c>
      <c r="AN476" s="11">
        <v>2186.81</v>
      </c>
      <c r="AO476" s="10">
        <v>0.44622309828575857</v>
      </c>
      <c r="AP476" t="s">
        <v>4399</v>
      </c>
      <c r="AQ476" t="s">
        <v>4576</v>
      </c>
      <c r="AR476" t="s">
        <v>4170</v>
      </c>
      <c r="AS476" t="s">
        <v>4107</v>
      </c>
      <c r="AT476" t="s">
        <v>4115</v>
      </c>
      <c r="AU476">
        <v>7</v>
      </c>
      <c r="AV476" t="s">
        <v>4109</v>
      </c>
    </row>
    <row r="477" spans="1:48">
      <c r="A477" t="s">
        <v>2331</v>
      </c>
      <c r="B477" t="s">
        <v>2332</v>
      </c>
      <c r="C477" t="s">
        <v>2333</v>
      </c>
      <c r="D477" t="s">
        <v>2334</v>
      </c>
      <c r="E477" t="s">
        <v>92</v>
      </c>
      <c r="F477" t="s">
        <v>35</v>
      </c>
      <c r="G477" t="s">
        <v>51</v>
      </c>
      <c r="H477" t="s">
        <v>130</v>
      </c>
      <c r="I477" t="s">
        <v>131</v>
      </c>
      <c r="J477" t="s">
        <v>54</v>
      </c>
      <c r="K477" t="s">
        <v>85</v>
      </c>
      <c r="L477" t="s">
        <v>2335</v>
      </c>
      <c r="M477" t="s">
        <v>57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146</v>
      </c>
      <c r="U477" t="s">
        <v>134</v>
      </c>
      <c r="W477" t="s">
        <v>2331</v>
      </c>
      <c r="X477" t="str">
        <v>03-01-25</v>
      </c>
      <c r="Y477" t="str">
        <v>08-03-25</v>
      </c>
      <c r="Z477" t="s">
        <v>2334</v>
      </c>
      <c r="AA477" t="str">
        <v>Vikram Iyer</v>
      </c>
      <c r="AB477" t="str">
        <f>TRIM(PROPER(F:F))</f>
        <v>Consumer</v>
      </c>
      <c r="AC477" t="str">
        <f>TRIM(PROPER(G:G))</f>
        <v>East</v>
      </c>
      <c r="AD477" t="str">
        <f>TRIM(PROPER(H:H))</f>
        <v>West Bengal</v>
      </c>
      <c r="AE477" t="str">
        <f>TRIM(PROPER(I:I))</f>
        <v>Kolkata</v>
      </c>
      <c r="AF477" t="str">
        <f>TRIM(PROPER(J:J))</f>
        <v>Furniture</v>
      </c>
      <c r="AG477" t="str">
        <f t="shared" si="12"/>
        <v>Chairs</v>
      </c>
      <c r="AH477" t="str">
        <f t="shared" si="12"/>
        <v>Eco Chairs 365</v>
      </c>
      <c r="AI477" t="str">
        <f t="shared" si="12"/>
        <v>Same Day</v>
      </c>
      <c r="AJ477" s="3" t="str">
        <f t="shared" si="13"/>
        <v>anomaly</v>
      </c>
      <c r="AK477">
        <f>IFERROR(Y477-X477, "invalid date")</f>
        <v>64</v>
      </c>
      <c r="AL477" s="10">
        <v>0.25</v>
      </c>
      <c r="AM477" s="11">
        <v>20272.920000000002</v>
      </c>
      <c r="AN477" s="11">
        <v>4399.5400000000027</v>
      </c>
      <c r="AO477" s="10">
        <v>0.21701560505344086</v>
      </c>
      <c r="AP477" t="s">
        <v>4420</v>
      </c>
      <c r="AQ477" t="s">
        <v>4372</v>
      </c>
      <c r="AR477" t="s">
        <v>4153</v>
      </c>
      <c r="AS477" t="s">
        <v>4120</v>
      </c>
      <c r="AT477" t="s">
        <v>4115</v>
      </c>
      <c r="AU477">
        <v>64</v>
      </c>
      <c r="AV477" t="s">
        <v>4109</v>
      </c>
    </row>
    <row r="478" spans="1:48">
      <c r="A478" t="s">
        <v>2336</v>
      </c>
      <c r="B478" t="s">
        <v>2337</v>
      </c>
      <c r="C478" t="s">
        <v>2338</v>
      </c>
      <c r="D478" t="s">
        <v>2339</v>
      </c>
      <c r="E478" t="s">
        <v>177</v>
      </c>
      <c r="F478" t="s">
        <v>50</v>
      </c>
      <c r="G478" t="s">
        <v>36</v>
      </c>
      <c r="H478" t="s">
        <v>37</v>
      </c>
      <c r="I478" t="s">
        <v>38</v>
      </c>
      <c r="J478" t="s">
        <v>39</v>
      </c>
      <c r="K478" t="s">
        <v>165</v>
      </c>
      <c r="L478" t="s">
        <v>2340</v>
      </c>
      <c r="M478" t="s">
        <v>65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43</v>
      </c>
      <c r="U478" t="s">
        <v>44</v>
      </c>
      <c r="W478" t="s">
        <v>2336</v>
      </c>
      <c r="X478" t="str">
        <v>05-07-24</v>
      </c>
      <c r="Y478" t="str">
        <v>invalid date</v>
      </c>
      <c r="Z478" t="s">
        <v>2339</v>
      </c>
      <c r="AA478" t="str">
        <v>Sneha Kapoor</v>
      </c>
      <c r="AB478" t="str">
        <f>TRIM(PROPER(F:F))</f>
        <v>Small Business</v>
      </c>
      <c r="AC478" t="str">
        <f>TRIM(PROPER(G:G))</f>
        <v>North</v>
      </c>
      <c r="AD478" t="str">
        <f>TRIM(PROPER(H:H))</f>
        <v>Rajasthan</v>
      </c>
      <c r="AE478" t="str">
        <f>TRIM(PROPER(I:I))</f>
        <v>Jaipur</v>
      </c>
      <c r="AF478" t="str">
        <f>TRIM(PROPER(J:J))</f>
        <v>Office Supplies</v>
      </c>
      <c r="AG478" t="str">
        <f t="shared" si="12"/>
        <v>Storage</v>
      </c>
      <c r="AH478" t="str">
        <f t="shared" si="12"/>
        <v>Classic Storage 545</v>
      </c>
      <c r="AI478" t="str">
        <f t="shared" si="12"/>
        <v>First Class</v>
      </c>
      <c r="AJ478" s="3" t="str">
        <f t="shared" si="13"/>
        <v>Invalid</v>
      </c>
      <c r="AK478" t="str">
        <f>IFERROR(Y478-X478, "invalid date")</f>
        <v>invalid date</v>
      </c>
      <c r="AL478" s="10">
        <v>0.1</v>
      </c>
      <c r="AM478" s="11">
        <v>1035.6659999999999</v>
      </c>
      <c r="AN478" s="11">
        <v>440.24599999999998</v>
      </c>
      <c r="AO478" s="10">
        <v>0.42508492120046426</v>
      </c>
      <c r="AP478" t="s">
        <v>4395</v>
      </c>
      <c r="AQ478" t="s">
        <v>4105</v>
      </c>
      <c r="AR478" t="s">
        <v>4106</v>
      </c>
      <c r="AS478" t="s">
        <v>4107</v>
      </c>
      <c r="AT478" t="s">
        <v>4108</v>
      </c>
      <c r="AU478" t="s">
        <v>4105</v>
      </c>
      <c r="AV478" t="s">
        <v>4109</v>
      </c>
    </row>
    <row r="479" spans="1:48">
      <c r="A479" t="s">
        <v>2341</v>
      </c>
      <c r="B479" t="s">
        <v>2342</v>
      </c>
      <c r="C479" t="s">
        <v>2343</v>
      </c>
      <c r="D479" t="s">
        <v>2344</v>
      </c>
      <c r="E479" t="s">
        <v>92</v>
      </c>
      <c r="F479" t="s">
        <v>117</v>
      </c>
      <c r="G479" t="s">
        <v>82</v>
      </c>
      <c r="H479" t="s">
        <v>245</v>
      </c>
      <c r="I479" t="s">
        <v>246</v>
      </c>
      <c r="J479" t="s">
        <v>54</v>
      </c>
      <c r="K479" t="s">
        <v>85</v>
      </c>
      <c r="L479" t="s">
        <v>2345</v>
      </c>
      <c r="M479" t="s">
        <v>76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43</v>
      </c>
      <c r="U479" t="s">
        <v>87</v>
      </c>
      <c r="W479" t="s">
        <v>2341</v>
      </c>
      <c r="X479" t="str">
        <v>invalid date</v>
      </c>
      <c r="Y479" t="str">
        <v>28-08-25</v>
      </c>
      <c r="Z479" t="s">
        <v>2344</v>
      </c>
      <c r="AA479" t="str">
        <v>Vikram Iyer</v>
      </c>
      <c r="AB479" t="str">
        <f>TRIM(PROPER(F:F))</f>
        <v>Corporate</v>
      </c>
      <c r="AC479" t="str">
        <f>TRIM(PROPER(G:G))</f>
        <v>West</v>
      </c>
      <c r="AD479" t="str">
        <f>TRIM(PROPER(H:H))</f>
        <v>Gujarat</v>
      </c>
      <c r="AE479" t="str">
        <f>TRIM(PROPER(I:I))</f>
        <v>Ahmedabad</v>
      </c>
      <c r="AF479" t="str">
        <f>TRIM(PROPER(J:J))</f>
        <v>Furniture</v>
      </c>
      <c r="AG479" t="str">
        <f t="shared" si="12"/>
        <v>Chairs</v>
      </c>
      <c r="AH479" t="str">
        <f t="shared" si="12"/>
        <v>Pro Chairs 186</v>
      </c>
      <c r="AI479" t="str">
        <f t="shared" si="12"/>
        <v>Standard Class</v>
      </c>
      <c r="AJ479" s="3" t="str">
        <f t="shared" si="13"/>
        <v>Invalid</v>
      </c>
      <c r="AK479" t="str">
        <f>IFERROR(Y479-X479, "invalid date")</f>
        <v>invalid date</v>
      </c>
      <c r="AL479" s="10">
        <v>0.1</v>
      </c>
      <c r="AM479" s="11">
        <v>11843.442000000001</v>
      </c>
      <c r="AN479" s="11">
        <v>2486.5620000000017</v>
      </c>
      <c r="AO479" s="10">
        <v>0.20995264721184953</v>
      </c>
      <c r="AP479" t="s">
        <v>4105</v>
      </c>
      <c r="AQ479" t="s">
        <v>4540</v>
      </c>
      <c r="AR479" t="s">
        <v>4105</v>
      </c>
      <c r="AS479" t="s">
        <v>4105</v>
      </c>
      <c r="AT479" t="s">
        <v>4108</v>
      </c>
      <c r="AU479" t="s">
        <v>4105</v>
      </c>
      <c r="AV479" t="s">
        <v>4109</v>
      </c>
    </row>
    <row r="480" spans="1:48">
      <c r="A480" t="s">
        <v>2346</v>
      </c>
      <c r="B480" t="s">
        <v>2347</v>
      </c>
      <c r="C480" t="s">
        <v>2348</v>
      </c>
      <c r="D480" t="s">
        <v>2349</v>
      </c>
      <c r="E480" t="s">
        <v>49</v>
      </c>
      <c r="F480" t="s">
        <v>124</v>
      </c>
      <c r="H480" t="s">
        <v>183</v>
      </c>
      <c r="I480" t="s">
        <v>184</v>
      </c>
      <c r="J480" t="s">
        <v>95</v>
      </c>
      <c r="K480" t="s">
        <v>393</v>
      </c>
      <c r="L480" t="s">
        <v>2350</v>
      </c>
      <c r="M480" t="s">
        <v>57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133</v>
      </c>
      <c r="U480" t="s">
        <v>134</v>
      </c>
      <c r="W480" t="s">
        <v>2346</v>
      </c>
      <c r="X480" t="str">
        <v>06-09-24</v>
      </c>
      <c r="Y480" t="str">
        <v>13-06-24</v>
      </c>
      <c r="Z480" t="s">
        <v>2349</v>
      </c>
      <c r="AA480" t="str">
        <v>Mira Das</v>
      </c>
      <c r="AB480" t="str">
        <f>TRIM(PROPER(F:F))</f>
        <v>Home Office</v>
      </c>
      <c r="AC480" s="4" t="s">
        <v>282</v>
      </c>
      <c r="AD480" t="str">
        <f>TRIM(PROPER(H:H))</f>
        <v>Uttar Pradesh</v>
      </c>
      <c r="AE480" t="str">
        <f>TRIM(PROPER(I:I))</f>
        <v>Noida</v>
      </c>
      <c r="AF480" t="str">
        <f>TRIM(PROPER(J:J))</f>
        <v>Technology</v>
      </c>
      <c r="AG480" t="str">
        <f t="shared" si="12"/>
        <v>Machines</v>
      </c>
      <c r="AH480" t="str">
        <f t="shared" si="12"/>
        <v>Classic Machines 561</v>
      </c>
      <c r="AI480" t="str">
        <f t="shared" si="12"/>
        <v>Same Day</v>
      </c>
      <c r="AJ480" s="3" t="str">
        <f t="shared" si="13"/>
        <v>anomaly</v>
      </c>
      <c r="AK480">
        <f>IFERROR(Y480-X480, "invalid date")</f>
        <v>-85</v>
      </c>
      <c r="AL480" s="10">
        <v>0.1</v>
      </c>
      <c r="AM480" s="11">
        <v>25702.173000000003</v>
      </c>
      <c r="AN480" s="11">
        <v>11130.693000000003</v>
      </c>
      <c r="AO480" s="10">
        <v>0.43306427826160854</v>
      </c>
      <c r="AP480" t="s">
        <v>4577</v>
      </c>
      <c r="AQ480" t="s">
        <v>4559</v>
      </c>
      <c r="AR480" t="s">
        <v>4134</v>
      </c>
      <c r="AS480" t="s">
        <v>4107</v>
      </c>
      <c r="AT480" t="s">
        <v>4115</v>
      </c>
      <c r="AU480">
        <v>-85</v>
      </c>
      <c r="AV480" t="s">
        <v>4109</v>
      </c>
    </row>
    <row r="481" spans="1:48">
      <c r="A481" t="s">
        <v>2351</v>
      </c>
      <c r="B481" t="s">
        <v>2352</v>
      </c>
      <c r="C481" t="s">
        <v>2097</v>
      </c>
      <c r="D481" t="s">
        <v>2353</v>
      </c>
      <c r="E481" t="s">
        <v>70</v>
      </c>
      <c r="F481" t="s">
        <v>117</v>
      </c>
      <c r="G481" t="s">
        <v>51</v>
      </c>
      <c r="H481" t="s">
        <v>52</v>
      </c>
      <c r="I481" t="s">
        <v>53</v>
      </c>
      <c r="J481" t="s">
        <v>54</v>
      </c>
      <c r="K481" t="s">
        <v>85</v>
      </c>
      <c r="L481" t="s">
        <v>2354</v>
      </c>
      <c r="M481" t="s">
        <v>42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43</v>
      </c>
      <c r="U481" t="s">
        <v>44</v>
      </c>
      <c r="W481" t="s">
        <v>2351</v>
      </c>
      <c r="X481" t="str">
        <v>23-02-24</v>
      </c>
      <c r="Y481" t="str">
        <v>20-02-24</v>
      </c>
      <c r="Z481" t="s">
        <v>2353</v>
      </c>
      <c r="AA481" t="str">
        <v>Arjun Bose</v>
      </c>
      <c r="AB481" t="str">
        <f>TRIM(PROPER(F:F))</f>
        <v>Corporate</v>
      </c>
      <c r="AC481" t="str">
        <f>TRIM(PROPER(G:G))</f>
        <v>East</v>
      </c>
      <c r="AD481" t="str">
        <f>TRIM(PROPER(H:H))</f>
        <v>Odisha</v>
      </c>
      <c r="AE481" t="str">
        <f>TRIM(PROPER(I:I))</f>
        <v>Bhubaneswar</v>
      </c>
      <c r="AF481" t="str">
        <f>TRIM(PROPER(J:J))</f>
        <v>Furniture</v>
      </c>
      <c r="AG481" t="str">
        <f t="shared" si="12"/>
        <v>Chairs</v>
      </c>
      <c r="AH481" t="str">
        <f t="shared" si="12"/>
        <v>Max Chairs 594</v>
      </c>
      <c r="AI481" t="str">
        <f t="shared" si="12"/>
        <v>Second Class</v>
      </c>
      <c r="AJ481" s="3" t="str">
        <f t="shared" si="13"/>
        <v xml:space="preserve">  </v>
      </c>
      <c r="AK481">
        <f>IFERROR(Y481-X481, "invalid date")</f>
        <v>-3</v>
      </c>
      <c r="AL481" s="10">
        <v>0</v>
      </c>
      <c r="AM481" s="11">
        <v>2202.5500000000002</v>
      </c>
      <c r="AN481" s="11">
        <v>1167.9800000000002</v>
      </c>
      <c r="AO481" s="10">
        <v>0.53028535107035035</v>
      </c>
      <c r="AP481" t="s">
        <v>4578</v>
      </c>
      <c r="AQ481" t="s">
        <v>4277</v>
      </c>
      <c r="AR481" t="s">
        <v>4129</v>
      </c>
      <c r="AS481" t="s">
        <v>4107</v>
      </c>
      <c r="AT481" t="s">
        <v>4121</v>
      </c>
      <c r="AU481">
        <v>-3</v>
      </c>
      <c r="AV481" t="s">
        <v>4109</v>
      </c>
    </row>
    <row r="482" spans="1:48">
      <c r="A482" t="s">
        <v>2355</v>
      </c>
      <c r="B482" t="s">
        <v>396</v>
      </c>
      <c r="C482" t="s">
        <v>2302</v>
      </c>
      <c r="D482" t="s">
        <v>2356</v>
      </c>
      <c r="E482" t="s">
        <v>102</v>
      </c>
      <c r="F482" t="s">
        <v>50</v>
      </c>
      <c r="G482" t="s">
        <v>71</v>
      </c>
      <c r="H482" t="s">
        <v>350</v>
      </c>
      <c r="I482" t="s">
        <v>351</v>
      </c>
      <c r="J482" t="s">
        <v>39</v>
      </c>
      <c r="K482" t="s">
        <v>165</v>
      </c>
      <c r="L482" t="s">
        <v>2357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43</v>
      </c>
      <c r="U482" t="s">
        <v>44</v>
      </c>
      <c r="W482" t="s">
        <v>2355</v>
      </c>
      <c r="X482" t="str">
        <v>05-01-25</v>
      </c>
      <c r="Y482" t="str">
        <v>09-01-25</v>
      </c>
      <c r="Z482" t="s">
        <v>2356</v>
      </c>
      <c r="AA482" t="str">
        <v>Neha Gupta</v>
      </c>
      <c r="AB482" t="str">
        <f>TRIM(PROPER(F:F))</f>
        <v>Small Business</v>
      </c>
      <c r="AC482" t="str">
        <f>TRIM(PROPER(G:G))</f>
        <v>South</v>
      </c>
      <c r="AD482" t="str">
        <f>TRIM(PROPER(H:H))</f>
        <v>Tamil Nadu</v>
      </c>
      <c r="AE482" t="str">
        <f>TRIM(PROPER(I:I))</f>
        <v>Chennai</v>
      </c>
      <c r="AF482" t="str">
        <f>TRIM(PROPER(J:J))</f>
        <v>Office Supplies</v>
      </c>
      <c r="AG482" t="str">
        <f t="shared" si="12"/>
        <v>Storage</v>
      </c>
      <c r="AH482" t="str">
        <f t="shared" si="12"/>
        <v>Eco Storage 923</v>
      </c>
      <c r="AI482" s="4" t="s">
        <v>282</v>
      </c>
      <c r="AJ482" s="3" t="str">
        <f t="shared" si="13"/>
        <v>anomaly</v>
      </c>
      <c r="AK482">
        <f>IFERROR(Y482-X482, "invalid date")</f>
        <v>4</v>
      </c>
      <c r="AL482" s="10">
        <v>0</v>
      </c>
      <c r="AM482" s="11">
        <v>4525.8</v>
      </c>
      <c r="AN482" s="11">
        <v>1811.29</v>
      </c>
      <c r="AO482" s="10">
        <v>0.40021432674886204</v>
      </c>
      <c r="AP482" t="s">
        <v>4210</v>
      </c>
      <c r="AQ482" t="s">
        <v>4311</v>
      </c>
      <c r="AR482" t="s">
        <v>4153</v>
      </c>
      <c r="AS482" t="s">
        <v>4120</v>
      </c>
      <c r="AT482" t="s">
        <v>4115</v>
      </c>
      <c r="AU482">
        <v>4</v>
      </c>
      <c r="AV482" t="s">
        <v>4109</v>
      </c>
    </row>
    <row r="483" spans="1:48">
      <c r="A483" t="s">
        <v>2358</v>
      </c>
      <c r="B483" t="s">
        <v>2359</v>
      </c>
      <c r="C483" t="s">
        <v>2360</v>
      </c>
      <c r="D483" t="s">
        <v>2361</v>
      </c>
      <c r="E483" t="s">
        <v>62</v>
      </c>
      <c r="F483" t="s">
        <v>35</v>
      </c>
      <c r="G483" t="s">
        <v>36</v>
      </c>
      <c r="H483" t="s">
        <v>183</v>
      </c>
      <c r="I483" t="s">
        <v>184</v>
      </c>
      <c r="J483" t="s">
        <v>95</v>
      </c>
      <c r="K483" t="s">
        <v>393</v>
      </c>
      <c r="L483" t="s">
        <v>2362</v>
      </c>
      <c r="M483" t="s">
        <v>57</v>
      </c>
      <c r="N483">
        <v>4</v>
      </c>
      <c r="O483">
        <v>2793.88</v>
      </c>
      <c r="P483" s="5" t="s">
        <v>191</v>
      </c>
      <c r="Q483">
        <v>10616.74</v>
      </c>
      <c r="R483">
        <v>6353.59</v>
      </c>
      <c r="S483">
        <v>4263.1499999999996</v>
      </c>
      <c r="T483" t="s">
        <v>43</v>
      </c>
      <c r="U483" t="s">
        <v>44</v>
      </c>
      <c r="W483" t="s">
        <v>2358</v>
      </c>
      <c r="X483" t="str">
        <v>05-06-25</v>
      </c>
      <c r="Y483" t="str">
        <v>invalid date</v>
      </c>
      <c r="Z483" t="s">
        <v>2361</v>
      </c>
      <c r="AA483" t="str">
        <v>Isha Nair</v>
      </c>
      <c r="AB483" t="str">
        <f>TRIM(PROPER(F:F))</f>
        <v>Consumer</v>
      </c>
      <c r="AC483" t="str">
        <f>TRIM(PROPER(G:G))</f>
        <v>North</v>
      </c>
      <c r="AD483" t="str">
        <f>TRIM(PROPER(H:H))</f>
        <v>Uttar Pradesh</v>
      </c>
      <c r="AE483" t="str">
        <f>TRIM(PROPER(I:I))</f>
        <v>Noida</v>
      </c>
      <c r="AF483" t="str">
        <f>TRIM(PROPER(J:J))</f>
        <v>Technology</v>
      </c>
      <c r="AG483" t="str">
        <f t="shared" si="12"/>
        <v>Machines</v>
      </c>
      <c r="AH483" t="str">
        <f t="shared" si="12"/>
        <v>Classic Machines 287</v>
      </c>
      <c r="AI483" t="str">
        <f t="shared" si="12"/>
        <v>Same Day</v>
      </c>
      <c r="AJ483" s="3" t="str">
        <f t="shared" si="13"/>
        <v>Invalid</v>
      </c>
      <c r="AK483" t="str">
        <f>IFERROR(Y483-X483, "invalid date")</f>
        <v>invalid date</v>
      </c>
      <c r="AL483" s="10" t="s">
        <v>191</v>
      </c>
      <c r="AM483" s="11" t="s">
        <v>4111</v>
      </c>
      <c r="AN483" s="11" t="s">
        <v>4111</v>
      </c>
      <c r="AO483" s="10" t="s">
        <v>4111</v>
      </c>
      <c r="AP483" t="s">
        <v>4579</v>
      </c>
      <c r="AQ483" t="s">
        <v>4105</v>
      </c>
      <c r="AR483" t="s">
        <v>4170</v>
      </c>
      <c r="AS483" t="s">
        <v>4120</v>
      </c>
      <c r="AT483" t="s">
        <v>4108</v>
      </c>
      <c r="AU483" t="s">
        <v>4105</v>
      </c>
      <c r="AV483" t="s">
        <v>4109</v>
      </c>
    </row>
    <row r="484" spans="1:48">
      <c r="A484" t="s">
        <v>2363</v>
      </c>
      <c r="B484" t="s">
        <v>273</v>
      </c>
      <c r="C484" t="s">
        <v>273</v>
      </c>
      <c r="D484" t="s">
        <v>2364</v>
      </c>
      <c r="E484" t="s">
        <v>151</v>
      </c>
      <c r="F484" t="s">
        <v>35</v>
      </c>
      <c r="G484" t="s">
        <v>71</v>
      </c>
      <c r="H484" t="s">
        <v>239</v>
      </c>
      <c r="I484" t="s">
        <v>240</v>
      </c>
      <c r="J484" t="s">
        <v>95</v>
      </c>
      <c r="K484" t="s">
        <v>96</v>
      </c>
      <c r="L484" t="s">
        <v>2365</v>
      </c>
      <c r="M484" t="s">
        <v>42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43</v>
      </c>
      <c r="U484" t="s">
        <v>44</v>
      </c>
      <c r="W484" t="s">
        <v>2363</v>
      </c>
      <c r="X484" t="str">
        <v>invalid date</v>
      </c>
      <c r="Y484" t="str">
        <v>invalid date</v>
      </c>
      <c r="Z484" t="s">
        <v>2364</v>
      </c>
      <c r="AA484" t="str">
        <v>Priya Menon</v>
      </c>
      <c r="AB484" t="str">
        <f>TRIM(PROPER(F:F))</f>
        <v>Consumer</v>
      </c>
      <c r="AC484" t="str">
        <f>TRIM(PROPER(G:G))</f>
        <v>South</v>
      </c>
      <c r="AD484" t="str">
        <f>TRIM(PROPER(H:H))</f>
        <v>Karnataka</v>
      </c>
      <c r="AE484" t="str">
        <f>TRIM(PROPER(I:I))</f>
        <v>Bengaluru</v>
      </c>
      <c r="AF484" t="str">
        <f>TRIM(PROPER(J:J))</f>
        <v>Technology</v>
      </c>
      <c r="AG484" t="str">
        <f t="shared" si="12"/>
        <v>Accessories</v>
      </c>
      <c r="AH484" t="str">
        <f t="shared" si="12"/>
        <v>Basic Accessories 518</v>
      </c>
      <c r="AI484" t="str">
        <f t="shared" si="12"/>
        <v>Second Class</v>
      </c>
      <c r="AJ484" s="3" t="str">
        <f t="shared" si="13"/>
        <v>Invalid</v>
      </c>
      <c r="AK484" t="str">
        <f>IFERROR(Y484-X484, "invalid date")</f>
        <v>invalid date</v>
      </c>
      <c r="AL484" s="10">
        <v>0.25</v>
      </c>
      <c r="AM484" s="11">
        <v>2893.9949999999999</v>
      </c>
      <c r="AN484" s="11">
        <v>1037.9649999999999</v>
      </c>
      <c r="AO484" s="10">
        <v>0.35866164247001114</v>
      </c>
      <c r="AP484" t="s">
        <v>4105</v>
      </c>
      <c r="AQ484" t="s">
        <v>4105</v>
      </c>
      <c r="AR484" t="s">
        <v>4105</v>
      </c>
      <c r="AS484" t="s">
        <v>4105</v>
      </c>
      <c r="AT484" t="s">
        <v>4108</v>
      </c>
      <c r="AU484" t="s">
        <v>4105</v>
      </c>
      <c r="AV484" t="s">
        <v>4109</v>
      </c>
    </row>
    <row r="485" spans="1:48">
      <c r="A485" t="s">
        <v>2366</v>
      </c>
      <c r="B485" t="s">
        <v>1414</v>
      </c>
      <c r="C485" t="s">
        <v>2367</v>
      </c>
      <c r="D485" t="s">
        <v>2368</v>
      </c>
      <c r="E485" t="s">
        <v>49</v>
      </c>
      <c r="F485" t="s">
        <v>117</v>
      </c>
      <c r="G485" t="s">
        <v>51</v>
      </c>
      <c r="H485" t="s">
        <v>196</v>
      </c>
      <c r="I485" t="s">
        <v>197</v>
      </c>
      <c r="J485" t="s">
        <v>95</v>
      </c>
      <c r="K485" t="s">
        <v>103</v>
      </c>
      <c r="L485" t="s">
        <v>2369</v>
      </c>
      <c r="M485" t="s">
        <v>76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43</v>
      </c>
      <c r="U485" t="s">
        <v>44</v>
      </c>
      <c r="W485" t="s">
        <v>2366</v>
      </c>
      <c r="X485" t="str">
        <v>25-12-24</v>
      </c>
      <c r="Y485" t="str">
        <v>25-12-24</v>
      </c>
      <c r="Z485" t="s">
        <v>2368</v>
      </c>
      <c r="AA485" t="str">
        <v>Mira Das</v>
      </c>
      <c r="AB485" t="str">
        <f>TRIM(PROPER(F:F))</f>
        <v>Corporate</v>
      </c>
      <c r="AC485" t="str">
        <f>TRIM(PROPER(G:G))</f>
        <v>East</v>
      </c>
      <c r="AD485" t="str">
        <f>TRIM(PROPER(H:H))</f>
        <v>Bihar</v>
      </c>
      <c r="AE485" t="str">
        <f>TRIM(PROPER(I:I))</f>
        <v>Patna</v>
      </c>
      <c r="AF485" t="str">
        <f>TRIM(PROPER(J:J))</f>
        <v>Technology</v>
      </c>
      <c r="AG485" t="str">
        <f t="shared" si="12"/>
        <v>Copiers</v>
      </c>
      <c r="AH485" t="str">
        <f t="shared" si="12"/>
        <v>Pro Copiers 984</v>
      </c>
      <c r="AI485" t="str">
        <f t="shared" si="12"/>
        <v>Standard Class</v>
      </c>
      <c r="AJ485" s="3" t="str">
        <f t="shared" si="13"/>
        <v xml:space="preserve">  </v>
      </c>
      <c r="AK485">
        <f>IFERROR(Y485-X485, "invalid date")</f>
        <v>0</v>
      </c>
      <c r="AL485" s="10">
        <v>0.15</v>
      </c>
      <c r="AM485" s="11">
        <v>705.2109999999999</v>
      </c>
      <c r="AN485" s="11">
        <v>266.89099999999991</v>
      </c>
      <c r="AO485" s="10">
        <v>0.37845552607659261</v>
      </c>
      <c r="AP485" t="s">
        <v>4435</v>
      </c>
      <c r="AQ485" t="s">
        <v>4435</v>
      </c>
      <c r="AR485" t="s">
        <v>4139</v>
      </c>
      <c r="AS485" t="s">
        <v>4107</v>
      </c>
      <c r="AT485" t="s">
        <v>4115</v>
      </c>
      <c r="AU485">
        <v>0</v>
      </c>
      <c r="AV485" t="s">
        <v>4109</v>
      </c>
    </row>
    <row r="486" spans="1:48">
      <c r="A486" t="s">
        <v>2370</v>
      </c>
      <c r="B486" t="s">
        <v>2371</v>
      </c>
      <c r="C486" t="s">
        <v>2372</v>
      </c>
      <c r="D486" t="s">
        <v>2373</v>
      </c>
      <c r="E486" t="s">
        <v>49</v>
      </c>
      <c r="F486" t="s">
        <v>50</v>
      </c>
      <c r="G486" t="s">
        <v>71</v>
      </c>
      <c r="H486" t="s">
        <v>109</v>
      </c>
      <c r="I486" t="s">
        <v>110</v>
      </c>
      <c r="J486" t="s">
        <v>54</v>
      </c>
      <c r="K486" t="s">
        <v>74</v>
      </c>
      <c r="L486" t="s">
        <v>2374</v>
      </c>
      <c r="M486" t="s">
        <v>65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43</v>
      </c>
      <c r="U486" t="s">
        <v>44</v>
      </c>
      <c r="W486" t="s">
        <v>2370</v>
      </c>
      <c r="X486" t="str">
        <v>28-12-24</v>
      </c>
      <c r="Y486" t="str">
        <v>invalid date</v>
      </c>
      <c r="Z486" t="s">
        <v>2373</v>
      </c>
      <c r="AA486" t="str">
        <v>Mira Das</v>
      </c>
      <c r="AB486" t="str">
        <f>TRIM(PROPER(F:F))</f>
        <v>Small Business</v>
      </c>
      <c r="AC486" t="str">
        <f>TRIM(PROPER(G:G))</f>
        <v>South</v>
      </c>
      <c r="AD486" t="str">
        <f>TRIM(PROPER(H:H))</f>
        <v>Andhra Pradesh</v>
      </c>
      <c r="AE486" t="str">
        <f>TRIM(PROPER(I:I))</f>
        <v>Vijayawada</v>
      </c>
      <c r="AF486" t="str">
        <f>TRIM(PROPER(J:J))</f>
        <v>Furniture</v>
      </c>
      <c r="AG486" t="str">
        <f t="shared" si="12"/>
        <v>Furnishings</v>
      </c>
      <c r="AH486" t="str">
        <f t="shared" si="12"/>
        <v>Max Furnishings 297</v>
      </c>
      <c r="AI486" t="str">
        <f t="shared" si="12"/>
        <v>First Class</v>
      </c>
      <c r="AJ486" s="3" t="str">
        <f t="shared" si="13"/>
        <v>Invalid</v>
      </c>
      <c r="AK486" t="str">
        <f>IFERROR(Y486-X486, "invalid date")</f>
        <v>invalid date</v>
      </c>
      <c r="AL486" s="10">
        <v>0.25</v>
      </c>
      <c r="AM486" s="11">
        <v>16385.489999999998</v>
      </c>
      <c r="AN486" s="11">
        <v>2706.2499999999982</v>
      </c>
      <c r="AO486" s="10">
        <v>0.16516137143289572</v>
      </c>
      <c r="AP486" t="s">
        <v>4580</v>
      </c>
      <c r="AQ486" t="s">
        <v>4105</v>
      </c>
      <c r="AR486" t="s">
        <v>4139</v>
      </c>
      <c r="AS486" t="s">
        <v>4107</v>
      </c>
      <c r="AT486" t="s">
        <v>4108</v>
      </c>
      <c r="AU486" t="s">
        <v>4105</v>
      </c>
      <c r="AV486" t="s">
        <v>4109</v>
      </c>
    </row>
    <row r="487" spans="1:48">
      <c r="A487" t="s">
        <v>2375</v>
      </c>
      <c r="B487" t="s">
        <v>1846</v>
      </c>
      <c r="C487" t="s">
        <v>194</v>
      </c>
      <c r="D487" t="s">
        <v>2376</v>
      </c>
      <c r="E487" t="s">
        <v>157</v>
      </c>
      <c r="F487" t="s">
        <v>117</v>
      </c>
      <c r="G487" t="s">
        <v>82</v>
      </c>
      <c r="H487" t="s">
        <v>259</v>
      </c>
      <c r="I487" t="s">
        <v>260</v>
      </c>
      <c r="J487" t="s">
        <v>54</v>
      </c>
      <c r="K487" t="s">
        <v>214</v>
      </c>
      <c r="L487" t="s">
        <v>2377</v>
      </c>
      <c r="M487" t="s">
        <v>76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43</v>
      </c>
      <c r="U487" t="s">
        <v>44</v>
      </c>
      <c r="W487" t="s">
        <v>2375</v>
      </c>
      <c r="X487" t="str">
        <v>22-01-25</v>
      </c>
      <c r="Y487" t="str">
        <v>23-01-25</v>
      </c>
      <c r="Z487" t="s">
        <v>2376</v>
      </c>
      <c r="AA487" t="str">
        <v>Rahul Verma</v>
      </c>
      <c r="AB487" t="str">
        <f>TRIM(PROPER(F:F))</f>
        <v>Corporate</v>
      </c>
      <c r="AC487" t="str">
        <f>TRIM(PROPER(G:G))</f>
        <v>West</v>
      </c>
      <c r="AD487" t="str">
        <f>TRIM(PROPER(H:H))</f>
        <v>Goa</v>
      </c>
      <c r="AE487" t="str">
        <f>TRIM(PROPER(I:I))</f>
        <v>Panaji</v>
      </c>
      <c r="AF487" t="str">
        <f>TRIM(PROPER(J:J))</f>
        <v>Furniture</v>
      </c>
      <c r="AG487" t="str">
        <f t="shared" si="12"/>
        <v>Bookcases</v>
      </c>
      <c r="AH487" t="str">
        <f t="shared" si="12"/>
        <v>Elite Bookcases 802</v>
      </c>
      <c r="AI487" t="str">
        <f t="shared" si="12"/>
        <v>Standard Class</v>
      </c>
      <c r="AJ487" s="3" t="str">
        <f t="shared" si="13"/>
        <v>anomaly</v>
      </c>
      <c r="AK487">
        <f>IFERROR(Y487-X487, "invalid date")</f>
        <v>1</v>
      </c>
      <c r="AL487" s="10">
        <v>0.25</v>
      </c>
      <c r="AM487" s="11">
        <v>7665.57</v>
      </c>
      <c r="AN487" s="11">
        <v>2069.9699999999993</v>
      </c>
      <c r="AO487" s="10">
        <v>0.27003471366121495</v>
      </c>
      <c r="AP487" t="s">
        <v>4511</v>
      </c>
      <c r="AQ487" t="s">
        <v>4152</v>
      </c>
      <c r="AR487" t="s">
        <v>4153</v>
      </c>
      <c r="AS487" t="s">
        <v>4120</v>
      </c>
      <c r="AT487" t="s">
        <v>4115</v>
      </c>
      <c r="AU487">
        <v>1</v>
      </c>
      <c r="AV487" t="s">
        <v>4109</v>
      </c>
    </row>
    <row r="488" spans="1:48">
      <c r="A488" t="s">
        <v>2378</v>
      </c>
      <c r="B488" t="s">
        <v>2379</v>
      </c>
      <c r="C488" t="s">
        <v>2380</v>
      </c>
      <c r="D488" t="s">
        <v>2381</v>
      </c>
      <c r="E488" t="s">
        <v>157</v>
      </c>
      <c r="F488" t="s">
        <v>117</v>
      </c>
      <c r="G488" t="s">
        <v>82</v>
      </c>
      <c r="H488" t="s">
        <v>259</v>
      </c>
      <c r="I488" t="s">
        <v>260</v>
      </c>
      <c r="J488" t="s">
        <v>54</v>
      </c>
      <c r="K488" t="s">
        <v>55</v>
      </c>
      <c r="L488" t="s">
        <v>2382</v>
      </c>
      <c r="M488" t="s">
        <v>76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43</v>
      </c>
      <c r="U488" t="s">
        <v>44</v>
      </c>
      <c r="W488" t="s">
        <v>2378</v>
      </c>
      <c r="X488" t="str">
        <v>22-06-25</v>
      </c>
      <c r="Y488" t="str">
        <v>invalid date</v>
      </c>
      <c r="Z488" t="s">
        <v>2381</v>
      </c>
      <c r="AA488" t="str">
        <v>Rahul Verma</v>
      </c>
      <c r="AB488" t="str">
        <f>TRIM(PROPER(F:F))</f>
        <v>Corporate</v>
      </c>
      <c r="AC488" t="str">
        <f>TRIM(PROPER(G:G))</f>
        <v>West</v>
      </c>
      <c r="AD488" t="str">
        <f>TRIM(PROPER(H:H))</f>
        <v>Goa</v>
      </c>
      <c r="AE488" t="str">
        <f>TRIM(PROPER(I:I))</f>
        <v>Panaji</v>
      </c>
      <c r="AF488" t="str">
        <f>TRIM(PROPER(J:J))</f>
        <v>Furniture</v>
      </c>
      <c r="AG488" t="str">
        <f t="shared" si="12"/>
        <v>Tables</v>
      </c>
      <c r="AH488" t="str">
        <f t="shared" si="12"/>
        <v>Pro Tables 257</v>
      </c>
      <c r="AI488" t="str">
        <f t="shared" si="12"/>
        <v>Standard Class</v>
      </c>
      <c r="AJ488" s="3" t="str">
        <f t="shared" si="13"/>
        <v>Invalid</v>
      </c>
      <c r="AK488" t="str">
        <f>IFERROR(Y488-X488, "invalid date")</f>
        <v>invalid date</v>
      </c>
      <c r="AL488" s="10">
        <v>0.2</v>
      </c>
      <c r="AM488" s="11">
        <v>4670.8320000000003</v>
      </c>
      <c r="AN488" s="11">
        <v>1504.3420000000006</v>
      </c>
      <c r="AO488" s="10">
        <v>0.3220715281560117</v>
      </c>
      <c r="AP488" t="s">
        <v>4482</v>
      </c>
      <c r="AQ488" t="s">
        <v>4105</v>
      </c>
      <c r="AR488" t="s">
        <v>4170</v>
      </c>
      <c r="AS488" t="s">
        <v>4120</v>
      </c>
      <c r="AT488" t="s">
        <v>4108</v>
      </c>
      <c r="AU488" t="s">
        <v>4105</v>
      </c>
      <c r="AV488" t="s">
        <v>4109</v>
      </c>
    </row>
    <row r="489" spans="1:48">
      <c r="A489" t="s">
        <v>2383</v>
      </c>
      <c r="B489" t="s">
        <v>1977</v>
      </c>
      <c r="C489" t="s">
        <v>2384</v>
      </c>
      <c r="D489" t="s">
        <v>2385</v>
      </c>
      <c r="E489" t="s">
        <v>157</v>
      </c>
      <c r="F489" t="s">
        <v>117</v>
      </c>
      <c r="G489" t="s">
        <v>71</v>
      </c>
      <c r="H489" t="s">
        <v>72</v>
      </c>
      <c r="I489" t="s">
        <v>73</v>
      </c>
      <c r="J489" t="s">
        <v>54</v>
      </c>
      <c r="K489" t="s">
        <v>74</v>
      </c>
      <c r="L489" t="s">
        <v>2386</v>
      </c>
      <c r="M489" t="s">
        <v>76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133</v>
      </c>
      <c r="U489" t="s">
        <v>134</v>
      </c>
      <c r="W489" t="s">
        <v>2383</v>
      </c>
      <c r="X489" t="str">
        <v>10-06-25</v>
      </c>
      <c r="Y489" t="str">
        <v>invalid date</v>
      </c>
      <c r="Z489" t="s">
        <v>2385</v>
      </c>
      <c r="AA489" t="str">
        <v>Rahul Verma</v>
      </c>
      <c r="AB489" t="str">
        <f>TRIM(PROPER(F:F))</f>
        <v>Corporate</v>
      </c>
      <c r="AC489" t="str">
        <f>TRIM(PROPER(G:G))</f>
        <v>South</v>
      </c>
      <c r="AD489" t="str">
        <f>TRIM(PROPER(H:H))</f>
        <v>Telangana</v>
      </c>
      <c r="AE489" t="str">
        <f>TRIM(PROPER(I:I))</f>
        <v>Hyderabad</v>
      </c>
      <c r="AF489" t="str">
        <f>TRIM(PROPER(J:J))</f>
        <v>Furniture</v>
      </c>
      <c r="AG489" t="str">
        <f>TRIM(PROPER(K:K))</f>
        <v>Furnishings</v>
      </c>
      <c r="AH489" t="str">
        <f>TRIM(PROPER(L:L))</f>
        <v>Prime Furnishings 299</v>
      </c>
      <c r="AI489" t="str">
        <f>TRIM(PROPER(M:M))</f>
        <v>Standard Class</v>
      </c>
      <c r="AJ489" s="3" t="str">
        <f t="shared" si="13"/>
        <v>Invalid</v>
      </c>
      <c r="AK489" t="str">
        <f>IFERROR(Y489-X489, "invalid date")</f>
        <v>invalid date</v>
      </c>
      <c r="AL489" s="10">
        <v>0</v>
      </c>
      <c r="AM489" s="11">
        <v>6155.5</v>
      </c>
      <c r="AN489" s="11">
        <v>1873.4099999999999</v>
      </c>
      <c r="AO489" s="10">
        <v>0.3043473316546178</v>
      </c>
      <c r="AP489" t="s">
        <v>4334</v>
      </c>
      <c r="AQ489" t="s">
        <v>4105</v>
      </c>
      <c r="AR489" t="s">
        <v>4170</v>
      </c>
      <c r="AS489" t="s">
        <v>4120</v>
      </c>
      <c r="AT489" t="s">
        <v>4108</v>
      </c>
      <c r="AU489" t="s">
        <v>4105</v>
      </c>
      <c r="AV489" t="s">
        <v>4109</v>
      </c>
    </row>
    <row r="490" spans="1:48">
      <c r="A490" t="s">
        <v>2387</v>
      </c>
      <c r="B490" t="s">
        <v>2388</v>
      </c>
      <c r="C490" t="s">
        <v>2389</v>
      </c>
      <c r="D490" t="s">
        <v>2390</v>
      </c>
      <c r="E490" t="s">
        <v>116</v>
      </c>
      <c r="F490" t="s">
        <v>50</v>
      </c>
      <c r="G490" t="s">
        <v>36</v>
      </c>
      <c r="H490" t="s">
        <v>37</v>
      </c>
      <c r="I490" t="s">
        <v>38</v>
      </c>
      <c r="J490" t="s">
        <v>54</v>
      </c>
      <c r="K490" t="s">
        <v>55</v>
      </c>
      <c r="L490" t="s">
        <v>2391</v>
      </c>
      <c r="M490" t="s">
        <v>57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43</v>
      </c>
      <c r="U490" t="s">
        <v>44</v>
      </c>
      <c r="W490" t="s">
        <v>2387</v>
      </c>
      <c r="X490" t="str">
        <v>14-10-24</v>
      </c>
      <c r="Y490" t="str">
        <v>20-10-24</v>
      </c>
      <c r="Z490" t="s">
        <v>2390</v>
      </c>
      <c r="AA490" t="str">
        <v>Aditi Sen</v>
      </c>
      <c r="AB490" t="str">
        <f>TRIM(PROPER(F:F))</f>
        <v>Small Business</v>
      </c>
      <c r="AC490" t="str">
        <f>TRIM(PROPER(G:G))</f>
        <v>North</v>
      </c>
      <c r="AD490" t="str">
        <f>TRIM(PROPER(H:H))</f>
        <v>Rajasthan</v>
      </c>
      <c r="AE490" t="str">
        <f>TRIM(PROPER(I:I))</f>
        <v>Jaipur</v>
      </c>
      <c r="AF490" t="str">
        <f>TRIM(PROPER(J:J))</f>
        <v>Furniture</v>
      </c>
      <c r="AG490" t="str">
        <f>TRIM(PROPER(K:K))</f>
        <v>Tables</v>
      </c>
      <c r="AH490" t="str">
        <f>TRIM(PROPER(L:L))</f>
        <v>Eco Tables 487</v>
      </c>
      <c r="AI490" t="str">
        <f>TRIM(PROPER(M:M))</f>
        <v>Same Day</v>
      </c>
      <c r="AJ490" s="3" t="str">
        <f t="shared" si="13"/>
        <v>anomaly</v>
      </c>
      <c r="AK490">
        <f>IFERROR(Y490-X490, "invalid date")</f>
        <v>6</v>
      </c>
      <c r="AL490" s="10">
        <v>0.2</v>
      </c>
      <c r="AM490" s="11">
        <v>8666.56</v>
      </c>
      <c r="AN490" s="11">
        <v>2699.12</v>
      </c>
      <c r="AO490" s="10">
        <v>0.31144075619392242</v>
      </c>
      <c r="AP490" t="s">
        <v>4402</v>
      </c>
      <c r="AQ490" t="s">
        <v>4581</v>
      </c>
      <c r="AR490" t="s">
        <v>4126</v>
      </c>
      <c r="AS490" t="s">
        <v>4107</v>
      </c>
      <c r="AT490" t="s">
        <v>4115</v>
      </c>
      <c r="AU490">
        <v>6</v>
      </c>
      <c r="AV490" t="s">
        <v>4109</v>
      </c>
    </row>
    <row r="491" spans="1:48">
      <c r="A491" t="s">
        <v>2392</v>
      </c>
      <c r="B491" t="s">
        <v>401</v>
      </c>
      <c r="C491" t="s">
        <v>2393</v>
      </c>
      <c r="D491" t="s">
        <v>2394</v>
      </c>
      <c r="E491" t="s">
        <v>70</v>
      </c>
      <c r="F491" t="s">
        <v>124</v>
      </c>
      <c r="G491" t="s">
        <v>51</v>
      </c>
      <c r="H491" t="s">
        <v>130</v>
      </c>
      <c r="I491" t="s">
        <v>131</v>
      </c>
      <c r="J491" t="s">
        <v>95</v>
      </c>
      <c r="K491" t="s">
        <v>96</v>
      </c>
      <c r="L491" t="s">
        <v>2395</v>
      </c>
      <c r="M491" t="s">
        <v>42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43</v>
      </c>
      <c r="U491" t="s">
        <v>44</v>
      </c>
      <c r="W491" t="s">
        <v>2392</v>
      </c>
      <c r="X491" t="str">
        <v>07-02-24</v>
      </c>
      <c r="Y491" t="str">
        <v>12-02-24</v>
      </c>
      <c r="Z491" t="s">
        <v>2394</v>
      </c>
      <c r="AA491" t="str">
        <v>Arjun Bose</v>
      </c>
      <c r="AB491" t="str">
        <f>TRIM(PROPER(F:F))</f>
        <v>Home Office</v>
      </c>
      <c r="AC491" t="str">
        <f>TRIM(PROPER(G:G))</f>
        <v>East</v>
      </c>
      <c r="AD491" t="str">
        <f>TRIM(PROPER(H:H))</f>
        <v>West Bengal</v>
      </c>
      <c r="AE491" t="str">
        <f>TRIM(PROPER(I:I))</f>
        <v>Kolkata</v>
      </c>
      <c r="AF491" t="str">
        <f>TRIM(PROPER(J:J))</f>
        <v>Technology</v>
      </c>
      <c r="AG491" t="str">
        <f>TRIM(PROPER(K:K))</f>
        <v>Accessories</v>
      </c>
      <c r="AH491" t="str">
        <f>TRIM(PROPER(L:L))</f>
        <v>Prime Accessories 960</v>
      </c>
      <c r="AI491" t="str">
        <f>TRIM(PROPER(M:M))</f>
        <v>Second Class</v>
      </c>
      <c r="AJ491" s="3" t="str">
        <f t="shared" si="13"/>
        <v>anomaly</v>
      </c>
      <c r="AK491">
        <f>IFERROR(Y491-X491, "invalid date")</f>
        <v>5</v>
      </c>
      <c r="AL491" s="10">
        <v>0.2</v>
      </c>
      <c r="AM491" s="11">
        <v>361.75200000000001</v>
      </c>
      <c r="AN491" s="11">
        <v>99.222000000000037</v>
      </c>
      <c r="AO491" s="10">
        <v>0.27428182843495003</v>
      </c>
      <c r="AP491" t="s">
        <v>4212</v>
      </c>
      <c r="AQ491" t="s">
        <v>4286</v>
      </c>
      <c r="AR491" t="s">
        <v>4129</v>
      </c>
      <c r="AS491" t="s">
        <v>4107</v>
      </c>
      <c r="AT491" t="s">
        <v>4115</v>
      </c>
      <c r="AU491">
        <v>5</v>
      </c>
      <c r="AV491" t="s">
        <v>4109</v>
      </c>
    </row>
    <row r="492" spans="1:48">
      <c r="A492" t="s">
        <v>2396</v>
      </c>
      <c r="B492" t="s">
        <v>2397</v>
      </c>
      <c r="C492" t="s">
        <v>1898</v>
      </c>
      <c r="D492" t="s">
        <v>2398</v>
      </c>
      <c r="E492" t="s">
        <v>116</v>
      </c>
      <c r="F492" t="s">
        <v>35</v>
      </c>
      <c r="G492" t="s">
        <v>82</v>
      </c>
      <c r="H492" t="s">
        <v>37</v>
      </c>
      <c r="I492" t="s">
        <v>144</v>
      </c>
      <c r="J492" t="s">
        <v>39</v>
      </c>
      <c r="K492" t="s">
        <v>208</v>
      </c>
      <c r="L492" t="s">
        <v>2399</v>
      </c>
      <c r="M492" t="s">
        <v>65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43</v>
      </c>
      <c r="U492" t="s">
        <v>44</v>
      </c>
      <c r="W492" t="s">
        <v>2396</v>
      </c>
      <c r="X492" t="str">
        <v>16-09-24</v>
      </c>
      <c r="Y492" t="str">
        <v>invalid date</v>
      </c>
      <c r="Z492" t="s">
        <v>2398</v>
      </c>
      <c r="AA492" t="str">
        <v>Aditi Sen</v>
      </c>
      <c r="AB492" t="str">
        <f>TRIM(PROPER(F:F))</f>
        <v>Consumer</v>
      </c>
      <c r="AC492" t="str">
        <f>TRIM(PROPER(G:G))</f>
        <v>West</v>
      </c>
      <c r="AD492" t="str">
        <f>TRIM(PROPER(H:H))</f>
        <v>Rajasthan</v>
      </c>
      <c r="AE492" t="str">
        <f>TRIM(PROPER(I:I))</f>
        <v>Udaipur</v>
      </c>
      <c r="AF492" t="str">
        <f>TRIM(PROPER(J:J))</f>
        <v>Office Supplies</v>
      </c>
      <c r="AG492" t="str">
        <f>TRIM(PROPER(K:K))</f>
        <v>Binders</v>
      </c>
      <c r="AH492" t="str">
        <f>TRIM(PROPER(L:L))</f>
        <v>Smart Binders 191</v>
      </c>
      <c r="AI492" t="str">
        <f>TRIM(PROPER(M:M))</f>
        <v>First Class</v>
      </c>
      <c r="AJ492" s="3" t="str">
        <f t="shared" si="13"/>
        <v>Invalid</v>
      </c>
      <c r="AK492" t="str">
        <f>IFERROR(Y492-X492, "invalid date")</f>
        <v>invalid date</v>
      </c>
      <c r="AL492" s="10">
        <v>0.15</v>
      </c>
      <c r="AM492" s="11">
        <v>2418.1990000000001</v>
      </c>
      <c r="AN492" s="11">
        <v>804.37900000000013</v>
      </c>
      <c r="AO492" s="10">
        <v>0.33263556886757462</v>
      </c>
      <c r="AP492" t="s">
        <v>4582</v>
      </c>
      <c r="AQ492" t="s">
        <v>4105</v>
      </c>
      <c r="AR492" t="s">
        <v>4134</v>
      </c>
      <c r="AS492" t="s">
        <v>4107</v>
      </c>
      <c r="AT492" t="s">
        <v>4108</v>
      </c>
      <c r="AU492" t="s">
        <v>4105</v>
      </c>
      <c r="AV492" t="s">
        <v>4109</v>
      </c>
    </row>
    <row r="493" spans="1:48">
      <c r="A493" t="s">
        <v>2400</v>
      </c>
      <c r="B493" t="s">
        <v>1987</v>
      </c>
      <c r="C493" t="s">
        <v>2401</v>
      </c>
      <c r="D493" t="s">
        <v>2402</v>
      </c>
      <c r="E493" t="s">
        <v>49</v>
      </c>
      <c r="F493" t="s">
        <v>117</v>
      </c>
      <c r="G493" t="s">
        <v>71</v>
      </c>
      <c r="H493" t="s">
        <v>252</v>
      </c>
      <c r="I493" t="s">
        <v>253</v>
      </c>
      <c r="J493" t="s">
        <v>95</v>
      </c>
      <c r="K493" t="s">
        <v>96</v>
      </c>
      <c r="L493" t="s">
        <v>2403</v>
      </c>
      <c r="M493" t="s">
        <v>76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43</v>
      </c>
      <c r="U493" t="s">
        <v>44</v>
      </c>
      <c r="W493" t="s">
        <v>2400</v>
      </c>
      <c r="X493" t="str">
        <v>29-04-25</v>
      </c>
      <c r="Y493" t="str">
        <v>30-04-25</v>
      </c>
      <c r="Z493" t="s">
        <v>2402</v>
      </c>
      <c r="AA493" t="str">
        <v>Mira Das</v>
      </c>
      <c r="AB493" t="str">
        <f>TRIM(PROPER(F:F))</f>
        <v>Corporate</v>
      </c>
      <c r="AC493" t="str">
        <f>TRIM(PROPER(G:G))</f>
        <v>South</v>
      </c>
      <c r="AD493" t="str">
        <f>TRIM(PROPER(H:H))</f>
        <v>Kerala</v>
      </c>
      <c r="AE493" t="str">
        <f>TRIM(PROPER(I:I))</f>
        <v>Kochi</v>
      </c>
      <c r="AF493" t="str">
        <f>TRIM(PROPER(J:J))</f>
        <v>Technology</v>
      </c>
      <c r="AG493" t="str">
        <f>TRIM(PROPER(K:K))</f>
        <v>Accessories</v>
      </c>
      <c r="AH493" t="str">
        <f>TRIM(PROPER(L:L))</f>
        <v>Prime Accessories 118</v>
      </c>
      <c r="AI493" t="str">
        <f>TRIM(PROPER(M:M))</f>
        <v>Standard Class</v>
      </c>
      <c r="AJ493" s="3" t="str">
        <f t="shared" si="13"/>
        <v>anomaly</v>
      </c>
      <c r="AK493">
        <f>IFERROR(Y493-X493, "invalid date")</f>
        <v>1</v>
      </c>
      <c r="AL493" s="10">
        <v>0.2</v>
      </c>
      <c r="AM493" s="11">
        <v>1941.0560000000003</v>
      </c>
      <c r="AN493" s="11">
        <v>733.63600000000019</v>
      </c>
      <c r="AO493" s="10">
        <v>0.37795715321969076</v>
      </c>
      <c r="AP493" t="s">
        <v>4530</v>
      </c>
      <c r="AQ493" t="s">
        <v>4583</v>
      </c>
      <c r="AR493" t="s">
        <v>4199</v>
      </c>
      <c r="AS493" t="s">
        <v>4120</v>
      </c>
      <c r="AT493" t="s">
        <v>4115</v>
      </c>
      <c r="AU493">
        <v>1</v>
      </c>
      <c r="AV493" t="s">
        <v>4109</v>
      </c>
    </row>
    <row r="494" spans="1:48">
      <c r="A494" t="s">
        <v>2404</v>
      </c>
      <c r="B494" t="s">
        <v>2405</v>
      </c>
      <c r="C494" t="s">
        <v>2406</v>
      </c>
      <c r="D494" t="s">
        <v>2407</v>
      </c>
      <c r="E494" t="s">
        <v>81</v>
      </c>
      <c r="F494" t="s">
        <v>117</v>
      </c>
      <c r="G494" t="s">
        <v>71</v>
      </c>
      <c r="H494" t="s">
        <v>109</v>
      </c>
      <c r="I494" t="s">
        <v>110</v>
      </c>
      <c r="J494" t="s">
        <v>39</v>
      </c>
      <c r="K494" t="s">
        <v>165</v>
      </c>
      <c r="L494" t="s">
        <v>2408</v>
      </c>
      <c r="M494" t="s">
        <v>42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43</v>
      </c>
      <c r="U494" t="s">
        <v>44</v>
      </c>
      <c r="W494" t="s">
        <v>2404</v>
      </c>
      <c r="X494" t="str">
        <v>28-06-25</v>
      </c>
      <c r="Y494" t="str">
        <v>07-02-25</v>
      </c>
      <c r="Z494" t="s">
        <v>2407</v>
      </c>
      <c r="AA494" t="str">
        <v>Ananya Rao</v>
      </c>
      <c r="AB494" t="str">
        <f>TRIM(PROPER(F:F))</f>
        <v>Corporate</v>
      </c>
      <c r="AC494" t="str">
        <f>TRIM(PROPER(G:G))</f>
        <v>South</v>
      </c>
      <c r="AD494" t="str">
        <f>TRIM(PROPER(H:H))</f>
        <v>Andhra Pradesh</v>
      </c>
      <c r="AE494" t="str">
        <f>TRIM(PROPER(I:I))</f>
        <v>Vijayawada</v>
      </c>
      <c r="AF494" t="str">
        <f>TRIM(PROPER(J:J))</f>
        <v>Office Supplies</v>
      </c>
      <c r="AG494" t="str">
        <f>TRIM(PROPER(K:K))</f>
        <v>Storage</v>
      </c>
      <c r="AH494" t="str">
        <f>TRIM(PROPER(L:L))</f>
        <v>Elite Storage 331</v>
      </c>
      <c r="AI494" t="str">
        <f>TRIM(PROPER(M:M))</f>
        <v>Second Class</v>
      </c>
      <c r="AJ494" s="3" t="str">
        <f t="shared" si="13"/>
        <v xml:space="preserve">  </v>
      </c>
      <c r="AK494">
        <f>IFERROR(Y494-X494, "invalid date")</f>
        <v>-141</v>
      </c>
      <c r="AL494" s="10">
        <v>0.25</v>
      </c>
      <c r="AM494" s="11">
        <v>4088.16</v>
      </c>
      <c r="AN494" s="11">
        <v>882.48</v>
      </c>
      <c r="AO494" s="10">
        <v>0.21586239286133616</v>
      </c>
      <c r="AP494" t="s">
        <v>4398</v>
      </c>
      <c r="AQ494" t="s">
        <v>4226</v>
      </c>
      <c r="AR494" t="s">
        <v>4170</v>
      </c>
      <c r="AS494" t="s">
        <v>4120</v>
      </c>
      <c r="AT494" t="s">
        <v>4121</v>
      </c>
      <c r="AU494">
        <v>-141</v>
      </c>
      <c r="AV494" t="s">
        <v>4109</v>
      </c>
    </row>
    <row r="495" spans="1:48">
      <c r="A495" t="s">
        <v>2409</v>
      </c>
      <c r="B495" t="s">
        <v>1424</v>
      </c>
      <c r="C495" t="s">
        <v>2410</v>
      </c>
      <c r="D495" t="s">
        <v>2411</v>
      </c>
      <c r="E495" t="s">
        <v>377</v>
      </c>
      <c r="F495" t="s">
        <v>117</v>
      </c>
      <c r="G495" t="s">
        <v>51</v>
      </c>
      <c r="H495" t="s">
        <v>52</v>
      </c>
      <c r="I495" t="s">
        <v>53</v>
      </c>
      <c r="J495" t="s">
        <v>39</v>
      </c>
      <c r="K495" t="s">
        <v>40</v>
      </c>
      <c r="L495" t="s">
        <v>2412</v>
      </c>
      <c r="M495" t="s">
        <v>42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43</v>
      </c>
      <c r="U495" t="s">
        <v>2413</v>
      </c>
      <c r="W495" t="s">
        <v>2409</v>
      </c>
      <c r="X495" t="str">
        <v>13-02-25</v>
      </c>
      <c r="Y495" t="str">
        <v>13-02-25</v>
      </c>
      <c r="Z495" t="s">
        <v>2411</v>
      </c>
      <c r="AA495" t="str">
        <v>Kabir Singh</v>
      </c>
      <c r="AB495" t="str">
        <f>TRIM(PROPER(F:F))</f>
        <v>Corporate</v>
      </c>
      <c r="AC495" t="str">
        <f>TRIM(PROPER(G:G))</f>
        <v>East</v>
      </c>
      <c r="AD495" t="str">
        <f>TRIM(PROPER(H:H))</f>
        <v>Odisha</v>
      </c>
      <c r="AE495" t="str">
        <f>TRIM(PROPER(I:I))</f>
        <v>Bhubaneswar</v>
      </c>
      <c r="AF495" t="str">
        <f>TRIM(PROPER(J:J))</f>
        <v>Office Supplies</v>
      </c>
      <c r="AG495" t="str">
        <f>TRIM(PROPER(K:K))</f>
        <v>Paper</v>
      </c>
      <c r="AH495" t="str">
        <f>TRIM(PROPER(L:L))</f>
        <v>Prime Paper 996</v>
      </c>
      <c r="AI495" t="str">
        <f>TRIM(PROPER(M:M))</f>
        <v>Second Class</v>
      </c>
      <c r="AJ495" s="3" t="str">
        <f t="shared" si="13"/>
        <v xml:space="preserve">  </v>
      </c>
      <c r="AK495">
        <f>IFERROR(Y495-X495, "invalid date")</f>
        <v>0</v>
      </c>
      <c r="AL495" s="10">
        <v>0.05</v>
      </c>
      <c r="AM495" s="11">
        <v>15273.054999999997</v>
      </c>
      <c r="AN495" s="11">
        <v>4184.2949999999964</v>
      </c>
      <c r="AO495" s="10">
        <v>0.27396581757873573</v>
      </c>
      <c r="AP495" t="s">
        <v>4323</v>
      </c>
      <c r="AQ495" t="s">
        <v>4323</v>
      </c>
      <c r="AR495" t="s">
        <v>4129</v>
      </c>
      <c r="AS495" t="s">
        <v>4120</v>
      </c>
      <c r="AT495" t="s">
        <v>4115</v>
      </c>
      <c r="AU495">
        <v>0</v>
      </c>
      <c r="AV495" t="s">
        <v>4109</v>
      </c>
    </row>
    <row r="496" spans="1:48">
      <c r="A496" t="s">
        <v>2414</v>
      </c>
      <c r="B496" t="s">
        <v>2415</v>
      </c>
      <c r="C496" t="s">
        <v>2416</v>
      </c>
      <c r="D496" t="s">
        <v>2417</v>
      </c>
      <c r="E496" t="s">
        <v>62</v>
      </c>
      <c r="F496" t="s">
        <v>35</v>
      </c>
      <c r="G496" t="s">
        <v>82</v>
      </c>
      <c r="H496" t="s">
        <v>93</v>
      </c>
      <c r="I496" t="s">
        <v>94</v>
      </c>
      <c r="J496" t="s">
        <v>95</v>
      </c>
      <c r="K496" t="s">
        <v>233</v>
      </c>
      <c r="L496" t="s">
        <v>2418</v>
      </c>
      <c r="M496" t="s">
        <v>76</v>
      </c>
      <c r="N496">
        <v>3</v>
      </c>
      <c r="O496">
        <v>671.68</v>
      </c>
      <c r="P496" s="4" t="s">
        <v>191</v>
      </c>
      <c r="Q496">
        <v>1712.78</v>
      </c>
      <c r="R496">
        <v>1569.38</v>
      </c>
      <c r="S496">
        <v>360.66</v>
      </c>
      <c r="T496" t="s">
        <v>210</v>
      </c>
      <c r="U496" t="s">
        <v>87</v>
      </c>
      <c r="W496" t="s">
        <v>2414</v>
      </c>
      <c r="X496" t="str">
        <v>14-11-24</v>
      </c>
      <c r="Y496" t="str">
        <v>22-11-24</v>
      </c>
      <c r="Z496" t="s">
        <v>2417</v>
      </c>
      <c r="AA496" t="str">
        <v>Isha Nair</v>
      </c>
      <c r="AB496" t="str">
        <f>TRIM(PROPER(F:F))</f>
        <v>Consumer</v>
      </c>
      <c r="AC496" t="str">
        <f>TRIM(PROPER(G:G))</f>
        <v>West</v>
      </c>
      <c r="AD496" t="str">
        <f>TRIM(PROPER(H:H))</f>
        <v>Madhya Pradesh</v>
      </c>
      <c r="AE496" t="str">
        <f>TRIM(PROPER(I:I))</f>
        <v>Indore</v>
      </c>
      <c r="AF496" t="str">
        <f>TRIM(PROPER(J:J))</f>
        <v>Technology</v>
      </c>
      <c r="AG496" t="str">
        <f>TRIM(PROPER(K:K))</f>
        <v>Phones</v>
      </c>
      <c r="AH496" t="str">
        <f>TRIM(PROPER(L:L))</f>
        <v>Smart Phones 125</v>
      </c>
      <c r="AI496" t="str">
        <f>TRIM(PROPER(M:M))</f>
        <v>Standard Class</v>
      </c>
      <c r="AJ496" s="3" t="str">
        <f t="shared" si="13"/>
        <v>anomaly</v>
      </c>
      <c r="AK496">
        <f>IFERROR(Y496-X496, "invalid date")</f>
        <v>8</v>
      </c>
      <c r="AL496" s="10" t="s">
        <v>191</v>
      </c>
      <c r="AM496" s="11" t="s">
        <v>4111</v>
      </c>
      <c r="AN496" s="11" t="s">
        <v>4111</v>
      </c>
      <c r="AO496" s="10" t="s">
        <v>4111</v>
      </c>
      <c r="AP496" t="s">
        <v>4430</v>
      </c>
      <c r="AQ496" t="s">
        <v>4171</v>
      </c>
      <c r="AR496" t="s">
        <v>4117</v>
      </c>
      <c r="AS496" t="s">
        <v>4107</v>
      </c>
      <c r="AT496" t="s">
        <v>4115</v>
      </c>
      <c r="AU496">
        <v>8</v>
      </c>
      <c r="AV496" t="s">
        <v>4109</v>
      </c>
    </row>
    <row r="497" spans="1:48">
      <c r="A497" t="s">
        <v>2419</v>
      </c>
      <c r="B497" t="s">
        <v>2200</v>
      </c>
      <c r="C497" t="s">
        <v>2420</v>
      </c>
      <c r="D497" t="s">
        <v>2421</v>
      </c>
      <c r="E497" t="s">
        <v>49</v>
      </c>
      <c r="F497" t="s">
        <v>50</v>
      </c>
      <c r="G497" t="s">
        <v>51</v>
      </c>
      <c r="H497" t="s">
        <v>226</v>
      </c>
      <c r="I497" t="s">
        <v>227</v>
      </c>
      <c r="J497" t="s">
        <v>95</v>
      </c>
      <c r="K497" t="s">
        <v>233</v>
      </c>
      <c r="L497" t="s">
        <v>2422</v>
      </c>
      <c r="M497" t="s">
        <v>42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133</v>
      </c>
      <c r="U497" t="s">
        <v>134</v>
      </c>
      <c r="W497" t="s">
        <v>2419</v>
      </c>
      <c r="X497" t="str">
        <v>05-09-24</v>
      </c>
      <c r="Y497" t="str">
        <v>invalid date</v>
      </c>
      <c r="Z497" t="s">
        <v>2421</v>
      </c>
      <c r="AA497" t="str">
        <v>Mira Das</v>
      </c>
      <c r="AB497" t="str">
        <f>TRIM(PROPER(F:F))</f>
        <v>Small Business</v>
      </c>
      <c r="AC497" t="str">
        <f>TRIM(PROPER(G:G))</f>
        <v>East</v>
      </c>
      <c r="AD497" t="str">
        <f>TRIM(PROPER(H:H))</f>
        <v>Assam</v>
      </c>
      <c r="AE497" t="str">
        <f>TRIM(PROPER(I:I))</f>
        <v>Guwahati</v>
      </c>
      <c r="AF497" t="str">
        <f>TRIM(PROPER(J:J))</f>
        <v>Technology</v>
      </c>
      <c r="AG497" t="str">
        <f>TRIM(PROPER(K:K))</f>
        <v>Phones</v>
      </c>
      <c r="AH497" t="str">
        <f>TRIM(PROPER(L:L))</f>
        <v>Eco Phones 220</v>
      </c>
      <c r="AI497" t="str">
        <f>TRIM(PROPER(M:M))</f>
        <v>Second Class</v>
      </c>
      <c r="AJ497" s="3" t="str">
        <f t="shared" si="13"/>
        <v>Invalid</v>
      </c>
      <c r="AK497" t="str">
        <f>IFERROR(Y497-X497, "invalid date")</f>
        <v>invalid date</v>
      </c>
      <c r="AL497" s="10">
        <v>0.05</v>
      </c>
      <c r="AM497" s="11">
        <v>3784.7239999999997</v>
      </c>
      <c r="AN497" s="11">
        <v>1365.4839999999999</v>
      </c>
      <c r="AO497" s="10">
        <v>0.36078826355633858</v>
      </c>
      <c r="AP497" t="s">
        <v>4110</v>
      </c>
      <c r="AQ497" t="s">
        <v>4105</v>
      </c>
      <c r="AR497" t="s">
        <v>4134</v>
      </c>
      <c r="AS497" t="s">
        <v>4107</v>
      </c>
      <c r="AT497" t="s">
        <v>4108</v>
      </c>
      <c r="AU497" t="s">
        <v>4105</v>
      </c>
      <c r="AV497" t="s">
        <v>4109</v>
      </c>
    </row>
    <row r="498" spans="1:48">
      <c r="A498" t="s">
        <v>2423</v>
      </c>
      <c r="B498" t="s">
        <v>2424</v>
      </c>
      <c r="C498" t="s">
        <v>2425</v>
      </c>
      <c r="D498" t="s">
        <v>2426</v>
      </c>
      <c r="E498" t="s">
        <v>377</v>
      </c>
      <c r="F498" t="s">
        <v>50</v>
      </c>
      <c r="G498" t="s">
        <v>51</v>
      </c>
      <c r="H498" t="s">
        <v>322</v>
      </c>
      <c r="I498" t="s">
        <v>323</v>
      </c>
      <c r="J498" t="s">
        <v>54</v>
      </c>
      <c r="K498" t="s">
        <v>85</v>
      </c>
      <c r="L498" t="s">
        <v>2427</v>
      </c>
      <c r="M498" t="s">
        <v>42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43</v>
      </c>
      <c r="U498" t="s">
        <v>44</v>
      </c>
      <c r="W498" t="s">
        <v>2423</v>
      </c>
      <c r="X498" t="str">
        <v>04-07-25</v>
      </c>
      <c r="Y498" t="str">
        <v>06-07-25</v>
      </c>
      <c r="Z498" t="s">
        <v>2426</v>
      </c>
      <c r="AA498" t="str">
        <v>Kabir Singh</v>
      </c>
      <c r="AB498" t="str">
        <f>TRIM(PROPER(F:F))</f>
        <v>Small Business</v>
      </c>
      <c r="AC498" t="str">
        <f>TRIM(PROPER(G:G))</f>
        <v>East</v>
      </c>
      <c r="AD498" t="str">
        <f>TRIM(PROPER(H:H))</f>
        <v>Jharkhand</v>
      </c>
      <c r="AE498" t="str">
        <f>TRIM(PROPER(I:I))</f>
        <v>Ranchi</v>
      </c>
      <c r="AF498" t="str">
        <f>TRIM(PROPER(J:J))</f>
        <v>Furniture</v>
      </c>
      <c r="AG498" t="str">
        <f>TRIM(PROPER(K:K))</f>
        <v>Chairs</v>
      </c>
      <c r="AH498" t="str">
        <f>TRIM(PROPER(L:L))</f>
        <v>Eco Chairs 795</v>
      </c>
      <c r="AI498" t="str">
        <f>TRIM(PROPER(M:M))</f>
        <v>Second Class</v>
      </c>
      <c r="AJ498" s="3" t="str">
        <f t="shared" si="13"/>
        <v>anomaly</v>
      </c>
      <c r="AK498">
        <f>IFERROR(Y498-X498, "invalid date")</f>
        <v>2</v>
      </c>
      <c r="AL498" s="10">
        <v>0.1</v>
      </c>
      <c r="AM498" s="11">
        <v>6635.5560000000005</v>
      </c>
      <c r="AN498" s="11">
        <v>2982.6460000000006</v>
      </c>
      <c r="AO498" s="10">
        <v>0.44949451108543131</v>
      </c>
      <c r="AP498" t="s">
        <v>4584</v>
      </c>
      <c r="AQ498" t="s">
        <v>4410</v>
      </c>
      <c r="AR498" t="s">
        <v>4106</v>
      </c>
      <c r="AS498" t="s">
        <v>4120</v>
      </c>
      <c r="AT498" t="s">
        <v>4115</v>
      </c>
      <c r="AU498">
        <v>2</v>
      </c>
      <c r="AV498" t="s">
        <v>4109</v>
      </c>
    </row>
    <row r="499" spans="1:48">
      <c r="A499" t="s">
        <v>2428</v>
      </c>
      <c r="B499" t="s">
        <v>2429</v>
      </c>
      <c r="C499" t="s">
        <v>2429</v>
      </c>
      <c r="D499" t="s">
        <v>2430</v>
      </c>
      <c r="E499" t="s">
        <v>177</v>
      </c>
      <c r="F499" t="s">
        <v>50</v>
      </c>
      <c r="G499" t="s">
        <v>722</v>
      </c>
      <c r="H499" t="s">
        <v>183</v>
      </c>
      <c r="I499" t="s">
        <v>184</v>
      </c>
      <c r="J499" t="s">
        <v>95</v>
      </c>
      <c r="K499" t="s">
        <v>96</v>
      </c>
      <c r="L499" t="s">
        <v>2431</v>
      </c>
      <c r="M499" t="s">
        <v>42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43</v>
      </c>
      <c r="U499" t="s">
        <v>87</v>
      </c>
      <c r="W499" t="s">
        <v>2428</v>
      </c>
      <c r="X499" t="str">
        <v>29-08-24</v>
      </c>
      <c r="Y499" t="str">
        <v>29-08-24</v>
      </c>
      <c r="Z499" t="s">
        <v>2430</v>
      </c>
      <c r="AA499" t="str">
        <v>Sneha Kapoor</v>
      </c>
      <c r="AB499" t="str">
        <f>TRIM(PROPER(F:F))</f>
        <v>Small Business</v>
      </c>
      <c r="AC499" t="str">
        <f>TRIM(PROPER(G:G))</f>
        <v>North</v>
      </c>
      <c r="AD499" t="str">
        <f>TRIM(PROPER(H:H))</f>
        <v>Uttar Pradesh</v>
      </c>
      <c r="AE499" t="str">
        <f>TRIM(PROPER(I:I))</f>
        <v>Noida</v>
      </c>
      <c r="AF499" t="str">
        <f>TRIM(PROPER(J:J))</f>
        <v>Technology</v>
      </c>
      <c r="AG499" t="str">
        <f>TRIM(PROPER(K:K))</f>
        <v>Accessories</v>
      </c>
      <c r="AH499" t="str">
        <f>TRIM(PROPER(L:L))</f>
        <v>Smart Accessories 896</v>
      </c>
      <c r="AI499" t="str">
        <f>TRIM(PROPER(M:M))</f>
        <v>Second Class</v>
      </c>
      <c r="AJ499" s="3" t="str">
        <f t="shared" si="13"/>
        <v xml:space="preserve">  </v>
      </c>
      <c r="AK499">
        <f>IFERROR(Y499-X499, "invalid date")</f>
        <v>0</v>
      </c>
      <c r="AL499" s="10">
        <v>0.2</v>
      </c>
      <c r="AM499" s="11">
        <v>2485.5040000000004</v>
      </c>
      <c r="AN499" s="11">
        <v>457.0740000000003</v>
      </c>
      <c r="AO499" s="10">
        <v>0.18389590199814615</v>
      </c>
      <c r="AP499" t="s">
        <v>4542</v>
      </c>
      <c r="AQ499" t="s">
        <v>4542</v>
      </c>
      <c r="AR499" t="s">
        <v>4114</v>
      </c>
      <c r="AS499" t="s">
        <v>4107</v>
      </c>
      <c r="AT499" t="s">
        <v>4115</v>
      </c>
      <c r="AU499">
        <v>0</v>
      </c>
      <c r="AV499" t="s">
        <v>4109</v>
      </c>
    </row>
    <row r="500" spans="1:48">
      <c r="A500" t="s">
        <v>2432</v>
      </c>
      <c r="B500" t="s">
        <v>2433</v>
      </c>
      <c r="C500" t="s">
        <v>2434</v>
      </c>
      <c r="D500" t="s">
        <v>2435</v>
      </c>
      <c r="E500" t="s">
        <v>34</v>
      </c>
      <c r="F500" t="s">
        <v>35</v>
      </c>
      <c r="G500" t="s">
        <v>36</v>
      </c>
      <c r="H500" t="s">
        <v>163</v>
      </c>
      <c r="I500" t="s">
        <v>164</v>
      </c>
      <c r="J500" t="s">
        <v>54</v>
      </c>
      <c r="K500" t="s">
        <v>85</v>
      </c>
      <c r="L500" t="s">
        <v>2436</v>
      </c>
      <c r="M500" t="s">
        <v>57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133</v>
      </c>
      <c r="U500" t="s">
        <v>2437</v>
      </c>
      <c r="W500" t="s">
        <v>2432</v>
      </c>
      <c r="X500" t="str">
        <v>07-09-25</v>
      </c>
      <c r="Y500" t="str">
        <v>10-09-25</v>
      </c>
      <c r="Z500" t="s">
        <v>2435</v>
      </c>
      <c r="AA500" t="str">
        <v>Karan Malhotra</v>
      </c>
      <c r="AB500" t="str">
        <f>TRIM(PROPER(F:F))</f>
        <v>Consumer</v>
      </c>
      <c r="AC500" t="str">
        <f>TRIM(PROPER(G:G))</f>
        <v>North</v>
      </c>
      <c r="AD500" t="str">
        <f>TRIM(PROPER(H:H))</f>
        <v>Punjab</v>
      </c>
      <c r="AE500" t="str">
        <f>TRIM(PROPER(I:I))</f>
        <v>Ludhiana</v>
      </c>
      <c r="AF500" t="str">
        <f>TRIM(PROPER(J:J))</f>
        <v>Furniture</v>
      </c>
      <c r="AG500" t="str">
        <f>TRIM(PROPER(K:K))</f>
        <v>Chairs</v>
      </c>
      <c r="AH500" t="str">
        <f>TRIM(PROPER(L:L))</f>
        <v>Basic Chairs 255</v>
      </c>
      <c r="AI500" t="str">
        <f>TRIM(PROPER(M:M))</f>
        <v>Same Day</v>
      </c>
      <c r="AJ500" s="3" t="str">
        <f t="shared" si="13"/>
        <v>anomaly</v>
      </c>
      <c r="AK500">
        <f>IFERROR(Y500-X500, "invalid date")</f>
        <v>3</v>
      </c>
      <c r="AL500" s="10">
        <v>0.05</v>
      </c>
      <c r="AM500" s="11">
        <v>850.34500000000003</v>
      </c>
      <c r="AN500" s="11">
        <v>249.36500000000001</v>
      </c>
      <c r="AO500" s="10">
        <v>0.29325156260106194</v>
      </c>
      <c r="AP500" t="s">
        <v>4132</v>
      </c>
      <c r="AQ500" t="s">
        <v>4351</v>
      </c>
      <c r="AR500" t="s">
        <v>4134</v>
      </c>
      <c r="AS500" t="s">
        <v>4120</v>
      </c>
      <c r="AT500" t="s">
        <v>4115</v>
      </c>
      <c r="AU500">
        <v>3</v>
      </c>
      <c r="AV500" t="s">
        <v>4109</v>
      </c>
    </row>
    <row r="501" spans="1:48">
      <c r="A501" t="s">
        <v>2438</v>
      </c>
      <c r="B501" t="s">
        <v>2439</v>
      </c>
      <c r="C501" t="s">
        <v>1454</v>
      </c>
      <c r="D501" t="s">
        <v>2440</v>
      </c>
      <c r="E501" t="s">
        <v>157</v>
      </c>
      <c r="F501" t="s">
        <v>124</v>
      </c>
      <c r="G501" t="s">
        <v>36</v>
      </c>
      <c r="H501" t="s">
        <v>183</v>
      </c>
      <c r="I501" t="s">
        <v>184</v>
      </c>
      <c r="J501" t="s">
        <v>54</v>
      </c>
      <c r="K501" t="s">
        <v>85</v>
      </c>
      <c r="L501" t="s">
        <v>2441</v>
      </c>
      <c r="M501" t="s">
        <v>76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43</v>
      </c>
      <c r="U501" t="s">
        <v>87</v>
      </c>
      <c r="W501" t="s">
        <v>2438</v>
      </c>
      <c r="X501" t="str">
        <v>22-12-24</v>
      </c>
      <c r="Y501" t="str">
        <v>26-12-24</v>
      </c>
      <c r="Z501" t="s">
        <v>2440</v>
      </c>
      <c r="AA501" t="str">
        <v>Rahul Verma</v>
      </c>
      <c r="AB501" t="str">
        <f>TRIM(PROPER(F:F))</f>
        <v>Home Office</v>
      </c>
      <c r="AC501" t="str">
        <f>TRIM(PROPER(G:G))</f>
        <v>North</v>
      </c>
      <c r="AD501" t="str">
        <f>TRIM(PROPER(H:H))</f>
        <v>Uttar Pradesh</v>
      </c>
      <c r="AE501" t="str">
        <f>TRIM(PROPER(I:I))</f>
        <v>Noida</v>
      </c>
      <c r="AF501" t="str">
        <f>TRIM(PROPER(J:J))</f>
        <v>Furniture</v>
      </c>
      <c r="AG501" t="str">
        <f>TRIM(PROPER(K:K))</f>
        <v>Chairs</v>
      </c>
      <c r="AH501" t="str">
        <f>TRIM(PROPER(L:L))</f>
        <v>Eco Chairs 210</v>
      </c>
      <c r="AI501" t="str">
        <f>TRIM(PROPER(M:M))</f>
        <v>Standard Class</v>
      </c>
      <c r="AJ501" s="3" t="str">
        <f t="shared" si="13"/>
        <v>anomaly</v>
      </c>
      <c r="AK501">
        <f>IFERROR(Y501-X501, "invalid date")</f>
        <v>4</v>
      </c>
      <c r="AL501" s="10">
        <v>0</v>
      </c>
      <c r="AM501" s="11">
        <v>9997.8299999999981</v>
      </c>
      <c r="AN501" s="11">
        <v>3938.7599999999984</v>
      </c>
      <c r="AO501" s="10">
        <v>0.3939614896432525</v>
      </c>
      <c r="AP501" t="s">
        <v>4585</v>
      </c>
      <c r="AQ501" t="s">
        <v>4442</v>
      </c>
      <c r="AR501" t="s">
        <v>4139</v>
      </c>
      <c r="AS501" t="s">
        <v>4107</v>
      </c>
      <c r="AT501" t="s">
        <v>4115</v>
      </c>
      <c r="AU501">
        <v>4</v>
      </c>
      <c r="AV501" t="s">
        <v>4109</v>
      </c>
    </row>
    <row r="502" spans="1:48">
      <c r="A502" t="s">
        <v>2442</v>
      </c>
      <c r="B502" t="s">
        <v>1139</v>
      </c>
      <c r="C502" t="s">
        <v>2443</v>
      </c>
      <c r="D502" t="s">
        <v>2444</v>
      </c>
      <c r="E502" t="s">
        <v>177</v>
      </c>
      <c r="F502" t="s">
        <v>35</v>
      </c>
      <c r="G502" t="s">
        <v>71</v>
      </c>
      <c r="H502" t="s">
        <v>252</v>
      </c>
      <c r="I502" t="s">
        <v>253</v>
      </c>
      <c r="J502" t="s">
        <v>95</v>
      </c>
      <c r="K502" t="s">
        <v>233</v>
      </c>
      <c r="L502" t="s">
        <v>2445</v>
      </c>
      <c r="M502" t="s">
        <v>57</v>
      </c>
      <c r="N502">
        <v>9</v>
      </c>
      <c r="O502">
        <v>3795.99</v>
      </c>
      <c r="P502" s="5" t="s">
        <v>191</v>
      </c>
      <c r="Q502">
        <v>34163.910000000003</v>
      </c>
      <c r="R502">
        <v>28577.15</v>
      </c>
      <c r="S502">
        <v>5586.76</v>
      </c>
      <c r="T502" t="s">
        <v>43</v>
      </c>
      <c r="U502" t="s">
        <v>44</v>
      </c>
      <c r="W502" t="s">
        <v>2442</v>
      </c>
      <c r="X502" t="str">
        <v>invalid date</v>
      </c>
      <c r="Y502" t="str">
        <v>invalid date</v>
      </c>
      <c r="Z502" t="s">
        <v>2444</v>
      </c>
      <c r="AA502" t="str">
        <v>Sneha Kapoor</v>
      </c>
      <c r="AB502" t="str">
        <f>TRIM(PROPER(F:F))</f>
        <v>Consumer</v>
      </c>
      <c r="AC502" t="str">
        <f>TRIM(PROPER(G:G))</f>
        <v>South</v>
      </c>
      <c r="AD502" t="str">
        <f>TRIM(PROPER(H:H))</f>
        <v>Kerala</v>
      </c>
      <c r="AE502" t="str">
        <f>TRIM(PROPER(I:I))</f>
        <v>Kochi</v>
      </c>
      <c r="AF502" t="str">
        <f>TRIM(PROPER(J:J))</f>
        <v>Technology</v>
      </c>
      <c r="AG502" t="str">
        <f>TRIM(PROPER(K:K))</f>
        <v>Phones</v>
      </c>
      <c r="AH502" t="str">
        <f>TRIM(PROPER(L:L))</f>
        <v>Prime Phones 533</v>
      </c>
      <c r="AI502" t="str">
        <f>TRIM(PROPER(M:M))</f>
        <v>Same Day</v>
      </c>
      <c r="AJ502" s="3" t="str">
        <f t="shared" si="13"/>
        <v>Invalid</v>
      </c>
      <c r="AK502" t="str">
        <f>IFERROR(Y502-X502, "invalid date")</f>
        <v>invalid date</v>
      </c>
      <c r="AL502" s="10" t="s">
        <v>191</v>
      </c>
      <c r="AM502" s="11" t="s">
        <v>4111</v>
      </c>
      <c r="AN502" s="11" t="s">
        <v>4111</v>
      </c>
      <c r="AO502" s="10" t="s">
        <v>4111</v>
      </c>
      <c r="AP502" t="s">
        <v>4105</v>
      </c>
      <c r="AQ502" t="s">
        <v>4105</v>
      </c>
      <c r="AR502" t="s">
        <v>4105</v>
      </c>
      <c r="AS502" t="s">
        <v>4105</v>
      </c>
      <c r="AT502" t="s">
        <v>4108</v>
      </c>
      <c r="AU502" t="s">
        <v>4105</v>
      </c>
      <c r="AV502" t="s">
        <v>4109</v>
      </c>
    </row>
    <row r="503" spans="1:48">
      <c r="A503" t="s">
        <v>2446</v>
      </c>
      <c r="B503" t="s">
        <v>2447</v>
      </c>
      <c r="C503" t="s">
        <v>2448</v>
      </c>
      <c r="D503" t="s">
        <v>1246</v>
      </c>
      <c r="E503" t="s">
        <v>102</v>
      </c>
      <c r="F503" t="s">
        <v>35</v>
      </c>
      <c r="G503" t="s">
        <v>51</v>
      </c>
      <c r="H503" t="s">
        <v>322</v>
      </c>
      <c r="I503" t="s">
        <v>323</v>
      </c>
      <c r="J503" t="s">
        <v>39</v>
      </c>
      <c r="K503" t="s">
        <v>63</v>
      </c>
      <c r="L503" t="s">
        <v>2449</v>
      </c>
      <c r="M503" t="s">
        <v>42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43</v>
      </c>
      <c r="U503" t="s">
        <v>44</v>
      </c>
      <c r="W503" t="s">
        <v>2446</v>
      </c>
      <c r="X503" t="str">
        <v>11-08-24</v>
      </c>
      <c r="Y503" t="str">
        <v>invalid date</v>
      </c>
      <c r="Z503" t="s">
        <v>1246</v>
      </c>
      <c r="AA503" t="str">
        <v>Neha Gupta</v>
      </c>
      <c r="AB503" t="str">
        <f>TRIM(PROPER(F:F))</f>
        <v>Consumer</v>
      </c>
      <c r="AC503" t="str">
        <f>TRIM(PROPER(G:G))</f>
        <v>East</v>
      </c>
      <c r="AD503" t="str">
        <f>TRIM(PROPER(H:H))</f>
        <v>Jharkhand</v>
      </c>
      <c r="AE503" t="str">
        <f>TRIM(PROPER(I:I))</f>
        <v>Ranchi</v>
      </c>
      <c r="AF503" t="str">
        <f>TRIM(PROPER(J:J))</f>
        <v>Office Supplies</v>
      </c>
      <c r="AG503" t="str">
        <f>TRIM(PROPER(K:K))</f>
        <v>Art</v>
      </c>
      <c r="AH503" t="str">
        <f>TRIM(PROPER(L:L))</f>
        <v>Elite Art 325</v>
      </c>
      <c r="AI503" t="str">
        <f>TRIM(PROPER(M:M))</f>
        <v>Second Class</v>
      </c>
      <c r="AJ503" s="3" t="str">
        <f t="shared" si="13"/>
        <v>Invalid</v>
      </c>
      <c r="AK503" t="str">
        <f>IFERROR(Y503-X503, "invalid date")</f>
        <v>invalid date</v>
      </c>
      <c r="AL503" s="10">
        <v>0.15</v>
      </c>
      <c r="AM503" s="11">
        <v>17837.453999999998</v>
      </c>
      <c r="AN503" s="11">
        <v>4210.4339999999975</v>
      </c>
      <c r="AO503" s="10">
        <v>0.23604456106796395</v>
      </c>
      <c r="AP503" t="s">
        <v>4586</v>
      </c>
      <c r="AQ503" t="s">
        <v>4105</v>
      </c>
      <c r="AR503" t="s">
        <v>4114</v>
      </c>
      <c r="AS503" t="s">
        <v>4107</v>
      </c>
      <c r="AT503" t="s">
        <v>4108</v>
      </c>
      <c r="AU503" t="s">
        <v>4105</v>
      </c>
      <c r="AV503" t="s">
        <v>4109</v>
      </c>
    </row>
    <row r="504" spans="1:48">
      <c r="A504" t="s">
        <v>2450</v>
      </c>
      <c r="B504" t="s">
        <v>2451</v>
      </c>
      <c r="C504" t="s">
        <v>2452</v>
      </c>
      <c r="D504" t="s">
        <v>2453</v>
      </c>
      <c r="E504" t="s">
        <v>151</v>
      </c>
      <c r="F504" t="s">
        <v>50</v>
      </c>
      <c r="G504" t="s">
        <v>51</v>
      </c>
      <c r="H504" t="s">
        <v>52</v>
      </c>
      <c r="I504" t="s">
        <v>53</v>
      </c>
      <c r="J504" t="s">
        <v>95</v>
      </c>
      <c r="K504" t="s">
        <v>103</v>
      </c>
      <c r="L504" t="s">
        <v>2454</v>
      </c>
      <c r="M504" t="s">
        <v>42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43</v>
      </c>
      <c r="U504" t="s">
        <v>44</v>
      </c>
      <c r="W504" t="s">
        <v>2450</v>
      </c>
      <c r="X504" t="str">
        <v>04-01-24</v>
      </c>
      <c r="Y504" t="str">
        <v>09-04-24</v>
      </c>
      <c r="Z504" t="s">
        <v>2453</v>
      </c>
      <c r="AA504" t="str">
        <v>Priya Menon</v>
      </c>
      <c r="AB504" t="str">
        <f>TRIM(PROPER(F:F))</f>
        <v>Small Business</v>
      </c>
      <c r="AC504" t="str">
        <f>TRIM(PROPER(G:G))</f>
        <v>East</v>
      </c>
      <c r="AD504" t="str">
        <f>TRIM(PROPER(H:H))</f>
        <v>Odisha</v>
      </c>
      <c r="AE504" t="str">
        <f>TRIM(PROPER(I:I))</f>
        <v>Bhubaneswar</v>
      </c>
      <c r="AF504" t="str">
        <f>TRIM(PROPER(J:J))</f>
        <v>Technology</v>
      </c>
      <c r="AG504" t="str">
        <f>TRIM(PROPER(K:K))</f>
        <v>Copiers</v>
      </c>
      <c r="AH504" t="str">
        <f>TRIM(PROPER(L:L))</f>
        <v>Prime Copiers 557</v>
      </c>
      <c r="AI504" t="str">
        <f>TRIM(PROPER(M:M))</f>
        <v>Second Class</v>
      </c>
      <c r="AJ504" s="3" t="str">
        <f t="shared" si="13"/>
        <v>anomaly</v>
      </c>
      <c r="AK504">
        <f>IFERROR(Y504-X504, "invalid date")</f>
        <v>96</v>
      </c>
      <c r="AL504" s="10">
        <v>0.1</v>
      </c>
      <c r="AM504" s="11">
        <v>4465.4220000000005</v>
      </c>
      <c r="AN504" s="11">
        <v>1088.3220000000006</v>
      </c>
      <c r="AO504" s="10">
        <v>0.24372209390288319</v>
      </c>
      <c r="AP504" t="s">
        <v>4571</v>
      </c>
      <c r="AQ504" t="s">
        <v>4228</v>
      </c>
      <c r="AR504" t="s">
        <v>4153</v>
      </c>
      <c r="AS504" t="s">
        <v>4107</v>
      </c>
      <c r="AT504" t="s">
        <v>4115</v>
      </c>
      <c r="AU504">
        <v>96</v>
      </c>
      <c r="AV504" t="s">
        <v>4109</v>
      </c>
    </row>
    <row r="505" spans="1:48">
      <c r="A505" t="s">
        <v>2455</v>
      </c>
      <c r="B505" t="s">
        <v>2456</v>
      </c>
      <c r="C505" t="s">
        <v>2457</v>
      </c>
      <c r="D505" t="s">
        <v>2458</v>
      </c>
      <c r="E505" t="s">
        <v>171</v>
      </c>
      <c r="F505" t="s">
        <v>35</v>
      </c>
      <c r="G505" t="s">
        <v>71</v>
      </c>
      <c r="H505" t="s">
        <v>350</v>
      </c>
      <c r="I505" t="s">
        <v>351</v>
      </c>
      <c r="J505" t="s">
        <v>95</v>
      </c>
      <c r="K505" t="s">
        <v>233</v>
      </c>
      <c r="L505" t="s">
        <v>2459</v>
      </c>
      <c r="M505" t="s">
        <v>76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43</v>
      </c>
      <c r="U505" t="s">
        <v>44</v>
      </c>
      <c r="W505" t="s">
        <v>2455</v>
      </c>
      <c r="X505" t="str">
        <v>28-09-24</v>
      </c>
      <c r="Y505" t="str">
        <v>05-10-24</v>
      </c>
      <c r="Z505" t="s">
        <v>2458</v>
      </c>
      <c r="AA505" t="str">
        <v>Aarav Sharma</v>
      </c>
      <c r="AB505" t="str">
        <f>TRIM(PROPER(F:F))</f>
        <v>Consumer</v>
      </c>
      <c r="AC505" t="str">
        <f>TRIM(PROPER(G:G))</f>
        <v>South</v>
      </c>
      <c r="AD505" t="str">
        <f>TRIM(PROPER(H:H))</f>
        <v>Tamil Nadu</v>
      </c>
      <c r="AE505" t="str">
        <f>TRIM(PROPER(I:I))</f>
        <v>Chennai</v>
      </c>
      <c r="AF505" t="str">
        <f>TRIM(PROPER(J:J))</f>
        <v>Technology</v>
      </c>
      <c r="AG505" t="str">
        <f>TRIM(PROPER(K:K))</f>
        <v>Phones</v>
      </c>
      <c r="AH505" t="str">
        <f>TRIM(PROPER(L:L))</f>
        <v>Smart Phones 674</v>
      </c>
      <c r="AI505" t="str">
        <f>TRIM(PROPER(M:M))</f>
        <v>Standard Class</v>
      </c>
      <c r="AJ505" s="3" t="str">
        <f t="shared" si="13"/>
        <v xml:space="preserve">  </v>
      </c>
      <c r="AK505">
        <f>IFERROR(Y505-X505, "invalid date")</f>
        <v>7</v>
      </c>
      <c r="AL505" s="10">
        <v>0.1</v>
      </c>
      <c r="AM505" s="11">
        <v>10594.08</v>
      </c>
      <c r="AN505" s="11">
        <v>3433.7699999999995</v>
      </c>
      <c r="AO505" s="10">
        <v>0.32412158488514337</v>
      </c>
      <c r="AP505" t="s">
        <v>4587</v>
      </c>
      <c r="AQ505" t="s">
        <v>4588</v>
      </c>
      <c r="AR505" t="s">
        <v>4134</v>
      </c>
      <c r="AS505" t="s">
        <v>4107</v>
      </c>
      <c r="AT505" t="s">
        <v>4121</v>
      </c>
      <c r="AU505">
        <v>7</v>
      </c>
      <c r="AV505" t="s">
        <v>4109</v>
      </c>
    </row>
    <row r="506" spans="1:48">
      <c r="A506" t="s">
        <v>2460</v>
      </c>
      <c r="B506" t="s">
        <v>2461</v>
      </c>
      <c r="C506" t="s">
        <v>2462</v>
      </c>
      <c r="D506" t="s">
        <v>2463</v>
      </c>
      <c r="E506" t="s">
        <v>70</v>
      </c>
      <c r="F506" t="s">
        <v>117</v>
      </c>
      <c r="G506" t="s">
        <v>82</v>
      </c>
      <c r="H506" t="s">
        <v>245</v>
      </c>
      <c r="I506" t="s">
        <v>246</v>
      </c>
      <c r="J506" t="s">
        <v>39</v>
      </c>
      <c r="K506" t="s">
        <v>63</v>
      </c>
      <c r="L506" t="s">
        <v>2464</v>
      </c>
      <c r="M506" t="s">
        <v>76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43</v>
      </c>
      <c r="U506" t="s">
        <v>44</v>
      </c>
      <c r="W506" t="s">
        <v>2460</v>
      </c>
      <c r="X506" t="str">
        <v>12-02-25</v>
      </c>
      <c r="Y506" t="str">
        <v>17-02-25</v>
      </c>
      <c r="Z506" t="s">
        <v>2463</v>
      </c>
      <c r="AA506" t="str">
        <v>Arjun Bose</v>
      </c>
      <c r="AB506" t="str">
        <f>TRIM(PROPER(F:F))</f>
        <v>Corporate</v>
      </c>
      <c r="AC506" t="str">
        <f>TRIM(PROPER(G:G))</f>
        <v>West</v>
      </c>
      <c r="AD506" t="str">
        <f>TRIM(PROPER(H:H))</f>
        <v>Gujarat</v>
      </c>
      <c r="AE506" t="str">
        <f>TRIM(PROPER(I:I))</f>
        <v>Ahmedabad</v>
      </c>
      <c r="AF506" t="str">
        <f>TRIM(PROPER(J:J))</f>
        <v>Office Supplies</v>
      </c>
      <c r="AG506" t="str">
        <f>TRIM(PROPER(K:K))</f>
        <v>Art</v>
      </c>
      <c r="AH506" t="str">
        <f>TRIM(PROPER(L:L))</f>
        <v>Elite Art 553</v>
      </c>
      <c r="AI506" t="str">
        <f>TRIM(PROPER(M:M))</f>
        <v>Standard Class</v>
      </c>
      <c r="AJ506" s="3" t="str">
        <f t="shared" si="13"/>
        <v>anomaly</v>
      </c>
      <c r="AK506">
        <f>IFERROR(Y506-X506, "invalid date")</f>
        <v>5</v>
      </c>
      <c r="AL506" s="10">
        <v>0</v>
      </c>
      <c r="AM506" s="11">
        <v>17312.48</v>
      </c>
      <c r="AN506" s="11">
        <v>2888.26</v>
      </c>
      <c r="AO506" s="10">
        <v>0.16683109525613893</v>
      </c>
      <c r="AP506" t="s">
        <v>4589</v>
      </c>
      <c r="AQ506" t="s">
        <v>4590</v>
      </c>
      <c r="AR506" t="s">
        <v>4129</v>
      </c>
      <c r="AS506" t="s">
        <v>4120</v>
      </c>
      <c r="AT506" t="s">
        <v>4115</v>
      </c>
      <c r="AU506">
        <v>5</v>
      </c>
      <c r="AV506" t="s">
        <v>4109</v>
      </c>
    </row>
    <row r="507" spans="1:48">
      <c r="A507" t="s">
        <v>2465</v>
      </c>
      <c r="B507" t="s">
        <v>2466</v>
      </c>
      <c r="C507" t="s">
        <v>1389</v>
      </c>
      <c r="D507" t="s">
        <v>2467</v>
      </c>
      <c r="E507" t="s">
        <v>102</v>
      </c>
      <c r="F507" t="s">
        <v>117</v>
      </c>
      <c r="G507" t="s">
        <v>82</v>
      </c>
      <c r="H507" t="s">
        <v>93</v>
      </c>
      <c r="I507" t="s">
        <v>94</v>
      </c>
      <c r="J507" t="s">
        <v>39</v>
      </c>
      <c r="K507" t="s">
        <v>63</v>
      </c>
      <c r="L507" t="s">
        <v>2468</v>
      </c>
      <c r="M507" t="s">
        <v>65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43</v>
      </c>
      <c r="U507" t="s">
        <v>87</v>
      </c>
      <c r="W507" t="s">
        <v>2465</v>
      </c>
      <c r="X507" t="str">
        <v>09-11-24</v>
      </c>
      <c r="Y507" t="str">
        <v>14-11-24</v>
      </c>
      <c r="Z507" t="s">
        <v>2467</v>
      </c>
      <c r="AA507" t="str">
        <v>Neha Gupta</v>
      </c>
      <c r="AB507" t="str">
        <f>TRIM(PROPER(F:F))</f>
        <v>Corporate</v>
      </c>
      <c r="AC507" t="str">
        <f>TRIM(PROPER(G:G))</f>
        <v>West</v>
      </c>
      <c r="AD507" t="str">
        <f>TRIM(PROPER(H:H))</f>
        <v>Madhya Pradesh</v>
      </c>
      <c r="AE507" t="str">
        <f>TRIM(PROPER(I:I))</f>
        <v>Indore</v>
      </c>
      <c r="AF507" t="str">
        <f>TRIM(PROPER(J:J))</f>
        <v>Office Supplies</v>
      </c>
      <c r="AG507" t="str">
        <f>TRIM(PROPER(K:K))</f>
        <v>Art</v>
      </c>
      <c r="AH507" t="str">
        <f>TRIM(PROPER(L:L))</f>
        <v>Classic Art 339</v>
      </c>
      <c r="AI507" t="str">
        <f>TRIM(PROPER(M:M))</f>
        <v>First Class</v>
      </c>
      <c r="AJ507" s="3" t="str">
        <f t="shared" si="13"/>
        <v>anomaly</v>
      </c>
      <c r="AK507">
        <f>IFERROR(Y507-X507, "invalid date")</f>
        <v>5</v>
      </c>
      <c r="AL507" s="10">
        <v>0.2</v>
      </c>
      <c r="AM507" s="11">
        <v>17555.688000000002</v>
      </c>
      <c r="AN507" s="11">
        <v>4262.4880000000012</v>
      </c>
      <c r="AO507" s="10">
        <v>0.24279811762432785</v>
      </c>
      <c r="AP507" t="s">
        <v>4331</v>
      </c>
      <c r="AQ507" t="s">
        <v>4430</v>
      </c>
      <c r="AR507" t="s">
        <v>4117</v>
      </c>
      <c r="AS507" t="s">
        <v>4107</v>
      </c>
      <c r="AT507" t="s">
        <v>4115</v>
      </c>
      <c r="AU507">
        <v>5</v>
      </c>
      <c r="AV507" t="s">
        <v>4109</v>
      </c>
    </row>
    <row r="508" spans="1:48">
      <c r="A508" t="s">
        <v>2469</v>
      </c>
      <c r="B508" t="s">
        <v>2470</v>
      </c>
      <c r="C508" t="s">
        <v>2471</v>
      </c>
      <c r="D508" t="s">
        <v>2472</v>
      </c>
      <c r="E508" t="s">
        <v>171</v>
      </c>
      <c r="F508" t="s">
        <v>50</v>
      </c>
      <c r="G508" t="s">
        <v>36</v>
      </c>
      <c r="H508" t="s">
        <v>163</v>
      </c>
      <c r="I508" t="s">
        <v>164</v>
      </c>
      <c r="J508" t="s">
        <v>54</v>
      </c>
      <c r="K508" t="s">
        <v>74</v>
      </c>
      <c r="L508" t="s">
        <v>2473</v>
      </c>
      <c r="M508" t="s">
        <v>65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133</v>
      </c>
      <c r="U508" t="s">
        <v>134</v>
      </c>
      <c r="W508" t="s">
        <v>2469</v>
      </c>
      <c r="X508" t="str">
        <v>15-12-24</v>
      </c>
      <c r="Y508" t="str">
        <v>15-12-24</v>
      </c>
      <c r="Z508" t="s">
        <v>2472</v>
      </c>
      <c r="AA508" t="str">
        <v>Aarav Sharma</v>
      </c>
      <c r="AB508" t="str">
        <f>TRIM(PROPER(F:F))</f>
        <v>Small Business</v>
      </c>
      <c r="AC508" t="str">
        <f>TRIM(PROPER(G:G))</f>
        <v>North</v>
      </c>
      <c r="AD508" t="str">
        <f>TRIM(PROPER(H:H))</f>
        <v>Punjab</v>
      </c>
      <c r="AE508" t="str">
        <f>TRIM(PROPER(I:I))</f>
        <v>Ludhiana</v>
      </c>
      <c r="AF508" t="str">
        <f>TRIM(PROPER(J:J))</f>
        <v>Furniture</v>
      </c>
      <c r="AG508" t="str">
        <f>TRIM(PROPER(K:K))</f>
        <v>Furnishings</v>
      </c>
      <c r="AH508" t="str">
        <f>TRIM(PROPER(L:L))</f>
        <v>Smart Furnishings 352</v>
      </c>
      <c r="AI508" t="str">
        <f>TRIM(PROPER(M:M))</f>
        <v>First Class</v>
      </c>
      <c r="AJ508" s="3" t="str">
        <f t="shared" si="13"/>
        <v xml:space="preserve">  </v>
      </c>
      <c r="AK508">
        <f>IFERROR(Y508-X508, "invalid date")</f>
        <v>0</v>
      </c>
      <c r="AL508" s="10">
        <v>0.1</v>
      </c>
      <c r="AM508" s="11">
        <v>1205.6399999999999</v>
      </c>
      <c r="AN508" s="11">
        <v>363.56999999999982</v>
      </c>
      <c r="AO508" s="10">
        <v>0.30155767890912699</v>
      </c>
      <c r="AP508" t="s">
        <v>4591</v>
      </c>
      <c r="AQ508" t="s">
        <v>4591</v>
      </c>
      <c r="AR508" t="s">
        <v>4139</v>
      </c>
      <c r="AS508" t="s">
        <v>4107</v>
      </c>
      <c r="AT508" t="s">
        <v>4115</v>
      </c>
      <c r="AU508">
        <v>0</v>
      </c>
      <c r="AV508" t="s">
        <v>4109</v>
      </c>
    </row>
    <row r="509" spans="1:48">
      <c r="A509" t="s">
        <v>2474</v>
      </c>
      <c r="B509" t="s">
        <v>2152</v>
      </c>
      <c r="C509" t="s">
        <v>2118</v>
      </c>
      <c r="D509" t="s">
        <v>2475</v>
      </c>
      <c r="E509" t="s">
        <v>62</v>
      </c>
      <c r="F509" t="s">
        <v>50</v>
      </c>
      <c r="G509" t="s">
        <v>36</v>
      </c>
      <c r="H509" t="s">
        <v>334</v>
      </c>
      <c r="I509" t="s">
        <v>335</v>
      </c>
      <c r="J509" t="s">
        <v>39</v>
      </c>
      <c r="K509" t="s">
        <v>208</v>
      </c>
      <c r="L509" t="s">
        <v>2476</v>
      </c>
      <c r="M509" t="s">
        <v>57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43</v>
      </c>
      <c r="U509" t="s">
        <v>44</v>
      </c>
      <c r="W509" t="s">
        <v>2474</v>
      </c>
      <c r="X509" t="str">
        <v>15-04-25</v>
      </c>
      <c r="Y509" t="str">
        <v>22-04-25</v>
      </c>
      <c r="Z509" t="s">
        <v>2475</v>
      </c>
      <c r="AA509" t="str">
        <v>Isha Nair</v>
      </c>
      <c r="AB509" t="str">
        <f>TRIM(PROPER(F:F))</f>
        <v>Small Business</v>
      </c>
      <c r="AC509" t="str">
        <f>TRIM(PROPER(G:G))</f>
        <v>North</v>
      </c>
      <c r="AD509" t="str">
        <f>TRIM(PROPER(H:H))</f>
        <v>Haryana</v>
      </c>
      <c r="AE509" t="str">
        <f>TRIM(PROPER(I:I))</f>
        <v>Gurugram</v>
      </c>
      <c r="AF509" t="str">
        <f>TRIM(PROPER(J:J))</f>
        <v>Office Supplies</v>
      </c>
      <c r="AG509" t="str">
        <f>TRIM(PROPER(K:K))</f>
        <v>Binders</v>
      </c>
      <c r="AH509" t="str">
        <f>TRIM(PROPER(L:L))</f>
        <v>Classic Binders 602</v>
      </c>
      <c r="AI509" t="str">
        <f>TRIM(PROPER(M:M))</f>
        <v>Same Day</v>
      </c>
      <c r="AJ509" s="3" t="str">
        <f t="shared" si="13"/>
        <v>anomaly</v>
      </c>
      <c r="AK509">
        <f>IFERROR(Y509-X509, "invalid date")</f>
        <v>7</v>
      </c>
      <c r="AL509" s="10">
        <v>0.25</v>
      </c>
      <c r="AM509" s="11">
        <v>8971.26</v>
      </c>
      <c r="AN509" s="11">
        <v>2156.91</v>
      </c>
      <c r="AO509" s="10">
        <v>0.24042442198754688</v>
      </c>
      <c r="AP509" t="s">
        <v>4385</v>
      </c>
      <c r="AQ509" t="s">
        <v>4527</v>
      </c>
      <c r="AR509" t="s">
        <v>4199</v>
      </c>
      <c r="AS509" t="s">
        <v>4120</v>
      </c>
      <c r="AT509" t="s">
        <v>4115</v>
      </c>
      <c r="AU509">
        <v>7</v>
      </c>
      <c r="AV509" t="s">
        <v>4109</v>
      </c>
    </row>
    <row r="510" spans="1:48">
      <c r="A510" t="s">
        <v>2477</v>
      </c>
      <c r="B510" t="s">
        <v>2478</v>
      </c>
      <c r="C510" t="s">
        <v>1428</v>
      </c>
      <c r="D510" t="s">
        <v>2479</v>
      </c>
      <c r="E510" t="s">
        <v>62</v>
      </c>
      <c r="F510" t="s">
        <v>50</v>
      </c>
      <c r="G510" t="s">
        <v>36</v>
      </c>
      <c r="H510" t="s">
        <v>334</v>
      </c>
      <c r="I510" t="s">
        <v>335</v>
      </c>
      <c r="J510" t="s">
        <v>95</v>
      </c>
      <c r="K510" t="s">
        <v>393</v>
      </c>
      <c r="L510" t="s">
        <v>2480</v>
      </c>
      <c r="M510" t="s">
        <v>42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43</v>
      </c>
      <c r="U510" t="s">
        <v>44</v>
      </c>
      <c r="W510" t="s">
        <v>2477</v>
      </c>
      <c r="X510" t="str">
        <v>31-03-24</v>
      </c>
      <c r="Y510" t="str">
        <v>07-04-24</v>
      </c>
      <c r="Z510" t="s">
        <v>2479</v>
      </c>
      <c r="AA510" t="str">
        <v>Isha Nair</v>
      </c>
      <c r="AB510" t="str">
        <f>TRIM(PROPER(F:F))</f>
        <v>Small Business</v>
      </c>
      <c r="AC510" t="str">
        <f>TRIM(PROPER(G:G))</f>
        <v>North</v>
      </c>
      <c r="AD510" t="str">
        <f>TRIM(PROPER(H:H))</f>
        <v>Haryana</v>
      </c>
      <c r="AE510" t="str">
        <f>TRIM(PROPER(I:I))</f>
        <v>Gurugram</v>
      </c>
      <c r="AF510" t="str">
        <f>TRIM(PROPER(J:J))</f>
        <v>Technology</v>
      </c>
      <c r="AG510" t="str">
        <f>TRIM(PROPER(K:K))</f>
        <v>Machines</v>
      </c>
      <c r="AH510" t="str">
        <f>TRIM(PROPER(L:L))</f>
        <v>Smart Machines 853</v>
      </c>
      <c r="AI510" t="str">
        <f>TRIM(PROPER(M:M))</f>
        <v>Second Class</v>
      </c>
      <c r="AJ510" s="3" t="str">
        <f t="shared" si="13"/>
        <v xml:space="preserve">  </v>
      </c>
      <c r="AK510">
        <f>IFERROR(Y510-X510, "invalid date")</f>
        <v>7</v>
      </c>
      <c r="AL510" s="10">
        <v>0</v>
      </c>
      <c r="AM510" s="11">
        <v>7324</v>
      </c>
      <c r="AN510" s="11">
        <v>3144.37</v>
      </c>
      <c r="AO510" s="10">
        <v>0.42932413981430911</v>
      </c>
      <c r="AP510" t="s">
        <v>4592</v>
      </c>
      <c r="AQ510" t="s">
        <v>4436</v>
      </c>
      <c r="AR510" t="s">
        <v>4159</v>
      </c>
      <c r="AS510" t="s">
        <v>4107</v>
      </c>
      <c r="AT510" t="s">
        <v>4121</v>
      </c>
      <c r="AU510">
        <v>7</v>
      </c>
      <c r="AV510" t="s">
        <v>4109</v>
      </c>
    </row>
    <row r="511" spans="1:48">
      <c r="A511" t="s">
        <v>2481</v>
      </c>
      <c r="B511" t="s">
        <v>2482</v>
      </c>
      <c r="C511" t="s">
        <v>2483</v>
      </c>
      <c r="D511" t="s">
        <v>2484</v>
      </c>
      <c r="E511" t="s">
        <v>102</v>
      </c>
      <c r="F511" t="s">
        <v>35</v>
      </c>
      <c r="G511" t="s">
        <v>82</v>
      </c>
      <c r="H511" t="s">
        <v>245</v>
      </c>
      <c r="I511" t="s">
        <v>246</v>
      </c>
      <c r="J511" t="s">
        <v>95</v>
      </c>
      <c r="K511" t="s">
        <v>393</v>
      </c>
      <c r="L511" t="s">
        <v>2485</v>
      </c>
      <c r="M511" t="s">
        <v>57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43</v>
      </c>
      <c r="U511" t="s">
        <v>44</v>
      </c>
      <c r="W511" t="s">
        <v>2481</v>
      </c>
      <c r="X511" t="str">
        <v>12-05-25</v>
      </c>
      <c r="Y511" t="str">
        <v>invalid date</v>
      </c>
      <c r="Z511" t="s">
        <v>2484</v>
      </c>
      <c r="AA511" t="str">
        <v>Neha Gupta</v>
      </c>
      <c r="AB511" t="str">
        <f>TRIM(PROPER(F:F))</f>
        <v>Consumer</v>
      </c>
      <c r="AC511" t="str">
        <f>TRIM(PROPER(G:G))</f>
        <v>West</v>
      </c>
      <c r="AD511" t="str">
        <f>TRIM(PROPER(H:H))</f>
        <v>Gujarat</v>
      </c>
      <c r="AE511" t="str">
        <f>TRIM(PROPER(I:I))</f>
        <v>Ahmedabad</v>
      </c>
      <c r="AF511" t="str">
        <f>TRIM(PROPER(J:J))</f>
        <v>Technology</v>
      </c>
      <c r="AG511" t="str">
        <f>TRIM(PROPER(K:K))</f>
        <v>Machines</v>
      </c>
      <c r="AH511" t="str">
        <f>TRIM(PROPER(L:L))</f>
        <v>Classic Machines 599</v>
      </c>
      <c r="AI511" t="str">
        <f>TRIM(PROPER(M:M))</f>
        <v>Same Day</v>
      </c>
      <c r="AJ511" s="3" t="str">
        <f t="shared" si="13"/>
        <v>Invalid</v>
      </c>
      <c r="AK511" t="str">
        <f>IFERROR(Y511-X511, "invalid date")</f>
        <v>invalid date</v>
      </c>
      <c r="AL511" s="10">
        <v>0.2</v>
      </c>
      <c r="AM511" s="11">
        <v>23241.216</v>
      </c>
      <c r="AN511" s="11">
        <v>6020.3159999999989</v>
      </c>
      <c r="AO511" s="10">
        <v>0.25903618812371948</v>
      </c>
      <c r="AP511" t="s">
        <v>4478</v>
      </c>
      <c r="AQ511" t="s">
        <v>4105</v>
      </c>
      <c r="AR511" t="s">
        <v>4124</v>
      </c>
      <c r="AS511" t="s">
        <v>4120</v>
      </c>
      <c r="AT511" t="s">
        <v>4108</v>
      </c>
      <c r="AU511" t="s">
        <v>4105</v>
      </c>
      <c r="AV511" t="s">
        <v>4109</v>
      </c>
    </row>
    <row r="512" spans="1:48">
      <c r="A512" t="s">
        <v>2486</v>
      </c>
      <c r="B512" t="s">
        <v>655</v>
      </c>
      <c r="C512" t="s">
        <v>2487</v>
      </c>
      <c r="D512" t="s">
        <v>2488</v>
      </c>
      <c r="E512" t="s">
        <v>2489</v>
      </c>
      <c r="F512" t="s">
        <v>35</v>
      </c>
      <c r="G512" t="s">
        <v>71</v>
      </c>
      <c r="H512" t="s">
        <v>239</v>
      </c>
      <c r="I512" t="s">
        <v>240</v>
      </c>
      <c r="J512" t="s">
        <v>39</v>
      </c>
      <c r="K512" t="s">
        <v>165</v>
      </c>
      <c r="L512" t="s">
        <v>2490</v>
      </c>
      <c r="M512" t="s">
        <v>42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43</v>
      </c>
      <c r="U512" t="s">
        <v>44</v>
      </c>
      <c r="W512" t="s">
        <v>2486</v>
      </c>
      <c r="X512" t="str">
        <v>invalid date</v>
      </c>
      <c r="Y512" t="str">
        <v>21-10-24</v>
      </c>
      <c r="Z512" t="s">
        <v>2488</v>
      </c>
      <c r="AA512" t="str">
        <v>Aarav Sharma</v>
      </c>
      <c r="AB512" t="str">
        <f>TRIM(PROPER(F:F))</f>
        <v>Consumer</v>
      </c>
      <c r="AC512" t="str">
        <f>TRIM(PROPER(G:G))</f>
        <v>South</v>
      </c>
      <c r="AD512" t="str">
        <f>TRIM(PROPER(H:H))</f>
        <v>Karnataka</v>
      </c>
      <c r="AE512" t="str">
        <f>TRIM(PROPER(I:I))</f>
        <v>Bengaluru</v>
      </c>
      <c r="AF512" t="str">
        <f>TRIM(PROPER(J:J))</f>
        <v>Office Supplies</v>
      </c>
      <c r="AG512" t="str">
        <f>TRIM(PROPER(K:K))</f>
        <v>Storage</v>
      </c>
      <c r="AH512" t="str">
        <f>TRIM(PROPER(L:L))</f>
        <v>Pro Storage 373</v>
      </c>
      <c r="AI512" t="str">
        <f>TRIM(PROPER(M:M))</f>
        <v>Second Class</v>
      </c>
      <c r="AJ512" s="3" t="str">
        <f t="shared" si="13"/>
        <v>Invalid</v>
      </c>
      <c r="AK512" t="str">
        <f>IFERROR(Y512-X512, "invalid date")</f>
        <v>invalid date</v>
      </c>
      <c r="AL512" s="10">
        <v>0</v>
      </c>
      <c r="AM512" s="11">
        <v>8477.02</v>
      </c>
      <c r="AN512" s="11">
        <v>1592.0600000000004</v>
      </c>
      <c r="AO512" s="10">
        <v>0.18780892341884298</v>
      </c>
      <c r="AP512" t="s">
        <v>4105</v>
      </c>
      <c r="AQ512" t="s">
        <v>4405</v>
      </c>
      <c r="AR512" t="s">
        <v>4105</v>
      </c>
      <c r="AS512" t="s">
        <v>4105</v>
      </c>
      <c r="AT512" t="s">
        <v>4108</v>
      </c>
      <c r="AU512" t="s">
        <v>4105</v>
      </c>
      <c r="AV512" t="s">
        <v>4109</v>
      </c>
    </row>
    <row r="513" spans="1:48">
      <c r="A513" t="s">
        <v>2491</v>
      </c>
      <c r="B513" t="s">
        <v>2492</v>
      </c>
      <c r="C513" t="s">
        <v>2493</v>
      </c>
      <c r="D513" t="s">
        <v>2494</v>
      </c>
      <c r="E513" t="s">
        <v>177</v>
      </c>
      <c r="F513" t="s">
        <v>35</v>
      </c>
      <c r="G513" t="s">
        <v>82</v>
      </c>
      <c r="H513" t="s">
        <v>93</v>
      </c>
      <c r="I513" t="s">
        <v>94</v>
      </c>
      <c r="J513" t="s">
        <v>54</v>
      </c>
      <c r="K513" t="s">
        <v>214</v>
      </c>
      <c r="L513" t="s">
        <v>2495</v>
      </c>
      <c r="M513" t="s">
        <v>76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43</v>
      </c>
      <c r="U513" t="s">
        <v>44</v>
      </c>
      <c r="W513" t="s">
        <v>2491</v>
      </c>
      <c r="X513" t="str">
        <v>invalid date</v>
      </c>
      <c r="Y513" t="str">
        <v>26-10-24</v>
      </c>
      <c r="Z513" t="s">
        <v>2494</v>
      </c>
      <c r="AA513" t="str">
        <v>Sneha Kapoor</v>
      </c>
      <c r="AB513" t="str">
        <f>TRIM(PROPER(F:F))</f>
        <v>Consumer</v>
      </c>
      <c r="AC513" t="str">
        <f>TRIM(PROPER(G:G))</f>
        <v>West</v>
      </c>
      <c r="AD513" t="str">
        <f>TRIM(PROPER(H:H))</f>
        <v>Madhya Pradesh</v>
      </c>
      <c r="AE513" t="str">
        <f>TRIM(PROPER(I:I))</f>
        <v>Indore</v>
      </c>
      <c r="AF513" t="str">
        <f>TRIM(PROPER(J:J))</f>
        <v>Furniture</v>
      </c>
      <c r="AG513" t="str">
        <f>TRIM(PROPER(K:K))</f>
        <v>Bookcases</v>
      </c>
      <c r="AH513" t="str">
        <f>TRIM(PROPER(L:L))</f>
        <v>Smart Bookcases 920</v>
      </c>
      <c r="AI513" t="str">
        <f>TRIM(PROPER(M:M))</f>
        <v>Standard Class</v>
      </c>
      <c r="AJ513" s="3" t="str">
        <f t="shared" si="13"/>
        <v>Invalid</v>
      </c>
      <c r="AK513" t="str">
        <f>IFERROR(Y513-X513, "invalid date")</f>
        <v>invalid date</v>
      </c>
      <c r="AL513" s="10">
        <v>0.25</v>
      </c>
      <c r="AM513" s="11">
        <v>3673.8225000000002</v>
      </c>
      <c r="AN513" s="11">
        <v>1585.6725000000001</v>
      </c>
      <c r="AO513" s="10">
        <v>0.43161380278987349</v>
      </c>
      <c r="AP513" t="s">
        <v>4105</v>
      </c>
      <c r="AQ513" t="s">
        <v>4204</v>
      </c>
      <c r="AR513" t="s">
        <v>4105</v>
      </c>
      <c r="AS513" t="s">
        <v>4105</v>
      </c>
      <c r="AT513" t="s">
        <v>4108</v>
      </c>
      <c r="AU513" t="s">
        <v>4105</v>
      </c>
      <c r="AV513" t="s">
        <v>4109</v>
      </c>
    </row>
    <row r="514" spans="1:48">
      <c r="A514" t="s">
        <v>2496</v>
      </c>
      <c r="B514" t="s">
        <v>796</v>
      </c>
      <c r="C514" t="s">
        <v>2497</v>
      </c>
      <c r="D514" t="s">
        <v>1909</v>
      </c>
      <c r="E514" t="s">
        <v>62</v>
      </c>
      <c r="F514" t="s">
        <v>117</v>
      </c>
      <c r="G514" t="s">
        <v>71</v>
      </c>
      <c r="H514" t="s">
        <v>252</v>
      </c>
      <c r="I514" t="s">
        <v>253</v>
      </c>
      <c r="J514" t="s">
        <v>39</v>
      </c>
      <c r="K514" t="s">
        <v>118</v>
      </c>
      <c r="L514" t="s">
        <v>2498</v>
      </c>
      <c r="M514" t="s">
        <v>42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43</v>
      </c>
      <c r="U514" t="s">
        <v>44</v>
      </c>
      <c r="W514" t="s">
        <v>2496</v>
      </c>
      <c r="X514" t="str">
        <v>03-02-25</v>
      </c>
      <c r="Y514" t="str">
        <v>03-03-25</v>
      </c>
      <c r="Z514" t="s">
        <v>1909</v>
      </c>
      <c r="AA514" t="str">
        <v>Isha Nair</v>
      </c>
      <c r="AB514" t="str">
        <f>TRIM(PROPER(F:F))</f>
        <v>Corporate</v>
      </c>
      <c r="AC514" t="str">
        <f>TRIM(PROPER(G:G))</f>
        <v>South</v>
      </c>
      <c r="AD514" t="str">
        <f>TRIM(PROPER(H:H))</f>
        <v>Kerala</v>
      </c>
      <c r="AE514" t="str">
        <f>TRIM(PROPER(I:I))</f>
        <v>Kochi</v>
      </c>
      <c r="AF514" t="str">
        <f>TRIM(PROPER(J:J))</f>
        <v>Office Supplies</v>
      </c>
      <c r="AG514" t="str">
        <f>TRIM(PROPER(K:K))</f>
        <v>Labels</v>
      </c>
      <c r="AH514" t="str">
        <f>TRIM(PROPER(L:L))</f>
        <v>Pro Labels 849</v>
      </c>
      <c r="AI514" t="str">
        <f>TRIM(PROPER(M:M))</f>
        <v>Second Class</v>
      </c>
      <c r="AJ514" s="3" t="str">
        <f t="shared" si="13"/>
        <v>anomaly</v>
      </c>
      <c r="AK514">
        <f>IFERROR(Y514-X514, "invalid date")</f>
        <v>28</v>
      </c>
      <c r="AL514" s="10">
        <v>0.25</v>
      </c>
      <c r="AM514" s="11">
        <v>6047.1749999999993</v>
      </c>
      <c r="AN514" s="11">
        <v>2678.3849999999993</v>
      </c>
      <c r="AO514" s="10">
        <v>0.44291508018206843</v>
      </c>
      <c r="AP514" t="s">
        <v>4225</v>
      </c>
      <c r="AQ514" t="s">
        <v>4451</v>
      </c>
      <c r="AR514" t="s">
        <v>4129</v>
      </c>
      <c r="AS514" t="s">
        <v>4120</v>
      </c>
      <c r="AT514" t="s">
        <v>4115</v>
      </c>
      <c r="AU514">
        <v>28</v>
      </c>
      <c r="AV514" t="s">
        <v>4109</v>
      </c>
    </row>
    <row r="515" spans="1:48">
      <c r="A515" t="s">
        <v>2499</v>
      </c>
      <c r="B515" t="s">
        <v>1007</v>
      </c>
      <c r="C515" t="s">
        <v>2406</v>
      </c>
      <c r="D515" t="s">
        <v>2500</v>
      </c>
      <c r="E515" t="s">
        <v>171</v>
      </c>
      <c r="F515" t="s">
        <v>117</v>
      </c>
      <c r="G515" t="s">
        <v>71</v>
      </c>
      <c r="H515" t="s">
        <v>252</v>
      </c>
      <c r="I515" t="s">
        <v>253</v>
      </c>
      <c r="J515" t="s">
        <v>95</v>
      </c>
      <c r="K515" t="s">
        <v>96</v>
      </c>
      <c r="L515" t="s">
        <v>2501</v>
      </c>
      <c r="M515" t="s">
        <v>65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43</v>
      </c>
      <c r="U515" t="s">
        <v>44</v>
      </c>
      <c r="W515" t="s">
        <v>2499</v>
      </c>
      <c r="X515" t="str">
        <v>27-06-25</v>
      </c>
      <c r="Y515" t="str">
        <v>07-02-25</v>
      </c>
      <c r="Z515" t="s">
        <v>2500</v>
      </c>
      <c r="AA515" t="str">
        <v>Aarav Sharma</v>
      </c>
      <c r="AB515" t="str">
        <f>TRIM(PROPER(F:F))</f>
        <v>Corporate</v>
      </c>
      <c r="AC515" t="str">
        <f>TRIM(PROPER(G:G))</f>
        <v>South</v>
      </c>
      <c r="AD515" t="str">
        <f>TRIM(PROPER(H:H))</f>
        <v>Kerala</v>
      </c>
      <c r="AE515" t="str">
        <f>TRIM(PROPER(I:I))</f>
        <v>Kochi</v>
      </c>
      <c r="AF515" t="str">
        <f>TRIM(PROPER(J:J))</f>
        <v>Technology</v>
      </c>
      <c r="AG515" t="str">
        <f>TRIM(PROPER(K:K))</f>
        <v>Accessories</v>
      </c>
      <c r="AH515" t="str">
        <f>TRIM(PROPER(L:L))</f>
        <v>Prime Accessories 849</v>
      </c>
      <c r="AI515" t="str">
        <f>TRIM(PROPER(M:M))</f>
        <v>First Class</v>
      </c>
      <c r="AJ515" s="3" t="str">
        <f t="shared" ref="AJ515:AJ578" si="14">IF(OR(X:X="Invalid Date",Y:Y="Invalid Date"),"Invalid",(IF(X:X&lt;Y:Y,"anomaly", "  ")))</f>
        <v xml:space="preserve">  </v>
      </c>
      <c r="AK515">
        <f>IFERROR(Y515-X515, "invalid date")</f>
        <v>-140</v>
      </c>
      <c r="AL515" s="10">
        <v>0.1</v>
      </c>
      <c r="AM515" s="11">
        <v>5937.246000000001</v>
      </c>
      <c r="AN515" s="11">
        <v>1848.786000000001</v>
      </c>
      <c r="AO515" s="10">
        <v>0.31138780505304997</v>
      </c>
      <c r="AP515" t="s">
        <v>4353</v>
      </c>
      <c r="AQ515" t="s">
        <v>4226</v>
      </c>
      <c r="AR515" t="s">
        <v>4170</v>
      </c>
      <c r="AS515" t="s">
        <v>4120</v>
      </c>
      <c r="AT515" t="s">
        <v>4121</v>
      </c>
      <c r="AU515">
        <v>-140</v>
      </c>
      <c r="AV515" t="s">
        <v>4109</v>
      </c>
    </row>
    <row r="516" spans="1:48">
      <c r="A516" t="s">
        <v>2502</v>
      </c>
      <c r="B516" t="s">
        <v>2503</v>
      </c>
      <c r="C516" t="s">
        <v>2416</v>
      </c>
      <c r="D516" t="s">
        <v>2504</v>
      </c>
      <c r="E516" t="s">
        <v>34</v>
      </c>
      <c r="F516" t="s">
        <v>124</v>
      </c>
      <c r="G516" t="s">
        <v>71</v>
      </c>
      <c r="H516" t="s">
        <v>252</v>
      </c>
      <c r="I516" t="s">
        <v>253</v>
      </c>
      <c r="J516" t="s">
        <v>95</v>
      </c>
      <c r="K516" t="s">
        <v>96</v>
      </c>
      <c r="L516" t="s">
        <v>2505</v>
      </c>
      <c r="M516" t="s">
        <v>76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43</v>
      </c>
      <c r="U516" t="s">
        <v>44</v>
      </c>
      <c r="W516" t="s">
        <v>2502</v>
      </c>
      <c r="X516" t="str">
        <v>18-11-24</v>
      </c>
      <c r="Y516" t="str">
        <v>22-11-24</v>
      </c>
      <c r="Z516" t="s">
        <v>2504</v>
      </c>
      <c r="AA516" t="str">
        <v>Karan Malhotra</v>
      </c>
      <c r="AB516" t="str">
        <f>TRIM(PROPER(F:F))</f>
        <v>Home Office</v>
      </c>
      <c r="AC516" t="str">
        <f>TRIM(PROPER(G:G))</f>
        <v>South</v>
      </c>
      <c r="AD516" t="str">
        <f>TRIM(PROPER(H:H))</f>
        <v>Kerala</v>
      </c>
      <c r="AE516" t="str">
        <f>TRIM(PROPER(I:I))</f>
        <v>Kochi</v>
      </c>
      <c r="AF516" t="str">
        <f>TRIM(PROPER(J:J))</f>
        <v>Technology</v>
      </c>
      <c r="AG516" t="str">
        <f>TRIM(PROPER(K:K))</f>
        <v>Accessories</v>
      </c>
      <c r="AH516" t="str">
        <f>TRIM(PROPER(L:L))</f>
        <v>Smart Accessories 388</v>
      </c>
      <c r="AI516" t="str">
        <f>TRIM(PROPER(M:M))</f>
        <v>Standard Class</v>
      </c>
      <c r="AJ516" s="3" t="str">
        <f t="shared" si="14"/>
        <v>anomaly</v>
      </c>
      <c r="AK516">
        <f>IFERROR(Y516-X516, "invalid date")</f>
        <v>4</v>
      </c>
      <c r="AL516" s="10">
        <v>0.1</v>
      </c>
      <c r="AM516" s="11">
        <v>20913.876</v>
      </c>
      <c r="AN516" s="11">
        <v>9229.1959999999999</v>
      </c>
      <c r="AO516" s="10">
        <v>0.44129533903710627</v>
      </c>
      <c r="AP516" t="s">
        <v>4593</v>
      </c>
      <c r="AQ516" t="s">
        <v>4171</v>
      </c>
      <c r="AR516" t="s">
        <v>4117</v>
      </c>
      <c r="AS516" t="s">
        <v>4107</v>
      </c>
      <c r="AT516" t="s">
        <v>4115</v>
      </c>
      <c r="AU516">
        <v>4</v>
      </c>
      <c r="AV516" t="s">
        <v>4109</v>
      </c>
    </row>
    <row r="517" spans="1:48">
      <c r="A517" t="s">
        <v>2506</v>
      </c>
      <c r="B517" t="s">
        <v>2151</v>
      </c>
      <c r="C517" t="s">
        <v>2507</v>
      </c>
      <c r="D517" t="s">
        <v>2508</v>
      </c>
      <c r="E517" t="s">
        <v>157</v>
      </c>
      <c r="F517" t="s">
        <v>117</v>
      </c>
      <c r="G517" t="s">
        <v>36</v>
      </c>
      <c r="H517" t="s">
        <v>517</v>
      </c>
      <c r="I517" t="s">
        <v>518</v>
      </c>
      <c r="J517" t="s">
        <v>39</v>
      </c>
      <c r="K517" t="s">
        <v>40</v>
      </c>
      <c r="L517" t="s">
        <v>2509</v>
      </c>
      <c r="M517" t="s">
        <v>76</v>
      </c>
      <c r="N517">
        <v>1</v>
      </c>
      <c r="O517">
        <v>4458.49</v>
      </c>
      <c r="P517" s="4" t="s">
        <v>191</v>
      </c>
      <c r="Q517">
        <v>3566.79</v>
      </c>
      <c r="R517">
        <v>2083.41</v>
      </c>
      <c r="S517">
        <v>1483.38</v>
      </c>
      <c r="T517" t="s">
        <v>43</v>
      </c>
      <c r="U517" t="s">
        <v>44</v>
      </c>
      <c r="W517" t="s">
        <v>2506</v>
      </c>
      <c r="X517" t="str">
        <v>04-11-25</v>
      </c>
      <c r="Y517" t="str">
        <v>11-04-25</v>
      </c>
      <c r="Z517" t="s">
        <v>2508</v>
      </c>
      <c r="AA517" t="str">
        <v>Rahul Verma</v>
      </c>
      <c r="AB517" t="str">
        <f>TRIM(PROPER(F:F))</f>
        <v>Corporate</v>
      </c>
      <c r="AC517" t="str">
        <f>TRIM(PROPER(G:G))</f>
        <v>North</v>
      </c>
      <c r="AD517" t="str">
        <f>TRIM(PROPER(H:H))</f>
        <v>Delhi</v>
      </c>
      <c r="AE517" t="str">
        <f>TRIM(PROPER(I:I))</f>
        <v>New Delhi</v>
      </c>
      <c r="AF517" t="str">
        <f>TRIM(PROPER(J:J))</f>
        <v>Office Supplies</v>
      </c>
      <c r="AG517" t="str">
        <f>TRIM(PROPER(K:K))</f>
        <v>Paper</v>
      </c>
      <c r="AH517" t="str">
        <f>TRIM(PROPER(L:L))</f>
        <v>Classic Paper 752</v>
      </c>
      <c r="AI517" t="str">
        <f>TRIM(PROPER(M:M))</f>
        <v>Standard Class</v>
      </c>
      <c r="AJ517" s="3" t="str">
        <f t="shared" si="14"/>
        <v>anomaly</v>
      </c>
      <c r="AK517">
        <f>IFERROR(Y517-X517, "invalid date")</f>
        <v>-207</v>
      </c>
      <c r="AL517" s="10" t="s">
        <v>191</v>
      </c>
      <c r="AM517" s="11" t="s">
        <v>4111</v>
      </c>
      <c r="AN517" s="11" t="s">
        <v>4111</v>
      </c>
      <c r="AO517" s="10" t="s">
        <v>4111</v>
      </c>
      <c r="AP517" t="s">
        <v>4552</v>
      </c>
      <c r="AQ517" t="s">
        <v>4319</v>
      </c>
      <c r="AR517" t="s">
        <v>4117</v>
      </c>
      <c r="AS517" t="s">
        <v>4120</v>
      </c>
      <c r="AT517" t="s">
        <v>4115</v>
      </c>
      <c r="AU517">
        <v>-207</v>
      </c>
      <c r="AV517" t="s">
        <v>4109</v>
      </c>
    </row>
    <row r="518" spans="1:48">
      <c r="A518" t="s">
        <v>2510</v>
      </c>
      <c r="B518" t="s">
        <v>2511</v>
      </c>
      <c r="C518" t="s">
        <v>2512</v>
      </c>
      <c r="D518" t="s">
        <v>2513</v>
      </c>
      <c r="E518" t="s">
        <v>377</v>
      </c>
      <c r="F518" t="s">
        <v>124</v>
      </c>
      <c r="G518" t="s">
        <v>36</v>
      </c>
      <c r="H518" t="s">
        <v>517</v>
      </c>
      <c r="I518" t="s">
        <v>518</v>
      </c>
      <c r="J518" t="s">
        <v>95</v>
      </c>
      <c r="K518" t="s">
        <v>103</v>
      </c>
      <c r="L518" t="s">
        <v>2514</v>
      </c>
      <c r="M518" t="s">
        <v>76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210</v>
      </c>
      <c r="U518" t="s">
        <v>134</v>
      </c>
      <c r="W518" t="s">
        <v>2510</v>
      </c>
      <c r="X518" t="str">
        <v>invalid date</v>
      </c>
      <c r="Y518" t="str">
        <v>04-10-24</v>
      </c>
      <c r="Z518" t="s">
        <v>2513</v>
      </c>
      <c r="AA518" t="str">
        <v>Kabir Singh</v>
      </c>
      <c r="AB518" t="str">
        <f>TRIM(PROPER(F:F))</f>
        <v>Home Office</v>
      </c>
      <c r="AC518" t="str">
        <f>TRIM(PROPER(G:G))</f>
        <v>North</v>
      </c>
      <c r="AD518" t="str">
        <f>TRIM(PROPER(H:H))</f>
        <v>Delhi</v>
      </c>
      <c r="AE518" t="str">
        <f>TRIM(PROPER(I:I))</f>
        <v>New Delhi</v>
      </c>
      <c r="AF518" t="str">
        <f>TRIM(PROPER(J:J))</f>
        <v>Technology</v>
      </c>
      <c r="AG518" t="str">
        <f>TRIM(PROPER(K:K))</f>
        <v>Copiers</v>
      </c>
      <c r="AH518" t="str">
        <f>TRIM(PROPER(L:L))</f>
        <v>Classic Copiers 143</v>
      </c>
      <c r="AI518" t="str">
        <f>TRIM(PROPER(M:M))</f>
        <v>Standard Class</v>
      </c>
      <c r="AJ518" s="3" t="str">
        <f t="shared" si="14"/>
        <v>Invalid</v>
      </c>
      <c r="AK518" t="str">
        <f>IFERROR(Y518-X518, "invalid date")</f>
        <v>invalid date</v>
      </c>
      <c r="AL518" s="10">
        <v>0</v>
      </c>
      <c r="AM518" s="11">
        <v>2233.1799999999998</v>
      </c>
      <c r="AN518" s="11">
        <v>647.3599999999999</v>
      </c>
      <c r="AO518" s="10">
        <v>0.28988258895386843</v>
      </c>
      <c r="AP518" t="s">
        <v>4105</v>
      </c>
      <c r="AQ518" t="s">
        <v>4535</v>
      </c>
      <c r="AR518" t="s">
        <v>4105</v>
      </c>
      <c r="AS518" t="s">
        <v>4105</v>
      </c>
      <c r="AT518" t="s">
        <v>4108</v>
      </c>
      <c r="AU518" t="s">
        <v>4105</v>
      </c>
      <c r="AV518" t="s">
        <v>4109</v>
      </c>
    </row>
    <row r="519" spans="1:48">
      <c r="A519" t="s">
        <v>2515</v>
      </c>
      <c r="B519" t="s">
        <v>2516</v>
      </c>
      <c r="C519" t="s">
        <v>1691</v>
      </c>
      <c r="D519" t="s">
        <v>2517</v>
      </c>
      <c r="E519" t="s">
        <v>157</v>
      </c>
      <c r="F519" t="s">
        <v>35</v>
      </c>
      <c r="G519" t="s">
        <v>51</v>
      </c>
      <c r="H519" t="s">
        <v>52</v>
      </c>
      <c r="I519" t="s">
        <v>53</v>
      </c>
      <c r="J519" t="s">
        <v>54</v>
      </c>
      <c r="K519" t="s">
        <v>74</v>
      </c>
      <c r="L519" t="s">
        <v>2518</v>
      </c>
      <c r="M519" t="s">
        <v>42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133</v>
      </c>
      <c r="U519" t="s">
        <v>134</v>
      </c>
      <c r="W519" t="s">
        <v>2515</v>
      </c>
      <c r="X519" t="str">
        <v>25-05-25</v>
      </c>
      <c r="Y519" t="str">
        <v>27-05-25</v>
      </c>
      <c r="Z519" t="s">
        <v>2517</v>
      </c>
      <c r="AA519" t="str">
        <v>Rahul Verma</v>
      </c>
      <c r="AB519" t="str">
        <f>TRIM(PROPER(F:F))</f>
        <v>Consumer</v>
      </c>
      <c r="AC519" t="str">
        <f>TRIM(PROPER(G:G))</f>
        <v>East</v>
      </c>
      <c r="AD519" t="str">
        <f>TRIM(PROPER(H:H))</f>
        <v>Odisha</v>
      </c>
      <c r="AE519" t="str">
        <f>TRIM(PROPER(I:I))</f>
        <v>Bhubaneswar</v>
      </c>
      <c r="AF519" t="str">
        <f>TRIM(PROPER(J:J))</f>
        <v>Furniture</v>
      </c>
      <c r="AG519" t="str">
        <f>TRIM(PROPER(K:K))</f>
        <v>Furnishings</v>
      </c>
      <c r="AH519" t="str">
        <f>TRIM(PROPER(L:L))</f>
        <v>Basic Furnishings 386</v>
      </c>
      <c r="AI519" t="str">
        <f>TRIM(PROPER(M:M))</f>
        <v>Second Class</v>
      </c>
      <c r="AJ519" s="3" t="str">
        <f t="shared" si="14"/>
        <v>anomaly</v>
      </c>
      <c r="AK519">
        <f>IFERROR(Y519-X519, "invalid date")</f>
        <v>2</v>
      </c>
      <c r="AL519" s="10">
        <v>0.2</v>
      </c>
      <c r="AM519" s="11">
        <v>11890.368000000002</v>
      </c>
      <c r="AN519" s="11">
        <v>2655.8380000000016</v>
      </c>
      <c r="AO519" s="10">
        <v>0.22336045444514427</v>
      </c>
      <c r="AP519" t="s">
        <v>4594</v>
      </c>
      <c r="AQ519" t="s">
        <v>4481</v>
      </c>
      <c r="AR519" t="s">
        <v>4124</v>
      </c>
      <c r="AS519" t="s">
        <v>4120</v>
      </c>
      <c r="AT519" t="s">
        <v>4115</v>
      </c>
      <c r="AU519">
        <v>2</v>
      </c>
      <c r="AV519" t="s">
        <v>4109</v>
      </c>
    </row>
    <row r="520" spans="1:48">
      <c r="A520" t="s">
        <v>2519</v>
      </c>
      <c r="B520" t="s">
        <v>2401</v>
      </c>
      <c r="C520" t="s">
        <v>2520</v>
      </c>
      <c r="D520" t="s">
        <v>2521</v>
      </c>
      <c r="E520" t="s">
        <v>220</v>
      </c>
      <c r="F520" t="s">
        <v>117</v>
      </c>
      <c r="G520" t="s">
        <v>51</v>
      </c>
      <c r="H520" t="s">
        <v>52</v>
      </c>
      <c r="I520" t="s">
        <v>53</v>
      </c>
      <c r="J520" t="s">
        <v>54</v>
      </c>
      <c r="K520" t="s">
        <v>55</v>
      </c>
      <c r="L520" t="s">
        <v>2522</v>
      </c>
      <c r="M520" t="s">
        <v>65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43</v>
      </c>
      <c r="U520" t="s">
        <v>87</v>
      </c>
      <c r="W520" t="s">
        <v>2519</v>
      </c>
      <c r="X520" t="str">
        <v>30-04-25</v>
      </c>
      <c r="Y520" t="str">
        <v>26-04-25</v>
      </c>
      <c r="Z520" t="s">
        <v>2521</v>
      </c>
      <c r="AA520" t="str">
        <v>Diya Patel</v>
      </c>
      <c r="AB520" t="str">
        <f>TRIM(PROPER(F:F))</f>
        <v>Corporate</v>
      </c>
      <c r="AC520" t="str">
        <f>TRIM(PROPER(G:G))</f>
        <v>East</v>
      </c>
      <c r="AD520" t="str">
        <f>TRIM(PROPER(H:H))</f>
        <v>Odisha</v>
      </c>
      <c r="AE520" t="str">
        <f>TRIM(PROPER(I:I))</f>
        <v>Bhubaneswar</v>
      </c>
      <c r="AF520" t="str">
        <f>TRIM(PROPER(J:J))</f>
        <v>Furniture</v>
      </c>
      <c r="AG520" t="str">
        <f>TRIM(PROPER(K:K))</f>
        <v>Tables</v>
      </c>
      <c r="AH520" t="str">
        <f>TRIM(PROPER(L:L))</f>
        <v>Classic Tables 592</v>
      </c>
      <c r="AI520" t="str">
        <f>TRIM(PROPER(M:M))</f>
        <v>First Class</v>
      </c>
      <c r="AJ520" s="3" t="str">
        <f t="shared" si="14"/>
        <v xml:space="preserve">  </v>
      </c>
      <c r="AK520">
        <f>IFERROR(Y520-X520, "invalid date")</f>
        <v>-4</v>
      </c>
      <c r="AL520" s="10">
        <v>0.25</v>
      </c>
      <c r="AM520" s="11">
        <v>8421.682499999999</v>
      </c>
      <c r="AN520" s="11">
        <v>1887.2124999999987</v>
      </c>
      <c r="AO520" s="10">
        <v>0.22408972316398759</v>
      </c>
      <c r="AP520" t="s">
        <v>4583</v>
      </c>
      <c r="AQ520" t="s">
        <v>4595</v>
      </c>
      <c r="AR520" t="s">
        <v>4199</v>
      </c>
      <c r="AS520" t="s">
        <v>4120</v>
      </c>
      <c r="AT520" t="s">
        <v>4121</v>
      </c>
      <c r="AU520">
        <v>-4</v>
      </c>
      <c r="AV520" t="s">
        <v>4109</v>
      </c>
    </row>
    <row r="521" spans="1:48">
      <c r="A521" t="s">
        <v>2523</v>
      </c>
      <c r="B521" t="s">
        <v>391</v>
      </c>
      <c r="C521" t="s">
        <v>2524</v>
      </c>
      <c r="D521" t="s">
        <v>2525</v>
      </c>
      <c r="E521" t="s">
        <v>151</v>
      </c>
      <c r="F521" t="s">
        <v>35</v>
      </c>
      <c r="G521" t="s">
        <v>36</v>
      </c>
      <c r="H521" t="s">
        <v>183</v>
      </c>
      <c r="I521" t="s">
        <v>184</v>
      </c>
      <c r="J521" t="s">
        <v>54</v>
      </c>
      <c r="K521" t="s">
        <v>55</v>
      </c>
      <c r="L521" t="s">
        <v>2526</v>
      </c>
      <c r="M521" t="s">
        <v>76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146</v>
      </c>
      <c r="U521" t="s">
        <v>87</v>
      </c>
      <c r="W521" t="s">
        <v>2523</v>
      </c>
      <c r="X521" t="str">
        <v>03-07-25</v>
      </c>
      <c r="Y521" t="str">
        <v>07-07-25</v>
      </c>
      <c r="Z521" t="s">
        <v>2525</v>
      </c>
      <c r="AA521" t="str">
        <v>Priya Menon</v>
      </c>
      <c r="AB521" t="str">
        <f>TRIM(PROPER(F:F))</f>
        <v>Consumer</v>
      </c>
      <c r="AC521" t="str">
        <f>TRIM(PROPER(G:G))</f>
        <v>North</v>
      </c>
      <c r="AD521" t="str">
        <f>TRIM(PROPER(H:H))</f>
        <v>Uttar Pradesh</v>
      </c>
      <c r="AE521" t="str">
        <f>TRIM(PROPER(I:I))</f>
        <v>Noida</v>
      </c>
      <c r="AF521" t="str">
        <f>TRIM(PROPER(J:J))</f>
        <v>Furniture</v>
      </c>
      <c r="AG521" t="str">
        <f>TRIM(PROPER(K:K))</f>
        <v>Tables</v>
      </c>
      <c r="AH521" t="str">
        <f>TRIM(PROPER(L:L))</f>
        <v>Pro Tables 412</v>
      </c>
      <c r="AI521" t="str">
        <f>TRIM(PROPER(M:M))</f>
        <v>Standard Class</v>
      </c>
      <c r="AJ521" s="3" t="str">
        <f t="shared" si="14"/>
        <v>anomaly</v>
      </c>
      <c r="AK521">
        <f>IFERROR(Y521-X521, "invalid date")</f>
        <v>4</v>
      </c>
      <c r="AL521" s="10">
        <v>0.2</v>
      </c>
      <c r="AM521" s="11">
        <v>13968.672</v>
      </c>
      <c r="AN521" s="11">
        <v>5111.0920000000006</v>
      </c>
      <c r="AO521" s="10">
        <v>0.36589677243477409</v>
      </c>
      <c r="AP521" t="s">
        <v>4209</v>
      </c>
      <c r="AQ521" t="s">
        <v>4506</v>
      </c>
      <c r="AR521" t="s">
        <v>4106</v>
      </c>
      <c r="AS521" t="s">
        <v>4120</v>
      </c>
      <c r="AT521" t="s">
        <v>4115</v>
      </c>
      <c r="AU521">
        <v>4</v>
      </c>
      <c r="AV521" t="s">
        <v>4109</v>
      </c>
    </row>
    <row r="522" spans="1:48">
      <c r="A522" t="s">
        <v>2527</v>
      </c>
      <c r="B522" t="s">
        <v>1119</v>
      </c>
      <c r="C522" t="s">
        <v>2528</v>
      </c>
      <c r="D522" t="s">
        <v>2529</v>
      </c>
      <c r="E522" t="s">
        <v>171</v>
      </c>
      <c r="F522" t="s">
        <v>124</v>
      </c>
      <c r="G522" t="s">
        <v>71</v>
      </c>
      <c r="H522" t="s">
        <v>239</v>
      </c>
      <c r="I522" t="s">
        <v>240</v>
      </c>
      <c r="J522" t="s">
        <v>95</v>
      </c>
      <c r="K522" t="s">
        <v>393</v>
      </c>
      <c r="L522" t="s">
        <v>2530</v>
      </c>
      <c r="M522" t="s">
        <v>57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43</v>
      </c>
      <c r="U522" t="s">
        <v>44</v>
      </c>
      <c r="W522" t="s">
        <v>2527</v>
      </c>
      <c r="X522" t="str">
        <v>16-07-24</v>
      </c>
      <c r="Y522" t="str">
        <v>23-07-24</v>
      </c>
      <c r="Z522" t="s">
        <v>2529</v>
      </c>
      <c r="AA522" t="str">
        <v>Aarav Sharma</v>
      </c>
      <c r="AB522" t="str">
        <f>TRIM(PROPER(F:F))</f>
        <v>Home Office</v>
      </c>
      <c r="AC522" t="str">
        <f>TRIM(PROPER(G:G))</f>
        <v>South</v>
      </c>
      <c r="AD522" t="str">
        <f>TRIM(PROPER(H:H))</f>
        <v>Karnataka</v>
      </c>
      <c r="AE522" t="str">
        <f>TRIM(PROPER(I:I))</f>
        <v>Bengaluru</v>
      </c>
      <c r="AF522" t="str">
        <f>TRIM(PROPER(J:J))</f>
        <v>Technology</v>
      </c>
      <c r="AG522" t="str">
        <f>TRIM(PROPER(K:K))</f>
        <v>Machines</v>
      </c>
      <c r="AH522" t="str">
        <f>TRIM(PROPER(L:L))</f>
        <v>Prime Machines 393</v>
      </c>
      <c r="AI522" t="str">
        <f>TRIM(PROPER(M:M))</f>
        <v>Same Day</v>
      </c>
      <c r="AJ522" s="3" t="str">
        <f t="shared" si="14"/>
        <v>anomaly</v>
      </c>
      <c r="AK522">
        <f>IFERROR(Y522-X522, "invalid date")</f>
        <v>7</v>
      </c>
      <c r="AL522" s="10">
        <v>0.05</v>
      </c>
      <c r="AM522" s="11">
        <v>1611.1144999999999</v>
      </c>
      <c r="AN522" s="11">
        <v>715.96449999999993</v>
      </c>
      <c r="AO522" s="10">
        <v>0.44439082386757739</v>
      </c>
      <c r="AP522" t="s">
        <v>4379</v>
      </c>
      <c r="AQ522" t="s">
        <v>4137</v>
      </c>
      <c r="AR522" t="s">
        <v>4106</v>
      </c>
      <c r="AS522" t="s">
        <v>4107</v>
      </c>
      <c r="AT522" t="s">
        <v>4115</v>
      </c>
      <c r="AU522">
        <v>7</v>
      </c>
      <c r="AV522" t="s">
        <v>4109</v>
      </c>
    </row>
    <row r="523" spans="1:48">
      <c r="A523" t="s">
        <v>2531</v>
      </c>
      <c r="B523" t="s">
        <v>2532</v>
      </c>
      <c r="C523" t="s">
        <v>2533</v>
      </c>
      <c r="D523" t="s">
        <v>2534</v>
      </c>
      <c r="E523" t="s">
        <v>220</v>
      </c>
      <c r="F523" t="s">
        <v>35</v>
      </c>
      <c r="G523" t="s">
        <v>36</v>
      </c>
      <c r="H523" t="s">
        <v>163</v>
      </c>
      <c r="I523" t="s">
        <v>164</v>
      </c>
      <c r="J523" t="s">
        <v>39</v>
      </c>
      <c r="K523" t="s">
        <v>118</v>
      </c>
      <c r="L523" t="s">
        <v>2535</v>
      </c>
      <c r="M523" t="s">
        <v>42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43</v>
      </c>
      <c r="U523" t="s">
        <v>44</v>
      </c>
      <c r="W523" t="s">
        <v>2531</v>
      </c>
      <c r="X523" t="str">
        <v>25-03-25</v>
      </c>
      <c r="Y523" t="str">
        <v>01-04-25</v>
      </c>
      <c r="Z523" t="s">
        <v>2534</v>
      </c>
      <c r="AA523" t="str">
        <v>Diya Patel</v>
      </c>
      <c r="AB523" t="str">
        <f>TRIM(PROPER(F:F))</f>
        <v>Consumer</v>
      </c>
      <c r="AC523" t="str">
        <f>TRIM(PROPER(G:G))</f>
        <v>North</v>
      </c>
      <c r="AD523" t="str">
        <f>TRIM(PROPER(H:H))</f>
        <v>Punjab</v>
      </c>
      <c r="AE523" t="str">
        <f>TRIM(PROPER(I:I))</f>
        <v>Ludhiana</v>
      </c>
      <c r="AF523" t="str">
        <f>TRIM(PROPER(J:J))</f>
        <v>Office Supplies</v>
      </c>
      <c r="AG523" t="str">
        <f>TRIM(PROPER(K:K))</f>
        <v>Labels</v>
      </c>
      <c r="AH523" t="str">
        <f>TRIM(PROPER(L:L))</f>
        <v>Classic Labels 776</v>
      </c>
      <c r="AI523" t="str">
        <f>TRIM(PROPER(M:M))</f>
        <v>Second Class</v>
      </c>
      <c r="AJ523" s="3" t="str">
        <f t="shared" si="14"/>
        <v xml:space="preserve">  </v>
      </c>
      <c r="AK523">
        <f>IFERROR(Y523-X523, "invalid date")</f>
        <v>7</v>
      </c>
      <c r="AL523" s="10">
        <v>0.05</v>
      </c>
      <c r="AM523" s="11">
        <v>12495.027</v>
      </c>
      <c r="AN523" s="11">
        <v>3310.5069999999996</v>
      </c>
      <c r="AO523" s="10">
        <v>0.26494596610315446</v>
      </c>
      <c r="AP523" t="s">
        <v>4596</v>
      </c>
      <c r="AQ523" t="s">
        <v>4386</v>
      </c>
      <c r="AR523" t="s">
        <v>4159</v>
      </c>
      <c r="AS523" t="s">
        <v>4120</v>
      </c>
      <c r="AT523" t="s">
        <v>4121</v>
      </c>
      <c r="AU523">
        <v>7</v>
      </c>
      <c r="AV523" t="s">
        <v>4109</v>
      </c>
    </row>
    <row r="524" spans="1:48">
      <c r="A524" t="s">
        <v>2536</v>
      </c>
      <c r="B524" t="s">
        <v>2537</v>
      </c>
      <c r="C524" t="s">
        <v>2333</v>
      </c>
      <c r="D524" t="s">
        <v>2538</v>
      </c>
      <c r="E524" t="s">
        <v>102</v>
      </c>
      <c r="F524" t="s">
        <v>50</v>
      </c>
      <c r="G524" t="s">
        <v>51</v>
      </c>
      <c r="H524" t="s">
        <v>322</v>
      </c>
      <c r="I524" t="s">
        <v>323</v>
      </c>
      <c r="J524" t="s">
        <v>95</v>
      </c>
      <c r="K524" t="s">
        <v>233</v>
      </c>
      <c r="L524" t="s">
        <v>2539</v>
      </c>
      <c r="M524" t="s">
        <v>65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43</v>
      </c>
      <c r="U524" t="s">
        <v>44</v>
      </c>
      <c r="W524" t="s">
        <v>2536</v>
      </c>
      <c r="X524" t="str">
        <v>invalid date</v>
      </c>
      <c r="Y524" t="str">
        <v>08-03-25</v>
      </c>
      <c r="Z524" t="s">
        <v>2538</v>
      </c>
      <c r="AA524" t="str">
        <v>Neha Gupta</v>
      </c>
      <c r="AB524" t="str">
        <f>TRIM(PROPER(F:F))</f>
        <v>Small Business</v>
      </c>
      <c r="AC524" t="str">
        <f>TRIM(PROPER(G:G))</f>
        <v>East</v>
      </c>
      <c r="AD524" t="str">
        <f>TRIM(PROPER(H:H))</f>
        <v>Jharkhand</v>
      </c>
      <c r="AE524" t="str">
        <f>TRIM(PROPER(I:I))</f>
        <v>Ranchi</v>
      </c>
      <c r="AF524" t="str">
        <f>TRIM(PROPER(J:J))</f>
        <v>Technology</v>
      </c>
      <c r="AG524" t="str">
        <f>TRIM(PROPER(K:K))</f>
        <v>Phones</v>
      </c>
      <c r="AH524" t="str">
        <f>TRIM(PROPER(L:L))</f>
        <v>Max Phones 612</v>
      </c>
      <c r="AI524" t="str">
        <f>TRIM(PROPER(M:M))</f>
        <v>First Class</v>
      </c>
      <c r="AJ524" s="3" t="str">
        <f t="shared" si="14"/>
        <v>Invalid</v>
      </c>
      <c r="AK524" t="str">
        <f>IFERROR(Y524-X524, "invalid date")</f>
        <v>invalid date</v>
      </c>
      <c r="AL524" s="10">
        <v>0</v>
      </c>
      <c r="AM524" s="11">
        <v>33034.86</v>
      </c>
      <c r="AN524" s="11">
        <v>8495.0299999999988</v>
      </c>
      <c r="AO524" s="10">
        <v>0.25715350390466307</v>
      </c>
      <c r="AP524" t="s">
        <v>4105</v>
      </c>
      <c r="AQ524" t="s">
        <v>4372</v>
      </c>
      <c r="AR524" t="s">
        <v>4105</v>
      </c>
      <c r="AS524" t="s">
        <v>4105</v>
      </c>
      <c r="AT524" t="s">
        <v>4108</v>
      </c>
      <c r="AU524" t="s">
        <v>4105</v>
      </c>
      <c r="AV524" t="s">
        <v>4109</v>
      </c>
    </row>
    <row r="525" spans="1:48">
      <c r="A525" t="s">
        <v>2540</v>
      </c>
      <c r="B525" t="s">
        <v>2541</v>
      </c>
      <c r="C525" t="s">
        <v>2542</v>
      </c>
      <c r="D525" t="s">
        <v>2543</v>
      </c>
      <c r="E525" t="s">
        <v>377</v>
      </c>
      <c r="F525" t="s">
        <v>124</v>
      </c>
      <c r="G525" t="s">
        <v>82</v>
      </c>
      <c r="H525" t="s">
        <v>259</v>
      </c>
      <c r="I525" t="s">
        <v>260</v>
      </c>
      <c r="J525" t="s">
        <v>39</v>
      </c>
      <c r="K525" t="s">
        <v>40</v>
      </c>
      <c r="L525" t="s">
        <v>2544</v>
      </c>
      <c r="M525" t="s">
        <v>42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43</v>
      </c>
      <c r="U525" t="s">
        <v>134</v>
      </c>
      <c r="W525" t="s">
        <v>2540</v>
      </c>
      <c r="X525" t="str">
        <v>02-04-24</v>
      </c>
      <c r="Y525" t="str">
        <v>03-04-24</v>
      </c>
      <c r="Z525" t="s">
        <v>2543</v>
      </c>
      <c r="AA525" t="str">
        <v>Kabir Singh</v>
      </c>
      <c r="AB525" t="str">
        <f>TRIM(PROPER(F:F))</f>
        <v>Home Office</v>
      </c>
      <c r="AC525" t="str">
        <f>TRIM(PROPER(G:G))</f>
        <v>West</v>
      </c>
      <c r="AD525" t="str">
        <f>TRIM(PROPER(H:H))</f>
        <v>Goa</v>
      </c>
      <c r="AE525" t="str">
        <f>TRIM(PROPER(I:I))</f>
        <v>Panaji</v>
      </c>
      <c r="AF525" t="str">
        <f>TRIM(PROPER(J:J))</f>
        <v>Office Supplies</v>
      </c>
      <c r="AG525" t="str">
        <f t="shared" ref="AG525:AI588" si="15">TRIM(PROPER(K:K))</f>
        <v>Paper</v>
      </c>
      <c r="AH525" t="str">
        <f t="shared" si="15"/>
        <v>Basic Paper 315</v>
      </c>
      <c r="AI525" t="str">
        <f t="shared" si="15"/>
        <v>Second Class</v>
      </c>
      <c r="AJ525" s="3" t="str">
        <f t="shared" si="14"/>
        <v>anomaly</v>
      </c>
      <c r="AK525">
        <f>IFERROR(Y525-X525, "invalid date")</f>
        <v>1</v>
      </c>
      <c r="AL525" s="10">
        <v>0</v>
      </c>
      <c r="AM525" s="11">
        <v>5805.26</v>
      </c>
      <c r="AN525" s="11">
        <v>1150.9000000000005</v>
      </c>
      <c r="AO525" s="10">
        <v>0.19825124111581574</v>
      </c>
      <c r="AP525" t="s">
        <v>4354</v>
      </c>
      <c r="AQ525" t="s">
        <v>4524</v>
      </c>
      <c r="AR525" t="s">
        <v>4199</v>
      </c>
      <c r="AS525" t="s">
        <v>4107</v>
      </c>
      <c r="AT525" t="s">
        <v>4115</v>
      </c>
      <c r="AU525">
        <v>1</v>
      </c>
      <c r="AV525" t="s">
        <v>4109</v>
      </c>
    </row>
    <row r="526" spans="1:48">
      <c r="A526" t="s">
        <v>2545</v>
      </c>
      <c r="B526" t="s">
        <v>2546</v>
      </c>
      <c r="C526" t="s">
        <v>2547</v>
      </c>
      <c r="D526" t="s">
        <v>2548</v>
      </c>
      <c r="E526" t="s">
        <v>81</v>
      </c>
      <c r="F526" t="s">
        <v>117</v>
      </c>
      <c r="G526" t="s">
        <v>82</v>
      </c>
      <c r="H526" t="s">
        <v>245</v>
      </c>
      <c r="I526" t="s">
        <v>246</v>
      </c>
      <c r="J526" t="s">
        <v>54</v>
      </c>
      <c r="K526" t="s">
        <v>85</v>
      </c>
      <c r="L526" t="s">
        <v>2549</v>
      </c>
      <c r="M526" t="s">
        <v>65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43</v>
      </c>
      <c r="U526" t="s">
        <v>44</v>
      </c>
      <c r="W526" t="s">
        <v>2545</v>
      </c>
      <c r="X526" t="str">
        <v>30-11-24</v>
      </c>
      <c r="Y526" t="str">
        <v>01-12-24</v>
      </c>
      <c r="Z526" t="s">
        <v>2548</v>
      </c>
      <c r="AA526" t="str">
        <v>Ananya Rao</v>
      </c>
      <c r="AB526" t="str">
        <f>TRIM(PROPER(F:F))</f>
        <v>Corporate</v>
      </c>
      <c r="AC526" t="str">
        <f>TRIM(PROPER(G:G))</f>
        <v>West</v>
      </c>
      <c r="AD526" t="str">
        <f>TRIM(PROPER(H:H))</f>
        <v>Gujarat</v>
      </c>
      <c r="AE526" t="str">
        <f>TRIM(PROPER(I:I))</f>
        <v>Ahmedabad</v>
      </c>
      <c r="AF526" t="str">
        <f>TRIM(PROPER(J:J))</f>
        <v>Furniture</v>
      </c>
      <c r="AG526" t="str">
        <f t="shared" si="15"/>
        <v>Chairs</v>
      </c>
      <c r="AH526" t="str">
        <f t="shared" si="15"/>
        <v>Basic Chairs 333</v>
      </c>
      <c r="AI526" t="str">
        <f t="shared" si="15"/>
        <v>First Class</v>
      </c>
      <c r="AJ526" s="3" t="str">
        <f t="shared" si="14"/>
        <v xml:space="preserve">  </v>
      </c>
      <c r="AK526">
        <f>IFERROR(Y526-X526, "invalid date")</f>
        <v>1</v>
      </c>
      <c r="AL526" s="10">
        <v>0.1</v>
      </c>
      <c r="AM526" s="11">
        <v>34079.616000000002</v>
      </c>
      <c r="AN526" s="11">
        <v>12208.226000000002</v>
      </c>
      <c r="AO526" s="10">
        <v>0.35822663025311091</v>
      </c>
      <c r="AP526" t="s">
        <v>4597</v>
      </c>
      <c r="AQ526" t="s">
        <v>4407</v>
      </c>
      <c r="AR526" t="s">
        <v>4117</v>
      </c>
      <c r="AS526" t="s">
        <v>4107</v>
      </c>
      <c r="AT526" t="s">
        <v>4121</v>
      </c>
      <c r="AU526">
        <v>1</v>
      </c>
      <c r="AV526" t="s">
        <v>4109</v>
      </c>
    </row>
    <row r="527" spans="1:48">
      <c r="A527" t="s">
        <v>2550</v>
      </c>
      <c r="B527" t="s">
        <v>2551</v>
      </c>
      <c r="C527" t="s">
        <v>2552</v>
      </c>
      <c r="D527" t="s">
        <v>2553</v>
      </c>
      <c r="E527" t="s">
        <v>151</v>
      </c>
      <c r="F527" t="s">
        <v>124</v>
      </c>
      <c r="G527" t="s">
        <v>51</v>
      </c>
      <c r="H527" t="s">
        <v>130</v>
      </c>
      <c r="I527" t="s">
        <v>131</v>
      </c>
      <c r="J527" t="s">
        <v>54</v>
      </c>
      <c r="K527" t="s">
        <v>85</v>
      </c>
      <c r="L527" t="s">
        <v>2554</v>
      </c>
      <c r="M527" t="s">
        <v>76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43</v>
      </c>
      <c r="U527" t="s">
        <v>44</v>
      </c>
      <c r="W527" t="s">
        <v>2550</v>
      </c>
      <c r="X527" t="str">
        <v>invalid date</v>
      </c>
      <c r="Y527" t="str">
        <v>17-10-24</v>
      </c>
      <c r="Z527" t="s">
        <v>2553</v>
      </c>
      <c r="AA527" t="str">
        <v>Priya Menon</v>
      </c>
      <c r="AB527" t="str">
        <f>TRIM(PROPER(F:F))</f>
        <v>Home Office</v>
      </c>
      <c r="AC527" t="str">
        <f>TRIM(PROPER(G:G))</f>
        <v>East</v>
      </c>
      <c r="AD527" t="str">
        <f>TRIM(PROPER(H:H))</f>
        <v>West Bengal</v>
      </c>
      <c r="AE527" t="str">
        <f>TRIM(PROPER(I:I))</f>
        <v>Kolkata</v>
      </c>
      <c r="AF527" t="str">
        <f>TRIM(PROPER(J:J))</f>
        <v>Furniture</v>
      </c>
      <c r="AG527" t="str">
        <f t="shared" si="15"/>
        <v>Chairs</v>
      </c>
      <c r="AH527" t="str">
        <f t="shared" si="15"/>
        <v>Prime Chairs 215</v>
      </c>
      <c r="AI527" t="str">
        <f t="shared" si="15"/>
        <v>Standard Class</v>
      </c>
      <c r="AJ527" s="3" t="str">
        <f t="shared" si="14"/>
        <v>Invalid</v>
      </c>
      <c r="AK527" t="str">
        <f>IFERROR(Y527-X527, "invalid date")</f>
        <v>invalid date</v>
      </c>
      <c r="AL527" s="10">
        <v>0.1</v>
      </c>
      <c r="AM527" s="11">
        <v>11359.800000000001</v>
      </c>
      <c r="AN527" s="11">
        <v>4297.3600000000015</v>
      </c>
      <c r="AO527" s="10">
        <v>0.37829539252451638</v>
      </c>
      <c r="AP527" t="s">
        <v>4105</v>
      </c>
      <c r="AQ527" t="s">
        <v>4598</v>
      </c>
      <c r="AR527" t="s">
        <v>4105</v>
      </c>
      <c r="AS527" t="s">
        <v>4105</v>
      </c>
      <c r="AT527" t="s">
        <v>4108</v>
      </c>
      <c r="AU527" t="s">
        <v>4105</v>
      </c>
      <c r="AV527" t="s">
        <v>4109</v>
      </c>
    </row>
    <row r="528" spans="1:48">
      <c r="A528" t="s">
        <v>2555</v>
      </c>
      <c r="B528" t="s">
        <v>2556</v>
      </c>
      <c r="C528" t="s">
        <v>2557</v>
      </c>
      <c r="D528" t="s">
        <v>2558</v>
      </c>
      <c r="E528" t="s">
        <v>151</v>
      </c>
      <c r="F528" t="s">
        <v>35</v>
      </c>
      <c r="G528" t="s">
        <v>51</v>
      </c>
      <c r="H528" t="s">
        <v>52</v>
      </c>
      <c r="I528" t="s">
        <v>53</v>
      </c>
      <c r="J528" t="s">
        <v>54</v>
      </c>
      <c r="K528" t="s">
        <v>55</v>
      </c>
      <c r="L528" t="s">
        <v>2559</v>
      </c>
      <c r="M528" t="s">
        <v>42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43</v>
      </c>
      <c r="U528" t="s">
        <v>44</v>
      </c>
      <c r="W528" t="s">
        <v>2555</v>
      </c>
      <c r="X528" t="str">
        <v>18-07-25</v>
      </c>
      <c r="Y528" t="str">
        <v>21-07-25</v>
      </c>
      <c r="Z528" t="s">
        <v>2558</v>
      </c>
      <c r="AA528" t="str">
        <v>Priya Menon</v>
      </c>
      <c r="AB528" t="str">
        <f>TRIM(PROPER(F:F))</f>
        <v>Consumer</v>
      </c>
      <c r="AC528" t="str">
        <f>TRIM(PROPER(G:G))</f>
        <v>East</v>
      </c>
      <c r="AD528" t="str">
        <f>TRIM(PROPER(H:H))</f>
        <v>Odisha</v>
      </c>
      <c r="AE528" t="str">
        <f>TRIM(PROPER(I:I))</f>
        <v>Bhubaneswar</v>
      </c>
      <c r="AF528" t="str">
        <f>TRIM(PROPER(J:J))</f>
        <v>Furniture</v>
      </c>
      <c r="AG528" t="str">
        <f t="shared" si="15"/>
        <v>Tables</v>
      </c>
      <c r="AH528" t="str">
        <f t="shared" si="15"/>
        <v>Elite Tables 815</v>
      </c>
      <c r="AI528" t="str">
        <f t="shared" si="15"/>
        <v>Second Class</v>
      </c>
      <c r="AJ528" s="3" t="str">
        <f t="shared" si="14"/>
        <v>anomaly</v>
      </c>
      <c r="AK528">
        <f>IFERROR(Y528-X528, "invalid date")</f>
        <v>3</v>
      </c>
      <c r="AL528" s="10">
        <v>0</v>
      </c>
      <c r="AM528" s="11">
        <v>1136.1600000000001</v>
      </c>
      <c r="AN528" s="11">
        <v>564.08000000000004</v>
      </c>
      <c r="AO528" s="10">
        <v>0.49647936910294327</v>
      </c>
      <c r="AP528" t="s">
        <v>4300</v>
      </c>
      <c r="AQ528" t="s">
        <v>4240</v>
      </c>
      <c r="AR528" t="s">
        <v>4106</v>
      </c>
      <c r="AS528" t="s">
        <v>4120</v>
      </c>
      <c r="AT528" t="s">
        <v>4115</v>
      </c>
      <c r="AU528">
        <v>3</v>
      </c>
      <c r="AV528" t="s">
        <v>4109</v>
      </c>
    </row>
    <row r="529" spans="1:48">
      <c r="A529" t="s">
        <v>2560</v>
      </c>
      <c r="B529" t="s">
        <v>2561</v>
      </c>
      <c r="C529" t="s">
        <v>2562</v>
      </c>
      <c r="D529" t="s">
        <v>2563</v>
      </c>
      <c r="E529" t="s">
        <v>116</v>
      </c>
      <c r="F529" t="s">
        <v>124</v>
      </c>
      <c r="G529" t="s">
        <v>36</v>
      </c>
      <c r="H529" t="s">
        <v>334</v>
      </c>
      <c r="I529" t="s">
        <v>335</v>
      </c>
      <c r="J529" t="s">
        <v>39</v>
      </c>
      <c r="K529" t="s">
        <v>40</v>
      </c>
      <c r="L529" t="s">
        <v>2564</v>
      </c>
      <c r="M529" t="s">
        <v>65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43</v>
      </c>
      <c r="U529" t="s">
        <v>44</v>
      </c>
      <c r="W529" t="s">
        <v>2560</v>
      </c>
      <c r="X529" t="str">
        <v>01-10-25</v>
      </c>
      <c r="Y529" t="str">
        <v>05-10-25</v>
      </c>
      <c r="Z529" t="s">
        <v>2563</v>
      </c>
      <c r="AA529" t="str">
        <v>Aditi Sen</v>
      </c>
      <c r="AB529" t="str">
        <f>TRIM(PROPER(F:F))</f>
        <v>Home Office</v>
      </c>
      <c r="AC529" t="str">
        <f>TRIM(PROPER(G:G))</f>
        <v>North</v>
      </c>
      <c r="AD529" t="str">
        <f>TRIM(PROPER(H:H))</f>
        <v>Haryana</v>
      </c>
      <c r="AE529" t="str">
        <f>TRIM(PROPER(I:I))</f>
        <v>Gurugram</v>
      </c>
      <c r="AF529" t="str">
        <f>TRIM(PROPER(J:J))</f>
        <v>Office Supplies</v>
      </c>
      <c r="AG529" t="str">
        <f t="shared" si="15"/>
        <v>Paper</v>
      </c>
      <c r="AH529" t="str">
        <f t="shared" si="15"/>
        <v>Basic Paper 388</v>
      </c>
      <c r="AI529" t="str">
        <f t="shared" si="15"/>
        <v>First Class</v>
      </c>
      <c r="AJ529" s="3" t="str">
        <f t="shared" si="14"/>
        <v>anomaly</v>
      </c>
      <c r="AK529">
        <f>IFERROR(Y529-X529, "invalid date")</f>
        <v>4</v>
      </c>
      <c r="AL529" s="10">
        <v>0.15</v>
      </c>
      <c r="AM529" s="11">
        <v>13802.13</v>
      </c>
      <c r="AN529" s="11">
        <v>3726.1999999999989</v>
      </c>
      <c r="AO529" s="10">
        <v>0.26997282303528508</v>
      </c>
      <c r="AP529" t="s">
        <v>4599</v>
      </c>
      <c r="AQ529" t="s">
        <v>4163</v>
      </c>
      <c r="AR529" t="s">
        <v>4126</v>
      </c>
      <c r="AS529" t="s">
        <v>4120</v>
      </c>
      <c r="AT529" t="s">
        <v>4115</v>
      </c>
      <c r="AU529">
        <v>4</v>
      </c>
      <c r="AV529" t="s">
        <v>4109</v>
      </c>
    </row>
    <row r="530" spans="1:48">
      <c r="A530" t="s">
        <v>2565</v>
      </c>
      <c r="B530" t="s">
        <v>2566</v>
      </c>
      <c r="C530" t="s">
        <v>2567</v>
      </c>
      <c r="D530" t="s">
        <v>2568</v>
      </c>
      <c r="E530" t="s">
        <v>220</v>
      </c>
      <c r="F530" t="s">
        <v>35</v>
      </c>
      <c r="G530" t="s">
        <v>71</v>
      </c>
      <c r="H530" t="s">
        <v>350</v>
      </c>
      <c r="I530" t="s">
        <v>351</v>
      </c>
      <c r="J530" t="s">
        <v>39</v>
      </c>
      <c r="K530" t="s">
        <v>208</v>
      </c>
      <c r="L530" t="s">
        <v>2569</v>
      </c>
      <c r="M530" t="s">
        <v>76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146</v>
      </c>
      <c r="U530" t="s">
        <v>134</v>
      </c>
      <c r="W530" t="s">
        <v>2565</v>
      </c>
      <c r="X530" t="str">
        <v>07-10-24</v>
      </c>
      <c r="Y530" t="str">
        <v>09-10-24</v>
      </c>
      <c r="Z530" t="s">
        <v>2568</v>
      </c>
      <c r="AA530" t="str">
        <v>Diya Patel</v>
      </c>
      <c r="AB530" t="str">
        <f>TRIM(PROPER(F:F))</f>
        <v>Consumer</v>
      </c>
      <c r="AC530" t="str">
        <f>TRIM(PROPER(G:G))</f>
        <v>South</v>
      </c>
      <c r="AD530" t="str">
        <f>TRIM(PROPER(H:H))</f>
        <v>Tamil Nadu</v>
      </c>
      <c r="AE530" t="str">
        <f>TRIM(PROPER(I:I))</f>
        <v>Chennai</v>
      </c>
      <c r="AF530" t="str">
        <f>TRIM(PROPER(J:J))</f>
        <v>Office Supplies</v>
      </c>
      <c r="AG530" t="str">
        <f t="shared" si="15"/>
        <v>Binders</v>
      </c>
      <c r="AH530" t="str">
        <f t="shared" si="15"/>
        <v>Eco Binders 855</v>
      </c>
      <c r="AI530" t="str">
        <f t="shared" si="15"/>
        <v>Standard Class</v>
      </c>
      <c r="AJ530" s="3" t="str">
        <f t="shared" si="14"/>
        <v>anomaly</v>
      </c>
      <c r="AK530">
        <f>IFERROR(Y530-X530, "invalid date")</f>
        <v>2</v>
      </c>
      <c r="AL530" s="10">
        <v>0.05</v>
      </c>
      <c r="AM530" s="11">
        <v>29558.119500000001</v>
      </c>
      <c r="AN530" s="11">
        <v>8255.9894999999997</v>
      </c>
      <c r="AO530" s="10">
        <v>0.27931376013281223</v>
      </c>
      <c r="AP530" t="s">
        <v>4600</v>
      </c>
      <c r="AQ530" t="s">
        <v>4601</v>
      </c>
      <c r="AR530" t="s">
        <v>4126</v>
      </c>
      <c r="AS530" t="s">
        <v>4107</v>
      </c>
      <c r="AT530" t="s">
        <v>4115</v>
      </c>
      <c r="AU530">
        <v>2</v>
      </c>
      <c r="AV530" t="s">
        <v>4109</v>
      </c>
    </row>
    <row r="531" spans="1:48">
      <c r="A531" t="s">
        <v>2570</v>
      </c>
      <c r="B531" t="s">
        <v>2289</v>
      </c>
      <c r="C531" t="s">
        <v>2571</v>
      </c>
      <c r="D531" t="s">
        <v>1120</v>
      </c>
      <c r="E531" t="s">
        <v>34</v>
      </c>
      <c r="F531" t="s">
        <v>35</v>
      </c>
      <c r="G531" t="s">
        <v>51</v>
      </c>
      <c r="H531" t="s">
        <v>322</v>
      </c>
      <c r="I531" t="s">
        <v>323</v>
      </c>
      <c r="J531" t="s">
        <v>54</v>
      </c>
      <c r="K531" t="s">
        <v>214</v>
      </c>
      <c r="L531" t="s">
        <v>2572</v>
      </c>
      <c r="M531" t="s">
        <v>42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43</v>
      </c>
      <c r="U531" t="s">
        <v>44</v>
      </c>
      <c r="W531" t="s">
        <v>2570</v>
      </c>
      <c r="X531" t="str">
        <v>06-02-24</v>
      </c>
      <c r="Y531" t="str">
        <v>08-02-24</v>
      </c>
      <c r="Z531" t="s">
        <v>1120</v>
      </c>
      <c r="AA531" t="str">
        <v>Karan Malhotra</v>
      </c>
      <c r="AB531" t="str">
        <f>TRIM(PROPER(F:F))</f>
        <v>Consumer</v>
      </c>
      <c r="AC531" t="str">
        <f>TRIM(PROPER(G:G))</f>
        <v>East</v>
      </c>
      <c r="AD531" t="str">
        <f>TRIM(PROPER(H:H))</f>
        <v>Jharkhand</v>
      </c>
      <c r="AE531" t="str">
        <f>TRIM(PROPER(I:I))</f>
        <v>Ranchi</v>
      </c>
      <c r="AF531" t="str">
        <f>TRIM(PROPER(J:J))</f>
        <v>Furniture</v>
      </c>
      <c r="AG531" t="str">
        <f t="shared" si="15"/>
        <v>Bookcases</v>
      </c>
      <c r="AH531" t="str">
        <f t="shared" si="15"/>
        <v>Classic Bookcases 947</v>
      </c>
      <c r="AI531" t="str">
        <f t="shared" si="15"/>
        <v>Second Class</v>
      </c>
      <c r="AJ531" s="3" t="str">
        <f t="shared" si="14"/>
        <v>anomaly</v>
      </c>
      <c r="AK531">
        <f>IFERROR(Y531-X531, "invalid date")</f>
        <v>2</v>
      </c>
      <c r="AL531" s="10">
        <v>0</v>
      </c>
      <c r="AM531" s="11">
        <v>16400.25</v>
      </c>
      <c r="AN531" s="11">
        <v>4253.2900000000009</v>
      </c>
      <c r="AO531" s="10">
        <v>0.25934299782015524</v>
      </c>
      <c r="AP531" t="s">
        <v>4415</v>
      </c>
      <c r="AQ531" t="s">
        <v>4602</v>
      </c>
      <c r="AR531" t="s">
        <v>4129</v>
      </c>
      <c r="AS531" t="s">
        <v>4107</v>
      </c>
      <c r="AT531" t="s">
        <v>4115</v>
      </c>
      <c r="AU531">
        <v>2</v>
      </c>
      <c r="AV531" t="s">
        <v>4109</v>
      </c>
    </row>
    <row r="532" spans="1:48">
      <c r="A532" t="s">
        <v>2573</v>
      </c>
      <c r="B532" t="s">
        <v>2574</v>
      </c>
      <c r="C532" t="s">
        <v>2575</v>
      </c>
      <c r="D532" t="s">
        <v>2576</v>
      </c>
      <c r="E532" t="s">
        <v>157</v>
      </c>
      <c r="F532" t="s">
        <v>124</v>
      </c>
      <c r="G532" t="s">
        <v>71</v>
      </c>
      <c r="H532" t="s">
        <v>350</v>
      </c>
      <c r="I532" t="s">
        <v>351</v>
      </c>
      <c r="J532" t="s">
        <v>39</v>
      </c>
      <c r="K532" t="s">
        <v>208</v>
      </c>
      <c r="L532" t="s">
        <v>2577</v>
      </c>
      <c r="M532" t="s">
        <v>76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43</v>
      </c>
      <c r="U532" t="s">
        <v>44</v>
      </c>
      <c r="W532" t="s">
        <v>2573</v>
      </c>
      <c r="X532" t="str">
        <v>invalid date</v>
      </c>
      <c r="Y532" t="str">
        <v>01-06-25</v>
      </c>
      <c r="Z532" t="s">
        <v>2576</v>
      </c>
      <c r="AA532" t="str">
        <v>Rahul Verma</v>
      </c>
      <c r="AB532" t="str">
        <f>TRIM(PROPER(F:F))</f>
        <v>Home Office</v>
      </c>
      <c r="AC532" t="str">
        <f>TRIM(PROPER(G:G))</f>
        <v>South</v>
      </c>
      <c r="AD532" t="str">
        <f>TRIM(PROPER(H:H))</f>
        <v>Tamil Nadu</v>
      </c>
      <c r="AE532" t="str">
        <f>TRIM(PROPER(I:I))</f>
        <v>Chennai</v>
      </c>
      <c r="AF532" t="str">
        <f>TRIM(PROPER(J:J))</f>
        <v>Office Supplies</v>
      </c>
      <c r="AG532" t="str">
        <f t="shared" si="15"/>
        <v>Binders</v>
      </c>
      <c r="AH532" t="str">
        <f t="shared" si="15"/>
        <v>Eco Binders 352</v>
      </c>
      <c r="AI532" t="str">
        <f t="shared" si="15"/>
        <v>Standard Class</v>
      </c>
      <c r="AJ532" s="3" t="str">
        <f t="shared" si="14"/>
        <v>Invalid</v>
      </c>
      <c r="AK532" t="str">
        <f>IFERROR(Y532-X532, "invalid date")</f>
        <v>invalid date</v>
      </c>
      <c r="AL532" s="10">
        <v>0.05</v>
      </c>
      <c r="AM532" s="11">
        <v>17053.0605</v>
      </c>
      <c r="AN532" s="11">
        <v>6310.6805000000004</v>
      </c>
      <c r="AO532" s="10">
        <v>0.37006146198801093</v>
      </c>
      <c r="AP532" t="s">
        <v>4105</v>
      </c>
      <c r="AQ532" t="s">
        <v>4427</v>
      </c>
      <c r="AR532" t="s">
        <v>4105</v>
      </c>
      <c r="AS532" t="s">
        <v>4105</v>
      </c>
      <c r="AT532" t="s">
        <v>4108</v>
      </c>
      <c r="AU532" t="s">
        <v>4105</v>
      </c>
      <c r="AV532" t="s">
        <v>4109</v>
      </c>
    </row>
    <row r="533" spans="1:48">
      <c r="A533" t="s">
        <v>2578</v>
      </c>
      <c r="B533" t="s">
        <v>1308</v>
      </c>
      <c r="C533" t="s">
        <v>2579</v>
      </c>
      <c r="D533" t="s">
        <v>2580</v>
      </c>
      <c r="E533" t="s">
        <v>220</v>
      </c>
      <c r="F533" t="s">
        <v>50</v>
      </c>
      <c r="G533" t="s">
        <v>82</v>
      </c>
      <c r="H533" t="s">
        <v>83</v>
      </c>
      <c r="I533" t="s">
        <v>84</v>
      </c>
      <c r="J533" t="s">
        <v>39</v>
      </c>
      <c r="K533" t="s">
        <v>165</v>
      </c>
      <c r="L533" t="s">
        <v>2581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43</v>
      </c>
      <c r="U533" t="s">
        <v>44</v>
      </c>
      <c r="W533" t="s">
        <v>2578</v>
      </c>
      <c r="X533" t="str">
        <v>01-08-24</v>
      </c>
      <c r="Y533" t="str">
        <v>08-08-24</v>
      </c>
      <c r="Z533" t="s">
        <v>2580</v>
      </c>
      <c r="AA533" t="str">
        <v>Diya Patel</v>
      </c>
      <c r="AB533" t="str">
        <f>TRIM(PROPER(F:F))</f>
        <v>Small Business</v>
      </c>
      <c r="AC533" t="str">
        <f>TRIM(PROPER(G:G))</f>
        <v>West</v>
      </c>
      <c r="AD533" t="str">
        <f>TRIM(PROPER(H:H))</f>
        <v>Maharashtra</v>
      </c>
      <c r="AE533" t="str">
        <f>TRIM(PROPER(I:I))</f>
        <v>Mumbai</v>
      </c>
      <c r="AF533" t="str">
        <f>TRIM(PROPER(J:J))</f>
        <v>Office Supplies</v>
      </c>
      <c r="AG533" t="str">
        <f t="shared" si="15"/>
        <v>Storage</v>
      </c>
      <c r="AH533" t="str">
        <f t="shared" si="15"/>
        <v>Pro Storage 364</v>
      </c>
      <c r="AI533" s="4" t="s">
        <v>282</v>
      </c>
      <c r="AJ533" s="3" t="str">
        <f t="shared" si="14"/>
        <v>anomaly</v>
      </c>
      <c r="AK533">
        <f>IFERROR(Y533-X533, "invalid date")</f>
        <v>7</v>
      </c>
      <c r="AL533" s="10">
        <v>0.1</v>
      </c>
      <c r="AM533" s="11">
        <v>398.67300000000006</v>
      </c>
      <c r="AN533" s="11">
        <v>87.013000000000034</v>
      </c>
      <c r="AO533" s="10">
        <v>0.21825656615822997</v>
      </c>
      <c r="AP533" t="s">
        <v>4414</v>
      </c>
      <c r="AQ533" t="s">
        <v>4603</v>
      </c>
      <c r="AR533" t="s">
        <v>4114</v>
      </c>
      <c r="AS533" t="s">
        <v>4107</v>
      </c>
      <c r="AT533" t="s">
        <v>4115</v>
      </c>
      <c r="AU533">
        <v>7</v>
      </c>
      <c r="AV533" t="s">
        <v>4109</v>
      </c>
    </row>
    <row r="534" spans="1:48">
      <c r="A534" t="s">
        <v>2582</v>
      </c>
      <c r="B534" t="s">
        <v>2562</v>
      </c>
      <c r="C534" t="s">
        <v>319</v>
      </c>
      <c r="D534" t="s">
        <v>2583</v>
      </c>
      <c r="E534" t="s">
        <v>151</v>
      </c>
      <c r="F534" t="s">
        <v>117</v>
      </c>
      <c r="G534" t="s">
        <v>51</v>
      </c>
      <c r="H534" t="s">
        <v>226</v>
      </c>
      <c r="I534" t="s">
        <v>227</v>
      </c>
      <c r="J534" t="s">
        <v>54</v>
      </c>
      <c r="K534" t="s">
        <v>55</v>
      </c>
      <c r="L534" t="s">
        <v>2584</v>
      </c>
      <c r="M534" t="s">
        <v>42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210</v>
      </c>
      <c r="U534" t="s">
        <v>87</v>
      </c>
      <c r="W534" t="s">
        <v>2582</v>
      </c>
      <c r="X534" t="str">
        <v>05-10-25</v>
      </c>
      <c r="Y534" t="str">
        <v>10-10-25</v>
      </c>
      <c r="Z534" t="s">
        <v>2583</v>
      </c>
      <c r="AA534" t="str">
        <v>Priya Menon</v>
      </c>
      <c r="AB534" t="str">
        <f>TRIM(PROPER(F:F))</f>
        <v>Corporate</v>
      </c>
      <c r="AC534" t="str">
        <f>TRIM(PROPER(G:G))</f>
        <v>East</v>
      </c>
      <c r="AD534" t="str">
        <f>TRIM(PROPER(H:H))</f>
        <v>Assam</v>
      </c>
      <c r="AE534" t="str">
        <f>TRIM(PROPER(I:I))</f>
        <v>Guwahati</v>
      </c>
      <c r="AF534" t="str">
        <f>TRIM(PROPER(J:J))</f>
        <v>Furniture</v>
      </c>
      <c r="AG534" t="str">
        <f t="shared" si="15"/>
        <v>Tables</v>
      </c>
      <c r="AH534" t="str">
        <f t="shared" si="15"/>
        <v>Classic Tables 213</v>
      </c>
      <c r="AI534" t="str">
        <f t="shared" si="15"/>
        <v>Second Class</v>
      </c>
      <c r="AJ534" s="3" t="str">
        <f t="shared" si="14"/>
        <v>anomaly</v>
      </c>
      <c r="AK534">
        <f>IFERROR(Y534-X534, "invalid date")</f>
        <v>5</v>
      </c>
      <c r="AL534" s="10">
        <v>0.05</v>
      </c>
      <c r="AM534" s="11">
        <v>17862.146999999997</v>
      </c>
      <c r="AN534" s="11">
        <v>7969.9369999999981</v>
      </c>
      <c r="AO534" s="10">
        <v>0.44619143488182017</v>
      </c>
      <c r="AP534" t="s">
        <v>4163</v>
      </c>
      <c r="AQ534" t="s">
        <v>4188</v>
      </c>
      <c r="AR534" t="s">
        <v>4126</v>
      </c>
      <c r="AS534" t="s">
        <v>4120</v>
      </c>
      <c r="AT534" t="s">
        <v>4115</v>
      </c>
      <c r="AU534">
        <v>5</v>
      </c>
      <c r="AV534" t="s">
        <v>4109</v>
      </c>
    </row>
    <row r="535" spans="1:48">
      <c r="A535" t="s">
        <v>2585</v>
      </c>
      <c r="B535" t="s">
        <v>2586</v>
      </c>
      <c r="C535" t="s">
        <v>406</v>
      </c>
      <c r="D535" t="s">
        <v>2587</v>
      </c>
      <c r="E535" t="s">
        <v>62</v>
      </c>
      <c r="F535" t="s">
        <v>124</v>
      </c>
      <c r="G535" t="s">
        <v>36</v>
      </c>
      <c r="H535" t="s">
        <v>37</v>
      </c>
      <c r="I535" t="s">
        <v>38</v>
      </c>
      <c r="J535" t="s">
        <v>54</v>
      </c>
      <c r="K535" t="s">
        <v>55</v>
      </c>
      <c r="L535" t="s">
        <v>2588</v>
      </c>
      <c r="M535" t="s">
        <v>57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43</v>
      </c>
      <c r="U535" t="s">
        <v>44</v>
      </c>
      <c r="W535" t="s">
        <v>2585</v>
      </c>
      <c r="X535" t="str">
        <v>25-08-24</v>
      </c>
      <c r="Y535" t="str">
        <v>01-09-24</v>
      </c>
      <c r="Z535" t="s">
        <v>2587</v>
      </c>
      <c r="AA535" t="str">
        <v>Isha Nair</v>
      </c>
      <c r="AB535" t="str">
        <f>TRIM(PROPER(F:F))</f>
        <v>Home Office</v>
      </c>
      <c r="AC535" t="str">
        <f>TRIM(PROPER(G:G))</f>
        <v>North</v>
      </c>
      <c r="AD535" t="str">
        <f>TRIM(PROPER(H:H))</f>
        <v>Rajasthan</v>
      </c>
      <c r="AE535" t="str">
        <f>TRIM(PROPER(I:I))</f>
        <v>Jaipur</v>
      </c>
      <c r="AF535" t="str">
        <f>TRIM(PROPER(J:J))</f>
        <v>Furniture</v>
      </c>
      <c r="AG535" t="str">
        <f t="shared" si="15"/>
        <v>Tables</v>
      </c>
      <c r="AH535" t="str">
        <f t="shared" si="15"/>
        <v>Smart Tables 659</v>
      </c>
      <c r="AI535" t="str">
        <f t="shared" si="15"/>
        <v>Same Day</v>
      </c>
      <c r="AJ535" s="3" t="str">
        <f t="shared" si="14"/>
        <v xml:space="preserve">  </v>
      </c>
      <c r="AK535">
        <f>IFERROR(Y535-X535, "invalid date")</f>
        <v>7</v>
      </c>
      <c r="AL535" s="10">
        <v>0.25</v>
      </c>
      <c r="AM535" s="11">
        <v>2165.8500000000004</v>
      </c>
      <c r="AN535" s="11">
        <v>41.370000000000346</v>
      </c>
      <c r="AO535" s="10">
        <v>1.91010457787937E-2</v>
      </c>
      <c r="AP535" t="s">
        <v>4505</v>
      </c>
      <c r="AQ535" t="s">
        <v>4214</v>
      </c>
      <c r="AR535" t="s">
        <v>4114</v>
      </c>
      <c r="AS535" t="s">
        <v>4107</v>
      </c>
      <c r="AT535" t="s">
        <v>4121</v>
      </c>
      <c r="AU535">
        <v>7</v>
      </c>
      <c r="AV535" t="s">
        <v>4109</v>
      </c>
    </row>
    <row r="536" spans="1:48">
      <c r="A536" t="s">
        <v>2589</v>
      </c>
      <c r="B536" t="s">
        <v>2590</v>
      </c>
      <c r="C536" t="s">
        <v>2591</v>
      </c>
      <c r="D536" t="s">
        <v>2592</v>
      </c>
      <c r="E536" t="s">
        <v>189</v>
      </c>
      <c r="F536" t="s">
        <v>124</v>
      </c>
      <c r="G536" t="s">
        <v>51</v>
      </c>
      <c r="H536" t="s">
        <v>196</v>
      </c>
      <c r="I536" t="s">
        <v>197</v>
      </c>
      <c r="J536" t="s">
        <v>95</v>
      </c>
      <c r="K536" t="s">
        <v>96</v>
      </c>
      <c r="L536" t="s">
        <v>2593</v>
      </c>
      <c r="M536" t="s">
        <v>42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146</v>
      </c>
      <c r="U536" t="s">
        <v>134</v>
      </c>
      <c r="W536" t="s">
        <v>2589</v>
      </c>
      <c r="X536" t="str">
        <v>invalid date</v>
      </c>
      <c r="Y536" t="str">
        <v>05-05-25</v>
      </c>
      <c r="Z536" t="s">
        <v>2592</v>
      </c>
      <c r="AA536" t="str">
        <v>Rohan Mehta</v>
      </c>
      <c r="AB536" t="str">
        <f>TRIM(PROPER(F:F))</f>
        <v>Home Office</v>
      </c>
      <c r="AC536" t="str">
        <f>TRIM(PROPER(G:G))</f>
        <v>East</v>
      </c>
      <c r="AD536" t="str">
        <f>TRIM(PROPER(H:H))</f>
        <v>Bihar</v>
      </c>
      <c r="AE536" t="str">
        <f>TRIM(PROPER(I:I))</f>
        <v>Patna</v>
      </c>
      <c r="AF536" t="str">
        <f>TRIM(PROPER(J:J))</f>
        <v>Technology</v>
      </c>
      <c r="AG536" t="str">
        <f t="shared" si="15"/>
        <v>Accessories</v>
      </c>
      <c r="AH536" t="str">
        <f t="shared" si="15"/>
        <v>Classic Accessories 325</v>
      </c>
      <c r="AI536" t="str">
        <f t="shared" si="15"/>
        <v>Second Class</v>
      </c>
      <c r="AJ536" s="3" t="str">
        <f t="shared" si="14"/>
        <v>Invalid</v>
      </c>
      <c r="AK536" t="str">
        <f>IFERROR(Y536-X536, "invalid date")</f>
        <v>invalid date</v>
      </c>
      <c r="AL536" s="10">
        <v>0.1</v>
      </c>
      <c r="AM536" s="11">
        <v>14268.204</v>
      </c>
      <c r="AN536" s="11">
        <v>2562.9040000000005</v>
      </c>
      <c r="AO536" s="10">
        <v>0.17962344805274724</v>
      </c>
      <c r="AP536" t="s">
        <v>4105</v>
      </c>
      <c r="AQ536" t="s">
        <v>4556</v>
      </c>
      <c r="AR536" t="s">
        <v>4105</v>
      </c>
      <c r="AS536" t="s">
        <v>4105</v>
      </c>
      <c r="AT536" t="s">
        <v>4108</v>
      </c>
      <c r="AU536" t="s">
        <v>4105</v>
      </c>
      <c r="AV536" t="s">
        <v>4109</v>
      </c>
    </row>
    <row r="537" spans="1:48">
      <c r="A537" t="s">
        <v>2594</v>
      </c>
      <c r="B537" t="s">
        <v>2595</v>
      </c>
      <c r="C537" t="s">
        <v>2596</v>
      </c>
      <c r="D537" t="s">
        <v>2597</v>
      </c>
      <c r="E537" t="s">
        <v>220</v>
      </c>
      <c r="F537" t="s">
        <v>50</v>
      </c>
      <c r="G537" t="s">
        <v>82</v>
      </c>
      <c r="H537" t="s">
        <v>83</v>
      </c>
      <c r="I537" t="s">
        <v>84</v>
      </c>
      <c r="J537" t="s">
        <v>95</v>
      </c>
      <c r="K537" t="s">
        <v>103</v>
      </c>
      <c r="L537" t="s">
        <v>2598</v>
      </c>
      <c r="M537" t="s">
        <v>65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43</v>
      </c>
      <c r="U537" t="s">
        <v>44</v>
      </c>
      <c r="W537" t="s">
        <v>2594</v>
      </c>
      <c r="X537" t="str">
        <v>19-05-24</v>
      </c>
      <c r="Y537" t="str">
        <v>21-05-24</v>
      </c>
      <c r="Z537" t="s">
        <v>2597</v>
      </c>
      <c r="AA537" t="str">
        <v>Diya Patel</v>
      </c>
      <c r="AB537" t="str">
        <f>TRIM(PROPER(F:F))</f>
        <v>Small Business</v>
      </c>
      <c r="AC537" t="str">
        <f>TRIM(PROPER(G:G))</f>
        <v>West</v>
      </c>
      <c r="AD537" t="str">
        <f>TRIM(PROPER(H:H))</f>
        <v>Maharashtra</v>
      </c>
      <c r="AE537" t="str">
        <f>TRIM(PROPER(I:I))</f>
        <v>Mumbai</v>
      </c>
      <c r="AF537" t="str">
        <f>TRIM(PROPER(J:J))</f>
        <v>Technology</v>
      </c>
      <c r="AG537" t="str">
        <f t="shared" si="15"/>
        <v>Copiers</v>
      </c>
      <c r="AH537" t="str">
        <f t="shared" si="15"/>
        <v>Eco Copiers 243</v>
      </c>
      <c r="AI537" t="str">
        <f t="shared" si="15"/>
        <v>First Class</v>
      </c>
      <c r="AJ537" s="3" t="str">
        <f t="shared" si="14"/>
        <v>anomaly</v>
      </c>
      <c r="AK537">
        <f>IFERROR(Y537-X537, "invalid date")</f>
        <v>2</v>
      </c>
      <c r="AL537" s="10">
        <v>0.2</v>
      </c>
      <c r="AM537" s="11">
        <v>9602.3520000000008</v>
      </c>
      <c r="AN537" s="11">
        <v>2214.7820000000011</v>
      </c>
      <c r="AO537" s="10">
        <v>0.23064994909580494</v>
      </c>
      <c r="AP537" t="s">
        <v>4604</v>
      </c>
      <c r="AQ537" t="s">
        <v>4382</v>
      </c>
      <c r="AR537" t="s">
        <v>4124</v>
      </c>
      <c r="AS537" t="s">
        <v>4107</v>
      </c>
      <c r="AT537" t="s">
        <v>4115</v>
      </c>
      <c r="AU537">
        <v>2</v>
      </c>
      <c r="AV537" t="s">
        <v>4109</v>
      </c>
    </row>
    <row r="538" spans="1:48">
      <c r="A538" t="s">
        <v>2599</v>
      </c>
      <c r="B538" t="s">
        <v>2600</v>
      </c>
      <c r="C538" t="s">
        <v>2601</v>
      </c>
      <c r="D538" t="s">
        <v>2602</v>
      </c>
      <c r="E538" t="s">
        <v>81</v>
      </c>
      <c r="F538" t="s">
        <v>50</v>
      </c>
      <c r="G538" t="s">
        <v>82</v>
      </c>
      <c r="H538" t="s">
        <v>37</v>
      </c>
      <c r="I538" t="s">
        <v>144</v>
      </c>
      <c r="J538" t="s">
        <v>54</v>
      </c>
      <c r="K538" t="s">
        <v>85</v>
      </c>
      <c r="L538" t="s">
        <v>2603</v>
      </c>
      <c r="M538" t="s">
        <v>65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210</v>
      </c>
      <c r="U538" t="s">
        <v>87</v>
      </c>
      <c r="W538" t="s">
        <v>2599</v>
      </c>
      <c r="X538" t="str">
        <v>10-04-25</v>
      </c>
      <c r="Y538" t="str">
        <v>17-04-25</v>
      </c>
      <c r="Z538" t="s">
        <v>2602</v>
      </c>
      <c r="AA538" t="str">
        <v>Ananya Rao</v>
      </c>
      <c r="AB538" t="str">
        <f>TRIM(PROPER(F:F))</f>
        <v>Small Business</v>
      </c>
      <c r="AC538" t="str">
        <f>TRIM(PROPER(G:G))</f>
        <v>West</v>
      </c>
      <c r="AD538" t="str">
        <f>TRIM(PROPER(H:H))</f>
        <v>Rajasthan</v>
      </c>
      <c r="AE538" t="str">
        <f>TRIM(PROPER(I:I))</f>
        <v>Udaipur</v>
      </c>
      <c r="AF538" t="str">
        <f>TRIM(PROPER(J:J))</f>
        <v>Furniture</v>
      </c>
      <c r="AG538" t="str">
        <f t="shared" si="15"/>
        <v>Chairs</v>
      </c>
      <c r="AH538" t="str">
        <f t="shared" si="15"/>
        <v>Elite Chairs 777</v>
      </c>
      <c r="AI538" t="str">
        <f t="shared" si="15"/>
        <v>First Class</v>
      </c>
      <c r="AJ538" s="3" t="str">
        <f t="shared" si="14"/>
        <v>anomaly</v>
      </c>
      <c r="AK538">
        <f>IFERROR(Y538-X538, "invalid date")</f>
        <v>7</v>
      </c>
      <c r="AL538" s="10">
        <v>0.25</v>
      </c>
      <c r="AM538" s="11">
        <v>19891.724999999999</v>
      </c>
      <c r="AN538" s="11">
        <v>7595.9649999999983</v>
      </c>
      <c r="AO538" s="10">
        <v>0.38186557475533162</v>
      </c>
      <c r="AP538" t="s">
        <v>4394</v>
      </c>
      <c r="AQ538" t="s">
        <v>4605</v>
      </c>
      <c r="AR538" t="s">
        <v>4199</v>
      </c>
      <c r="AS538" t="s">
        <v>4120</v>
      </c>
      <c r="AT538" t="s">
        <v>4115</v>
      </c>
      <c r="AU538">
        <v>7</v>
      </c>
      <c r="AV538" t="s">
        <v>4109</v>
      </c>
    </row>
    <row r="539" spans="1:48">
      <c r="A539" t="s">
        <v>2604</v>
      </c>
      <c r="B539" t="s">
        <v>2047</v>
      </c>
      <c r="C539" t="s">
        <v>2605</v>
      </c>
      <c r="D539" t="s">
        <v>2606</v>
      </c>
      <c r="E539" t="s">
        <v>81</v>
      </c>
      <c r="F539" t="s">
        <v>50</v>
      </c>
      <c r="G539" t="s">
        <v>36</v>
      </c>
      <c r="H539" t="s">
        <v>334</v>
      </c>
      <c r="I539" t="s">
        <v>335</v>
      </c>
      <c r="J539" t="s">
        <v>39</v>
      </c>
      <c r="K539" t="s">
        <v>63</v>
      </c>
      <c r="L539" t="s">
        <v>2607</v>
      </c>
      <c r="M539" t="s">
        <v>57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210</v>
      </c>
      <c r="U539" t="s">
        <v>87</v>
      </c>
      <c r="W539" t="s">
        <v>2604</v>
      </c>
      <c r="X539" t="str">
        <v>22-01-24</v>
      </c>
      <c r="Y539" t="str">
        <v>30-01-24</v>
      </c>
      <c r="Z539" t="s">
        <v>2606</v>
      </c>
      <c r="AA539" t="str">
        <v>Ananya Rao</v>
      </c>
      <c r="AB539" t="str">
        <f>TRIM(PROPER(F:F))</f>
        <v>Small Business</v>
      </c>
      <c r="AC539" t="str">
        <f>TRIM(PROPER(G:G))</f>
        <v>North</v>
      </c>
      <c r="AD539" t="str">
        <f>TRIM(PROPER(H:H))</f>
        <v>Haryana</v>
      </c>
      <c r="AE539" t="str">
        <f>TRIM(PROPER(I:I))</f>
        <v>Gurugram</v>
      </c>
      <c r="AF539" t="str">
        <f>TRIM(PROPER(J:J))</f>
        <v>Office Supplies</v>
      </c>
      <c r="AG539" t="str">
        <f t="shared" si="15"/>
        <v>Art</v>
      </c>
      <c r="AH539" t="str">
        <f t="shared" si="15"/>
        <v>Classic Art 772</v>
      </c>
      <c r="AI539" t="str">
        <f t="shared" si="15"/>
        <v>Same Day</v>
      </c>
      <c r="AJ539" s="3" t="str">
        <f t="shared" si="14"/>
        <v>anomaly</v>
      </c>
      <c r="AK539">
        <f>IFERROR(Y539-X539, "invalid date")</f>
        <v>8</v>
      </c>
      <c r="AL539" s="10">
        <v>0.05</v>
      </c>
      <c r="AM539" s="11">
        <v>1927.6545000000001</v>
      </c>
      <c r="AN539" s="11">
        <v>467.05450000000019</v>
      </c>
      <c r="AO539" s="10">
        <v>0.24229160360427668</v>
      </c>
      <c r="AP539" t="s">
        <v>4367</v>
      </c>
      <c r="AQ539" t="s">
        <v>4324</v>
      </c>
      <c r="AR539" t="s">
        <v>4153</v>
      </c>
      <c r="AS539" t="s">
        <v>4107</v>
      </c>
      <c r="AT539" t="s">
        <v>4115</v>
      </c>
      <c r="AU539">
        <v>8</v>
      </c>
      <c r="AV539" t="s">
        <v>4109</v>
      </c>
    </row>
    <row r="540" spans="1:48">
      <c r="A540" t="s">
        <v>2608</v>
      </c>
      <c r="B540" t="s">
        <v>2275</v>
      </c>
      <c r="C540" t="s">
        <v>2609</v>
      </c>
      <c r="D540" t="s">
        <v>2610</v>
      </c>
      <c r="E540" t="s">
        <v>220</v>
      </c>
      <c r="F540" t="s">
        <v>50</v>
      </c>
      <c r="G540" t="s">
        <v>51</v>
      </c>
      <c r="H540" t="s">
        <v>322</v>
      </c>
      <c r="I540" t="s">
        <v>323</v>
      </c>
      <c r="J540" t="s">
        <v>54</v>
      </c>
      <c r="K540" t="s">
        <v>55</v>
      </c>
      <c r="L540" t="s">
        <v>2611</v>
      </c>
      <c r="M540" t="s">
        <v>42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43</v>
      </c>
      <c r="U540" t="s">
        <v>44</v>
      </c>
      <c r="W540" t="s">
        <v>2608</v>
      </c>
      <c r="X540" t="str">
        <v>25-09-24</v>
      </c>
      <c r="Y540" t="str">
        <v>01-10-24</v>
      </c>
      <c r="Z540" t="s">
        <v>2610</v>
      </c>
      <c r="AA540" t="str">
        <v>Diya Patel</v>
      </c>
      <c r="AB540" t="str">
        <f>TRIM(PROPER(F:F))</f>
        <v>Small Business</v>
      </c>
      <c r="AC540" t="str">
        <f>TRIM(PROPER(G:G))</f>
        <v>East</v>
      </c>
      <c r="AD540" t="str">
        <f>TRIM(PROPER(H:H))</f>
        <v>Jharkhand</v>
      </c>
      <c r="AE540" t="str">
        <f>TRIM(PROPER(I:I))</f>
        <v>Ranchi</v>
      </c>
      <c r="AF540" t="str">
        <f>TRIM(PROPER(J:J))</f>
        <v>Furniture</v>
      </c>
      <c r="AG540" t="str">
        <f t="shared" si="15"/>
        <v>Tables</v>
      </c>
      <c r="AH540" t="str">
        <f t="shared" si="15"/>
        <v>Elite Tables 888</v>
      </c>
      <c r="AI540" t="str">
        <f t="shared" si="15"/>
        <v>Second Class</v>
      </c>
      <c r="AJ540" s="3" t="str">
        <f t="shared" si="14"/>
        <v xml:space="preserve">  </v>
      </c>
      <c r="AK540">
        <f>IFERROR(Y540-X540, "invalid date")</f>
        <v>6</v>
      </c>
      <c r="AL540" s="10">
        <v>0.15</v>
      </c>
      <c r="AM540" s="11">
        <v>29900.79</v>
      </c>
      <c r="AN540" s="11">
        <v>5250.1200000000026</v>
      </c>
      <c r="AO540" s="10">
        <v>0.17558465846554563</v>
      </c>
      <c r="AP540" t="s">
        <v>4287</v>
      </c>
      <c r="AQ540" t="s">
        <v>4250</v>
      </c>
      <c r="AR540" t="s">
        <v>4134</v>
      </c>
      <c r="AS540" t="s">
        <v>4107</v>
      </c>
      <c r="AT540" t="s">
        <v>4121</v>
      </c>
      <c r="AU540">
        <v>6</v>
      </c>
      <c r="AV540" t="s">
        <v>4109</v>
      </c>
    </row>
    <row r="541" spans="1:48">
      <c r="A541" t="s">
        <v>2612</v>
      </c>
      <c r="B541" t="s">
        <v>1225</v>
      </c>
      <c r="C541" t="s">
        <v>2424</v>
      </c>
      <c r="D541" t="s">
        <v>2613</v>
      </c>
      <c r="E541" t="s">
        <v>2614</v>
      </c>
      <c r="F541" t="s">
        <v>50</v>
      </c>
      <c r="G541" t="s">
        <v>71</v>
      </c>
      <c r="H541" t="s">
        <v>350</v>
      </c>
      <c r="I541" t="s">
        <v>351</v>
      </c>
      <c r="J541" t="s">
        <v>54</v>
      </c>
      <c r="K541" t="s">
        <v>85</v>
      </c>
      <c r="L541" t="s">
        <v>2615</v>
      </c>
      <c r="M541" t="s">
        <v>76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43</v>
      </c>
      <c r="U541" t="s">
        <v>87</v>
      </c>
      <c r="W541" t="s">
        <v>2612</v>
      </c>
      <c r="X541" t="str">
        <v>07-04-25</v>
      </c>
      <c r="Y541" t="str">
        <v>04-07-25</v>
      </c>
      <c r="Z541" t="s">
        <v>2613</v>
      </c>
      <c r="AA541" t="str">
        <v>mira das</v>
      </c>
      <c r="AB541" t="str">
        <f>TRIM(PROPER(F:F))</f>
        <v>Small Business</v>
      </c>
      <c r="AC541" t="str">
        <f>TRIM(PROPER(G:G))</f>
        <v>South</v>
      </c>
      <c r="AD541" t="str">
        <f>TRIM(PROPER(H:H))</f>
        <v>Tamil Nadu</v>
      </c>
      <c r="AE541" t="str">
        <f>TRIM(PROPER(I:I))</f>
        <v>Chennai</v>
      </c>
      <c r="AF541" t="str">
        <f>TRIM(PROPER(J:J))</f>
        <v>Furniture</v>
      </c>
      <c r="AG541" t="str">
        <f t="shared" si="15"/>
        <v>Chairs</v>
      </c>
      <c r="AH541" t="str">
        <f t="shared" si="15"/>
        <v>Classic Chairs 666</v>
      </c>
      <c r="AI541" t="str">
        <f t="shared" si="15"/>
        <v>Standard Class</v>
      </c>
      <c r="AJ541" s="3" t="str">
        <f t="shared" si="14"/>
        <v xml:space="preserve">  </v>
      </c>
      <c r="AK541">
        <f>IFERROR(Y541-X541, "invalid date")</f>
        <v>88</v>
      </c>
      <c r="AL541" s="10">
        <v>0.1</v>
      </c>
      <c r="AM541" s="11">
        <v>1904.4450000000002</v>
      </c>
      <c r="AN541" s="11">
        <v>587.9050000000002</v>
      </c>
      <c r="AO541" s="10">
        <v>0.30870148520960183</v>
      </c>
      <c r="AP541" t="s">
        <v>4368</v>
      </c>
      <c r="AQ541" t="s">
        <v>4584</v>
      </c>
      <c r="AR541" t="s">
        <v>4199</v>
      </c>
      <c r="AS541" t="s">
        <v>4120</v>
      </c>
      <c r="AT541" t="s">
        <v>4121</v>
      </c>
      <c r="AU541">
        <v>88</v>
      </c>
      <c r="AV541" t="s">
        <v>4109</v>
      </c>
    </row>
    <row r="542" spans="1:48">
      <c r="A542" t="s">
        <v>2616</v>
      </c>
      <c r="B542" t="s">
        <v>2617</v>
      </c>
      <c r="C542" t="s">
        <v>2352</v>
      </c>
      <c r="D542" t="s">
        <v>2618</v>
      </c>
      <c r="E542" t="s">
        <v>377</v>
      </c>
      <c r="F542" t="s">
        <v>35</v>
      </c>
      <c r="G542" t="s">
        <v>82</v>
      </c>
      <c r="H542" t="s">
        <v>245</v>
      </c>
      <c r="I542" t="s">
        <v>246</v>
      </c>
      <c r="J542" t="s">
        <v>54</v>
      </c>
      <c r="K542" t="s">
        <v>74</v>
      </c>
      <c r="L542" t="s">
        <v>2619</v>
      </c>
      <c r="M542" t="s">
        <v>76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43</v>
      </c>
      <c r="U542" t="s">
        <v>44</v>
      </c>
      <c r="W542" t="s">
        <v>2616</v>
      </c>
      <c r="X542" t="str">
        <v>26-02-24</v>
      </c>
      <c r="Y542" t="str">
        <v>23-02-24</v>
      </c>
      <c r="Z542" t="s">
        <v>2618</v>
      </c>
      <c r="AA542" t="str">
        <v>Kabir Singh</v>
      </c>
      <c r="AB542" t="str">
        <f>TRIM(PROPER(F:F))</f>
        <v>Consumer</v>
      </c>
      <c r="AC542" t="str">
        <f>TRIM(PROPER(G:G))</f>
        <v>West</v>
      </c>
      <c r="AD542" t="str">
        <f>TRIM(PROPER(H:H))</f>
        <v>Gujarat</v>
      </c>
      <c r="AE542" t="str">
        <f>TRIM(PROPER(I:I))</f>
        <v>Ahmedabad</v>
      </c>
      <c r="AF542" t="str">
        <f>TRIM(PROPER(J:J))</f>
        <v>Furniture</v>
      </c>
      <c r="AG542" t="str">
        <f t="shared" si="15"/>
        <v>Furnishings</v>
      </c>
      <c r="AH542" t="str">
        <f t="shared" si="15"/>
        <v>Basic Furnishings 350</v>
      </c>
      <c r="AI542" t="str">
        <f t="shared" si="15"/>
        <v>Standard Class</v>
      </c>
      <c r="AJ542" s="3" t="str">
        <f t="shared" si="14"/>
        <v xml:space="preserve">  </v>
      </c>
      <c r="AK542">
        <f>IFERROR(Y542-X542, "invalid date")</f>
        <v>-3</v>
      </c>
      <c r="AL542" s="10">
        <v>0.2</v>
      </c>
      <c r="AM542" s="11">
        <v>21571.592000000004</v>
      </c>
      <c r="AN542" s="11">
        <v>4453.5220000000045</v>
      </c>
      <c r="AO542" s="10">
        <v>0.20645309813017063</v>
      </c>
      <c r="AP542" t="s">
        <v>4606</v>
      </c>
      <c r="AQ542" t="s">
        <v>4578</v>
      </c>
      <c r="AR542" t="s">
        <v>4129</v>
      </c>
      <c r="AS542" t="s">
        <v>4107</v>
      </c>
      <c r="AT542" t="s">
        <v>4121</v>
      </c>
      <c r="AU542">
        <v>-3</v>
      </c>
      <c r="AV542" t="s">
        <v>4109</v>
      </c>
    </row>
    <row r="543" spans="1:48">
      <c r="A543" t="s">
        <v>2620</v>
      </c>
      <c r="B543" t="s">
        <v>2621</v>
      </c>
      <c r="C543" t="s">
        <v>2622</v>
      </c>
      <c r="D543" t="s">
        <v>2623</v>
      </c>
      <c r="E543" t="s">
        <v>177</v>
      </c>
      <c r="F543" t="s">
        <v>35</v>
      </c>
      <c r="G543" t="s">
        <v>82</v>
      </c>
      <c r="H543" t="s">
        <v>83</v>
      </c>
      <c r="I543" t="s">
        <v>84</v>
      </c>
      <c r="J543" t="s">
        <v>95</v>
      </c>
      <c r="K543" t="s">
        <v>103</v>
      </c>
      <c r="L543" t="s">
        <v>2624</v>
      </c>
      <c r="M543" t="s">
        <v>57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43</v>
      </c>
      <c r="U543" t="s">
        <v>134</v>
      </c>
      <c r="W543" t="s">
        <v>2620</v>
      </c>
      <c r="X543" t="str">
        <v>08-07-25</v>
      </c>
      <c r="Y543" t="str">
        <v>09-07-25</v>
      </c>
      <c r="Z543" t="s">
        <v>2623</v>
      </c>
      <c r="AA543" t="str">
        <v>Sneha Kapoor</v>
      </c>
      <c r="AB543" t="str">
        <f>TRIM(PROPER(F:F))</f>
        <v>Consumer</v>
      </c>
      <c r="AC543" t="str">
        <f>TRIM(PROPER(G:G))</f>
        <v>West</v>
      </c>
      <c r="AD543" t="str">
        <f>TRIM(PROPER(H:H))</f>
        <v>Maharashtra</v>
      </c>
      <c r="AE543" t="str">
        <f>TRIM(PROPER(I:I))</f>
        <v>Mumbai</v>
      </c>
      <c r="AF543" t="str">
        <f>TRIM(PROPER(J:J))</f>
        <v>Technology</v>
      </c>
      <c r="AG543" t="str">
        <f t="shared" si="15"/>
        <v>Copiers</v>
      </c>
      <c r="AH543" t="str">
        <f t="shared" si="15"/>
        <v>Elite Copiers 831</v>
      </c>
      <c r="AI543" t="str">
        <f t="shared" si="15"/>
        <v>Same Day</v>
      </c>
      <c r="AJ543" s="3" t="str">
        <f t="shared" si="14"/>
        <v>anomaly</v>
      </c>
      <c r="AK543">
        <f>IFERROR(Y543-X543, "invalid date")</f>
        <v>1</v>
      </c>
      <c r="AL543" s="10">
        <v>0</v>
      </c>
      <c r="AM543" s="11">
        <v>8641.68</v>
      </c>
      <c r="AN543" s="11">
        <v>2894.59</v>
      </c>
      <c r="AO543" s="10">
        <v>0.33495686024013849</v>
      </c>
      <c r="AP543" t="s">
        <v>4607</v>
      </c>
      <c r="AQ543" t="s">
        <v>4608</v>
      </c>
      <c r="AR543" t="s">
        <v>4106</v>
      </c>
      <c r="AS543" t="s">
        <v>4120</v>
      </c>
      <c r="AT543" t="s">
        <v>4115</v>
      </c>
      <c r="AU543">
        <v>1</v>
      </c>
      <c r="AV543" t="s">
        <v>4109</v>
      </c>
    </row>
    <row r="544" spans="1:48">
      <c r="A544" t="s">
        <v>2625</v>
      </c>
      <c r="B544" t="s">
        <v>2626</v>
      </c>
      <c r="C544" t="s">
        <v>2627</v>
      </c>
      <c r="D544" t="s">
        <v>2628</v>
      </c>
      <c r="E544" t="s">
        <v>157</v>
      </c>
      <c r="F544" t="s">
        <v>124</v>
      </c>
      <c r="G544" t="s">
        <v>71</v>
      </c>
      <c r="H544" t="s">
        <v>252</v>
      </c>
      <c r="I544" t="s">
        <v>253</v>
      </c>
      <c r="J544" t="s">
        <v>54</v>
      </c>
      <c r="K544" t="s">
        <v>214</v>
      </c>
      <c r="L544" t="s">
        <v>2629</v>
      </c>
      <c r="M544" t="s">
        <v>42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43</v>
      </c>
      <c r="U544" t="s">
        <v>2630</v>
      </c>
      <c r="W544" t="s">
        <v>2625</v>
      </c>
      <c r="X544" t="str">
        <v>invalid date</v>
      </c>
      <c r="Y544" t="str">
        <v>23-09-24</v>
      </c>
      <c r="Z544" t="s">
        <v>2628</v>
      </c>
      <c r="AA544" t="str">
        <v>Rahul Verma</v>
      </c>
      <c r="AB544" t="str">
        <f>TRIM(PROPER(F:F))</f>
        <v>Home Office</v>
      </c>
      <c r="AC544" t="str">
        <f>TRIM(PROPER(G:G))</f>
        <v>South</v>
      </c>
      <c r="AD544" t="str">
        <f>TRIM(PROPER(H:H))</f>
        <v>Kerala</v>
      </c>
      <c r="AE544" t="str">
        <f>TRIM(PROPER(I:I))</f>
        <v>Kochi</v>
      </c>
      <c r="AF544" t="str">
        <f>TRIM(PROPER(J:J))</f>
        <v>Furniture</v>
      </c>
      <c r="AG544" t="str">
        <f t="shared" si="15"/>
        <v>Bookcases</v>
      </c>
      <c r="AH544" t="str">
        <f t="shared" si="15"/>
        <v>Eco Bookcases 759</v>
      </c>
      <c r="AI544" t="str">
        <f t="shared" si="15"/>
        <v>Second Class</v>
      </c>
      <c r="AJ544" s="3" t="str">
        <f t="shared" si="14"/>
        <v>Invalid</v>
      </c>
      <c r="AK544" t="str">
        <f>IFERROR(Y544-X544, "invalid date")</f>
        <v>invalid date</v>
      </c>
      <c r="AL544" s="10">
        <v>0.2</v>
      </c>
      <c r="AM544" s="11">
        <v>9762.2880000000005</v>
      </c>
      <c r="AN544" s="11">
        <v>1394.0480000000007</v>
      </c>
      <c r="AO544" s="10">
        <v>0.14279931098119628</v>
      </c>
      <c r="AP544" t="s">
        <v>4105</v>
      </c>
      <c r="AQ544" t="s">
        <v>4516</v>
      </c>
      <c r="AR544" t="s">
        <v>4105</v>
      </c>
      <c r="AS544" t="s">
        <v>4105</v>
      </c>
      <c r="AT544" t="s">
        <v>4108</v>
      </c>
      <c r="AU544" t="s">
        <v>4105</v>
      </c>
      <c r="AV544" t="s">
        <v>4109</v>
      </c>
    </row>
    <row r="545" spans="1:48">
      <c r="A545" t="s">
        <v>2631</v>
      </c>
      <c r="B545" t="s">
        <v>2632</v>
      </c>
      <c r="C545" t="s">
        <v>411</v>
      </c>
      <c r="D545" t="s">
        <v>2633</v>
      </c>
      <c r="E545" t="s">
        <v>49</v>
      </c>
      <c r="F545" t="s">
        <v>35</v>
      </c>
      <c r="G545" t="s">
        <v>51</v>
      </c>
      <c r="H545" t="s">
        <v>196</v>
      </c>
      <c r="I545" t="s">
        <v>197</v>
      </c>
      <c r="J545" t="s">
        <v>95</v>
      </c>
      <c r="K545" t="s">
        <v>103</v>
      </c>
      <c r="L545" t="s">
        <v>2634</v>
      </c>
      <c r="M545" t="s">
        <v>57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43</v>
      </c>
      <c r="U545" t="s">
        <v>44</v>
      </c>
      <c r="W545" t="s">
        <v>2631</v>
      </c>
      <c r="X545" t="str">
        <v>14-07-24</v>
      </c>
      <c r="Y545" t="str">
        <v>20-07-24</v>
      </c>
      <c r="Z545" t="s">
        <v>2633</v>
      </c>
      <c r="AA545" t="str">
        <v>Mira Das</v>
      </c>
      <c r="AB545" t="str">
        <f>TRIM(PROPER(F:F))</f>
        <v>Consumer</v>
      </c>
      <c r="AC545" t="str">
        <f>TRIM(PROPER(G:G))</f>
        <v>East</v>
      </c>
      <c r="AD545" t="str">
        <f>TRIM(PROPER(H:H))</f>
        <v>Bihar</v>
      </c>
      <c r="AE545" t="str">
        <f>TRIM(PROPER(I:I))</f>
        <v>Patna</v>
      </c>
      <c r="AF545" t="str">
        <f>TRIM(PROPER(J:J))</f>
        <v>Technology</v>
      </c>
      <c r="AG545" t="str">
        <f t="shared" si="15"/>
        <v>Copiers</v>
      </c>
      <c r="AH545" t="str">
        <f t="shared" si="15"/>
        <v>Max Copiers 440</v>
      </c>
      <c r="AI545" t="str">
        <f t="shared" si="15"/>
        <v>Same Day</v>
      </c>
      <c r="AJ545" s="3" t="str">
        <f t="shared" si="14"/>
        <v>anomaly</v>
      </c>
      <c r="AK545">
        <f>IFERROR(Y545-X545, "invalid date")</f>
        <v>6</v>
      </c>
      <c r="AL545" s="10">
        <v>0.15</v>
      </c>
      <c r="AM545" s="11">
        <v>418.76949999999999</v>
      </c>
      <c r="AN545" s="11">
        <v>105.04949999999997</v>
      </c>
      <c r="AO545" s="10">
        <v>0.25085279610859906</v>
      </c>
      <c r="AP545" t="s">
        <v>4609</v>
      </c>
      <c r="AQ545" t="s">
        <v>4215</v>
      </c>
      <c r="AR545" t="s">
        <v>4106</v>
      </c>
      <c r="AS545" t="s">
        <v>4107</v>
      </c>
      <c r="AT545" t="s">
        <v>4115</v>
      </c>
      <c r="AU545">
        <v>6</v>
      </c>
      <c r="AV545" t="s">
        <v>4109</v>
      </c>
    </row>
    <row r="546" spans="1:48">
      <c r="A546" t="s">
        <v>2635</v>
      </c>
      <c r="B546" t="s">
        <v>2636</v>
      </c>
      <c r="C546" t="s">
        <v>2069</v>
      </c>
      <c r="D546" t="s">
        <v>2637</v>
      </c>
      <c r="E546" t="s">
        <v>81</v>
      </c>
      <c r="F546" t="s">
        <v>35</v>
      </c>
      <c r="G546" t="s">
        <v>71</v>
      </c>
      <c r="H546" t="s">
        <v>252</v>
      </c>
      <c r="I546" t="s">
        <v>253</v>
      </c>
      <c r="J546" t="s">
        <v>39</v>
      </c>
      <c r="K546" t="s">
        <v>63</v>
      </c>
      <c r="L546" t="s">
        <v>2638</v>
      </c>
      <c r="M546" t="s">
        <v>57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43</v>
      </c>
      <c r="U546" t="s">
        <v>87</v>
      </c>
      <c r="W546" t="s">
        <v>2635</v>
      </c>
      <c r="X546" t="str">
        <v>29-01-25</v>
      </c>
      <c r="Y546" t="str">
        <v>02-05-25</v>
      </c>
      <c r="Z546" t="s">
        <v>2637</v>
      </c>
      <c r="AA546" t="str">
        <v>Ananya Rao</v>
      </c>
      <c r="AB546" t="str">
        <f>TRIM(PROPER(F:F))</f>
        <v>Consumer</v>
      </c>
      <c r="AC546" t="str">
        <f>TRIM(PROPER(G:G))</f>
        <v>South</v>
      </c>
      <c r="AD546" t="str">
        <f>TRIM(PROPER(H:H))</f>
        <v>Kerala</v>
      </c>
      <c r="AE546" t="str">
        <f>TRIM(PROPER(I:I))</f>
        <v>Kochi</v>
      </c>
      <c r="AF546" t="str">
        <f>TRIM(PROPER(J:J))</f>
        <v>Office Supplies</v>
      </c>
      <c r="AG546" t="str">
        <f t="shared" si="15"/>
        <v>Art</v>
      </c>
      <c r="AH546" t="str">
        <f t="shared" si="15"/>
        <v>Smart Art 201</v>
      </c>
      <c r="AI546" t="str">
        <f t="shared" si="15"/>
        <v>Same Day</v>
      </c>
      <c r="AJ546" s="3" t="str">
        <f t="shared" si="14"/>
        <v xml:space="preserve">  </v>
      </c>
      <c r="AK546">
        <f>IFERROR(Y546-X546, "invalid date")</f>
        <v>93</v>
      </c>
      <c r="AL546" s="10">
        <v>0.25</v>
      </c>
      <c r="AM546" s="11">
        <v>21861.72</v>
      </c>
      <c r="AN546" s="11">
        <v>3397.380000000001</v>
      </c>
      <c r="AO546" s="10">
        <v>0.1554031430280875</v>
      </c>
      <c r="AP546" t="s">
        <v>4610</v>
      </c>
      <c r="AQ546" t="s">
        <v>4356</v>
      </c>
      <c r="AR546" t="s">
        <v>4153</v>
      </c>
      <c r="AS546" t="s">
        <v>4120</v>
      </c>
      <c r="AT546" t="s">
        <v>4121</v>
      </c>
      <c r="AU546">
        <v>93</v>
      </c>
      <c r="AV546" t="s">
        <v>4109</v>
      </c>
    </row>
    <row r="547" spans="1:48">
      <c r="A547" t="s">
        <v>2639</v>
      </c>
      <c r="B547" t="s">
        <v>2640</v>
      </c>
      <c r="C547" t="s">
        <v>2641</v>
      </c>
      <c r="D547" t="s">
        <v>2642</v>
      </c>
      <c r="E547" t="s">
        <v>377</v>
      </c>
      <c r="F547" t="s">
        <v>50</v>
      </c>
      <c r="G547" t="s">
        <v>51</v>
      </c>
      <c r="H547" t="s">
        <v>322</v>
      </c>
      <c r="I547" t="s">
        <v>323</v>
      </c>
      <c r="J547" t="s">
        <v>39</v>
      </c>
      <c r="K547" t="s">
        <v>165</v>
      </c>
      <c r="L547" t="s">
        <v>2643</v>
      </c>
      <c r="M547" t="s">
        <v>57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43</v>
      </c>
      <c r="U547" t="s">
        <v>44</v>
      </c>
      <c r="W547" t="s">
        <v>2639</v>
      </c>
      <c r="X547" t="str">
        <v>invalid date</v>
      </c>
      <c r="Y547" t="str">
        <v>30-05-24</v>
      </c>
      <c r="Z547" t="s">
        <v>2642</v>
      </c>
      <c r="AA547" t="str">
        <v>Kabir Singh</v>
      </c>
      <c r="AB547" t="str">
        <f>TRIM(PROPER(F:F))</f>
        <v>Small Business</v>
      </c>
      <c r="AC547" t="str">
        <f>TRIM(PROPER(G:G))</f>
        <v>East</v>
      </c>
      <c r="AD547" t="str">
        <f>TRIM(PROPER(H:H))</f>
        <v>Jharkhand</v>
      </c>
      <c r="AE547" t="str">
        <f>TRIM(PROPER(I:I))</f>
        <v>Ranchi</v>
      </c>
      <c r="AF547" t="str">
        <f>TRIM(PROPER(J:J))</f>
        <v>Office Supplies</v>
      </c>
      <c r="AG547" t="str">
        <f t="shared" si="15"/>
        <v>Storage</v>
      </c>
      <c r="AH547" t="str">
        <f t="shared" si="15"/>
        <v>Classic Storage 755</v>
      </c>
      <c r="AI547" t="str">
        <f t="shared" si="15"/>
        <v>Same Day</v>
      </c>
      <c r="AJ547" s="3" t="str">
        <f t="shared" si="14"/>
        <v>Invalid</v>
      </c>
      <c r="AK547" t="str">
        <f>IFERROR(Y547-X547, "invalid date")</f>
        <v>invalid date</v>
      </c>
      <c r="AL547" s="10">
        <v>0.15</v>
      </c>
      <c r="AM547" s="11">
        <v>17260.116999999998</v>
      </c>
      <c r="AN547" s="11">
        <v>3746.6069999999982</v>
      </c>
      <c r="AO547" s="10">
        <v>0.21706730029697935</v>
      </c>
      <c r="AP547" t="s">
        <v>4105</v>
      </c>
      <c r="AQ547" t="s">
        <v>4611</v>
      </c>
      <c r="AR547" t="s">
        <v>4105</v>
      </c>
      <c r="AS547" t="s">
        <v>4105</v>
      </c>
      <c r="AT547" t="s">
        <v>4108</v>
      </c>
      <c r="AU547" t="s">
        <v>4105</v>
      </c>
      <c r="AV547" t="s">
        <v>4109</v>
      </c>
    </row>
    <row r="548" spans="1:48">
      <c r="A548" t="s">
        <v>2644</v>
      </c>
      <c r="B548" t="s">
        <v>2645</v>
      </c>
      <c r="C548" t="s">
        <v>1500</v>
      </c>
      <c r="D548" t="s">
        <v>2646</v>
      </c>
      <c r="E548" t="s">
        <v>70</v>
      </c>
      <c r="F548" t="s">
        <v>117</v>
      </c>
      <c r="G548" t="s">
        <v>82</v>
      </c>
      <c r="H548" t="s">
        <v>245</v>
      </c>
      <c r="I548" t="s">
        <v>246</v>
      </c>
      <c r="J548" t="s">
        <v>2647</v>
      </c>
      <c r="K548" t="s">
        <v>40</v>
      </c>
      <c r="L548" t="s">
        <v>2648</v>
      </c>
      <c r="M548" t="s">
        <v>65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43</v>
      </c>
      <c r="U548" t="s">
        <v>44</v>
      </c>
      <c r="W548" t="s">
        <v>2644</v>
      </c>
      <c r="X548" t="str">
        <v>14-08-25</v>
      </c>
      <c r="Y548" t="str">
        <v>22-08-25</v>
      </c>
      <c r="Z548" t="s">
        <v>2646</v>
      </c>
      <c r="AA548" t="str">
        <v>Arjun Bose</v>
      </c>
      <c r="AB548" t="str">
        <f>TRIM(PROPER(F:F))</f>
        <v>Corporate</v>
      </c>
      <c r="AC548" t="str">
        <f>TRIM(PROPER(G:G))</f>
        <v>West</v>
      </c>
      <c r="AD548" t="str">
        <f>TRIM(PROPER(H:H))</f>
        <v>Gujarat</v>
      </c>
      <c r="AE548" t="str">
        <f>TRIM(PROPER(I:I))</f>
        <v>Ahmedabad</v>
      </c>
      <c r="AF548" t="str">
        <f>TRIM(PROPER(J:J))</f>
        <v>Office Supplies</v>
      </c>
      <c r="AG548" t="str">
        <f t="shared" si="15"/>
        <v>Paper</v>
      </c>
      <c r="AH548" t="str">
        <f t="shared" si="15"/>
        <v>Prime Paper 143</v>
      </c>
      <c r="AI548" t="str">
        <f t="shared" si="15"/>
        <v>First Class</v>
      </c>
      <c r="AJ548" s="3" t="str">
        <f t="shared" si="14"/>
        <v>anomaly</v>
      </c>
      <c r="AK548">
        <f>IFERROR(Y548-X548, "invalid date")</f>
        <v>8</v>
      </c>
      <c r="AL548" s="10">
        <v>0.15</v>
      </c>
      <c r="AM548" s="11">
        <v>10911.322499999998</v>
      </c>
      <c r="AN548" s="11">
        <v>3944.8824999999988</v>
      </c>
      <c r="AO548" s="10">
        <v>0.36154027158486052</v>
      </c>
      <c r="AP548" t="s">
        <v>4612</v>
      </c>
      <c r="AQ548" t="s">
        <v>4229</v>
      </c>
      <c r="AR548" t="s">
        <v>4114</v>
      </c>
      <c r="AS548" t="s">
        <v>4120</v>
      </c>
      <c r="AT548" t="s">
        <v>4115</v>
      </c>
      <c r="AU548">
        <v>8</v>
      </c>
      <c r="AV548" t="s">
        <v>4109</v>
      </c>
    </row>
    <row r="549" spans="1:48">
      <c r="A549" t="s">
        <v>2649</v>
      </c>
      <c r="B549" t="s">
        <v>2650</v>
      </c>
      <c r="C549" t="s">
        <v>2651</v>
      </c>
      <c r="D549" t="s">
        <v>2652</v>
      </c>
      <c r="E549" t="s">
        <v>102</v>
      </c>
      <c r="F549" t="s">
        <v>50</v>
      </c>
      <c r="G549" t="s">
        <v>36</v>
      </c>
      <c r="H549" t="s">
        <v>183</v>
      </c>
      <c r="I549" t="s">
        <v>184</v>
      </c>
      <c r="J549" t="s">
        <v>95</v>
      </c>
      <c r="K549" t="s">
        <v>103</v>
      </c>
      <c r="L549" t="s">
        <v>2653</v>
      </c>
      <c r="M549" t="s">
        <v>76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43</v>
      </c>
      <c r="U549" t="s">
        <v>44</v>
      </c>
      <c r="W549" t="s">
        <v>2649</v>
      </c>
      <c r="X549" t="str">
        <v>16-05-24</v>
      </c>
      <c r="Y549" t="str">
        <v>23-05-24</v>
      </c>
      <c r="Z549" t="s">
        <v>2652</v>
      </c>
      <c r="AA549" t="str">
        <v>Neha Gupta</v>
      </c>
      <c r="AB549" t="str">
        <f>TRIM(PROPER(F:F))</f>
        <v>Small Business</v>
      </c>
      <c r="AC549" t="str">
        <f>TRIM(PROPER(G:G))</f>
        <v>North</v>
      </c>
      <c r="AD549" t="str">
        <f>TRIM(PROPER(H:H))</f>
        <v>Uttar Pradesh</v>
      </c>
      <c r="AE549" t="str">
        <f>TRIM(PROPER(I:I))</f>
        <v>Noida</v>
      </c>
      <c r="AF549" t="str">
        <f>TRIM(PROPER(J:J))</f>
        <v>Technology</v>
      </c>
      <c r="AG549" t="str">
        <f t="shared" si="15"/>
        <v>Copiers</v>
      </c>
      <c r="AH549" t="str">
        <f t="shared" si="15"/>
        <v>Max Copiers 607</v>
      </c>
      <c r="AI549" t="str">
        <f t="shared" si="15"/>
        <v>Standard Class</v>
      </c>
      <c r="AJ549" s="3" t="str">
        <f t="shared" si="14"/>
        <v>anomaly</v>
      </c>
      <c r="AK549">
        <f>IFERROR(Y549-X549, "invalid date")</f>
        <v>7</v>
      </c>
      <c r="AL549" s="10">
        <v>0.1</v>
      </c>
      <c r="AM549" s="11">
        <v>30148.929</v>
      </c>
      <c r="AN549" s="11">
        <v>4993.8590000000004</v>
      </c>
      <c r="AO549" s="10">
        <v>0.16563968159532302</v>
      </c>
      <c r="AP549" t="s">
        <v>4429</v>
      </c>
      <c r="AQ549" t="s">
        <v>4613</v>
      </c>
      <c r="AR549" t="s">
        <v>4124</v>
      </c>
      <c r="AS549" t="s">
        <v>4107</v>
      </c>
      <c r="AT549" t="s">
        <v>4115</v>
      </c>
      <c r="AU549">
        <v>7</v>
      </c>
      <c r="AV549" t="s">
        <v>4109</v>
      </c>
    </row>
    <row r="550" spans="1:48">
      <c r="A550" t="s">
        <v>2654</v>
      </c>
      <c r="B550" t="s">
        <v>285</v>
      </c>
      <c r="C550" t="s">
        <v>284</v>
      </c>
      <c r="D550" t="s">
        <v>2655</v>
      </c>
      <c r="E550" t="s">
        <v>189</v>
      </c>
      <c r="F550" t="s">
        <v>117</v>
      </c>
      <c r="G550" t="s">
        <v>51</v>
      </c>
      <c r="H550" t="s">
        <v>196</v>
      </c>
      <c r="I550" t="s">
        <v>197</v>
      </c>
      <c r="J550" t="s">
        <v>54</v>
      </c>
      <c r="K550" t="s">
        <v>214</v>
      </c>
      <c r="L550" t="s">
        <v>2656</v>
      </c>
      <c r="M550" t="s">
        <v>57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146</v>
      </c>
      <c r="U550" t="s">
        <v>87</v>
      </c>
      <c r="W550" t="s">
        <v>2654</v>
      </c>
      <c r="X550" t="str">
        <v>29-05-24</v>
      </c>
      <c r="Y550" t="str">
        <v>29-05-24</v>
      </c>
      <c r="Z550" t="s">
        <v>2655</v>
      </c>
      <c r="AA550" t="str">
        <v>Rohan Mehta</v>
      </c>
      <c r="AB550" t="str">
        <f>TRIM(PROPER(F:F))</f>
        <v>Corporate</v>
      </c>
      <c r="AC550" t="str">
        <f>TRIM(PROPER(G:G))</f>
        <v>East</v>
      </c>
      <c r="AD550" t="str">
        <f>TRIM(PROPER(H:H))</f>
        <v>Bihar</v>
      </c>
      <c r="AE550" t="str">
        <f>TRIM(PROPER(I:I))</f>
        <v>Patna</v>
      </c>
      <c r="AF550" t="str">
        <f>TRIM(PROPER(J:J))</f>
        <v>Furniture</v>
      </c>
      <c r="AG550" t="str">
        <f t="shared" si="15"/>
        <v>Bookcases</v>
      </c>
      <c r="AH550" t="str">
        <f t="shared" si="15"/>
        <v>Prime Bookcases 402</v>
      </c>
      <c r="AI550" t="str">
        <f t="shared" si="15"/>
        <v>Same Day</v>
      </c>
      <c r="AJ550" s="3" t="str">
        <f t="shared" si="14"/>
        <v xml:space="preserve">  </v>
      </c>
      <c r="AK550">
        <f>IFERROR(Y550-X550, "invalid date")</f>
        <v>0</v>
      </c>
      <c r="AL550" s="10">
        <v>0</v>
      </c>
      <c r="AM550" s="11">
        <v>1072.01</v>
      </c>
      <c r="AN550" s="11">
        <v>219.39</v>
      </c>
      <c r="AO550" s="10">
        <v>0.20465294167032022</v>
      </c>
      <c r="AP550" t="s">
        <v>4176</v>
      </c>
      <c r="AQ550" t="s">
        <v>4176</v>
      </c>
      <c r="AR550" t="s">
        <v>4124</v>
      </c>
      <c r="AS550" t="s">
        <v>4107</v>
      </c>
      <c r="AT550" t="s">
        <v>4115</v>
      </c>
      <c r="AU550">
        <v>0</v>
      </c>
      <c r="AV550" t="s">
        <v>4109</v>
      </c>
    </row>
    <row r="551" spans="1:48">
      <c r="A551" t="s">
        <v>2657</v>
      </c>
      <c r="B551" t="s">
        <v>2658</v>
      </c>
      <c r="C551" t="s">
        <v>2659</v>
      </c>
      <c r="D551" t="s">
        <v>2660</v>
      </c>
      <c r="E551" t="s">
        <v>49</v>
      </c>
      <c r="F551" t="s">
        <v>117</v>
      </c>
      <c r="G551" t="s">
        <v>71</v>
      </c>
      <c r="H551" t="s">
        <v>72</v>
      </c>
      <c r="I551" t="s">
        <v>73</v>
      </c>
      <c r="J551" t="s">
        <v>39</v>
      </c>
      <c r="K551" t="s">
        <v>63</v>
      </c>
      <c r="L551" t="s">
        <v>2661</v>
      </c>
      <c r="M551" t="s">
        <v>42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43</v>
      </c>
      <c r="U551" t="s">
        <v>44</v>
      </c>
      <c r="W551" t="s">
        <v>2657</v>
      </c>
      <c r="X551" t="str">
        <v>10-11-25</v>
      </c>
      <c r="Y551" t="str">
        <v>13-10-25</v>
      </c>
      <c r="Z551" t="s">
        <v>2660</v>
      </c>
      <c r="AA551" t="str">
        <v>Mira Das</v>
      </c>
      <c r="AB551" t="str">
        <f>TRIM(PROPER(F:F))</f>
        <v>Corporate</v>
      </c>
      <c r="AC551" t="str">
        <f>TRIM(PROPER(G:G))</f>
        <v>South</v>
      </c>
      <c r="AD551" t="str">
        <f>TRIM(PROPER(H:H))</f>
        <v>Telangana</v>
      </c>
      <c r="AE551" t="str">
        <f>TRIM(PROPER(I:I))</f>
        <v>Hyderabad</v>
      </c>
      <c r="AF551" t="str">
        <f>TRIM(PROPER(J:J))</f>
        <v>Office Supplies</v>
      </c>
      <c r="AG551" t="str">
        <f t="shared" si="15"/>
        <v>Art</v>
      </c>
      <c r="AH551" t="str">
        <f t="shared" si="15"/>
        <v>Pro Art 287</v>
      </c>
      <c r="AI551" t="str">
        <f t="shared" si="15"/>
        <v>Second Class</v>
      </c>
      <c r="AJ551" s="3" t="str">
        <f t="shared" si="14"/>
        <v>anomaly</v>
      </c>
      <c r="AK551">
        <f>IFERROR(Y551-X551, "invalid date")</f>
        <v>-28</v>
      </c>
      <c r="AL551" s="10">
        <v>0.1</v>
      </c>
      <c r="AM551" s="11">
        <v>10271.529</v>
      </c>
      <c r="AN551" s="11">
        <v>1999.2890000000007</v>
      </c>
      <c r="AO551" s="10">
        <v>0.19464375751652949</v>
      </c>
      <c r="AP551" t="s">
        <v>4614</v>
      </c>
      <c r="AQ551" t="s">
        <v>4615</v>
      </c>
      <c r="AR551" t="s">
        <v>4117</v>
      </c>
      <c r="AS551" t="s">
        <v>4120</v>
      </c>
      <c r="AT551" t="s">
        <v>4115</v>
      </c>
      <c r="AU551">
        <v>-28</v>
      </c>
      <c r="AV551" t="s">
        <v>4109</v>
      </c>
    </row>
    <row r="552" spans="1:48">
      <c r="A552" t="s">
        <v>2662</v>
      </c>
      <c r="B552" t="s">
        <v>549</v>
      </c>
      <c r="C552" t="s">
        <v>2663</v>
      </c>
      <c r="D552" t="s">
        <v>2664</v>
      </c>
      <c r="E552" t="s">
        <v>49</v>
      </c>
      <c r="F552" t="s">
        <v>124</v>
      </c>
      <c r="G552" t="s">
        <v>51</v>
      </c>
      <c r="H552" t="s">
        <v>52</v>
      </c>
      <c r="I552" t="s">
        <v>53</v>
      </c>
      <c r="J552" t="s">
        <v>95</v>
      </c>
      <c r="K552" t="s">
        <v>96</v>
      </c>
      <c r="L552" t="s">
        <v>2665</v>
      </c>
      <c r="M552" t="s">
        <v>76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43</v>
      </c>
      <c r="U552" t="s">
        <v>44</v>
      </c>
      <c r="W552" t="s">
        <v>2662</v>
      </c>
      <c r="X552" t="str">
        <v>02-08-24</v>
      </c>
      <c r="Y552" t="str">
        <v>08-10-24</v>
      </c>
      <c r="Z552" t="s">
        <v>2664</v>
      </c>
      <c r="AA552" t="str">
        <v>Mira Das</v>
      </c>
      <c r="AB552" t="str">
        <f>TRIM(PROPER(F:F))</f>
        <v>Home Office</v>
      </c>
      <c r="AC552" t="str">
        <f>TRIM(PROPER(G:G))</f>
        <v>East</v>
      </c>
      <c r="AD552" t="str">
        <f>TRIM(PROPER(H:H))</f>
        <v>Odisha</v>
      </c>
      <c r="AE552" t="str">
        <f>TRIM(PROPER(I:I))</f>
        <v>Bhubaneswar</v>
      </c>
      <c r="AF552" t="str">
        <f>TRIM(PROPER(J:J))</f>
        <v>Technology</v>
      </c>
      <c r="AG552" t="str">
        <f t="shared" si="15"/>
        <v>Accessories</v>
      </c>
      <c r="AH552" t="str">
        <f t="shared" si="15"/>
        <v>Max Accessories 591</v>
      </c>
      <c r="AI552" t="str">
        <f t="shared" si="15"/>
        <v>Standard Class</v>
      </c>
      <c r="AJ552" s="3" t="str">
        <f t="shared" si="14"/>
        <v>anomaly</v>
      </c>
      <c r="AK552">
        <f>IFERROR(Y552-X552, "invalid date")</f>
        <v>67</v>
      </c>
      <c r="AL552" s="10">
        <v>0.2</v>
      </c>
      <c r="AM552" s="11">
        <v>10206.912</v>
      </c>
      <c r="AN552" s="11">
        <v>3442.3820000000005</v>
      </c>
      <c r="AO552" s="10">
        <v>0.33725988820125036</v>
      </c>
      <c r="AP552" t="s">
        <v>4254</v>
      </c>
      <c r="AQ552" t="s">
        <v>4616</v>
      </c>
      <c r="AR552" t="s">
        <v>4114</v>
      </c>
      <c r="AS552" t="s">
        <v>4107</v>
      </c>
      <c r="AT552" t="s">
        <v>4115</v>
      </c>
      <c r="AU552">
        <v>67</v>
      </c>
      <c r="AV552" t="s">
        <v>4109</v>
      </c>
    </row>
    <row r="553" spans="1:48">
      <c r="A553" t="s">
        <v>2666</v>
      </c>
      <c r="B553" t="s">
        <v>2098</v>
      </c>
      <c r="C553" t="s">
        <v>2667</v>
      </c>
      <c r="D553" t="s">
        <v>2668</v>
      </c>
      <c r="E553" t="s">
        <v>177</v>
      </c>
      <c r="F553" t="s">
        <v>35</v>
      </c>
      <c r="G553" t="s">
        <v>51</v>
      </c>
      <c r="H553" t="s">
        <v>322</v>
      </c>
      <c r="I553" t="s">
        <v>323</v>
      </c>
      <c r="J553" t="s">
        <v>54</v>
      </c>
      <c r="K553" t="s">
        <v>85</v>
      </c>
      <c r="L553" t="s">
        <v>2669</v>
      </c>
      <c r="M553" t="s">
        <v>42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43</v>
      </c>
      <c r="U553" t="s">
        <v>44</v>
      </c>
      <c r="W553" t="s">
        <v>2666</v>
      </c>
      <c r="X553" t="str">
        <v>27-02-24</v>
      </c>
      <c r="Y553" t="str">
        <v>27-02-24</v>
      </c>
      <c r="Z553" t="s">
        <v>2668</v>
      </c>
      <c r="AA553" t="str">
        <v>Sneha Kapoor</v>
      </c>
      <c r="AB553" t="str">
        <f>TRIM(PROPER(F:F))</f>
        <v>Consumer</v>
      </c>
      <c r="AC553" t="str">
        <f>TRIM(PROPER(G:G))</f>
        <v>East</v>
      </c>
      <c r="AD553" t="str">
        <f>TRIM(PROPER(H:H))</f>
        <v>Jharkhand</v>
      </c>
      <c r="AE553" t="str">
        <f>TRIM(PROPER(I:I))</f>
        <v>Ranchi</v>
      </c>
      <c r="AF553" t="str">
        <f>TRIM(PROPER(J:J))</f>
        <v>Furniture</v>
      </c>
      <c r="AG553" t="str">
        <f t="shared" si="15"/>
        <v>Chairs</v>
      </c>
      <c r="AH553" t="str">
        <f t="shared" si="15"/>
        <v>Elite Chairs 314</v>
      </c>
      <c r="AI553" t="str">
        <f t="shared" si="15"/>
        <v>Second Class</v>
      </c>
      <c r="AJ553" s="3" t="str">
        <f t="shared" si="14"/>
        <v xml:space="preserve">  </v>
      </c>
      <c r="AK553">
        <f>IFERROR(Y553-X553, "invalid date")</f>
        <v>0</v>
      </c>
      <c r="AL553" s="10">
        <v>0.15</v>
      </c>
      <c r="AM553" s="11">
        <v>8027.6295</v>
      </c>
      <c r="AN553" s="11">
        <v>2531.5394999999999</v>
      </c>
      <c r="AO553" s="10">
        <v>0.31535330572991688</v>
      </c>
      <c r="AP553" t="s">
        <v>4546</v>
      </c>
      <c r="AQ553" t="s">
        <v>4546</v>
      </c>
      <c r="AR553" t="s">
        <v>4129</v>
      </c>
      <c r="AS553" t="s">
        <v>4107</v>
      </c>
      <c r="AT553" t="s">
        <v>4115</v>
      </c>
      <c r="AU553">
        <v>0</v>
      </c>
      <c r="AV553" t="s">
        <v>4109</v>
      </c>
    </row>
    <row r="554" spans="1:48">
      <c r="A554" t="s">
        <v>2670</v>
      </c>
      <c r="B554" t="s">
        <v>200</v>
      </c>
      <c r="C554" t="s">
        <v>354</v>
      </c>
      <c r="D554" t="s">
        <v>2671</v>
      </c>
      <c r="E554" t="s">
        <v>81</v>
      </c>
      <c r="F554" t="s">
        <v>117</v>
      </c>
      <c r="G554" t="s">
        <v>51</v>
      </c>
      <c r="H554" t="s">
        <v>130</v>
      </c>
      <c r="I554" t="s">
        <v>131</v>
      </c>
      <c r="J554" t="s">
        <v>95</v>
      </c>
      <c r="K554" t="s">
        <v>103</v>
      </c>
      <c r="L554" t="s">
        <v>2672</v>
      </c>
      <c r="M554" t="s">
        <v>76</v>
      </c>
      <c r="N554">
        <v>8</v>
      </c>
      <c r="O554">
        <v>312.52999999999997</v>
      </c>
      <c r="P554" s="5" t="s">
        <v>191</v>
      </c>
      <c r="Q554">
        <v>1875.18</v>
      </c>
      <c r="R554">
        <v>1579.17</v>
      </c>
      <c r="S554">
        <v>296.01</v>
      </c>
      <c r="T554" t="s">
        <v>43</v>
      </c>
      <c r="U554" t="s">
        <v>44</v>
      </c>
      <c r="W554" t="s">
        <v>2670</v>
      </c>
      <c r="X554" t="str">
        <v>24-01-25</v>
      </c>
      <c r="Y554" t="str">
        <v>30-01-25</v>
      </c>
      <c r="Z554" t="s">
        <v>2671</v>
      </c>
      <c r="AA554" t="str">
        <v>Ananya Rao</v>
      </c>
      <c r="AB554" t="str">
        <f>TRIM(PROPER(F:F))</f>
        <v>Corporate</v>
      </c>
      <c r="AC554" t="str">
        <f>TRIM(PROPER(G:G))</f>
        <v>East</v>
      </c>
      <c r="AD554" t="str">
        <f>TRIM(PROPER(H:H))</f>
        <v>West Bengal</v>
      </c>
      <c r="AE554" t="str">
        <f>TRIM(PROPER(I:I))</f>
        <v>Kolkata</v>
      </c>
      <c r="AF554" t="str">
        <f>TRIM(PROPER(J:J))</f>
        <v>Technology</v>
      </c>
      <c r="AG554" t="str">
        <f t="shared" si="15"/>
        <v>Copiers</v>
      </c>
      <c r="AH554" t="str">
        <f t="shared" si="15"/>
        <v>Pro Copiers 246</v>
      </c>
      <c r="AI554" t="str">
        <f t="shared" si="15"/>
        <v>Standard Class</v>
      </c>
      <c r="AJ554" s="3" t="str">
        <f t="shared" si="14"/>
        <v>anomaly</v>
      </c>
      <c r="AK554">
        <f>IFERROR(Y554-X554, "invalid date")</f>
        <v>6</v>
      </c>
      <c r="AL554" s="10" t="s">
        <v>191</v>
      </c>
      <c r="AM554" s="11" t="s">
        <v>4111</v>
      </c>
      <c r="AN554" s="11" t="s">
        <v>4111</v>
      </c>
      <c r="AO554" s="10" t="s">
        <v>4111</v>
      </c>
      <c r="AP554" t="s">
        <v>4154</v>
      </c>
      <c r="AQ554" t="s">
        <v>4196</v>
      </c>
      <c r="AR554" t="s">
        <v>4153</v>
      </c>
      <c r="AS554" t="s">
        <v>4120</v>
      </c>
      <c r="AT554" t="s">
        <v>4115</v>
      </c>
      <c r="AU554">
        <v>6</v>
      </c>
      <c r="AV554" t="s">
        <v>4109</v>
      </c>
    </row>
    <row r="555" spans="1:48">
      <c r="A555" t="s">
        <v>2673</v>
      </c>
      <c r="B555" t="s">
        <v>2674</v>
      </c>
      <c r="C555" t="s">
        <v>2675</v>
      </c>
      <c r="D555" t="s">
        <v>2676</v>
      </c>
      <c r="E555" t="s">
        <v>171</v>
      </c>
      <c r="F555" t="s">
        <v>50</v>
      </c>
      <c r="G555" t="s">
        <v>82</v>
      </c>
      <c r="H555" t="s">
        <v>245</v>
      </c>
      <c r="I555" t="s">
        <v>246</v>
      </c>
      <c r="J555" t="s">
        <v>39</v>
      </c>
      <c r="K555" t="s">
        <v>165</v>
      </c>
      <c r="L555" t="s">
        <v>2677</v>
      </c>
      <c r="M555" t="s">
        <v>65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43</v>
      </c>
      <c r="U555" t="s">
        <v>44</v>
      </c>
      <c r="W555" t="s">
        <v>2673</v>
      </c>
      <c r="X555" t="str">
        <v>invalid date</v>
      </c>
      <c r="Y555" t="str">
        <v>28-04-25</v>
      </c>
      <c r="Z555" t="s">
        <v>2676</v>
      </c>
      <c r="AA555" t="str">
        <v>Aarav Sharma</v>
      </c>
      <c r="AB555" t="str">
        <f>TRIM(PROPER(F:F))</f>
        <v>Small Business</v>
      </c>
      <c r="AC555" t="str">
        <f>TRIM(PROPER(G:G))</f>
        <v>West</v>
      </c>
      <c r="AD555" t="str">
        <f>TRIM(PROPER(H:H))</f>
        <v>Gujarat</v>
      </c>
      <c r="AE555" t="str">
        <f>TRIM(PROPER(I:I))</f>
        <v>Ahmedabad</v>
      </c>
      <c r="AF555" t="str">
        <f>TRIM(PROPER(J:J))</f>
        <v>Office Supplies</v>
      </c>
      <c r="AG555" t="str">
        <f t="shared" si="15"/>
        <v>Storage</v>
      </c>
      <c r="AH555" t="str">
        <f t="shared" si="15"/>
        <v>Pro Storage 128</v>
      </c>
      <c r="AI555" t="str">
        <f t="shared" si="15"/>
        <v>First Class</v>
      </c>
      <c r="AJ555" s="3" t="str">
        <f t="shared" si="14"/>
        <v>Invalid</v>
      </c>
      <c r="AK555" t="str">
        <f>IFERROR(Y555-X555, "invalid date")</f>
        <v>invalid date</v>
      </c>
      <c r="AL555" s="10">
        <v>0.25</v>
      </c>
      <c r="AM555" s="11">
        <v>8735.2425000000003</v>
      </c>
      <c r="AN555" s="11">
        <v>2115.1725000000006</v>
      </c>
      <c r="AO555" s="10">
        <v>0.24214239043735769</v>
      </c>
      <c r="AP555" t="s">
        <v>4105</v>
      </c>
      <c r="AQ555" t="s">
        <v>4617</v>
      </c>
      <c r="AR555" t="s">
        <v>4105</v>
      </c>
      <c r="AS555" t="s">
        <v>4105</v>
      </c>
      <c r="AT555" t="s">
        <v>4108</v>
      </c>
      <c r="AU555" t="s">
        <v>4105</v>
      </c>
      <c r="AV555" t="s">
        <v>4109</v>
      </c>
    </row>
    <row r="556" spans="1:48">
      <c r="A556" t="s">
        <v>2678</v>
      </c>
      <c r="B556" t="s">
        <v>2679</v>
      </c>
      <c r="C556" t="s">
        <v>2680</v>
      </c>
      <c r="D556" t="s">
        <v>2681</v>
      </c>
      <c r="E556" t="s">
        <v>70</v>
      </c>
      <c r="F556" t="s">
        <v>35</v>
      </c>
      <c r="H556" t="s">
        <v>322</v>
      </c>
      <c r="I556" t="s">
        <v>323</v>
      </c>
      <c r="J556" t="s">
        <v>54</v>
      </c>
      <c r="K556" t="s">
        <v>74</v>
      </c>
      <c r="L556" t="s">
        <v>2682</v>
      </c>
      <c r="M556" t="s">
        <v>76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43</v>
      </c>
      <c r="U556" t="s">
        <v>44</v>
      </c>
      <c r="W556" t="s">
        <v>2678</v>
      </c>
      <c r="X556" t="str">
        <v>12-10-24</v>
      </c>
      <c r="Y556" t="str">
        <v>17-10-24</v>
      </c>
      <c r="Z556" t="s">
        <v>2681</v>
      </c>
      <c r="AA556" t="str">
        <v>Arjun Bose</v>
      </c>
      <c r="AB556" t="str">
        <f>TRIM(PROPER(F:F))</f>
        <v>Consumer</v>
      </c>
      <c r="AC556" s="4" t="s">
        <v>282</v>
      </c>
      <c r="AD556" t="str">
        <f>TRIM(PROPER(H:H))</f>
        <v>Jharkhand</v>
      </c>
      <c r="AE556" t="str">
        <f>TRIM(PROPER(I:I))</f>
        <v>Ranchi</v>
      </c>
      <c r="AF556" t="str">
        <f>TRIM(PROPER(J:J))</f>
        <v>Furniture</v>
      </c>
      <c r="AG556" t="str">
        <f t="shared" si="15"/>
        <v>Furnishings</v>
      </c>
      <c r="AH556" t="str">
        <f t="shared" si="15"/>
        <v>Prime Furnishings 892</v>
      </c>
      <c r="AI556" t="str">
        <f t="shared" si="15"/>
        <v>Standard Class</v>
      </c>
      <c r="AJ556" s="3" t="str">
        <f t="shared" si="14"/>
        <v>anomaly</v>
      </c>
      <c r="AK556">
        <f>IFERROR(Y556-X556, "invalid date")</f>
        <v>5</v>
      </c>
      <c r="AL556" s="10">
        <v>0.05</v>
      </c>
      <c r="AM556" s="11">
        <v>4070.636</v>
      </c>
      <c r="AN556" s="11">
        <v>1239.0160000000001</v>
      </c>
      <c r="AO556" s="10">
        <v>0.30437897173807732</v>
      </c>
      <c r="AP556" t="s">
        <v>4618</v>
      </c>
      <c r="AQ556" t="s">
        <v>4598</v>
      </c>
      <c r="AR556" t="s">
        <v>4126</v>
      </c>
      <c r="AS556" t="s">
        <v>4107</v>
      </c>
      <c r="AT556" t="s">
        <v>4115</v>
      </c>
      <c r="AU556">
        <v>5</v>
      </c>
      <c r="AV556" t="s">
        <v>4109</v>
      </c>
    </row>
    <row r="557" spans="1:48">
      <c r="A557" t="s">
        <v>2683</v>
      </c>
      <c r="B557" t="s">
        <v>892</v>
      </c>
      <c r="C557" t="s">
        <v>2684</v>
      </c>
      <c r="D557" t="s">
        <v>2685</v>
      </c>
      <c r="E557" t="s">
        <v>81</v>
      </c>
      <c r="F557" t="s">
        <v>50</v>
      </c>
      <c r="G557" t="s">
        <v>71</v>
      </c>
      <c r="H557" t="s">
        <v>72</v>
      </c>
      <c r="I557" t="s">
        <v>73</v>
      </c>
      <c r="J557" t="s">
        <v>39</v>
      </c>
      <c r="K557" t="s">
        <v>165</v>
      </c>
      <c r="L557" t="s">
        <v>2686</v>
      </c>
      <c r="M557" t="s">
        <v>76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43</v>
      </c>
      <c r="U557" t="s">
        <v>44</v>
      </c>
      <c r="W557" t="s">
        <v>2683</v>
      </c>
      <c r="X557" t="str">
        <v>04-02-25</v>
      </c>
      <c r="Y557" t="str">
        <v>10-02-25</v>
      </c>
      <c r="Z557" t="s">
        <v>2685</v>
      </c>
      <c r="AA557" t="str">
        <v>Ananya Rao</v>
      </c>
      <c r="AB557" t="str">
        <f>TRIM(PROPER(F:F))</f>
        <v>Small Business</v>
      </c>
      <c r="AC557" t="str">
        <f>TRIM(PROPER(G:G))</f>
        <v>South</v>
      </c>
      <c r="AD557" t="str">
        <f>TRIM(PROPER(H:H))</f>
        <v>Telangana</v>
      </c>
      <c r="AE557" t="str">
        <f>TRIM(PROPER(I:I))</f>
        <v>Hyderabad</v>
      </c>
      <c r="AF557" t="str">
        <f>TRIM(PROPER(J:J))</f>
        <v>Office Supplies</v>
      </c>
      <c r="AG557" t="str">
        <f t="shared" si="15"/>
        <v>Storage</v>
      </c>
      <c r="AH557" t="str">
        <f t="shared" si="15"/>
        <v>Prime Storage 689</v>
      </c>
      <c r="AI557" t="str">
        <f t="shared" si="15"/>
        <v>Standard Class</v>
      </c>
      <c r="AJ557" s="3" t="str">
        <f t="shared" si="14"/>
        <v>anomaly</v>
      </c>
      <c r="AK557">
        <f>IFERROR(Y557-X557, "invalid date")</f>
        <v>6</v>
      </c>
      <c r="AL557" s="10">
        <v>0.05</v>
      </c>
      <c r="AM557" s="11">
        <v>5943.9599999999991</v>
      </c>
      <c r="AN557" s="11">
        <v>2339.8199999999993</v>
      </c>
      <c r="AO557" s="10">
        <v>0.39364665980255581</v>
      </c>
      <c r="AP557" t="s">
        <v>4332</v>
      </c>
      <c r="AQ557" t="s">
        <v>4391</v>
      </c>
      <c r="AR557" t="s">
        <v>4129</v>
      </c>
      <c r="AS557" t="s">
        <v>4120</v>
      </c>
      <c r="AT557" t="s">
        <v>4115</v>
      </c>
      <c r="AU557">
        <v>6</v>
      </c>
      <c r="AV557" t="s">
        <v>4109</v>
      </c>
    </row>
    <row r="558" spans="1:48">
      <c r="A558" t="s">
        <v>2687</v>
      </c>
      <c r="B558" t="s">
        <v>1562</v>
      </c>
      <c r="C558" t="s">
        <v>2104</v>
      </c>
      <c r="D558" t="s">
        <v>2688</v>
      </c>
      <c r="E558" t="s">
        <v>102</v>
      </c>
      <c r="F558" t="s">
        <v>35</v>
      </c>
      <c r="G558" t="s">
        <v>36</v>
      </c>
      <c r="H558" t="s">
        <v>334</v>
      </c>
      <c r="I558" t="s">
        <v>335</v>
      </c>
      <c r="J558" t="s">
        <v>54</v>
      </c>
      <c r="K558" t="s">
        <v>55</v>
      </c>
      <c r="L558" t="s">
        <v>2689</v>
      </c>
      <c r="M558" t="s">
        <v>65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43</v>
      </c>
      <c r="U558" t="s">
        <v>134</v>
      </c>
      <c r="W558" t="s">
        <v>2687</v>
      </c>
      <c r="X558" t="str">
        <v>23-06-24</v>
      </c>
      <c r="Y558" t="str">
        <v>29-06-24</v>
      </c>
      <c r="Z558" t="s">
        <v>2688</v>
      </c>
      <c r="AA558" t="str">
        <v>Neha Gupta</v>
      </c>
      <c r="AB558" t="str">
        <f>TRIM(PROPER(F:F))</f>
        <v>Consumer</v>
      </c>
      <c r="AC558" t="str">
        <f>TRIM(PROPER(G:G))</f>
        <v>North</v>
      </c>
      <c r="AD558" t="str">
        <f>TRIM(PROPER(H:H))</f>
        <v>Haryana</v>
      </c>
      <c r="AE558" t="str">
        <f>TRIM(PROPER(I:I))</f>
        <v>Gurugram</v>
      </c>
      <c r="AF558" t="str">
        <f>TRIM(PROPER(J:J))</f>
        <v>Furniture</v>
      </c>
      <c r="AG558" t="str">
        <f t="shared" si="15"/>
        <v>Tables</v>
      </c>
      <c r="AH558" t="str">
        <f t="shared" si="15"/>
        <v>Classic Tables 769</v>
      </c>
      <c r="AI558" t="str">
        <f t="shared" si="15"/>
        <v>First Class</v>
      </c>
      <c r="AJ558" s="3" t="str">
        <f t="shared" si="14"/>
        <v>anomaly</v>
      </c>
      <c r="AK558">
        <f>IFERROR(Y558-X558, "invalid date")</f>
        <v>6</v>
      </c>
      <c r="AL558" s="10">
        <v>0</v>
      </c>
      <c r="AM558" s="11">
        <v>4426.66</v>
      </c>
      <c r="AN558" s="11">
        <v>1391.46</v>
      </c>
      <c r="AO558" s="10">
        <v>0.31433631677156143</v>
      </c>
      <c r="AP558" t="s">
        <v>4363</v>
      </c>
      <c r="AQ558" t="s">
        <v>4276</v>
      </c>
      <c r="AR558" t="s">
        <v>4170</v>
      </c>
      <c r="AS558" t="s">
        <v>4107</v>
      </c>
      <c r="AT558" t="s">
        <v>4115</v>
      </c>
      <c r="AU558">
        <v>6</v>
      </c>
      <c r="AV558" t="s">
        <v>4109</v>
      </c>
    </row>
    <row r="559" spans="1:48">
      <c r="A559" t="s">
        <v>2690</v>
      </c>
      <c r="B559" t="s">
        <v>2691</v>
      </c>
      <c r="C559" t="s">
        <v>2692</v>
      </c>
      <c r="D559" t="s">
        <v>2693</v>
      </c>
      <c r="E559" t="s">
        <v>92</v>
      </c>
      <c r="F559" t="s">
        <v>124</v>
      </c>
      <c r="G559" t="s">
        <v>36</v>
      </c>
      <c r="H559" t="s">
        <v>334</v>
      </c>
      <c r="I559" t="s">
        <v>335</v>
      </c>
      <c r="J559" t="s">
        <v>95</v>
      </c>
      <c r="K559" t="s">
        <v>233</v>
      </c>
      <c r="L559" t="s">
        <v>2694</v>
      </c>
      <c r="M559" t="s">
        <v>65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43</v>
      </c>
      <c r="U559" t="s">
        <v>87</v>
      </c>
      <c r="W559" t="s">
        <v>2690</v>
      </c>
      <c r="X559" t="str">
        <v>08-05-24</v>
      </c>
      <c r="Y559" t="str">
        <v>14-05-24</v>
      </c>
      <c r="Z559" t="s">
        <v>2693</v>
      </c>
      <c r="AA559" t="str">
        <v>Vikram Iyer</v>
      </c>
      <c r="AB559" t="str">
        <f>TRIM(PROPER(F:F))</f>
        <v>Home Office</v>
      </c>
      <c r="AC559" t="str">
        <f>TRIM(PROPER(G:G))</f>
        <v>North</v>
      </c>
      <c r="AD559" t="str">
        <f>TRIM(PROPER(H:H))</f>
        <v>Haryana</v>
      </c>
      <c r="AE559" t="str">
        <f>TRIM(PROPER(I:I))</f>
        <v>Gurugram</v>
      </c>
      <c r="AF559" t="str">
        <f>TRIM(PROPER(J:J))</f>
        <v>Technology</v>
      </c>
      <c r="AG559" t="str">
        <f t="shared" si="15"/>
        <v>Phones</v>
      </c>
      <c r="AH559" t="str">
        <f t="shared" si="15"/>
        <v>Prime Phones 503</v>
      </c>
      <c r="AI559" t="str">
        <f t="shared" si="15"/>
        <v>First Class</v>
      </c>
      <c r="AJ559" s="3" t="str">
        <f t="shared" si="14"/>
        <v>anomaly</v>
      </c>
      <c r="AK559">
        <f>IFERROR(Y559-X559, "invalid date")</f>
        <v>6</v>
      </c>
      <c r="AL559" s="10">
        <v>0.05</v>
      </c>
      <c r="AM559" s="11">
        <v>32228.882999999998</v>
      </c>
      <c r="AN559" s="11">
        <v>7257.5229999999974</v>
      </c>
      <c r="AO559" s="10">
        <v>0.22518692317074712</v>
      </c>
      <c r="AP559" t="s">
        <v>4253</v>
      </c>
      <c r="AQ559" t="s">
        <v>4619</v>
      </c>
      <c r="AR559" t="s">
        <v>4124</v>
      </c>
      <c r="AS559" t="s">
        <v>4107</v>
      </c>
      <c r="AT559" t="s">
        <v>4115</v>
      </c>
      <c r="AU559">
        <v>6</v>
      </c>
      <c r="AV559" t="s">
        <v>4109</v>
      </c>
    </row>
    <row r="560" spans="1:48">
      <c r="A560" t="s">
        <v>2695</v>
      </c>
      <c r="B560" t="s">
        <v>2696</v>
      </c>
      <c r="C560" t="s">
        <v>2697</v>
      </c>
      <c r="D560" t="s">
        <v>2698</v>
      </c>
      <c r="E560" t="s">
        <v>116</v>
      </c>
      <c r="F560" t="s">
        <v>117</v>
      </c>
      <c r="G560" t="s">
        <v>36</v>
      </c>
      <c r="H560" t="s">
        <v>163</v>
      </c>
      <c r="I560" t="s">
        <v>164</v>
      </c>
      <c r="J560" t="s">
        <v>95</v>
      </c>
      <c r="K560" t="s">
        <v>393</v>
      </c>
      <c r="L560" t="s">
        <v>2699</v>
      </c>
      <c r="M560" t="s">
        <v>65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43</v>
      </c>
      <c r="U560" t="s">
        <v>44</v>
      </c>
      <c r="W560" t="s">
        <v>2695</v>
      </c>
      <c r="X560" t="str">
        <v>04-09-25</v>
      </c>
      <c r="Y560" t="str">
        <v>09-04-25</v>
      </c>
      <c r="Z560" t="s">
        <v>2698</v>
      </c>
      <c r="AA560" t="str">
        <v>Aditi Sen</v>
      </c>
      <c r="AB560" t="str">
        <f>TRIM(PROPER(F:F))</f>
        <v>Corporate</v>
      </c>
      <c r="AC560" t="str">
        <f>TRIM(PROPER(G:G))</f>
        <v>North</v>
      </c>
      <c r="AD560" t="str">
        <f>TRIM(PROPER(H:H))</f>
        <v>Punjab</v>
      </c>
      <c r="AE560" t="str">
        <f>TRIM(PROPER(I:I))</f>
        <v>Ludhiana</v>
      </c>
      <c r="AF560" t="str">
        <f>TRIM(PROPER(J:J))</f>
        <v>Technology</v>
      </c>
      <c r="AG560" t="str">
        <f t="shared" si="15"/>
        <v>Machines</v>
      </c>
      <c r="AH560" t="str">
        <f t="shared" si="15"/>
        <v>Basic Machines 136</v>
      </c>
      <c r="AI560" t="str">
        <f t="shared" si="15"/>
        <v>First Class</v>
      </c>
      <c r="AJ560" s="3" t="str">
        <f t="shared" si="14"/>
        <v>anomaly</v>
      </c>
      <c r="AK560">
        <f>IFERROR(Y560-X560, "invalid date")</f>
        <v>-148</v>
      </c>
      <c r="AL560" s="10">
        <v>0.2</v>
      </c>
      <c r="AM560" s="11">
        <v>19711.68</v>
      </c>
      <c r="AN560" s="11">
        <v>5249.880000000001</v>
      </c>
      <c r="AO560" s="10">
        <v>0.26633346320557155</v>
      </c>
      <c r="AP560" t="s">
        <v>4466</v>
      </c>
      <c r="AQ560" t="s">
        <v>4620</v>
      </c>
      <c r="AR560" t="s">
        <v>4134</v>
      </c>
      <c r="AS560" t="s">
        <v>4120</v>
      </c>
      <c r="AT560" t="s">
        <v>4115</v>
      </c>
      <c r="AU560">
        <v>-148</v>
      </c>
      <c r="AV560" t="s">
        <v>4109</v>
      </c>
    </row>
    <row r="561" spans="1:48">
      <c r="A561" t="s">
        <v>2700</v>
      </c>
      <c r="B561" t="s">
        <v>2266</v>
      </c>
      <c r="C561" t="s">
        <v>2701</v>
      </c>
      <c r="D561" t="s">
        <v>2702</v>
      </c>
      <c r="E561" t="s">
        <v>220</v>
      </c>
      <c r="F561" t="s">
        <v>117</v>
      </c>
      <c r="G561" t="s">
        <v>51</v>
      </c>
      <c r="H561" t="s">
        <v>196</v>
      </c>
      <c r="I561" t="s">
        <v>197</v>
      </c>
      <c r="J561" t="s">
        <v>95</v>
      </c>
      <c r="K561" t="s">
        <v>103</v>
      </c>
      <c r="L561" t="s">
        <v>2703</v>
      </c>
      <c r="M561" t="s">
        <v>42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43</v>
      </c>
      <c r="U561" t="s">
        <v>134</v>
      </c>
      <c r="W561" t="s">
        <v>2700</v>
      </c>
      <c r="X561" t="str">
        <v>30-09-25</v>
      </c>
      <c r="Y561" t="str">
        <v>07-10-25</v>
      </c>
      <c r="Z561" t="s">
        <v>2702</v>
      </c>
      <c r="AA561" t="str">
        <v>Diya Patel</v>
      </c>
      <c r="AB561" t="str">
        <f>TRIM(PROPER(F:F))</f>
        <v>Corporate</v>
      </c>
      <c r="AC561" t="str">
        <f>TRIM(PROPER(G:G))</f>
        <v>East</v>
      </c>
      <c r="AD561" t="str">
        <f>TRIM(PROPER(H:H))</f>
        <v>Bihar</v>
      </c>
      <c r="AE561" t="str">
        <f>TRIM(PROPER(I:I))</f>
        <v>Patna</v>
      </c>
      <c r="AF561" t="str">
        <f>TRIM(PROPER(J:J))</f>
        <v>Technology</v>
      </c>
      <c r="AG561" t="str">
        <f t="shared" si="15"/>
        <v>Copiers</v>
      </c>
      <c r="AH561" t="str">
        <f t="shared" si="15"/>
        <v>Basic Copiers 512</v>
      </c>
      <c r="AI561" t="str">
        <f t="shared" si="15"/>
        <v>Second Class</v>
      </c>
      <c r="AJ561" s="3" t="str">
        <f t="shared" si="14"/>
        <v xml:space="preserve">  </v>
      </c>
      <c r="AK561">
        <f>IFERROR(Y561-X561, "invalid date")</f>
        <v>7</v>
      </c>
      <c r="AL561" s="10">
        <v>0.1</v>
      </c>
      <c r="AM561" s="11">
        <v>14750.190000000002</v>
      </c>
      <c r="AN561" s="11">
        <v>5267.6100000000024</v>
      </c>
      <c r="AO561" s="10">
        <v>0.35712150148574368</v>
      </c>
      <c r="AP561" t="s">
        <v>4567</v>
      </c>
      <c r="AQ561" t="s">
        <v>4621</v>
      </c>
      <c r="AR561" t="s">
        <v>4134</v>
      </c>
      <c r="AS561" t="s">
        <v>4120</v>
      </c>
      <c r="AT561" t="s">
        <v>4121</v>
      </c>
      <c r="AU561">
        <v>7</v>
      </c>
      <c r="AV561" t="s">
        <v>4109</v>
      </c>
    </row>
    <row r="562" spans="1:48">
      <c r="A562" t="s">
        <v>2704</v>
      </c>
      <c r="B562" t="s">
        <v>2705</v>
      </c>
      <c r="C562" t="s">
        <v>1068</v>
      </c>
      <c r="D562" t="s">
        <v>2706</v>
      </c>
      <c r="E562" t="s">
        <v>70</v>
      </c>
      <c r="F562" t="s">
        <v>35</v>
      </c>
      <c r="G562" t="s">
        <v>82</v>
      </c>
      <c r="H562" t="s">
        <v>259</v>
      </c>
      <c r="I562" t="s">
        <v>260</v>
      </c>
      <c r="J562" t="s">
        <v>39</v>
      </c>
      <c r="K562" t="s">
        <v>165</v>
      </c>
      <c r="L562" t="s">
        <v>2707</v>
      </c>
      <c r="M562" t="s">
        <v>76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43</v>
      </c>
      <c r="U562" t="s">
        <v>87</v>
      </c>
      <c r="W562" t="s">
        <v>2704</v>
      </c>
      <c r="X562" t="str">
        <v>16-01-24</v>
      </c>
      <c r="Y562" t="str">
        <v>22-01-24</v>
      </c>
      <c r="Z562" t="s">
        <v>2706</v>
      </c>
      <c r="AA562" t="str">
        <v>Arjun Bose</v>
      </c>
      <c r="AB562" t="str">
        <f>TRIM(PROPER(F:F))</f>
        <v>Consumer</v>
      </c>
      <c r="AC562" t="str">
        <f>TRIM(PROPER(G:G))</f>
        <v>West</v>
      </c>
      <c r="AD562" t="str">
        <f>TRIM(PROPER(H:H))</f>
        <v>Goa</v>
      </c>
      <c r="AE562" t="str">
        <f>TRIM(PROPER(I:I))</f>
        <v>Panaji</v>
      </c>
      <c r="AF562" t="str">
        <f>TRIM(PROPER(J:J))</f>
        <v>Office Supplies</v>
      </c>
      <c r="AG562" t="str">
        <f t="shared" si="15"/>
        <v>Storage</v>
      </c>
      <c r="AH562" t="str">
        <f t="shared" si="15"/>
        <v>Smart Storage 767</v>
      </c>
      <c r="AI562" t="str">
        <f t="shared" si="15"/>
        <v>Standard Class</v>
      </c>
      <c r="AJ562" s="3" t="str">
        <f t="shared" si="14"/>
        <v>anomaly</v>
      </c>
      <c r="AK562">
        <f>IFERROR(Y562-X562, "invalid date")</f>
        <v>6</v>
      </c>
      <c r="AL562" s="10">
        <v>0</v>
      </c>
      <c r="AM562" s="11">
        <v>1130.1199999999999</v>
      </c>
      <c r="AN562" s="11">
        <v>281.49999999999989</v>
      </c>
      <c r="AO562" s="10">
        <v>0.249088592361873</v>
      </c>
      <c r="AP562" t="s">
        <v>4622</v>
      </c>
      <c r="AQ562" t="s">
        <v>4367</v>
      </c>
      <c r="AR562" t="s">
        <v>4153</v>
      </c>
      <c r="AS562" t="s">
        <v>4107</v>
      </c>
      <c r="AT562" t="s">
        <v>4115</v>
      </c>
      <c r="AU562">
        <v>6</v>
      </c>
      <c r="AV562" t="s">
        <v>4109</v>
      </c>
    </row>
    <row r="563" spans="1:48">
      <c r="A563" t="s">
        <v>2708</v>
      </c>
      <c r="B563" t="s">
        <v>772</v>
      </c>
      <c r="C563" t="s">
        <v>2709</v>
      </c>
      <c r="D563" t="s">
        <v>2710</v>
      </c>
      <c r="E563" t="s">
        <v>116</v>
      </c>
      <c r="F563" t="s">
        <v>35</v>
      </c>
      <c r="G563" t="s">
        <v>36</v>
      </c>
      <c r="H563" t="s">
        <v>163</v>
      </c>
      <c r="I563" t="s">
        <v>164</v>
      </c>
      <c r="J563" t="s">
        <v>95</v>
      </c>
      <c r="K563" t="s">
        <v>103</v>
      </c>
      <c r="L563" t="s">
        <v>2711</v>
      </c>
      <c r="M563" t="s">
        <v>65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146</v>
      </c>
      <c r="U563" t="s">
        <v>134</v>
      </c>
      <c r="W563" t="s">
        <v>2708</v>
      </c>
      <c r="X563" t="str">
        <v>14-07-25</v>
      </c>
      <c r="Y563" t="str">
        <v>18-07-25</v>
      </c>
      <c r="Z563" t="s">
        <v>2710</v>
      </c>
      <c r="AA563" t="str">
        <v>Aditi Sen</v>
      </c>
      <c r="AB563" t="str">
        <f>TRIM(PROPER(F:F))</f>
        <v>Consumer</v>
      </c>
      <c r="AC563" t="str">
        <f>TRIM(PROPER(G:G))</f>
        <v>North</v>
      </c>
      <c r="AD563" t="str">
        <f>TRIM(PROPER(H:H))</f>
        <v>Punjab</v>
      </c>
      <c r="AE563" t="str">
        <f>TRIM(PROPER(I:I))</f>
        <v>Ludhiana</v>
      </c>
      <c r="AF563" t="str">
        <f>TRIM(PROPER(J:J))</f>
        <v>Technology</v>
      </c>
      <c r="AG563" t="str">
        <f t="shared" si="15"/>
        <v>Copiers</v>
      </c>
      <c r="AH563" t="str">
        <f t="shared" si="15"/>
        <v>Eco Copiers 954</v>
      </c>
      <c r="AI563" t="str">
        <f t="shared" si="15"/>
        <v>First Class</v>
      </c>
      <c r="AJ563" s="3" t="str">
        <f t="shared" si="14"/>
        <v>anomaly</v>
      </c>
      <c r="AK563">
        <f>IFERROR(Y563-X563, "invalid date")</f>
        <v>4</v>
      </c>
      <c r="AL563" s="10">
        <v>0</v>
      </c>
      <c r="AM563" s="11">
        <v>2900.88</v>
      </c>
      <c r="AN563" s="11">
        <v>509.0300000000002</v>
      </c>
      <c r="AO563" s="10">
        <v>0.17547433882132324</v>
      </c>
      <c r="AP563" t="s">
        <v>4308</v>
      </c>
      <c r="AQ563" t="s">
        <v>4300</v>
      </c>
      <c r="AR563" t="s">
        <v>4106</v>
      </c>
      <c r="AS563" t="s">
        <v>4120</v>
      </c>
      <c r="AT563" t="s">
        <v>4115</v>
      </c>
      <c r="AU563">
        <v>4</v>
      </c>
      <c r="AV563" t="s">
        <v>4109</v>
      </c>
    </row>
    <row r="564" spans="1:48">
      <c r="A564" t="s">
        <v>2712</v>
      </c>
      <c r="B564" t="s">
        <v>2713</v>
      </c>
      <c r="C564" t="s">
        <v>2650</v>
      </c>
      <c r="D564" t="s">
        <v>2714</v>
      </c>
      <c r="E564" t="s">
        <v>34</v>
      </c>
      <c r="F564" t="s">
        <v>35</v>
      </c>
      <c r="G564" t="s">
        <v>36</v>
      </c>
      <c r="H564" t="s">
        <v>163</v>
      </c>
      <c r="I564" t="s">
        <v>164</v>
      </c>
      <c r="J564" t="s">
        <v>39</v>
      </c>
      <c r="K564" t="s">
        <v>208</v>
      </c>
      <c r="L564" t="s">
        <v>2715</v>
      </c>
      <c r="M564" t="s">
        <v>57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210</v>
      </c>
      <c r="U564" t="s">
        <v>134</v>
      </c>
      <c r="W564" t="s">
        <v>2712</v>
      </c>
      <c r="X564" t="str">
        <v>10-05-24</v>
      </c>
      <c r="Y564" t="str">
        <v>16-05-24</v>
      </c>
      <c r="Z564" t="s">
        <v>2714</v>
      </c>
      <c r="AA564" t="str">
        <v>Karan Malhotra</v>
      </c>
      <c r="AB564" t="str">
        <f>TRIM(PROPER(F:F))</f>
        <v>Consumer</v>
      </c>
      <c r="AC564" t="str">
        <f>TRIM(PROPER(G:G))</f>
        <v>North</v>
      </c>
      <c r="AD564" t="str">
        <f>TRIM(PROPER(H:H))</f>
        <v>Punjab</v>
      </c>
      <c r="AE564" t="str">
        <f>TRIM(PROPER(I:I))</f>
        <v>Ludhiana</v>
      </c>
      <c r="AF564" t="str">
        <f>TRIM(PROPER(J:J))</f>
        <v>Office Supplies</v>
      </c>
      <c r="AG564" t="str">
        <f t="shared" si="15"/>
        <v>Binders</v>
      </c>
      <c r="AH564" t="str">
        <f t="shared" si="15"/>
        <v>Elite Binders 143</v>
      </c>
      <c r="AI564" t="str">
        <f t="shared" si="15"/>
        <v>Same Day</v>
      </c>
      <c r="AJ564" s="3" t="str">
        <f t="shared" si="14"/>
        <v>anomaly</v>
      </c>
      <c r="AK564">
        <f>IFERROR(Y564-X564, "invalid date")</f>
        <v>6</v>
      </c>
      <c r="AL564" s="10">
        <v>0.2</v>
      </c>
      <c r="AM564" s="11">
        <v>680.62400000000014</v>
      </c>
      <c r="AN564" s="11">
        <v>217.13400000000013</v>
      </c>
      <c r="AO564" s="10">
        <v>0.31902195632243363</v>
      </c>
      <c r="AP564" t="s">
        <v>4562</v>
      </c>
      <c r="AQ564" t="s">
        <v>4429</v>
      </c>
      <c r="AR564" t="s">
        <v>4124</v>
      </c>
      <c r="AS564" t="s">
        <v>4107</v>
      </c>
      <c r="AT564" t="s">
        <v>4115</v>
      </c>
      <c r="AU564">
        <v>6</v>
      </c>
      <c r="AV564" t="s">
        <v>4109</v>
      </c>
    </row>
    <row r="565" spans="1:48">
      <c r="A565" t="s">
        <v>2716</v>
      </c>
      <c r="B565" t="s">
        <v>2717</v>
      </c>
      <c r="C565" t="s">
        <v>1793</v>
      </c>
      <c r="D565" t="s">
        <v>2718</v>
      </c>
      <c r="E565" t="s">
        <v>70</v>
      </c>
      <c r="F565" t="s">
        <v>117</v>
      </c>
      <c r="G565" t="s">
        <v>82</v>
      </c>
      <c r="H565" t="s">
        <v>259</v>
      </c>
      <c r="I565" t="s">
        <v>260</v>
      </c>
      <c r="J565" t="s">
        <v>54</v>
      </c>
      <c r="K565" t="s">
        <v>55</v>
      </c>
      <c r="L565" t="s">
        <v>2719</v>
      </c>
      <c r="M565" t="s">
        <v>76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146</v>
      </c>
      <c r="U565" t="s">
        <v>87</v>
      </c>
      <c r="W565" t="s">
        <v>2716</v>
      </c>
      <c r="X565" t="str">
        <v>05-06-24</v>
      </c>
      <c r="Y565" t="str">
        <v>12-05-24</v>
      </c>
      <c r="Z565" t="s">
        <v>2718</v>
      </c>
      <c r="AA565" t="str">
        <v>Arjun Bose</v>
      </c>
      <c r="AB565" t="str">
        <f>TRIM(PROPER(F:F))</f>
        <v>Corporate</v>
      </c>
      <c r="AC565" t="str">
        <f>TRIM(PROPER(G:G))</f>
        <v>West</v>
      </c>
      <c r="AD565" t="str">
        <f>TRIM(PROPER(H:H))</f>
        <v>Goa</v>
      </c>
      <c r="AE565" t="str">
        <f>TRIM(PROPER(I:I))</f>
        <v>Panaji</v>
      </c>
      <c r="AF565" t="str">
        <f>TRIM(PROPER(J:J))</f>
        <v>Furniture</v>
      </c>
      <c r="AG565" t="str">
        <f t="shared" si="15"/>
        <v>Tables</v>
      </c>
      <c r="AH565" t="str">
        <f t="shared" si="15"/>
        <v>Classic Tables 560</v>
      </c>
      <c r="AI565" t="str">
        <f t="shared" si="15"/>
        <v>Standard Class</v>
      </c>
      <c r="AJ565" s="3" t="str">
        <f t="shared" si="14"/>
        <v>anomaly</v>
      </c>
      <c r="AK565">
        <f>IFERROR(Y565-X565, "invalid date")</f>
        <v>-24</v>
      </c>
      <c r="AL565" s="10">
        <v>0.2</v>
      </c>
      <c r="AM565" s="11">
        <v>5694.9840000000004</v>
      </c>
      <c r="AN565" s="11">
        <v>1076.6540000000005</v>
      </c>
      <c r="AO565" s="10">
        <v>0.1890530333360024</v>
      </c>
      <c r="AP565" t="s">
        <v>4263</v>
      </c>
      <c r="AQ565" t="s">
        <v>4499</v>
      </c>
      <c r="AR565" t="s">
        <v>4170</v>
      </c>
      <c r="AS565" t="s">
        <v>4107</v>
      </c>
      <c r="AT565" t="s">
        <v>4115</v>
      </c>
      <c r="AU565">
        <v>-24</v>
      </c>
      <c r="AV565" t="s">
        <v>4109</v>
      </c>
    </row>
    <row r="566" spans="1:48">
      <c r="A566" t="s">
        <v>2720</v>
      </c>
      <c r="B566" t="s">
        <v>114</v>
      </c>
      <c r="C566" t="s">
        <v>2721</v>
      </c>
      <c r="D566" t="s">
        <v>2722</v>
      </c>
      <c r="E566" t="s">
        <v>177</v>
      </c>
      <c r="F566" t="s">
        <v>117</v>
      </c>
      <c r="G566" t="s">
        <v>71</v>
      </c>
      <c r="H566" t="s">
        <v>109</v>
      </c>
      <c r="I566" t="s">
        <v>110</v>
      </c>
      <c r="J566" t="s">
        <v>54</v>
      </c>
      <c r="K566" t="s">
        <v>55</v>
      </c>
      <c r="L566" t="s">
        <v>2723</v>
      </c>
      <c r="M566" t="s">
        <v>65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43</v>
      </c>
      <c r="U566" t="s">
        <v>44</v>
      </c>
      <c r="W566" t="s">
        <v>2720</v>
      </c>
      <c r="X566" t="str">
        <v>11-10-24</v>
      </c>
      <c r="Y566" t="str">
        <v>14-11-24</v>
      </c>
      <c r="Z566" t="s">
        <v>2722</v>
      </c>
      <c r="AA566" t="str">
        <v>Sneha Kapoor</v>
      </c>
      <c r="AB566" t="str">
        <f>TRIM(PROPER(F:F))</f>
        <v>Corporate</v>
      </c>
      <c r="AC566" t="str">
        <f>TRIM(PROPER(G:G))</f>
        <v>South</v>
      </c>
      <c r="AD566" t="str">
        <f>TRIM(PROPER(H:H))</f>
        <v>Andhra Pradesh</v>
      </c>
      <c r="AE566" t="str">
        <f>TRIM(PROPER(I:I))</f>
        <v>Vijayawada</v>
      </c>
      <c r="AF566" t="str">
        <f>TRIM(PROPER(J:J))</f>
        <v>Furniture</v>
      </c>
      <c r="AG566" t="str">
        <f t="shared" si="15"/>
        <v>Tables</v>
      </c>
      <c r="AH566" t="str">
        <f t="shared" si="15"/>
        <v>Basic Tables 759</v>
      </c>
      <c r="AI566" t="str">
        <f t="shared" si="15"/>
        <v>First Class</v>
      </c>
      <c r="AJ566" s="3" t="str">
        <f t="shared" si="14"/>
        <v>anomaly</v>
      </c>
      <c r="AK566">
        <f>IFERROR(Y566-X566, "invalid date")</f>
        <v>34</v>
      </c>
      <c r="AL566" s="10">
        <v>0.2</v>
      </c>
      <c r="AM566" s="11">
        <v>1474.1440000000002</v>
      </c>
      <c r="AN566" s="11">
        <v>505.6840000000002</v>
      </c>
      <c r="AO566" s="10">
        <v>0.34303568715132315</v>
      </c>
      <c r="AP566" t="s">
        <v>4131</v>
      </c>
      <c r="AQ566" t="s">
        <v>4430</v>
      </c>
      <c r="AR566" t="s">
        <v>4126</v>
      </c>
      <c r="AS566" t="s">
        <v>4107</v>
      </c>
      <c r="AT566" t="s">
        <v>4115</v>
      </c>
      <c r="AU566">
        <v>34</v>
      </c>
      <c r="AV566" t="s">
        <v>4109</v>
      </c>
    </row>
    <row r="567" spans="1:48">
      <c r="A567" t="s">
        <v>2724</v>
      </c>
      <c r="B567" t="s">
        <v>2725</v>
      </c>
      <c r="C567" t="s">
        <v>250</v>
      </c>
      <c r="D567" t="s">
        <v>2726</v>
      </c>
      <c r="E567" t="s">
        <v>49</v>
      </c>
      <c r="F567" t="s">
        <v>117</v>
      </c>
      <c r="G567" t="s">
        <v>36</v>
      </c>
      <c r="H567" t="s">
        <v>517</v>
      </c>
      <c r="I567" t="s">
        <v>518</v>
      </c>
      <c r="J567" t="s">
        <v>95</v>
      </c>
      <c r="K567" t="s">
        <v>233</v>
      </c>
      <c r="L567" t="s">
        <v>2727</v>
      </c>
      <c r="M567" t="s">
        <v>76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133</v>
      </c>
      <c r="U567" t="s">
        <v>87</v>
      </c>
      <c r="W567" t="s">
        <v>2724</v>
      </c>
      <c r="X567" t="str">
        <v>07-08-25</v>
      </c>
      <c r="Y567" t="str">
        <v>13-08-25</v>
      </c>
      <c r="Z567" t="s">
        <v>2726</v>
      </c>
      <c r="AA567" t="str">
        <v>Mira Das</v>
      </c>
      <c r="AB567" t="str">
        <f>TRIM(PROPER(F:F))</f>
        <v>Corporate</v>
      </c>
      <c r="AC567" t="str">
        <f>TRIM(PROPER(G:G))</f>
        <v>North</v>
      </c>
      <c r="AD567" t="str">
        <f>TRIM(PROPER(H:H))</f>
        <v>Delhi</v>
      </c>
      <c r="AE567" t="str">
        <f>TRIM(PROPER(I:I))</f>
        <v>New Delhi</v>
      </c>
      <c r="AF567" t="str">
        <f>TRIM(PROPER(J:J))</f>
        <v>Technology</v>
      </c>
      <c r="AG567" t="str">
        <f t="shared" si="15"/>
        <v>Phones</v>
      </c>
      <c r="AH567" t="str">
        <f t="shared" si="15"/>
        <v>Prime Phones 564</v>
      </c>
      <c r="AI567" t="str">
        <f t="shared" si="15"/>
        <v>Standard Class</v>
      </c>
      <c r="AJ567" s="3" t="str">
        <f t="shared" si="14"/>
        <v>anomaly</v>
      </c>
      <c r="AK567">
        <f>IFERROR(Y567-X567, "invalid date")</f>
        <v>6</v>
      </c>
      <c r="AL567" s="10">
        <v>0.2</v>
      </c>
      <c r="AM567" s="11">
        <v>9224.9279999999999</v>
      </c>
      <c r="AN567" s="11">
        <v>2219.7280000000001</v>
      </c>
      <c r="AO567" s="10">
        <v>0.24062279944081949</v>
      </c>
      <c r="AP567" t="s">
        <v>4238</v>
      </c>
      <c r="AQ567" t="s">
        <v>4165</v>
      </c>
      <c r="AR567" t="s">
        <v>4114</v>
      </c>
      <c r="AS567" t="s">
        <v>4120</v>
      </c>
      <c r="AT567" t="s">
        <v>4115</v>
      </c>
      <c r="AU567">
        <v>6</v>
      </c>
      <c r="AV567" t="s">
        <v>4109</v>
      </c>
    </row>
    <row r="568" spans="1:48">
      <c r="A568" t="s">
        <v>2728</v>
      </c>
      <c r="B568" t="s">
        <v>2447</v>
      </c>
      <c r="C568" t="s">
        <v>2729</v>
      </c>
      <c r="D568" t="s">
        <v>2730</v>
      </c>
      <c r="E568" t="s">
        <v>177</v>
      </c>
      <c r="F568" t="s">
        <v>50</v>
      </c>
      <c r="G568" t="s">
        <v>82</v>
      </c>
      <c r="H568" t="s">
        <v>83</v>
      </c>
      <c r="I568" t="s">
        <v>84</v>
      </c>
      <c r="J568" t="s">
        <v>39</v>
      </c>
      <c r="K568" t="s">
        <v>40</v>
      </c>
      <c r="L568" t="s">
        <v>2731</v>
      </c>
      <c r="M568" t="s">
        <v>57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210</v>
      </c>
      <c r="U568" t="s">
        <v>134</v>
      </c>
      <c r="W568" t="s">
        <v>2728</v>
      </c>
      <c r="X568" t="str">
        <v>11-08-24</v>
      </c>
      <c r="Y568" t="str">
        <v>19-08-24</v>
      </c>
      <c r="Z568" t="s">
        <v>2730</v>
      </c>
      <c r="AA568" t="str">
        <v>Sneha Kapoor</v>
      </c>
      <c r="AB568" t="str">
        <f>TRIM(PROPER(F:F))</f>
        <v>Small Business</v>
      </c>
      <c r="AC568" t="str">
        <f>TRIM(PROPER(G:G))</f>
        <v>West</v>
      </c>
      <c r="AD568" t="str">
        <f>TRIM(PROPER(H:H))</f>
        <v>Maharashtra</v>
      </c>
      <c r="AE568" t="str">
        <f>TRIM(PROPER(I:I))</f>
        <v>Mumbai</v>
      </c>
      <c r="AF568" t="str">
        <f>TRIM(PROPER(J:J))</f>
        <v>Office Supplies</v>
      </c>
      <c r="AG568" t="str">
        <f t="shared" si="15"/>
        <v>Paper</v>
      </c>
      <c r="AH568" t="str">
        <f t="shared" si="15"/>
        <v>Smart Paper 807</v>
      </c>
      <c r="AI568" t="str">
        <f t="shared" si="15"/>
        <v>Same Day</v>
      </c>
      <c r="AJ568" s="3" t="str">
        <f t="shared" si="14"/>
        <v>anomaly</v>
      </c>
      <c r="AK568">
        <f>IFERROR(Y568-X568, "invalid date")</f>
        <v>8</v>
      </c>
      <c r="AL568" s="10">
        <v>0.1</v>
      </c>
      <c r="AM568" s="11">
        <v>4712.2020000000002</v>
      </c>
      <c r="AN568" s="11">
        <v>860.29200000000037</v>
      </c>
      <c r="AO568" s="10">
        <v>0.18256687637754077</v>
      </c>
      <c r="AP568" t="s">
        <v>4586</v>
      </c>
      <c r="AQ568" t="s">
        <v>4623</v>
      </c>
      <c r="AR568" t="s">
        <v>4114</v>
      </c>
      <c r="AS568" t="s">
        <v>4107</v>
      </c>
      <c r="AT568" t="s">
        <v>4115</v>
      </c>
      <c r="AU568">
        <v>8</v>
      </c>
      <c r="AV568" t="s">
        <v>4109</v>
      </c>
    </row>
    <row r="569" spans="1:48">
      <c r="A569" t="s">
        <v>2732</v>
      </c>
      <c r="B569" t="s">
        <v>2733</v>
      </c>
      <c r="C569" t="s">
        <v>2734</v>
      </c>
      <c r="D569" t="s">
        <v>2735</v>
      </c>
      <c r="E569" t="s">
        <v>70</v>
      </c>
      <c r="F569" t="s">
        <v>124</v>
      </c>
      <c r="G569" t="s">
        <v>36</v>
      </c>
      <c r="H569" t="s">
        <v>183</v>
      </c>
      <c r="I569" t="s">
        <v>184</v>
      </c>
      <c r="J569" t="s">
        <v>54</v>
      </c>
      <c r="K569" t="s">
        <v>74</v>
      </c>
      <c r="L569" t="s">
        <v>910</v>
      </c>
      <c r="M569" t="s">
        <v>57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43</v>
      </c>
      <c r="U569" t="s">
        <v>44</v>
      </c>
      <c r="W569" t="s">
        <v>2732</v>
      </c>
      <c r="X569" t="str">
        <v>06-02-24</v>
      </c>
      <c r="Y569" t="str">
        <v>10-02-24</v>
      </c>
      <c r="Z569" t="s">
        <v>2735</v>
      </c>
      <c r="AA569" t="str">
        <v>Arjun Bose</v>
      </c>
      <c r="AB569" t="str">
        <f>TRIM(PROPER(F:F))</f>
        <v>Home Office</v>
      </c>
      <c r="AC569" t="str">
        <f>TRIM(PROPER(G:G))</f>
        <v>North</v>
      </c>
      <c r="AD569" t="str">
        <f>TRIM(PROPER(H:H))</f>
        <v>Uttar Pradesh</v>
      </c>
      <c r="AE569" t="str">
        <f>TRIM(PROPER(I:I))</f>
        <v>Noida</v>
      </c>
      <c r="AF569" t="str">
        <f>TRIM(PROPER(J:J))</f>
        <v>Furniture</v>
      </c>
      <c r="AG569" t="str">
        <f t="shared" si="15"/>
        <v>Furnishings</v>
      </c>
      <c r="AH569" t="str">
        <f t="shared" si="15"/>
        <v>Pro Furnishings 108</v>
      </c>
      <c r="AI569" t="str">
        <f t="shared" si="15"/>
        <v>Same Day</v>
      </c>
      <c r="AJ569" s="3" t="str">
        <f t="shared" si="14"/>
        <v>anomaly</v>
      </c>
      <c r="AK569">
        <f>IFERROR(Y569-X569, "invalid date")</f>
        <v>4</v>
      </c>
      <c r="AL569" s="10">
        <v>0.05</v>
      </c>
      <c r="AM569" s="11">
        <v>1305.357</v>
      </c>
      <c r="AN569" s="11">
        <v>573.46699999999998</v>
      </c>
      <c r="AO569" s="10">
        <v>0.4393181328939133</v>
      </c>
      <c r="AP569" t="s">
        <v>4415</v>
      </c>
      <c r="AQ569" t="s">
        <v>4444</v>
      </c>
      <c r="AR569" t="s">
        <v>4129</v>
      </c>
      <c r="AS569" t="s">
        <v>4107</v>
      </c>
      <c r="AT569" t="s">
        <v>4115</v>
      </c>
      <c r="AU569">
        <v>4</v>
      </c>
      <c r="AV569" t="s">
        <v>4109</v>
      </c>
    </row>
    <row r="570" spans="1:48">
      <c r="A570" t="s">
        <v>2736</v>
      </c>
      <c r="B570" t="s">
        <v>1728</v>
      </c>
      <c r="C570" t="s">
        <v>2737</v>
      </c>
      <c r="D570" t="s">
        <v>2738</v>
      </c>
      <c r="E570" t="s">
        <v>377</v>
      </c>
      <c r="F570" t="s">
        <v>117</v>
      </c>
      <c r="G570" t="s">
        <v>36</v>
      </c>
      <c r="H570" t="s">
        <v>163</v>
      </c>
      <c r="I570" t="s">
        <v>164</v>
      </c>
      <c r="J570" t="s">
        <v>95</v>
      </c>
      <c r="K570" t="s">
        <v>393</v>
      </c>
      <c r="L570" t="s">
        <v>2739</v>
      </c>
      <c r="M570" t="s">
        <v>57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43</v>
      </c>
      <c r="U570" t="s">
        <v>44</v>
      </c>
      <c r="W570" t="s">
        <v>2736</v>
      </c>
      <c r="X570" t="str">
        <v>21-01-24</v>
      </c>
      <c r="Y570" t="str">
        <v>24-01-24</v>
      </c>
      <c r="Z570" t="s">
        <v>2738</v>
      </c>
      <c r="AA570" t="str">
        <v>Kabir Singh</v>
      </c>
      <c r="AB570" t="str">
        <f>TRIM(PROPER(F:F))</f>
        <v>Corporate</v>
      </c>
      <c r="AC570" t="str">
        <f>TRIM(PROPER(G:G))</f>
        <v>North</v>
      </c>
      <c r="AD570" t="str">
        <f>TRIM(PROPER(H:H))</f>
        <v>Punjab</v>
      </c>
      <c r="AE570" t="str">
        <f>TRIM(PROPER(I:I))</f>
        <v>Ludhiana</v>
      </c>
      <c r="AF570" t="str">
        <f>TRIM(PROPER(J:J))</f>
        <v>Technology</v>
      </c>
      <c r="AG570" t="str">
        <f t="shared" si="15"/>
        <v>Machines</v>
      </c>
      <c r="AH570" t="str">
        <f t="shared" si="15"/>
        <v>Classic Machines 522</v>
      </c>
      <c r="AI570" t="str">
        <f t="shared" si="15"/>
        <v>Same Day</v>
      </c>
      <c r="AJ570" s="3" t="str">
        <f t="shared" si="14"/>
        <v>anomaly</v>
      </c>
      <c r="AK570">
        <f>IFERROR(Y570-X570, "invalid date")</f>
        <v>3</v>
      </c>
      <c r="AL570" s="10">
        <v>0.25</v>
      </c>
      <c r="AM570" s="11">
        <v>2854.7250000000004</v>
      </c>
      <c r="AN570" s="11">
        <v>886.60500000000047</v>
      </c>
      <c r="AO570" s="10">
        <v>0.31057457373302172</v>
      </c>
      <c r="AP570" t="s">
        <v>4487</v>
      </c>
      <c r="AQ570" t="s">
        <v>4193</v>
      </c>
      <c r="AR570" t="s">
        <v>4153</v>
      </c>
      <c r="AS570" t="s">
        <v>4107</v>
      </c>
      <c r="AT570" t="s">
        <v>4115</v>
      </c>
      <c r="AU570">
        <v>3</v>
      </c>
      <c r="AV570" t="s">
        <v>4109</v>
      </c>
    </row>
    <row r="571" spans="1:48">
      <c r="A571" t="s">
        <v>2740</v>
      </c>
      <c r="B571" t="s">
        <v>2741</v>
      </c>
      <c r="C571" t="s">
        <v>2742</v>
      </c>
      <c r="D571" t="s">
        <v>2743</v>
      </c>
      <c r="E571" t="s">
        <v>157</v>
      </c>
      <c r="F571" t="s">
        <v>124</v>
      </c>
      <c r="G571" t="s">
        <v>82</v>
      </c>
      <c r="H571" t="s">
        <v>83</v>
      </c>
      <c r="I571" t="s">
        <v>84</v>
      </c>
      <c r="J571" t="s">
        <v>54</v>
      </c>
      <c r="K571" t="s">
        <v>74</v>
      </c>
      <c r="L571" t="s">
        <v>2744</v>
      </c>
      <c r="M571" t="s">
        <v>76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133</v>
      </c>
      <c r="U571" t="s">
        <v>134</v>
      </c>
      <c r="W571" t="s">
        <v>2740</v>
      </c>
      <c r="X571" t="str">
        <v>09-08-25</v>
      </c>
      <c r="Y571" t="str">
        <v>10-09-25</v>
      </c>
      <c r="Z571" t="s">
        <v>2743</v>
      </c>
      <c r="AA571" t="str">
        <v>Rahul Verma</v>
      </c>
      <c r="AB571" t="str">
        <f>TRIM(PROPER(F:F))</f>
        <v>Home Office</v>
      </c>
      <c r="AC571" t="str">
        <f>TRIM(PROPER(G:G))</f>
        <v>West</v>
      </c>
      <c r="AD571" t="str">
        <f>TRIM(PROPER(H:H))</f>
        <v>Maharashtra</v>
      </c>
      <c r="AE571" t="str">
        <f>TRIM(PROPER(I:I))</f>
        <v>Mumbai</v>
      </c>
      <c r="AF571" t="str">
        <f>TRIM(PROPER(J:J))</f>
        <v>Furniture</v>
      </c>
      <c r="AG571" t="str">
        <f t="shared" si="15"/>
        <v>Furnishings</v>
      </c>
      <c r="AH571" t="str">
        <f t="shared" si="15"/>
        <v>Elite Furnishings 822</v>
      </c>
      <c r="AI571" t="str">
        <f t="shared" si="15"/>
        <v>Standard Class</v>
      </c>
      <c r="AJ571" s="3" t="str">
        <f t="shared" si="14"/>
        <v>anomaly</v>
      </c>
      <c r="AK571">
        <f>IFERROR(Y571-X571, "invalid date")</f>
        <v>32</v>
      </c>
      <c r="AL571" s="10">
        <v>0.25</v>
      </c>
      <c r="AM571" s="11">
        <v>14630.264999999999</v>
      </c>
      <c r="AN571" s="11">
        <v>2723.9049999999988</v>
      </c>
      <c r="AO571" s="10">
        <v>0.18618288868998606</v>
      </c>
      <c r="AP571" t="s">
        <v>4423</v>
      </c>
      <c r="AQ571" t="s">
        <v>4351</v>
      </c>
      <c r="AR571" t="s">
        <v>4114</v>
      </c>
      <c r="AS571" t="s">
        <v>4120</v>
      </c>
      <c r="AT571" t="s">
        <v>4115</v>
      </c>
      <c r="AU571">
        <v>32</v>
      </c>
      <c r="AV571" t="s">
        <v>4109</v>
      </c>
    </row>
    <row r="572" spans="1:48">
      <c r="A572" t="s">
        <v>2745</v>
      </c>
      <c r="B572" t="s">
        <v>931</v>
      </c>
      <c r="C572" t="s">
        <v>708</v>
      </c>
      <c r="D572" t="s">
        <v>2746</v>
      </c>
      <c r="E572" t="s">
        <v>70</v>
      </c>
      <c r="F572" t="s">
        <v>35</v>
      </c>
      <c r="G572" t="s">
        <v>51</v>
      </c>
      <c r="H572" t="s">
        <v>322</v>
      </c>
      <c r="I572" t="s">
        <v>323</v>
      </c>
      <c r="J572" t="s">
        <v>54</v>
      </c>
      <c r="K572" t="s">
        <v>74</v>
      </c>
      <c r="L572" t="s">
        <v>2747</v>
      </c>
      <c r="M572" t="s">
        <v>42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210</v>
      </c>
      <c r="U572" t="s">
        <v>134</v>
      </c>
      <c r="W572" t="s">
        <v>2745</v>
      </c>
      <c r="X572" t="str">
        <v>18-08-25</v>
      </c>
      <c r="Y572" t="str">
        <v>invalid date</v>
      </c>
      <c r="Z572" t="s">
        <v>2746</v>
      </c>
      <c r="AA572" t="str">
        <v>Arjun Bose</v>
      </c>
      <c r="AB572" t="str">
        <f>TRIM(PROPER(F:F))</f>
        <v>Consumer</v>
      </c>
      <c r="AC572" t="str">
        <f>TRIM(PROPER(G:G))</f>
        <v>East</v>
      </c>
      <c r="AD572" t="str">
        <f>TRIM(PROPER(H:H))</f>
        <v>Jharkhand</v>
      </c>
      <c r="AE572" t="str">
        <f>TRIM(PROPER(I:I))</f>
        <v>Ranchi</v>
      </c>
      <c r="AF572" t="str">
        <f>TRIM(PROPER(J:J))</f>
        <v>Furniture</v>
      </c>
      <c r="AG572" t="str">
        <f t="shared" si="15"/>
        <v>Furnishings</v>
      </c>
      <c r="AH572" t="str">
        <f t="shared" si="15"/>
        <v>Max Furnishings 647</v>
      </c>
      <c r="AI572" t="str">
        <f t="shared" si="15"/>
        <v>Second Class</v>
      </c>
      <c r="AJ572" s="3" t="str">
        <f t="shared" si="14"/>
        <v>Invalid</v>
      </c>
      <c r="AK572" t="str">
        <f>IFERROR(Y572-X572, "invalid date")</f>
        <v>invalid date</v>
      </c>
      <c r="AL572" s="10">
        <v>0.25</v>
      </c>
      <c r="AM572" s="11">
        <v>8879.49</v>
      </c>
      <c r="AN572" s="11">
        <v>2534.92</v>
      </c>
      <c r="AO572" s="10">
        <v>0.28548035979543873</v>
      </c>
      <c r="AP572" t="s">
        <v>4341</v>
      </c>
      <c r="AQ572" t="s">
        <v>4105</v>
      </c>
      <c r="AR572" t="s">
        <v>4114</v>
      </c>
      <c r="AS572" t="s">
        <v>4120</v>
      </c>
      <c r="AT572" t="s">
        <v>4108</v>
      </c>
      <c r="AU572" t="s">
        <v>4105</v>
      </c>
      <c r="AV572" t="s">
        <v>4109</v>
      </c>
    </row>
    <row r="573" spans="1:48">
      <c r="A573" t="s">
        <v>2748</v>
      </c>
      <c r="B573" t="s">
        <v>2684</v>
      </c>
      <c r="C573" t="s">
        <v>2749</v>
      </c>
      <c r="D573" t="s">
        <v>2750</v>
      </c>
      <c r="E573" t="s">
        <v>151</v>
      </c>
      <c r="F573" t="s">
        <v>50</v>
      </c>
      <c r="G573" t="s">
        <v>36</v>
      </c>
      <c r="H573" t="s">
        <v>183</v>
      </c>
      <c r="I573" t="s">
        <v>184</v>
      </c>
      <c r="J573" t="s">
        <v>95</v>
      </c>
      <c r="K573" t="s">
        <v>233</v>
      </c>
      <c r="L573" t="s">
        <v>2751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210</v>
      </c>
      <c r="U573" t="s">
        <v>134</v>
      </c>
      <c r="W573" t="s">
        <v>2748</v>
      </c>
      <c r="X573" t="str">
        <v>10-02-25</v>
      </c>
      <c r="Y573" t="str">
        <v>14-02-25</v>
      </c>
      <c r="Z573" t="s">
        <v>2750</v>
      </c>
      <c r="AA573" t="str">
        <v>Priya Menon</v>
      </c>
      <c r="AB573" t="str">
        <f>TRIM(PROPER(F:F))</f>
        <v>Small Business</v>
      </c>
      <c r="AC573" t="str">
        <f>TRIM(PROPER(G:G))</f>
        <v>North</v>
      </c>
      <c r="AD573" t="str">
        <f>TRIM(PROPER(H:H))</f>
        <v>Uttar Pradesh</v>
      </c>
      <c r="AE573" t="str">
        <f>TRIM(PROPER(I:I))</f>
        <v>Noida</v>
      </c>
      <c r="AF573" t="str">
        <f>TRIM(PROPER(J:J))</f>
        <v>Technology</v>
      </c>
      <c r="AG573" t="str">
        <f t="shared" si="15"/>
        <v>Phones</v>
      </c>
      <c r="AH573" t="str">
        <f t="shared" si="15"/>
        <v>Prime Phones 895</v>
      </c>
      <c r="AI573" s="4" t="s">
        <v>282</v>
      </c>
      <c r="AJ573" s="3" t="str">
        <f t="shared" si="14"/>
        <v>anomaly</v>
      </c>
      <c r="AK573">
        <f>IFERROR(Y573-X573, "invalid date")</f>
        <v>4</v>
      </c>
      <c r="AL573" s="10">
        <v>0</v>
      </c>
      <c r="AM573" s="11">
        <v>21381.45</v>
      </c>
      <c r="AN573" s="11">
        <v>8141.2400000000016</v>
      </c>
      <c r="AO573" s="10">
        <v>0.38076182859441249</v>
      </c>
      <c r="AP573" t="s">
        <v>4391</v>
      </c>
      <c r="AQ573" t="s">
        <v>4519</v>
      </c>
      <c r="AR573" t="s">
        <v>4129</v>
      </c>
      <c r="AS573" t="s">
        <v>4120</v>
      </c>
      <c r="AT573" t="s">
        <v>4115</v>
      </c>
      <c r="AU573">
        <v>4</v>
      </c>
      <c r="AV573" t="s">
        <v>4109</v>
      </c>
    </row>
    <row r="574" spans="1:48">
      <c r="A574" t="s">
        <v>2752</v>
      </c>
      <c r="B574" t="s">
        <v>2753</v>
      </c>
      <c r="C574" t="s">
        <v>2754</v>
      </c>
      <c r="D574" t="s">
        <v>2755</v>
      </c>
      <c r="E574" t="s">
        <v>220</v>
      </c>
      <c r="F574" t="s">
        <v>117</v>
      </c>
      <c r="G574" t="s">
        <v>36</v>
      </c>
      <c r="H574" t="s">
        <v>517</v>
      </c>
      <c r="I574" t="s">
        <v>518</v>
      </c>
      <c r="J574" t="s">
        <v>95</v>
      </c>
      <c r="K574" t="s">
        <v>233</v>
      </c>
      <c r="L574" t="s">
        <v>2756</v>
      </c>
      <c r="M574" t="s">
        <v>76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43</v>
      </c>
      <c r="U574" t="s">
        <v>44</v>
      </c>
      <c r="W574" t="s">
        <v>2752</v>
      </c>
      <c r="X574" t="str">
        <v>01-02-24</v>
      </c>
      <c r="Y574" t="str">
        <v>09-01-24</v>
      </c>
      <c r="Z574" t="s">
        <v>2755</v>
      </c>
      <c r="AA574" t="str">
        <v>Diya Patel</v>
      </c>
      <c r="AB574" t="str">
        <f>TRIM(PROPER(F:F))</f>
        <v>Corporate</v>
      </c>
      <c r="AC574" t="str">
        <f>TRIM(PROPER(G:G))</f>
        <v>North</v>
      </c>
      <c r="AD574" t="str">
        <f>TRIM(PROPER(H:H))</f>
        <v>Delhi</v>
      </c>
      <c r="AE574" t="str">
        <f>TRIM(PROPER(I:I))</f>
        <v>New Delhi</v>
      </c>
      <c r="AF574" t="str">
        <f>TRIM(PROPER(J:J))</f>
        <v>Technology</v>
      </c>
      <c r="AG574" t="str">
        <f t="shared" si="15"/>
        <v>Phones</v>
      </c>
      <c r="AH574" t="str">
        <f t="shared" si="15"/>
        <v>Eco Phones 368</v>
      </c>
      <c r="AI574" t="str">
        <f t="shared" si="15"/>
        <v>Standard Class</v>
      </c>
      <c r="AJ574" s="3" t="str">
        <f t="shared" si="14"/>
        <v>anomaly</v>
      </c>
      <c r="AK574">
        <f>IFERROR(Y574-X574, "invalid date")</f>
        <v>-23</v>
      </c>
      <c r="AL574" s="10">
        <v>0.2</v>
      </c>
      <c r="AM574" s="11">
        <v>1774.944</v>
      </c>
      <c r="AN574" s="11">
        <v>767.54399999999998</v>
      </c>
      <c r="AO574" s="10">
        <v>0.43243279787982042</v>
      </c>
      <c r="AP574" t="s">
        <v>4221</v>
      </c>
      <c r="AQ574" t="s">
        <v>4624</v>
      </c>
      <c r="AR574" t="s">
        <v>4129</v>
      </c>
      <c r="AS574" t="s">
        <v>4107</v>
      </c>
      <c r="AT574" t="s">
        <v>4115</v>
      </c>
      <c r="AU574">
        <v>-23</v>
      </c>
      <c r="AV574" t="s">
        <v>4109</v>
      </c>
    </row>
    <row r="575" spans="1:48">
      <c r="A575" t="s">
        <v>2757</v>
      </c>
      <c r="B575" t="s">
        <v>2758</v>
      </c>
      <c r="C575" t="s">
        <v>2759</v>
      </c>
      <c r="D575" t="s">
        <v>2760</v>
      </c>
      <c r="E575" t="s">
        <v>62</v>
      </c>
      <c r="F575" t="s">
        <v>35</v>
      </c>
      <c r="G575" t="s">
        <v>71</v>
      </c>
      <c r="H575" t="s">
        <v>109</v>
      </c>
      <c r="I575" t="s">
        <v>110</v>
      </c>
      <c r="J575" t="s">
        <v>95</v>
      </c>
      <c r="K575" t="s">
        <v>233</v>
      </c>
      <c r="L575" t="s">
        <v>2761</v>
      </c>
      <c r="M575" t="s">
        <v>76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43</v>
      </c>
      <c r="U575" t="s">
        <v>44</v>
      </c>
      <c r="W575" t="s">
        <v>2757</v>
      </c>
      <c r="X575" t="str">
        <v>invalid date</v>
      </c>
      <c r="Y575" t="str">
        <v>invalid date</v>
      </c>
      <c r="Z575" t="s">
        <v>2760</v>
      </c>
      <c r="AA575" t="str">
        <v>Isha Nair</v>
      </c>
      <c r="AB575" t="str">
        <f>TRIM(PROPER(F:F))</f>
        <v>Consumer</v>
      </c>
      <c r="AC575" t="str">
        <f>TRIM(PROPER(G:G))</f>
        <v>South</v>
      </c>
      <c r="AD575" t="str">
        <f>TRIM(PROPER(H:H))</f>
        <v>Andhra Pradesh</v>
      </c>
      <c r="AE575" t="str">
        <f>TRIM(PROPER(I:I))</f>
        <v>Vijayawada</v>
      </c>
      <c r="AF575" t="str">
        <f>TRIM(PROPER(J:J))</f>
        <v>Technology</v>
      </c>
      <c r="AG575" t="str">
        <f t="shared" si="15"/>
        <v>Phones</v>
      </c>
      <c r="AH575" t="str">
        <f t="shared" si="15"/>
        <v>Pro Phones 644</v>
      </c>
      <c r="AI575" t="str">
        <f t="shared" si="15"/>
        <v>Standard Class</v>
      </c>
      <c r="AJ575" s="3" t="str">
        <f t="shared" si="14"/>
        <v>Invalid</v>
      </c>
      <c r="AK575" t="str">
        <f>IFERROR(Y575-X575, "invalid date")</f>
        <v>invalid date</v>
      </c>
      <c r="AL575" s="10">
        <v>0</v>
      </c>
      <c r="AM575" s="11">
        <v>573.65</v>
      </c>
      <c r="AN575" s="11">
        <v>250.97999999999996</v>
      </c>
      <c r="AO575" s="10">
        <v>0.43751416368866031</v>
      </c>
      <c r="AP575" t="s">
        <v>4105</v>
      </c>
      <c r="AQ575" t="s">
        <v>4105</v>
      </c>
      <c r="AR575" t="s">
        <v>4105</v>
      </c>
      <c r="AS575" t="s">
        <v>4105</v>
      </c>
      <c r="AT575" t="s">
        <v>4108</v>
      </c>
      <c r="AU575" t="s">
        <v>4105</v>
      </c>
      <c r="AV575" t="s">
        <v>4109</v>
      </c>
    </row>
    <row r="576" spans="1:48">
      <c r="A576" t="s">
        <v>2762</v>
      </c>
      <c r="B576" t="s">
        <v>2763</v>
      </c>
      <c r="C576" t="s">
        <v>1654</v>
      </c>
      <c r="D576" t="s">
        <v>1235</v>
      </c>
      <c r="E576" t="s">
        <v>220</v>
      </c>
      <c r="F576" t="s">
        <v>124</v>
      </c>
      <c r="G576" t="s">
        <v>36</v>
      </c>
      <c r="H576" t="s">
        <v>163</v>
      </c>
      <c r="I576" t="s">
        <v>164</v>
      </c>
      <c r="J576" t="s">
        <v>95</v>
      </c>
      <c r="K576" t="s">
        <v>393</v>
      </c>
      <c r="L576" t="s">
        <v>2764</v>
      </c>
      <c r="M576" t="s">
        <v>76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43</v>
      </c>
      <c r="U576" t="s">
        <v>44</v>
      </c>
      <c r="W576" t="s">
        <v>2762</v>
      </c>
      <c r="X576" t="str">
        <v>20-02-24</v>
      </c>
      <c r="Y576" t="str">
        <v>25-02-24</v>
      </c>
      <c r="Z576" t="s">
        <v>1235</v>
      </c>
      <c r="AA576" t="str">
        <v>Diya Patel</v>
      </c>
      <c r="AB576" t="str">
        <f>TRIM(PROPER(F:F))</f>
        <v>Home Office</v>
      </c>
      <c r="AC576" t="str">
        <f>TRIM(PROPER(G:G))</f>
        <v>North</v>
      </c>
      <c r="AD576" t="str">
        <f>TRIM(PROPER(H:H))</f>
        <v>Punjab</v>
      </c>
      <c r="AE576" t="str">
        <f>TRIM(PROPER(I:I))</f>
        <v>Ludhiana</v>
      </c>
      <c r="AF576" t="str">
        <f>TRIM(PROPER(J:J))</f>
        <v>Technology</v>
      </c>
      <c r="AG576" t="str">
        <f t="shared" si="15"/>
        <v>Machines</v>
      </c>
      <c r="AH576" t="str">
        <f t="shared" si="15"/>
        <v>Smart Machines 566</v>
      </c>
      <c r="AI576" t="str">
        <f t="shared" si="15"/>
        <v>Standard Class</v>
      </c>
      <c r="AJ576" s="3" t="str">
        <f t="shared" si="14"/>
        <v>anomaly</v>
      </c>
      <c r="AK576">
        <f>IFERROR(Y576-X576, "invalid date")</f>
        <v>5</v>
      </c>
      <c r="AL576" s="10">
        <v>0</v>
      </c>
      <c r="AM576" s="11">
        <v>5423.2</v>
      </c>
      <c r="AN576" s="11">
        <v>1350.7599999999998</v>
      </c>
      <c r="AO576" s="10">
        <v>0.24907065938929043</v>
      </c>
      <c r="AP576" t="s">
        <v>4277</v>
      </c>
      <c r="AQ576" t="s">
        <v>4472</v>
      </c>
      <c r="AR576" t="s">
        <v>4129</v>
      </c>
      <c r="AS576" t="s">
        <v>4107</v>
      </c>
      <c r="AT576" t="s">
        <v>4115</v>
      </c>
      <c r="AU576">
        <v>5</v>
      </c>
      <c r="AV576" t="s">
        <v>4109</v>
      </c>
    </row>
    <row r="577" spans="1:48">
      <c r="A577" t="s">
        <v>2765</v>
      </c>
      <c r="B577" t="s">
        <v>2766</v>
      </c>
      <c r="C577" t="s">
        <v>2767</v>
      </c>
      <c r="D577" t="s">
        <v>2768</v>
      </c>
      <c r="E577" t="s">
        <v>177</v>
      </c>
      <c r="F577" t="s">
        <v>124</v>
      </c>
      <c r="G577" t="s">
        <v>71</v>
      </c>
      <c r="H577" t="s">
        <v>252</v>
      </c>
      <c r="I577" t="s">
        <v>253</v>
      </c>
      <c r="J577" t="s">
        <v>54</v>
      </c>
      <c r="K577" t="s">
        <v>74</v>
      </c>
      <c r="L577" t="s">
        <v>2769</v>
      </c>
      <c r="M577" t="s">
        <v>57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210</v>
      </c>
      <c r="U577" t="s">
        <v>134</v>
      </c>
      <c r="W577" t="s">
        <v>2765</v>
      </c>
      <c r="X577" t="str">
        <v>11-03-25</v>
      </c>
      <c r="Y577" t="str">
        <v>14-03-25</v>
      </c>
      <c r="Z577" t="s">
        <v>2768</v>
      </c>
      <c r="AA577" t="str">
        <v>Sneha Kapoor</v>
      </c>
      <c r="AB577" t="str">
        <f>TRIM(PROPER(F:F))</f>
        <v>Home Office</v>
      </c>
      <c r="AC577" t="str">
        <f>TRIM(PROPER(G:G))</f>
        <v>South</v>
      </c>
      <c r="AD577" t="str">
        <f>TRIM(PROPER(H:H))</f>
        <v>Kerala</v>
      </c>
      <c r="AE577" t="str">
        <f>TRIM(PROPER(I:I))</f>
        <v>Kochi</v>
      </c>
      <c r="AF577" t="str">
        <f>TRIM(PROPER(J:J))</f>
        <v>Furniture</v>
      </c>
      <c r="AG577" t="str">
        <f t="shared" si="15"/>
        <v>Furnishings</v>
      </c>
      <c r="AH577" t="str">
        <f t="shared" si="15"/>
        <v>Elite Furnishings 173</v>
      </c>
      <c r="AI577" t="str">
        <f t="shared" si="15"/>
        <v>Same Day</v>
      </c>
      <c r="AJ577" s="3" t="str">
        <f t="shared" si="14"/>
        <v>anomaly</v>
      </c>
      <c r="AK577">
        <f>IFERROR(Y577-X577, "invalid date")</f>
        <v>3</v>
      </c>
      <c r="AL577" s="10">
        <v>0.2</v>
      </c>
      <c r="AM577" s="11">
        <v>3983.424</v>
      </c>
      <c r="AN577" s="11">
        <v>808.51400000000012</v>
      </c>
      <c r="AO577" s="10">
        <v>0.2029696060474607</v>
      </c>
      <c r="AP577" t="s">
        <v>4569</v>
      </c>
      <c r="AQ577" t="s">
        <v>4439</v>
      </c>
      <c r="AR577" t="s">
        <v>4159</v>
      </c>
      <c r="AS577" t="s">
        <v>4120</v>
      </c>
      <c r="AT577" t="s">
        <v>4115</v>
      </c>
      <c r="AU577">
        <v>3</v>
      </c>
      <c r="AV577" t="s">
        <v>4109</v>
      </c>
    </row>
    <row r="578" spans="1:48">
      <c r="A578" t="s">
        <v>2770</v>
      </c>
      <c r="B578" t="s">
        <v>2771</v>
      </c>
      <c r="C578" t="s">
        <v>2772</v>
      </c>
      <c r="D578" t="s">
        <v>2773</v>
      </c>
      <c r="E578" t="s">
        <v>189</v>
      </c>
      <c r="F578" t="s">
        <v>124</v>
      </c>
      <c r="H578" t="s">
        <v>196</v>
      </c>
      <c r="I578" t="s">
        <v>197</v>
      </c>
      <c r="J578" t="s">
        <v>39</v>
      </c>
      <c r="K578" t="s">
        <v>208</v>
      </c>
      <c r="L578" t="s">
        <v>2774</v>
      </c>
      <c r="M578" t="s">
        <v>76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133</v>
      </c>
      <c r="U578" t="s">
        <v>134</v>
      </c>
      <c r="W578" t="s">
        <v>2770</v>
      </c>
      <c r="X578" t="str">
        <v>17-02-24</v>
      </c>
      <c r="Y578" t="str">
        <v>invalid date</v>
      </c>
      <c r="Z578" t="s">
        <v>2773</v>
      </c>
      <c r="AA578" t="str">
        <v>Rohan Mehta</v>
      </c>
      <c r="AB578" t="str">
        <f>TRIM(PROPER(F:F))</f>
        <v>Home Office</v>
      </c>
      <c r="AC578" s="4" t="s">
        <v>282</v>
      </c>
      <c r="AD578" t="str">
        <f>TRIM(PROPER(H:H))</f>
        <v>Bihar</v>
      </c>
      <c r="AE578" t="str">
        <f>TRIM(PROPER(I:I))</f>
        <v>Patna</v>
      </c>
      <c r="AF578" t="str">
        <f>TRIM(PROPER(J:J))</f>
        <v>Office Supplies</v>
      </c>
      <c r="AG578" t="str">
        <f t="shared" si="15"/>
        <v>Binders</v>
      </c>
      <c r="AH578" t="str">
        <f t="shared" si="15"/>
        <v>Smart Binders 417</v>
      </c>
      <c r="AI578" t="str">
        <f t="shared" si="15"/>
        <v>Standard Class</v>
      </c>
      <c r="AJ578" s="3" t="str">
        <f t="shared" si="14"/>
        <v>Invalid</v>
      </c>
      <c r="AK578" t="str">
        <f>IFERROR(Y578-X578, "invalid date")</f>
        <v>invalid date</v>
      </c>
      <c r="AL578" s="10">
        <v>0</v>
      </c>
      <c r="AM578" s="11">
        <v>23530.14</v>
      </c>
      <c r="AN578" s="11">
        <v>3992.3499999999985</v>
      </c>
      <c r="AO578" s="10">
        <v>0.16966962372514566</v>
      </c>
      <c r="AP578" t="s">
        <v>4292</v>
      </c>
      <c r="AQ578" t="s">
        <v>4105</v>
      </c>
      <c r="AR578" t="s">
        <v>4129</v>
      </c>
      <c r="AS578" t="s">
        <v>4107</v>
      </c>
      <c r="AT578" t="s">
        <v>4108</v>
      </c>
      <c r="AU578" t="s">
        <v>4105</v>
      </c>
      <c r="AV578" t="s">
        <v>4109</v>
      </c>
    </row>
    <row r="579" spans="1:48">
      <c r="A579" t="s">
        <v>2775</v>
      </c>
      <c r="B579" t="s">
        <v>446</v>
      </c>
      <c r="C579" t="s">
        <v>2776</v>
      </c>
      <c r="D579" t="s">
        <v>2777</v>
      </c>
      <c r="E579" t="s">
        <v>151</v>
      </c>
      <c r="F579" t="s">
        <v>117</v>
      </c>
      <c r="G579" t="s">
        <v>82</v>
      </c>
      <c r="H579" t="s">
        <v>93</v>
      </c>
      <c r="I579" t="s">
        <v>94</v>
      </c>
      <c r="J579" t="s">
        <v>54</v>
      </c>
      <c r="K579" t="s">
        <v>74</v>
      </c>
      <c r="L579" t="s">
        <v>2778</v>
      </c>
      <c r="M579" t="s">
        <v>76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43</v>
      </c>
      <c r="U579" t="s">
        <v>44</v>
      </c>
      <c r="W579" t="s">
        <v>2775</v>
      </c>
      <c r="X579" t="str">
        <v>invalid date</v>
      </c>
      <c r="Y579" t="str">
        <v>03-09-25</v>
      </c>
      <c r="Z579" t="s">
        <v>2777</v>
      </c>
      <c r="AA579" t="str">
        <v>Priya Menon</v>
      </c>
      <c r="AB579" t="str">
        <f>TRIM(PROPER(F:F))</f>
        <v>Corporate</v>
      </c>
      <c r="AC579" t="str">
        <f>TRIM(PROPER(G:G))</f>
        <v>West</v>
      </c>
      <c r="AD579" t="str">
        <f>TRIM(PROPER(H:H))</f>
        <v>Madhya Pradesh</v>
      </c>
      <c r="AE579" t="str">
        <f>TRIM(PROPER(I:I))</f>
        <v>Indore</v>
      </c>
      <c r="AF579" t="str">
        <f>TRIM(PROPER(J:J))</f>
        <v>Furniture</v>
      </c>
      <c r="AG579" t="str">
        <f t="shared" si="15"/>
        <v>Furnishings</v>
      </c>
      <c r="AH579" t="str">
        <f t="shared" si="15"/>
        <v>Smart Furnishings 714</v>
      </c>
      <c r="AI579" t="str">
        <f t="shared" si="15"/>
        <v>Standard Class</v>
      </c>
      <c r="AJ579" s="3" t="str">
        <f t="shared" ref="AJ579:AJ642" si="16">IF(OR(X:X="Invalid Date",Y:Y="Invalid Date"),"Invalid",(IF(X:X&lt;Y:Y,"anomaly", "  ")))</f>
        <v>Invalid</v>
      </c>
      <c r="AK579" t="str">
        <f>IFERROR(Y579-X579, "invalid date")</f>
        <v>invalid date</v>
      </c>
      <c r="AL579" s="10">
        <v>0</v>
      </c>
      <c r="AM579" s="11">
        <v>1879.1499999999999</v>
      </c>
      <c r="AN579" s="11">
        <v>744.24999999999977</v>
      </c>
      <c r="AO579" s="10">
        <v>0.39605672777585599</v>
      </c>
      <c r="AP579" t="s">
        <v>4105</v>
      </c>
      <c r="AQ579" t="s">
        <v>4625</v>
      </c>
      <c r="AR579" t="s">
        <v>4105</v>
      </c>
      <c r="AS579" t="s">
        <v>4105</v>
      </c>
      <c r="AT579" t="s">
        <v>4108</v>
      </c>
      <c r="AU579" t="s">
        <v>4105</v>
      </c>
      <c r="AV579" t="s">
        <v>4109</v>
      </c>
    </row>
    <row r="580" spans="1:48">
      <c r="A580" t="s">
        <v>2779</v>
      </c>
      <c r="B580" t="s">
        <v>2780</v>
      </c>
      <c r="C580" t="s">
        <v>2781</v>
      </c>
      <c r="D580" t="s">
        <v>428</v>
      </c>
      <c r="E580" t="s">
        <v>102</v>
      </c>
      <c r="F580" t="s">
        <v>50</v>
      </c>
      <c r="G580" t="s">
        <v>82</v>
      </c>
      <c r="H580" t="s">
        <v>245</v>
      </c>
      <c r="I580" t="s">
        <v>246</v>
      </c>
      <c r="J580" t="s">
        <v>95</v>
      </c>
      <c r="K580" t="s">
        <v>103</v>
      </c>
      <c r="L580" t="s">
        <v>2782</v>
      </c>
      <c r="M580" t="s">
        <v>65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43</v>
      </c>
      <c r="U580" t="s">
        <v>44</v>
      </c>
      <c r="W580" t="s">
        <v>2779</v>
      </c>
      <c r="X580" t="str">
        <v>21-02-24</v>
      </c>
      <c r="Y580" t="str">
        <v>23-02-24</v>
      </c>
      <c r="Z580" t="s">
        <v>428</v>
      </c>
      <c r="AA580" t="str">
        <v>Neha Gupta</v>
      </c>
      <c r="AB580" t="str">
        <f>TRIM(PROPER(F:F))</f>
        <v>Small Business</v>
      </c>
      <c r="AC580" t="str">
        <f>TRIM(PROPER(G:G))</f>
        <v>West</v>
      </c>
      <c r="AD580" t="str">
        <f>TRIM(PROPER(H:H))</f>
        <v>Gujarat</v>
      </c>
      <c r="AE580" t="str">
        <f>TRIM(PROPER(I:I))</f>
        <v>Ahmedabad</v>
      </c>
      <c r="AF580" t="str">
        <f>TRIM(PROPER(J:J))</f>
        <v>Technology</v>
      </c>
      <c r="AG580" t="str">
        <f t="shared" si="15"/>
        <v>Copiers</v>
      </c>
      <c r="AH580" t="str">
        <f t="shared" si="15"/>
        <v>Elite Copiers 682</v>
      </c>
      <c r="AI580" t="str">
        <f t="shared" si="15"/>
        <v>First Class</v>
      </c>
      <c r="AJ580" s="3" t="str">
        <f t="shared" si="16"/>
        <v>anomaly</v>
      </c>
      <c r="AK580">
        <f>IFERROR(Y580-X580, "invalid date")</f>
        <v>2</v>
      </c>
      <c r="AL580" s="10">
        <v>0.05</v>
      </c>
      <c r="AM580" s="11">
        <v>15011.805</v>
      </c>
      <c r="AN580" s="11">
        <v>5351.4449999999997</v>
      </c>
      <c r="AO580" s="10">
        <v>0.35648244831317749</v>
      </c>
      <c r="AP580" t="s">
        <v>4626</v>
      </c>
      <c r="AQ580" t="s">
        <v>4578</v>
      </c>
      <c r="AR580" t="s">
        <v>4129</v>
      </c>
      <c r="AS580" t="s">
        <v>4107</v>
      </c>
      <c r="AT580" t="s">
        <v>4115</v>
      </c>
      <c r="AU580">
        <v>2</v>
      </c>
      <c r="AV580" t="s">
        <v>4109</v>
      </c>
    </row>
    <row r="581" spans="1:48">
      <c r="A581" t="s">
        <v>2783</v>
      </c>
      <c r="B581" t="s">
        <v>2784</v>
      </c>
      <c r="C581" t="s">
        <v>2785</v>
      </c>
      <c r="D581" t="s">
        <v>2786</v>
      </c>
      <c r="E581" t="s">
        <v>171</v>
      </c>
      <c r="F581" t="s">
        <v>50</v>
      </c>
      <c r="G581" t="s">
        <v>71</v>
      </c>
      <c r="H581" t="s">
        <v>350</v>
      </c>
      <c r="I581" t="s">
        <v>351</v>
      </c>
      <c r="J581" t="s">
        <v>39</v>
      </c>
      <c r="K581" t="s">
        <v>165</v>
      </c>
      <c r="L581" t="s">
        <v>2787</v>
      </c>
      <c r="M581" t="s">
        <v>57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43</v>
      </c>
      <c r="U581" t="s">
        <v>44</v>
      </c>
      <c r="W581" t="s">
        <v>2783</v>
      </c>
      <c r="X581" t="str">
        <v>19-06-24</v>
      </c>
      <c r="Y581" t="str">
        <v>24-06-24</v>
      </c>
      <c r="Z581" t="s">
        <v>2786</v>
      </c>
      <c r="AA581" t="str">
        <v>Aarav Sharma</v>
      </c>
      <c r="AB581" t="str">
        <f>TRIM(PROPER(F:F))</f>
        <v>Small Business</v>
      </c>
      <c r="AC581" t="str">
        <f>TRIM(PROPER(G:G))</f>
        <v>South</v>
      </c>
      <c r="AD581" t="str">
        <f>TRIM(PROPER(H:H))</f>
        <v>Tamil Nadu</v>
      </c>
      <c r="AE581" t="str">
        <f>TRIM(PROPER(I:I))</f>
        <v>Chennai</v>
      </c>
      <c r="AF581" t="str">
        <f>TRIM(PROPER(J:J))</f>
        <v>Office Supplies</v>
      </c>
      <c r="AG581" t="str">
        <f t="shared" si="15"/>
        <v>Storage</v>
      </c>
      <c r="AH581" t="str">
        <f t="shared" si="15"/>
        <v>Pro Storage 482</v>
      </c>
      <c r="AI581" t="str">
        <f t="shared" si="15"/>
        <v>Same Day</v>
      </c>
      <c r="AJ581" s="3" t="str">
        <f t="shared" si="16"/>
        <v>anomaly</v>
      </c>
      <c r="AK581">
        <f>IFERROR(Y581-X581, "invalid date")</f>
        <v>5</v>
      </c>
      <c r="AL581" s="10">
        <v>0</v>
      </c>
      <c r="AM581" s="11">
        <v>3202.41</v>
      </c>
      <c r="AN581" s="11">
        <v>593.9699999999998</v>
      </c>
      <c r="AO581" s="10">
        <v>0.18547593843386695</v>
      </c>
      <c r="AP581" t="s">
        <v>4296</v>
      </c>
      <c r="AQ581" t="s">
        <v>4448</v>
      </c>
      <c r="AR581" t="s">
        <v>4170</v>
      </c>
      <c r="AS581" t="s">
        <v>4107</v>
      </c>
      <c r="AT581" t="s">
        <v>4115</v>
      </c>
      <c r="AU581">
        <v>5</v>
      </c>
      <c r="AV581" t="s">
        <v>4109</v>
      </c>
    </row>
    <row r="582" spans="1:48">
      <c r="A582" t="s">
        <v>2788</v>
      </c>
      <c r="B582" t="s">
        <v>2789</v>
      </c>
      <c r="C582" t="s">
        <v>1468</v>
      </c>
      <c r="D582" t="s">
        <v>2790</v>
      </c>
      <c r="E582" t="s">
        <v>377</v>
      </c>
      <c r="F582" t="s">
        <v>35</v>
      </c>
      <c r="G582" t="s">
        <v>71</v>
      </c>
      <c r="H582" t="s">
        <v>252</v>
      </c>
      <c r="I582" t="s">
        <v>253</v>
      </c>
      <c r="J582" t="s">
        <v>54</v>
      </c>
      <c r="K582" t="s">
        <v>85</v>
      </c>
      <c r="L582" t="s">
        <v>2791</v>
      </c>
      <c r="M582" t="s">
        <v>76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210</v>
      </c>
      <c r="U582" t="s">
        <v>134</v>
      </c>
      <c r="W582" t="s">
        <v>2788</v>
      </c>
      <c r="X582" t="str">
        <v>06-03-25</v>
      </c>
      <c r="Y582" t="str">
        <v>invalid date</v>
      </c>
      <c r="Z582" t="s">
        <v>2790</v>
      </c>
      <c r="AA582" t="str">
        <v>Kabir Singh</v>
      </c>
      <c r="AB582" t="str">
        <f>TRIM(PROPER(F:F))</f>
        <v>Consumer</v>
      </c>
      <c r="AC582" t="str">
        <f>TRIM(PROPER(G:G))</f>
        <v>South</v>
      </c>
      <c r="AD582" t="str">
        <f>TRIM(PROPER(H:H))</f>
        <v>Kerala</v>
      </c>
      <c r="AE582" t="str">
        <f>TRIM(PROPER(I:I))</f>
        <v>Kochi</v>
      </c>
      <c r="AF582" t="str">
        <f>TRIM(PROPER(J:J))</f>
        <v>Furniture</v>
      </c>
      <c r="AG582" t="str">
        <f t="shared" si="15"/>
        <v>Chairs</v>
      </c>
      <c r="AH582" t="str">
        <f t="shared" si="15"/>
        <v>Pro Chairs 888</v>
      </c>
      <c r="AI582" t="str">
        <f t="shared" si="15"/>
        <v>Standard Class</v>
      </c>
      <c r="AJ582" s="3" t="str">
        <f t="shared" si="16"/>
        <v>Invalid</v>
      </c>
      <c r="AK582" t="str">
        <f>IFERROR(Y582-X582, "invalid date")</f>
        <v>invalid date</v>
      </c>
      <c r="AL582" s="10">
        <v>0.15</v>
      </c>
      <c r="AM582" s="11">
        <v>417.48599999999999</v>
      </c>
      <c r="AN582" s="11">
        <v>155.81599999999997</v>
      </c>
      <c r="AO582" s="10">
        <v>0.37322449136018926</v>
      </c>
      <c r="AP582" t="s">
        <v>4627</v>
      </c>
      <c r="AQ582" t="s">
        <v>4105</v>
      </c>
      <c r="AR582" t="s">
        <v>4159</v>
      </c>
      <c r="AS582" t="s">
        <v>4120</v>
      </c>
      <c r="AT582" t="s">
        <v>4108</v>
      </c>
      <c r="AU582" t="s">
        <v>4105</v>
      </c>
      <c r="AV582" t="s">
        <v>4109</v>
      </c>
    </row>
    <row r="583" spans="1:48">
      <c r="A583" t="s">
        <v>2792</v>
      </c>
      <c r="B583" t="s">
        <v>1352</v>
      </c>
      <c r="C583" t="s">
        <v>2793</v>
      </c>
      <c r="D583" t="s">
        <v>2794</v>
      </c>
      <c r="E583" t="s">
        <v>102</v>
      </c>
      <c r="F583" t="s">
        <v>35</v>
      </c>
      <c r="G583" t="s">
        <v>36</v>
      </c>
      <c r="H583" t="s">
        <v>517</v>
      </c>
      <c r="I583" t="s">
        <v>518</v>
      </c>
      <c r="J583" t="s">
        <v>39</v>
      </c>
      <c r="K583" t="s">
        <v>63</v>
      </c>
      <c r="L583" t="s">
        <v>2795</v>
      </c>
      <c r="M583" t="s">
        <v>42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133</v>
      </c>
      <c r="U583" t="s">
        <v>134</v>
      </c>
      <c r="W583" t="s">
        <v>2792</v>
      </c>
      <c r="X583" t="str">
        <v>09-08-25</v>
      </c>
      <c r="Y583" t="str">
        <v>08-10-25</v>
      </c>
      <c r="Z583" t="s">
        <v>2794</v>
      </c>
      <c r="AA583" t="str">
        <v>Neha Gupta</v>
      </c>
      <c r="AB583" t="str">
        <f>TRIM(PROPER(F:F))</f>
        <v>Consumer</v>
      </c>
      <c r="AC583" t="str">
        <f>TRIM(PROPER(G:G))</f>
        <v>North</v>
      </c>
      <c r="AD583" t="str">
        <f>TRIM(PROPER(H:H))</f>
        <v>Delhi</v>
      </c>
      <c r="AE583" t="str">
        <f>TRIM(PROPER(I:I))</f>
        <v>New Delhi</v>
      </c>
      <c r="AF583" t="str">
        <f>TRIM(PROPER(J:J))</f>
        <v>Office Supplies</v>
      </c>
      <c r="AG583" t="str">
        <f t="shared" si="15"/>
        <v>Art</v>
      </c>
      <c r="AH583" t="str">
        <f t="shared" si="15"/>
        <v>Classic Art 611</v>
      </c>
      <c r="AI583" t="str">
        <f t="shared" si="15"/>
        <v>Second Class</v>
      </c>
      <c r="AJ583" s="3" t="str">
        <f t="shared" si="16"/>
        <v xml:space="preserve">  </v>
      </c>
      <c r="AK583">
        <f>IFERROR(Y583-X583, "invalid date")</f>
        <v>60</v>
      </c>
      <c r="AL583" s="10">
        <v>0</v>
      </c>
      <c r="AM583" s="11">
        <v>16323.8</v>
      </c>
      <c r="AN583" s="11">
        <v>6358.0099999999984</v>
      </c>
      <c r="AO583" s="10">
        <v>0.38949325524693995</v>
      </c>
      <c r="AP583" t="s">
        <v>4423</v>
      </c>
      <c r="AQ583" t="s">
        <v>4333</v>
      </c>
      <c r="AR583" t="s">
        <v>4114</v>
      </c>
      <c r="AS583" t="s">
        <v>4120</v>
      </c>
      <c r="AT583" t="s">
        <v>4121</v>
      </c>
      <c r="AU583">
        <v>60</v>
      </c>
      <c r="AV583" t="s">
        <v>4109</v>
      </c>
    </row>
    <row r="584" spans="1:48">
      <c r="A584" t="s">
        <v>2796</v>
      </c>
      <c r="B584" t="s">
        <v>2797</v>
      </c>
      <c r="C584" t="s">
        <v>2798</v>
      </c>
      <c r="D584" t="s">
        <v>2799</v>
      </c>
      <c r="E584" t="s">
        <v>81</v>
      </c>
      <c r="F584" t="s">
        <v>35</v>
      </c>
      <c r="G584" t="s">
        <v>51</v>
      </c>
      <c r="H584" t="s">
        <v>52</v>
      </c>
      <c r="I584" t="s">
        <v>53</v>
      </c>
      <c r="J584" t="s">
        <v>39</v>
      </c>
      <c r="K584" t="s">
        <v>63</v>
      </c>
      <c r="L584" t="s">
        <v>2800</v>
      </c>
      <c r="M584" t="s">
        <v>65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146</v>
      </c>
      <c r="U584" t="s">
        <v>134</v>
      </c>
      <c r="W584" t="s">
        <v>2796</v>
      </c>
      <c r="X584" t="str">
        <v>15-10-24</v>
      </c>
      <c r="Y584" t="str">
        <v>invalid date</v>
      </c>
      <c r="Z584" t="s">
        <v>2799</v>
      </c>
      <c r="AA584" t="str">
        <v>Ananya Rao</v>
      </c>
      <c r="AB584" t="str">
        <f>TRIM(PROPER(F:F))</f>
        <v>Consumer</v>
      </c>
      <c r="AC584" t="str">
        <f>TRIM(PROPER(G:G))</f>
        <v>East</v>
      </c>
      <c r="AD584" t="str">
        <f>TRIM(PROPER(H:H))</f>
        <v>Odisha</v>
      </c>
      <c r="AE584" t="str">
        <f>TRIM(PROPER(I:I))</f>
        <v>Bhubaneswar</v>
      </c>
      <c r="AF584" t="str">
        <f>TRIM(PROPER(J:J))</f>
        <v>Office Supplies</v>
      </c>
      <c r="AG584" t="str">
        <f t="shared" si="15"/>
        <v>Art</v>
      </c>
      <c r="AH584" t="str">
        <f t="shared" si="15"/>
        <v>Basic Art 174</v>
      </c>
      <c r="AI584" t="str">
        <f t="shared" si="15"/>
        <v>First Class</v>
      </c>
      <c r="AJ584" s="3" t="str">
        <f t="shared" si="16"/>
        <v>Invalid</v>
      </c>
      <c r="AK584" t="str">
        <f>IFERROR(Y584-X584, "invalid date")</f>
        <v>invalid date</v>
      </c>
      <c r="AL584" s="10">
        <v>0</v>
      </c>
      <c r="AM584" s="11">
        <v>3356.2</v>
      </c>
      <c r="AN584" s="11">
        <v>1150.48</v>
      </c>
      <c r="AO584" s="10">
        <v>0.34279244383528995</v>
      </c>
      <c r="AP584" t="s">
        <v>4628</v>
      </c>
      <c r="AQ584" t="s">
        <v>4105</v>
      </c>
      <c r="AR584" t="s">
        <v>4126</v>
      </c>
      <c r="AS584" t="s">
        <v>4107</v>
      </c>
      <c r="AT584" t="s">
        <v>4108</v>
      </c>
      <c r="AU584" t="s">
        <v>4105</v>
      </c>
      <c r="AV584" t="s">
        <v>4109</v>
      </c>
    </row>
    <row r="585" spans="1:48">
      <c r="A585" t="s">
        <v>2801</v>
      </c>
      <c r="B585" t="s">
        <v>637</v>
      </c>
      <c r="C585" t="s">
        <v>2802</v>
      </c>
      <c r="D585" t="s">
        <v>2803</v>
      </c>
      <c r="E585" t="s">
        <v>189</v>
      </c>
      <c r="F585" t="s">
        <v>50</v>
      </c>
      <c r="G585" t="s">
        <v>51</v>
      </c>
      <c r="H585" t="s">
        <v>130</v>
      </c>
      <c r="I585" t="s">
        <v>131</v>
      </c>
      <c r="J585" t="s">
        <v>39</v>
      </c>
      <c r="K585" t="s">
        <v>165</v>
      </c>
      <c r="L585" t="s">
        <v>2804</v>
      </c>
      <c r="M585" t="s">
        <v>65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210</v>
      </c>
      <c r="U585" t="s">
        <v>134</v>
      </c>
      <c r="W585" t="s">
        <v>2801</v>
      </c>
      <c r="X585" t="str">
        <v>28-02-24</v>
      </c>
      <c r="Y585" t="str">
        <v>invalid date</v>
      </c>
      <c r="Z585" t="s">
        <v>2803</v>
      </c>
      <c r="AA585" t="str">
        <v>Rohan Mehta</v>
      </c>
      <c r="AB585" t="str">
        <f>TRIM(PROPER(F:F))</f>
        <v>Small Business</v>
      </c>
      <c r="AC585" t="str">
        <f>TRIM(PROPER(G:G))</f>
        <v>East</v>
      </c>
      <c r="AD585" t="str">
        <f>TRIM(PROPER(H:H))</f>
        <v>West Bengal</v>
      </c>
      <c r="AE585" t="str">
        <f>TRIM(PROPER(I:I))</f>
        <v>Kolkata</v>
      </c>
      <c r="AF585" t="str">
        <f>TRIM(PROPER(J:J))</f>
        <v>Office Supplies</v>
      </c>
      <c r="AG585" t="str">
        <f t="shared" si="15"/>
        <v>Storage</v>
      </c>
      <c r="AH585" t="str">
        <f t="shared" si="15"/>
        <v>Classic Storage 451</v>
      </c>
      <c r="AI585" t="str">
        <f t="shared" si="15"/>
        <v>First Class</v>
      </c>
      <c r="AJ585" s="3" t="str">
        <f t="shared" si="16"/>
        <v>Invalid</v>
      </c>
      <c r="AK585" t="str">
        <f>IFERROR(Y585-X585, "invalid date")</f>
        <v>invalid date</v>
      </c>
      <c r="AL585" s="10">
        <v>0.2</v>
      </c>
      <c r="AM585" s="11">
        <v>2101.4720000000002</v>
      </c>
      <c r="AN585" s="11">
        <v>883.64200000000028</v>
      </c>
      <c r="AO585" s="10">
        <v>0.42048716328364127</v>
      </c>
      <c r="AP585" t="s">
        <v>4278</v>
      </c>
      <c r="AQ585" t="s">
        <v>4105</v>
      </c>
      <c r="AR585" t="s">
        <v>4129</v>
      </c>
      <c r="AS585" t="s">
        <v>4107</v>
      </c>
      <c r="AT585" t="s">
        <v>4108</v>
      </c>
      <c r="AU585" t="s">
        <v>4105</v>
      </c>
      <c r="AV585" t="s">
        <v>4109</v>
      </c>
    </row>
    <row r="586" spans="1:48">
      <c r="A586" t="s">
        <v>2805</v>
      </c>
      <c r="B586" t="s">
        <v>2806</v>
      </c>
      <c r="C586" t="s">
        <v>2807</v>
      </c>
      <c r="D586" t="s">
        <v>2808</v>
      </c>
      <c r="E586" t="s">
        <v>92</v>
      </c>
      <c r="F586" t="s">
        <v>35</v>
      </c>
      <c r="G586" t="s">
        <v>51</v>
      </c>
      <c r="H586" t="s">
        <v>196</v>
      </c>
      <c r="I586" t="s">
        <v>197</v>
      </c>
      <c r="J586" t="s">
        <v>39</v>
      </c>
      <c r="K586" t="s">
        <v>63</v>
      </c>
      <c r="L586" t="s">
        <v>2809</v>
      </c>
      <c r="M586" t="s">
        <v>57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146</v>
      </c>
      <c r="U586" t="s">
        <v>134</v>
      </c>
      <c r="W586" t="s">
        <v>2805</v>
      </c>
      <c r="X586" t="str">
        <v>08-04-24</v>
      </c>
      <c r="Y586" t="str">
        <v>10-08-24</v>
      </c>
      <c r="Z586" t="s">
        <v>2808</v>
      </c>
      <c r="AA586" t="str">
        <v>Vikram Iyer</v>
      </c>
      <c r="AB586" t="str">
        <f>TRIM(PROPER(F:F))</f>
        <v>Consumer</v>
      </c>
      <c r="AC586" t="str">
        <f>TRIM(PROPER(G:G))</f>
        <v>East</v>
      </c>
      <c r="AD586" t="str">
        <f>TRIM(PROPER(H:H))</f>
        <v>Bihar</v>
      </c>
      <c r="AE586" t="str">
        <f>TRIM(PROPER(I:I))</f>
        <v>Patna</v>
      </c>
      <c r="AF586" t="str">
        <f>TRIM(PROPER(J:J))</f>
        <v>Office Supplies</v>
      </c>
      <c r="AG586" t="str">
        <f t="shared" si="15"/>
        <v>Art</v>
      </c>
      <c r="AH586" t="str">
        <f t="shared" si="15"/>
        <v>Pro Art 172</v>
      </c>
      <c r="AI586" t="str">
        <f t="shared" si="15"/>
        <v>Same Day</v>
      </c>
      <c r="AJ586" s="3" t="str">
        <f t="shared" si="16"/>
        <v>anomaly</v>
      </c>
      <c r="AK586">
        <f>IFERROR(Y586-X586, "invalid date")</f>
        <v>124</v>
      </c>
      <c r="AL586" s="10">
        <v>0.15</v>
      </c>
      <c r="AM586" s="11">
        <v>837.19049999999993</v>
      </c>
      <c r="AN586" s="11">
        <v>253.40049999999997</v>
      </c>
      <c r="AO586" s="10">
        <v>0.30267961712417901</v>
      </c>
      <c r="AP586" t="s">
        <v>4629</v>
      </c>
      <c r="AQ586" t="s">
        <v>4243</v>
      </c>
      <c r="AR586" t="s">
        <v>4199</v>
      </c>
      <c r="AS586" t="s">
        <v>4107</v>
      </c>
      <c r="AT586" t="s">
        <v>4115</v>
      </c>
      <c r="AU586">
        <v>124</v>
      </c>
      <c r="AV586" t="s">
        <v>4109</v>
      </c>
    </row>
    <row r="587" spans="1:48">
      <c r="A587" t="s">
        <v>2810</v>
      </c>
      <c r="B587" t="s">
        <v>1697</v>
      </c>
      <c r="C587" t="s">
        <v>2811</v>
      </c>
      <c r="D587" t="s">
        <v>2812</v>
      </c>
      <c r="E587" t="s">
        <v>220</v>
      </c>
      <c r="F587" t="s">
        <v>50</v>
      </c>
      <c r="G587" t="s">
        <v>1060</v>
      </c>
      <c r="H587" t="s">
        <v>83</v>
      </c>
      <c r="I587" t="s">
        <v>84</v>
      </c>
      <c r="J587" t="s">
        <v>95</v>
      </c>
      <c r="K587" t="s">
        <v>233</v>
      </c>
      <c r="L587" t="s">
        <v>2813</v>
      </c>
      <c r="M587" t="s">
        <v>65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43</v>
      </c>
      <c r="U587" t="s">
        <v>44</v>
      </c>
      <c r="W587" t="s">
        <v>2810</v>
      </c>
      <c r="X587" t="str">
        <v>22-06-25</v>
      </c>
      <c r="Y587" t="str">
        <v>25-06-25</v>
      </c>
      <c r="Z587" t="s">
        <v>2812</v>
      </c>
      <c r="AA587" t="str">
        <v>Diya Patel</v>
      </c>
      <c r="AB587" t="str">
        <f>TRIM(PROPER(F:F))</f>
        <v>Small Business</v>
      </c>
      <c r="AC587" t="str">
        <f>TRIM(PROPER(G:G))</f>
        <v>West</v>
      </c>
      <c r="AD587" t="str">
        <f>TRIM(PROPER(H:H))</f>
        <v>Maharashtra</v>
      </c>
      <c r="AE587" t="str">
        <f>TRIM(PROPER(I:I))</f>
        <v>Mumbai</v>
      </c>
      <c r="AF587" t="str">
        <f>TRIM(PROPER(J:J))</f>
        <v>Technology</v>
      </c>
      <c r="AG587" t="str">
        <f t="shared" si="15"/>
        <v>Phones</v>
      </c>
      <c r="AH587" t="str">
        <f t="shared" si="15"/>
        <v>Prime Phones 744</v>
      </c>
      <c r="AI587" t="str">
        <f t="shared" si="15"/>
        <v>First Class</v>
      </c>
      <c r="AJ587" s="3" t="str">
        <f t="shared" si="16"/>
        <v>anomaly</v>
      </c>
      <c r="AK587">
        <f>IFERROR(Y587-X587, "invalid date")</f>
        <v>3</v>
      </c>
      <c r="AL587" s="10">
        <v>0</v>
      </c>
      <c r="AM587" s="11">
        <v>27629.279999999999</v>
      </c>
      <c r="AN587" s="11">
        <v>5602.7999999999993</v>
      </c>
      <c r="AO587" s="10">
        <v>0.20278487170132553</v>
      </c>
      <c r="AP587" t="s">
        <v>4482</v>
      </c>
      <c r="AQ587" t="s">
        <v>4418</v>
      </c>
      <c r="AR587" t="s">
        <v>4170</v>
      </c>
      <c r="AS587" t="s">
        <v>4120</v>
      </c>
      <c r="AT587" t="s">
        <v>4115</v>
      </c>
      <c r="AU587">
        <v>3</v>
      </c>
      <c r="AV587" t="s">
        <v>4109</v>
      </c>
    </row>
    <row r="588" spans="1:48">
      <c r="A588" t="s">
        <v>2814</v>
      </c>
      <c r="B588" t="s">
        <v>2815</v>
      </c>
      <c r="C588" t="s">
        <v>2816</v>
      </c>
      <c r="D588" t="s">
        <v>2817</v>
      </c>
      <c r="E588" t="s">
        <v>49</v>
      </c>
      <c r="F588" t="s">
        <v>124</v>
      </c>
      <c r="G588" t="s">
        <v>36</v>
      </c>
      <c r="H588" t="s">
        <v>163</v>
      </c>
      <c r="I588" t="s">
        <v>164</v>
      </c>
      <c r="J588" t="s">
        <v>39</v>
      </c>
      <c r="K588" t="s">
        <v>208</v>
      </c>
      <c r="L588" t="s">
        <v>2818</v>
      </c>
      <c r="M588" t="s">
        <v>42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43</v>
      </c>
      <c r="U588" t="s">
        <v>44</v>
      </c>
      <c r="W588" t="s">
        <v>2814</v>
      </c>
      <c r="X588" t="str">
        <v>12-04-25</v>
      </c>
      <c r="Y588" t="str">
        <v>12-04-25</v>
      </c>
      <c r="Z588" t="s">
        <v>2817</v>
      </c>
      <c r="AA588" t="str">
        <v>Mira Das</v>
      </c>
      <c r="AB588" t="str">
        <f>TRIM(PROPER(F:F))</f>
        <v>Home Office</v>
      </c>
      <c r="AC588" t="str">
        <f>TRIM(PROPER(G:G))</f>
        <v>North</v>
      </c>
      <c r="AD588" t="str">
        <f>TRIM(PROPER(H:H))</f>
        <v>Punjab</v>
      </c>
      <c r="AE588" t="str">
        <f>TRIM(PROPER(I:I))</f>
        <v>Ludhiana</v>
      </c>
      <c r="AF588" t="str">
        <f>TRIM(PROPER(J:J))</f>
        <v>Office Supplies</v>
      </c>
      <c r="AG588" t="str">
        <f t="shared" si="15"/>
        <v>Binders</v>
      </c>
      <c r="AH588" t="str">
        <f t="shared" si="15"/>
        <v>Prime Binders 249</v>
      </c>
      <c r="AI588" t="str">
        <f t="shared" si="15"/>
        <v>Second Class</v>
      </c>
      <c r="AJ588" s="3" t="str">
        <f t="shared" si="16"/>
        <v xml:space="preserve">  </v>
      </c>
      <c r="AK588">
        <f>IFERROR(Y588-X588, "invalid date")</f>
        <v>0</v>
      </c>
      <c r="AL588" s="10">
        <v>0.2</v>
      </c>
      <c r="AM588" s="11">
        <v>7471.52</v>
      </c>
      <c r="AN588" s="11">
        <v>1287.2000000000007</v>
      </c>
      <c r="AO588" s="10">
        <v>0.17228087457438387</v>
      </c>
      <c r="AP588" t="s">
        <v>4553</v>
      </c>
      <c r="AQ588" t="s">
        <v>4553</v>
      </c>
      <c r="AR588" t="s">
        <v>4199</v>
      </c>
      <c r="AS588" t="s">
        <v>4120</v>
      </c>
      <c r="AT588" t="s">
        <v>4115</v>
      </c>
      <c r="AU588">
        <v>0</v>
      </c>
      <c r="AV588" t="s">
        <v>4109</v>
      </c>
    </row>
    <row r="589" spans="1:48">
      <c r="A589" t="s">
        <v>2819</v>
      </c>
      <c r="B589" t="s">
        <v>2820</v>
      </c>
      <c r="C589" t="s">
        <v>2821</v>
      </c>
      <c r="D589" t="s">
        <v>2822</v>
      </c>
      <c r="E589" t="s">
        <v>377</v>
      </c>
      <c r="F589" t="s">
        <v>124</v>
      </c>
      <c r="G589" t="s">
        <v>82</v>
      </c>
      <c r="H589" t="s">
        <v>93</v>
      </c>
      <c r="I589" t="s">
        <v>94</v>
      </c>
      <c r="J589" t="s">
        <v>95</v>
      </c>
      <c r="K589" t="s">
        <v>96</v>
      </c>
      <c r="L589" t="s">
        <v>2823</v>
      </c>
      <c r="M589" t="s">
        <v>65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133</v>
      </c>
      <c r="U589" t="s">
        <v>87</v>
      </c>
      <c r="W589" t="s">
        <v>2819</v>
      </c>
      <c r="X589" t="str">
        <v>23-07-25</v>
      </c>
      <c r="Y589" t="str">
        <v>31-07-25</v>
      </c>
      <c r="Z589" t="s">
        <v>2822</v>
      </c>
      <c r="AA589" t="str">
        <v>Kabir Singh</v>
      </c>
      <c r="AB589" t="str">
        <f>TRIM(PROPER(F:F))</f>
        <v>Home Office</v>
      </c>
      <c r="AC589" t="str">
        <f>TRIM(PROPER(G:G))</f>
        <v>West</v>
      </c>
      <c r="AD589" t="str">
        <f>TRIM(PROPER(H:H))</f>
        <v>Madhya Pradesh</v>
      </c>
      <c r="AE589" t="str">
        <f>TRIM(PROPER(I:I))</f>
        <v>Indore</v>
      </c>
      <c r="AF589" t="str">
        <f>TRIM(PROPER(J:J))</f>
        <v>Technology</v>
      </c>
      <c r="AG589" t="str">
        <f>TRIM(PROPER(K:K))</f>
        <v>Accessories</v>
      </c>
      <c r="AH589" t="str">
        <f>TRIM(PROPER(L:L))</f>
        <v>Eco Accessories 948</v>
      </c>
      <c r="AI589" t="str">
        <f>TRIM(PROPER(M:M))</f>
        <v>First Class</v>
      </c>
      <c r="AJ589" s="3" t="str">
        <f t="shared" si="16"/>
        <v>anomaly</v>
      </c>
      <c r="AK589">
        <f>IFERROR(Y589-X589, "invalid date")</f>
        <v>8</v>
      </c>
      <c r="AL589" s="10">
        <v>0.15</v>
      </c>
      <c r="AM589" s="11">
        <v>3615.7640000000001</v>
      </c>
      <c r="AN589" s="11">
        <v>664.24400000000014</v>
      </c>
      <c r="AO589" s="10">
        <v>0.18370778623826114</v>
      </c>
      <c r="AP589" t="s">
        <v>4376</v>
      </c>
      <c r="AQ589" t="s">
        <v>4474</v>
      </c>
      <c r="AR589" t="s">
        <v>4106</v>
      </c>
      <c r="AS589" t="s">
        <v>4120</v>
      </c>
      <c r="AT589" t="s">
        <v>4115</v>
      </c>
      <c r="AU589">
        <v>8</v>
      </c>
      <c r="AV589" t="s">
        <v>4109</v>
      </c>
    </row>
    <row r="590" spans="1:48">
      <c r="A590" t="s">
        <v>2824</v>
      </c>
      <c r="B590" t="s">
        <v>2825</v>
      </c>
      <c r="C590" t="s">
        <v>2826</v>
      </c>
      <c r="D590" t="s">
        <v>2827</v>
      </c>
      <c r="E590" t="s">
        <v>171</v>
      </c>
      <c r="F590" t="s">
        <v>124</v>
      </c>
      <c r="G590" t="s">
        <v>71</v>
      </c>
      <c r="H590" t="s">
        <v>239</v>
      </c>
      <c r="I590" t="s">
        <v>240</v>
      </c>
      <c r="J590" t="s">
        <v>95</v>
      </c>
      <c r="K590" t="s">
        <v>96</v>
      </c>
      <c r="L590" t="s">
        <v>2828</v>
      </c>
      <c r="M590" t="s">
        <v>42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133</v>
      </c>
      <c r="U590" t="s">
        <v>87</v>
      </c>
      <c r="W590" t="s">
        <v>2824</v>
      </c>
      <c r="X590" t="str">
        <v>11-03-25</v>
      </c>
      <c r="Y590" t="str">
        <v>15-03-25</v>
      </c>
      <c r="Z590" t="s">
        <v>2827</v>
      </c>
      <c r="AA590" t="str">
        <v>Aarav Sharma</v>
      </c>
      <c r="AB590" t="str">
        <f>TRIM(PROPER(F:F))</f>
        <v>Home Office</v>
      </c>
      <c r="AC590" t="str">
        <f>TRIM(PROPER(G:G))</f>
        <v>South</v>
      </c>
      <c r="AD590" t="str">
        <f>TRIM(PROPER(H:H))</f>
        <v>Karnataka</v>
      </c>
      <c r="AE590" t="str">
        <f>TRIM(PROPER(I:I))</f>
        <v>Bengaluru</v>
      </c>
      <c r="AF590" t="str">
        <f>TRIM(PROPER(J:J))</f>
        <v>Technology</v>
      </c>
      <c r="AG590" t="str">
        <f>TRIM(PROPER(K:K))</f>
        <v>Accessories</v>
      </c>
      <c r="AH590" t="str">
        <f>TRIM(PROPER(L:L))</f>
        <v>Classic Accessories 458</v>
      </c>
      <c r="AI590" t="str">
        <f>TRIM(PROPER(M:M))</f>
        <v>Second Class</v>
      </c>
      <c r="AJ590" s="3" t="str">
        <f t="shared" si="16"/>
        <v>anomaly</v>
      </c>
      <c r="AK590">
        <f>IFERROR(Y590-X590, "invalid date")</f>
        <v>4</v>
      </c>
      <c r="AL590" s="10">
        <v>0.1</v>
      </c>
      <c r="AM590" s="11">
        <v>32013.791999999998</v>
      </c>
      <c r="AN590" s="11">
        <v>11116.911999999997</v>
      </c>
      <c r="AO590" s="10">
        <v>0.34725383359771933</v>
      </c>
      <c r="AP590" t="s">
        <v>4569</v>
      </c>
      <c r="AQ590" t="s">
        <v>4549</v>
      </c>
      <c r="AR590" t="s">
        <v>4159</v>
      </c>
      <c r="AS590" t="s">
        <v>4120</v>
      </c>
      <c r="AT590" t="s">
        <v>4115</v>
      </c>
      <c r="AU590">
        <v>4</v>
      </c>
      <c r="AV590" t="s">
        <v>4109</v>
      </c>
    </row>
    <row r="591" spans="1:48">
      <c r="A591" t="s">
        <v>2829</v>
      </c>
      <c r="B591" t="s">
        <v>2830</v>
      </c>
      <c r="C591" t="s">
        <v>2831</v>
      </c>
      <c r="D591" t="s">
        <v>2832</v>
      </c>
      <c r="E591" t="s">
        <v>189</v>
      </c>
      <c r="F591" t="s">
        <v>117</v>
      </c>
      <c r="G591" t="s">
        <v>36</v>
      </c>
      <c r="H591" t="s">
        <v>183</v>
      </c>
      <c r="I591" t="s">
        <v>184</v>
      </c>
      <c r="J591" t="s">
        <v>95</v>
      </c>
      <c r="K591" t="s">
        <v>233</v>
      </c>
      <c r="L591" t="s">
        <v>2833</v>
      </c>
      <c r="M591" t="s">
        <v>65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43</v>
      </c>
      <c r="U591" t="s">
        <v>44</v>
      </c>
      <c r="W591" t="s">
        <v>2829</v>
      </c>
      <c r="X591" t="str">
        <v>06-12-24</v>
      </c>
      <c r="Y591" t="str">
        <v>12-12-24</v>
      </c>
      <c r="Z591" t="s">
        <v>2832</v>
      </c>
      <c r="AA591" t="str">
        <v>Rohan Mehta</v>
      </c>
      <c r="AB591" t="str">
        <f>TRIM(PROPER(F:F))</f>
        <v>Corporate</v>
      </c>
      <c r="AC591" t="str">
        <f>TRIM(PROPER(G:G))</f>
        <v>North</v>
      </c>
      <c r="AD591" t="str">
        <f>TRIM(PROPER(H:H))</f>
        <v>Uttar Pradesh</v>
      </c>
      <c r="AE591" t="str">
        <f>TRIM(PROPER(I:I))</f>
        <v>Noida</v>
      </c>
      <c r="AF591" t="str">
        <f>TRIM(PROPER(J:J))</f>
        <v>Technology</v>
      </c>
      <c r="AG591" t="str">
        <f>TRIM(PROPER(K:K))</f>
        <v>Phones</v>
      </c>
      <c r="AH591" t="str">
        <f t="shared" ref="AH591:AI654" si="17">TRIM(PROPER(L:L))</f>
        <v>Max Phones 318</v>
      </c>
      <c r="AI591" t="str">
        <f t="shared" si="17"/>
        <v>First Class</v>
      </c>
      <c r="AJ591" s="3" t="str">
        <f t="shared" si="16"/>
        <v>anomaly</v>
      </c>
      <c r="AK591">
        <f>IFERROR(Y591-X591, "invalid date")</f>
        <v>6</v>
      </c>
      <c r="AL591" s="10">
        <v>0</v>
      </c>
      <c r="AM591" s="11">
        <v>1574.25</v>
      </c>
      <c r="AN591" s="11">
        <v>248.13000000000011</v>
      </c>
      <c r="AO591" s="10">
        <v>0.15761791329204389</v>
      </c>
      <c r="AP591" t="s">
        <v>4480</v>
      </c>
      <c r="AQ591" t="s">
        <v>4630</v>
      </c>
      <c r="AR591" t="s">
        <v>4139</v>
      </c>
      <c r="AS591" t="s">
        <v>4107</v>
      </c>
      <c r="AT591" t="s">
        <v>4115</v>
      </c>
      <c r="AU591">
        <v>6</v>
      </c>
      <c r="AV591" t="s">
        <v>4109</v>
      </c>
    </row>
    <row r="592" spans="1:48">
      <c r="A592" t="s">
        <v>2834</v>
      </c>
      <c r="B592" t="s">
        <v>284</v>
      </c>
      <c r="C592" t="s">
        <v>2835</v>
      </c>
      <c r="D592" t="s">
        <v>2836</v>
      </c>
      <c r="E592" t="s">
        <v>171</v>
      </c>
      <c r="F592" t="s">
        <v>124</v>
      </c>
      <c r="G592" t="s">
        <v>36</v>
      </c>
      <c r="H592" t="s">
        <v>517</v>
      </c>
      <c r="I592" t="s">
        <v>518</v>
      </c>
      <c r="J592" t="s">
        <v>54</v>
      </c>
      <c r="K592" t="s">
        <v>85</v>
      </c>
      <c r="L592" t="s">
        <v>2837</v>
      </c>
      <c r="M592" t="s">
        <v>57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146</v>
      </c>
      <c r="U592" t="s">
        <v>87</v>
      </c>
      <c r="W592" t="s">
        <v>2834</v>
      </c>
      <c r="X592" t="str">
        <v>29-05-24</v>
      </c>
      <c r="Y592" t="str">
        <v>29-05-24</v>
      </c>
      <c r="Z592" t="s">
        <v>2836</v>
      </c>
      <c r="AA592" t="str">
        <v>Aarav Sharma</v>
      </c>
      <c r="AB592" t="str">
        <f>TRIM(PROPER(F:F))</f>
        <v>Home Office</v>
      </c>
      <c r="AC592" t="str">
        <f>TRIM(PROPER(G:G))</f>
        <v>North</v>
      </c>
      <c r="AD592" t="str">
        <f>TRIM(PROPER(H:H))</f>
        <v>Delhi</v>
      </c>
      <c r="AE592" t="str">
        <f>TRIM(PROPER(I:I))</f>
        <v>New Delhi</v>
      </c>
      <c r="AF592" t="str">
        <f>TRIM(PROPER(J:J))</f>
        <v>Furniture</v>
      </c>
      <c r="AG592" t="str">
        <f>TRIM(PROPER(K:K))</f>
        <v>Chairs</v>
      </c>
      <c r="AH592" t="str">
        <f t="shared" si="17"/>
        <v>Elite Chairs 372</v>
      </c>
      <c r="AI592" t="str">
        <f t="shared" si="17"/>
        <v>Same Day</v>
      </c>
      <c r="AJ592" s="3" t="str">
        <f t="shared" si="16"/>
        <v xml:space="preserve">  </v>
      </c>
      <c r="AK592">
        <f>IFERROR(Y592-X592, "invalid date")</f>
        <v>0</v>
      </c>
      <c r="AL592" s="10">
        <v>0</v>
      </c>
      <c r="AM592" s="11">
        <v>20582.099999999999</v>
      </c>
      <c r="AN592" s="11">
        <v>4684.4499999999989</v>
      </c>
      <c r="AO592" s="10">
        <v>0.22759825285077806</v>
      </c>
      <c r="AP592" t="s">
        <v>4176</v>
      </c>
      <c r="AQ592" t="s">
        <v>4176</v>
      </c>
      <c r="AR592" t="s">
        <v>4124</v>
      </c>
      <c r="AS592" t="s">
        <v>4107</v>
      </c>
      <c r="AT592" t="s">
        <v>4115</v>
      </c>
      <c r="AU592">
        <v>0</v>
      </c>
      <c r="AV592" t="s">
        <v>4109</v>
      </c>
    </row>
    <row r="593" spans="1:48">
      <c r="A593" t="s">
        <v>2838</v>
      </c>
      <c r="B593" t="s">
        <v>2839</v>
      </c>
      <c r="C593" t="s">
        <v>2840</v>
      </c>
      <c r="D593" t="s">
        <v>2841</v>
      </c>
      <c r="E593" t="s">
        <v>177</v>
      </c>
      <c r="F593" t="s">
        <v>35</v>
      </c>
      <c r="G593" t="s">
        <v>71</v>
      </c>
      <c r="H593" t="s">
        <v>239</v>
      </c>
      <c r="I593" t="s">
        <v>240</v>
      </c>
      <c r="J593" t="s">
        <v>95</v>
      </c>
      <c r="K593" t="s">
        <v>103</v>
      </c>
      <c r="L593" t="s">
        <v>2842</v>
      </c>
      <c r="M593" t="s">
        <v>65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210</v>
      </c>
      <c r="U593" t="s">
        <v>134</v>
      </c>
      <c r="W593" t="s">
        <v>2838</v>
      </c>
      <c r="X593" t="str">
        <v>22-02-24</v>
      </c>
      <c r="Y593" t="str">
        <v>24-02-24</v>
      </c>
      <c r="Z593" t="s">
        <v>2841</v>
      </c>
      <c r="AA593" t="str">
        <v>Sneha Kapoor</v>
      </c>
      <c r="AB593" t="str">
        <f>TRIM(PROPER(F:F))</f>
        <v>Consumer</v>
      </c>
      <c r="AC593" t="str">
        <f>TRIM(PROPER(G:G))</f>
        <v>South</v>
      </c>
      <c r="AD593" t="str">
        <f>TRIM(PROPER(H:H))</f>
        <v>Karnataka</v>
      </c>
      <c r="AE593" t="str">
        <f>TRIM(PROPER(I:I))</f>
        <v>Bengaluru</v>
      </c>
      <c r="AF593" t="str">
        <f>TRIM(PROPER(J:J))</f>
        <v>Technology</v>
      </c>
      <c r="AG593" t="str">
        <f>TRIM(PROPER(K:K))</f>
        <v>Copiers</v>
      </c>
      <c r="AH593" t="str">
        <f t="shared" si="17"/>
        <v>Eco Copiers 324</v>
      </c>
      <c r="AI593" t="str">
        <f t="shared" si="17"/>
        <v>First Class</v>
      </c>
      <c r="AJ593" s="3" t="str">
        <f t="shared" si="16"/>
        <v>anomaly</v>
      </c>
      <c r="AK593">
        <f>IFERROR(Y593-X593, "invalid date")</f>
        <v>2</v>
      </c>
      <c r="AL593" s="10">
        <v>0</v>
      </c>
      <c r="AM593" s="11">
        <v>10635.24</v>
      </c>
      <c r="AN593" s="11">
        <v>4603.3599999999997</v>
      </c>
      <c r="AO593" s="10">
        <v>0.43284025560307055</v>
      </c>
      <c r="AP593" t="s">
        <v>4523</v>
      </c>
      <c r="AQ593" t="s">
        <v>4631</v>
      </c>
      <c r="AR593" t="s">
        <v>4129</v>
      </c>
      <c r="AS593" t="s">
        <v>4107</v>
      </c>
      <c r="AT593" t="s">
        <v>4115</v>
      </c>
      <c r="AU593">
        <v>2</v>
      </c>
      <c r="AV593" t="s">
        <v>4109</v>
      </c>
    </row>
    <row r="594" spans="1:48">
      <c r="A594" t="s">
        <v>2843</v>
      </c>
      <c r="B594" t="s">
        <v>849</v>
      </c>
      <c r="C594" t="s">
        <v>907</v>
      </c>
      <c r="D594" t="s">
        <v>2844</v>
      </c>
      <c r="E594" t="s">
        <v>49</v>
      </c>
      <c r="F594" t="s">
        <v>35</v>
      </c>
      <c r="G594" t="s">
        <v>51</v>
      </c>
      <c r="H594" t="s">
        <v>130</v>
      </c>
      <c r="I594" t="s">
        <v>131</v>
      </c>
      <c r="J594" t="s">
        <v>95</v>
      </c>
      <c r="K594" t="s">
        <v>96</v>
      </c>
      <c r="L594" t="s">
        <v>2845</v>
      </c>
      <c r="M594" t="s">
        <v>57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43</v>
      </c>
      <c r="U594" t="s">
        <v>44</v>
      </c>
      <c r="W594" t="s">
        <v>2843</v>
      </c>
      <c r="X594" t="str">
        <v>04-03-24</v>
      </c>
      <c r="Y594" t="str">
        <v>09-03-24</v>
      </c>
      <c r="Z594" t="s">
        <v>2844</v>
      </c>
      <c r="AA594" t="str">
        <v>Mira Das</v>
      </c>
      <c r="AB594" t="str">
        <f>TRIM(PROPER(F:F))</f>
        <v>Consumer</v>
      </c>
      <c r="AC594" t="str">
        <f>TRIM(PROPER(G:G))</f>
        <v>East</v>
      </c>
      <c r="AD594" t="str">
        <f>TRIM(PROPER(H:H))</f>
        <v>West Bengal</v>
      </c>
      <c r="AE594" t="str">
        <f>TRIM(PROPER(I:I))</f>
        <v>Kolkata</v>
      </c>
      <c r="AF594" t="str">
        <f>TRIM(PROPER(J:J))</f>
        <v>Technology</v>
      </c>
      <c r="AG594" t="str">
        <f>TRIM(PROPER(K:K))</f>
        <v>Accessories</v>
      </c>
      <c r="AH594" t="str">
        <f t="shared" si="17"/>
        <v>Classic Accessories 131</v>
      </c>
      <c r="AI594" t="str">
        <f t="shared" si="17"/>
        <v>Same Day</v>
      </c>
      <c r="AJ594" s="3" t="str">
        <f t="shared" si="16"/>
        <v>anomaly</v>
      </c>
      <c r="AK594">
        <f>IFERROR(Y594-X594, "invalid date")</f>
        <v>5</v>
      </c>
      <c r="AL594" s="10">
        <v>0.15</v>
      </c>
      <c r="AM594" s="11">
        <v>29929.588</v>
      </c>
      <c r="AN594" s="11">
        <v>7493.5580000000009</v>
      </c>
      <c r="AO594" s="10">
        <v>0.25037290857461858</v>
      </c>
      <c r="AP594" t="s">
        <v>4157</v>
      </c>
      <c r="AQ594" t="s">
        <v>4336</v>
      </c>
      <c r="AR594" t="s">
        <v>4159</v>
      </c>
      <c r="AS594" t="s">
        <v>4107</v>
      </c>
      <c r="AT594" t="s">
        <v>4115</v>
      </c>
      <c r="AU594">
        <v>5</v>
      </c>
      <c r="AV594" t="s">
        <v>4109</v>
      </c>
    </row>
    <row r="595" spans="1:48">
      <c r="A595" t="s">
        <v>2846</v>
      </c>
      <c r="B595" t="s">
        <v>1367</v>
      </c>
      <c r="C595" t="s">
        <v>2847</v>
      </c>
      <c r="D595" t="s">
        <v>2538</v>
      </c>
      <c r="E595" t="s">
        <v>70</v>
      </c>
      <c r="F595" t="s">
        <v>124</v>
      </c>
      <c r="G595" t="s">
        <v>36</v>
      </c>
      <c r="H595" t="s">
        <v>183</v>
      </c>
      <c r="I595" t="s">
        <v>184</v>
      </c>
      <c r="J595" t="s">
        <v>54</v>
      </c>
      <c r="K595" t="s">
        <v>55</v>
      </c>
      <c r="L595" t="s">
        <v>2848</v>
      </c>
      <c r="M595" t="s">
        <v>42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43</v>
      </c>
      <c r="U595" t="s">
        <v>44</v>
      </c>
      <c r="W595" t="s">
        <v>2846</v>
      </c>
      <c r="X595" t="str">
        <v>invalid date</v>
      </c>
      <c r="Y595" t="str">
        <v>29-09-25</v>
      </c>
      <c r="Z595" t="s">
        <v>2538</v>
      </c>
      <c r="AA595" t="str">
        <v>Arjun Bose</v>
      </c>
      <c r="AB595" t="str">
        <f>TRIM(PROPER(F:F))</f>
        <v>Home Office</v>
      </c>
      <c r="AC595" t="str">
        <f>TRIM(PROPER(G:G))</f>
        <v>North</v>
      </c>
      <c r="AD595" t="str">
        <f>TRIM(PROPER(H:H))</f>
        <v>Uttar Pradesh</v>
      </c>
      <c r="AE595" t="str">
        <f>TRIM(PROPER(I:I))</f>
        <v>Noida</v>
      </c>
      <c r="AF595" t="str">
        <f>TRIM(PROPER(J:J))</f>
        <v>Furniture</v>
      </c>
      <c r="AG595" t="str">
        <f>TRIM(PROPER(K:K))</f>
        <v>Tables</v>
      </c>
      <c r="AH595" t="str">
        <f t="shared" si="17"/>
        <v>Eco Tables 550</v>
      </c>
      <c r="AI595" t="str">
        <f t="shared" si="17"/>
        <v>Second Class</v>
      </c>
      <c r="AJ595" s="3" t="str">
        <f t="shared" si="16"/>
        <v>Invalid</v>
      </c>
      <c r="AK595" t="str">
        <f>IFERROR(Y595-X595, "invalid date")</f>
        <v>invalid date</v>
      </c>
      <c r="AL595" s="10">
        <v>0.25</v>
      </c>
      <c r="AM595" s="11">
        <v>27675.7425</v>
      </c>
      <c r="AN595" s="11">
        <v>12104.6625</v>
      </c>
      <c r="AO595" s="10">
        <v>0.4373744444254748</v>
      </c>
      <c r="AP595" t="s">
        <v>4105</v>
      </c>
      <c r="AQ595" t="s">
        <v>4162</v>
      </c>
      <c r="AR595" t="s">
        <v>4105</v>
      </c>
      <c r="AS595" t="s">
        <v>4105</v>
      </c>
      <c r="AT595" t="s">
        <v>4108</v>
      </c>
      <c r="AU595" t="s">
        <v>4105</v>
      </c>
      <c r="AV595" t="s">
        <v>4109</v>
      </c>
    </row>
    <row r="596" spans="1:48">
      <c r="A596" t="s">
        <v>2849</v>
      </c>
      <c r="B596" t="s">
        <v>2850</v>
      </c>
      <c r="C596" t="s">
        <v>1145</v>
      </c>
      <c r="D596" t="s">
        <v>2851</v>
      </c>
      <c r="E596" t="s">
        <v>34</v>
      </c>
      <c r="F596" t="s">
        <v>50</v>
      </c>
      <c r="G596" t="s">
        <v>51</v>
      </c>
      <c r="H596" t="s">
        <v>130</v>
      </c>
      <c r="I596" t="s">
        <v>131</v>
      </c>
      <c r="J596" t="s">
        <v>54</v>
      </c>
      <c r="K596" t="s">
        <v>85</v>
      </c>
      <c r="L596" t="s">
        <v>2852</v>
      </c>
      <c r="M596" t="s">
        <v>65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43</v>
      </c>
      <c r="U596" t="s">
        <v>44</v>
      </c>
      <c r="W596" t="s">
        <v>2849</v>
      </c>
      <c r="X596" t="str">
        <v>19-09-24</v>
      </c>
      <c r="Y596" t="str">
        <v>21-09-24</v>
      </c>
      <c r="Z596" t="s">
        <v>2851</v>
      </c>
      <c r="AA596" t="str">
        <v>Karan Malhotra</v>
      </c>
      <c r="AB596" t="str">
        <f>TRIM(PROPER(F:F))</f>
        <v>Small Business</v>
      </c>
      <c r="AC596" t="str">
        <f>TRIM(PROPER(G:G))</f>
        <v>East</v>
      </c>
      <c r="AD596" t="str">
        <f>TRIM(PROPER(H:H))</f>
        <v>West Bengal</v>
      </c>
      <c r="AE596" t="str">
        <f>TRIM(PROPER(I:I))</f>
        <v>Kolkata</v>
      </c>
      <c r="AF596" t="str">
        <f>TRIM(PROPER(J:J))</f>
        <v>Furniture</v>
      </c>
      <c r="AG596" t="str">
        <f>TRIM(PROPER(K:K))</f>
        <v>Chairs</v>
      </c>
      <c r="AH596" t="str">
        <f t="shared" si="17"/>
        <v>Basic Chairs 932</v>
      </c>
      <c r="AI596" t="str">
        <f t="shared" si="17"/>
        <v>First Class</v>
      </c>
      <c r="AJ596" s="3" t="str">
        <f t="shared" si="16"/>
        <v>anomaly</v>
      </c>
      <c r="AK596">
        <f>IFERROR(Y596-X596, "invalid date")</f>
        <v>2</v>
      </c>
      <c r="AL596" s="10">
        <v>0</v>
      </c>
      <c r="AM596" s="11">
        <v>11945.28</v>
      </c>
      <c r="AN596" s="11">
        <v>2244.9700000000012</v>
      </c>
      <c r="AO596" s="10">
        <v>0.18793782983739193</v>
      </c>
      <c r="AP596" t="s">
        <v>4632</v>
      </c>
      <c r="AQ596" t="s">
        <v>4381</v>
      </c>
      <c r="AR596" t="s">
        <v>4134</v>
      </c>
      <c r="AS596" t="s">
        <v>4107</v>
      </c>
      <c r="AT596" t="s">
        <v>4115</v>
      </c>
      <c r="AU596">
        <v>2</v>
      </c>
      <c r="AV596" t="s">
        <v>4109</v>
      </c>
    </row>
    <row r="597" spans="1:48">
      <c r="A597" t="s">
        <v>2853</v>
      </c>
      <c r="B597" t="s">
        <v>2854</v>
      </c>
      <c r="C597" t="s">
        <v>2855</v>
      </c>
      <c r="D597" t="s">
        <v>2856</v>
      </c>
      <c r="E597" t="s">
        <v>49</v>
      </c>
      <c r="F597" t="s">
        <v>117</v>
      </c>
      <c r="G597" t="s">
        <v>36</v>
      </c>
      <c r="H597" t="s">
        <v>183</v>
      </c>
      <c r="I597" t="s">
        <v>184</v>
      </c>
      <c r="J597" t="s">
        <v>95</v>
      </c>
      <c r="K597" t="s">
        <v>233</v>
      </c>
      <c r="L597" t="s">
        <v>2857</v>
      </c>
      <c r="M597" t="s">
        <v>65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43</v>
      </c>
      <c r="U597" t="s">
        <v>44</v>
      </c>
      <c r="W597" t="s">
        <v>2853</v>
      </c>
      <c r="X597" t="str">
        <v>02-11-25</v>
      </c>
      <c r="Y597" t="str">
        <v>16-02-25</v>
      </c>
      <c r="Z597" t="s">
        <v>2856</v>
      </c>
      <c r="AA597" t="str">
        <v>Mira Das</v>
      </c>
      <c r="AB597" t="str">
        <f>TRIM(PROPER(F:F))</f>
        <v>Corporate</v>
      </c>
      <c r="AC597" t="str">
        <f>TRIM(PROPER(G:G))</f>
        <v>North</v>
      </c>
      <c r="AD597" t="str">
        <f>TRIM(PROPER(H:H))</f>
        <v>Uttar Pradesh</v>
      </c>
      <c r="AE597" t="str">
        <f>TRIM(PROPER(I:I))</f>
        <v>Noida</v>
      </c>
      <c r="AF597" t="str">
        <f>TRIM(PROPER(J:J))</f>
        <v>Technology</v>
      </c>
      <c r="AG597" t="str">
        <f>TRIM(PROPER(K:K))</f>
        <v>Phones</v>
      </c>
      <c r="AH597" t="str">
        <f t="shared" si="17"/>
        <v>Classic Phones 294</v>
      </c>
      <c r="AI597" t="str">
        <f t="shared" si="17"/>
        <v>First Class</v>
      </c>
      <c r="AJ597" s="3" t="str">
        <f t="shared" si="16"/>
        <v>anomaly</v>
      </c>
      <c r="AK597">
        <f>IFERROR(Y597-X597, "invalid date")</f>
        <v>-259</v>
      </c>
      <c r="AL597" s="10">
        <v>0.1</v>
      </c>
      <c r="AM597" s="11">
        <v>13144.031999999999</v>
      </c>
      <c r="AN597" s="11">
        <v>3380.0319999999992</v>
      </c>
      <c r="AO597" s="10">
        <v>0.25715336055176974</v>
      </c>
      <c r="AP597" t="s">
        <v>4633</v>
      </c>
      <c r="AQ597" t="s">
        <v>4634</v>
      </c>
      <c r="AR597" t="s">
        <v>4117</v>
      </c>
      <c r="AS597" t="s">
        <v>4120</v>
      </c>
      <c r="AT597" t="s">
        <v>4115</v>
      </c>
      <c r="AU597">
        <v>-259</v>
      </c>
      <c r="AV597" t="s">
        <v>4109</v>
      </c>
    </row>
    <row r="598" spans="1:48">
      <c r="A598" t="s">
        <v>2858</v>
      </c>
      <c r="B598" t="s">
        <v>1449</v>
      </c>
      <c r="C598" t="s">
        <v>422</v>
      </c>
      <c r="D598" t="s">
        <v>2859</v>
      </c>
      <c r="E598" t="s">
        <v>116</v>
      </c>
      <c r="F598" t="s">
        <v>35</v>
      </c>
      <c r="G598" t="s">
        <v>71</v>
      </c>
      <c r="H598" t="s">
        <v>252</v>
      </c>
      <c r="I598" t="s">
        <v>253</v>
      </c>
      <c r="J598" t="s">
        <v>54</v>
      </c>
      <c r="K598" t="s">
        <v>85</v>
      </c>
      <c r="L598" t="s">
        <v>2860</v>
      </c>
      <c r="M598" t="s">
        <v>42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43</v>
      </c>
      <c r="U598" t="s">
        <v>44</v>
      </c>
      <c r="W598" t="s">
        <v>2858</v>
      </c>
      <c r="X598" t="str">
        <v>10-04-24</v>
      </c>
      <c r="Y598" t="str">
        <v>invalid date</v>
      </c>
      <c r="Z598" t="s">
        <v>2859</v>
      </c>
      <c r="AA598" t="str">
        <v>Aditi Sen</v>
      </c>
      <c r="AB598" t="str">
        <f>TRIM(PROPER(F:F))</f>
        <v>Consumer</v>
      </c>
      <c r="AC598" t="str">
        <f>TRIM(PROPER(G:G))</f>
        <v>South</v>
      </c>
      <c r="AD598" t="str">
        <f>TRIM(PROPER(H:H))</f>
        <v>Kerala</v>
      </c>
      <c r="AE598" t="str">
        <f>TRIM(PROPER(I:I))</f>
        <v>Kochi</v>
      </c>
      <c r="AF598" t="str">
        <f>TRIM(PROPER(J:J))</f>
        <v>Furniture</v>
      </c>
      <c r="AG598" t="str">
        <f>TRIM(PROPER(K:K))</f>
        <v>Chairs</v>
      </c>
      <c r="AH598" t="str">
        <f t="shared" si="17"/>
        <v>Elite Chairs 700</v>
      </c>
      <c r="AI598" t="str">
        <f t="shared" si="17"/>
        <v>Second Class</v>
      </c>
      <c r="AJ598" s="3" t="str">
        <f t="shared" si="16"/>
        <v>Invalid</v>
      </c>
      <c r="AK598" t="str">
        <f>IFERROR(Y598-X598, "invalid date")</f>
        <v>invalid date</v>
      </c>
      <c r="AL598" s="10">
        <v>0.25</v>
      </c>
      <c r="AM598" s="11">
        <v>18382.005000000005</v>
      </c>
      <c r="AN598" s="11">
        <v>5273.8050000000039</v>
      </c>
      <c r="AO598" s="10">
        <v>0.28690042245119629</v>
      </c>
      <c r="AP598" t="s">
        <v>4441</v>
      </c>
      <c r="AQ598" t="s">
        <v>4105</v>
      </c>
      <c r="AR598" t="s">
        <v>4199</v>
      </c>
      <c r="AS598" t="s">
        <v>4107</v>
      </c>
      <c r="AT598" t="s">
        <v>4108</v>
      </c>
      <c r="AU598" t="s">
        <v>4105</v>
      </c>
      <c r="AV598" t="s">
        <v>4109</v>
      </c>
    </row>
    <row r="599" spans="1:48">
      <c r="A599" t="s">
        <v>2861</v>
      </c>
      <c r="B599" t="s">
        <v>2862</v>
      </c>
      <c r="C599" t="s">
        <v>499</v>
      </c>
      <c r="D599" t="s">
        <v>2863</v>
      </c>
      <c r="E599" t="s">
        <v>116</v>
      </c>
      <c r="F599" t="s">
        <v>35</v>
      </c>
      <c r="G599" t="s">
        <v>71</v>
      </c>
      <c r="H599" t="s">
        <v>72</v>
      </c>
      <c r="I599" t="s">
        <v>73</v>
      </c>
      <c r="J599" t="s">
        <v>95</v>
      </c>
      <c r="K599" t="s">
        <v>103</v>
      </c>
      <c r="L599" t="s">
        <v>2864</v>
      </c>
      <c r="M599" t="s">
        <v>57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43</v>
      </c>
      <c r="U599" t="s">
        <v>44</v>
      </c>
      <c r="W599" t="s">
        <v>2861</v>
      </c>
      <c r="X599" t="str">
        <v>08-07-25</v>
      </c>
      <c r="Y599" t="str">
        <v>07-08-25</v>
      </c>
      <c r="Z599" t="s">
        <v>2863</v>
      </c>
      <c r="AA599" t="str">
        <v>Aditi Sen</v>
      </c>
      <c r="AB599" t="str">
        <f>TRIM(PROPER(F:F))</f>
        <v>Consumer</v>
      </c>
      <c r="AC599" t="str">
        <f>TRIM(PROPER(G:G))</f>
        <v>South</v>
      </c>
      <c r="AD599" t="str">
        <f>TRIM(PROPER(H:H))</f>
        <v>Telangana</v>
      </c>
      <c r="AE599" t="str">
        <f>TRIM(PROPER(I:I))</f>
        <v>Hyderabad</v>
      </c>
      <c r="AF599" t="str">
        <f>TRIM(PROPER(J:J))</f>
        <v>Technology</v>
      </c>
      <c r="AG599" t="str">
        <f>TRIM(PROPER(K:K))</f>
        <v>Copiers</v>
      </c>
      <c r="AH599" t="str">
        <f t="shared" si="17"/>
        <v>Prime Copiers 969</v>
      </c>
      <c r="AI599" t="str">
        <f t="shared" si="17"/>
        <v>Same Day</v>
      </c>
      <c r="AJ599" s="3" t="str">
        <f t="shared" si="16"/>
        <v xml:space="preserve">  </v>
      </c>
      <c r="AK599">
        <f>IFERROR(Y599-X599, "invalid date")</f>
        <v>30</v>
      </c>
      <c r="AL599" s="10">
        <v>0.25</v>
      </c>
      <c r="AM599" s="11">
        <v>1855.44</v>
      </c>
      <c r="AN599" s="11">
        <v>592.70000000000005</v>
      </c>
      <c r="AO599" s="10">
        <v>0.3194390548872505</v>
      </c>
      <c r="AP599" t="s">
        <v>4607</v>
      </c>
      <c r="AQ599" t="s">
        <v>4238</v>
      </c>
      <c r="AR599" t="s">
        <v>4106</v>
      </c>
      <c r="AS599" t="s">
        <v>4120</v>
      </c>
      <c r="AT599" t="s">
        <v>4121</v>
      </c>
      <c r="AU599">
        <v>30</v>
      </c>
      <c r="AV599" t="s">
        <v>4109</v>
      </c>
    </row>
    <row r="600" spans="1:48">
      <c r="A600" t="s">
        <v>2865</v>
      </c>
      <c r="B600" t="s">
        <v>2448</v>
      </c>
      <c r="C600" t="s">
        <v>2866</v>
      </c>
      <c r="D600" t="s">
        <v>2867</v>
      </c>
      <c r="E600" t="s">
        <v>81</v>
      </c>
      <c r="F600" t="s">
        <v>117</v>
      </c>
      <c r="G600" t="s">
        <v>51</v>
      </c>
      <c r="H600" t="s">
        <v>130</v>
      </c>
      <c r="I600" t="s">
        <v>131</v>
      </c>
      <c r="J600" t="s">
        <v>95</v>
      </c>
      <c r="K600" t="s">
        <v>103</v>
      </c>
      <c r="L600" t="s">
        <v>2868</v>
      </c>
      <c r="M600" t="s">
        <v>57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43</v>
      </c>
      <c r="U600" t="s">
        <v>44</v>
      </c>
      <c r="W600" t="s">
        <v>2865</v>
      </c>
      <c r="X600" t="str">
        <v>invalid date</v>
      </c>
      <c r="Y600" t="str">
        <v>invalid date</v>
      </c>
      <c r="Z600" t="s">
        <v>2867</v>
      </c>
      <c r="AA600" t="str">
        <v>Ananya Rao</v>
      </c>
      <c r="AB600" t="str">
        <f>TRIM(PROPER(F:F))</f>
        <v>Corporate</v>
      </c>
      <c r="AC600" t="str">
        <f>TRIM(PROPER(G:G))</f>
        <v>East</v>
      </c>
      <c r="AD600" t="str">
        <f>TRIM(PROPER(H:H))</f>
        <v>West Bengal</v>
      </c>
      <c r="AE600" t="str">
        <f>TRIM(PROPER(I:I))</f>
        <v>Kolkata</v>
      </c>
      <c r="AF600" t="str">
        <f>TRIM(PROPER(J:J))</f>
        <v>Technology</v>
      </c>
      <c r="AG600" t="str">
        <f>TRIM(PROPER(K:K))</f>
        <v>Copiers</v>
      </c>
      <c r="AH600" t="str">
        <f t="shared" si="17"/>
        <v>Eco Copiers 268</v>
      </c>
      <c r="AI600" t="str">
        <f t="shared" si="17"/>
        <v>Same Day</v>
      </c>
      <c r="AJ600" s="3" t="str">
        <f t="shared" si="16"/>
        <v>Invalid</v>
      </c>
      <c r="AK600" t="str">
        <f>IFERROR(Y600-X600, "invalid date")</f>
        <v>invalid date</v>
      </c>
      <c r="AL600" s="10">
        <v>0.25</v>
      </c>
      <c r="AM600" s="11">
        <v>3354.0524999999998</v>
      </c>
      <c r="AN600" s="11">
        <v>681.38249999999971</v>
      </c>
      <c r="AO600" s="10">
        <v>0.20315200790685289</v>
      </c>
      <c r="AP600" t="s">
        <v>4105</v>
      </c>
      <c r="AQ600" t="s">
        <v>4105</v>
      </c>
      <c r="AR600" t="s">
        <v>4105</v>
      </c>
      <c r="AS600" t="s">
        <v>4105</v>
      </c>
      <c r="AT600" t="s">
        <v>4108</v>
      </c>
      <c r="AU600" t="s">
        <v>4105</v>
      </c>
      <c r="AV600" t="s">
        <v>4109</v>
      </c>
    </row>
    <row r="601" spans="1:48">
      <c r="A601" t="s">
        <v>2869</v>
      </c>
      <c r="B601" t="s">
        <v>2870</v>
      </c>
      <c r="C601" t="s">
        <v>1635</v>
      </c>
      <c r="D601" t="s">
        <v>2871</v>
      </c>
      <c r="E601" t="s">
        <v>70</v>
      </c>
      <c r="F601" t="s">
        <v>35</v>
      </c>
      <c r="G601" t="s">
        <v>36</v>
      </c>
      <c r="H601" t="s">
        <v>163</v>
      </c>
      <c r="I601" t="s">
        <v>164</v>
      </c>
      <c r="J601" t="s">
        <v>95</v>
      </c>
      <c r="K601" t="s">
        <v>233</v>
      </c>
      <c r="L601" t="s">
        <v>2872</v>
      </c>
      <c r="M601" t="s">
        <v>65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43</v>
      </c>
      <c r="U601" t="s">
        <v>44</v>
      </c>
      <c r="W601" t="s">
        <v>2869</v>
      </c>
      <c r="X601" t="str">
        <v>19-08-24</v>
      </c>
      <c r="Y601" t="str">
        <v>21-08-24</v>
      </c>
      <c r="Z601" t="s">
        <v>2871</v>
      </c>
      <c r="AA601" t="str">
        <v>Arjun Bose</v>
      </c>
      <c r="AB601" t="str">
        <f>TRIM(PROPER(F:F))</f>
        <v>Consumer</v>
      </c>
      <c r="AC601" t="str">
        <f>TRIM(PROPER(G:G))</f>
        <v>North</v>
      </c>
      <c r="AD601" t="str">
        <f>TRIM(PROPER(H:H))</f>
        <v>Punjab</v>
      </c>
      <c r="AE601" t="str">
        <f>TRIM(PROPER(I:I))</f>
        <v>Ludhiana</v>
      </c>
      <c r="AF601" t="str">
        <f>TRIM(PROPER(J:J))</f>
        <v>Technology</v>
      </c>
      <c r="AG601" t="str">
        <f>TRIM(PROPER(K:K))</f>
        <v>Phones</v>
      </c>
      <c r="AH601" t="str">
        <f t="shared" si="17"/>
        <v>Pro Phones 588</v>
      </c>
      <c r="AI601" t="str">
        <f t="shared" si="17"/>
        <v>First Class</v>
      </c>
      <c r="AJ601" s="3" t="str">
        <f t="shared" si="16"/>
        <v>anomaly</v>
      </c>
      <c r="AK601">
        <f>IFERROR(Y601-X601, "invalid date")</f>
        <v>2</v>
      </c>
      <c r="AL601" s="10">
        <v>0.25</v>
      </c>
      <c r="AM601" s="11">
        <v>2482.9650000000001</v>
      </c>
      <c r="AN601" s="11">
        <v>861.24500000000012</v>
      </c>
      <c r="AO601" s="10">
        <v>0.34686151435884116</v>
      </c>
      <c r="AP601" t="s">
        <v>4623</v>
      </c>
      <c r="AQ601" t="s">
        <v>4469</v>
      </c>
      <c r="AR601" t="s">
        <v>4114</v>
      </c>
      <c r="AS601" t="s">
        <v>4107</v>
      </c>
      <c r="AT601" t="s">
        <v>4115</v>
      </c>
      <c r="AU601">
        <v>2</v>
      </c>
      <c r="AV601" t="s">
        <v>4109</v>
      </c>
    </row>
    <row r="602" spans="1:48">
      <c r="A602" t="s">
        <v>2873</v>
      </c>
      <c r="B602" t="s">
        <v>2874</v>
      </c>
      <c r="C602" t="s">
        <v>2875</v>
      </c>
      <c r="D602" t="s">
        <v>2876</v>
      </c>
      <c r="E602" t="s">
        <v>81</v>
      </c>
      <c r="F602" t="s">
        <v>117</v>
      </c>
      <c r="G602" t="s">
        <v>82</v>
      </c>
      <c r="H602" t="s">
        <v>93</v>
      </c>
      <c r="I602" t="s">
        <v>94</v>
      </c>
      <c r="J602" t="s">
        <v>39</v>
      </c>
      <c r="K602" t="s">
        <v>165</v>
      </c>
      <c r="L602" t="s">
        <v>2877</v>
      </c>
      <c r="M602" t="s">
        <v>57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43</v>
      </c>
      <c r="U602" t="s">
        <v>44</v>
      </c>
      <c r="W602" t="s">
        <v>2873</v>
      </c>
      <c r="X602" t="str">
        <v>05-03-25</v>
      </c>
      <c r="Y602" t="str">
        <v>12-03-25</v>
      </c>
      <c r="Z602" t="s">
        <v>2876</v>
      </c>
      <c r="AA602" t="str">
        <v>Ananya Rao</v>
      </c>
      <c r="AB602" t="str">
        <f>TRIM(PROPER(F:F))</f>
        <v>Corporate</v>
      </c>
      <c r="AC602" t="str">
        <f>TRIM(PROPER(G:G))</f>
        <v>West</v>
      </c>
      <c r="AD602" t="str">
        <f>TRIM(PROPER(H:H))</f>
        <v>Madhya Pradesh</v>
      </c>
      <c r="AE602" t="str">
        <f>TRIM(PROPER(I:I))</f>
        <v>Indore</v>
      </c>
      <c r="AF602" t="str">
        <f>TRIM(PROPER(J:J))</f>
        <v>Office Supplies</v>
      </c>
      <c r="AG602" t="str">
        <f>TRIM(PROPER(K:K))</f>
        <v>Storage</v>
      </c>
      <c r="AH602" t="str">
        <f t="shared" si="17"/>
        <v>Prime Storage 432</v>
      </c>
      <c r="AI602" t="str">
        <f t="shared" si="17"/>
        <v>Same Day</v>
      </c>
      <c r="AJ602" s="3" t="str">
        <f t="shared" si="16"/>
        <v>anomaly</v>
      </c>
      <c r="AK602">
        <f>IFERROR(Y602-X602, "invalid date")</f>
        <v>7</v>
      </c>
      <c r="AL602" s="10">
        <v>0</v>
      </c>
      <c r="AM602" s="11">
        <v>11048.25</v>
      </c>
      <c r="AN602" s="11">
        <v>1985.5300000000007</v>
      </c>
      <c r="AO602" s="10">
        <v>0.17971443441268986</v>
      </c>
      <c r="AP602" t="s">
        <v>4563</v>
      </c>
      <c r="AQ602" t="s">
        <v>4635</v>
      </c>
      <c r="AR602" t="s">
        <v>4159</v>
      </c>
      <c r="AS602" t="s">
        <v>4120</v>
      </c>
      <c r="AT602" t="s">
        <v>4115</v>
      </c>
      <c r="AU602">
        <v>7</v>
      </c>
      <c r="AV602" t="s">
        <v>4109</v>
      </c>
    </row>
    <row r="603" spans="1:48">
      <c r="A603" t="s">
        <v>2878</v>
      </c>
      <c r="B603" t="s">
        <v>2879</v>
      </c>
      <c r="C603" t="s">
        <v>2880</v>
      </c>
      <c r="D603" t="s">
        <v>2881</v>
      </c>
      <c r="E603" t="s">
        <v>81</v>
      </c>
      <c r="F603" t="s">
        <v>124</v>
      </c>
      <c r="G603" t="s">
        <v>51</v>
      </c>
      <c r="H603" t="s">
        <v>130</v>
      </c>
      <c r="I603" t="s">
        <v>131</v>
      </c>
      <c r="J603" t="s">
        <v>39</v>
      </c>
      <c r="K603" t="s">
        <v>40</v>
      </c>
      <c r="L603" t="s">
        <v>2882</v>
      </c>
      <c r="M603" t="s">
        <v>42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43</v>
      </c>
      <c r="U603" t="s">
        <v>44</v>
      </c>
      <c r="W603" t="s">
        <v>2878</v>
      </c>
      <c r="X603" t="str">
        <v>26-01-24</v>
      </c>
      <c r="Y603" t="str">
        <v>invalid date</v>
      </c>
      <c r="Z603" t="s">
        <v>2881</v>
      </c>
      <c r="AA603" t="str">
        <v>Ananya Rao</v>
      </c>
      <c r="AB603" t="str">
        <f>TRIM(PROPER(F:F))</f>
        <v>Home Office</v>
      </c>
      <c r="AC603" t="str">
        <f>TRIM(PROPER(G:G))</f>
        <v>East</v>
      </c>
      <c r="AD603" t="str">
        <f>TRIM(PROPER(H:H))</f>
        <v>West Bengal</v>
      </c>
      <c r="AE603" t="str">
        <f>TRIM(PROPER(I:I))</f>
        <v>Kolkata</v>
      </c>
      <c r="AF603" t="str">
        <f>TRIM(PROPER(J:J))</f>
        <v>Office Supplies</v>
      </c>
      <c r="AG603" t="str">
        <f>TRIM(PROPER(K:K))</f>
        <v>Paper</v>
      </c>
      <c r="AH603" t="str">
        <f t="shared" si="17"/>
        <v>Basic Paper 452</v>
      </c>
      <c r="AI603" t="str">
        <f t="shared" si="17"/>
        <v>Second Class</v>
      </c>
      <c r="AJ603" s="3" t="str">
        <f t="shared" si="16"/>
        <v>Invalid</v>
      </c>
      <c r="AK603" t="str">
        <f>IFERROR(Y603-X603, "invalid date")</f>
        <v>invalid date</v>
      </c>
      <c r="AL603" s="10">
        <v>0.2</v>
      </c>
      <c r="AM603" s="11">
        <v>6460.12</v>
      </c>
      <c r="AN603" s="11">
        <v>2856.0899999999997</v>
      </c>
      <c r="AO603" s="10">
        <v>0.44211098245853014</v>
      </c>
      <c r="AP603" t="s">
        <v>4267</v>
      </c>
      <c r="AQ603" t="s">
        <v>4105</v>
      </c>
      <c r="AR603" t="s">
        <v>4153</v>
      </c>
      <c r="AS603" t="s">
        <v>4107</v>
      </c>
      <c r="AT603" t="s">
        <v>4108</v>
      </c>
      <c r="AU603" t="s">
        <v>4105</v>
      </c>
      <c r="AV603" t="s">
        <v>4109</v>
      </c>
    </row>
    <row r="604" spans="1:48">
      <c r="A604" t="s">
        <v>2883</v>
      </c>
      <c r="B604" t="s">
        <v>2884</v>
      </c>
      <c r="C604" t="s">
        <v>2885</v>
      </c>
      <c r="D604" t="s">
        <v>2886</v>
      </c>
      <c r="E604" t="s">
        <v>171</v>
      </c>
      <c r="F604" t="s">
        <v>35</v>
      </c>
      <c r="G604" t="s">
        <v>51</v>
      </c>
      <c r="H604" t="s">
        <v>322</v>
      </c>
      <c r="I604" t="s">
        <v>323</v>
      </c>
      <c r="J604" t="s">
        <v>95</v>
      </c>
      <c r="K604" t="s">
        <v>103</v>
      </c>
      <c r="L604" t="s">
        <v>2887</v>
      </c>
      <c r="M604" t="s">
        <v>42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43</v>
      </c>
      <c r="U604" t="s">
        <v>44</v>
      </c>
      <c r="W604" t="s">
        <v>2883</v>
      </c>
      <c r="X604" t="str">
        <v>23-10-24</v>
      </c>
      <c r="Y604" t="str">
        <v>30-10-24</v>
      </c>
      <c r="Z604" t="s">
        <v>2886</v>
      </c>
      <c r="AA604" t="str">
        <v>Aarav Sharma</v>
      </c>
      <c r="AB604" t="str">
        <f>TRIM(PROPER(F:F))</f>
        <v>Consumer</v>
      </c>
      <c r="AC604" t="str">
        <f>TRIM(PROPER(G:G))</f>
        <v>East</v>
      </c>
      <c r="AD604" t="str">
        <f>TRIM(PROPER(H:H))</f>
        <v>Jharkhand</v>
      </c>
      <c r="AE604" t="str">
        <f>TRIM(PROPER(I:I))</f>
        <v>Ranchi</v>
      </c>
      <c r="AF604" t="str">
        <f>TRIM(PROPER(J:J))</f>
        <v>Technology</v>
      </c>
      <c r="AG604" t="str">
        <f>TRIM(PROPER(K:K))</f>
        <v>Copiers</v>
      </c>
      <c r="AH604" t="str">
        <f t="shared" si="17"/>
        <v>Max Copiers 477</v>
      </c>
      <c r="AI604" t="str">
        <f t="shared" si="17"/>
        <v>Second Class</v>
      </c>
      <c r="AJ604" s="3" t="str">
        <f t="shared" si="16"/>
        <v>anomaly</v>
      </c>
      <c r="AK604">
        <f>IFERROR(Y604-X604, "invalid date")</f>
        <v>7</v>
      </c>
      <c r="AL604" s="10">
        <v>0.15</v>
      </c>
      <c r="AM604" s="11">
        <v>26192.223000000002</v>
      </c>
      <c r="AN604" s="11">
        <v>5396.6730000000025</v>
      </c>
      <c r="AO604" s="10">
        <v>0.20604104508426041</v>
      </c>
      <c r="AP604" t="s">
        <v>4636</v>
      </c>
      <c r="AQ604" t="s">
        <v>4218</v>
      </c>
      <c r="AR604" t="s">
        <v>4126</v>
      </c>
      <c r="AS604" t="s">
        <v>4107</v>
      </c>
      <c r="AT604" t="s">
        <v>4115</v>
      </c>
      <c r="AU604">
        <v>7</v>
      </c>
      <c r="AV604" t="s">
        <v>4109</v>
      </c>
    </row>
    <row r="605" spans="1:48">
      <c r="A605" t="s">
        <v>2888</v>
      </c>
      <c r="B605" t="s">
        <v>2889</v>
      </c>
      <c r="C605" t="s">
        <v>603</v>
      </c>
      <c r="D605" t="s">
        <v>491</v>
      </c>
      <c r="E605" t="s">
        <v>92</v>
      </c>
      <c r="F605" t="s">
        <v>117</v>
      </c>
      <c r="G605" t="s">
        <v>51</v>
      </c>
      <c r="H605" t="s">
        <v>196</v>
      </c>
      <c r="I605" t="s">
        <v>197</v>
      </c>
      <c r="J605" t="s">
        <v>95</v>
      </c>
      <c r="K605" t="s">
        <v>96</v>
      </c>
      <c r="L605" t="s">
        <v>2890</v>
      </c>
      <c r="M605" t="s">
        <v>65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146</v>
      </c>
      <c r="U605" t="s">
        <v>87</v>
      </c>
      <c r="W605" t="s">
        <v>2888</v>
      </c>
      <c r="X605" t="str">
        <v>01-03-25</v>
      </c>
      <c r="Y605" t="str">
        <v>11-01-25</v>
      </c>
      <c r="Z605" t="s">
        <v>491</v>
      </c>
      <c r="AA605" t="str">
        <v>Vikram Iyer</v>
      </c>
      <c r="AB605" t="str">
        <f>TRIM(PROPER(F:F))</f>
        <v>Corporate</v>
      </c>
      <c r="AC605" t="str">
        <f>TRIM(PROPER(G:G))</f>
        <v>East</v>
      </c>
      <c r="AD605" t="str">
        <f>TRIM(PROPER(H:H))</f>
        <v>Bihar</v>
      </c>
      <c r="AE605" t="str">
        <f>TRIM(PROPER(I:I))</f>
        <v>Patna</v>
      </c>
      <c r="AF605" t="str">
        <f>TRIM(PROPER(J:J))</f>
        <v>Technology</v>
      </c>
      <c r="AG605" t="str">
        <f>TRIM(PROPER(K:K))</f>
        <v>Accessories</v>
      </c>
      <c r="AH605" t="str">
        <f t="shared" si="17"/>
        <v>Prime Accessories 300</v>
      </c>
      <c r="AI605" t="str">
        <f t="shared" si="17"/>
        <v>First Class</v>
      </c>
      <c r="AJ605" s="3" t="str">
        <f t="shared" si="16"/>
        <v>anomaly</v>
      </c>
      <c r="AK605">
        <f>IFERROR(Y605-X605, "invalid date")</f>
        <v>-49</v>
      </c>
      <c r="AL605" s="10">
        <v>0.05</v>
      </c>
      <c r="AM605" s="11">
        <v>19564.603999999999</v>
      </c>
      <c r="AN605" s="11">
        <v>8410.0139999999992</v>
      </c>
      <c r="AO605" s="10">
        <v>0.42985863654587642</v>
      </c>
      <c r="AP605" t="s">
        <v>4235</v>
      </c>
      <c r="AQ605" t="s">
        <v>4269</v>
      </c>
      <c r="AR605" t="s">
        <v>4159</v>
      </c>
      <c r="AS605" t="s">
        <v>4120</v>
      </c>
      <c r="AT605" t="s">
        <v>4115</v>
      </c>
      <c r="AU605">
        <v>-49</v>
      </c>
      <c r="AV605" t="s">
        <v>4109</v>
      </c>
    </row>
    <row r="606" spans="1:48">
      <c r="A606" t="s">
        <v>2891</v>
      </c>
      <c r="B606" t="s">
        <v>2892</v>
      </c>
      <c r="C606" t="s">
        <v>2893</v>
      </c>
      <c r="D606" t="s">
        <v>2894</v>
      </c>
      <c r="E606" t="s">
        <v>81</v>
      </c>
      <c r="F606" t="s">
        <v>35</v>
      </c>
      <c r="G606" t="s">
        <v>82</v>
      </c>
      <c r="H606" t="s">
        <v>93</v>
      </c>
      <c r="I606" t="s">
        <v>94</v>
      </c>
      <c r="J606" t="s">
        <v>39</v>
      </c>
      <c r="K606" t="s">
        <v>208</v>
      </c>
      <c r="L606" t="s">
        <v>2895</v>
      </c>
      <c r="M606" t="s">
        <v>57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43</v>
      </c>
      <c r="U606" t="s">
        <v>44</v>
      </c>
      <c r="W606" t="s">
        <v>2891</v>
      </c>
      <c r="X606" t="str">
        <v>05-02-25</v>
      </c>
      <c r="Y606" t="str">
        <v>02-06-25</v>
      </c>
      <c r="Z606" t="s">
        <v>2894</v>
      </c>
      <c r="AA606" t="str">
        <v>Ananya Rao</v>
      </c>
      <c r="AB606" t="str">
        <f>TRIM(PROPER(F:F))</f>
        <v>Consumer</v>
      </c>
      <c r="AC606" t="str">
        <f>TRIM(PROPER(G:G))</f>
        <v>West</v>
      </c>
      <c r="AD606" t="str">
        <f>TRIM(PROPER(H:H))</f>
        <v>Madhya Pradesh</v>
      </c>
      <c r="AE606" t="str">
        <f>TRIM(PROPER(I:I))</f>
        <v>Indore</v>
      </c>
      <c r="AF606" t="str">
        <f>TRIM(PROPER(J:J))</f>
        <v>Office Supplies</v>
      </c>
      <c r="AG606" t="str">
        <f>TRIM(PROPER(K:K))</f>
        <v>Binders</v>
      </c>
      <c r="AH606" t="str">
        <f t="shared" si="17"/>
        <v>Max Binders 547</v>
      </c>
      <c r="AI606" t="str">
        <f t="shared" si="17"/>
        <v>Same Day</v>
      </c>
      <c r="AJ606" s="3" t="str">
        <f t="shared" si="16"/>
        <v xml:space="preserve">  </v>
      </c>
      <c r="AK606">
        <f>IFERROR(Y606-X606, "invalid date")</f>
        <v>117</v>
      </c>
      <c r="AL606" s="10">
        <v>0</v>
      </c>
      <c r="AM606" s="11">
        <v>3228.8999999999996</v>
      </c>
      <c r="AN606" s="11">
        <v>1375.6699999999996</v>
      </c>
      <c r="AO606" s="10">
        <v>0.42604911889497965</v>
      </c>
      <c r="AP606" t="s">
        <v>4175</v>
      </c>
      <c r="AQ606" t="s">
        <v>4207</v>
      </c>
      <c r="AR606" t="s">
        <v>4129</v>
      </c>
      <c r="AS606" t="s">
        <v>4120</v>
      </c>
      <c r="AT606" t="s">
        <v>4121</v>
      </c>
      <c r="AU606">
        <v>117</v>
      </c>
      <c r="AV606" t="s">
        <v>4109</v>
      </c>
    </row>
    <row r="607" spans="1:48">
      <c r="A607" t="s">
        <v>2896</v>
      </c>
      <c r="B607" t="s">
        <v>2622</v>
      </c>
      <c r="C607" t="s">
        <v>2897</v>
      </c>
      <c r="D607" t="s">
        <v>2898</v>
      </c>
      <c r="E607" t="s">
        <v>377</v>
      </c>
      <c r="F607" t="s">
        <v>117</v>
      </c>
      <c r="G607" t="s">
        <v>82</v>
      </c>
      <c r="H607" t="s">
        <v>259</v>
      </c>
      <c r="I607" t="s">
        <v>260</v>
      </c>
      <c r="J607" t="s">
        <v>54</v>
      </c>
      <c r="K607" t="s">
        <v>74</v>
      </c>
      <c r="L607" t="s">
        <v>2899</v>
      </c>
      <c r="M607" t="s">
        <v>42</v>
      </c>
      <c r="N607">
        <v>5</v>
      </c>
      <c r="O607">
        <v>1680.01</v>
      </c>
      <c r="P607" s="5" t="s">
        <v>191</v>
      </c>
      <c r="Q607">
        <v>7560.04</v>
      </c>
      <c r="R607">
        <v>6448.05</v>
      </c>
      <c r="S607">
        <v>1111.99</v>
      </c>
      <c r="T607" t="s">
        <v>43</v>
      </c>
      <c r="U607" t="s">
        <v>87</v>
      </c>
      <c r="W607" t="s">
        <v>2896</v>
      </c>
      <c r="X607" t="str">
        <v>09-07-25</v>
      </c>
      <c r="Y607" t="str">
        <v>13-07-25</v>
      </c>
      <c r="Z607" t="s">
        <v>2898</v>
      </c>
      <c r="AA607" t="str">
        <v>Kabir Singh</v>
      </c>
      <c r="AB607" t="str">
        <f>TRIM(PROPER(F:F))</f>
        <v>Corporate</v>
      </c>
      <c r="AC607" t="str">
        <f>TRIM(PROPER(G:G))</f>
        <v>West</v>
      </c>
      <c r="AD607" t="str">
        <f>TRIM(PROPER(H:H))</f>
        <v>Goa</v>
      </c>
      <c r="AE607" t="str">
        <f>TRIM(PROPER(I:I))</f>
        <v>Panaji</v>
      </c>
      <c r="AF607" t="str">
        <f>TRIM(PROPER(J:J))</f>
        <v>Furniture</v>
      </c>
      <c r="AG607" t="str">
        <f>TRIM(PROPER(K:K))</f>
        <v>Furnishings</v>
      </c>
      <c r="AH607" t="str">
        <f t="shared" si="17"/>
        <v>Pro Furnishings 267</v>
      </c>
      <c r="AI607" t="str">
        <f t="shared" si="17"/>
        <v>Second Class</v>
      </c>
      <c r="AJ607" s="3" t="str">
        <f t="shared" si="16"/>
        <v>anomaly</v>
      </c>
      <c r="AK607">
        <f>IFERROR(Y607-X607, "invalid date")</f>
        <v>4</v>
      </c>
      <c r="AL607" s="10" t="s">
        <v>191</v>
      </c>
      <c r="AM607" s="11" t="s">
        <v>4111</v>
      </c>
      <c r="AN607" s="11" t="s">
        <v>4111</v>
      </c>
      <c r="AO607" s="10" t="s">
        <v>4111</v>
      </c>
      <c r="AP607" t="s">
        <v>4608</v>
      </c>
      <c r="AQ607" t="s">
        <v>4637</v>
      </c>
      <c r="AR607" t="s">
        <v>4106</v>
      </c>
      <c r="AS607" t="s">
        <v>4120</v>
      </c>
      <c r="AT607" t="s">
        <v>4115</v>
      </c>
      <c r="AU607">
        <v>4</v>
      </c>
      <c r="AV607" t="s">
        <v>4109</v>
      </c>
    </row>
    <row r="608" spans="1:48">
      <c r="A608" t="s">
        <v>2900</v>
      </c>
      <c r="B608" t="s">
        <v>2901</v>
      </c>
      <c r="C608" t="s">
        <v>2537</v>
      </c>
      <c r="D608" t="s">
        <v>2902</v>
      </c>
      <c r="E608" t="s">
        <v>157</v>
      </c>
      <c r="F608" t="s">
        <v>124</v>
      </c>
      <c r="G608" t="s">
        <v>82</v>
      </c>
      <c r="H608" t="s">
        <v>93</v>
      </c>
      <c r="I608" t="s">
        <v>94</v>
      </c>
      <c r="J608" t="s">
        <v>95</v>
      </c>
      <c r="K608" t="s">
        <v>103</v>
      </c>
      <c r="L608" t="s">
        <v>2903</v>
      </c>
      <c r="M608" t="s">
        <v>57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43</v>
      </c>
      <c r="U608" t="s">
        <v>44</v>
      </c>
      <c r="W608" t="s">
        <v>2900</v>
      </c>
      <c r="X608" t="str">
        <v>22-02-25</v>
      </c>
      <c r="Y608" t="str">
        <v>invalid date</v>
      </c>
      <c r="Z608" t="s">
        <v>2902</v>
      </c>
      <c r="AA608" t="str">
        <v>Rahul Verma</v>
      </c>
      <c r="AB608" t="str">
        <f>TRIM(PROPER(F:F))</f>
        <v>Home Office</v>
      </c>
      <c r="AC608" t="str">
        <f>TRIM(PROPER(G:G))</f>
        <v>West</v>
      </c>
      <c r="AD608" t="str">
        <f>TRIM(PROPER(H:H))</f>
        <v>Madhya Pradesh</v>
      </c>
      <c r="AE608" t="str">
        <f>TRIM(PROPER(I:I))</f>
        <v>Indore</v>
      </c>
      <c r="AF608" t="str">
        <f>TRIM(PROPER(J:J))</f>
        <v>Technology</v>
      </c>
      <c r="AG608" t="str">
        <f>TRIM(PROPER(K:K))</f>
        <v>Copiers</v>
      </c>
      <c r="AH608" t="str">
        <f t="shared" si="17"/>
        <v>Max Copiers 520</v>
      </c>
      <c r="AI608" t="str">
        <f t="shared" si="17"/>
        <v>Same Day</v>
      </c>
      <c r="AJ608" s="3" t="str">
        <f t="shared" si="16"/>
        <v>Invalid</v>
      </c>
      <c r="AK608" t="str">
        <f>IFERROR(Y608-X608, "invalid date")</f>
        <v>invalid date</v>
      </c>
      <c r="AL608" s="10">
        <v>0.25</v>
      </c>
      <c r="AM608" s="11">
        <v>8754.3225000000002</v>
      </c>
      <c r="AN608" s="11">
        <v>2515.4225000000006</v>
      </c>
      <c r="AO608" s="10">
        <v>0.28733491369549163</v>
      </c>
      <c r="AP608" t="s">
        <v>4486</v>
      </c>
      <c r="AQ608" t="s">
        <v>4105</v>
      </c>
      <c r="AR608" t="s">
        <v>4129</v>
      </c>
      <c r="AS608" t="s">
        <v>4120</v>
      </c>
      <c r="AT608" t="s">
        <v>4108</v>
      </c>
      <c r="AU608" t="s">
        <v>4105</v>
      </c>
      <c r="AV608" t="s">
        <v>4109</v>
      </c>
    </row>
    <row r="609" spans="1:48">
      <c r="A609" t="s">
        <v>2904</v>
      </c>
      <c r="B609" t="s">
        <v>2855</v>
      </c>
      <c r="C609" t="s">
        <v>2901</v>
      </c>
      <c r="D609" t="s">
        <v>2905</v>
      </c>
      <c r="E609" t="s">
        <v>177</v>
      </c>
      <c r="F609" t="s">
        <v>124</v>
      </c>
      <c r="G609" t="s">
        <v>51</v>
      </c>
      <c r="H609" t="s">
        <v>196</v>
      </c>
      <c r="I609" t="s">
        <v>197</v>
      </c>
      <c r="J609" t="s">
        <v>39</v>
      </c>
      <c r="K609" t="s">
        <v>165</v>
      </c>
      <c r="L609" t="s">
        <v>2906</v>
      </c>
      <c r="M609" t="s">
        <v>57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43</v>
      </c>
      <c r="U609" t="s">
        <v>44</v>
      </c>
      <c r="W609" t="s">
        <v>2904</v>
      </c>
      <c r="X609" t="str">
        <v>16-02-25</v>
      </c>
      <c r="Y609" t="str">
        <v>22-02-25</v>
      </c>
      <c r="Z609" t="s">
        <v>2905</v>
      </c>
      <c r="AA609" t="str">
        <v>Sneha Kapoor</v>
      </c>
      <c r="AB609" t="str">
        <f>TRIM(PROPER(F:F))</f>
        <v>Home Office</v>
      </c>
      <c r="AC609" t="str">
        <f>TRIM(PROPER(G:G))</f>
        <v>East</v>
      </c>
      <c r="AD609" t="str">
        <f>TRIM(PROPER(H:H))</f>
        <v>Bihar</v>
      </c>
      <c r="AE609" t="str">
        <f>TRIM(PROPER(I:I))</f>
        <v>Patna</v>
      </c>
      <c r="AF609" t="str">
        <f>TRIM(PROPER(J:J))</f>
        <v>Office Supplies</v>
      </c>
      <c r="AG609" t="str">
        <f>TRIM(PROPER(K:K))</f>
        <v>Storage</v>
      </c>
      <c r="AH609" t="str">
        <f t="shared" si="17"/>
        <v>Max Storage 424</v>
      </c>
      <c r="AI609" t="str">
        <f t="shared" si="17"/>
        <v>Same Day</v>
      </c>
      <c r="AJ609" s="3" t="str">
        <f t="shared" si="16"/>
        <v>anomaly</v>
      </c>
      <c r="AK609">
        <f>IFERROR(Y609-X609, "invalid date")</f>
        <v>6</v>
      </c>
      <c r="AL609" s="10">
        <v>0.15</v>
      </c>
      <c r="AM609" s="11">
        <v>4057.3474999999994</v>
      </c>
      <c r="AN609" s="11">
        <v>1195.3174999999992</v>
      </c>
      <c r="AO609" s="10">
        <v>0.29460565061286947</v>
      </c>
      <c r="AP609" t="s">
        <v>4634</v>
      </c>
      <c r="AQ609" t="s">
        <v>4486</v>
      </c>
      <c r="AR609" t="s">
        <v>4129</v>
      </c>
      <c r="AS609" t="s">
        <v>4120</v>
      </c>
      <c r="AT609" t="s">
        <v>4115</v>
      </c>
      <c r="AU609">
        <v>6</v>
      </c>
      <c r="AV609" t="s">
        <v>4109</v>
      </c>
    </row>
    <row r="610" spans="1:48">
      <c r="A610" t="s">
        <v>2907</v>
      </c>
      <c r="B610" t="s">
        <v>2161</v>
      </c>
      <c r="C610" t="s">
        <v>1562</v>
      </c>
      <c r="D610" t="s">
        <v>2583</v>
      </c>
      <c r="E610" t="s">
        <v>34</v>
      </c>
      <c r="F610" t="s">
        <v>124</v>
      </c>
      <c r="G610" t="s">
        <v>82</v>
      </c>
      <c r="H610" t="s">
        <v>259</v>
      </c>
      <c r="I610" t="s">
        <v>260</v>
      </c>
      <c r="J610" t="s">
        <v>54</v>
      </c>
      <c r="K610" t="s">
        <v>74</v>
      </c>
      <c r="L610" t="s">
        <v>2908</v>
      </c>
      <c r="M610" t="s">
        <v>42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43</v>
      </c>
      <c r="U610" t="s">
        <v>44</v>
      </c>
      <c r="W610" t="s">
        <v>2907</v>
      </c>
      <c r="X610" t="str">
        <v>21-06-24</v>
      </c>
      <c r="Y610" t="str">
        <v>23-06-24</v>
      </c>
      <c r="Z610" t="s">
        <v>2583</v>
      </c>
      <c r="AA610" t="str">
        <v>Karan Malhotra</v>
      </c>
      <c r="AB610" t="str">
        <f>TRIM(PROPER(F:F))</f>
        <v>Home Office</v>
      </c>
      <c r="AC610" t="str">
        <f>TRIM(PROPER(G:G))</f>
        <v>West</v>
      </c>
      <c r="AD610" t="str">
        <f>TRIM(PROPER(H:H))</f>
        <v>Goa</v>
      </c>
      <c r="AE610" t="str">
        <f>TRIM(PROPER(I:I))</f>
        <v>Panaji</v>
      </c>
      <c r="AF610" t="str">
        <f>TRIM(PROPER(J:J))</f>
        <v>Furniture</v>
      </c>
      <c r="AG610" t="str">
        <f>TRIM(PROPER(K:K))</f>
        <v>Furnishings</v>
      </c>
      <c r="AH610" t="str">
        <f t="shared" si="17"/>
        <v>Elite Furnishings 706</v>
      </c>
      <c r="AI610" t="str">
        <f t="shared" si="17"/>
        <v>Second Class</v>
      </c>
      <c r="AJ610" s="3" t="str">
        <f t="shared" si="16"/>
        <v>anomaly</v>
      </c>
      <c r="AK610">
        <f>IFERROR(Y610-X610, "invalid date")</f>
        <v>2</v>
      </c>
      <c r="AL610" s="10">
        <v>0</v>
      </c>
      <c r="AM610" s="11">
        <v>19383.75</v>
      </c>
      <c r="AN610" s="11">
        <v>7716.32</v>
      </c>
      <c r="AO610" s="10">
        <v>0.39808189849745274</v>
      </c>
      <c r="AP610" t="s">
        <v>4509</v>
      </c>
      <c r="AQ610" t="s">
        <v>4363</v>
      </c>
      <c r="AR610" t="s">
        <v>4170</v>
      </c>
      <c r="AS610" t="s">
        <v>4107</v>
      </c>
      <c r="AT610" t="s">
        <v>4115</v>
      </c>
      <c r="AU610">
        <v>2</v>
      </c>
      <c r="AV610" t="s">
        <v>4109</v>
      </c>
    </row>
    <row r="611" spans="1:48">
      <c r="A611" t="s">
        <v>2909</v>
      </c>
      <c r="B611" t="s">
        <v>2064</v>
      </c>
      <c r="C611" t="s">
        <v>1185</v>
      </c>
      <c r="D611" t="s">
        <v>2910</v>
      </c>
      <c r="E611" t="s">
        <v>177</v>
      </c>
      <c r="F611" t="s">
        <v>124</v>
      </c>
      <c r="G611" t="s">
        <v>71</v>
      </c>
      <c r="H611" t="s">
        <v>239</v>
      </c>
      <c r="I611" t="s">
        <v>240</v>
      </c>
      <c r="J611" t="s">
        <v>54</v>
      </c>
      <c r="K611" t="s">
        <v>85</v>
      </c>
      <c r="L611" t="s">
        <v>2911</v>
      </c>
      <c r="M611" t="s">
        <v>76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43</v>
      </c>
      <c r="U611" t="s">
        <v>44</v>
      </c>
      <c r="W611" t="s">
        <v>2909</v>
      </c>
      <c r="X611" t="str">
        <v>08-01-25</v>
      </c>
      <c r="Y611" t="str">
        <v>12-01-25</v>
      </c>
      <c r="Z611" t="s">
        <v>2910</v>
      </c>
      <c r="AA611" t="str">
        <v>Sneha Kapoor</v>
      </c>
      <c r="AB611" t="str">
        <f>TRIM(PROPER(F:F))</f>
        <v>Home Office</v>
      </c>
      <c r="AC611" t="str">
        <f>TRIM(PROPER(G:G))</f>
        <v>South</v>
      </c>
      <c r="AD611" t="str">
        <f>TRIM(PROPER(H:H))</f>
        <v>Karnataka</v>
      </c>
      <c r="AE611" t="str">
        <f>TRIM(PROPER(I:I))</f>
        <v>Bengaluru</v>
      </c>
      <c r="AF611" t="str">
        <f>TRIM(PROPER(J:J))</f>
        <v>Furniture</v>
      </c>
      <c r="AG611" t="str">
        <f>TRIM(PROPER(K:K))</f>
        <v>Chairs</v>
      </c>
      <c r="AH611" t="str">
        <f t="shared" si="17"/>
        <v>Pro Chairs 908</v>
      </c>
      <c r="AI611" t="str">
        <f t="shared" si="17"/>
        <v>Standard Class</v>
      </c>
      <c r="AJ611" s="3" t="str">
        <f t="shared" si="16"/>
        <v>anomaly</v>
      </c>
      <c r="AK611">
        <f>IFERROR(Y611-X611, "invalid date")</f>
        <v>4</v>
      </c>
      <c r="AL611" s="10">
        <v>0</v>
      </c>
      <c r="AM611" s="11">
        <v>30362.359999999997</v>
      </c>
      <c r="AN611" s="11">
        <v>5296.9599999999955</v>
      </c>
      <c r="AO611" s="10">
        <v>0.17445811195177174</v>
      </c>
      <c r="AP611" t="s">
        <v>4321</v>
      </c>
      <c r="AQ611" t="s">
        <v>4389</v>
      </c>
      <c r="AR611" t="s">
        <v>4153</v>
      </c>
      <c r="AS611" t="s">
        <v>4120</v>
      </c>
      <c r="AT611" t="s">
        <v>4115</v>
      </c>
      <c r="AU611">
        <v>4</v>
      </c>
      <c r="AV611" t="s">
        <v>4109</v>
      </c>
    </row>
    <row r="612" spans="1:48">
      <c r="A612" t="s">
        <v>2912</v>
      </c>
      <c r="B612" t="s">
        <v>2913</v>
      </c>
      <c r="C612" t="s">
        <v>2914</v>
      </c>
      <c r="D612" t="s">
        <v>2089</v>
      </c>
      <c r="E612" t="s">
        <v>34</v>
      </c>
      <c r="F612" t="s">
        <v>124</v>
      </c>
      <c r="G612" t="s">
        <v>82</v>
      </c>
      <c r="H612" t="s">
        <v>93</v>
      </c>
      <c r="I612" t="s">
        <v>94</v>
      </c>
      <c r="J612" t="s">
        <v>54</v>
      </c>
      <c r="K612" t="s">
        <v>85</v>
      </c>
      <c r="L612" t="s">
        <v>2915</v>
      </c>
      <c r="M612" t="s">
        <v>76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43</v>
      </c>
      <c r="U612" t="s">
        <v>44</v>
      </c>
      <c r="W612" t="s">
        <v>2912</v>
      </c>
      <c r="X612" t="str">
        <v>20-05-24</v>
      </c>
      <c r="Y612" t="str">
        <v>invalid date</v>
      </c>
      <c r="Z612" t="s">
        <v>2089</v>
      </c>
      <c r="AA612" t="str">
        <v>Karan Malhotra</v>
      </c>
      <c r="AB612" t="str">
        <f>TRIM(PROPER(F:F))</f>
        <v>Home Office</v>
      </c>
      <c r="AC612" t="str">
        <f>TRIM(PROPER(G:G))</f>
        <v>West</v>
      </c>
      <c r="AD612" t="str">
        <f>TRIM(PROPER(H:H))</f>
        <v>Madhya Pradesh</v>
      </c>
      <c r="AE612" t="str">
        <f>TRIM(PROPER(I:I))</f>
        <v>Indore</v>
      </c>
      <c r="AF612" t="str">
        <f>TRIM(PROPER(J:J))</f>
        <v>Furniture</v>
      </c>
      <c r="AG612" t="str">
        <f>TRIM(PROPER(K:K))</f>
        <v>Chairs</v>
      </c>
      <c r="AH612" t="str">
        <f t="shared" si="17"/>
        <v>Pro Chairs 712</v>
      </c>
      <c r="AI612" t="str">
        <f t="shared" si="17"/>
        <v>Standard Class</v>
      </c>
      <c r="AJ612" s="3" t="str">
        <f t="shared" si="16"/>
        <v>Invalid</v>
      </c>
      <c r="AK612" t="str">
        <f>IFERROR(Y612-X612, "invalid date")</f>
        <v>invalid date</v>
      </c>
      <c r="AL612" s="10">
        <v>0.1</v>
      </c>
      <c r="AM612" s="11">
        <v>2729.6549999999997</v>
      </c>
      <c r="AN612" s="11">
        <v>1014.2949999999998</v>
      </c>
      <c r="AO612" s="10">
        <v>0.37158358840219735</v>
      </c>
      <c r="AP612" t="s">
        <v>4638</v>
      </c>
      <c r="AQ612" t="s">
        <v>4105</v>
      </c>
      <c r="AR612" t="s">
        <v>4124</v>
      </c>
      <c r="AS612" t="s">
        <v>4107</v>
      </c>
      <c r="AT612" t="s">
        <v>4108</v>
      </c>
      <c r="AU612" t="s">
        <v>4105</v>
      </c>
      <c r="AV612" t="s">
        <v>4109</v>
      </c>
    </row>
    <row r="613" spans="1:48">
      <c r="A613" t="s">
        <v>2916</v>
      </c>
      <c r="B613" t="s">
        <v>2621</v>
      </c>
      <c r="C613" t="s">
        <v>2917</v>
      </c>
      <c r="D613" t="s">
        <v>2918</v>
      </c>
      <c r="E613" t="s">
        <v>81</v>
      </c>
      <c r="F613" t="s">
        <v>50</v>
      </c>
      <c r="G613" t="s">
        <v>36</v>
      </c>
      <c r="H613" t="s">
        <v>37</v>
      </c>
      <c r="I613" t="s">
        <v>38</v>
      </c>
      <c r="J613" t="s">
        <v>39</v>
      </c>
      <c r="K613" t="s">
        <v>208</v>
      </c>
      <c r="L613" t="s">
        <v>2919</v>
      </c>
      <c r="M613" t="s">
        <v>57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43</v>
      </c>
      <c r="U613" t="s">
        <v>44</v>
      </c>
      <c r="W613" t="s">
        <v>2916</v>
      </c>
      <c r="X613" t="str">
        <v>08-07-25</v>
      </c>
      <c r="Y613" t="str">
        <v>15-07-25</v>
      </c>
      <c r="Z613" t="s">
        <v>2918</v>
      </c>
      <c r="AA613" t="str">
        <v>Ananya Rao</v>
      </c>
      <c r="AB613" t="str">
        <f>TRIM(PROPER(F:F))</f>
        <v>Small Business</v>
      </c>
      <c r="AC613" t="str">
        <f>TRIM(PROPER(G:G))</f>
        <v>North</v>
      </c>
      <c r="AD613" t="str">
        <f>TRIM(PROPER(H:H))</f>
        <v>Rajasthan</v>
      </c>
      <c r="AE613" t="str">
        <f>TRIM(PROPER(I:I))</f>
        <v>Jaipur</v>
      </c>
      <c r="AF613" t="str">
        <f>TRIM(PROPER(J:J))</f>
        <v>Office Supplies</v>
      </c>
      <c r="AG613" t="str">
        <f>TRIM(PROPER(K:K))</f>
        <v>Binders</v>
      </c>
      <c r="AH613" t="str">
        <f t="shared" si="17"/>
        <v>Max Binders 785</v>
      </c>
      <c r="AI613" t="str">
        <f t="shared" si="17"/>
        <v>Same Day</v>
      </c>
      <c r="AJ613" s="3" t="str">
        <f t="shared" si="16"/>
        <v>anomaly</v>
      </c>
      <c r="AK613">
        <f>IFERROR(Y613-X613, "invalid date")</f>
        <v>7</v>
      </c>
      <c r="AL613" s="10">
        <v>0.1</v>
      </c>
      <c r="AM613" s="11">
        <v>4718.0159999999996</v>
      </c>
      <c r="AN613" s="11">
        <v>809.7859999999996</v>
      </c>
      <c r="AO613" s="10">
        <v>0.17163697622051297</v>
      </c>
      <c r="AP613" t="s">
        <v>4607</v>
      </c>
      <c r="AQ613" t="s">
        <v>4639</v>
      </c>
      <c r="AR613" t="s">
        <v>4106</v>
      </c>
      <c r="AS613" t="s">
        <v>4120</v>
      </c>
      <c r="AT613" t="s">
        <v>4115</v>
      </c>
      <c r="AU613">
        <v>7</v>
      </c>
      <c r="AV613" t="s">
        <v>4109</v>
      </c>
    </row>
    <row r="614" spans="1:48">
      <c r="A614" t="s">
        <v>2920</v>
      </c>
      <c r="B614" t="s">
        <v>2921</v>
      </c>
      <c r="C614" t="s">
        <v>2922</v>
      </c>
      <c r="D614" t="s">
        <v>2923</v>
      </c>
      <c r="E614" t="s">
        <v>116</v>
      </c>
      <c r="F614" t="s">
        <v>35</v>
      </c>
      <c r="H614" t="s">
        <v>52</v>
      </c>
      <c r="I614" t="s">
        <v>53</v>
      </c>
      <c r="J614" t="s">
        <v>95</v>
      </c>
      <c r="K614" t="s">
        <v>233</v>
      </c>
      <c r="L614" t="s">
        <v>2924</v>
      </c>
      <c r="M614" t="s">
        <v>76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43</v>
      </c>
      <c r="U614" t="s">
        <v>44</v>
      </c>
      <c r="W614" t="s">
        <v>2920</v>
      </c>
      <c r="X614" t="str">
        <v>06-04-25</v>
      </c>
      <c r="Y614" t="str">
        <v>13-04-25</v>
      </c>
      <c r="Z614" t="s">
        <v>2923</v>
      </c>
      <c r="AA614" t="str">
        <v>Aditi Sen</v>
      </c>
      <c r="AB614" t="str">
        <f>TRIM(PROPER(F:F))</f>
        <v>Consumer</v>
      </c>
      <c r="AC614" s="4" t="s">
        <v>282</v>
      </c>
      <c r="AD614" t="str">
        <f>TRIM(PROPER(H:H))</f>
        <v>Odisha</v>
      </c>
      <c r="AE614" t="str">
        <f>TRIM(PROPER(I:I))</f>
        <v>Bhubaneswar</v>
      </c>
      <c r="AF614" t="str">
        <f>TRIM(PROPER(J:J))</f>
        <v>Technology</v>
      </c>
      <c r="AG614" t="str">
        <f>TRIM(PROPER(K:K))</f>
        <v>Phones</v>
      </c>
      <c r="AH614" t="str">
        <f t="shared" si="17"/>
        <v>Elite Phones 239</v>
      </c>
      <c r="AI614" t="str">
        <f t="shared" si="17"/>
        <v>Standard Class</v>
      </c>
      <c r="AJ614" s="3" t="str">
        <f t="shared" si="16"/>
        <v>anomaly</v>
      </c>
      <c r="AK614">
        <f>IFERROR(Y614-X614, "invalid date")</f>
        <v>7</v>
      </c>
      <c r="AL614" s="10">
        <v>0</v>
      </c>
      <c r="AM614" s="11">
        <v>3844.01</v>
      </c>
      <c r="AN614" s="11">
        <v>1648.2200000000003</v>
      </c>
      <c r="AO614" s="10">
        <v>0.42877619985379856</v>
      </c>
      <c r="AP614" t="s">
        <v>4417</v>
      </c>
      <c r="AQ614" t="s">
        <v>4513</v>
      </c>
      <c r="AR614" t="s">
        <v>4199</v>
      </c>
      <c r="AS614" t="s">
        <v>4120</v>
      </c>
      <c r="AT614" t="s">
        <v>4115</v>
      </c>
      <c r="AU614">
        <v>7</v>
      </c>
      <c r="AV614" t="s">
        <v>4109</v>
      </c>
    </row>
    <row r="615" spans="1:48">
      <c r="A615" t="s">
        <v>2925</v>
      </c>
      <c r="B615" t="s">
        <v>2457</v>
      </c>
      <c r="C615" t="s">
        <v>2926</v>
      </c>
      <c r="D615" t="s">
        <v>2927</v>
      </c>
      <c r="E615" t="s">
        <v>220</v>
      </c>
      <c r="F615" t="s">
        <v>124</v>
      </c>
      <c r="G615" t="s">
        <v>82</v>
      </c>
      <c r="H615" t="s">
        <v>245</v>
      </c>
      <c r="I615" t="s">
        <v>246</v>
      </c>
      <c r="J615" t="s">
        <v>95</v>
      </c>
      <c r="K615" t="s">
        <v>393</v>
      </c>
      <c r="L615" t="s">
        <v>2928</v>
      </c>
      <c r="M615" t="s">
        <v>57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43</v>
      </c>
      <c r="U615" t="s">
        <v>44</v>
      </c>
      <c r="W615" t="s">
        <v>2925</v>
      </c>
      <c r="X615" t="str">
        <v>05-10-24</v>
      </c>
      <c r="Y615" t="str">
        <v>10-10-24</v>
      </c>
      <c r="Z615" t="s">
        <v>2927</v>
      </c>
      <c r="AA615" t="str">
        <v>Diya Patel</v>
      </c>
      <c r="AB615" t="str">
        <f>TRIM(PROPER(F:F))</f>
        <v>Home Office</v>
      </c>
      <c r="AC615" t="str">
        <f>TRIM(PROPER(G:G))</f>
        <v>West</v>
      </c>
      <c r="AD615" t="str">
        <f>TRIM(PROPER(H:H))</f>
        <v>Gujarat</v>
      </c>
      <c r="AE615" t="str">
        <f>TRIM(PROPER(I:I))</f>
        <v>Ahmedabad</v>
      </c>
      <c r="AF615" t="str">
        <f>TRIM(PROPER(J:J))</f>
        <v>Technology</v>
      </c>
      <c r="AG615" t="str">
        <f>TRIM(PROPER(K:K))</f>
        <v>Machines</v>
      </c>
      <c r="AH615" t="str">
        <f t="shared" si="17"/>
        <v>Basic Machines 413</v>
      </c>
      <c r="AI615" t="str">
        <f t="shared" si="17"/>
        <v>Same Day</v>
      </c>
      <c r="AJ615" s="3" t="str">
        <f t="shared" si="16"/>
        <v>anomaly</v>
      </c>
      <c r="AK615">
        <f>IFERROR(Y615-X615, "invalid date")</f>
        <v>5</v>
      </c>
      <c r="AL615" s="10">
        <v>0.25</v>
      </c>
      <c r="AM615" s="11">
        <v>22688.775000000001</v>
      </c>
      <c r="AN615" s="11">
        <v>8016.3650000000016</v>
      </c>
      <c r="AO615" s="10">
        <v>0.35331854628555315</v>
      </c>
      <c r="AP615" t="s">
        <v>4588</v>
      </c>
      <c r="AQ615" t="s">
        <v>4184</v>
      </c>
      <c r="AR615" t="s">
        <v>4126</v>
      </c>
      <c r="AS615" t="s">
        <v>4107</v>
      </c>
      <c r="AT615" t="s">
        <v>4115</v>
      </c>
      <c r="AU615">
        <v>5</v>
      </c>
      <c r="AV615" t="s">
        <v>4109</v>
      </c>
    </row>
    <row r="616" spans="1:48">
      <c r="A616" t="s">
        <v>2929</v>
      </c>
      <c r="B616" t="s">
        <v>2315</v>
      </c>
      <c r="C616" t="s">
        <v>2930</v>
      </c>
      <c r="D616" t="s">
        <v>2931</v>
      </c>
      <c r="E616" t="s">
        <v>81</v>
      </c>
      <c r="F616" t="s">
        <v>124</v>
      </c>
      <c r="G616" t="s">
        <v>71</v>
      </c>
      <c r="H616" t="s">
        <v>72</v>
      </c>
      <c r="I616" t="s">
        <v>73</v>
      </c>
      <c r="J616" t="s">
        <v>54</v>
      </c>
      <c r="K616" t="s">
        <v>85</v>
      </c>
      <c r="L616" t="s">
        <v>2932</v>
      </c>
      <c r="M616" t="s">
        <v>76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133</v>
      </c>
      <c r="U616" t="s">
        <v>87</v>
      </c>
      <c r="W616" t="s">
        <v>2929</v>
      </c>
      <c r="X616" t="str">
        <v>11-02-24</v>
      </c>
      <c r="Y616" t="str">
        <v>19-02-24</v>
      </c>
      <c r="Z616" t="s">
        <v>2931</v>
      </c>
      <c r="AA616" t="str">
        <v>Ananya Rao</v>
      </c>
      <c r="AB616" t="str">
        <f>TRIM(PROPER(F:F))</f>
        <v>Home Office</v>
      </c>
      <c r="AC616" t="str">
        <f>TRIM(PROPER(G:G))</f>
        <v>South</v>
      </c>
      <c r="AD616" t="str">
        <f>TRIM(PROPER(H:H))</f>
        <v>Telangana</v>
      </c>
      <c r="AE616" t="str">
        <f>TRIM(PROPER(I:I))</f>
        <v>Hyderabad</v>
      </c>
      <c r="AF616" t="str">
        <f>TRIM(PROPER(J:J))</f>
        <v>Furniture</v>
      </c>
      <c r="AG616" t="str">
        <f>TRIM(PROPER(K:K))</f>
        <v>Chairs</v>
      </c>
      <c r="AH616" t="str">
        <f t="shared" si="17"/>
        <v>Elite Chairs 140</v>
      </c>
      <c r="AI616" t="str">
        <f t="shared" si="17"/>
        <v>Standard Class</v>
      </c>
      <c r="AJ616" s="3" t="str">
        <f t="shared" si="16"/>
        <v>anomaly</v>
      </c>
      <c r="AK616">
        <f>IFERROR(Y616-X616, "invalid date")</f>
        <v>8</v>
      </c>
      <c r="AL616" s="10">
        <v>0.25</v>
      </c>
      <c r="AM616" s="11">
        <v>20389.920000000002</v>
      </c>
      <c r="AN616" s="11">
        <v>3728.84</v>
      </c>
      <c r="AO616" s="10">
        <v>0.18287663708342161</v>
      </c>
      <c r="AP616" t="s">
        <v>4232</v>
      </c>
      <c r="AQ616" t="s">
        <v>4640</v>
      </c>
      <c r="AR616" t="s">
        <v>4129</v>
      </c>
      <c r="AS616" t="s">
        <v>4107</v>
      </c>
      <c r="AT616" t="s">
        <v>4115</v>
      </c>
      <c r="AU616">
        <v>8</v>
      </c>
      <c r="AV616" t="s">
        <v>4109</v>
      </c>
    </row>
    <row r="617" spans="1:48">
      <c r="A617" t="s">
        <v>2933</v>
      </c>
      <c r="B617" t="s">
        <v>2934</v>
      </c>
      <c r="C617" t="s">
        <v>2935</v>
      </c>
      <c r="D617" t="s">
        <v>2936</v>
      </c>
      <c r="E617" t="s">
        <v>157</v>
      </c>
      <c r="F617" t="s">
        <v>117</v>
      </c>
      <c r="G617" t="s">
        <v>71</v>
      </c>
      <c r="H617" t="s">
        <v>252</v>
      </c>
      <c r="I617" t="s">
        <v>253</v>
      </c>
      <c r="J617" t="s">
        <v>39</v>
      </c>
      <c r="K617" t="s">
        <v>63</v>
      </c>
      <c r="L617" t="s">
        <v>2937</v>
      </c>
      <c r="M617" t="s">
        <v>42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43</v>
      </c>
      <c r="U617" t="s">
        <v>44</v>
      </c>
      <c r="W617" t="s">
        <v>2933</v>
      </c>
      <c r="X617" t="str">
        <v>04-10-24</v>
      </c>
      <c r="Y617" t="str">
        <v>10-07-24</v>
      </c>
      <c r="Z617" t="s">
        <v>2936</v>
      </c>
      <c r="AA617" t="str">
        <v>Rahul Verma</v>
      </c>
      <c r="AB617" t="str">
        <f>TRIM(PROPER(F:F))</f>
        <v>Corporate</v>
      </c>
      <c r="AC617" t="str">
        <f>TRIM(PROPER(G:G))</f>
        <v>South</v>
      </c>
      <c r="AD617" t="str">
        <f>TRIM(PROPER(H:H))</f>
        <v>Kerala</v>
      </c>
      <c r="AE617" t="str">
        <f>TRIM(PROPER(I:I))</f>
        <v>Kochi</v>
      </c>
      <c r="AF617" t="str">
        <f>TRIM(PROPER(J:J))</f>
        <v>Office Supplies</v>
      </c>
      <c r="AG617" t="str">
        <f>TRIM(PROPER(K:K))</f>
        <v>Art</v>
      </c>
      <c r="AH617" t="str">
        <f t="shared" si="17"/>
        <v>Basic Art 771</v>
      </c>
      <c r="AI617" t="str">
        <f t="shared" si="17"/>
        <v>Second Class</v>
      </c>
      <c r="AJ617" s="3" t="str">
        <f t="shared" si="16"/>
        <v>anomaly</v>
      </c>
      <c r="AK617">
        <f>IFERROR(Y617-X617, "invalid date")</f>
        <v>-86</v>
      </c>
      <c r="AL617" s="10">
        <v>0.1</v>
      </c>
      <c r="AM617" s="11">
        <v>5659.884</v>
      </c>
      <c r="AN617" s="11">
        <v>1322.0940000000001</v>
      </c>
      <c r="AO617" s="10">
        <v>0.23359029973052453</v>
      </c>
      <c r="AP617" t="s">
        <v>4535</v>
      </c>
      <c r="AQ617" t="s">
        <v>4378</v>
      </c>
      <c r="AR617" t="s">
        <v>4126</v>
      </c>
      <c r="AS617" t="s">
        <v>4107</v>
      </c>
      <c r="AT617" t="s">
        <v>4115</v>
      </c>
      <c r="AU617">
        <v>-86</v>
      </c>
      <c r="AV617" t="s">
        <v>4109</v>
      </c>
    </row>
    <row r="618" spans="1:48">
      <c r="A618" t="s">
        <v>2938</v>
      </c>
      <c r="B618" t="s">
        <v>2939</v>
      </c>
      <c r="C618" t="s">
        <v>2870</v>
      </c>
      <c r="D618" t="s">
        <v>2940</v>
      </c>
      <c r="E618" t="s">
        <v>377</v>
      </c>
      <c r="F618" t="s">
        <v>35</v>
      </c>
      <c r="G618" t="s">
        <v>71</v>
      </c>
      <c r="H618" t="s">
        <v>72</v>
      </c>
      <c r="I618" t="s">
        <v>73</v>
      </c>
      <c r="J618" t="s">
        <v>39</v>
      </c>
      <c r="K618" t="s">
        <v>40</v>
      </c>
      <c r="L618" t="s">
        <v>2941</v>
      </c>
      <c r="M618" t="s">
        <v>76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43</v>
      </c>
      <c r="U618" t="s">
        <v>44</v>
      </c>
      <c r="W618" t="s">
        <v>2938</v>
      </c>
      <c r="X618" t="str">
        <v>16-08-24</v>
      </c>
      <c r="Y618" t="str">
        <v>19-08-24</v>
      </c>
      <c r="Z618" t="s">
        <v>2940</v>
      </c>
      <c r="AA618" t="str">
        <v>Kabir Singh</v>
      </c>
      <c r="AB618" t="str">
        <f>TRIM(PROPER(F:F))</f>
        <v>Consumer</v>
      </c>
      <c r="AC618" t="str">
        <f>TRIM(PROPER(G:G))</f>
        <v>South</v>
      </c>
      <c r="AD618" t="str">
        <f>TRIM(PROPER(H:H))</f>
        <v>Telangana</v>
      </c>
      <c r="AE618" t="str">
        <f>TRIM(PROPER(I:I))</f>
        <v>Hyderabad</v>
      </c>
      <c r="AF618" t="str">
        <f>TRIM(PROPER(J:J))</f>
        <v>Office Supplies</v>
      </c>
      <c r="AG618" t="str">
        <f>TRIM(PROPER(K:K))</f>
        <v>Paper</v>
      </c>
      <c r="AH618" t="str">
        <f t="shared" si="17"/>
        <v>Prime Paper 664</v>
      </c>
      <c r="AI618" t="str">
        <f t="shared" si="17"/>
        <v>Standard Class</v>
      </c>
      <c r="AJ618" s="3" t="str">
        <f t="shared" si="16"/>
        <v>anomaly</v>
      </c>
      <c r="AK618">
        <f>IFERROR(Y618-X618, "invalid date")</f>
        <v>3</v>
      </c>
      <c r="AL618" s="10">
        <v>0.2</v>
      </c>
      <c r="AM618" s="11">
        <v>18842.640000000003</v>
      </c>
      <c r="AN618" s="11">
        <v>7002.0600000000031</v>
      </c>
      <c r="AO618" s="10">
        <v>0.37160716332743193</v>
      </c>
      <c r="AP618" t="s">
        <v>4641</v>
      </c>
      <c r="AQ618" t="s">
        <v>4623</v>
      </c>
      <c r="AR618" t="s">
        <v>4114</v>
      </c>
      <c r="AS618" t="s">
        <v>4107</v>
      </c>
      <c r="AT618" t="s">
        <v>4115</v>
      </c>
      <c r="AU618">
        <v>3</v>
      </c>
      <c r="AV618" t="s">
        <v>4109</v>
      </c>
    </row>
    <row r="619" spans="1:48">
      <c r="A619" t="s">
        <v>2942</v>
      </c>
      <c r="B619" t="s">
        <v>2943</v>
      </c>
      <c r="C619" t="s">
        <v>984</v>
      </c>
      <c r="D619" t="s">
        <v>2944</v>
      </c>
      <c r="E619" t="s">
        <v>49</v>
      </c>
      <c r="F619" t="s">
        <v>124</v>
      </c>
      <c r="G619" t="s">
        <v>71</v>
      </c>
      <c r="H619" t="s">
        <v>72</v>
      </c>
      <c r="I619" t="s">
        <v>73</v>
      </c>
      <c r="J619" t="s">
        <v>95</v>
      </c>
      <c r="K619" t="s">
        <v>233</v>
      </c>
      <c r="L619" t="s">
        <v>2945</v>
      </c>
      <c r="M619" t="s">
        <v>76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43</v>
      </c>
      <c r="U619" t="s">
        <v>44</v>
      </c>
      <c r="W619" t="s">
        <v>2942</v>
      </c>
      <c r="X619" t="str">
        <v>invalid date</v>
      </c>
      <c r="Y619" t="str">
        <v>30-09-24</v>
      </c>
      <c r="Z619" t="s">
        <v>2944</v>
      </c>
      <c r="AA619" t="str">
        <v>Mira Das</v>
      </c>
      <c r="AB619" t="str">
        <f>TRIM(PROPER(F:F))</f>
        <v>Home Office</v>
      </c>
      <c r="AC619" t="str">
        <f>TRIM(PROPER(G:G))</f>
        <v>South</v>
      </c>
      <c r="AD619" t="str">
        <f>TRIM(PROPER(H:H))</f>
        <v>Telangana</v>
      </c>
      <c r="AE619" t="str">
        <f>TRIM(PROPER(I:I))</f>
        <v>Hyderabad</v>
      </c>
      <c r="AF619" t="str">
        <f>TRIM(PROPER(J:J))</f>
        <v>Technology</v>
      </c>
      <c r="AG619" t="str">
        <f>TRIM(PROPER(K:K))</f>
        <v>Phones</v>
      </c>
      <c r="AH619" t="str">
        <f t="shared" si="17"/>
        <v>Pro Phones 226</v>
      </c>
      <c r="AI619" t="str">
        <f t="shared" si="17"/>
        <v>Standard Class</v>
      </c>
      <c r="AJ619" s="3" t="str">
        <f t="shared" si="16"/>
        <v>Invalid</v>
      </c>
      <c r="AK619" t="str">
        <f>IFERROR(Y619-X619, "invalid date")</f>
        <v>invalid date</v>
      </c>
      <c r="AL619" s="10">
        <v>0</v>
      </c>
      <c r="AM619" s="11">
        <v>24677.19</v>
      </c>
      <c r="AN619" s="11">
        <v>4326.34</v>
      </c>
      <c r="AO619" s="10">
        <v>0.17531736798233513</v>
      </c>
      <c r="AP619" t="s">
        <v>4105</v>
      </c>
      <c r="AQ619" t="s">
        <v>4288</v>
      </c>
      <c r="AR619" t="s">
        <v>4105</v>
      </c>
      <c r="AS619" t="s">
        <v>4105</v>
      </c>
      <c r="AT619" t="s">
        <v>4108</v>
      </c>
      <c r="AU619" t="s">
        <v>4105</v>
      </c>
      <c r="AV619" t="s">
        <v>4109</v>
      </c>
    </row>
    <row r="620" spans="1:48">
      <c r="A620" t="s">
        <v>2946</v>
      </c>
      <c r="B620" t="s">
        <v>2947</v>
      </c>
      <c r="C620" t="s">
        <v>540</v>
      </c>
      <c r="D620" t="s">
        <v>2948</v>
      </c>
      <c r="E620" t="s">
        <v>377</v>
      </c>
      <c r="F620" t="s">
        <v>117</v>
      </c>
      <c r="G620" t="s">
        <v>36</v>
      </c>
      <c r="H620" t="s">
        <v>37</v>
      </c>
      <c r="I620" t="s">
        <v>38</v>
      </c>
      <c r="J620" t="s">
        <v>54</v>
      </c>
      <c r="K620" t="s">
        <v>55</v>
      </c>
      <c r="L620" t="s">
        <v>2949</v>
      </c>
      <c r="M620" t="s">
        <v>57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210</v>
      </c>
      <c r="U620" t="s">
        <v>87</v>
      </c>
      <c r="W620" t="s">
        <v>2946</v>
      </c>
      <c r="X620" t="str">
        <v>23-07-24</v>
      </c>
      <c r="Y620" t="str">
        <v>30-07-24</v>
      </c>
      <c r="Z620" t="s">
        <v>2948</v>
      </c>
      <c r="AA620" t="str">
        <v>Kabir Singh</v>
      </c>
      <c r="AB620" t="str">
        <f>TRIM(PROPER(F:F))</f>
        <v>Corporate</v>
      </c>
      <c r="AC620" t="str">
        <f>TRIM(PROPER(G:G))</f>
        <v>North</v>
      </c>
      <c r="AD620" t="str">
        <f>TRIM(PROPER(H:H))</f>
        <v>Rajasthan</v>
      </c>
      <c r="AE620" t="str">
        <f>TRIM(PROPER(I:I))</f>
        <v>Jaipur</v>
      </c>
      <c r="AF620" t="str">
        <f>TRIM(PROPER(J:J))</f>
        <v>Furniture</v>
      </c>
      <c r="AG620" t="str">
        <f>TRIM(PROPER(K:K))</f>
        <v>Tables</v>
      </c>
      <c r="AH620" t="str">
        <f t="shared" si="17"/>
        <v>Basic Tables 684</v>
      </c>
      <c r="AI620" t="str">
        <f t="shared" si="17"/>
        <v>Same Day</v>
      </c>
      <c r="AJ620" s="3" t="str">
        <f t="shared" si="16"/>
        <v>anomaly</v>
      </c>
      <c r="AK620">
        <f>IFERROR(Y620-X620, "invalid date")</f>
        <v>7</v>
      </c>
      <c r="AL620" s="10">
        <v>0.25</v>
      </c>
      <c r="AM620" s="11">
        <v>12623.242499999998</v>
      </c>
      <c r="AN620" s="11">
        <v>2082.4424999999992</v>
      </c>
      <c r="AO620" s="10">
        <v>0.16496890557239943</v>
      </c>
      <c r="AP620" t="s">
        <v>4137</v>
      </c>
      <c r="AQ620" t="s">
        <v>4252</v>
      </c>
      <c r="AR620" t="s">
        <v>4106</v>
      </c>
      <c r="AS620" t="s">
        <v>4107</v>
      </c>
      <c r="AT620" t="s">
        <v>4115</v>
      </c>
      <c r="AU620">
        <v>7</v>
      </c>
      <c r="AV620" t="s">
        <v>4109</v>
      </c>
    </row>
    <row r="621" spans="1:48">
      <c r="A621" t="s">
        <v>2950</v>
      </c>
      <c r="B621" t="s">
        <v>921</v>
      </c>
      <c r="C621" t="s">
        <v>2951</v>
      </c>
      <c r="D621" t="s">
        <v>2952</v>
      </c>
      <c r="E621" t="s">
        <v>151</v>
      </c>
      <c r="F621" t="s">
        <v>117</v>
      </c>
      <c r="G621" t="s">
        <v>71</v>
      </c>
      <c r="H621" t="s">
        <v>350</v>
      </c>
      <c r="I621" t="s">
        <v>351</v>
      </c>
      <c r="J621" t="s">
        <v>39</v>
      </c>
      <c r="K621" t="s">
        <v>208</v>
      </c>
      <c r="L621" t="s">
        <v>2953</v>
      </c>
      <c r="M621" t="s">
        <v>65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133</v>
      </c>
      <c r="U621" t="s">
        <v>134</v>
      </c>
      <c r="W621" t="s">
        <v>2950</v>
      </c>
      <c r="X621" t="str">
        <v>invalid date</v>
      </c>
      <c r="Y621" t="str">
        <v>27-11-24</v>
      </c>
      <c r="Z621" t="s">
        <v>2952</v>
      </c>
      <c r="AA621" t="str">
        <v>Priya Menon</v>
      </c>
      <c r="AB621" t="str">
        <f>TRIM(PROPER(F:F))</f>
        <v>Corporate</v>
      </c>
      <c r="AC621" t="str">
        <f>TRIM(PROPER(G:G))</f>
        <v>South</v>
      </c>
      <c r="AD621" t="str">
        <f>TRIM(PROPER(H:H))</f>
        <v>Tamil Nadu</v>
      </c>
      <c r="AE621" t="str">
        <f>TRIM(PROPER(I:I))</f>
        <v>Chennai</v>
      </c>
      <c r="AF621" t="str">
        <f>TRIM(PROPER(J:J))</f>
        <v>Office Supplies</v>
      </c>
      <c r="AG621" t="str">
        <f>TRIM(PROPER(K:K))</f>
        <v>Binders</v>
      </c>
      <c r="AH621" t="str">
        <f t="shared" si="17"/>
        <v>Prime Binders 938</v>
      </c>
      <c r="AI621" t="str">
        <f t="shared" si="17"/>
        <v>First Class</v>
      </c>
      <c r="AJ621" s="3" t="str">
        <f t="shared" si="16"/>
        <v>Invalid</v>
      </c>
      <c r="AK621" t="str">
        <f>IFERROR(Y621-X621, "invalid date")</f>
        <v>invalid date</v>
      </c>
      <c r="AL621" s="10">
        <v>0.2</v>
      </c>
      <c r="AM621" s="11">
        <v>3401.0080000000003</v>
      </c>
      <c r="AN621" s="11">
        <v>483.4680000000003</v>
      </c>
      <c r="AO621" s="10">
        <v>0.14215432601158254</v>
      </c>
      <c r="AP621" t="s">
        <v>4105</v>
      </c>
      <c r="AQ621" t="s">
        <v>4642</v>
      </c>
      <c r="AR621" t="s">
        <v>4105</v>
      </c>
      <c r="AS621" t="s">
        <v>4105</v>
      </c>
      <c r="AT621" t="s">
        <v>4108</v>
      </c>
      <c r="AU621" t="s">
        <v>4105</v>
      </c>
      <c r="AV621" t="s">
        <v>4109</v>
      </c>
    </row>
    <row r="622" spans="1:48">
      <c r="A622" t="s">
        <v>2954</v>
      </c>
      <c r="B622" t="s">
        <v>2955</v>
      </c>
      <c r="C622" t="s">
        <v>2956</v>
      </c>
      <c r="D622" t="s">
        <v>2957</v>
      </c>
      <c r="E622" t="s">
        <v>92</v>
      </c>
      <c r="F622" t="s">
        <v>35</v>
      </c>
      <c r="G622" t="s">
        <v>36</v>
      </c>
      <c r="H622" t="s">
        <v>183</v>
      </c>
      <c r="I622" t="s">
        <v>184</v>
      </c>
      <c r="J622" t="s">
        <v>95</v>
      </c>
      <c r="K622" t="s">
        <v>393</v>
      </c>
      <c r="L622" t="s">
        <v>2958</v>
      </c>
      <c r="M622" t="s">
        <v>76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43</v>
      </c>
      <c r="U622" t="s">
        <v>44</v>
      </c>
      <c r="W622" t="s">
        <v>2954</v>
      </c>
      <c r="X622" t="str">
        <v>18-08-24</v>
      </c>
      <c r="Y622" t="str">
        <v>invalid date</v>
      </c>
      <c r="Z622" t="s">
        <v>2957</v>
      </c>
      <c r="AA622" t="str">
        <v>Vikram Iyer</v>
      </c>
      <c r="AB622" t="str">
        <f>TRIM(PROPER(F:F))</f>
        <v>Consumer</v>
      </c>
      <c r="AC622" t="str">
        <f>TRIM(PROPER(G:G))</f>
        <v>North</v>
      </c>
      <c r="AD622" t="str">
        <f>TRIM(PROPER(H:H))</f>
        <v>Uttar Pradesh</v>
      </c>
      <c r="AE622" t="str">
        <f>TRIM(PROPER(I:I))</f>
        <v>Noida</v>
      </c>
      <c r="AF622" t="str">
        <f>TRIM(PROPER(J:J))</f>
        <v>Technology</v>
      </c>
      <c r="AG622" t="str">
        <f>TRIM(PROPER(K:K))</f>
        <v>Machines</v>
      </c>
      <c r="AH622" t="str">
        <f t="shared" si="17"/>
        <v>Classic Machines 337</v>
      </c>
      <c r="AI622" t="str">
        <f t="shared" si="17"/>
        <v>Standard Class</v>
      </c>
      <c r="AJ622" s="3" t="str">
        <f t="shared" si="16"/>
        <v>Invalid</v>
      </c>
      <c r="AK622" t="str">
        <f>IFERROR(Y622-X622, "invalid date")</f>
        <v>invalid date</v>
      </c>
      <c r="AL622" s="10">
        <v>0</v>
      </c>
      <c r="AM622" s="11">
        <v>6609.06</v>
      </c>
      <c r="AN622" s="11">
        <v>1662.2800000000007</v>
      </c>
      <c r="AO622" s="10">
        <v>0.25151534408826681</v>
      </c>
      <c r="AP622" t="s">
        <v>4297</v>
      </c>
      <c r="AQ622" t="s">
        <v>4105</v>
      </c>
      <c r="AR622" t="s">
        <v>4114</v>
      </c>
      <c r="AS622" t="s">
        <v>4107</v>
      </c>
      <c r="AT622" t="s">
        <v>4108</v>
      </c>
      <c r="AU622" t="s">
        <v>4105</v>
      </c>
      <c r="AV622" t="s">
        <v>4109</v>
      </c>
    </row>
    <row r="623" spans="1:48">
      <c r="A623" t="s">
        <v>2959</v>
      </c>
      <c r="B623" t="s">
        <v>67</v>
      </c>
      <c r="C623" t="s">
        <v>2960</v>
      </c>
      <c r="D623" t="s">
        <v>2961</v>
      </c>
      <c r="E623" t="s">
        <v>116</v>
      </c>
      <c r="F623" t="s">
        <v>35</v>
      </c>
      <c r="G623" t="s">
        <v>82</v>
      </c>
      <c r="H623" t="s">
        <v>83</v>
      </c>
      <c r="I623" t="s">
        <v>84</v>
      </c>
      <c r="J623" t="s">
        <v>54</v>
      </c>
      <c r="K623" t="s">
        <v>85</v>
      </c>
      <c r="L623" t="s">
        <v>2962</v>
      </c>
      <c r="M623" t="s">
        <v>57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43</v>
      </c>
      <c r="U623" t="s">
        <v>44</v>
      </c>
      <c r="W623" t="s">
        <v>2959</v>
      </c>
      <c r="X623" t="str">
        <v>28-11-24</v>
      </c>
      <c r="Y623" t="str">
        <v>06-12-24</v>
      </c>
      <c r="Z623" t="s">
        <v>2961</v>
      </c>
      <c r="AA623" t="str">
        <v>Aditi Sen</v>
      </c>
      <c r="AB623" t="str">
        <f>TRIM(PROPER(F:F))</f>
        <v>Consumer</v>
      </c>
      <c r="AC623" t="str">
        <f>TRIM(PROPER(G:G))</f>
        <v>West</v>
      </c>
      <c r="AD623" t="str">
        <f>TRIM(PROPER(H:H))</f>
        <v>Maharashtra</v>
      </c>
      <c r="AE623" t="str">
        <f>TRIM(PROPER(I:I))</f>
        <v>Mumbai</v>
      </c>
      <c r="AF623" t="str">
        <f>TRIM(PROPER(J:J))</f>
        <v>Furniture</v>
      </c>
      <c r="AG623" t="str">
        <f>TRIM(PROPER(K:K))</f>
        <v>Chairs</v>
      </c>
      <c r="AH623" t="str">
        <f t="shared" si="17"/>
        <v>Max Chairs 748</v>
      </c>
      <c r="AI623" t="str">
        <f t="shared" si="17"/>
        <v>Same Day</v>
      </c>
      <c r="AJ623" s="3" t="str">
        <f t="shared" si="16"/>
        <v xml:space="preserve">  </v>
      </c>
      <c r="AK623">
        <f>IFERROR(Y623-X623, "invalid date")</f>
        <v>8</v>
      </c>
      <c r="AL623" s="10">
        <v>0</v>
      </c>
      <c r="AM623" s="11">
        <v>5464.2</v>
      </c>
      <c r="AN623" s="11">
        <v>2146.1099999999997</v>
      </c>
      <c r="AO623" s="10">
        <v>0.39275831777753373</v>
      </c>
      <c r="AP623" t="s">
        <v>4116</v>
      </c>
      <c r="AQ623" t="s">
        <v>4480</v>
      </c>
      <c r="AR623" t="s">
        <v>4117</v>
      </c>
      <c r="AS623" t="s">
        <v>4107</v>
      </c>
      <c r="AT623" t="s">
        <v>4121</v>
      </c>
      <c r="AU623">
        <v>8</v>
      </c>
      <c r="AV623" t="s">
        <v>4109</v>
      </c>
    </row>
    <row r="624" spans="1:48">
      <c r="A624" t="s">
        <v>2963</v>
      </c>
      <c r="B624" t="s">
        <v>2964</v>
      </c>
      <c r="C624" t="s">
        <v>2965</v>
      </c>
      <c r="D624" t="s">
        <v>2966</v>
      </c>
      <c r="E624" t="s">
        <v>92</v>
      </c>
      <c r="F624" t="s">
        <v>35</v>
      </c>
      <c r="G624" t="s">
        <v>51</v>
      </c>
      <c r="H624" t="s">
        <v>196</v>
      </c>
      <c r="I624" t="s">
        <v>197</v>
      </c>
      <c r="J624" t="s">
        <v>39</v>
      </c>
      <c r="K624" t="s">
        <v>165</v>
      </c>
      <c r="L624" t="s">
        <v>2967</v>
      </c>
      <c r="M624" t="s">
        <v>76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43</v>
      </c>
      <c r="U624" t="s">
        <v>44</v>
      </c>
      <c r="W624" t="s">
        <v>2963</v>
      </c>
      <c r="X624" t="str">
        <v>29-01-25</v>
      </c>
      <c r="Y624" t="str">
        <v>06-02-25</v>
      </c>
      <c r="Z624" t="s">
        <v>2966</v>
      </c>
      <c r="AA624" t="str">
        <v>Vikram Iyer</v>
      </c>
      <c r="AB624" t="str">
        <f>TRIM(PROPER(F:F))</f>
        <v>Consumer</v>
      </c>
      <c r="AC624" t="str">
        <f>TRIM(PROPER(G:G))</f>
        <v>East</v>
      </c>
      <c r="AD624" t="str">
        <f>TRIM(PROPER(H:H))</f>
        <v>Bihar</v>
      </c>
      <c r="AE624" t="str">
        <f>TRIM(PROPER(I:I))</f>
        <v>Patna</v>
      </c>
      <c r="AF624" t="str">
        <f>TRIM(PROPER(J:J))</f>
        <v>Office Supplies</v>
      </c>
      <c r="AG624" t="str">
        <f>TRIM(PROPER(K:K))</f>
        <v>Storage</v>
      </c>
      <c r="AH624" t="str">
        <f t="shared" si="17"/>
        <v>Basic Storage 934</v>
      </c>
      <c r="AI624" t="str">
        <f t="shared" si="17"/>
        <v>Standard Class</v>
      </c>
      <c r="AJ624" s="3" t="str">
        <f t="shared" si="16"/>
        <v xml:space="preserve">  </v>
      </c>
      <c r="AK624">
        <f>IFERROR(Y624-X624, "invalid date")</f>
        <v>8</v>
      </c>
      <c r="AL624" s="10">
        <v>0.05</v>
      </c>
      <c r="AM624" s="11">
        <v>10484.238000000001</v>
      </c>
      <c r="AN624" s="11">
        <v>3804.0880000000016</v>
      </c>
      <c r="AO624" s="10">
        <v>0.36283876806306775</v>
      </c>
      <c r="AP624" t="s">
        <v>4610</v>
      </c>
      <c r="AQ624" t="s">
        <v>4643</v>
      </c>
      <c r="AR624" t="s">
        <v>4153</v>
      </c>
      <c r="AS624" t="s">
        <v>4120</v>
      </c>
      <c r="AT624" t="s">
        <v>4121</v>
      </c>
      <c r="AU624">
        <v>8</v>
      </c>
      <c r="AV624" t="s">
        <v>4109</v>
      </c>
    </row>
    <row r="625" spans="1:48">
      <c r="A625" t="s">
        <v>2968</v>
      </c>
      <c r="B625" t="s">
        <v>2969</v>
      </c>
      <c r="C625" t="s">
        <v>2970</v>
      </c>
      <c r="D625" t="s">
        <v>2971</v>
      </c>
      <c r="E625" t="s">
        <v>92</v>
      </c>
      <c r="F625" t="s">
        <v>124</v>
      </c>
      <c r="G625" t="s">
        <v>36</v>
      </c>
      <c r="H625" t="s">
        <v>163</v>
      </c>
      <c r="I625" t="s">
        <v>164</v>
      </c>
      <c r="J625" t="s">
        <v>39</v>
      </c>
      <c r="K625" t="s">
        <v>165</v>
      </c>
      <c r="L625" t="s">
        <v>2972</v>
      </c>
      <c r="M625" t="s">
        <v>42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43</v>
      </c>
      <c r="U625" t="s">
        <v>44</v>
      </c>
      <c r="W625" t="s">
        <v>2968</v>
      </c>
      <c r="X625" t="str">
        <v>08-08-24</v>
      </c>
      <c r="Y625" t="str">
        <v>14-08-24</v>
      </c>
      <c r="Z625" t="s">
        <v>2971</v>
      </c>
      <c r="AA625" t="str">
        <v>Vikram Iyer</v>
      </c>
      <c r="AB625" t="str">
        <f>TRIM(PROPER(F:F))</f>
        <v>Home Office</v>
      </c>
      <c r="AC625" t="str">
        <f>TRIM(PROPER(G:G))</f>
        <v>North</v>
      </c>
      <c r="AD625" t="str">
        <f>TRIM(PROPER(H:H))</f>
        <v>Punjab</v>
      </c>
      <c r="AE625" t="str">
        <f>TRIM(PROPER(I:I))</f>
        <v>Ludhiana</v>
      </c>
      <c r="AF625" t="str">
        <f>TRIM(PROPER(J:J))</f>
        <v>Office Supplies</v>
      </c>
      <c r="AG625" t="str">
        <f>TRIM(PROPER(K:K))</f>
        <v>Storage</v>
      </c>
      <c r="AH625" t="str">
        <f t="shared" si="17"/>
        <v>Pro Storage 509</v>
      </c>
      <c r="AI625" t="str">
        <f t="shared" si="17"/>
        <v>Second Class</v>
      </c>
      <c r="AJ625" s="3" t="str">
        <f t="shared" si="16"/>
        <v>anomaly</v>
      </c>
      <c r="AK625">
        <f>IFERROR(Y625-X625, "invalid date")</f>
        <v>6</v>
      </c>
      <c r="AL625" s="10">
        <v>0.05</v>
      </c>
      <c r="AM625" s="11">
        <v>10329.843999999999</v>
      </c>
      <c r="AN625" s="11">
        <v>2817.6239999999989</v>
      </c>
      <c r="AO625" s="10">
        <v>0.27276539703794161</v>
      </c>
      <c r="AP625" t="s">
        <v>4603</v>
      </c>
      <c r="AQ625" t="s">
        <v>4244</v>
      </c>
      <c r="AR625" t="s">
        <v>4114</v>
      </c>
      <c r="AS625" t="s">
        <v>4107</v>
      </c>
      <c r="AT625" t="s">
        <v>4115</v>
      </c>
      <c r="AU625">
        <v>6</v>
      </c>
      <c r="AV625" t="s">
        <v>4109</v>
      </c>
    </row>
    <row r="626" spans="1:48">
      <c r="A626" t="s">
        <v>2973</v>
      </c>
      <c r="B626" t="s">
        <v>2974</v>
      </c>
      <c r="C626" t="s">
        <v>2975</v>
      </c>
      <c r="D626" t="s">
        <v>2976</v>
      </c>
      <c r="E626" t="s">
        <v>102</v>
      </c>
      <c r="F626" t="s">
        <v>124</v>
      </c>
      <c r="G626" t="s">
        <v>51</v>
      </c>
      <c r="H626" t="s">
        <v>226</v>
      </c>
      <c r="I626" t="s">
        <v>227</v>
      </c>
      <c r="J626" t="s">
        <v>54</v>
      </c>
      <c r="K626" t="s">
        <v>85</v>
      </c>
      <c r="L626" t="s">
        <v>2977</v>
      </c>
      <c r="M626" t="s">
        <v>65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43</v>
      </c>
      <c r="U626" t="s">
        <v>44</v>
      </c>
      <c r="W626" t="s">
        <v>2973</v>
      </c>
      <c r="X626" t="str">
        <v>invalid date</v>
      </c>
      <c r="Y626" t="str">
        <v>01-02-24</v>
      </c>
      <c r="Z626" t="s">
        <v>2976</v>
      </c>
      <c r="AA626" t="str">
        <v>Neha Gupta</v>
      </c>
      <c r="AB626" t="str">
        <f>TRIM(PROPER(F:F))</f>
        <v>Home Office</v>
      </c>
      <c r="AC626" t="str">
        <f>TRIM(PROPER(G:G))</f>
        <v>East</v>
      </c>
      <c r="AD626" t="str">
        <f>TRIM(PROPER(H:H))</f>
        <v>Assam</v>
      </c>
      <c r="AE626" t="str">
        <f>TRIM(PROPER(I:I))</f>
        <v>Guwahati</v>
      </c>
      <c r="AF626" t="str">
        <f>TRIM(PROPER(J:J))</f>
        <v>Furniture</v>
      </c>
      <c r="AG626" t="str">
        <f>TRIM(PROPER(K:K))</f>
        <v>Chairs</v>
      </c>
      <c r="AH626" t="str">
        <f t="shared" si="17"/>
        <v>Prime Chairs 765</v>
      </c>
      <c r="AI626" t="str">
        <f t="shared" si="17"/>
        <v>First Class</v>
      </c>
      <c r="AJ626" s="3" t="str">
        <f t="shared" si="16"/>
        <v>Invalid</v>
      </c>
      <c r="AK626" t="str">
        <f>IFERROR(Y626-X626, "invalid date")</f>
        <v>invalid date</v>
      </c>
      <c r="AL626" s="10">
        <v>0.05</v>
      </c>
      <c r="AM626" s="11">
        <v>8456.9569999999985</v>
      </c>
      <c r="AN626" s="11">
        <v>2994.1069999999982</v>
      </c>
      <c r="AO626" s="10">
        <v>0.35404070282017502</v>
      </c>
      <c r="AP626" t="s">
        <v>4105</v>
      </c>
      <c r="AQ626" t="s">
        <v>4221</v>
      </c>
      <c r="AR626" t="s">
        <v>4105</v>
      </c>
      <c r="AS626" t="s">
        <v>4105</v>
      </c>
      <c r="AT626" t="s">
        <v>4108</v>
      </c>
      <c r="AU626" t="s">
        <v>4105</v>
      </c>
      <c r="AV626" t="s">
        <v>4109</v>
      </c>
    </row>
    <row r="627" spans="1:48">
      <c r="A627" t="s">
        <v>2978</v>
      </c>
      <c r="B627" t="s">
        <v>2979</v>
      </c>
      <c r="C627" t="s">
        <v>1413</v>
      </c>
      <c r="D627" t="s">
        <v>2980</v>
      </c>
      <c r="E627" t="s">
        <v>220</v>
      </c>
      <c r="F627" t="s">
        <v>117</v>
      </c>
      <c r="G627" t="s">
        <v>82</v>
      </c>
      <c r="H627" t="s">
        <v>37</v>
      </c>
      <c r="I627" t="s">
        <v>144</v>
      </c>
      <c r="J627" t="s">
        <v>54</v>
      </c>
      <c r="K627" t="s">
        <v>85</v>
      </c>
      <c r="L627" t="s">
        <v>2981</v>
      </c>
      <c r="M627" t="s">
        <v>57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43</v>
      </c>
      <c r="U627" t="s">
        <v>44</v>
      </c>
      <c r="W627" t="s">
        <v>2978</v>
      </c>
      <c r="X627" t="str">
        <v>invalid date</v>
      </c>
      <c r="Y627" t="str">
        <v>21-12-24</v>
      </c>
      <c r="Z627" t="s">
        <v>2980</v>
      </c>
      <c r="AA627" t="str">
        <v>Diya Patel</v>
      </c>
      <c r="AB627" t="str">
        <f>TRIM(PROPER(F:F))</f>
        <v>Corporate</v>
      </c>
      <c r="AC627" t="str">
        <f>TRIM(PROPER(G:G))</f>
        <v>West</v>
      </c>
      <c r="AD627" t="str">
        <f>TRIM(PROPER(H:H))</f>
        <v>Rajasthan</v>
      </c>
      <c r="AE627" t="str">
        <f>TRIM(PROPER(I:I))</f>
        <v>Udaipur</v>
      </c>
      <c r="AF627" t="str">
        <f>TRIM(PROPER(J:J))</f>
        <v>Furniture</v>
      </c>
      <c r="AG627" t="str">
        <f>TRIM(PROPER(K:K))</f>
        <v>Chairs</v>
      </c>
      <c r="AH627" t="str">
        <f t="shared" si="17"/>
        <v>Elite Chairs 358</v>
      </c>
      <c r="AI627" t="str">
        <f t="shared" si="17"/>
        <v>Same Day</v>
      </c>
      <c r="AJ627" s="3" t="str">
        <f t="shared" si="16"/>
        <v>Invalid</v>
      </c>
      <c r="AK627" t="str">
        <f>IFERROR(Y627-X627, "invalid date")</f>
        <v>invalid date</v>
      </c>
      <c r="AL627" s="10">
        <v>0.2</v>
      </c>
      <c r="AM627" s="11">
        <v>1266.4079999999999</v>
      </c>
      <c r="AN627" s="11">
        <v>282.48799999999994</v>
      </c>
      <c r="AO627" s="10">
        <v>0.22306239379410109</v>
      </c>
      <c r="AP627" t="s">
        <v>4105</v>
      </c>
      <c r="AQ627" t="s">
        <v>4434</v>
      </c>
      <c r="AR627" t="s">
        <v>4105</v>
      </c>
      <c r="AS627" t="s">
        <v>4105</v>
      </c>
      <c r="AT627" t="s">
        <v>4108</v>
      </c>
      <c r="AU627" t="s">
        <v>4105</v>
      </c>
      <c r="AV627" t="s">
        <v>4109</v>
      </c>
    </row>
    <row r="628" spans="1:48">
      <c r="A628" t="s">
        <v>2982</v>
      </c>
      <c r="B628" t="s">
        <v>1398</v>
      </c>
      <c r="C628" t="s">
        <v>2983</v>
      </c>
      <c r="D628" t="s">
        <v>2984</v>
      </c>
      <c r="E628" t="s">
        <v>177</v>
      </c>
      <c r="F628" t="s">
        <v>124</v>
      </c>
      <c r="G628" t="s">
        <v>51</v>
      </c>
      <c r="H628" t="s">
        <v>226</v>
      </c>
      <c r="I628" t="s">
        <v>227</v>
      </c>
      <c r="J628" t="s">
        <v>95</v>
      </c>
      <c r="K628" t="s">
        <v>393</v>
      </c>
      <c r="L628" t="s">
        <v>2985</v>
      </c>
      <c r="M628" t="s">
        <v>76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146</v>
      </c>
      <c r="U628" t="s">
        <v>134</v>
      </c>
      <c r="W628" t="s">
        <v>2982</v>
      </c>
      <c r="X628" t="str">
        <v>04-06-25</v>
      </c>
      <c r="Y628" t="str">
        <v>06-07-25</v>
      </c>
      <c r="Z628" t="s">
        <v>2984</v>
      </c>
      <c r="AA628" t="str">
        <v>Sneha Kapoor</v>
      </c>
      <c r="AB628" t="str">
        <f>TRIM(PROPER(F:F))</f>
        <v>Home Office</v>
      </c>
      <c r="AC628" t="str">
        <f>TRIM(PROPER(G:G))</f>
        <v>East</v>
      </c>
      <c r="AD628" t="str">
        <f>TRIM(PROPER(H:H))</f>
        <v>Assam</v>
      </c>
      <c r="AE628" t="str">
        <f>TRIM(PROPER(I:I))</f>
        <v>Guwahati</v>
      </c>
      <c r="AF628" t="str">
        <f>TRIM(PROPER(J:J))</f>
        <v>Technology</v>
      </c>
      <c r="AG628" t="str">
        <f>TRIM(PROPER(K:K))</f>
        <v>Machines</v>
      </c>
      <c r="AH628" t="str">
        <f t="shared" si="17"/>
        <v>Elite Machines 971</v>
      </c>
      <c r="AI628" t="str">
        <f t="shared" si="17"/>
        <v>Standard Class</v>
      </c>
      <c r="AJ628" s="3" t="str">
        <f t="shared" si="16"/>
        <v>anomaly</v>
      </c>
      <c r="AK628">
        <f>IFERROR(Y628-X628, "invalid date")</f>
        <v>32</v>
      </c>
      <c r="AL628" s="10">
        <v>0</v>
      </c>
      <c r="AM628" s="11">
        <v>11473.04</v>
      </c>
      <c r="AN628" s="11">
        <v>2541.7100000000009</v>
      </c>
      <c r="AO628" s="10">
        <v>0.22153762211236086</v>
      </c>
      <c r="AP628" t="s">
        <v>4401</v>
      </c>
      <c r="AQ628" t="s">
        <v>4410</v>
      </c>
      <c r="AR628" t="s">
        <v>4170</v>
      </c>
      <c r="AS628" t="s">
        <v>4120</v>
      </c>
      <c r="AT628" t="s">
        <v>4115</v>
      </c>
      <c r="AU628">
        <v>32</v>
      </c>
      <c r="AV628" t="s">
        <v>4109</v>
      </c>
    </row>
    <row r="629" spans="1:48">
      <c r="A629" t="s">
        <v>2986</v>
      </c>
      <c r="B629" t="s">
        <v>1423</v>
      </c>
      <c r="C629" t="s">
        <v>1784</v>
      </c>
      <c r="D629" t="s">
        <v>2987</v>
      </c>
      <c r="E629" t="s">
        <v>34</v>
      </c>
      <c r="F629" t="s">
        <v>50</v>
      </c>
      <c r="G629" t="s">
        <v>71</v>
      </c>
      <c r="H629" t="s">
        <v>252</v>
      </c>
      <c r="I629" t="s">
        <v>253</v>
      </c>
      <c r="J629" t="s">
        <v>95</v>
      </c>
      <c r="K629" t="s">
        <v>233</v>
      </c>
      <c r="L629" t="s">
        <v>2988</v>
      </c>
      <c r="M629" t="s">
        <v>42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146</v>
      </c>
      <c r="U629" t="s">
        <v>87</v>
      </c>
      <c r="W629" t="s">
        <v>2986</v>
      </c>
      <c r="X629" t="str">
        <v>invalid date</v>
      </c>
      <c r="Y629" t="str">
        <v>21-02-25</v>
      </c>
      <c r="Z629" t="s">
        <v>2987</v>
      </c>
      <c r="AA629" t="str">
        <v>Karan Malhotra</v>
      </c>
      <c r="AB629" t="str">
        <f>TRIM(PROPER(F:F))</f>
        <v>Small Business</v>
      </c>
      <c r="AC629" t="str">
        <f>TRIM(PROPER(G:G))</f>
        <v>South</v>
      </c>
      <c r="AD629" t="str">
        <f>TRIM(PROPER(H:H))</f>
        <v>Kerala</v>
      </c>
      <c r="AE629" t="str">
        <f>TRIM(PROPER(I:I))</f>
        <v>Kochi</v>
      </c>
      <c r="AF629" t="str">
        <f>TRIM(PROPER(J:J))</f>
        <v>Technology</v>
      </c>
      <c r="AG629" t="str">
        <f>TRIM(PROPER(K:K))</f>
        <v>Phones</v>
      </c>
      <c r="AH629" t="str">
        <f t="shared" si="17"/>
        <v>Max Phones 825</v>
      </c>
      <c r="AI629" t="str">
        <f t="shared" si="17"/>
        <v>Second Class</v>
      </c>
      <c r="AJ629" s="3" t="str">
        <f t="shared" si="16"/>
        <v>Invalid</v>
      </c>
      <c r="AK629" t="str">
        <f>IFERROR(Y629-X629, "invalid date")</f>
        <v>invalid date</v>
      </c>
      <c r="AL629" s="10">
        <v>0.15</v>
      </c>
      <c r="AM629" s="11">
        <v>4012.0339999999997</v>
      </c>
      <c r="AN629" s="11">
        <v>869.11399999999958</v>
      </c>
      <c r="AO629" s="10">
        <v>0.21662677833737193</v>
      </c>
      <c r="AP629" t="s">
        <v>4105</v>
      </c>
      <c r="AQ629" t="s">
        <v>4497</v>
      </c>
      <c r="AR629" t="s">
        <v>4105</v>
      </c>
      <c r="AS629" t="s">
        <v>4105</v>
      </c>
      <c r="AT629" t="s">
        <v>4108</v>
      </c>
      <c r="AU629" t="s">
        <v>4105</v>
      </c>
      <c r="AV629" t="s">
        <v>4109</v>
      </c>
    </row>
    <row r="630" spans="1:48">
      <c r="A630" t="s">
        <v>2989</v>
      </c>
      <c r="B630" t="s">
        <v>2562</v>
      </c>
      <c r="C630" t="s">
        <v>2990</v>
      </c>
      <c r="D630" t="s">
        <v>2991</v>
      </c>
      <c r="E630" t="s">
        <v>81</v>
      </c>
      <c r="F630" t="s">
        <v>124</v>
      </c>
      <c r="G630" t="s">
        <v>51</v>
      </c>
      <c r="H630" t="s">
        <v>322</v>
      </c>
      <c r="I630" t="s">
        <v>323</v>
      </c>
      <c r="J630" t="s">
        <v>95</v>
      </c>
      <c r="K630" t="s">
        <v>96</v>
      </c>
      <c r="L630" t="s">
        <v>2992</v>
      </c>
      <c r="M630" t="s">
        <v>57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43</v>
      </c>
      <c r="U630" t="s">
        <v>44</v>
      </c>
      <c r="W630" t="s">
        <v>2989</v>
      </c>
      <c r="X630" t="str">
        <v>05-10-25</v>
      </c>
      <c r="Y630" t="str">
        <v>12-10-25</v>
      </c>
      <c r="Z630" t="s">
        <v>2991</v>
      </c>
      <c r="AA630" t="str">
        <v>Ananya Rao</v>
      </c>
      <c r="AB630" t="str">
        <f>TRIM(PROPER(F:F))</f>
        <v>Home Office</v>
      </c>
      <c r="AC630" t="str">
        <f>TRIM(PROPER(G:G))</f>
        <v>East</v>
      </c>
      <c r="AD630" t="str">
        <f>TRIM(PROPER(H:H))</f>
        <v>Jharkhand</v>
      </c>
      <c r="AE630" t="str">
        <f>TRIM(PROPER(I:I))</f>
        <v>Ranchi</v>
      </c>
      <c r="AF630" t="str">
        <f>TRIM(PROPER(J:J))</f>
        <v>Technology</v>
      </c>
      <c r="AG630" t="str">
        <f>TRIM(PROPER(K:K))</f>
        <v>Accessories</v>
      </c>
      <c r="AH630" t="str">
        <f t="shared" si="17"/>
        <v>Eco Accessories 933</v>
      </c>
      <c r="AI630" t="str">
        <f t="shared" si="17"/>
        <v>Same Day</v>
      </c>
      <c r="AJ630" s="3" t="str">
        <f t="shared" si="16"/>
        <v>anomaly</v>
      </c>
      <c r="AK630">
        <f>IFERROR(Y630-X630, "invalid date")</f>
        <v>7</v>
      </c>
      <c r="AL630" s="10">
        <v>0.05</v>
      </c>
      <c r="AM630" s="11">
        <v>5364.3554999999997</v>
      </c>
      <c r="AN630" s="11">
        <v>973.0654999999997</v>
      </c>
      <c r="AO630" s="10">
        <v>0.18139467080434915</v>
      </c>
      <c r="AP630" t="s">
        <v>4163</v>
      </c>
      <c r="AQ630" t="s">
        <v>4140</v>
      </c>
      <c r="AR630" t="s">
        <v>4126</v>
      </c>
      <c r="AS630" t="s">
        <v>4120</v>
      </c>
      <c r="AT630" t="s">
        <v>4115</v>
      </c>
      <c r="AU630">
        <v>7</v>
      </c>
      <c r="AV630" t="s">
        <v>4109</v>
      </c>
    </row>
    <row r="631" spans="1:48">
      <c r="A631" t="s">
        <v>2993</v>
      </c>
      <c r="B631" t="s">
        <v>584</v>
      </c>
      <c r="C631" t="s">
        <v>2994</v>
      </c>
      <c r="D631" t="s">
        <v>2995</v>
      </c>
      <c r="E631" t="s">
        <v>70</v>
      </c>
      <c r="F631" t="s">
        <v>124</v>
      </c>
      <c r="G631" t="s">
        <v>82</v>
      </c>
      <c r="H631" t="s">
        <v>245</v>
      </c>
      <c r="I631" t="s">
        <v>246</v>
      </c>
      <c r="J631" t="s">
        <v>54</v>
      </c>
      <c r="K631" t="s">
        <v>55</v>
      </c>
      <c r="L631" t="s">
        <v>2996</v>
      </c>
      <c r="M631" t="s">
        <v>57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43</v>
      </c>
      <c r="U631" t="s">
        <v>44</v>
      </c>
      <c r="W631" t="s">
        <v>2993</v>
      </c>
      <c r="X631" t="str">
        <v>09-10-25</v>
      </c>
      <c r="Y631" t="str">
        <v>14-09-25</v>
      </c>
      <c r="Z631" t="s">
        <v>2995</v>
      </c>
      <c r="AA631" t="str">
        <v>Arjun Bose</v>
      </c>
      <c r="AB631" t="str">
        <f>TRIM(PROPER(F:F))</f>
        <v>Home Office</v>
      </c>
      <c r="AC631" t="str">
        <f>TRIM(PROPER(G:G))</f>
        <v>West</v>
      </c>
      <c r="AD631" t="str">
        <f>TRIM(PROPER(H:H))</f>
        <v>Gujarat</v>
      </c>
      <c r="AE631" t="str">
        <f>TRIM(PROPER(I:I))</f>
        <v>Ahmedabad</v>
      </c>
      <c r="AF631" t="str">
        <f>TRIM(PROPER(J:J))</f>
        <v>Furniture</v>
      </c>
      <c r="AG631" t="str">
        <f>TRIM(PROPER(K:K))</f>
        <v>Tables</v>
      </c>
      <c r="AH631" t="str">
        <f t="shared" si="17"/>
        <v>Max Tables 908</v>
      </c>
      <c r="AI631" t="str">
        <f t="shared" si="17"/>
        <v>Same Day</v>
      </c>
      <c r="AJ631" s="3" t="str">
        <f t="shared" si="16"/>
        <v>anomaly</v>
      </c>
      <c r="AK631">
        <f>IFERROR(Y631-X631, "invalid date")</f>
        <v>-25</v>
      </c>
      <c r="AL631" s="10">
        <v>0.15</v>
      </c>
      <c r="AM631" s="11">
        <v>10706.073</v>
      </c>
      <c r="AN631" s="11">
        <v>4778.973</v>
      </c>
      <c r="AO631" s="10">
        <v>0.44637963892082555</v>
      </c>
      <c r="AP631" t="s">
        <v>4262</v>
      </c>
      <c r="AQ631" t="s">
        <v>4644</v>
      </c>
      <c r="AR631" t="s">
        <v>4126</v>
      </c>
      <c r="AS631" t="s">
        <v>4120</v>
      </c>
      <c r="AT631" t="s">
        <v>4115</v>
      </c>
      <c r="AU631">
        <v>-25</v>
      </c>
      <c r="AV631" t="s">
        <v>4109</v>
      </c>
    </row>
    <row r="632" spans="1:48">
      <c r="A632" t="s">
        <v>2997</v>
      </c>
      <c r="B632" t="s">
        <v>2452</v>
      </c>
      <c r="C632" t="s">
        <v>1506</v>
      </c>
      <c r="D632" t="s">
        <v>2998</v>
      </c>
      <c r="E632" t="s">
        <v>151</v>
      </c>
      <c r="F632" t="s">
        <v>117</v>
      </c>
      <c r="G632" t="s">
        <v>51</v>
      </c>
      <c r="H632" t="s">
        <v>226</v>
      </c>
      <c r="I632" t="s">
        <v>227</v>
      </c>
      <c r="J632" t="s">
        <v>39</v>
      </c>
      <c r="K632" t="s">
        <v>40</v>
      </c>
      <c r="L632" t="s">
        <v>2999</v>
      </c>
      <c r="M632" t="s">
        <v>76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43</v>
      </c>
      <c r="U632" t="s">
        <v>44</v>
      </c>
      <c r="W632" t="s">
        <v>2997</v>
      </c>
      <c r="X632" t="str">
        <v>09-04-24</v>
      </c>
      <c r="Y632" t="str">
        <v>10-04-24</v>
      </c>
      <c r="Z632" t="s">
        <v>2998</v>
      </c>
      <c r="AA632" t="str">
        <v>Priya Menon</v>
      </c>
      <c r="AB632" t="str">
        <f>TRIM(PROPER(F:F))</f>
        <v>Corporate</v>
      </c>
      <c r="AC632" t="str">
        <f>TRIM(PROPER(G:G))</f>
        <v>East</v>
      </c>
      <c r="AD632" t="str">
        <f>TRIM(PROPER(H:H))</f>
        <v>Assam</v>
      </c>
      <c r="AE632" t="str">
        <f>TRIM(PROPER(I:I))</f>
        <v>Guwahati</v>
      </c>
      <c r="AF632" t="str">
        <f>TRIM(PROPER(J:J))</f>
        <v>Office Supplies</v>
      </c>
      <c r="AG632" t="str">
        <f>TRIM(PROPER(K:K))</f>
        <v>Paper</v>
      </c>
      <c r="AH632" t="str">
        <f t="shared" si="17"/>
        <v>Elite Paper 239</v>
      </c>
      <c r="AI632" t="str">
        <f t="shared" si="17"/>
        <v>Standard Class</v>
      </c>
      <c r="AJ632" s="3" t="str">
        <f t="shared" si="16"/>
        <v>anomaly</v>
      </c>
      <c r="AK632">
        <f>IFERROR(Y632-X632, "invalid date")</f>
        <v>1</v>
      </c>
      <c r="AL632" s="10">
        <v>0.1</v>
      </c>
      <c r="AM632" s="11">
        <v>10969.380000000001</v>
      </c>
      <c r="AN632" s="11">
        <v>1714.9200000000019</v>
      </c>
      <c r="AO632" s="10">
        <v>0.15633700354988173</v>
      </c>
      <c r="AP632" t="s">
        <v>4228</v>
      </c>
      <c r="AQ632" t="s">
        <v>4441</v>
      </c>
      <c r="AR632" t="s">
        <v>4199</v>
      </c>
      <c r="AS632" t="s">
        <v>4107</v>
      </c>
      <c r="AT632" t="s">
        <v>4115</v>
      </c>
      <c r="AU632">
        <v>1</v>
      </c>
      <c r="AV632" t="s">
        <v>4109</v>
      </c>
    </row>
    <row r="633" spans="1:48">
      <c r="A633" t="s">
        <v>3000</v>
      </c>
      <c r="B633" t="s">
        <v>1449</v>
      </c>
      <c r="C633" t="s">
        <v>1549</v>
      </c>
      <c r="D633" t="s">
        <v>3001</v>
      </c>
      <c r="E633" t="s">
        <v>171</v>
      </c>
      <c r="F633" t="s">
        <v>124</v>
      </c>
      <c r="G633" t="s">
        <v>82</v>
      </c>
      <c r="H633" t="s">
        <v>37</v>
      </c>
      <c r="I633" t="s">
        <v>144</v>
      </c>
      <c r="J633" t="s">
        <v>54</v>
      </c>
      <c r="K633" t="s">
        <v>85</v>
      </c>
      <c r="L633" t="s">
        <v>3002</v>
      </c>
      <c r="M633" t="s">
        <v>76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43</v>
      </c>
      <c r="U633" t="s">
        <v>44</v>
      </c>
      <c r="W633" t="s">
        <v>3000</v>
      </c>
      <c r="X633" t="str">
        <v>10-04-24</v>
      </c>
      <c r="Y633" t="str">
        <v>15-04-24</v>
      </c>
      <c r="Z633" t="s">
        <v>3001</v>
      </c>
      <c r="AA633" t="str">
        <v>Aarav Sharma</v>
      </c>
      <c r="AB633" t="str">
        <f>TRIM(PROPER(F:F))</f>
        <v>Home Office</v>
      </c>
      <c r="AC633" t="str">
        <f>TRIM(PROPER(G:G))</f>
        <v>West</v>
      </c>
      <c r="AD633" t="str">
        <f>TRIM(PROPER(H:H))</f>
        <v>Rajasthan</v>
      </c>
      <c r="AE633" t="str">
        <f>TRIM(PROPER(I:I))</f>
        <v>Udaipur</v>
      </c>
      <c r="AF633" t="str">
        <f>TRIM(PROPER(J:J))</f>
        <v>Furniture</v>
      </c>
      <c r="AG633" t="str">
        <f>TRIM(PROPER(K:K))</f>
        <v>Chairs</v>
      </c>
      <c r="AH633" t="str">
        <f t="shared" si="17"/>
        <v>Eco Chairs 452</v>
      </c>
      <c r="AI633" t="str">
        <f t="shared" si="17"/>
        <v>Standard Class</v>
      </c>
      <c r="AJ633" s="3" t="str">
        <f t="shared" si="16"/>
        <v>anomaly</v>
      </c>
      <c r="AK633">
        <f>IFERROR(Y633-X633, "invalid date")</f>
        <v>5</v>
      </c>
      <c r="AL633" s="10">
        <v>0.1</v>
      </c>
      <c r="AM633" s="11">
        <v>31409.855999999996</v>
      </c>
      <c r="AN633" s="11">
        <v>8886.3159999999953</v>
      </c>
      <c r="AO633" s="10">
        <v>0.2829148914277097</v>
      </c>
      <c r="AP633" t="s">
        <v>4441</v>
      </c>
      <c r="AQ633" t="s">
        <v>4455</v>
      </c>
      <c r="AR633" t="s">
        <v>4199</v>
      </c>
      <c r="AS633" t="s">
        <v>4107</v>
      </c>
      <c r="AT633" t="s">
        <v>4115</v>
      </c>
      <c r="AU633">
        <v>5</v>
      </c>
      <c r="AV633" t="s">
        <v>4109</v>
      </c>
    </row>
    <row r="634" spans="1:48">
      <c r="A634" t="s">
        <v>3003</v>
      </c>
      <c r="B634" t="s">
        <v>3004</v>
      </c>
      <c r="C634" t="s">
        <v>3005</v>
      </c>
      <c r="D634" t="s">
        <v>3006</v>
      </c>
      <c r="E634" t="s">
        <v>177</v>
      </c>
      <c r="F634" t="s">
        <v>50</v>
      </c>
      <c r="G634" t="s">
        <v>71</v>
      </c>
      <c r="H634" t="s">
        <v>239</v>
      </c>
      <c r="I634" t="s">
        <v>240</v>
      </c>
      <c r="J634" t="s">
        <v>54</v>
      </c>
      <c r="K634" t="s">
        <v>74</v>
      </c>
      <c r="L634" t="s">
        <v>3007</v>
      </c>
      <c r="M634" t="s">
        <v>65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43</v>
      </c>
      <c r="U634" t="s">
        <v>44</v>
      </c>
      <c r="W634" t="s">
        <v>3003</v>
      </c>
      <c r="X634" t="str">
        <v>15-04-25</v>
      </c>
      <c r="Y634" t="str">
        <v>16-04-25</v>
      </c>
      <c r="Z634" t="s">
        <v>3006</v>
      </c>
      <c r="AA634" t="str">
        <v>Sneha Kapoor</v>
      </c>
      <c r="AB634" t="str">
        <f>TRIM(PROPER(F:F))</f>
        <v>Small Business</v>
      </c>
      <c r="AC634" t="str">
        <f>TRIM(PROPER(G:G))</f>
        <v>South</v>
      </c>
      <c r="AD634" t="str">
        <f>TRIM(PROPER(H:H))</f>
        <v>Karnataka</v>
      </c>
      <c r="AE634" t="str">
        <f>TRIM(PROPER(I:I))</f>
        <v>Bengaluru</v>
      </c>
      <c r="AF634" t="str">
        <f t="shared" ref="AF634:AI697" si="18">TRIM(PROPER(J:J))</f>
        <v>Furniture</v>
      </c>
      <c r="AG634" t="str">
        <f t="shared" si="18"/>
        <v>Furnishings</v>
      </c>
      <c r="AH634" t="str">
        <f t="shared" si="17"/>
        <v>Smart Furnishings 721</v>
      </c>
      <c r="AI634" t="str">
        <f t="shared" si="17"/>
        <v>First Class</v>
      </c>
      <c r="AJ634" s="3" t="str">
        <f t="shared" si="16"/>
        <v>anomaly</v>
      </c>
      <c r="AK634">
        <f>IFERROR(Y634-X634, "invalid date")</f>
        <v>1</v>
      </c>
      <c r="AL634" s="10">
        <v>0</v>
      </c>
      <c r="AM634" s="11">
        <v>14252.650000000001</v>
      </c>
      <c r="AN634" s="11">
        <v>2694.340000000002</v>
      </c>
      <c r="AO634" s="10">
        <v>0.18904133617257154</v>
      </c>
      <c r="AP634" t="s">
        <v>4385</v>
      </c>
      <c r="AQ634" t="s">
        <v>4645</v>
      </c>
      <c r="AR634" t="s">
        <v>4199</v>
      </c>
      <c r="AS634" t="s">
        <v>4120</v>
      </c>
      <c r="AT634" t="s">
        <v>4115</v>
      </c>
      <c r="AU634">
        <v>1</v>
      </c>
      <c r="AV634" t="s">
        <v>4109</v>
      </c>
    </row>
    <row r="635" spans="1:48">
      <c r="A635" t="s">
        <v>3008</v>
      </c>
      <c r="B635" t="s">
        <v>3009</v>
      </c>
      <c r="C635" t="s">
        <v>3010</v>
      </c>
      <c r="D635" t="s">
        <v>3011</v>
      </c>
      <c r="E635" t="s">
        <v>171</v>
      </c>
      <c r="F635" t="s">
        <v>50</v>
      </c>
      <c r="G635" t="s">
        <v>71</v>
      </c>
      <c r="H635" t="s">
        <v>350</v>
      </c>
      <c r="I635" t="s">
        <v>351</v>
      </c>
      <c r="J635" t="s">
        <v>95</v>
      </c>
      <c r="K635" t="s">
        <v>96</v>
      </c>
      <c r="L635" t="s">
        <v>3012</v>
      </c>
      <c r="M635" t="s">
        <v>42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43</v>
      </c>
      <c r="U635" t="s">
        <v>44</v>
      </c>
      <c r="W635" t="s">
        <v>3008</v>
      </c>
      <c r="X635" t="str">
        <v>invalid date</v>
      </c>
      <c r="Y635" t="str">
        <v>20-04-25</v>
      </c>
      <c r="Z635" t="s">
        <v>3011</v>
      </c>
      <c r="AA635" t="str">
        <v>Aarav Sharma</v>
      </c>
      <c r="AB635" t="str">
        <f>TRIM(PROPER(F:F))</f>
        <v>Small Business</v>
      </c>
      <c r="AC635" t="str">
        <f>TRIM(PROPER(G:G))</f>
        <v>South</v>
      </c>
      <c r="AD635" t="str">
        <f>TRIM(PROPER(H:H))</f>
        <v>Tamil Nadu</v>
      </c>
      <c r="AE635" t="str">
        <f>TRIM(PROPER(I:I))</f>
        <v>Chennai</v>
      </c>
      <c r="AF635" t="str">
        <f t="shared" si="18"/>
        <v>Technology</v>
      </c>
      <c r="AG635" t="str">
        <f t="shared" si="18"/>
        <v>Accessories</v>
      </c>
      <c r="AH635" t="str">
        <f t="shared" si="17"/>
        <v>Basic Accessories 729</v>
      </c>
      <c r="AI635" t="str">
        <f t="shared" si="17"/>
        <v>Second Class</v>
      </c>
      <c r="AJ635" s="3" t="str">
        <f t="shared" si="16"/>
        <v>Invalid</v>
      </c>
      <c r="AK635" t="str">
        <f>IFERROR(Y635-X635, "invalid date")</f>
        <v>invalid date</v>
      </c>
      <c r="AL635" s="10">
        <v>0.15</v>
      </c>
      <c r="AM635" s="11">
        <v>1382.1679999999999</v>
      </c>
      <c r="AN635" s="11">
        <v>572.13799999999992</v>
      </c>
      <c r="AO635" s="10">
        <v>0.4139424440444287</v>
      </c>
      <c r="AP635" t="s">
        <v>4105</v>
      </c>
      <c r="AQ635" t="s">
        <v>4361</v>
      </c>
      <c r="AR635" t="s">
        <v>4105</v>
      </c>
      <c r="AS635" t="s">
        <v>4105</v>
      </c>
      <c r="AT635" t="s">
        <v>4108</v>
      </c>
      <c r="AU635" t="s">
        <v>4105</v>
      </c>
      <c r="AV635" t="s">
        <v>4109</v>
      </c>
    </row>
    <row r="636" spans="1:48">
      <c r="A636" t="s">
        <v>3013</v>
      </c>
      <c r="B636" t="s">
        <v>3014</v>
      </c>
      <c r="C636" t="s">
        <v>2187</v>
      </c>
      <c r="D636" t="s">
        <v>3015</v>
      </c>
      <c r="E636" t="s">
        <v>116</v>
      </c>
      <c r="F636" t="s">
        <v>35</v>
      </c>
      <c r="G636" t="s">
        <v>71</v>
      </c>
      <c r="H636" t="s">
        <v>72</v>
      </c>
      <c r="I636" t="s">
        <v>73</v>
      </c>
      <c r="J636" t="s">
        <v>54</v>
      </c>
      <c r="K636" t="s">
        <v>85</v>
      </c>
      <c r="L636" t="s">
        <v>3016</v>
      </c>
      <c r="M636" t="s">
        <v>42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43</v>
      </c>
      <c r="U636" t="s">
        <v>44</v>
      </c>
      <c r="W636" t="s">
        <v>3013</v>
      </c>
      <c r="X636" t="str">
        <v>01-11-25</v>
      </c>
      <c r="Y636" t="str">
        <v>12-01-25</v>
      </c>
      <c r="Z636" t="s">
        <v>3015</v>
      </c>
      <c r="AA636" t="str">
        <v>Aditi Sen</v>
      </c>
      <c r="AB636" t="str">
        <f>TRIM(PROPER(F:F))</f>
        <v>Consumer</v>
      </c>
      <c r="AC636" t="str">
        <f>TRIM(PROPER(G:G))</f>
        <v>South</v>
      </c>
      <c r="AD636" t="str">
        <f>TRIM(PROPER(H:H))</f>
        <v>Telangana</v>
      </c>
      <c r="AE636" t="str">
        <f>TRIM(PROPER(I:I))</f>
        <v>Hyderabad</v>
      </c>
      <c r="AF636" t="str">
        <f t="shared" si="18"/>
        <v>Furniture</v>
      </c>
      <c r="AG636" t="str">
        <f t="shared" si="18"/>
        <v>Chairs</v>
      </c>
      <c r="AH636" t="str">
        <f t="shared" si="17"/>
        <v>Classic Chairs 220</v>
      </c>
      <c r="AI636" t="str">
        <f t="shared" si="17"/>
        <v>Second Class</v>
      </c>
      <c r="AJ636" s="3" t="str">
        <f t="shared" si="16"/>
        <v>anomaly</v>
      </c>
      <c r="AK636">
        <f>IFERROR(Y636-X636, "invalid date")</f>
        <v>-293</v>
      </c>
      <c r="AL636" s="10">
        <v>0.05</v>
      </c>
      <c r="AM636" s="11">
        <v>9223.17</v>
      </c>
      <c r="AN636" s="11">
        <v>4119.47</v>
      </c>
      <c r="AO636" s="10">
        <v>0.44664361602355807</v>
      </c>
      <c r="AP636" t="s">
        <v>4646</v>
      </c>
      <c r="AQ636" t="s">
        <v>4389</v>
      </c>
      <c r="AR636" t="s">
        <v>4117</v>
      </c>
      <c r="AS636" t="s">
        <v>4120</v>
      </c>
      <c r="AT636" t="s">
        <v>4115</v>
      </c>
      <c r="AU636">
        <v>-293</v>
      </c>
      <c r="AV636" t="s">
        <v>4109</v>
      </c>
    </row>
    <row r="637" spans="1:48">
      <c r="A637" t="s">
        <v>3017</v>
      </c>
      <c r="B637" t="s">
        <v>2913</v>
      </c>
      <c r="C637" t="s">
        <v>3018</v>
      </c>
      <c r="D637" t="s">
        <v>3019</v>
      </c>
      <c r="E637" t="s">
        <v>49</v>
      </c>
      <c r="F637" t="s">
        <v>117</v>
      </c>
      <c r="G637" t="s">
        <v>71</v>
      </c>
      <c r="H637" t="s">
        <v>109</v>
      </c>
      <c r="I637" t="s">
        <v>110</v>
      </c>
      <c r="J637" t="s">
        <v>54</v>
      </c>
      <c r="K637" t="s">
        <v>85</v>
      </c>
      <c r="L637" t="s">
        <v>3020</v>
      </c>
      <c r="M637" t="s">
        <v>57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43</v>
      </c>
      <c r="U637" t="s">
        <v>44</v>
      </c>
      <c r="W637" t="s">
        <v>3017</v>
      </c>
      <c r="X637" t="str">
        <v>20-05-24</v>
      </c>
      <c r="Y637" t="str">
        <v>25-05-24</v>
      </c>
      <c r="Z637" t="s">
        <v>3019</v>
      </c>
      <c r="AA637" t="str">
        <v>Mira Das</v>
      </c>
      <c r="AB637" t="str">
        <f>TRIM(PROPER(F:F))</f>
        <v>Corporate</v>
      </c>
      <c r="AC637" t="str">
        <f>TRIM(PROPER(G:G))</f>
        <v>South</v>
      </c>
      <c r="AD637" t="str">
        <f>TRIM(PROPER(H:H))</f>
        <v>Andhra Pradesh</v>
      </c>
      <c r="AE637" t="str">
        <f>TRIM(PROPER(I:I))</f>
        <v>Vijayawada</v>
      </c>
      <c r="AF637" t="str">
        <f t="shared" si="18"/>
        <v>Furniture</v>
      </c>
      <c r="AG637" t="str">
        <f t="shared" si="18"/>
        <v>Chairs</v>
      </c>
      <c r="AH637" t="str">
        <f t="shared" si="17"/>
        <v>Max Chairs 305</v>
      </c>
      <c r="AI637" t="str">
        <f t="shared" si="17"/>
        <v>Same Day</v>
      </c>
      <c r="AJ637" s="3" t="str">
        <f t="shared" si="16"/>
        <v>anomaly</v>
      </c>
      <c r="AK637">
        <f>IFERROR(Y637-X637, "invalid date")</f>
        <v>5</v>
      </c>
      <c r="AL637" s="10">
        <v>0.25</v>
      </c>
      <c r="AM637" s="11">
        <v>16394.962500000001</v>
      </c>
      <c r="AN637" s="11">
        <v>5990.7925000000014</v>
      </c>
      <c r="AO637" s="10">
        <v>0.36540446493854445</v>
      </c>
      <c r="AP637" t="s">
        <v>4638</v>
      </c>
      <c r="AQ637" t="s">
        <v>4299</v>
      </c>
      <c r="AR637" t="s">
        <v>4124</v>
      </c>
      <c r="AS637" t="s">
        <v>4107</v>
      </c>
      <c r="AT637" t="s">
        <v>4115</v>
      </c>
      <c r="AU637">
        <v>5</v>
      </c>
      <c r="AV637" t="s">
        <v>4109</v>
      </c>
    </row>
    <row r="638" spans="1:48">
      <c r="A638" t="s">
        <v>3021</v>
      </c>
      <c r="B638" t="s">
        <v>3022</v>
      </c>
      <c r="C638" t="s">
        <v>3023</v>
      </c>
      <c r="D638" t="s">
        <v>3024</v>
      </c>
      <c r="E638" t="s">
        <v>81</v>
      </c>
      <c r="F638" t="s">
        <v>35</v>
      </c>
      <c r="G638" t="s">
        <v>71</v>
      </c>
      <c r="H638" t="s">
        <v>350</v>
      </c>
      <c r="I638" t="s">
        <v>351</v>
      </c>
      <c r="J638" t="s">
        <v>39</v>
      </c>
      <c r="K638" t="s">
        <v>40</v>
      </c>
      <c r="L638" t="s">
        <v>3025</v>
      </c>
      <c r="M638" t="s">
        <v>76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43</v>
      </c>
      <c r="U638" t="s">
        <v>44</v>
      </c>
      <c r="W638" t="s">
        <v>3021</v>
      </c>
      <c r="X638" t="str">
        <v>02-10-24</v>
      </c>
      <c r="Y638" t="str">
        <v>09-10-24</v>
      </c>
      <c r="Z638" t="s">
        <v>3024</v>
      </c>
      <c r="AA638" t="str">
        <v>Ananya Rao</v>
      </c>
      <c r="AB638" t="str">
        <f>TRIM(PROPER(F:F))</f>
        <v>Consumer</v>
      </c>
      <c r="AC638" t="str">
        <f>TRIM(PROPER(G:G))</f>
        <v>South</v>
      </c>
      <c r="AD638" t="str">
        <f>TRIM(PROPER(H:H))</f>
        <v>Tamil Nadu</v>
      </c>
      <c r="AE638" t="str">
        <f>TRIM(PROPER(I:I))</f>
        <v>Chennai</v>
      </c>
      <c r="AF638" t="str">
        <f t="shared" si="18"/>
        <v>Office Supplies</v>
      </c>
      <c r="AG638" t="str">
        <f t="shared" si="18"/>
        <v>Paper</v>
      </c>
      <c r="AH638" t="str">
        <f t="shared" si="17"/>
        <v>Smart Paper 872</v>
      </c>
      <c r="AI638" t="str">
        <f t="shared" si="17"/>
        <v>Standard Class</v>
      </c>
      <c r="AJ638" s="3" t="str">
        <f t="shared" si="16"/>
        <v>anomaly</v>
      </c>
      <c r="AK638">
        <f>IFERROR(Y638-X638, "invalid date")</f>
        <v>7</v>
      </c>
      <c r="AL638" s="10">
        <v>0.15</v>
      </c>
      <c r="AM638" s="11">
        <v>12990.108</v>
      </c>
      <c r="AN638" s="11">
        <v>2789.3080000000009</v>
      </c>
      <c r="AO638" s="10">
        <v>0.2147255434673831</v>
      </c>
      <c r="AP638" t="s">
        <v>4647</v>
      </c>
      <c r="AQ638" t="s">
        <v>4601</v>
      </c>
      <c r="AR638" t="s">
        <v>4126</v>
      </c>
      <c r="AS638" t="s">
        <v>4107</v>
      </c>
      <c r="AT638" t="s">
        <v>4115</v>
      </c>
      <c r="AU638">
        <v>7</v>
      </c>
      <c r="AV638" t="s">
        <v>4109</v>
      </c>
    </row>
    <row r="639" spans="1:48">
      <c r="A639" t="s">
        <v>3026</v>
      </c>
      <c r="B639" t="s">
        <v>3027</v>
      </c>
      <c r="C639" t="s">
        <v>3028</v>
      </c>
      <c r="D639" t="s">
        <v>3029</v>
      </c>
      <c r="E639" t="s">
        <v>157</v>
      </c>
      <c r="F639" t="s">
        <v>50</v>
      </c>
      <c r="G639" t="s">
        <v>82</v>
      </c>
      <c r="H639" t="s">
        <v>259</v>
      </c>
      <c r="I639" t="s">
        <v>260</v>
      </c>
      <c r="J639" t="s">
        <v>95</v>
      </c>
      <c r="K639" t="s">
        <v>103</v>
      </c>
      <c r="L639" t="s">
        <v>3030</v>
      </c>
      <c r="M639" t="s">
        <v>65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43</v>
      </c>
      <c r="U639" t="s">
        <v>44</v>
      </c>
      <c r="W639" t="s">
        <v>3026</v>
      </c>
      <c r="X639" t="str">
        <v>26-05-24</v>
      </c>
      <c r="Y639" t="str">
        <v>26-05-24</v>
      </c>
      <c r="Z639" t="s">
        <v>3029</v>
      </c>
      <c r="AA639" t="str">
        <v>Rahul Verma</v>
      </c>
      <c r="AB639" t="str">
        <f>TRIM(PROPER(F:F))</f>
        <v>Small Business</v>
      </c>
      <c r="AC639" t="str">
        <f>TRIM(PROPER(G:G))</f>
        <v>West</v>
      </c>
      <c r="AD639" t="str">
        <f>TRIM(PROPER(H:H))</f>
        <v>Goa</v>
      </c>
      <c r="AE639" t="str">
        <f>TRIM(PROPER(I:I))</f>
        <v>Panaji</v>
      </c>
      <c r="AF639" t="str">
        <f t="shared" si="18"/>
        <v>Technology</v>
      </c>
      <c r="AG639" t="str">
        <f t="shared" si="18"/>
        <v>Copiers</v>
      </c>
      <c r="AH639" t="str">
        <f t="shared" si="17"/>
        <v>Max Copiers 994</v>
      </c>
      <c r="AI639" t="str">
        <f t="shared" si="17"/>
        <v>First Class</v>
      </c>
      <c r="AJ639" s="3" t="str">
        <f t="shared" si="16"/>
        <v xml:space="preserve">  </v>
      </c>
      <c r="AK639">
        <f>IFERROR(Y639-X639, "invalid date")</f>
        <v>0</v>
      </c>
      <c r="AL639" s="10">
        <v>0.2</v>
      </c>
      <c r="AM639" s="11">
        <v>5107.9520000000002</v>
      </c>
      <c r="AN639" s="11">
        <v>1974.8720000000003</v>
      </c>
      <c r="AO639" s="10">
        <v>0.38662696908663202</v>
      </c>
      <c r="AP639" t="s">
        <v>4648</v>
      </c>
      <c r="AQ639" t="s">
        <v>4648</v>
      </c>
      <c r="AR639" t="s">
        <v>4124</v>
      </c>
      <c r="AS639" t="s">
        <v>4107</v>
      </c>
      <c r="AT639" t="s">
        <v>4115</v>
      </c>
      <c r="AU639">
        <v>0</v>
      </c>
      <c r="AV639" t="s">
        <v>4109</v>
      </c>
    </row>
    <row r="640" spans="1:48">
      <c r="A640" t="s">
        <v>3031</v>
      </c>
      <c r="B640" t="s">
        <v>2879</v>
      </c>
      <c r="C640" t="s">
        <v>3032</v>
      </c>
      <c r="D640" t="s">
        <v>3033</v>
      </c>
      <c r="E640" t="s">
        <v>34</v>
      </c>
      <c r="F640" t="s">
        <v>117</v>
      </c>
      <c r="G640" t="s">
        <v>71</v>
      </c>
      <c r="H640" t="s">
        <v>252</v>
      </c>
      <c r="I640" t="s">
        <v>253</v>
      </c>
      <c r="J640" t="s">
        <v>39</v>
      </c>
      <c r="K640" t="s">
        <v>165</v>
      </c>
      <c r="L640" t="s">
        <v>3034</v>
      </c>
      <c r="M640" t="s">
        <v>42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210</v>
      </c>
      <c r="U640" t="s">
        <v>134</v>
      </c>
      <c r="W640" t="s">
        <v>3031</v>
      </c>
      <c r="X640" t="str">
        <v>26-01-24</v>
      </c>
      <c r="Y640" t="str">
        <v>31-01-24</v>
      </c>
      <c r="Z640" t="s">
        <v>3033</v>
      </c>
      <c r="AA640" t="str">
        <v>Karan Malhotra</v>
      </c>
      <c r="AB640" t="str">
        <f>TRIM(PROPER(F:F))</f>
        <v>Corporate</v>
      </c>
      <c r="AC640" t="str">
        <f>TRIM(PROPER(G:G))</f>
        <v>South</v>
      </c>
      <c r="AD640" t="str">
        <f>TRIM(PROPER(H:H))</f>
        <v>Kerala</v>
      </c>
      <c r="AE640" t="str">
        <f>TRIM(PROPER(I:I))</f>
        <v>Kochi</v>
      </c>
      <c r="AF640" t="str">
        <f t="shared" si="18"/>
        <v>Office Supplies</v>
      </c>
      <c r="AG640" t="str">
        <f t="shared" si="18"/>
        <v>Storage</v>
      </c>
      <c r="AH640" t="str">
        <f t="shared" si="17"/>
        <v>Pro Storage 744</v>
      </c>
      <c r="AI640" t="str">
        <f t="shared" si="17"/>
        <v>Second Class</v>
      </c>
      <c r="AJ640" s="3" t="str">
        <f t="shared" si="16"/>
        <v>anomaly</v>
      </c>
      <c r="AK640">
        <f>IFERROR(Y640-X640, "invalid date")</f>
        <v>5</v>
      </c>
      <c r="AL640" s="10">
        <v>0.2</v>
      </c>
      <c r="AM640" s="11">
        <v>7738.3680000000013</v>
      </c>
      <c r="AN640" s="11">
        <v>3111.5180000000009</v>
      </c>
      <c r="AO640" s="10">
        <v>0.40208969126306743</v>
      </c>
      <c r="AP640" t="s">
        <v>4267</v>
      </c>
      <c r="AQ640" t="s">
        <v>4649</v>
      </c>
      <c r="AR640" t="s">
        <v>4153</v>
      </c>
      <c r="AS640" t="s">
        <v>4107</v>
      </c>
      <c r="AT640" t="s">
        <v>4115</v>
      </c>
      <c r="AU640">
        <v>5</v>
      </c>
      <c r="AV640" t="s">
        <v>4109</v>
      </c>
    </row>
    <row r="641" spans="1:48">
      <c r="A641" t="s">
        <v>3035</v>
      </c>
      <c r="B641" t="s">
        <v>3036</v>
      </c>
      <c r="C641" t="s">
        <v>1880</v>
      </c>
      <c r="D641" t="s">
        <v>3037</v>
      </c>
      <c r="E641" t="s">
        <v>62</v>
      </c>
      <c r="F641" t="s">
        <v>50</v>
      </c>
      <c r="G641" t="s">
        <v>51</v>
      </c>
      <c r="H641" t="s">
        <v>52</v>
      </c>
      <c r="I641" t="s">
        <v>53</v>
      </c>
      <c r="J641" t="s">
        <v>54</v>
      </c>
      <c r="K641" t="s">
        <v>85</v>
      </c>
      <c r="L641" t="s">
        <v>3038</v>
      </c>
      <c r="M641" t="s">
        <v>42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43</v>
      </c>
      <c r="U641" t="s">
        <v>44</v>
      </c>
      <c r="W641" t="s">
        <v>3035</v>
      </c>
      <c r="X641" t="str">
        <v>invalid date</v>
      </c>
      <c r="Y641" t="str">
        <v>31-12-24</v>
      </c>
      <c r="Z641" t="s">
        <v>3037</v>
      </c>
      <c r="AA641" t="str">
        <v>Isha Nair</v>
      </c>
      <c r="AB641" t="str">
        <f>TRIM(PROPER(F:F))</f>
        <v>Small Business</v>
      </c>
      <c r="AC641" t="str">
        <f>TRIM(PROPER(G:G))</f>
        <v>East</v>
      </c>
      <c r="AD641" t="str">
        <f>TRIM(PROPER(H:H))</f>
        <v>Odisha</v>
      </c>
      <c r="AE641" t="str">
        <f>TRIM(PROPER(I:I))</f>
        <v>Bhubaneswar</v>
      </c>
      <c r="AF641" t="str">
        <f t="shared" si="18"/>
        <v>Furniture</v>
      </c>
      <c r="AG641" t="str">
        <f t="shared" si="18"/>
        <v>Chairs</v>
      </c>
      <c r="AH641" t="str">
        <f t="shared" si="17"/>
        <v>Elite Chairs 744</v>
      </c>
      <c r="AI641" t="str">
        <f t="shared" si="17"/>
        <v>Second Class</v>
      </c>
      <c r="AJ641" s="3" t="str">
        <f t="shared" si="16"/>
        <v>Invalid</v>
      </c>
      <c r="AK641" t="str">
        <f>IFERROR(Y641-X641, "invalid date")</f>
        <v>invalid date</v>
      </c>
      <c r="AL641" s="10">
        <v>0.05</v>
      </c>
      <c r="AM641" s="11">
        <v>1514.9649999999999</v>
      </c>
      <c r="AN641" s="11">
        <v>468.79499999999985</v>
      </c>
      <c r="AO641" s="10">
        <v>0.3094427924077453</v>
      </c>
      <c r="AP641" t="s">
        <v>4105</v>
      </c>
      <c r="AQ641" t="s">
        <v>4498</v>
      </c>
      <c r="AR641" t="s">
        <v>4105</v>
      </c>
      <c r="AS641" t="s">
        <v>4105</v>
      </c>
      <c r="AT641" t="s">
        <v>4108</v>
      </c>
      <c r="AU641" t="s">
        <v>4105</v>
      </c>
      <c r="AV641" t="s">
        <v>4109</v>
      </c>
    </row>
    <row r="642" spans="1:48">
      <c r="A642" t="s">
        <v>3039</v>
      </c>
      <c r="B642" t="s">
        <v>3040</v>
      </c>
      <c r="C642" t="s">
        <v>3041</v>
      </c>
      <c r="D642" t="s">
        <v>3042</v>
      </c>
      <c r="E642" t="s">
        <v>92</v>
      </c>
      <c r="F642" t="s">
        <v>35</v>
      </c>
      <c r="G642" t="s">
        <v>82</v>
      </c>
      <c r="H642" t="s">
        <v>259</v>
      </c>
      <c r="I642" t="s">
        <v>260</v>
      </c>
      <c r="J642" t="s">
        <v>39</v>
      </c>
      <c r="K642" t="s">
        <v>165</v>
      </c>
      <c r="L642" t="s">
        <v>3043</v>
      </c>
      <c r="M642" t="s">
        <v>65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43</v>
      </c>
      <c r="U642" t="s">
        <v>44</v>
      </c>
      <c r="W642" t="s">
        <v>3039</v>
      </c>
      <c r="X642" t="str">
        <v>14-01-25</v>
      </c>
      <c r="Y642" t="str">
        <v>17-01-25</v>
      </c>
      <c r="Z642" t="s">
        <v>3042</v>
      </c>
      <c r="AA642" t="str">
        <v>Vikram Iyer</v>
      </c>
      <c r="AB642" t="str">
        <f>TRIM(PROPER(F:F))</f>
        <v>Consumer</v>
      </c>
      <c r="AC642" t="str">
        <f>TRIM(PROPER(G:G))</f>
        <v>West</v>
      </c>
      <c r="AD642" t="str">
        <f>TRIM(PROPER(H:H))</f>
        <v>Goa</v>
      </c>
      <c r="AE642" t="str">
        <f>TRIM(PROPER(I:I))</f>
        <v>Panaji</v>
      </c>
      <c r="AF642" t="str">
        <f t="shared" si="18"/>
        <v>Office Supplies</v>
      </c>
      <c r="AG642" t="str">
        <f t="shared" si="18"/>
        <v>Storage</v>
      </c>
      <c r="AH642" t="str">
        <f t="shared" si="17"/>
        <v>Basic Storage 973</v>
      </c>
      <c r="AI642" t="str">
        <f t="shared" si="17"/>
        <v>First Class</v>
      </c>
      <c r="AJ642" s="3" t="str">
        <f t="shared" si="16"/>
        <v>anomaly</v>
      </c>
      <c r="AK642">
        <f>IFERROR(Y642-X642, "invalid date")</f>
        <v>3</v>
      </c>
      <c r="AL642" s="10">
        <v>0.2</v>
      </c>
      <c r="AM642" s="11">
        <v>1267.296</v>
      </c>
      <c r="AN642" s="11">
        <v>343.76600000000008</v>
      </c>
      <c r="AO642" s="10">
        <v>0.27125943741635739</v>
      </c>
      <c r="AP642" t="s">
        <v>4650</v>
      </c>
      <c r="AQ642" t="s">
        <v>4651</v>
      </c>
      <c r="AR642" t="s">
        <v>4153</v>
      </c>
      <c r="AS642" t="s">
        <v>4120</v>
      </c>
      <c r="AT642" t="s">
        <v>4115</v>
      </c>
      <c r="AU642">
        <v>3</v>
      </c>
      <c r="AV642" t="s">
        <v>4109</v>
      </c>
    </row>
    <row r="643" spans="1:48">
      <c r="A643" t="s">
        <v>3044</v>
      </c>
      <c r="B643" t="s">
        <v>3045</v>
      </c>
      <c r="C643" t="s">
        <v>1971</v>
      </c>
      <c r="D643" t="s">
        <v>3046</v>
      </c>
      <c r="E643" t="s">
        <v>34</v>
      </c>
      <c r="F643" t="s">
        <v>35</v>
      </c>
      <c r="G643" t="s">
        <v>36</v>
      </c>
      <c r="H643" t="s">
        <v>517</v>
      </c>
      <c r="I643" t="s">
        <v>518</v>
      </c>
      <c r="J643" t="s">
        <v>54</v>
      </c>
      <c r="K643" t="s">
        <v>74</v>
      </c>
      <c r="L643" t="s">
        <v>3047</v>
      </c>
      <c r="M643" t="s">
        <v>57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43</v>
      </c>
      <c r="U643" t="s">
        <v>44</v>
      </c>
      <c r="W643" t="s">
        <v>3044</v>
      </c>
      <c r="X643" t="str">
        <v>09-04-25</v>
      </c>
      <c r="Y643" t="str">
        <v>14-04-25</v>
      </c>
      <c r="Z643" t="s">
        <v>3046</v>
      </c>
      <c r="AA643" t="str">
        <v>Karan Malhotra</v>
      </c>
      <c r="AB643" t="str">
        <f>TRIM(PROPER(F:F))</f>
        <v>Consumer</v>
      </c>
      <c r="AC643" t="str">
        <f>TRIM(PROPER(G:G))</f>
        <v>North</v>
      </c>
      <c r="AD643" t="str">
        <f>TRIM(PROPER(H:H))</f>
        <v>Delhi</v>
      </c>
      <c r="AE643" t="str">
        <f>TRIM(PROPER(I:I))</f>
        <v>New Delhi</v>
      </c>
      <c r="AF643" t="str">
        <f t="shared" si="18"/>
        <v>Furniture</v>
      </c>
      <c r="AG643" t="str">
        <f t="shared" si="18"/>
        <v>Furnishings</v>
      </c>
      <c r="AH643" t="str">
        <f t="shared" si="17"/>
        <v>Smart Furnishings 783</v>
      </c>
      <c r="AI643" t="str">
        <f t="shared" si="17"/>
        <v>Same Day</v>
      </c>
      <c r="AJ643" s="3" t="str">
        <f t="shared" ref="AJ643:AJ706" si="19">IF(OR(X:X="Invalid Date",Y:Y="Invalid Date"),"Invalid",(IF(X:X&lt;Y:Y,"anomaly", "  ")))</f>
        <v>anomaly</v>
      </c>
      <c r="AK643">
        <f>IFERROR(Y643-X643, "invalid date")</f>
        <v>5</v>
      </c>
      <c r="AL643" s="10">
        <v>0</v>
      </c>
      <c r="AM643" s="11">
        <v>6405.74</v>
      </c>
      <c r="AN643" s="11">
        <v>2843.87</v>
      </c>
      <c r="AO643" s="10">
        <v>0.44395651400150488</v>
      </c>
      <c r="AP643" t="s">
        <v>4620</v>
      </c>
      <c r="AQ643" t="s">
        <v>4526</v>
      </c>
      <c r="AR643" t="s">
        <v>4199</v>
      </c>
      <c r="AS643" t="s">
        <v>4120</v>
      </c>
      <c r="AT643" t="s">
        <v>4115</v>
      </c>
      <c r="AU643">
        <v>5</v>
      </c>
      <c r="AV643" t="s">
        <v>4109</v>
      </c>
    </row>
    <row r="644" spans="1:48">
      <c r="A644" t="s">
        <v>3048</v>
      </c>
      <c r="B644" t="s">
        <v>1959</v>
      </c>
      <c r="C644" t="s">
        <v>46</v>
      </c>
      <c r="D644" t="s">
        <v>3049</v>
      </c>
      <c r="E644" t="s">
        <v>62</v>
      </c>
      <c r="F644" t="s">
        <v>124</v>
      </c>
      <c r="G644" t="s">
        <v>51</v>
      </c>
      <c r="H644" t="s">
        <v>226</v>
      </c>
      <c r="I644" t="s">
        <v>227</v>
      </c>
      <c r="J644" t="s">
        <v>39</v>
      </c>
      <c r="K644" t="s">
        <v>3050</v>
      </c>
      <c r="L644" t="s">
        <v>3051</v>
      </c>
      <c r="M644" t="s">
        <v>42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210</v>
      </c>
      <c r="U644" t="s">
        <v>134</v>
      </c>
      <c r="W644" t="s">
        <v>3048</v>
      </c>
      <c r="X644" t="str">
        <v>invalid date</v>
      </c>
      <c r="Y644" t="str">
        <v>invalid date</v>
      </c>
      <c r="Z644" t="s">
        <v>3049</v>
      </c>
      <c r="AA644" t="str">
        <v>Isha Nair</v>
      </c>
      <c r="AB644" t="str">
        <f>TRIM(PROPER(F:F))</f>
        <v>Home Office</v>
      </c>
      <c r="AC644" t="str">
        <f>TRIM(PROPER(G:G))</f>
        <v>East</v>
      </c>
      <c r="AD644" t="str">
        <f>TRIM(PROPER(H:H))</f>
        <v>Assam</v>
      </c>
      <c r="AE644" t="str">
        <f>TRIM(PROPER(I:I))</f>
        <v>Guwahati</v>
      </c>
      <c r="AF644" t="str">
        <f t="shared" si="18"/>
        <v>Office Supplies</v>
      </c>
      <c r="AG644" t="str">
        <f t="shared" si="18"/>
        <v>Binders</v>
      </c>
      <c r="AH644" t="str">
        <f t="shared" si="17"/>
        <v>Prime Binders 287</v>
      </c>
      <c r="AI644" t="str">
        <f t="shared" si="17"/>
        <v>Second Class</v>
      </c>
      <c r="AJ644" s="3" t="str">
        <f t="shared" si="19"/>
        <v>Invalid</v>
      </c>
      <c r="AK644" t="str">
        <f>IFERROR(Y644-X644, "invalid date")</f>
        <v>invalid date</v>
      </c>
      <c r="AL644" s="10">
        <v>0.25</v>
      </c>
      <c r="AM644" s="11">
        <v>8607.6674999999996</v>
      </c>
      <c r="AN644" s="11">
        <v>3270.0274999999992</v>
      </c>
      <c r="AO644" s="10">
        <v>0.37989705108846261</v>
      </c>
      <c r="AP644" t="s">
        <v>4105</v>
      </c>
      <c r="AQ644" t="s">
        <v>4105</v>
      </c>
      <c r="AR644" t="s">
        <v>4105</v>
      </c>
      <c r="AS644" t="s">
        <v>4105</v>
      </c>
      <c r="AT644" t="s">
        <v>4108</v>
      </c>
      <c r="AU644" t="s">
        <v>4105</v>
      </c>
      <c r="AV644" t="s">
        <v>4109</v>
      </c>
    </row>
    <row r="645" spans="1:48">
      <c r="A645" t="s">
        <v>3052</v>
      </c>
      <c r="B645" t="s">
        <v>3053</v>
      </c>
      <c r="C645" t="s">
        <v>3054</v>
      </c>
      <c r="D645" t="s">
        <v>1106</v>
      </c>
      <c r="E645" t="s">
        <v>171</v>
      </c>
      <c r="F645" t="s">
        <v>124</v>
      </c>
      <c r="G645" t="s">
        <v>36</v>
      </c>
      <c r="H645" t="s">
        <v>183</v>
      </c>
      <c r="I645" t="s">
        <v>184</v>
      </c>
      <c r="J645" t="s">
        <v>39</v>
      </c>
      <c r="K645" t="s">
        <v>118</v>
      </c>
      <c r="L645" t="s">
        <v>3055</v>
      </c>
      <c r="M645" t="s">
        <v>76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210</v>
      </c>
      <c r="U645" t="s">
        <v>134</v>
      </c>
      <c r="W645" t="s">
        <v>3052</v>
      </c>
      <c r="X645" t="str">
        <v>05-02-24</v>
      </c>
      <c r="Y645" t="str">
        <v>13-02-24</v>
      </c>
      <c r="Z645" t="s">
        <v>1106</v>
      </c>
      <c r="AA645" t="str">
        <v>Aarav Sharma</v>
      </c>
      <c r="AB645" t="str">
        <f>TRIM(PROPER(F:F))</f>
        <v>Home Office</v>
      </c>
      <c r="AC645" t="str">
        <f>TRIM(PROPER(G:G))</f>
        <v>North</v>
      </c>
      <c r="AD645" t="str">
        <f>TRIM(PROPER(H:H))</f>
        <v>Uttar Pradesh</v>
      </c>
      <c r="AE645" t="str">
        <f>TRIM(PROPER(I:I))</f>
        <v>Noida</v>
      </c>
      <c r="AF645" t="str">
        <f t="shared" si="18"/>
        <v>Office Supplies</v>
      </c>
      <c r="AG645" t="str">
        <f t="shared" si="18"/>
        <v>Labels</v>
      </c>
      <c r="AH645" t="str">
        <f t="shared" si="17"/>
        <v>Elite Labels 654</v>
      </c>
      <c r="AI645" t="str">
        <f t="shared" si="17"/>
        <v>Standard Class</v>
      </c>
      <c r="AJ645" s="3" t="str">
        <f t="shared" si="19"/>
        <v>anomaly</v>
      </c>
      <c r="AK645">
        <f>IFERROR(Y645-X645, "invalid date")</f>
        <v>8</v>
      </c>
      <c r="AL645" s="10">
        <v>0.15</v>
      </c>
      <c r="AM645" s="11">
        <v>26324.023999999998</v>
      </c>
      <c r="AN645" s="11">
        <v>10046.063999999998</v>
      </c>
      <c r="AO645" s="10">
        <v>0.3816310150758106</v>
      </c>
      <c r="AP645" t="s">
        <v>4400</v>
      </c>
      <c r="AQ645" t="s">
        <v>4652</v>
      </c>
      <c r="AR645" t="s">
        <v>4129</v>
      </c>
      <c r="AS645" t="s">
        <v>4107</v>
      </c>
      <c r="AT645" t="s">
        <v>4115</v>
      </c>
      <c r="AU645">
        <v>8</v>
      </c>
      <c r="AV645" t="s">
        <v>4109</v>
      </c>
    </row>
    <row r="646" spans="1:48">
      <c r="A646" t="s">
        <v>3056</v>
      </c>
      <c r="B646" t="s">
        <v>2600</v>
      </c>
      <c r="C646" t="s">
        <v>3057</v>
      </c>
      <c r="D646" t="s">
        <v>3058</v>
      </c>
      <c r="E646" t="s">
        <v>92</v>
      </c>
      <c r="F646" t="s">
        <v>35</v>
      </c>
      <c r="G646" t="s">
        <v>51</v>
      </c>
      <c r="H646" t="s">
        <v>130</v>
      </c>
      <c r="I646" t="s">
        <v>131</v>
      </c>
      <c r="J646" t="s">
        <v>54</v>
      </c>
      <c r="K646" t="s">
        <v>85</v>
      </c>
      <c r="L646" t="s">
        <v>3059</v>
      </c>
      <c r="M646" t="s">
        <v>76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43</v>
      </c>
      <c r="U646" t="s">
        <v>44</v>
      </c>
      <c r="W646" t="s">
        <v>3056</v>
      </c>
      <c r="X646" t="str">
        <v>10-04-25</v>
      </c>
      <c r="Y646" t="str">
        <v>invalid date</v>
      </c>
      <c r="Z646" t="s">
        <v>3058</v>
      </c>
      <c r="AA646" t="str">
        <v>Vikram Iyer</v>
      </c>
      <c r="AB646" t="str">
        <f>TRIM(PROPER(F:F))</f>
        <v>Consumer</v>
      </c>
      <c r="AC646" t="str">
        <f>TRIM(PROPER(G:G))</f>
        <v>East</v>
      </c>
      <c r="AD646" t="str">
        <f>TRIM(PROPER(H:H))</f>
        <v>West Bengal</v>
      </c>
      <c r="AE646" t="str">
        <f>TRIM(PROPER(I:I))</f>
        <v>Kolkata</v>
      </c>
      <c r="AF646" t="str">
        <f t="shared" si="18"/>
        <v>Furniture</v>
      </c>
      <c r="AG646" t="str">
        <f t="shared" si="18"/>
        <v>Chairs</v>
      </c>
      <c r="AH646" t="str">
        <f t="shared" si="17"/>
        <v>Pro Chairs 812</v>
      </c>
      <c r="AI646" t="str">
        <f t="shared" si="17"/>
        <v>Standard Class</v>
      </c>
      <c r="AJ646" s="3" t="str">
        <f t="shared" si="19"/>
        <v>Invalid</v>
      </c>
      <c r="AK646" t="str">
        <f>IFERROR(Y646-X646, "invalid date")</f>
        <v>invalid date</v>
      </c>
      <c r="AL646" s="10">
        <v>0.05</v>
      </c>
      <c r="AM646" s="11">
        <v>14250.075999999999</v>
      </c>
      <c r="AN646" s="11">
        <v>3335.155999999999</v>
      </c>
      <c r="AO646" s="10">
        <v>0.23404478684885605</v>
      </c>
      <c r="AP646" t="s">
        <v>4394</v>
      </c>
      <c r="AQ646" t="s">
        <v>4105</v>
      </c>
      <c r="AR646" t="s">
        <v>4199</v>
      </c>
      <c r="AS646" t="s">
        <v>4120</v>
      </c>
      <c r="AT646" t="s">
        <v>4108</v>
      </c>
      <c r="AU646" t="s">
        <v>4105</v>
      </c>
      <c r="AV646" t="s">
        <v>4109</v>
      </c>
    </row>
    <row r="647" spans="1:48">
      <c r="A647" t="s">
        <v>3060</v>
      </c>
      <c r="B647" t="s">
        <v>3061</v>
      </c>
      <c r="C647" t="s">
        <v>2754</v>
      </c>
      <c r="D647" t="s">
        <v>3062</v>
      </c>
      <c r="E647" t="s">
        <v>377</v>
      </c>
      <c r="F647" t="s">
        <v>35</v>
      </c>
      <c r="G647" t="s">
        <v>51</v>
      </c>
      <c r="H647" t="s">
        <v>196</v>
      </c>
      <c r="I647" t="s">
        <v>197</v>
      </c>
      <c r="J647" t="s">
        <v>54</v>
      </c>
      <c r="K647" t="s">
        <v>85</v>
      </c>
      <c r="L647" t="s">
        <v>3063</v>
      </c>
      <c r="M647" t="s">
        <v>42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43</v>
      </c>
      <c r="U647" t="s">
        <v>44</v>
      </c>
      <c r="W647" t="s">
        <v>3060</v>
      </c>
      <c r="X647" t="str">
        <v>04-01-24</v>
      </c>
      <c r="Y647" t="str">
        <v>09-01-24</v>
      </c>
      <c r="Z647" t="s">
        <v>3062</v>
      </c>
      <c r="AA647" t="str">
        <v>Kabir Singh</v>
      </c>
      <c r="AB647" t="str">
        <f>TRIM(PROPER(F:F))</f>
        <v>Consumer</v>
      </c>
      <c r="AC647" t="str">
        <f>TRIM(PROPER(G:G))</f>
        <v>East</v>
      </c>
      <c r="AD647" t="str">
        <f>TRIM(PROPER(H:H))</f>
        <v>Bihar</v>
      </c>
      <c r="AE647" t="str">
        <f>TRIM(PROPER(I:I))</f>
        <v>Patna</v>
      </c>
      <c r="AF647" t="str">
        <f t="shared" si="18"/>
        <v>Furniture</v>
      </c>
      <c r="AG647" t="str">
        <f t="shared" si="18"/>
        <v>Chairs</v>
      </c>
      <c r="AH647" t="str">
        <f t="shared" si="17"/>
        <v>Basic Chairs 480</v>
      </c>
      <c r="AI647" t="str">
        <f t="shared" si="17"/>
        <v>Second Class</v>
      </c>
      <c r="AJ647" s="3" t="str">
        <f t="shared" si="19"/>
        <v>anomaly</v>
      </c>
      <c r="AK647">
        <f>IFERROR(Y647-X647, "invalid date")</f>
        <v>5</v>
      </c>
      <c r="AL647" s="10">
        <v>0.1</v>
      </c>
      <c r="AM647" s="11">
        <v>13087.494000000001</v>
      </c>
      <c r="AN647" s="11">
        <v>5478.6040000000003</v>
      </c>
      <c r="AO647" s="10">
        <v>0.41861367806548755</v>
      </c>
      <c r="AP647" t="s">
        <v>4571</v>
      </c>
      <c r="AQ647" t="s">
        <v>4624</v>
      </c>
      <c r="AR647" t="s">
        <v>4153</v>
      </c>
      <c r="AS647" t="s">
        <v>4107</v>
      </c>
      <c r="AT647" t="s">
        <v>4115</v>
      </c>
      <c r="AU647">
        <v>5</v>
      </c>
      <c r="AV647" t="s">
        <v>4109</v>
      </c>
    </row>
    <row r="648" spans="1:48">
      <c r="A648" t="s">
        <v>3064</v>
      </c>
      <c r="B648" t="s">
        <v>3065</v>
      </c>
      <c r="C648" t="s">
        <v>3066</v>
      </c>
      <c r="D648" t="s">
        <v>3067</v>
      </c>
      <c r="E648" t="s">
        <v>92</v>
      </c>
      <c r="F648" t="s">
        <v>50</v>
      </c>
      <c r="G648" t="s">
        <v>51</v>
      </c>
      <c r="H648" t="s">
        <v>322</v>
      </c>
      <c r="I648" t="s">
        <v>323</v>
      </c>
      <c r="J648" t="s">
        <v>95</v>
      </c>
      <c r="K648" t="s">
        <v>393</v>
      </c>
      <c r="L648" t="s">
        <v>3068</v>
      </c>
      <c r="M648" t="s">
        <v>65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43</v>
      </c>
      <c r="U648" t="s">
        <v>44</v>
      </c>
      <c r="W648" t="s">
        <v>3064</v>
      </c>
      <c r="X648" t="str">
        <v>invalid date</v>
      </c>
      <c r="Y648" t="str">
        <v>24-09-24</v>
      </c>
      <c r="Z648" t="s">
        <v>3067</v>
      </c>
      <c r="AA648" t="str">
        <v>Vikram Iyer</v>
      </c>
      <c r="AB648" t="str">
        <f>TRIM(PROPER(F:F))</f>
        <v>Small Business</v>
      </c>
      <c r="AC648" t="str">
        <f>TRIM(PROPER(G:G))</f>
        <v>East</v>
      </c>
      <c r="AD648" t="str">
        <f>TRIM(PROPER(H:H))</f>
        <v>Jharkhand</v>
      </c>
      <c r="AE648" t="str">
        <f>TRIM(PROPER(I:I))</f>
        <v>Ranchi</v>
      </c>
      <c r="AF648" t="str">
        <f t="shared" si="18"/>
        <v>Technology</v>
      </c>
      <c r="AG648" t="str">
        <f t="shared" si="18"/>
        <v>Machines</v>
      </c>
      <c r="AH648" t="str">
        <f t="shared" si="17"/>
        <v>Elite Machines 955</v>
      </c>
      <c r="AI648" t="str">
        <f t="shared" si="17"/>
        <v>First Class</v>
      </c>
      <c r="AJ648" s="3" t="str">
        <f t="shared" si="19"/>
        <v>Invalid</v>
      </c>
      <c r="AK648" t="str">
        <f>IFERROR(Y648-X648, "invalid date")</f>
        <v>invalid date</v>
      </c>
      <c r="AL648" s="10">
        <v>0.25</v>
      </c>
      <c r="AM648" s="11">
        <v>1640.5650000000001</v>
      </c>
      <c r="AN648" s="11">
        <v>503.58500000000004</v>
      </c>
      <c r="AO648" s="10">
        <v>0.30695827352162214</v>
      </c>
      <c r="AP648" t="s">
        <v>4105</v>
      </c>
      <c r="AQ648" t="s">
        <v>4537</v>
      </c>
      <c r="AR648" t="s">
        <v>4105</v>
      </c>
      <c r="AS648" t="s">
        <v>4105</v>
      </c>
      <c r="AT648" t="s">
        <v>4108</v>
      </c>
      <c r="AU648" t="s">
        <v>4105</v>
      </c>
      <c r="AV648" t="s">
        <v>4109</v>
      </c>
    </row>
    <row r="649" spans="1:48">
      <c r="A649" t="s">
        <v>3069</v>
      </c>
      <c r="B649" t="s">
        <v>1338</v>
      </c>
      <c r="C649" t="s">
        <v>3070</v>
      </c>
      <c r="D649" t="s">
        <v>3071</v>
      </c>
      <c r="E649" t="s">
        <v>3072</v>
      </c>
      <c r="F649" t="s">
        <v>50</v>
      </c>
      <c r="G649" t="s">
        <v>36</v>
      </c>
      <c r="H649" t="s">
        <v>163</v>
      </c>
      <c r="I649" t="s">
        <v>164</v>
      </c>
      <c r="J649" t="s">
        <v>39</v>
      </c>
      <c r="K649" t="s">
        <v>63</v>
      </c>
      <c r="L649" t="s">
        <v>3073</v>
      </c>
      <c r="M649" t="s">
        <v>65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43</v>
      </c>
      <c r="U649" t="s">
        <v>44</v>
      </c>
      <c r="W649" t="s">
        <v>3069</v>
      </c>
      <c r="X649" t="str">
        <v>01-01-25</v>
      </c>
      <c r="Y649" t="str">
        <v>09-01-25</v>
      </c>
      <c r="Z649" t="s">
        <v>3071</v>
      </c>
      <c r="AA649" t="str">
        <v>Rohan Mehta</v>
      </c>
      <c r="AB649" t="str">
        <f>TRIM(PROPER(F:F))</f>
        <v>Small Business</v>
      </c>
      <c r="AC649" t="str">
        <f>TRIM(PROPER(G:G))</f>
        <v>North</v>
      </c>
      <c r="AD649" t="str">
        <f>TRIM(PROPER(H:H))</f>
        <v>Punjab</v>
      </c>
      <c r="AE649" t="str">
        <f>TRIM(PROPER(I:I))</f>
        <v>Ludhiana</v>
      </c>
      <c r="AF649" t="str">
        <f t="shared" si="18"/>
        <v>Office Supplies</v>
      </c>
      <c r="AG649" t="str">
        <f t="shared" si="18"/>
        <v>Art</v>
      </c>
      <c r="AH649" t="str">
        <f t="shared" si="17"/>
        <v>Prime Art 461</v>
      </c>
      <c r="AI649" t="str">
        <f t="shared" si="17"/>
        <v>First Class</v>
      </c>
      <c r="AJ649" s="3" t="str">
        <f t="shared" si="19"/>
        <v>anomaly</v>
      </c>
      <c r="AK649">
        <f>IFERROR(Y649-X649, "invalid date")</f>
        <v>8</v>
      </c>
      <c r="AL649" s="10">
        <v>0.15</v>
      </c>
      <c r="AM649" s="11">
        <v>14441.907999999999</v>
      </c>
      <c r="AN649" s="11">
        <v>3569.018</v>
      </c>
      <c r="AO649" s="10">
        <v>0.24712925743606731</v>
      </c>
      <c r="AP649" t="s">
        <v>4289</v>
      </c>
      <c r="AQ649" t="s">
        <v>4311</v>
      </c>
      <c r="AR649" t="s">
        <v>4153</v>
      </c>
      <c r="AS649" t="s">
        <v>4120</v>
      </c>
      <c r="AT649" t="s">
        <v>4115</v>
      </c>
      <c r="AU649">
        <v>8</v>
      </c>
      <c r="AV649" t="s">
        <v>4109</v>
      </c>
    </row>
    <row r="650" spans="1:48">
      <c r="A650" t="s">
        <v>3074</v>
      </c>
      <c r="B650" t="s">
        <v>3075</v>
      </c>
      <c r="C650" t="s">
        <v>369</v>
      </c>
      <c r="D650" t="s">
        <v>3076</v>
      </c>
      <c r="E650" t="s">
        <v>102</v>
      </c>
      <c r="F650" t="s">
        <v>50</v>
      </c>
      <c r="G650" t="s">
        <v>71</v>
      </c>
      <c r="H650" t="s">
        <v>109</v>
      </c>
      <c r="I650" t="s">
        <v>110</v>
      </c>
      <c r="J650" t="s">
        <v>39</v>
      </c>
      <c r="K650" t="s">
        <v>63</v>
      </c>
      <c r="L650" t="s">
        <v>3077</v>
      </c>
      <c r="M650" t="s">
        <v>57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210</v>
      </c>
      <c r="U650" t="s">
        <v>134</v>
      </c>
      <c r="W650" t="s">
        <v>3074</v>
      </c>
      <c r="X650" t="str">
        <v>21-04-24</v>
      </c>
      <c r="Y650" t="str">
        <v>24-04-24</v>
      </c>
      <c r="Z650" t="s">
        <v>3076</v>
      </c>
      <c r="AA650" t="str">
        <v>Neha Gupta</v>
      </c>
      <c r="AB650" t="str">
        <f>TRIM(PROPER(F:F))</f>
        <v>Small Business</v>
      </c>
      <c r="AC650" t="str">
        <f>TRIM(PROPER(G:G))</f>
        <v>South</v>
      </c>
      <c r="AD650" t="str">
        <f>TRIM(PROPER(H:H))</f>
        <v>Andhra Pradesh</v>
      </c>
      <c r="AE650" t="str">
        <f>TRIM(PROPER(I:I))</f>
        <v>Vijayawada</v>
      </c>
      <c r="AF650" t="str">
        <f t="shared" si="18"/>
        <v>Office Supplies</v>
      </c>
      <c r="AG650" t="str">
        <f t="shared" si="18"/>
        <v>Art</v>
      </c>
      <c r="AH650" t="str">
        <f t="shared" si="17"/>
        <v>Prime Art 301</v>
      </c>
      <c r="AI650" t="str">
        <f t="shared" si="17"/>
        <v>Same Day</v>
      </c>
      <c r="AJ650" s="3" t="str">
        <f t="shared" si="19"/>
        <v>anomaly</v>
      </c>
      <c r="AK650">
        <f>IFERROR(Y650-X650, "invalid date")</f>
        <v>3</v>
      </c>
      <c r="AL650" s="10">
        <v>0.2</v>
      </c>
      <c r="AM650" s="11">
        <v>5065.8480000000009</v>
      </c>
      <c r="AN650" s="11">
        <v>1548.6180000000008</v>
      </c>
      <c r="AO650" s="10">
        <v>0.30569768378364304</v>
      </c>
      <c r="AP650" t="s">
        <v>4653</v>
      </c>
      <c r="AQ650" t="s">
        <v>4202</v>
      </c>
      <c r="AR650" t="s">
        <v>4199</v>
      </c>
      <c r="AS650" t="s">
        <v>4107</v>
      </c>
      <c r="AT650" t="s">
        <v>4115</v>
      </c>
      <c r="AU650">
        <v>3</v>
      </c>
      <c r="AV650" t="s">
        <v>4109</v>
      </c>
    </row>
    <row r="651" spans="1:48">
      <c r="A651" t="s">
        <v>3078</v>
      </c>
      <c r="B651" t="s">
        <v>3079</v>
      </c>
      <c r="C651" t="s">
        <v>3080</v>
      </c>
      <c r="D651" t="s">
        <v>3081</v>
      </c>
      <c r="E651" t="s">
        <v>377</v>
      </c>
      <c r="F651" t="s">
        <v>50</v>
      </c>
      <c r="G651" t="s">
        <v>71</v>
      </c>
      <c r="H651" t="s">
        <v>252</v>
      </c>
      <c r="I651" t="s">
        <v>253</v>
      </c>
      <c r="J651" t="s">
        <v>95</v>
      </c>
      <c r="K651" t="s">
        <v>96</v>
      </c>
      <c r="L651" t="s">
        <v>3082</v>
      </c>
      <c r="M651" t="s">
        <v>76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43</v>
      </c>
      <c r="U651" t="s">
        <v>44</v>
      </c>
      <c r="W651" t="s">
        <v>3078</v>
      </c>
      <c r="X651" t="str">
        <v>11-08-25</v>
      </c>
      <c r="Y651" t="str">
        <v>19-08-25</v>
      </c>
      <c r="Z651" t="s">
        <v>3081</v>
      </c>
      <c r="AA651" t="str">
        <v>Kabir Singh</v>
      </c>
      <c r="AB651" t="str">
        <f>TRIM(PROPER(F:F))</f>
        <v>Small Business</v>
      </c>
      <c r="AC651" t="str">
        <f>TRIM(PROPER(G:G))</f>
        <v>South</v>
      </c>
      <c r="AD651" t="str">
        <f>TRIM(PROPER(H:H))</f>
        <v>Kerala</v>
      </c>
      <c r="AE651" t="str">
        <f>TRIM(PROPER(I:I))</f>
        <v>Kochi</v>
      </c>
      <c r="AF651" t="str">
        <f t="shared" si="18"/>
        <v>Technology</v>
      </c>
      <c r="AG651" t="str">
        <f t="shared" si="18"/>
        <v>Accessories</v>
      </c>
      <c r="AH651" t="str">
        <f t="shared" si="17"/>
        <v>Classic Accessories 354</v>
      </c>
      <c r="AI651" t="str">
        <f t="shared" si="17"/>
        <v>Standard Class</v>
      </c>
      <c r="AJ651" s="3" t="str">
        <f t="shared" si="19"/>
        <v>anomaly</v>
      </c>
      <c r="AK651">
        <f>IFERROR(Y651-X651, "invalid date")</f>
        <v>8</v>
      </c>
      <c r="AL651" s="10">
        <v>0.25</v>
      </c>
      <c r="AM651" s="11">
        <v>6776.88</v>
      </c>
      <c r="AN651" s="11">
        <v>2940.6400000000003</v>
      </c>
      <c r="AO651" s="10">
        <v>0.43392239496641527</v>
      </c>
      <c r="AP651" t="s">
        <v>4266</v>
      </c>
      <c r="AQ651" t="s">
        <v>4654</v>
      </c>
      <c r="AR651" t="s">
        <v>4114</v>
      </c>
      <c r="AS651" t="s">
        <v>4120</v>
      </c>
      <c r="AT651" t="s">
        <v>4115</v>
      </c>
      <c r="AU651">
        <v>8</v>
      </c>
      <c r="AV651" t="s">
        <v>4109</v>
      </c>
    </row>
    <row r="652" spans="1:48">
      <c r="A652" t="s">
        <v>3083</v>
      </c>
      <c r="B652" t="s">
        <v>3084</v>
      </c>
      <c r="C652" t="s">
        <v>3085</v>
      </c>
      <c r="D652" t="s">
        <v>558</v>
      </c>
      <c r="E652" t="s">
        <v>171</v>
      </c>
      <c r="F652" t="s">
        <v>124</v>
      </c>
      <c r="G652" t="s">
        <v>51</v>
      </c>
      <c r="H652" t="s">
        <v>196</v>
      </c>
      <c r="I652" t="s">
        <v>197</v>
      </c>
      <c r="J652" t="s">
        <v>95</v>
      </c>
      <c r="K652" t="s">
        <v>96</v>
      </c>
      <c r="L652" t="s">
        <v>3086</v>
      </c>
      <c r="M652" t="s">
        <v>57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210</v>
      </c>
      <c r="U652" t="s">
        <v>134</v>
      </c>
      <c r="W652" t="s">
        <v>3083</v>
      </c>
      <c r="X652" t="str">
        <v>invalid date</v>
      </c>
      <c r="Y652" t="str">
        <v>21-04-24</v>
      </c>
      <c r="Z652" t="s">
        <v>558</v>
      </c>
      <c r="AA652" t="str">
        <v>Aarav Sharma</v>
      </c>
      <c r="AB652" t="str">
        <f>TRIM(PROPER(F:F))</f>
        <v>Home Office</v>
      </c>
      <c r="AC652" t="str">
        <f>TRIM(PROPER(G:G))</f>
        <v>East</v>
      </c>
      <c r="AD652" t="str">
        <f>TRIM(PROPER(H:H))</f>
        <v>Bihar</v>
      </c>
      <c r="AE652" t="str">
        <f>TRIM(PROPER(I:I))</f>
        <v>Patna</v>
      </c>
      <c r="AF652" t="str">
        <f t="shared" si="18"/>
        <v>Technology</v>
      </c>
      <c r="AG652" t="str">
        <f t="shared" si="18"/>
        <v>Accessories</v>
      </c>
      <c r="AH652" t="str">
        <f t="shared" si="17"/>
        <v>Basic Accessories 210</v>
      </c>
      <c r="AI652" t="str">
        <f t="shared" si="17"/>
        <v>Same Day</v>
      </c>
      <c r="AJ652" s="3" t="str">
        <f t="shared" si="19"/>
        <v>Invalid</v>
      </c>
      <c r="AK652" t="str">
        <f>IFERROR(Y652-X652, "invalid date")</f>
        <v>invalid date</v>
      </c>
      <c r="AL652" s="10">
        <v>0.15</v>
      </c>
      <c r="AM652" s="11">
        <v>15760.121999999999</v>
      </c>
      <c r="AN652" s="11">
        <v>5828.5919999999987</v>
      </c>
      <c r="AO652" s="10">
        <v>0.36983165485647884</v>
      </c>
      <c r="AP652" t="s">
        <v>4105</v>
      </c>
      <c r="AQ652" t="s">
        <v>4653</v>
      </c>
      <c r="AR652" t="s">
        <v>4105</v>
      </c>
      <c r="AS652" t="s">
        <v>4105</v>
      </c>
      <c r="AT652" t="s">
        <v>4108</v>
      </c>
      <c r="AU652" t="s">
        <v>4105</v>
      </c>
      <c r="AV652" t="s">
        <v>4109</v>
      </c>
    </row>
    <row r="653" spans="1:48">
      <c r="A653" t="s">
        <v>3087</v>
      </c>
      <c r="B653" t="s">
        <v>1380</v>
      </c>
      <c r="C653" t="s">
        <v>3088</v>
      </c>
      <c r="D653" t="s">
        <v>3089</v>
      </c>
      <c r="E653" t="s">
        <v>49</v>
      </c>
      <c r="F653" t="s">
        <v>50</v>
      </c>
      <c r="G653" t="s">
        <v>71</v>
      </c>
      <c r="H653" t="s">
        <v>109</v>
      </c>
      <c r="I653" t="s">
        <v>110</v>
      </c>
      <c r="J653" t="s">
        <v>39</v>
      </c>
      <c r="K653" t="s">
        <v>40</v>
      </c>
      <c r="L653" t="s">
        <v>3090</v>
      </c>
      <c r="M653" t="s">
        <v>42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43</v>
      </c>
      <c r="U653" t="s">
        <v>44</v>
      </c>
      <c r="W653" t="s">
        <v>3087</v>
      </c>
      <c r="X653" t="str">
        <v>06-08-25</v>
      </c>
      <c r="Y653" t="str">
        <v>09-08-25</v>
      </c>
      <c r="Z653" t="s">
        <v>3089</v>
      </c>
      <c r="AA653" t="str">
        <v>Mira Das</v>
      </c>
      <c r="AB653" t="str">
        <f>TRIM(PROPER(F:F))</f>
        <v>Small Business</v>
      </c>
      <c r="AC653" t="str">
        <f>TRIM(PROPER(G:G))</f>
        <v>South</v>
      </c>
      <c r="AD653" t="str">
        <f>TRIM(PROPER(H:H))</f>
        <v>Andhra Pradesh</v>
      </c>
      <c r="AE653" t="str">
        <f>TRIM(PROPER(I:I))</f>
        <v>Vijayawada</v>
      </c>
      <c r="AF653" t="str">
        <f t="shared" si="18"/>
        <v>Office Supplies</v>
      </c>
      <c r="AG653" t="str">
        <f t="shared" si="18"/>
        <v>Paper</v>
      </c>
      <c r="AH653" t="str">
        <f t="shared" si="17"/>
        <v>Smart Paper 364</v>
      </c>
      <c r="AI653" t="str">
        <f t="shared" si="17"/>
        <v>Second Class</v>
      </c>
      <c r="AJ653" s="3" t="str">
        <f t="shared" si="19"/>
        <v>anomaly</v>
      </c>
      <c r="AK653">
        <f>IFERROR(Y653-X653, "invalid date")</f>
        <v>3</v>
      </c>
      <c r="AL653" s="10">
        <v>0</v>
      </c>
      <c r="AM653" s="11">
        <v>1795.6499999999999</v>
      </c>
      <c r="AN653" s="11">
        <v>798.92999999999984</v>
      </c>
      <c r="AO653" s="10">
        <v>0.44492523598696843</v>
      </c>
      <c r="AP653" t="s">
        <v>4428</v>
      </c>
      <c r="AQ653" t="s">
        <v>4423</v>
      </c>
      <c r="AR653" t="s">
        <v>4114</v>
      </c>
      <c r="AS653" t="s">
        <v>4120</v>
      </c>
      <c r="AT653" t="s">
        <v>4115</v>
      </c>
      <c r="AU653">
        <v>3</v>
      </c>
      <c r="AV653" t="s">
        <v>4109</v>
      </c>
    </row>
    <row r="654" spans="1:48">
      <c r="A654" t="s">
        <v>3091</v>
      </c>
      <c r="B654" t="s">
        <v>3092</v>
      </c>
      <c r="C654" t="s">
        <v>3093</v>
      </c>
      <c r="D654" t="s">
        <v>2576</v>
      </c>
      <c r="E654" t="s">
        <v>177</v>
      </c>
      <c r="F654" t="s">
        <v>35</v>
      </c>
      <c r="G654" t="s">
        <v>36</v>
      </c>
      <c r="H654" t="s">
        <v>183</v>
      </c>
      <c r="I654" t="s">
        <v>184</v>
      </c>
      <c r="J654" t="s">
        <v>39</v>
      </c>
      <c r="K654" t="s">
        <v>208</v>
      </c>
      <c r="L654" t="s">
        <v>3094</v>
      </c>
      <c r="M654" t="s">
        <v>76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43</v>
      </c>
      <c r="U654" t="s">
        <v>44</v>
      </c>
      <c r="W654" t="s">
        <v>3091</v>
      </c>
      <c r="X654" t="str">
        <v>invalid date</v>
      </c>
      <c r="Y654" t="str">
        <v>21-03-25</v>
      </c>
      <c r="Z654" t="s">
        <v>2576</v>
      </c>
      <c r="AA654" t="str">
        <v>Sneha Kapoor</v>
      </c>
      <c r="AB654" t="str">
        <f>TRIM(PROPER(F:F))</f>
        <v>Consumer</v>
      </c>
      <c r="AC654" t="str">
        <f>TRIM(PROPER(G:G))</f>
        <v>North</v>
      </c>
      <c r="AD654" t="str">
        <f>TRIM(PROPER(H:H))</f>
        <v>Uttar Pradesh</v>
      </c>
      <c r="AE654" t="str">
        <f>TRIM(PROPER(I:I))</f>
        <v>Noida</v>
      </c>
      <c r="AF654" t="str">
        <f t="shared" si="18"/>
        <v>Office Supplies</v>
      </c>
      <c r="AG654" t="str">
        <f t="shared" si="18"/>
        <v>Binders</v>
      </c>
      <c r="AH654" t="str">
        <f t="shared" si="17"/>
        <v>Smart Binders 999</v>
      </c>
      <c r="AI654" t="str">
        <f t="shared" si="17"/>
        <v>Standard Class</v>
      </c>
      <c r="AJ654" s="3" t="str">
        <f t="shared" si="19"/>
        <v>Invalid</v>
      </c>
      <c r="AK654" t="str">
        <f>IFERROR(Y654-X654, "invalid date")</f>
        <v>invalid date</v>
      </c>
      <c r="AL654" s="10">
        <v>0.15</v>
      </c>
      <c r="AM654" s="11">
        <v>18362.5075</v>
      </c>
      <c r="AN654" s="11">
        <v>7228.5375000000004</v>
      </c>
      <c r="AO654" s="10">
        <v>0.39365742941153326</v>
      </c>
      <c r="AP654" t="s">
        <v>4105</v>
      </c>
      <c r="AQ654" t="s">
        <v>4655</v>
      </c>
      <c r="AR654" t="s">
        <v>4105</v>
      </c>
      <c r="AS654" t="s">
        <v>4105</v>
      </c>
      <c r="AT654" t="s">
        <v>4108</v>
      </c>
      <c r="AU654" t="s">
        <v>4105</v>
      </c>
      <c r="AV654" t="s">
        <v>4109</v>
      </c>
    </row>
    <row r="655" spans="1:48">
      <c r="A655" t="s">
        <v>3095</v>
      </c>
      <c r="B655" t="s">
        <v>3096</v>
      </c>
      <c r="C655" t="s">
        <v>3097</v>
      </c>
      <c r="D655" t="s">
        <v>3098</v>
      </c>
      <c r="E655" t="s">
        <v>151</v>
      </c>
      <c r="F655" t="s">
        <v>50</v>
      </c>
      <c r="G655" t="s">
        <v>71</v>
      </c>
      <c r="H655" t="s">
        <v>350</v>
      </c>
      <c r="I655" t="s">
        <v>351</v>
      </c>
      <c r="J655" t="s">
        <v>95</v>
      </c>
      <c r="K655" t="s">
        <v>103</v>
      </c>
      <c r="L655" t="s">
        <v>3099</v>
      </c>
      <c r="M655" t="s">
        <v>42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43</v>
      </c>
      <c r="U655" t="s">
        <v>44</v>
      </c>
      <c r="W655" t="s">
        <v>3095</v>
      </c>
      <c r="X655" t="str">
        <v>04-04-25</v>
      </c>
      <c r="Y655" t="str">
        <v>04-07-25</v>
      </c>
      <c r="Z655" t="s">
        <v>3098</v>
      </c>
      <c r="AA655" t="str">
        <v>Priya Menon</v>
      </c>
      <c r="AB655" t="str">
        <f>TRIM(PROPER(F:F))</f>
        <v>Small Business</v>
      </c>
      <c r="AC655" t="str">
        <f>TRIM(PROPER(G:G))</f>
        <v>South</v>
      </c>
      <c r="AD655" t="str">
        <f>TRIM(PROPER(H:H))</f>
        <v>Tamil Nadu</v>
      </c>
      <c r="AE655" t="str">
        <f>TRIM(PROPER(I:I))</f>
        <v>Chennai</v>
      </c>
      <c r="AF655" t="str">
        <f t="shared" si="18"/>
        <v>Technology</v>
      </c>
      <c r="AG655" t="str">
        <f t="shared" si="18"/>
        <v>Copiers</v>
      </c>
      <c r="AH655" t="str">
        <f t="shared" si="18"/>
        <v>Max Copiers 356</v>
      </c>
      <c r="AI655" t="str">
        <f t="shared" si="18"/>
        <v>Second Class</v>
      </c>
      <c r="AJ655" s="3" t="str">
        <f t="shared" si="19"/>
        <v>anomaly</v>
      </c>
      <c r="AK655">
        <f>IFERROR(Y655-X655, "invalid date")</f>
        <v>91</v>
      </c>
      <c r="AL655" s="10">
        <v>0.15</v>
      </c>
      <c r="AM655" s="11">
        <v>26524.683500000003</v>
      </c>
      <c r="AN655" s="11">
        <v>5950.3835000000036</v>
      </c>
      <c r="AO655" s="10">
        <v>0.22433381721595294</v>
      </c>
      <c r="AP655" t="s">
        <v>4656</v>
      </c>
      <c r="AQ655" t="s">
        <v>4584</v>
      </c>
      <c r="AR655" t="s">
        <v>4199</v>
      </c>
      <c r="AS655" t="s">
        <v>4120</v>
      </c>
      <c r="AT655" t="s">
        <v>4115</v>
      </c>
      <c r="AU655">
        <v>91</v>
      </c>
      <c r="AV655" t="s">
        <v>4109</v>
      </c>
    </row>
    <row r="656" spans="1:48">
      <c r="A656" t="s">
        <v>3100</v>
      </c>
      <c r="B656" t="s">
        <v>3101</v>
      </c>
      <c r="C656" t="s">
        <v>149</v>
      </c>
      <c r="D656" t="s">
        <v>1425</v>
      </c>
      <c r="E656" t="s">
        <v>220</v>
      </c>
      <c r="F656" t="s">
        <v>117</v>
      </c>
      <c r="G656" t="s">
        <v>51</v>
      </c>
      <c r="H656" t="s">
        <v>196</v>
      </c>
      <c r="I656" t="s">
        <v>197</v>
      </c>
      <c r="J656" t="s">
        <v>95</v>
      </c>
      <c r="K656" t="s">
        <v>393</v>
      </c>
      <c r="L656" t="s">
        <v>3102</v>
      </c>
      <c r="M656" t="s">
        <v>57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43</v>
      </c>
      <c r="U656" t="s">
        <v>44</v>
      </c>
      <c r="W656" t="s">
        <v>3100</v>
      </c>
      <c r="X656" t="str">
        <v>10-12-25</v>
      </c>
      <c r="Y656" t="str">
        <v>16-10-25</v>
      </c>
      <c r="Z656" t="s">
        <v>1425</v>
      </c>
      <c r="AA656" t="str">
        <v>Diya Patel</v>
      </c>
      <c r="AB656" t="str">
        <f>TRIM(PROPER(F:F))</f>
        <v>Corporate</v>
      </c>
      <c r="AC656" t="str">
        <f>TRIM(PROPER(G:G))</f>
        <v>East</v>
      </c>
      <c r="AD656" t="str">
        <f>TRIM(PROPER(H:H))</f>
        <v>Bihar</v>
      </c>
      <c r="AE656" t="str">
        <f>TRIM(PROPER(I:I))</f>
        <v>Patna</v>
      </c>
      <c r="AF656" t="str">
        <f t="shared" si="18"/>
        <v>Technology</v>
      </c>
      <c r="AG656" t="str">
        <f t="shared" si="18"/>
        <v>Machines</v>
      </c>
      <c r="AH656" t="str">
        <f t="shared" si="18"/>
        <v>Classic Machines 639</v>
      </c>
      <c r="AI656" t="str">
        <f t="shared" si="18"/>
        <v>Same Day</v>
      </c>
      <c r="AJ656" s="3" t="str">
        <f t="shared" si="19"/>
        <v>anomaly</v>
      </c>
      <c r="AK656">
        <f>IFERROR(Y656-X656, "invalid date")</f>
        <v>-55</v>
      </c>
      <c r="AL656" s="10">
        <v>0.2</v>
      </c>
      <c r="AM656" s="11">
        <v>2056.0480000000002</v>
      </c>
      <c r="AN656" s="11">
        <v>393.65800000000013</v>
      </c>
      <c r="AO656" s="10">
        <v>0.19146342886936496</v>
      </c>
      <c r="AP656" t="s">
        <v>4657</v>
      </c>
      <c r="AQ656" t="s">
        <v>4141</v>
      </c>
      <c r="AR656" t="s">
        <v>4139</v>
      </c>
      <c r="AS656" t="s">
        <v>4120</v>
      </c>
      <c r="AT656" t="s">
        <v>4115</v>
      </c>
      <c r="AU656">
        <v>-55</v>
      </c>
      <c r="AV656" t="s">
        <v>4109</v>
      </c>
    </row>
    <row r="657" spans="1:48">
      <c r="A657" t="s">
        <v>3103</v>
      </c>
      <c r="B657" t="s">
        <v>709</v>
      </c>
      <c r="C657" t="s">
        <v>709</v>
      </c>
      <c r="D657" t="s">
        <v>3104</v>
      </c>
      <c r="E657" t="s">
        <v>102</v>
      </c>
      <c r="F657" t="s">
        <v>124</v>
      </c>
      <c r="G657" t="s">
        <v>51</v>
      </c>
      <c r="H657" t="s">
        <v>130</v>
      </c>
      <c r="I657" t="s">
        <v>131</v>
      </c>
      <c r="J657" t="s">
        <v>54</v>
      </c>
      <c r="K657" t="s">
        <v>74</v>
      </c>
      <c r="L657" t="s">
        <v>3105</v>
      </c>
      <c r="M657" t="s">
        <v>76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43</v>
      </c>
      <c r="U657" t="s">
        <v>44</v>
      </c>
      <c r="W657" t="s">
        <v>3103</v>
      </c>
      <c r="X657" t="str">
        <v>invalid date</v>
      </c>
      <c r="Y657" t="str">
        <v>invalid date</v>
      </c>
      <c r="Z657" t="s">
        <v>3104</v>
      </c>
      <c r="AA657" t="str">
        <v>Neha Gupta</v>
      </c>
      <c r="AB657" t="str">
        <f>TRIM(PROPER(F:F))</f>
        <v>Home Office</v>
      </c>
      <c r="AC657" t="str">
        <f>TRIM(PROPER(G:G))</f>
        <v>East</v>
      </c>
      <c r="AD657" t="str">
        <f>TRIM(PROPER(H:H))</f>
        <v>West Bengal</v>
      </c>
      <c r="AE657" t="str">
        <f>TRIM(PROPER(I:I))</f>
        <v>Kolkata</v>
      </c>
      <c r="AF657" t="str">
        <f t="shared" si="18"/>
        <v>Furniture</v>
      </c>
      <c r="AG657" t="str">
        <f t="shared" si="18"/>
        <v>Furnishings</v>
      </c>
      <c r="AH657" t="str">
        <f t="shared" si="18"/>
        <v>Smart Furnishings 748</v>
      </c>
      <c r="AI657" t="str">
        <f t="shared" si="18"/>
        <v>Standard Class</v>
      </c>
      <c r="AJ657" s="3" t="str">
        <f t="shared" si="19"/>
        <v>Invalid</v>
      </c>
      <c r="AK657" t="str">
        <f>IFERROR(Y657-X657, "invalid date")</f>
        <v>invalid date</v>
      </c>
      <c r="AL657" s="10">
        <v>0</v>
      </c>
      <c r="AM657" s="11">
        <v>8607.2800000000007</v>
      </c>
      <c r="AN657" s="11">
        <v>3483.2700000000004</v>
      </c>
      <c r="AO657" s="10">
        <v>0.40468882155570635</v>
      </c>
      <c r="AP657" t="s">
        <v>4105</v>
      </c>
      <c r="AQ657" t="s">
        <v>4105</v>
      </c>
      <c r="AR657" t="s">
        <v>4105</v>
      </c>
      <c r="AS657" t="s">
        <v>4105</v>
      </c>
      <c r="AT657" t="s">
        <v>4108</v>
      </c>
      <c r="AU657" t="s">
        <v>4105</v>
      </c>
      <c r="AV657" t="s">
        <v>4109</v>
      </c>
    </row>
    <row r="658" spans="1:48">
      <c r="A658" t="s">
        <v>3106</v>
      </c>
      <c r="B658" t="s">
        <v>3107</v>
      </c>
      <c r="C658" t="s">
        <v>2338</v>
      </c>
      <c r="D658" t="s">
        <v>3108</v>
      </c>
      <c r="E658" t="s">
        <v>102</v>
      </c>
      <c r="F658" t="s">
        <v>50</v>
      </c>
      <c r="G658" t="s">
        <v>36</v>
      </c>
      <c r="H658" t="s">
        <v>334</v>
      </c>
      <c r="I658" t="s">
        <v>335</v>
      </c>
      <c r="J658" t="s">
        <v>95</v>
      </c>
      <c r="K658" t="s">
        <v>393</v>
      </c>
      <c r="L658" t="s">
        <v>3109</v>
      </c>
      <c r="M658" t="s">
        <v>57</v>
      </c>
      <c r="N658">
        <v>4</v>
      </c>
      <c r="O658">
        <v>2751.1</v>
      </c>
      <c r="P658" s="4" t="s">
        <v>191</v>
      </c>
      <c r="Q658">
        <v>9903.9599999999991</v>
      </c>
      <c r="R658">
        <v>7696.28</v>
      </c>
      <c r="S658">
        <v>2207.6799999999998</v>
      </c>
      <c r="T658" t="s">
        <v>43</v>
      </c>
      <c r="U658" t="s">
        <v>44</v>
      </c>
      <c r="W658" t="s">
        <v>3106</v>
      </c>
      <c r="X658" t="str">
        <v>07-05-24</v>
      </c>
      <c r="Y658" t="str">
        <v>invalid date</v>
      </c>
      <c r="Z658" t="s">
        <v>3108</v>
      </c>
      <c r="AA658" t="str">
        <v>Neha Gupta</v>
      </c>
      <c r="AB658" t="str">
        <f>TRIM(PROPER(F:F))</f>
        <v>Small Business</v>
      </c>
      <c r="AC658" t="str">
        <f>TRIM(PROPER(G:G))</f>
        <v>North</v>
      </c>
      <c r="AD658" t="str">
        <f>TRIM(PROPER(H:H))</f>
        <v>Haryana</v>
      </c>
      <c r="AE658" t="str">
        <f>TRIM(PROPER(I:I))</f>
        <v>Gurugram</v>
      </c>
      <c r="AF658" t="str">
        <f t="shared" si="18"/>
        <v>Technology</v>
      </c>
      <c r="AG658" t="str">
        <f t="shared" si="18"/>
        <v>Machines</v>
      </c>
      <c r="AH658" t="str">
        <f t="shared" si="18"/>
        <v>Pro Machines 589</v>
      </c>
      <c r="AI658" t="str">
        <f t="shared" si="18"/>
        <v>Same Day</v>
      </c>
      <c r="AJ658" s="3" t="str">
        <f t="shared" si="19"/>
        <v>Invalid</v>
      </c>
      <c r="AK658" t="str">
        <f>IFERROR(Y658-X658, "invalid date")</f>
        <v>invalid date</v>
      </c>
      <c r="AL658" s="10" t="s">
        <v>191</v>
      </c>
      <c r="AM658" s="11" t="s">
        <v>4111</v>
      </c>
      <c r="AN658" s="11" t="s">
        <v>4111</v>
      </c>
      <c r="AO658" s="10" t="s">
        <v>4111</v>
      </c>
      <c r="AP658" t="s">
        <v>4658</v>
      </c>
      <c r="AQ658" t="s">
        <v>4105</v>
      </c>
      <c r="AR658" t="s">
        <v>4124</v>
      </c>
      <c r="AS658" t="s">
        <v>4107</v>
      </c>
      <c r="AT658" t="s">
        <v>4108</v>
      </c>
      <c r="AU658" t="s">
        <v>4105</v>
      </c>
      <c r="AV658" t="s">
        <v>4109</v>
      </c>
    </row>
    <row r="659" spans="1:48">
      <c r="A659" t="s">
        <v>3110</v>
      </c>
      <c r="B659" t="s">
        <v>3111</v>
      </c>
      <c r="C659" t="s">
        <v>3112</v>
      </c>
      <c r="D659" t="s">
        <v>3113</v>
      </c>
      <c r="E659" t="s">
        <v>116</v>
      </c>
      <c r="F659" t="s">
        <v>124</v>
      </c>
      <c r="G659" t="s">
        <v>51</v>
      </c>
      <c r="H659" t="s">
        <v>196</v>
      </c>
      <c r="I659" t="s">
        <v>197</v>
      </c>
      <c r="J659" t="s">
        <v>39</v>
      </c>
      <c r="K659" t="s">
        <v>165</v>
      </c>
      <c r="L659" t="s">
        <v>3114</v>
      </c>
      <c r="M659" t="s">
        <v>42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43</v>
      </c>
      <c r="U659" t="s">
        <v>44</v>
      </c>
      <c r="W659" t="s">
        <v>3110</v>
      </c>
      <c r="X659" t="str">
        <v>08-07-25</v>
      </c>
      <c r="Y659" t="str">
        <v>10-08-25</v>
      </c>
      <c r="Z659" t="s">
        <v>3113</v>
      </c>
      <c r="AA659" t="str">
        <v>Aditi Sen</v>
      </c>
      <c r="AB659" t="str">
        <f>TRIM(PROPER(F:F))</f>
        <v>Home Office</v>
      </c>
      <c r="AC659" t="str">
        <f>TRIM(PROPER(G:G))</f>
        <v>East</v>
      </c>
      <c r="AD659" t="str">
        <f>TRIM(PROPER(H:H))</f>
        <v>Bihar</v>
      </c>
      <c r="AE659" t="str">
        <f>TRIM(PROPER(I:I))</f>
        <v>Patna</v>
      </c>
      <c r="AF659" t="str">
        <f t="shared" si="18"/>
        <v>Office Supplies</v>
      </c>
      <c r="AG659" t="str">
        <f t="shared" si="18"/>
        <v>Storage</v>
      </c>
      <c r="AH659" t="str">
        <f t="shared" si="18"/>
        <v>Eco Storage 316</v>
      </c>
      <c r="AI659" t="str">
        <f t="shared" si="18"/>
        <v>Second Class</v>
      </c>
      <c r="AJ659" s="3" t="str">
        <f t="shared" si="19"/>
        <v>anomaly</v>
      </c>
      <c r="AK659">
        <f>IFERROR(Y659-X659, "invalid date")</f>
        <v>33</v>
      </c>
      <c r="AL659" s="10">
        <v>0.2</v>
      </c>
      <c r="AM659" s="11">
        <v>2033</v>
      </c>
      <c r="AN659" s="11">
        <v>741.58999999999992</v>
      </c>
      <c r="AO659" s="10">
        <v>0.36477619281849477</v>
      </c>
      <c r="AP659" t="s">
        <v>4607</v>
      </c>
      <c r="AQ659" t="s">
        <v>4343</v>
      </c>
      <c r="AR659" t="s">
        <v>4106</v>
      </c>
      <c r="AS659" t="s">
        <v>4120</v>
      </c>
      <c r="AT659" t="s">
        <v>4115</v>
      </c>
      <c r="AU659">
        <v>33</v>
      </c>
      <c r="AV659" t="s">
        <v>4109</v>
      </c>
    </row>
    <row r="660" spans="1:48">
      <c r="A660" t="s">
        <v>3115</v>
      </c>
      <c r="B660" t="s">
        <v>3116</v>
      </c>
      <c r="C660" t="s">
        <v>2222</v>
      </c>
      <c r="D660" t="s">
        <v>3117</v>
      </c>
      <c r="E660" t="s">
        <v>177</v>
      </c>
      <c r="F660" t="s">
        <v>35</v>
      </c>
      <c r="H660" t="s">
        <v>196</v>
      </c>
      <c r="I660" t="s">
        <v>197</v>
      </c>
      <c r="J660" t="s">
        <v>39</v>
      </c>
      <c r="K660" t="s">
        <v>63</v>
      </c>
      <c r="L660" t="s">
        <v>3118</v>
      </c>
      <c r="M660" t="s">
        <v>65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133</v>
      </c>
      <c r="U660" t="s">
        <v>87</v>
      </c>
      <c r="W660" t="s">
        <v>3115</v>
      </c>
      <c r="X660" t="str">
        <v>09-06-25</v>
      </c>
      <c r="Y660" t="str">
        <v>06-12-25</v>
      </c>
      <c r="Z660" t="s">
        <v>3117</v>
      </c>
      <c r="AA660" t="str">
        <v>Sneha Kapoor</v>
      </c>
      <c r="AB660" t="str">
        <f>TRIM(PROPER(F:F))</f>
        <v>Consumer</v>
      </c>
      <c r="AC660" s="4" t="s">
        <v>282</v>
      </c>
      <c r="AD660" t="str">
        <f>TRIM(PROPER(H:H))</f>
        <v>Bihar</v>
      </c>
      <c r="AE660" t="str">
        <f>TRIM(PROPER(I:I))</f>
        <v>Patna</v>
      </c>
      <c r="AF660" t="str">
        <f t="shared" si="18"/>
        <v>Office Supplies</v>
      </c>
      <c r="AG660" t="str">
        <f t="shared" si="18"/>
        <v>Art</v>
      </c>
      <c r="AH660" t="str">
        <f t="shared" si="18"/>
        <v>Eco Art 763</v>
      </c>
      <c r="AI660" t="str">
        <f t="shared" si="18"/>
        <v>First Class</v>
      </c>
      <c r="AJ660" s="3" t="str">
        <f t="shared" si="19"/>
        <v xml:space="preserve">  </v>
      </c>
      <c r="AK660">
        <f>IFERROR(Y660-X660, "invalid date")</f>
        <v>180</v>
      </c>
      <c r="AL660" s="10">
        <v>0</v>
      </c>
      <c r="AM660" s="11">
        <v>19966.940000000002</v>
      </c>
      <c r="AN660" s="11">
        <v>7276.1100000000024</v>
      </c>
      <c r="AO660" s="10">
        <v>0.36440786620283339</v>
      </c>
      <c r="AP660" t="s">
        <v>4528</v>
      </c>
      <c r="AQ660" t="s">
        <v>4560</v>
      </c>
      <c r="AR660" t="s">
        <v>4170</v>
      </c>
      <c r="AS660" t="s">
        <v>4120</v>
      </c>
      <c r="AT660" t="s">
        <v>4121</v>
      </c>
      <c r="AU660">
        <v>180</v>
      </c>
      <c r="AV660" t="s">
        <v>4109</v>
      </c>
    </row>
    <row r="661" spans="1:48">
      <c r="A661" t="s">
        <v>3119</v>
      </c>
      <c r="B661" t="s">
        <v>193</v>
      </c>
      <c r="C661" t="s">
        <v>1846</v>
      </c>
      <c r="D661" t="s">
        <v>3120</v>
      </c>
      <c r="E661" t="s">
        <v>220</v>
      </c>
      <c r="F661" t="s">
        <v>117</v>
      </c>
      <c r="G661" t="s">
        <v>71</v>
      </c>
      <c r="H661" t="s">
        <v>239</v>
      </c>
      <c r="I661" t="s">
        <v>240</v>
      </c>
      <c r="J661" t="s">
        <v>95</v>
      </c>
      <c r="K661" t="s">
        <v>233</v>
      </c>
      <c r="L661" t="s">
        <v>3121</v>
      </c>
      <c r="M661" t="s">
        <v>42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133</v>
      </c>
      <c r="U661" t="s">
        <v>87</v>
      </c>
      <c r="W661" t="s">
        <v>3119</v>
      </c>
      <c r="X661" t="str">
        <v>21-01-25</v>
      </c>
      <c r="Y661" t="str">
        <v>22-01-25</v>
      </c>
      <c r="Z661" t="s">
        <v>3120</v>
      </c>
      <c r="AA661" t="str">
        <v>Diya Patel</v>
      </c>
      <c r="AB661" t="str">
        <f>TRIM(PROPER(F:F))</f>
        <v>Corporate</v>
      </c>
      <c r="AC661" t="str">
        <f>TRIM(PROPER(G:G))</f>
        <v>South</v>
      </c>
      <c r="AD661" t="str">
        <f>TRIM(PROPER(H:H))</f>
        <v>Karnataka</v>
      </c>
      <c r="AE661" t="str">
        <f>TRIM(PROPER(I:I))</f>
        <v>Bengaluru</v>
      </c>
      <c r="AF661" t="str">
        <f t="shared" si="18"/>
        <v>Technology</v>
      </c>
      <c r="AG661" t="str">
        <f t="shared" si="18"/>
        <v>Phones</v>
      </c>
      <c r="AH661" t="str">
        <f t="shared" si="18"/>
        <v>Pro Phones 356</v>
      </c>
      <c r="AI661" t="str">
        <f t="shared" si="18"/>
        <v>Second Class</v>
      </c>
      <c r="AJ661" s="3" t="str">
        <f t="shared" si="19"/>
        <v>anomaly</v>
      </c>
      <c r="AK661">
        <f>IFERROR(Y661-X661, "invalid date")</f>
        <v>1</v>
      </c>
      <c r="AL661" s="10">
        <v>0.2</v>
      </c>
      <c r="AM661" s="11">
        <v>710.89600000000007</v>
      </c>
      <c r="AN661" s="11">
        <v>197.01600000000008</v>
      </c>
      <c r="AO661" s="10">
        <v>0.27713758411919615</v>
      </c>
      <c r="AP661" t="s">
        <v>4151</v>
      </c>
      <c r="AQ661" t="s">
        <v>4511</v>
      </c>
      <c r="AR661" t="s">
        <v>4153</v>
      </c>
      <c r="AS661" t="s">
        <v>4120</v>
      </c>
      <c r="AT661" t="s">
        <v>4115</v>
      </c>
      <c r="AU661">
        <v>1</v>
      </c>
      <c r="AV661" t="s">
        <v>4109</v>
      </c>
    </row>
    <row r="662" spans="1:48">
      <c r="A662" t="s">
        <v>3122</v>
      </c>
      <c r="B662" t="s">
        <v>180</v>
      </c>
      <c r="C662" t="s">
        <v>3123</v>
      </c>
      <c r="D662" t="s">
        <v>3124</v>
      </c>
      <c r="E662" t="s">
        <v>70</v>
      </c>
      <c r="F662" t="s">
        <v>50</v>
      </c>
      <c r="G662" t="s">
        <v>51</v>
      </c>
      <c r="H662" t="s">
        <v>322</v>
      </c>
      <c r="I662" t="s">
        <v>323</v>
      </c>
      <c r="J662" t="s">
        <v>95</v>
      </c>
      <c r="K662" t="s">
        <v>233</v>
      </c>
      <c r="L662" t="s">
        <v>3125</v>
      </c>
      <c r="M662" t="s">
        <v>57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43</v>
      </c>
      <c r="U662" t="s">
        <v>44</v>
      </c>
      <c r="W662" t="s">
        <v>3122</v>
      </c>
      <c r="X662" t="str">
        <v>invalid date</v>
      </c>
      <c r="Y662" t="str">
        <v>15-07-25</v>
      </c>
      <c r="Z662" t="s">
        <v>3124</v>
      </c>
      <c r="AA662" t="str">
        <v>Arjun Bose</v>
      </c>
      <c r="AB662" t="str">
        <f>TRIM(PROPER(F:F))</f>
        <v>Small Business</v>
      </c>
      <c r="AC662" t="str">
        <f>TRIM(PROPER(G:G))</f>
        <v>East</v>
      </c>
      <c r="AD662" t="str">
        <f>TRIM(PROPER(H:H))</f>
        <v>Jharkhand</v>
      </c>
      <c r="AE662" t="str">
        <f>TRIM(PROPER(I:I))</f>
        <v>Ranchi</v>
      </c>
      <c r="AF662" t="str">
        <f t="shared" si="18"/>
        <v>Technology</v>
      </c>
      <c r="AG662" t="str">
        <f t="shared" si="18"/>
        <v>Phones</v>
      </c>
      <c r="AH662" t="str">
        <f t="shared" si="18"/>
        <v>Basic Phones 865</v>
      </c>
      <c r="AI662" t="str">
        <f t="shared" si="18"/>
        <v>Same Day</v>
      </c>
      <c r="AJ662" s="3" t="str">
        <f t="shared" si="19"/>
        <v>Invalid</v>
      </c>
      <c r="AK662" t="str">
        <f>IFERROR(Y662-X662, "invalid date")</f>
        <v>invalid date</v>
      </c>
      <c r="AL662" s="10">
        <v>0.1</v>
      </c>
      <c r="AM662" s="11">
        <v>15994.476000000001</v>
      </c>
      <c r="AN662" s="11">
        <v>6770.1959999999999</v>
      </c>
      <c r="AO662" s="10">
        <v>0.42328338858991066</v>
      </c>
      <c r="AP662" t="s">
        <v>4105</v>
      </c>
      <c r="AQ662" t="s">
        <v>4639</v>
      </c>
      <c r="AR662" t="s">
        <v>4105</v>
      </c>
      <c r="AS662" t="s">
        <v>4105</v>
      </c>
      <c r="AT662" t="s">
        <v>4108</v>
      </c>
      <c r="AU662" t="s">
        <v>4105</v>
      </c>
      <c r="AV662" t="s">
        <v>4109</v>
      </c>
    </row>
    <row r="663" spans="1:48">
      <c r="A663" t="s">
        <v>3126</v>
      </c>
      <c r="B663" t="s">
        <v>3127</v>
      </c>
      <c r="C663" t="s">
        <v>3128</v>
      </c>
      <c r="D663" t="s">
        <v>3129</v>
      </c>
      <c r="E663" t="s">
        <v>177</v>
      </c>
      <c r="F663" t="s">
        <v>35</v>
      </c>
      <c r="G663" t="s">
        <v>71</v>
      </c>
      <c r="H663" t="s">
        <v>109</v>
      </c>
      <c r="I663" t="s">
        <v>110</v>
      </c>
      <c r="J663" t="s">
        <v>95</v>
      </c>
      <c r="K663" t="s">
        <v>393</v>
      </c>
      <c r="L663" t="s">
        <v>3130</v>
      </c>
      <c r="M663" t="s">
        <v>42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43</v>
      </c>
      <c r="U663" t="s">
        <v>44</v>
      </c>
      <c r="W663" t="s">
        <v>3126</v>
      </c>
      <c r="X663" t="str">
        <v>17-05-24</v>
      </c>
      <c r="Y663" t="str">
        <v>22-05-24</v>
      </c>
      <c r="Z663" t="s">
        <v>3129</v>
      </c>
      <c r="AA663" t="str">
        <v>Sneha Kapoor</v>
      </c>
      <c r="AB663" t="str">
        <f>TRIM(PROPER(F:F))</f>
        <v>Consumer</v>
      </c>
      <c r="AC663" t="str">
        <f>TRIM(PROPER(G:G))</f>
        <v>South</v>
      </c>
      <c r="AD663" t="str">
        <f>TRIM(PROPER(H:H))</f>
        <v>Andhra Pradesh</v>
      </c>
      <c r="AE663" t="str">
        <f>TRIM(PROPER(I:I))</f>
        <v>Vijayawada</v>
      </c>
      <c r="AF663" t="str">
        <f t="shared" si="18"/>
        <v>Technology</v>
      </c>
      <c r="AG663" t="str">
        <f t="shared" si="18"/>
        <v>Machines</v>
      </c>
      <c r="AH663" t="str">
        <f t="shared" si="18"/>
        <v>Max Machines 595</v>
      </c>
      <c r="AI663" t="str">
        <f t="shared" si="18"/>
        <v>Second Class</v>
      </c>
      <c r="AJ663" s="3" t="str">
        <f t="shared" si="19"/>
        <v>anomaly</v>
      </c>
      <c r="AK663">
        <f>IFERROR(Y663-X663, "invalid date")</f>
        <v>5</v>
      </c>
      <c r="AL663" s="10">
        <v>0</v>
      </c>
      <c r="AM663" s="11">
        <v>1627.5</v>
      </c>
      <c r="AN663" s="11">
        <v>687.6</v>
      </c>
      <c r="AO663" s="10">
        <v>0.4224884792626728</v>
      </c>
      <c r="AP663" t="s">
        <v>4659</v>
      </c>
      <c r="AQ663" t="s">
        <v>4660</v>
      </c>
      <c r="AR663" t="s">
        <v>4124</v>
      </c>
      <c r="AS663" t="s">
        <v>4107</v>
      </c>
      <c r="AT663" t="s">
        <v>4115</v>
      </c>
      <c r="AU663">
        <v>5</v>
      </c>
      <c r="AV663" t="s">
        <v>4109</v>
      </c>
    </row>
    <row r="664" spans="1:48">
      <c r="A664" t="s">
        <v>3131</v>
      </c>
      <c r="B664" t="s">
        <v>3132</v>
      </c>
      <c r="C664" t="s">
        <v>3133</v>
      </c>
      <c r="D664" t="s">
        <v>3134</v>
      </c>
      <c r="E664" t="s">
        <v>49</v>
      </c>
      <c r="F664" t="s">
        <v>124</v>
      </c>
      <c r="G664" t="s">
        <v>82</v>
      </c>
      <c r="H664" t="s">
        <v>37</v>
      </c>
      <c r="I664" t="s">
        <v>144</v>
      </c>
      <c r="J664" t="s">
        <v>95</v>
      </c>
      <c r="K664" t="s">
        <v>393</v>
      </c>
      <c r="L664" t="s">
        <v>3135</v>
      </c>
      <c r="M664" t="s">
        <v>57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43</v>
      </c>
      <c r="U664" t="s">
        <v>44</v>
      </c>
      <c r="W664" t="s">
        <v>3131</v>
      </c>
      <c r="X664" t="str">
        <v>14-01-24</v>
      </c>
      <c r="Y664" t="str">
        <v>18-01-24</v>
      </c>
      <c r="Z664" t="s">
        <v>3134</v>
      </c>
      <c r="AA664" t="str">
        <v>Mira Das</v>
      </c>
      <c r="AB664" t="str">
        <f>TRIM(PROPER(F:F))</f>
        <v>Home Office</v>
      </c>
      <c r="AC664" t="str">
        <f>TRIM(PROPER(G:G))</f>
        <v>West</v>
      </c>
      <c r="AD664" t="str">
        <f>TRIM(PROPER(H:H))</f>
        <v>Rajasthan</v>
      </c>
      <c r="AE664" t="str">
        <f>TRIM(PROPER(I:I))</f>
        <v>Udaipur</v>
      </c>
      <c r="AF664" t="str">
        <f t="shared" si="18"/>
        <v>Technology</v>
      </c>
      <c r="AG664" t="str">
        <f t="shared" si="18"/>
        <v>Machines</v>
      </c>
      <c r="AH664" t="str">
        <f t="shared" si="18"/>
        <v>Elite Machines 367</v>
      </c>
      <c r="AI664" t="str">
        <f t="shared" si="18"/>
        <v>Same Day</v>
      </c>
      <c r="AJ664" s="3" t="str">
        <f t="shared" si="19"/>
        <v>anomaly</v>
      </c>
      <c r="AK664">
        <f>IFERROR(Y664-X664, "invalid date")</f>
        <v>4</v>
      </c>
      <c r="AL664" s="10">
        <v>0.1</v>
      </c>
      <c r="AM664" s="11">
        <v>9637.92</v>
      </c>
      <c r="AN664" s="11">
        <v>2308.63</v>
      </c>
      <c r="AO664" s="10">
        <v>0.2395361239769577</v>
      </c>
      <c r="AP664" t="s">
        <v>4285</v>
      </c>
      <c r="AQ664" t="s">
        <v>4192</v>
      </c>
      <c r="AR664" t="s">
        <v>4153</v>
      </c>
      <c r="AS664" t="s">
        <v>4107</v>
      </c>
      <c r="AT664" t="s">
        <v>4115</v>
      </c>
      <c r="AU664">
        <v>4</v>
      </c>
      <c r="AV664" t="s">
        <v>4109</v>
      </c>
    </row>
    <row r="665" spans="1:48">
      <c r="A665" t="s">
        <v>3136</v>
      </c>
      <c r="B665" t="s">
        <v>1234</v>
      </c>
      <c r="C665" t="s">
        <v>2691</v>
      </c>
      <c r="D665" t="s">
        <v>3137</v>
      </c>
      <c r="E665" t="s">
        <v>157</v>
      </c>
      <c r="F665" t="s">
        <v>124</v>
      </c>
      <c r="G665" t="s">
        <v>51</v>
      </c>
      <c r="H665" t="s">
        <v>322</v>
      </c>
      <c r="I665" t="s">
        <v>323</v>
      </c>
      <c r="J665" t="s">
        <v>95</v>
      </c>
      <c r="K665" t="s">
        <v>103</v>
      </c>
      <c r="L665" t="s">
        <v>3138</v>
      </c>
      <c r="M665" t="s">
        <v>42</v>
      </c>
      <c r="N665">
        <v>2</v>
      </c>
      <c r="O665">
        <v>3185.01</v>
      </c>
      <c r="P665" s="4" t="s">
        <v>191</v>
      </c>
      <c r="Q665">
        <v>4777.5200000000004</v>
      </c>
      <c r="R665">
        <v>3152.98</v>
      </c>
      <c r="S665">
        <v>1624.54</v>
      </c>
      <c r="T665" t="s">
        <v>43</v>
      </c>
      <c r="U665" t="s">
        <v>44</v>
      </c>
      <c r="W665" t="s">
        <v>3136</v>
      </c>
      <c r="X665" t="str">
        <v>05-02-24</v>
      </c>
      <c r="Y665" t="str">
        <v>08-05-24</v>
      </c>
      <c r="Z665" t="s">
        <v>3137</v>
      </c>
      <c r="AA665" t="str">
        <v>Rahul Verma</v>
      </c>
      <c r="AB665" t="str">
        <f>TRIM(PROPER(F:F))</f>
        <v>Home Office</v>
      </c>
      <c r="AC665" t="str">
        <f>TRIM(PROPER(G:G))</f>
        <v>East</v>
      </c>
      <c r="AD665" t="str">
        <f>TRIM(PROPER(H:H))</f>
        <v>Jharkhand</v>
      </c>
      <c r="AE665" t="str">
        <f>TRIM(PROPER(I:I))</f>
        <v>Ranchi</v>
      </c>
      <c r="AF665" t="str">
        <f t="shared" si="18"/>
        <v>Technology</v>
      </c>
      <c r="AG665" t="str">
        <f t="shared" si="18"/>
        <v>Copiers</v>
      </c>
      <c r="AH665" t="str">
        <f t="shared" si="18"/>
        <v>Basic Copiers 787</v>
      </c>
      <c r="AI665" t="str">
        <f t="shared" si="18"/>
        <v>Second Class</v>
      </c>
      <c r="AJ665" s="3" t="str">
        <f t="shared" si="19"/>
        <v>anomaly</v>
      </c>
      <c r="AK665">
        <f>IFERROR(Y665-X665, "invalid date")</f>
        <v>93</v>
      </c>
      <c r="AL665" s="10" t="s">
        <v>191</v>
      </c>
      <c r="AM665" s="11" t="s">
        <v>4111</v>
      </c>
      <c r="AN665" s="11" t="s">
        <v>4111</v>
      </c>
      <c r="AO665" s="10" t="s">
        <v>4111</v>
      </c>
      <c r="AP665" t="s">
        <v>4400</v>
      </c>
      <c r="AQ665" t="s">
        <v>4253</v>
      </c>
      <c r="AR665" t="s">
        <v>4129</v>
      </c>
      <c r="AS665" t="s">
        <v>4107</v>
      </c>
      <c r="AT665" t="s">
        <v>4115</v>
      </c>
      <c r="AU665">
        <v>93</v>
      </c>
      <c r="AV665" t="s">
        <v>4109</v>
      </c>
    </row>
    <row r="666" spans="1:48">
      <c r="A666" t="s">
        <v>3139</v>
      </c>
      <c r="B666" t="s">
        <v>3140</v>
      </c>
      <c r="C666" t="s">
        <v>3141</v>
      </c>
      <c r="D666" t="s">
        <v>3142</v>
      </c>
      <c r="E666" t="s">
        <v>49</v>
      </c>
      <c r="F666" t="s">
        <v>124</v>
      </c>
      <c r="G666" t="s">
        <v>71</v>
      </c>
      <c r="H666" t="s">
        <v>72</v>
      </c>
      <c r="I666" t="s">
        <v>73</v>
      </c>
      <c r="J666" t="s">
        <v>95</v>
      </c>
      <c r="K666" t="s">
        <v>96</v>
      </c>
      <c r="L666" t="s">
        <v>3143</v>
      </c>
      <c r="M666" t="s">
        <v>76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43</v>
      </c>
      <c r="U666" t="s">
        <v>44</v>
      </c>
      <c r="W666" t="s">
        <v>3139</v>
      </c>
      <c r="X666" t="str">
        <v>07-12-24</v>
      </c>
      <c r="Y666" t="str">
        <v>10-12-24</v>
      </c>
      <c r="Z666" t="s">
        <v>3142</v>
      </c>
      <c r="AA666" t="str">
        <v>Mira Das</v>
      </c>
      <c r="AB666" t="str">
        <f>TRIM(PROPER(F:F))</f>
        <v>Home Office</v>
      </c>
      <c r="AC666" t="str">
        <f>TRIM(PROPER(G:G))</f>
        <v>South</v>
      </c>
      <c r="AD666" t="str">
        <f>TRIM(PROPER(H:H))</f>
        <v>Telangana</v>
      </c>
      <c r="AE666" t="str">
        <f>TRIM(PROPER(I:I))</f>
        <v>Hyderabad</v>
      </c>
      <c r="AF666" t="str">
        <f t="shared" si="18"/>
        <v>Technology</v>
      </c>
      <c r="AG666" t="str">
        <f t="shared" si="18"/>
        <v>Accessories</v>
      </c>
      <c r="AH666" t="str">
        <f t="shared" si="18"/>
        <v>Max Accessories 903</v>
      </c>
      <c r="AI666" t="str">
        <f t="shared" si="18"/>
        <v>Standard Class</v>
      </c>
      <c r="AJ666" s="3" t="str">
        <f t="shared" si="19"/>
        <v>anomaly</v>
      </c>
      <c r="AK666">
        <f>IFERROR(Y666-X666, "invalid date")</f>
        <v>3</v>
      </c>
      <c r="AL666" s="10">
        <v>0.2</v>
      </c>
      <c r="AM666" s="11">
        <v>1527.0640000000001</v>
      </c>
      <c r="AN666" s="11">
        <v>471.17399999999998</v>
      </c>
      <c r="AO666" s="10">
        <v>0.30854895407134209</v>
      </c>
      <c r="AP666" t="s">
        <v>4661</v>
      </c>
      <c r="AQ666" t="s">
        <v>4662</v>
      </c>
      <c r="AR666" t="s">
        <v>4139</v>
      </c>
      <c r="AS666" t="s">
        <v>4107</v>
      </c>
      <c r="AT666" t="s">
        <v>4115</v>
      </c>
      <c r="AU666">
        <v>3</v>
      </c>
      <c r="AV666" t="s">
        <v>4109</v>
      </c>
    </row>
    <row r="667" spans="1:48">
      <c r="A667" t="s">
        <v>3144</v>
      </c>
      <c r="B667" t="s">
        <v>3145</v>
      </c>
      <c r="C667" t="s">
        <v>3146</v>
      </c>
      <c r="D667" t="s">
        <v>3147</v>
      </c>
      <c r="E667" t="s">
        <v>157</v>
      </c>
      <c r="F667" t="s">
        <v>124</v>
      </c>
      <c r="G667" t="s">
        <v>82</v>
      </c>
      <c r="H667" t="s">
        <v>245</v>
      </c>
      <c r="I667" t="s">
        <v>246</v>
      </c>
      <c r="J667" t="s">
        <v>39</v>
      </c>
      <c r="K667" t="s">
        <v>63</v>
      </c>
      <c r="L667" t="s">
        <v>3148</v>
      </c>
      <c r="M667" t="s">
        <v>76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210</v>
      </c>
      <c r="U667" t="s">
        <v>87</v>
      </c>
      <c r="W667" t="s">
        <v>3144</v>
      </c>
      <c r="X667" t="str">
        <v>13-01-25</v>
      </c>
      <c r="Y667" t="str">
        <v>invalid date</v>
      </c>
      <c r="Z667" t="s">
        <v>3147</v>
      </c>
      <c r="AA667" t="str">
        <v>Rahul Verma</v>
      </c>
      <c r="AB667" t="str">
        <f>TRIM(PROPER(F:F))</f>
        <v>Home Office</v>
      </c>
      <c r="AC667" t="str">
        <f>TRIM(PROPER(G:G))</f>
        <v>West</v>
      </c>
      <c r="AD667" t="str">
        <f>TRIM(PROPER(H:H))</f>
        <v>Gujarat</v>
      </c>
      <c r="AE667" t="str">
        <f>TRIM(PROPER(I:I))</f>
        <v>Ahmedabad</v>
      </c>
      <c r="AF667" t="str">
        <f t="shared" si="18"/>
        <v>Office Supplies</v>
      </c>
      <c r="AG667" t="str">
        <f t="shared" si="18"/>
        <v>Art</v>
      </c>
      <c r="AH667" t="str">
        <f t="shared" si="18"/>
        <v>Max Art 660</v>
      </c>
      <c r="AI667" t="str">
        <f t="shared" si="18"/>
        <v>Standard Class</v>
      </c>
      <c r="AJ667" s="3" t="str">
        <f t="shared" si="19"/>
        <v>Invalid</v>
      </c>
      <c r="AK667" t="str">
        <f>IFERROR(Y667-X667, "invalid date")</f>
        <v>invalid date</v>
      </c>
      <c r="AL667" s="10">
        <v>0.1</v>
      </c>
      <c r="AM667" s="11">
        <v>5698.4039999999995</v>
      </c>
      <c r="AN667" s="11">
        <v>2057.5139999999997</v>
      </c>
      <c r="AO667" s="10">
        <v>0.36106846759197836</v>
      </c>
      <c r="AP667" t="s">
        <v>4663</v>
      </c>
      <c r="AQ667" t="s">
        <v>4105</v>
      </c>
      <c r="AR667" t="s">
        <v>4153</v>
      </c>
      <c r="AS667" t="s">
        <v>4120</v>
      </c>
      <c r="AT667" t="s">
        <v>4108</v>
      </c>
      <c r="AU667" t="s">
        <v>4105</v>
      </c>
      <c r="AV667" t="s">
        <v>4109</v>
      </c>
    </row>
    <row r="668" spans="1:48">
      <c r="A668" t="s">
        <v>3149</v>
      </c>
      <c r="B668" t="s">
        <v>2161</v>
      </c>
      <c r="C668" t="s">
        <v>2103</v>
      </c>
      <c r="D668" t="s">
        <v>3150</v>
      </c>
      <c r="E668" t="s">
        <v>189</v>
      </c>
      <c r="F668" t="s">
        <v>50</v>
      </c>
      <c r="G668" t="s">
        <v>36</v>
      </c>
      <c r="H668" t="s">
        <v>163</v>
      </c>
      <c r="I668" t="s">
        <v>164</v>
      </c>
      <c r="J668" t="s">
        <v>95</v>
      </c>
      <c r="K668" t="s">
        <v>103</v>
      </c>
      <c r="L668" t="s">
        <v>3151</v>
      </c>
      <c r="M668" t="s">
        <v>57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43</v>
      </c>
      <c r="U668" t="s">
        <v>44</v>
      </c>
      <c r="W668" t="s">
        <v>3149</v>
      </c>
      <c r="X668" t="str">
        <v>21-06-24</v>
      </c>
      <c r="Y668" t="str">
        <v>invalid date</v>
      </c>
      <c r="Z668" t="s">
        <v>3150</v>
      </c>
      <c r="AA668" t="str">
        <v>Rohan Mehta</v>
      </c>
      <c r="AB668" t="str">
        <f>TRIM(PROPER(F:F))</f>
        <v>Small Business</v>
      </c>
      <c r="AC668" t="str">
        <f>TRIM(PROPER(G:G))</f>
        <v>North</v>
      </c>
      <c r="AD668" t="str">
        <f>TRIM(PROPER(H:H))</f>
        <v>Punjab</v>
      </c>
      <c r="AE668" t="str">
        <f>TRIM(PROPER(I:I))</f>
        <v>Ludhiana</v>
      </c>
      <c r="AF668" t="str">
        <f t="shared" si="18"/>
        <v>Technology</v>
      </c>
      <c r="AG668" t="str">
        <f t="shared" si="18"/>
        <v>Copiers</v>
      </c>
      <c r="AH668" t="str">
        <f t="shared" si="18"/>
        <v>Classic Copiers 908</v>
      </c>
      <c r="AI668" t="str">
        <f t="shared" si="18"/>
        <v>Same Day</v>
      </c>
      <c r="AJ668" s="3" t="str">
        <f t="shared" si="19"/>
        <v>Invalid</v>
      </c>
      <c r="AK668" t="str">
        <f>IFERROR(Y668-X668, "invalid date")</f>
        <v>invalid date</v>
      </c>
      <c r="AL668" s="10">
        <v>0.05</v>
      </c>
      <c r="AM668" s="11">
        <v>265.83849999999995</v>
      </c>
      <c r="AN668" s="11">
        <v>42.348499999999945</v>
      </c>
      <c r="AO668" s="10">
        <v>0.15930160605028976</v>
      </c>
      <c r="AP668" t="s">
        <v>4509</v>
      </c>
      <c r="AQ668" t="s">
        <v>4105</v>
      </c>
      <c r="AR668" t="s">
        <v>4170</v>
      </c>
      <c r="AS668" t="s">
        <v>4107</v>
      </c>
      <c r="AT668" t="s">
        <v>4108</v>
      </c>
      <c r="AU668" t="s">
        <v>4105</v>
      </c>
      <c r="AV668" t="s">
        <v>4109</v>
      </c>
    </row>
    <row r="669" spans="1:48">
      <c r="A669" t="s">
        <v>3152</v>
      </c>
      <c r="B669" t="s">
        <v>3153</v>
      </c>
      <c r="C669" t="s">
        <v>3154</v>
      </c>
      <c r="D669" t="s">
        <v>3155</v>
      </c>
      <c r="E669" t="s">
        <v>220</v>
      </c>
      <c r="F669" t="s">
        <v>50</v>
      </c>
      <c r="G669" t="s">
        <v>51</v>
      </c>
      <c r="H669" t="s">
        <v>196</v>
      </c>
      <c r="I669" t="s">
        <v>197</v>
      </c>
      <c r="J669" t="s">
        <v>95</v>
      </c>
      <c r="K669" t="s">
        <v>393</v>
      </c>
      <c r="L669" t="s">
        <v>3156</v>
      </c>
      <c r="M669" t="s">
        <v>76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146</v>
      </c>
      <c r="U669" t="s">
        <v>134</v>
      </c>
      <c r="W669" t="s">
        <v>3152</v>
      </c>
      <c r="X669" t="str">
        <v>20-05-25</v>
      </c>
      <c r="Y669" t="str">
        <v>27-05-25</v>
      </c>
      <c r="Z669" t="s">
        <v>3155</v>
      </c>
      <c r="AA669" t="str">
        <v>Diya Patel</v>
      </c>
      <c r="AB669" t="str">
        <f>TRIM(PROPER(F:F))</f>
        <v>Small Business</v>
      </c>
      <c r="AC669" t="str">
        <f>TRIM(PROPER(G:G))</f>
        <v>East</v>
      </c>
      <c r="AD669" t="str">
        <f>TRIM(PROPER(H:H))</f>
        <v>Bihar</v>
      </c>
      <c r="AE669" t="str">
        <f>TRIM(PROPER(I:I))</f>
        <v>Patna</v>
      </c>
      <c r="AF669" t="str">
        <f t="shared" si="18"/>
        <v>Technology</v>
      </c>
      <c r="AG669" t="str">
        <f t="shared" si="18"/>
        <v>Machines</v>
      </c>
      <c r="AH669" t="str">
        <f t="shared" si="18"/>
        <v>Pro Machines 706</v>
      </c>
      <c r="AI669" t="str">
        <f t="shared" si="18"/>
        <v>Standard Class</v>
      </c>
      <c r="AJ669" s="3" t="str">
        <f t="shared" si="19"/>
        <v>anomaly</v>
      </c>
      <c r="AK669">
        <f>IFERROR(Y669-X669, "invalid date")</f>
        <v>7</v>
      </c>
      <c r="AL669" s="10">
        <v>0</v>
      </c>
      <c r="AM669" s="11">
        <v>3959.14</v>
      </c>
      <c r="AN669" s="11">
        <v>719.60999999999967</v>
      </c>
      <c r="AO669" s="10">
        <v>0.18175916992074029</v>
      </c>
      <c r="AP669" t="s">
        <v>4135</v>
      </c>
      <c r="AQ669" t="s">
        <v>4481</v>
      </c>
      <c r="AR669" t="s">
        <v>4124</v>
      </c>
      <c r="AS669" t="s">
        <v>4120</v>
      </c>
      <c r="AT669" t="s">
        <v>4115</v>
      </c>
      <c r="AU669">
        <v>7</v>
      </c>
      <c r="AV669" t="s">
        <v>4109</v>
      </c>
    </row>
    <row r="670" spans="1:48">
      <c r="A670" t="s">
        <v>3157</v>
      </c>
      <c r="B670" t="s">
        <v>3158</v>
      </c>
      <c r="C670" t="s">
        <v>231</v>
      </c>
      <c r="D670" t="s">
        <v>3159</v>
      </c>
      <c r="E670" t="s">
        <v>49</v>
      </c>
      <c r="F670" t="s">
        <v>117</v>
      </c>
      <c r="G670" t="s">
        <v>82</v>
      </c>
      <c r="H670" t="s">
        <v>245</v>
      </c>
      <c r="I670" t="s">
        <v>246</v>
      </c>
      <c r="J670" t="s">
        <v>39</v>
      </c>
      <c r="K670" t="s">
        <v>40</v>
      </c>
      <c r="L670" t="s">
        <v>3160</v>
      </c>
      <c r="M670" t="s">
        <v>42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43</v>
      </c>
      <c r="U670" t="s">
        <v>44</v>
      </c>
      <c r="W670" t="s">
        <v>3157</v>
      </c>
      <c r="X670" t="str">
        <v>invalid date</v>
      </c>
      <c r="Y670" t="str">
        <v>23-11-24</v>
      </c>
      <c r="Z670" t="s">
        <v>3159</v>
      </c>
      <c r="AA670" t="str">
        <v>Mira Das</v>
      </c>
      <c r="AB670" t="str">
        <f>TRIM(PROPER(F:F))</f>
        <v>Corporate</v>
      </c>
      <c r="AC670" t="str">
        <f>TRIM(PROPER(G:G))</f>
        <v>West</v>
      </c>
      <c r="AD670" t="str">
        <f>TRIM(PROPER(H:H))</f>
        <v>Gujarat</v>
      </c>
      <c r="AE670" t="str">
        <f>TRIM(PROPER(I:I))</f>
        <v>Ahmedabad</v>
      </c>
      <c r="AF670" t="str">
        <f t="shared" si="18"/>
        <v>Office Supplies</v>
      </c>
      <c r="AG670" t="str">
        <f t="shared" si="18"/>
        <v>Paper</v>
      </c>
      <c r="AH670" t="str">
        <f t="shared" si="18"/>
        <v>Pro Paper 187</v>
      </c>
      <c r="AI670" t="str">
        <f t="shared" si="18"/>
        <v>Second Class</v>
      </c>
      <c r="AJ670" s="3" t="str">
        <f t="shared" si="19"/>
        <v>Invalid</v>
      </c>
      <c r="AK670" t="str">
        <f>IFERROR(Y670-X670, "invalid date")</f>
        <v>invalid date</v>
      </c>
      <c r="AL670" s="10">
        <v>0.2</v>
      </c>
      <c r="AM670" s="11">
        <v>2401.84</v>
      </c>
      <c r="AN670" s="11">
        <v>528.73000000000025</v>
      </c>
      <c r="AO670" s="10">
        <v>0.22013539619624964</v>
      </c>
      <c r="AP670" t="s">
        <v>4105</v>
      </c>
      <c r="AQ670" t="s">
        <v>4161</v>
      </c>
      <c r="AR670" t="s">
        <v>4105</v>
      </c>
      <c r="AS670" t="s">
        <v>4105</v>
      </c>
      <c r="AT670" t="s">
        <v>4108</v>
      </c>
      <c r="AU670" t="s">
        <v>4105</v>
      </c>
      <c r="AV670" t="s">
        <v>4109</v>
      </c>
    </row>
    <row r="671" spans="1:48">
      <c r="A671" t="s">
        <v>3161</v>
      </c>
      <c r="B671" t="s">
        <v>3162</v>
      </c>
      <c r="C671" t="s">
        <v>3163</v>
      </c>
      <c r="D671" t="s">
        <v>3164</v>
      </c>
      <c r="E671" t="s">
        <v>81</v>
      </c>
      <c r="F671" t="s">
        <v>124</v>
      </c>
      <c r="G671" t="s">
        <v>82</v>
      </c>
      <c r="H671" t="s">
        <v>83</v>
      </c>
      <c r="I671" t="s">
        <v>84</v>
      </c>
      <c r="J671" t="s">
        <v>54</v>
      </c>
      <c r="K671" t="s">
        <v>55</v>
      </c>
      <c r="L671" t="s">
        <v>3165</v>
      </c>
      <c r="M671" t="s">
        <v>42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43</v>
      </c>
      <c r="U671" t="s">
        <v>44</v>
      </c>
      <c r="W671" t="s">
        <v>3161</v>
      </c>
      <c r="X671" t="str">
        <v>24-03-24</v>
      </c>
      <c r="Y671" t="str">
        <v>01-04-24</v>
      </c>
      <c r="Z671" t="s">
        <v>3164</v>
      </c>
      <c r="AA671" t="str">
        <v>Ananya Rao</v>
      </c>
      <c r="AB671" t="str">
        <f>TRIM(PROPER(F:F))</f>
        <v>Home Office</v>
      </c>
      <c r="AC671" t="str">
        <f>TRIM(PROPER(G:G))</f>
        <v>West</v>
      </c>
      <c r="AD671" t="str">
        <f>TRIM(PROPER(H:H))</f>
        <v>Maharashtra</v>
      </c>
      <c r="AE671" t="str">
        <f>TRIM(PROPER(I:I))</f>
        <v>Mumbai</v>
      </c>
      <c r="AF671" t="str">
        <f t="shared" si="18"/>
        <v>Furniture</v>
      </c>
      <c r="AG671" t="str">
        <f t="shared" si="18"/>
        <v>Tables</v>
      </c>
      <c r="AH671" t="str">
        <f t="shared" si="18"/>
        <v>Classic Tables 606</v>
      </c>
      <c r="AI671" t="str">
        <f t="shared" si="18"/>
        <v>Second Class</v>
      </c>
      <c r="AJ671" s="3" t="str">
        <f t="shared" si="19"/>
        <v xml:space="preserve">  </v>
      </c>
      <c r="AK671">
        <f>IFERROR(Y671-X671, "invalid date")</f>
        <v>8</v>
      </c>
      <c r="AL671" s="10">
        <v>0.25</v>
      </c>
      <c r="AM671" s="11">
        <v>5102.16</v>
      </c>
      <c r="AN671" s="11">
        <v>1875.71</v>
      </c>
      <c r="AO671" s="10">
        <v>0.36763057214983458</v>
      </c>
      <c r="AP671" t="s">
        <v>4561</v>
      </c>
      <c r="AQ671" t="s">
        <v>4664</v>
      </c>
      <c r="AR671" t="s">
        <v>4159</v>
      </c>
      <c r="AS671" t="s">
        <v>4107</v>
      </c>
      <c r="AT671" t="s">
        <v>4121</v>
      </c>
      <c r="AU671">
        <v>8</v>
      </c>
      <c r="AV671" t="s">
        <v>4109</v>
      </c>
    </row>
    <row r="672" spans="1:48">
      <c r="A672" t="s">
        <v>3166</v>
      </c>
      <c r="B672" t="s">
        <v>3167</v>
      </c>
      <c r="C672" t="s">
        <v>2965</v>
      </c>
      <c r="D672" t="s">
        <v>2440</v>
      </c>
      <c r="E672" t="s">
        <v>177</v>
      </c>
      <c r="F672" t="s">
        <v>117</v>
      </c>
      <c r="G672" t="s">
        <v>36</v>
      </c>
      <c r="H672" t="s">
        <v>183</v>
      </c>
      <c r="I672" t="s">
        <v>184</v>
      </c>
      <c r="J672" t="s">
        <v>54</v>
      </c>
      <c r="K672" t="s">
        <v>55</v>
      </c>
      <c r="L672" t="s">
        <v>3168</v>
      </c>
      <c r="M672" t="s">
        <v>76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43</v>
      </c>
      <c r="U672" t="s">
        <v>44</v>
      </c>
      <c r="W672" t="s">
        <v>3166</v>
      </c>
      <c r="X672" t="str">
        <v>02-02-25</v>
      </c>
      <c r="Y672" t="str">
        <v>06-02-25</v>
      </c>
      <c r="Z672" t="s">
        <v>2440</v>
      </c>
      <c r="AA672" t="str">
        <v>Sneha Kapoor</v>
      </c>
      <c r="AB672" t="str">
        <f>TRIM(PROPER(F:F))</f>
        <v>Corporate</v>
      </c>
      <c r="AC672" t="str">
        <f>TRIM(PROPER(G:G))</f>
        <v>North</v>
      </c>
      <c r="AD672" t="str">
        <f>TRIM(PROPER(H:H))</f>
        <v>Uttar Pradesh</v>
      </c>
      <c r="AE672" t="str">
        <f>TRIM(PROPER(I:I))</f>
        <v>Noida</v>
      </c>
      <c r="AF672" t="str">
        <f t="shared" si="18"/>
        <v>Furniture</v>
      </c>
      <c r="AG672" t="str">
        <f t="shared" si="18"/>
        <v>Tables</v>
      </c>
      <c r="AH672" t="str">
        <f t="shared" si="18"/>
        <v>Smart Tables 835</v>
      </c>
      <c r="AI672" t="str">
        <f t="shared" si="18"/>
        <v>Standard Class</v>
      </c>
      <c r="AJ672" s="3" t="str">
        <f t="shared" si="19"/>
        <v>anomaly</v>
      </c>
      <c r="AK672">
        <f>IFERROR(Y672-X672, "invalid date")</f>
        <v>4</v>
      </c>
      <c r="AL672" s="10">
        <v>0.1</v>
      </c>
      <c r="AM672" s="11">
        <v>6176.5920000000006</v>
      </c>
      <c r="AN672" s="11">
        <v>2615.6320000000005</v>
      </c>
      <c r="AO672" s="10">
        <v>0.42347495188285067</v>
      </c>
      <c r="AP672" t="s">
        <v>4665</v>
      </c>
      <c r="AQ672" t="s">
        <v>4643</v>
      </c>
      <c r="AR672" t="s">
        <v>4129</v>
      </c>
      <c r="AS672" t="s">
        <v>4120</v>
      </c>
      <c r="AT672" t="s">
        <v>4115</v>
      </c>
      <c r="AU672">
        <v>4</v>
      </c>
      <c r="AV672" t="s">
        <v>4109</v>
      </c>
    </row>
    <row r="673" spans="1:48">
      <c r="A673" t="s">
        <v>3169</v>
      </c>
      <c r="B673" t="s">
        <v>3170</v>
      </c>
      <c r="C673" t="s">
        <v>3171</v>
      </c>
      <c r="D673" t="s">
        <v>3172</v>
      </c>
      <c r="E673" t="s">
        <v>116</v>
      </c>
      <c r="F673" t="s">
        <v>124</v>
      </c>
      <c r="G673" t="s">
        <v>82</v>
      </c>
      <c r="H673" t="s">
        <v>259</v>
      </c>
      <c r="I673" t="s">
        <v>260</v>
      </c>
      <c r="J673" t="s">
        <v>95</v>
      </c>
      <c r="K673" t="s">
        <v>3173</v>
      </c>
      <c r="L673" t="s">
        <v>3174</v>
      </c>
      <c r="M673" t="s">
        <v>42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43</v>
      </c>
      <c r="U673" t="s">
        <v>44</v>
      </c>
      <c r="W673" t="s">
        <v>3169</v>
      </c>
      <c r="X673" t="str">
        <v>22-03-24</v>
      </c>
      <c r="Y673" t="str">
        <v>27-03-24</v>
      </c>
      <c r="Z673" t="s">
        <v>3172</v>
      </c>
      <c r="AA673" t="str">
        <v>Aditi Sen</v>
      </c>
      <c r="AB673" t="str">
        <f>TRIM(PROPER(F:F))</f>
        <v>Home Office</v>
      </c>
      <c r="AC673" t="str">
        <f>TRIM(PROPER(G:G))</f>
        <v>West</v>
      </c>
      <c r="AD673" t="str">
        <f>TRIM(PROPER(H:H))</f>
        <v>Goa</v>
      </c>
      <c r="AE673" t="str">
        <f>TRIM(PROPER(I:I))</f>
        <v>Panaji</v>
      </c>
      <c r="AF673" t="str">
        <f t="shared" si="18"/>
        <v>Technology</v>
      </c>
      <c r="AG673" t="str">
        <f t="shared" si="18"/>
        <v>Copiers</v>
      </c>
      <c r="AH673" t="str">
        <f t="shared" si="18"/>
        <v>Classic Copiers 583</v>
      </c>
      <c r="AI673" t="str">
        <f t="shared" si="18"/>
        <v>Second Class</v>
      </c>
      <c r="AJ673" s="3" t="str">
        <f t="shared" si="19"/>
        <v>anomaly</v>
      </c>
      <c r="AK673">
        <f>IFERROR(Y673-X673, "invalid date")</f>
        <v>5</v>
      </c>
      <c r="AL673" s="10">
        <v>0.05</v>
      </c>
      <c r="AM673" s="11">
        <v>31203.310500000003</v>
      </c>
      <c r="AN673" s="11">
        <v>13465.180500000002</v>
      </c>
      <c r="AO673" s="10">
        <v>0.43153051020019179</v>
      </c>
      <c r="AP673" t="s">
        <v>4534</v>
      </c>
      <c r="AQ673" t="s">
        <v>4255</v>
      </c>
      <c r="AR673" t="s">
        <v>4159</v>
      </c>
      <c r="AS673" t="s">
        <v>4107</v>
      </c>
      <c r="AT673" t="s">
        <v>4115</v>
      </c>
      <c r="AU673">
        <v>5</v>
      </c>
      <c r="AV673" t="s">
        <v>4109</v>
      </c>
    </row>
    <row r="674" spans="1:48">
      <c r="A674" t="s">
        <v>3175</v>
      </c>
      <c r="B674" t="s">
        <v>3176</v>
      </c>
      <c r="C674" t="s">
        <v>3177</v>
      </c>
      <c r="D674" t="s">
        <v>3178</v>
      </c>
      <c r="E674" t="s">
        <v>116</v>
      </c>
      <c r="F674" t="s">
        <v>117</v>
      </c>
      <c r="G674" t="s">
        <v>82</v>
      </c>
      <c r="H674" t="s">
        <v>93</v>
      </c>
      <c r="I674" t="s">
        <v>94</v>
      </c>
      <c r="J674" t="s">
        <v>54</v>
      </c>
      <c r="K674" t="s">
        <v>85</v>
      </c>
      <c r="L674" t="s">
        <v>3179</v>
      </c>
      <c r="M674" t="s">
        <v>76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43</v>
      </c>
      <c r="U674" t="s">
        <v>134</v>
      </c>
      <c r="W674" t="s">
        <v>3175</v>
      </c>
      <c r="X674" t="str">
        <v>04-09-24</v>
      </c>
      <c r="Y674" t="str">
        <v>05-09-24</v>
      </c>
      <c r="Z674" t="s">
        <v>3178</v>
      </c>
      <c r="AA674" t="str">
        <v>Aditi Sen</v>
      </c>
      <c r="AB674" t="str">
        <f>TRIM(PROPER(F:F))</f>
        <v>Corporate</v>
      </c>
      <c r="AC674" t="str">
        <f>TRIM(PROPER(G:G))</f>
        <v>West</v>
      </c>
      <c r="AD674" t="str">
        <f>TRIM(PROPER(H:H))</f>
        <v>Madhya Pradesh</v>
      </c>
      <c r="AE674" t="str">
        <f>TRIM(PROPER(I:I))</f>
        <v>Indore</v>
      </c>
      <c r="AF674" t="str">
        <f t="shared" si="18"/>
        <v>Furniture</v>
      </c>
      <c r="AG674" t="str">
        <f t="shared" si="18"/>
        <v>Chairs</v>
      </c>
      <c r="AH674" t="str">
        <f t="shared" si="18"/>
        <v>Classic Chairs 460</v>
      </c>
      <c r="AI674" t="str">
        <f t="shared" si="18"/>
        <v>Standard Class</v>
      </c>
      <c r="AJ674" s="3" t="str">
        <f t="shared" si="19"/>
        <v>anomaly</v>
      </c>
      <c r="AK674">
        <f>IFERROR(Y674-X674, "invalid date")</f>
        <v>1</v>
      </c>
      <c r="AL674" s="10">
        <v>0.05</v>
      </c>
      <c r="AM674" s="11">
        <v>12010.5175</v>
      </c>
      <c r="AN674" s="11">
        <v>4145.9075000000003</v>
      </c>
      <c r="AO674" s="10">
        <v>0.34518974723612039</v>
      </c>
      <c r="AP674" t="s">
        <v>4440</v>
      </c>
      <c r="AQ674" t="s">
        <v>4110</v>
      </c>
      <c r="AR674" t="s">
        <v>4134</v>
      </c>
      <c r="AS674" t="s">
        <v>4107</v>
      </c>
      <c r="AT674" t="s">
        <v>4115</v>
      </c>
      <c r="AU674">
        <v>1</v>
      </c>
      <c r="AV674" t="s">
        <v>4109</v>
      </c>
    </row>
    <row r="675" spans="1:48">
      <c r="A675" t="s">
        <v>3180</v>
      </c>
      <c r="B675" t="s">
        <v>2410</v>
      </c>
      <c r="C675" t="s">
        <v>3181</v>
      </c>
      <c r="D675" t="s">
        <v>3182</v>
      </c>
      <c r="E675" t="s">
        <v>70</v>
      </c>
      <c r="F675" t="s">
        <v>50</v>
      </c>
      <c r="G675" t="s">
        <v>82</v>
      </c>
      <c r="H675" t="s">
        <v>37</v>
      </c>
      <c r="I675" t="s">
        <v>144</v>
      </c>
      <c r="J675" t="s">
        <v>54</v>
      </c>
      <c r="K675" t="s">
        <v>214</v>
      </c>
      <c r="L675" t="s">
        <v>3183</v>
      </c>
      <c r="M675" t="s">
        <v>42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43</v>
      </c>
      <c r="U675" t="s">
        <v>44</v>
      </c>
      <c r="W675" t="s">
        <v>3180</v>
      </c>
      <c r="X675" t="str">
        <v>13-02-25</v>
      </c>
      <c r="Y675" t="str">
        <v>16-02-25</v>
      </c>
      <c r="Z675" t="s">
        <v>3182</v>
      </c>
      <c r="AA675" t="str">
        <v>Arjun Bose</v>
      </c>
      <c r="AB675" t="str">
        <f>TRIM(PROPER(F:F))</f>
        <v>Small Business</v>
      </c>
      <c r="AC675" t="str">
        <f>TRIM(PROPER(G:G))</f>
        <v>West</v>
      </c>
      <c r="AD675" t="str">
        <f>TRIM(PROPER(H:H))</f>
        <v>Rajasthan</v>
      </c>
      <c r="AE675" t="str">
        <f>TRIM(PROPER(I:I))</f>
        <v>Udaipur</v>
      </c>
      <c r="AF675" t="str">
        <f t="shared" si="18"/>
        <v>Furniture</v>
      </c>
      <c r="AG675" t="str">
        <f t="shared" si="18"/>
        <v>Bookcases</v>
      </c>
      <c r="AH675" t="str">
        <f t="shared" si="18"/>
        <v>Classic Bookcases 488</v>
      </c>
      <c r="AI675" t="str">
        <f t="shared" si="18"/>
        <v>Second Class</v>
      </c>
      <c r="AJ675" s="3" t="str">
        <f t="shared" si="19"/>
        <v>anomaly</v>
      </c>
      <c r="AK675">
        <f>IFERROR(Y675-X675, "invalid date")</f>
        <v>3</v>
      </c>
      <c r="AL675" s="10">
        <v>0.15</v>
      </c>
      <c r="AM675" s="11">
        <v>13847.86</v>
      </c>
      <c r="AN675" s="11">
        <v>5376.08</v>
      </c>
      <c r="AO675" s="10">
        <v>0.38822460654570451</v>
      </c>
      <c r="AP675" t="s">
        <v>4323</v>
      </c>
      <c r="AQ675" t="s">
        <v>4634</v>
      </c>
      <c r="AR675" t="s">
        <v>4129</v>
      </c>
      <c r="AS675" t="s">
        <v>4120</v>
      </c>
      <c r="AT675" t="s">
        <v>4115</v>
      </c>
      <c r="AU675">
        <v>3</v>
      </c>
      <c r="AV675" t="s">
        <v>4109</v>
      </c>
    </row>
    <row r="676" spans="1:48">
      <c r="A676" t="s">
        <v>3184</v>
      </c>
      <c r="B676" t="s">
        <v>3185</v>
      </c>
      <c r="C676" t="s">
        <v>3186</v>
      </c>
      <c r="D676" t="s">
        <v>3187</v>
      </c>
      <c r="E676" t="s">
        <v>92</v>
      </c>
      <c r="F676" t="s">
        <v>117</v>
      </c>
      <c r="G676" t="s">
        <v>51</v>
      </c>
      <c r="H676" t="s">
        <v>322</v>
      </c>
      <c r="I676" t="s">
        <v>323</v>
      </c>
      <c r="J676" t="s">
        <v>95</v>
      </c>
      <c r="K676" t="s">
        <v>96</v>
      </c>
      <c r="L676" t="s">
        <v>3188</v>
      </c>
      <c r="M676" t="s">
        <v>42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146</v>
      </c>
      <c r="U676" t="s">
        <v>134</v>
      </c>
      <c r="W676" t="s">
        <v>3184</v>
      </c>
      <c r="X676" t="str">
        <v>18-05-24</v>
      </c>
      <c r="Y676" t="str">
        <v>21-05-24</v>
      </c>
      <c r="Z676" t="s">
        <v>3187</v>
      </c>
      <c r="AA676" t="str">
        <v>Vikram Iyer</v>
      </c>
      <c r="AB676" t="str">
        <f>TRIM(PROPER(F:F))</f>
        <v>Corporate</v>
      </c>
      <c r="AC676" t="str">
        <f>TRIM(PROPER(G:G))</f>
        <v>East</v>
      </c>
      <c r="AD676" t="str">
        <f>TRIM(PROPER(H:H))</f>
        <v>Jharkhand</v>
      </c>
      <c r="AE676" t="str">
        <f>TRIM(PROPER(I:I))</f>
        <v>Ranchi</v>
      </c>
      <c r="AF676" t="str">
        <f t="shared" si="18"/>
        <v>Technology</v>
      </c>
      <c r="AG676" t="str">
        <f t="shared" si="18"/>
        <v>Accessories</v>
      </c>
      <c r="AH676" t="str">
        <f t="shared" si="18"/>
        <v>Basic Accessories 944</v>
      </c>
      <c r="AI676" t="str">
        <f t="shared" si="18"/>
        <v>Second Class</v>
      </c>
      <c r="AJ676" s="3" t="str">
        <f t="shared" si="19"/>
        <v>anomaly</v>
      </c>
      <c r="AK676">
        <f>IFERROR(Y676-X676, "invalid date")</f>
        <v>3</v>
      </c>
      <c r="AL676" s="10">
        <v>0</v>
      </c>
      <c r="AM676" s="11">
        <v>1033.71</v>
      </c>
      <c r="AN676" s="11">
        <v>402.89</v>
      </c>
      <c r="AO676" s="10">
        <v>0.38975147768716562</v>
      </c>
      <c r="AP676" t="s">
        <v>4521</v>
      </c>
      <c r="AQ676" t="s">
        <v>4382</v>
      </c>
      <c r="AR676" t="s">
        <v>4124</v>
      </c>
      <c r="AS676" t="s">
        <v>4107</v>
      </c>
      <c r="AT676" t="s">
        <v>4115</v>
      </c>
      <c r="AU676">
        <v>3</v>
      </c>
      <c r="AV676" t="s">
        <v>4109</v>
      </c>
    </row>
    <row r="677" spans="1:48">
      <c r="A677" t="s">
        <v>3189</v>
      </c>
      <c r="B677" t="s">
        <v>3190</v>
      </c>
      <c r="C677" t="s">
        <v>3191</v>
      </c>
      <c r="D677" t="s">
        <v>3042</v>
      </c>
      <c r="E677" t="s">
        <v>171</v>
      </c>
      <c r="F677" t="s">
        <v>35</v>
      </c>
      <c r="G677" t="s">
        <v>36</v>
      </c>
      <c r="H677" t="s">
        <v>37</v>
      </c>
      <c r="I677" t="s">
        <v>38</v>
      </c>
      <c r="J677" t="s">
        <v>54</v>
      </c>
      <c r="K677" t="s">
        <v>74</v>
      </c>
      <c r="L677" t="s">
        <v>3192</v>
      </c>
      <c r="M677" t="s">
        <v>57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43</v>
      </c>
      <c r="U677" t="s">
        <v>44</v>
      </c>
      <c r="W677" t="s">
        <v>3189</v>
      </c>
      <c r="X677" t="str">
        <v>07-06-25</v>
      </c>
      <c r="Y677" t="str">
        <v>06-10-25</v>
      </c>
      <c r="Z677" t="s">
        <v>3042</v>
      </c>
      <c r="AA677" t="str">
        <v>Aarav Sharma</v>
      </c>
      <c r="AB677" t="str">
        <f>TRIM(PROPER(F:F))</f>
        <v>Consumer</v>
      </c>
      <c r="AC677" t="str">
        <f>TRIM(PROPER(G:G))</f>
        <v>North</v>
      </c>
      <c r="AD677" t="str">
        <f>TRIM(PROPER(H:H))</f>
        <v>Rajasthan</v>
      </c>
      <c r="AE677" t="str">
        <f>TRIM(PROPER(I:I))</f>
        <v>Jaipur</v>
      </c>
      <c r="AF677" t="str">
        <f t="shared" si="18"/>
        <v>Furniture</v>
      </c>
      <c r="AG677" t="str">
        <f t="shared" si="18"/>
        <v>Furnishings</v>
      </c>
      <c r="AH677" t="str">
        <f t="shared" si="18"/>
        <v>Eco Furnishings 217</v>
      </c>
      <c r="AI677" t="str">
        <f t="shared" si="18"/>
        <v>Same Day</v>
      </c>
      <c r="AJ677" s="3" t="str">
        <f t="shared" si="19"/>
        <v xml:space="preserve">  </v>
      </c>
      <c r="AK677">
        <f>IFERROR(Y677-X677, "invalid date")</f>
        <v>121</v>
      </c>
      <c r="AL677" s="10">
        <v>0</v>
      </c>
      <c r="AM677" s="11">
        <v>2889.7799999999997</v>
      </c>
      <c r="AN677" s="11">
        <v>1078.5499999999997</v>
      </c>
      <c r="AO677" s="10">
        <v>0.37322910394562903</v>
      </c>
      <c r="AP677" t="s">
        <v>4409</v>
      </c>
      <c r="AQ677" t="s">
        <v>4568</v>
      </c>
      <c r="AR677" t="s">
        <v>4170</v>
      </c>
      <c r="AS677" t="s">
        <v>4120</v>
      </c>
      <c r="AT677" t="s">
        <v>4121</v>
      </c>
      <c r="AU677">
        <v>121</v>
      </c>
      <c r="AV677" t="s">
        <v>4109</v>
      </c>
    </row>
    <row r="678" spans="1:48">
      <c r="A678" t="s">
        <v>3193</v>
      </c>
      <c r="B678" t="s">
        <v>3194</v>
      </c>
      <c r="C678" t="s">
        <v>3195</v>
      </c>
      <c r="D678" t="s">
        <v>3196</v>
      </c>
      <c r="E678" t="s">
        <v>157</v>
      </c>
      <c r="F678" t="s">
        <v>50</v>
      </c>
      <c r="G678" t="s">
        <v>36</v>
      </c>
      <c r="H678" t="s">
        <v>517</v>
      </c>
      <c r="I678" t="s">
        <v>518</v>
      </c>
      <c r="J678" t="s">
        <v>95</v>
      </c>
      <c r="K678" t="s">
        <v>233</v>
      </c>
      <c r="L678" t="s">
        <v>3197</v>
      </c>
      <c r="M678" t="s">
        <v>57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43</v>
      </c>
      <c r="U678" t="s">
        <v>44</v>
      </c>
      <c r="W678" t="s">
        <v>3193</v>
      </c>
      <c r="X678" t="str">
        <v>09-11-25</v>
      </c>
      <c r="Y678" t="str">
        <v>invalid date</v>
      </c>
      <c r="Z678" t="s">
        <v>3196</v>
      </c>
      <c r="AA678" t="str">
        <v>Rahul Verma</v>
      </c>
      <c r="AB678" t="str">
        <f>TRIM(PROPER(F:F))</f>
        <v>Small Business</v>
      </c>
      <c r="AC678" t="str">
        <f>TRIM(PROPER(G:G))</f>
        <v>North</v>
      </c>
      <c r="AD678" t="str">
        <f>TRIM(PROPER(H:H))</f>
        <v>Delhi</v>
      </c>
      <c r="AE678" t="str">
        <f>TRIM(PROPER(I:I))</f>
        <v>New Delhi</v>
      </c>
      <c r="AF678" t="str">
        <f t="shared" si="18"/>
        <v>Technology</v>
      </c>
      <c r="AG678" t="str">
        <f t="shared" si="18"/>
        <v>Phones</v>
      </c>
      <c r="AH678" t="str">
        <f t="shared" si="18"/>
        <v>Smart Phones 967</v>
      </c>
      <c r="AI678" t="str">
        <f t="shared" si="18"/>
        <v>Same Day</v>
      </c>
      <c r="AJ678" s="3" t="str">
        <f t="shared" si="19"/>
        <v>Invalid</v>
      </c>
      <c r="AK678" t="str">
        <f>IFERROR(Y678-X678, "invalid date")</f>
        <v>invalid date</v>
      </c>
      <c r="AL678" s="10">
        <v>0.15</v>
      </c>
      <c r="AM678" s="11">
        <v>20296.699499999999</v>
      </c>
      <c r="AN678" s="11">
        <v>5375.829499999998</v>
      </c>
      <c r="AO678" s="10">
        <v>0.26486225014071862</v>
      </c>
      <c r="AP678" t="s">
        <v>4666</v>
      </c>
      <c r="AQ678" t="s">
        <v>4105</v>
      </c>
      <c r="AR678" t="s">
        <v>4117</v>
      </c>
      <c r="AS678" t="s">
        <v>4120</v>
      </c>
      <c r="AT678" t="s">
        <v>4108</v>
      </c>
      <c r="AU678" t="s">
        <v>4105</v>
      </c>
      <c r="AV678" t="s">
        <v>4109</v>
      </c>
    </row>
    <row r="679" spans="1:48">
      <c r="A679" t="s">
        <v>3198</v>
      </c>
      <c r="B679" t="s">
        <v>3199</v>
      </c>
      <c r="C679" t="s">
        <v>3200</v>
      </c>
      <c r="D679" t="s">
        <v>33</v>
      </c>
      <c r="E679" t="s">
        <v>62</v>
      </c>
      <c r="F679" t="s">
        <v>124</v>
      </c>
      <c r="G679" t="s">
        <v>71</v>
      </c>
      <c r="H679" t="s">
        <v>239</v>
      </c>
      <c r="I679" t="s">
        <v>240</v>
      </c>
      <c r="J679" t="s">
        <v>54</v>
      </c>
      <c r="K679" t="s">
        <v>85</v>
      </c>
      <c r="L679" t="s">
        <v>3201</v>
      </c>
      <c r="M679" t="s">
        <v>57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43</v>
      </c>
      <c r="U679" t="s">
        <v>44</v>
      </c>
      <c r="W679" t="s">
        <v>3198</v>
      </c>
      <c r="X679" t="str">
        <v>22-06-24</v>
      </c>
      <c r="Y679" t="str">
        <v>27-06-24</v>
      </c>
      <c r="Z679" t="s">
        <v>33</v>
      </c>
      <c r="AA679" t="str">
        <v>Isha Nair</v>
      </c>
      <c r="AB679" t="str">
        <f>TRIM(PROPER(F:F))</f>
        <v>Home Office</v>
      </c>
      <c r="AC679" t="str">
        <f>TRIM(PROPER(G:G))</f>
        <v>South</v>
      </c>
      <c r="AD679" t="str">
        <f>TRIM(PROPER(H:H))</f>
        <v>Karnataka</v>
      </c>
      <c r="AE679" t="str">
        <f>TRIM(PROPER(I:I))</f>
        <v>Bengaluru</v>
      </c>
      <c r="AF679" t="str">
        <f t="shared" si="18"/>
        <v>Furniture</v>
      </c>
      <c r="AG679" t="str">
        <f t="shared" si="18"/>
        <v>Chairs</v>
      </c>
      <c r="AH679" t="str">
        <f t="shared" si="18"/>
        <v>Smart Chairs 610</v>
      </c>
      <c r="AI679" t="str">
        <f t="shared" si="18"/>
        <v>Same Day</v>
      </c>
      <c r="AJ679" s="3" t="str">
        <f t="shared" si="19"/>
        <v>anomaly</v>
      </c>
      <c r="AK679">
        <f>IFERROR(Y679-X679, "invalid date")</f>
        <v>5</v>
      </c>
      <c r="AL679" s="10">
        <v>0</v>
      </c>
      <c r="AM679" s="11">
        <v>18364.36</v>
      </c>
      <c r="AN679" s="11">
        <v>2918.5500000000011</v>
      </c>
      <c r="AO679" s="10">
        <v>0.15892467801763857</v>
      </c>
      <c r="AP679" t="s">
        <v>4181</v>
      </c>
      <c r="AQ679" t="s">
        <v>4326</v>
      </c>
      <c r="AR679" t="s">
        <v>4170</v>
      </c>
      <c r="AS679" t="s">
        <v>4107</v>
      </c>
      <c r="AT679" t="s">
        <v>4115</v>
      </c>
      <c r="AU679">
        <v>5</v>
      </c>
      <c r="AV679" t="s">
        <v>4109</v>
      </c>
    </row>
    <row r="680" spans="1:48">
      <c r="A680" t="s">
        <v>3202</v>
      </c>
      <c r="B680" t="s">
        <v>3203</v>
      </c>
      <c r="C680" t="s">
        <v>3204</v>
      </c>
      <c r="D680" t="s">
        <v>3205</v>
      </c>
      <c r="E680" t="s">
        <v>377</v>
      </c>
      <c r="F680" t="s">
        <v>117</v>
      </c>
      <c r="G680" t="s">
        <v>71</v>
      </c>
      <c r="H680" t="s">
        <v>239</v>
      </c>
      <c r="I680" t="s">
        <v>240</v>
      </c>
      <c r="J680" t="s">
        <v>54</v>
      </c>
      <c r="K680" t="s">
        <v>55</v>
      </c>
      <c r="L680" t="s">
        <v>3206</v>
      </c>
      <c r="M680" t="s">
        <v>42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43</v>
      </c>
      <c r="U680" t="s">
        <v>44</v>
      </c>
      <c r="W680" t="s">
        <v>3202</v>
      </c>
      <c r="X680" t="str">
        <v>24-11-24</v>
      </c>
      <c r="Y680" t="str">
        <v>12-01-24</v>
      </c>
      <c r="Z680" t="s">
        <v>3205</v>
      </c>
      <c r="AA680" t="str">
        <v>Kabir Singh</v>
      </c>
      <c r="AB680" t="str">
        <f>TRIM(PROPER(F:F))</f>
        <v>Corporate</v>
      </c>
      <c r="AC680" t="str">
        <f>TRIM(PROPER(G:G))</f>
        <v>South</v>
      </c>
      <c r="AD680" t="str">
        <f>TRIM(PROPER(H:H))</f>
        <v>Karnataka</v>
      </c>
      <c r="AE680" t="str">
        <f>TRIM(PROPER(I:I))</f>
        <v>Bengaluru</v>
      </c>
      <c r="AF680" t="str">
        <f t="shared" si="18"/>
        <v>Furniture</v>
      </c>
      <c r="AG680" t="str">
        <f t="shared" si="18"/>
        <v>Tables</v>
      </c>
      <c r="AH680" t="str">
        <f t="shared" si="18"/>
        <v>Prime Tables 123</v>
      </c>
      <c r="AI680" t="str">
        <f t="shared" si="18"/>
        <v>Second Class</v>
      </c>
      <c r="AJ680" s="3" t="str">
        <f t="shared" si="19"/>
        <v xml:space="preserve">  </v>
      </c>
      <c r="AK680">
        <f>IFERROR(Y680-X680, "invalid date")</f>
        <v>-317</v>
      </c>
      <c r="AL680" s="10">
        <v>0.15</v>
      </c>
      <c r="AM680" s="11">
        <v>21141.6165</v>
      </c>
      <c r="AN680" s="11">
        <v>9465.2865000000002</v>
      </c>
      <c r="AO680" s="10">
        <v>0.44770874071999178</v>
      </c>
      <c r="AP680" t="s">
        <v>4667</v>
      </c>
      <c r="AQ680" t="s">
        <v>4668</v>
      </c>
      <c r="AR680" t="s">
        <v>4117</v>
      </c>
      <c r="AS680" t="s">
        <v>4107</v>
      </c>
      <c r="AT680" t="s">
        <v>4121</v>
      </c>
      <c r="AU680">
        <v>-317</v>
      </c>
      <c r="AV680" t="s">
        <v>4109</v>
      </c>
    </row>
    <row r="681" spans="1:48">
      <c r="A681" t="s">
        <v>3207</v>
      </c>
      <c r="B681" t="s">
        <v>3208</v>
      </c>
      <c r="C681" t="s">
        <v>651</v>
      </c>
      <c r="D681" t="s">
        <v>3209</v>
      </c>
      <c r="E681" t="s">
        <v>189</v>
      </c>
      <c r="F681" t="s">
        <v>117</v>
      </c>
      <c r="G681" t="s">
        <v>36</v>
      </c>
      <c r="H681" t="s">
        <v>163</v>
      </c>
      <c r="I681" t="s">
        <v>164</v>
      </c>
      <c r="J681" t="s">
        <v>95</v>
      </c>
      <c r="K681" t="s">
        <v>103</v>
      </c>
      <c r="L681" t="s">
        <v>3210</v>
      </c>
      <c r="M681" t="s">
        <v>57</v>
      </c>
      <c r="N681">
        <v>4</v>
      </c>
      <c r="O681">
        <v>1410.57</v>
      </c>
      <c r="P681" s="5" t="s">
        <v>191</v>
      </c>
      <c r="Q681">
        <v>5360.17</v>
      </c>
      <c r="R681">
        <v>3881.51</v>
      </c>
      <c r="S681">
        <v>1478.66</v>
      </c>
      <c r="T681" t="s">
        <v>133</v>
      </c>
      <c r="U681" t="s">
        <v>87</v>
      </c>
      <c r="W681" t="s">
        <v>3207</v>
      </c>
      <c r="X681" t="str">
        <v>16-08-25</v>
      </c>
      <c r="Y681" t="str">
        <v>23-08-25</v>
      </c>
      <c r="Z681" t="s">
        <v>3209</v>
      </c>
      <c r="AA681" t="str">
        <v>Rohan Mehta</v>
      </c>
      <c r="AB681" t="str">
        <f>TRIM(PROPER(F:F))</f>
        <v>Corporate</v>
      </c>
      <c r="AC681" t="str">
        <f>TRIM(PROPER(G:G))</f>
        <v>North</v>
      </c>
      <c r="AD681" t="str">
        <f>TRIM(PROPER(H:H))</f>
        <v>Punjab</v>
      </c>
      <c r="AE681" t="str">
        <f>TRIM(PROPER(I:I))</f>
        <v>Ludhiana</v>
      </c>
      <c r="AF681" t="str">
        <f t="shared" si="18"/>
        <v>Technology</v>
      </c>
      <c r="AG681" t="str">
        <f t="shared" si="18"/>
        <v>Copiers</v>
      </c>
      <c r="AH681" t="str">
        <f t="shared" si="18"/>
        <v>Smart Copiers 579</v>
      </c>
      <c r="AI681" t="str">
        <f t="shared" si="18"/>
        <v>Same Day</v>
      </c>
      <c r="AJ681" s="3" t="str">
        <f t="shared" si="19"/>
        <v>anomaly</v>
      </c>
      <c r="AK681">
        <f>IFERROR(Y681-X681, "invalid date")</f>
        <v>7</v>
      </c>
      <c r="AL681" s="10" t="s">
        <v>191</v>
      </c>
      <c r="AM681" s="11" t="s">
        <v>4111</v>
      </c>
      <c r="AN681" s="11" t="s">
        <v>4111</v>
      </c>
      <c r="AO681" s="10" t="s">
        <v>4111</v>
      </c>
      <c r="AP681" t="s">
        <v>4512</v>
      </c>
      <c r="AQ681" t="s">
        <v>4281</v>
      </c>
      <c r="AR681" t="s">
        <v>4114</v>
      </c>
      <c r="AS681" t="s">
        <v>4120</v>
      </c>
      <c r="AT681" t="s">
        <v>4115</v>
      </c>
      <c r="AU681">
        <v>7</v>
      </c>
      <c r="AV681" t="s">
        <v>4109</v>
      </c>
    </row>
    <row r="682" spans="1:48">
      <c r="A682" t="s">
        <v>3211</v>
      </c>
      <c r="B682" t="s">
        <v>285</v>
      </c>
      <c r="C682" t="s">
        <v>588</v>
      </c>
      <c r="D682" t="s">
        <v>3212</v>
      </c>
      <c r="E682" t="s">
        <v>377</v>
      </c>
      <c r="F682" t="s">
        <v>117</v>
      </c>
      <c r="G682" t="s">
        <v>71</v>
      </c>
      <c r="H682" t="s">
        <v>350</v>
      </c>
      <c r="I682" t="s">
        <v>351</v>
      </c>
      <c r="J682" t="s">
        <v>95</v>
      </c>
      <c r="K682" t="s">
        <v>96</v>
      </c>
      <c r="L682" t="s">
        <v>3213</v>
      </c>
      <c r="M682" t="s">
        <v>65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43</v>
      </c>
      <c r="U682" t="s">
        <v>44</v>
      </c>
      <c r="W682" t="s">
        <v>3211</v>
      </c>
      <c r="X682" t="str">
        <v>29-05-24</v>
      </c>
      <c r="Y682" t="str">
        <v>05-06-24</v>
      </c>
      <c r="Z682" t="s">
        <v>3212</v>
      </c>
      <c r="AA682" t="str">
        <v>Kabir Singh</v>
      </c>
      <c r="AB682" t="str">
        <f>TRIM(PROPER(F:F))</f>
        <v>Corporate</v>
      </c>
      <c r="AC682" t="str">
        <f>TRIM(PROPER(G:G))</f>
        <v>South</v>
      </c>
      <c r="AD682" t="str">
        <f>TRIM(PROPER(H:H))</f>
        <v>Tamil Nadu</v>
      </c>
      <c r="AE682" t="str">
        <f>TRIM(PROPER(I:I))</f>
        <v>Chennai</v>
      </c>
      <c r="AF682" t="str">
        <f t="shared" si="18"/>
        <v>Technology</v>
      </c>
      <c r="AG682" t="str">
        <f t="shared" si="18"/>
        <v>Accessories</v>
      </c>
      <c r="AH682" t="str">
        <f t="shared" si="18"/>
        <v>Eco Accessories 658</v>
      </c>
      <c r="AI682" t="str">
        <f t="shared" si="18"/>
        <v>First Class</v>
      </c>
      <c r="AJ682" s="3" t="str">
        <f t="shared" si="19"/>
        <v xml:space="preserve">  </v>
      </c>
      <c r="AK682">
        <f>IFERROR(Y682-X682, "invalid date")</f>
        <v>7</v>
      </c>
      <c r="AL682" s="10">
        <v>0</v>
      </c>
      <c r="AM682" s="11">
        <v>14800.96</v>
      </c>
      <c r="AN682" s="11">
        <v>2752.5699999999997</v>
      </c>
      <c r="AO682" s="10">
        <v>0.18597239638509933</v>
      </c>
      <c r="AP682" t="s">
        <v>4176</v>
      </c>
      <c r="AQ682" t="s">
        <v>4263</v>
      </c>
      <c r="AR682" t="s">
        <v>4124</v>
      </c>
      <c r="AS682" t="s">
        <v>4107</v>
      </c>
      <c r="AT682" t="s">
        <v>4121</v>
      </c>
      <c r="AU682">
        <v>7</v>
      </c>
      <c r="AV682" t="s">
        <v>4109</v>
      </c>
    </row>
    <row r="683" spans="1:48">
      <c r="A683" t="s">
        <v>3214</v>
      </c>
      <c r="B683" t="s">
        <v>3215</v>
      </c>
      <c r="C683" t="s">
        <v>3216</v>
      </c>
      <c r="D683" t="s">
        <v>3217</v>
      </c>
      <c r="E683" t="s">
        <v>92</v>
      </c>
      <c r="F683" t="s">
        <v>117</v>
      </c>
      <c r="G683" t="s">
        <v>36</v>
      </c>
      <c r="H683" t="s">
        <v>517</v>
      </c>
      <c r="I683" t="s">
        <v>518</v>
      </c>
      <c r="J683" t="s">
        <v>54</v>
      </c>
      <c r="K683" t="s">
        <v>55</v>
      </c>
      <c r="L683" t="s">
        <v>3218</v>
      </c>
      <c r="M683" t="s">
        <v>42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43</v>
      </c>
      <c r="U683" t="s">
        <v>87</v>
      </c>
      <c r="W683" t="s">
        <v>3214</v>
      </c>
      <c r="X683" t="str">
        <v>07-04-24</v>
      </c>
      <c r="Y683" t="str">
        <v>10-07-24</v>
      </c>
      <c r="Z683" t="s">
        <v>3217</v>
      </c>
      <c r="AA683" t="str">
        <v>Vikram Iyer</v>
      </c>
      <c r="AB683" t="str">
        <f>TRIM(PROPER(F:F))</f>
        <v>Corporate</v>
      </c>
      <c r="AC683" t="str">
        <f>TRIM(PROPER(G:G))</f>
        <v>North</v>
      </c>
      <c r="AD683" t="str">
        <f>TRIM(PROPER(H:H))</f>
        <v>Delhi</v>
      </c>
      <c r="AE683" t="str">
        <f>TRIM(PROPER(I:I))</f>
        <v>New Delhi</v>
      </c>
      <c r="AF683" t="str">
        <f t="shared" si="18"/>
        <v>Furniture</v>
      </c>
      <c r="AG683" t="str">
        <f t="shared" si="18"/>
        <v>Tables</v>
      </c>
      <c r="AH683" t="str">
        <f t="shared" si="18"/>
        <v>Smart Tables 777</v>
      </c>
      <c r="AI683" t="str">
        <f t="shared" si="18"/>
        <v>Second Class</v>
      </c>
      <c r="AJ683" s="3" t="str">
        <f t="shared" si="19"/>
        <v>anomaly</v>
      </c>
      <c r="AK683">
        <f>IFERROR(Y683-X683, "invalid date")</f>
        <v>94</v>
      </c>
      <c r="AL683" s="10">
        <v>0</v>
      </c>
      <c r="AM683" s="11">
        <v>6001.35</v>
      </c>
      <c r="AN683" s="11">
        <v>1818.3600000000006</v>
      </c>
      <c r="AO683" s="10">
        <v>0.30299182683896131</v>
      </c>
      <c r="AP683" t="s">
        <v>4436</v>
      </c>
      <c r="AQ683" t="s">
        <v>4378</v>
      </c>
      <c r="AR683" t="s">
        <v>4199</v>
      </c>
      <c r="AS683" t="s">
        <v>4107</v>
      </c>
      <c r="AT683" t="s">
        <v>4115</v>
      </c>
      <c r="AU683">
        <v>94</v>
      </c>
      <c r="AV683" t="s">
        <v>4109</v>
      </c>
    </row>
    <row r="684" spans="1:48">
      <c r="A684" t="s">
        <v>3219</v>
      </c>
      <c r="B684" t="s">
        <v>355</v>
      </c>
      <c r="C684" t="s">
        <v>2892</v>
      </c>
      <c r="D684" t="s">
        <v>3220</v>
      </c>
      <c r="E684" t="s">
        <v>3221</v>
      </c>
      <c r="F684" t="s">
        <v>117</v>
      </c>
      <c r="G684" t="s">
        <v>36</v>
      </c>
      <c r="H684" t="s">
        <v>334</v>
      </c>
      <c r="I684" t="s">
        <v>335</v>
      </c>
      <c r="J684" t="s">
        <v>39</v>
      </c>
      <c r="K684" t="s">
        <v>165</v>
      </c>
      <c r="L684" t="s">
        <v>3222</v>
      </c>
      <c r="M684" t="s">
        <v>57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43</v>
      </c>
      <c r="U684" t="s">
        <v>44</v>
      </c>
      <c r="W684" t="s">
        <v>3219</v>
      </c>
      <c r="X684" t="str">
        <v>05-02-25</v>
      </c>
      <c r="Y684" t="str">
        <v>05-02-25</v>
      </c>
      <c r="Z684" t="s">
        <v>3220</v>
      </c>
      <c r="AA684" t="str">
        <v>ananya rao</v>
      </c>
      <c r="AB684" t="str">
        <f>TRIM(PROPER(F:F))</f>
        <v>Corporate</v>
      </c>
      <c r="AC684" t="str">
        <f>TRIM(PROPER(G:G))</f>
        <v>North</v>
      </c>
      <c r="AD684" t="str">
        <f>TRIM(PROPER(H:H))</f>
        <v>Haryana</v>
      </c>
      <c r="AE684" t="str">
        <f>TRIM(PROPER(I:I))</f>
        <v>Gurugram</v>
      </c>
      <c r="AF684" t="str">
        <f t="shared" si="18"/>
        <v>Office Supplies</v>
      </c>
      <c r="AG684" t="str">
        <f t="shared" si="18"/>
        <v>Storage</v>
      </c>
      <c r="AH684" t="str">
        <f t="shared" si="18"/>
        <v>Eco Storage 861</v>
      </c>
      <c r="AI684" t="str">
        <f t="shared" si="18"/>
        <v>Same Day</v>
      </c>
      <c r="AJ684" s="3" t="str">
        <f t="shared" si="19"/>
        <v xml:space="preserve">  </v>
      </c>
      <c r="AK684">
        <f>IFERROR(Y684-X684, "invalid date")</f>
        <v>0</v>
      </c>
      <c r="AL684" s="10">
        <v>0</v>
      </c>
      <c r="AM684" s="11">
        <v>7772.34</v>
      </c>
      <c r="AN684" s="11">
        <v>3658.6800000000003</v>
      </c>
      <c r="AO684" s="10">
        <v>0.47073082237781677</v>
      </c>
      <c r="AP684" t="s">
        <v>4175</v>
      </c>
      <c r="AQ684" t="s">
        <v>4175</v>
      </c>
      <c r="AR684" t="s">
        <v>4129</v>
      </c>
      <c r="AS684" t="s">
        <v>4120</v>
      </c>
      <c r="AT684" t="s">
        <v>4115</v>
      </c>
      <c r="AU684">
        <v>0</v>
      </c>
      <c r="AV684" t="s">
        <v>4109</v>
      </c>
    </row>
    <row r="685" spans="1:48">
      <c r="A685" t="s">
        <v>3223</v>
      </c>
      <c r="B685" t="s">
        <v>3224</v>
      </c>
      <c r="C685" t="s">
        <v>1738</v>
      </c>
      <c r="D685" t="s">
        <v>3225</v>
      </c>
      <c r="E685" t="s">
        <v>70</v>
      </c>
      <c r="F685" t="s">
        <v>50</v>
      </c>
      <c r="G685" t="s">
        <v>71</v>
      </c>
      <c r="H685" t="s">
        <v>72</v>
      </c>
      <c r="I685" t="s">
        <v>73</v>
      </c>
      <c r="J685" t="s">
        <v>54</v>
      </c>
      <c r="K685" t="s">
        <v>74</v>
      </c>
      <c r="L685" t="s">
        <v>3226</v>
      </c>
      <c r="M685" t="s">
        <v>42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133</v>
      </c>
      <c r="U685" t="s">
        <v>87</v>
      </c>
      <c r="W685" t="s">
        <v>3223</v>
      </c>
      <c r="X685" t="str">
        <v>20-07-25</v>
      </c>
      <c r="Y685" t="str">
        <v>24-07-25</v>
      </c>
      <c r="Z685" t="s">
        <v>3225</v>
      </c>
      <c r="AA685" t="str">
        <v>Arjun Bose</v>
      </c>
      <c r="AB685" t="str">
        <f>TRIM(PROPER(F:F))</f>
        <v>Small Business</v>
      </c>
      <c r="AC685" t="str">
        <f>TRIM(PROPER(G:G))</f>
        <v>South</v>
      </c>
      <c r="AD685" t="str">
        <f>TRIM(PROPER(H:H))</f>
        <v>Telangana</v>
      </c>
      <c r="AE685" t="str">
        <f>TRIM(PROPER(I:I))</f>
        <v>Hyderabad</v>
      </c>
      <c r="AF685" t="str">
        <f t="shared" si="18"/>
        <v>Furniture</v>
      </c>
      <c r="AG685" t="str">
        <f t="shared" si="18"/>
        <v>Furnishings</v>
      </c>
      <c r="AH685" t="str">
        <f t="shared" si="18"/>
        <v>Eco Furnishings 875</v>
      </c>
      <c r="AI685" t="str">
        <f t="shared" si="18"/>
        <v>Second Class</v>
      </c>
      <c r="AJ685" s="3" t="str">
        <f t="shared" si="19"/>
        <v>anomaly</v>
      </c>
      <c r="AK685">
        <f>IFERROR(Y685-X685, "invalid date")</f>
        <v>4</v>
      </c>
      <c r="AL685" s="10">
        <v>0.2</v>
      </c>
      <c r="AM685" s="11">
        <v>7902.9600000000009</v>
      </c>
      <c r="AN685" s="11">
        <v>2390.9300000000012</v>
      </c>
      <c r="AO685" s="10">
        <v>0.30253601182341816</v>
      </c>
      <c r="AP685" t="s">
        <v>4375</v>
      </c>
      <c r="AQ685" t="s">
        <v>4335</v>
      </c>
      <c r="AR685" t="s">
        <v>4106</v>
      </c>
      <c r="AS685" t="s">
        <v>4120</v>
      </c>
      <c r="AT685" t="s">
        <v>4115</v>
      </c>
      <c r="AU685">
        <v>4</v>
      </c>
      <c r="AV685" t="s">
        <v>4109</v>
      </c>
    </row>
    <row r="686" spans="1:48">
      <c r="A686" t="s">
        <v>3227</v>
      </c>
      <c r="B686" t="s">
        <v>3228</v>
      </c>
      <c r="C686" t="s">
        <v>505</v>
      </c>
      <c r="D686" t="s">
        <v>3229</v>
      </c>
      <c r="E686" t="s">
        <v>62</v>
      </c>
      <c r="F686" t="s">
        <v>124</v>
      </c>
      <c r="G686" t="s">
        <v>71</v>
      </c>
      <c r="H686" t="s">
        <v>350</v>
      </c>
      <c r="I686" t="s">
        <v>351</v>
      </c>
      <c r="J686" t="s">
        <v>54</v>
      </c>
      <c r="K686" t="s">
        <v>214</v>
      </c>
      <c r="L686" t="s">
        <v>3230</v>
      </c>
      <c r="M686" t="s">
        <v>65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133</v>
      </c>
      <c r="U686" t="s">
        <v>87</v>
      </c>
      <c r="W686" t="s">
        <v>3227</v>
      </c>
      <c r="X686" t="str">
        <v>21-07-25</v>
      </c>
      <c r="Y686" t="str">
        <v>21-07-25</v>
      </c>
      <c r="Z686" t="s">
        <v>3229</v>
      </c>
      <c r="AA686" t="str">
        <v>Isha Nair</v>
      </c>
      <c r="AB686" t="str">
        <f>TRIM(PROPER(F:F))</f>
        <v>Home Office</v>
      </c>
      <c r="AC686" t="str">
        <f>TRIM(PROPER(G:G))</f>
        <v>South</v>
      </c>
      <c r="AD686" t="str">
        <f>TRIM(PROPER(H:H))</f>
        <v>Tamil Nadu</v>
      </c>
      <c r="AE686" t="str">
        <f>TRIM(PROPER(I:I))</f>
        <v>Chennai</v>
      </c>
      <c r="AF686" t="str">
        <f t="shared" si="18"/>
        <v>Furniture</v>
      </c>
      <c r="AG686" t="str">
        <f t="shared" si="18"/>
        <v>Bookcases</v>
      </c>
      <c r="AH686" t="str">
        <f t="shared" si="18"/>
        <v>Prime Bookcases 784</v>
      </c>
      <c r="AI686" t="str">
        <f t="shared" si="18"/>
        <v>First Class</v>
      </c>
      <c r="AJ686" s="3" t="str">
        <f t="shared" si="19"/>
        <v xml:space="preserve">  </v>
      </c>
      <c r="AK686">
        <f>IFERROR(Y686-X686, "invalid date")</f>
        <v>0</v>
      </c>
      <c r="AL686" s="10">
        <v>0.2</v>
      </c>
      <c r="AM686" s="11">
        <v>24621.239999999998</v>
      </c>
      <c r="AN686" s="11">
        <v>7465.7599999999984</v>
      </c>
      <c r="AO686" s="10">
        <v>0.3032243705028666</v>
      </c>
      <c r="AP686" t="s">
        <v>4240</v>
      </c>
      <c r="AQ686" t="s">
        <v>4240</v>
      </c>
      <c r="AR686" t="s">
        <v>4106</v>
      </c>
      <c r="AS686" t="s">
        <v>4120</v>
      </c>
      <c r="AT686" t="s">
        <v>4115</v>
      </c>
      <c r="AU686">
        <v>0</v>
      </c>
      <c r="AV686" t="s">
        <v>4109</v>
      </c>
    </row>
    <row r="687" spans="1:48">
      <c r="A687" t="s">
        <v>3231</v>
      </c>
      <c r="B687" t="s">
        <v>3232</v>
      </c>
      <c r="C687" t="s">
        <v>510</v>
      </c>
      <c r="D687" t="s">
        <v>2743</v>
      </c>
      <c r="E687" t="s">
        <v>102</v>
      </c>
      <c r="F687" t="s">
        <v>117</v>
      </c>
      <c r="G687" t="s">
        <v>82</v>
      </c>
      <c r="H687" t="s">
        <v>259</v>
      </c>
      <c r="I687" t="s">
        <v>260</v>
      </c>
      <c r="J687" t="s">
        <v>39</v>
      </c>
      <c r="K687" t="s">
        <v>63</v>
      </c>
      <c r="L687" t="s">
        <v>3233</v>
      </c>
      <c r="M687" t="s">
        <v>76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210</v>
      </c>
      <c r="U687" t="s">
        <v>87</v>
      </c>
      <c r="W687" t="s">
        <v>3231</v>
      </c>
      <c r="X687" t="str">
        <v>01-10-25</v>
      </c>
      <c r="Y687" t="str">
        <v>03-10-25</v>
      </c>
      <c r="Z687" t="s">
        <v>2743</v>
      </c>
      <c r="AA687" t="str">
        <v>Neha Gupta</v>
      </c>
      <c r="AB687" t="str">
        <f>TRIM(PROPER(F:F))</f>
        <v>Corporate</v>
      </c>
      <c r="AC687" t="str">
        <f>TRIM(PROPER(G:G))</f>
        <v>West</v>
      </c>
      <c r="AD687" t="str">
        <f>TRIM(PROPER(H:H))</f>
        <v>Goa</v>
      </c>
      <c r="AE687" t="str">
        <f>TRIM(PROPER(I:I))</f>
        <v>Panaji</v>
      </c>
      <c r="AF687" t="str">
        <f t="shared" si="18"/>
        <v>Office Supplies</v>
      </c>
      <c r="AG687" t="str">
        <f t="shared" si="18"/>
        <v>Art</v>
      </c>
      <c r="AH687" t="str">
        <f t="shared" si="18"/>
        <v>Classic Art 380</v>
      </c>
      <c r="AI687" t="str">
        <f t="shared" si="18"/>
        <v>Standard Class</v>
      </c>
      <c r="AJ687" s="3" t="str">
        <f t="shared" si="19"/>
        <v>anomaly</v>
      </c>
      <c r="AK687">
        <f>IFERROR(Y687-X687, "invalid date")</f>
        <v>2</v>
      </c>
      <c r="AL687" s="10" t="s">
        <v>191</v>
      </c>
      <c r="AM687" s="11" t="s">
        <v>4111</v>
      </c>
      <c r="AN687" s="11" t="s">
        <v>4111</v>
      </c>
      <c r="AO687" s="10" t="s">
        <v>4111</v>
      </c>
      <c r="AP687" t="s">
        <v>4599</v>
      </c>
      <c r="AQ687" t="s">
        <v>4242</v>
      </c>
      <c r="AR687" t="s">
        <v>4126</v>
      </c>
      <c r="AS687" t="s">
        <v>4120</v>
      </c>
      <c r="AT687" t="s">
        <v>4115</v>
      </c>
      <c r="AU687">
        <v>2</v>
      </c>
      <c r="AV687" t="s">
        <v>4109</v>
      </c>
    </row>
    <row r="688" spans="1:48">
      <c r="A688" t="s">
        <v>3234</v>
      </c>
      <c r="B688" t="s">
        <v>3235</v>
      </c>
      <c r="C688" t="s">
        <v>2179</v>
      </c>
      <c r="D688" t="s">
        <v>3236</v>
      </c>
      <c r="E688" t="s">
        <v>177</v>
      </c>
      <c r="F688" t="s">
        <v>124</v>
      </c>
      <c r="G688" t="s">
        <v>71</v>
      </c>
      <c r="H688" t="s">
        <v>350</v>
      </c>
      <c r="I688" t="s">
        <v>351</v>
      </c>
      <c r="J688" t="s">
        <v>95</v>
      </c>
      <c r="K688" t="s">
        <v>103</v>
      </c>
      <c r="L688" t="s">
        <v>3237</v>
      </c>
      <c r="M688" t="s">
        <v>76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43</v>
      </c>
      <c r="U688" t="s">
        <v>44</v>
      </c>
      <c r="W688" t="s">
        <v>3234</v>
      </c>
      <c r="X688" t="str">
        <v>25-03-24</v>
      </c>
      <c r="Y688" t="str">
        <v>04-02-24</v>
      </c>
      <c r="Z688" t="s">
        <v>3236</v>
      </c>
      <c r="AA688" t="str">
        <v>Sneha Kapoor</v>
      </c>
      <c r="AB688" t="str">
        <f>TRIM(PROPER(F:F))</f>
        <v>Home Office</v>
      </c>
      <c r="AC688" t="str">
        <f>TRIM(PROPER(G:G))</f>
        <v>South</v>
      </c>
      <c r="AD688" t="str">
        <f>TRIM(PROPER(H:H))</f>
        <v>Tamil Nadu</v>
      </c>
      <c r="AE688" t="str">
        <f>TRIM(PROPER(I:I))</f>
        <v>Chennai</v>
      </c>
      <c r="AF688" t="str">
        <f t="shared" si="18"/>
        <v>Technology</v>
      </c>
      <c r="AG688" t="str">
        <f t="shared" si="18"/>
        <v>Copiers</v>
      </c>
      <c r="AH688" t="str">
        <f t="shared" si="18"/>
        <v>Pro Copiers 502</v>
      </c>
      <c r="AI688" t="str">
        <f t="shared" si="18"/>
        <v>Standard Class</v>
      </c>
      <c r="AJ688" s="3" t="str">
        <f t="shared" si="19"/>
        <v xml:space="preserve">  </v>
      </c>
      <c r="AK688">
        <f>IFERROR(Y688-X688, "invalid date")</f>
        <v>-50</v>
      </c>
      <c r="AL688" s="10">
        <v>0</v>
      </c>
      <c r="AM688" s="11">
        <v>4698.26</v>
      </c>
      <c r="AN688" s="11">
        <v>2043.3400000000001</v>
      </c>
      <c r="AO688" s="10">
        <v>0.43491420227914163</v>
      </c>
      <c r="AP688" t="s">
        <v>4669</v>
      </c>
      <c r="AQ688" t="s">
        <v>4557</v>
      </c>
      <c r="AR688" t="s">
        <v>4159</v>
      </c>
      <c r="AS688" t="s">
        <v>4107</v>
      </c>
      <c r="AT688" t="s">
        <v>4121</v>
      </c>
      <c r="AU688">
        <v>-50</v>
      </c>
      <c r="AV688" t="s">
        <v>4109</v>
      </c>
    </row>
    <row r="689" spans="1:48">
      <c r="A689" t="s">
        <v>3238</v>
      </c>
      <c r="B689" t="s">
        <v>1200</v>
      </c>
      <c r="C689" t="s">
        <v>3239</v>
      </c>
      <c r="D689" t="s">
        <v>3240</v>
      </c>
      <c r="E689" t="s">
        <v>49</v>
      </c>
      <c r="F689" t="s">
        <v>124</v>
      </c>
      <c r="G689" t="s">
        <v>36</v>
      </c>
      <c r="H689" t="s">
        <v>163</v>
      </c>
      <c r="I689" t="s">
        <v>164</v>
      </c>
      <c r="J689" t="s">
        <v>54</v>
      </c>
      <c r="K689" t="s">
        <v>55</v>
      </c>
      <c r="L689" t="s">
        <v>3241</v>
      </c>
      <c r="M689" t="s">
        <v>65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210</v>
      </c>
      <c r="U689" t="s">
        <v>87</v>
      </c>
      <c r="W689" t="s">
        <v>3238</v>
      </c>
      <c r="X689" t="str">
        <v>08-10-25</v>
      </c>
      <c r="Y689" t="str">
        <v>13-10-25</v>
      </c>
      <c r="Z689" t="s">
        <v>3240</v>
      </c>
      <c r="AA689" t="str">
        <v>Mira Das</v>
      </c>
      <c r="AB689" t="str">
        <f>TRIM(PROPER(F:F))</f>
        <v>Home Office</v>
      </c>
      <c r="AC689" t="str">
        <f>TRIM(PROPER(G:G))</f>
        <v>North</v>
      </c>
      <c r="AD689" t="str">
        <f>TRIM(PROPER(H:H))</f>
        <v>Punjab</v>
      </c>
      <c r="AE689" t="str">
        <f>TRIM(PROPER(I:I))</f>
        <v>Ludhiana</v>
      </c>
      <c r="AF689" t="str">
        <f t="shared" si="18"/>
        <v>Furniture</v>
      </c>
      <c r="AG689" t="str">
        <f t="shared" si="18"/>
        <v>Tables</v>
      </c>
      <c r="AH689" t="str">
        <f t="shared" si="18"/>
        <v>Prime Tables 604</v>
      </c>
      <c r="AI689" t="str">
        <f t="shared" si="18"/>
        <v>First Class</v>
      </c>
      <c r="AJ689" s="3" t="str">
        <f t="shared" si="19"/>
        <v>anomaly</v>
      </c>
      <c r="AK689">
        <f>IFERROR(Y689-X689, "invalid date")</f>
        <v>5</v>
      </c>
      <c r="AL689" s="10">
        <v>0</v>
      </c>
      <c r="AM689" s="11">
        <v>688.2</v>
      </c>
      <c r="AN689" s="11">
        <v>190.52000000000004</v>
      </c>
      <c r="AO689" s="10">
        <v>0.27683812845103173</v>
      </c>
      <c r="AP689" t="s">
        <v>4333</v>
      </c>
      <c r="AQ689" t="s">
        <v>4615</v>
      </c>
      <c r="AR689" t="s">
        <v>4126</v>
      </c>
      <c r="AS689" t="s">
        <v>4120</v>
      </c>
      <c r="AT689" t="s">
        <v>4115</v>
      </c>
      <c r="AU689">
        <v>5</v>
      </c>
      <c r="AV689" t="s">
        <v>4109</v>
      </c>
    </row>
    <row r="690" spans="1:48">
      <c r="A690" t="s">
        <v>3242</v>
      </c>
      <c r="B690" t="s">
        <v>1172</v>
      </c>
      <c r="C690" t="s">
        <v>3243</v>
      </c>
      <c r="D690" t="s">
        <v>3244</v>
      </c>
      <c r="E690" t="s">
        <v>102</v>
      </c>
      <c r="F690" t="s">
        <v>124</v>
      </c>
      <c r="G690" t="s">
        <v>36</v>
      </c>
      <c r="H690" t="s">
        <v>334</v>
      </c>
      <c r="I690" t="s">
        <v>335</v>
      </c>
      <c r="J690" t="s">
        <v>39</v>
      </c>
      <c r="K690" t="s">
        <v>63</v>
      </c>
      <c r="L690" t="s">
        <v>3245</v>
      </c>
      <c r="M690" t="s">
        <v>42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43</v>
      </c>
      <c r="U690" t="s">
        <v>44</v>
      </c>
      <c r="W690" t="s">
        <v>3242</v>
      </c>
      <c r="X690" t="str">
        <v>26-02-25</v>
      </c>
      <c r="Y690" t="str">
        <v>27-02-25</v>
      </c>
      <c r="Z690" t="s">
        <v>3244</v>
      </c>
      <c r="AA690" t="str">
        <v>Neha Gupta</v>
      </c>
      <c r="AB690" t="str">
        <f>TRIM(PROPER(F:F))</f>
        <v>Home Office</v>
      </c>
      <c r="AC690" t="str">
        <f>TRIM(PROPER(G:G))</f>
        <v>North</v>
      </c>
      <c r="AD690" t="str">
        <f>TRIM(PROPER(H:H))</f>
        <v>Haryana</v>
      </c>
      <c r="AE690" t="str">
        <f>TRIM(PROPER(I:I))</f>
        <v>Gurugram</v>
      </c>
      <c r="AF690" t="str">
        <f t="shared" si="18"/>
        <v>Office Supplies</v>
      </c>
      <c r="AG690" t="str">
        <f t="shared" si="18"/>
        <v>Art</v>
      </c>
      <c r="AH690" t="str">
        <f t="shared" si="18"/>
        <v>Basic Art 798</v>
      </c>
      <c r="AI690" t="str">
        <f t="shared" si="18"/>
        <v>Second Class</v>
      </c>
      <c r="AJ690" s="3" t="str">
        <f t="shared" si="19"/>
        <v>anomaly</v>
      </c>
      <c r="AK690">
        <f>IFERROR(Y690-X690, "invalid date")</f>
        <v>1</v>
      </c>
      <c r="AL690" s="10">
        <v>0.15</v>
      </c>
      <c r="AM690" s="11">
        <v>15492.065999999999</v>
      </c>
      <c r="AN690" s="11">
        <v>2910.8359999999993</v>
      </c>
      <c r="AO690" s="10">
        <v>0.18789204745190213</v>
      </c>
      <c r="AP690" t="s">
        <v>4128</v>
      </c>
      <c r="AQ690" t="s">
        <v>4388</v>
      </c>
      <c r="AR690" t="s">
        <v>4129</v>
      </c>
      <c r="AS690" t="s">
        <v>4120</v>
      </c>
      <c r="AT690" t="s">
        <v>4115</v>
      </c>
      <c r="AU690">
        <v>1</v>
      </c>
      <c r="AV690" t="s">
        <v>4109</v>
      </c>
    </row>
    <row r="691" spans="1:48">
      <c r="A691" t="s">
        <v>3246</v>
      </c>
      <c r="B691" t="s">
        <v>3247</v>
      </c>
      <c r="C691" t="s">
        <v>3248</v>
      </c>
      <c r="D691" t="s">
        <v>3249</v>
      </c>
      <c r="E691" t="s">
        <v>189</v>
      </c>
      <c r="F691" t="s">
        <v>50</v>
      </c>
      <c r="G691" t="s">
        <v>36</v>
      </c>
      <c r="H691" t="s">
        <v>163</v>
      </c>
      <c r="I691" t="s">
        <v>164</v>
      </c>
      <c r="J691" t="s">
        <v>54</v>
      </c>
      <c r="K691" t="s">
        <v>55</v>
      </c>
      <c r="L691" t="s">
        <v>3250</v>
      </c>
      <c r="M691" t="s">
        <v>76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210</v>
      </c>
      <c r="U691" t="s">
        <v>87</v>
      </c>
      <c r="W691" t="s">
        <v>3246</v>
      </c>
      <c r="X691" t="str">
        <v>05-10-24</v>
      </c>
      <c r="Y691" t="str">
        <v>06-10-24</v>
      </c>
      <c r="Z691" t="s">
        <v>3249</v>
      </c>
      <c r="AA691" t="str">
        <v>Rohan Mehta</v>
      </c>
      <c r="AB691" t="str">
        <f>TRIM(PROPER(F:F))</f>
        <v>Small Business</v>
      </c>
      <c r="AC691" t="str">
        <f>TRIM(PROPER(G:G))</f>
        <v>North</v>
      </c>
      <c r="AD691" t="str">
        <f>TRIM(PROPER(H:H))</f>
        <v>Punjab</v>
      </c>
      <c r="AE691" t="str">
        <f>TRIM(PROPER(I:I))</f>
        <v>Ludhiana</v>
      </c>
      <c r="AF691" t="str">
        <f t="shared" si="18"/>
        <v>Furniture</v>
      </c>
      <c r="AG691" t="str">
        <f t="shared" si="18"/>
        <v>Tables</v>
      </c>
      <c r="AH691" t="str">
        <f t="shared" si="18"/>
        <v>Elite Tables 717</v>
      </c>
      <c r="AI691" t="str">
        <f t="shared" si="18"/>
        <v>Standard Class</v>
      </c>
      <c r="AJ691" s="3" t="str">
        <f t="shared" si="19"/>
        <v>anomaly</v>
      </c>
      <c r="AK691">
        <f>IFERROR(Y691-X691, "invalid date")</f>
        <v>1</v>
      </c>
      <c r="AL691" s="10">
        <v>0.15</v>
      </c>
      <c r="AM691" s="11">
        <v>3745.2870000000003</v>
      </c>
      <c r="AN691" s="11">
        <v>1442.6370000000002</v>
      </c>
      <c r="AO691" s="10">
        <v>0.38518730340291679</v>
      </c>
      <c r="AP691" t="s">
        <v>4588</v>
      </c>
      <c r="AQ691" t="s">
        <v>4293</v>
      </c>
      <c r="AR691" t="s">
        <v>4126</v>
      </c>
      <c r="AS691" t="s">
        <v>4107</v>
      </c>
      <c r="AT691" t="s">
        <v>4115</v>
      </c>
      <c r="AU691">
        <v>1</v>
      </c>
      <c r="AV691" t="s">
        <v>4109</v>
      </c>
    </row>
    <row r="692" spans="1:48">
      <c r="A692" t="s">
        <v>3251</v>
      </c>
      <c r="B692" t="s">
        <v>887</v>
      </c>
      <c r="C692" t="s">
        <v>3252</v>
      </c>
      <c r="D692" t="s">
        <v>3253</v>
      </c>
      <c r="E692" t="s">
        <v>177</v>
      </c>
      <c r="F692" t="s">
        <v>117</v>
      </c>
      <c r="G692" t="s">
        <v>71</v>
      </c>
      <c r="H692" t="s">
        <v>350</v>
      </c>
      <c r="I692" t="s">
        <v>351</v>
      </c>
      <c r="J692" t="s">
        <v>39</v>
      </c>
      <c r="K692" t="s">
        <v>63</v>
      </c>
      <c r="L692" t="s">
        <v>3254</v>
      </c>
      <c r="M692" t="s">
        <v>76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210</v>
      </c>
      <c r="U692" t="s">
        <v>134</v>
      </c>
      <c r="W692" t="s">
        <v>3251</v>
      </c>
      <c r="X692" t="str">
        <v>09-11-24</v>
      </c>
      <c r="Y692" t="str">
        <v>15-09-24</v>
      </c>
      <c r="Z692" t="s">
        <v>3253</v>
      </c>
      <c r="AA692" t="str">
        <v>Sneha Kapoor</v>
      </c>
      <c r="AB692" t="str">
        <f>TRIM(PROPER(F:F))</f>
        <v>Corporate</v>
      </c>
      <c r="AC692" t="str">
        <f>TRIM(PROPER(G:G))</f>
        <v>South</v>
      </c>
      <c r="AD692" t="str">
        <f>TRIM(PROPER(H:H))</f>
        <v>Tamil Nadu</v>
      </c>
      <c r="AE692" t="str">
        <f>TRIM(PROPER(I:I))</f>
        <v>Chennai</v>
      </c>
      <c r="AF692" t="str">
        <f t="shared" si="18"/>
        <v>Office Supplies</v>
      </c>
      <c r="AG692" t="str">
        <f t="shared" si="18"/>
        <v>Art</v>
      </c>
      <c r="AH692" t="str">
        <f t="shared" si="18"/>
        <v>Max Art 725</v>
      </c>
      <c r="AI692" t="str">
        <f t="shared" si="18"/>
        <v>Standard Class</v>
      </c>
      <c r="AJ692" s="3" t="str">
        <f t="shared" si="19"/>
        <v>anomaly</v>
      </c>
      <c r="AK692">
        <f>IFERROR(Y692-X692, "invalid date")</f>
        <v>-55</v>
      </c>
      <c r="AL692" s="10">
        <v>0</v>
      </c>
      <c r="AM692" s="11">
        <v>3462.52</v>
      </c>
      <c r="AN692" s="11">
        <v>665.23</v>
      </c>
      <c r="AO692" s="10">
        <v>0.19212307798944123</v>
      </c>
      <c r="AP692" t="s">
        <v>4331</v>
      </c>
      <c r="AQ692" t="s">
        <v>4670</v>
      </c>
      <c r="AR692" t="s">
        <v>4117</v>
      </c>
      <c r="AS692" t="s">
        <v>4107</v>
      </c>
      <c r="AT692" t="s">
        <v>4115</v>
      </c>
      <c r="AU692">
        <v>-55</v>
      </c>
      <c r="AV692" t="s">
        <v>4109</v>
      </c>
    </row>
    <row r="693" spans="1:48">
      <c r="A693" t="s">
        <v>3255</v>
      </c>
      <c r="B693" t="s">
        <v>2470</v>
      </c>
      <c r="C693" t="s">
        <v>3256</v>
      </c>
      <c r="D693" t="s">
        <v>3257</v>
      </c>
      <c r="E693" t="s">
        <v>189</v>
      </c>
      <c r="F693" t="s">
        <v>35</v>
      </c>
      <c r="G693" t="s">
        <v>51</v>
      </c>
      <c r="H693" t="s">
        <v>52</v>
      </c>
      <c r="I693" t="s">
        <v>53</v>
      </c>
      <c r="J693" t="s">
        <v>95</v>
      </c>
      <c r="K693" t="s">
        <v>103</v>
      </c>
      <c r="L693" t="s">
        <v>3258</v>
      </c>
      <c r="M693" t="s">
        <v>42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43</v>
      </c>
      <c r="U693" t="s">
        <v>44</v>
      </c>
      <c r="W693" t="s">
        <v>3255</v>
      </c>
      <c r="X693" t="str">
        <v>15-12-24</v>
      </c>
      <c r="Y693" t="str">
        <v>16-12-24</v>
      </c>
      <c r="Z693" t="s">
        <v>3257</v>
      </c>
      <c r="AA693" t="str">
        <v>Rohan Mehta</v>
      </c>
      <c r="AB693" t="str">
        <f>TRIM(PROPER(F:F))</f>
        <v>Consumer</v>
      </c>
      <c r="AC693" t="str">
        <f>TRIM(PROPER(G:G))</f>
        <v>East</v>
      </c>
      <c r="AD693" t="str">
        <f>TRIM(PROPER(H:H))</f>
        <v>Odisha</v>
      </c>
      <c r="AE693" t="str">
        <f>TRIM(PROPER(I:I))</f>
        <v>Bhubaneswar</v>
      </c>
      <c r="AF693" t="str">
        <f t="shared" si="18"/>
        <v>Technology</v>
      </c>
      <c r="AG693" t="str">
        <f t="shared" si="18"/>
        <v>Copiers</v>
      </c>
      <c r="AH693" t="str">
        <f t="shared" si="18"/>
        <v>Smart Copiers 456</v>
      </c>
      <c r="AI693" t="str">
        <f t="shared" si="18"/>
        <v>Second Class</v>
      </c>
      <c r="AJ693" s="3" t="str">
        <f t="shared" si="19"/>
        <v>anomaly</v>
      </c>
      <c r="AK693">
        <f>IFERROR(Y693-X693, "invalid date")</f>
        <v>1</v>
      </c>
      <c r="AL693" s="10">
        <v>0.05</v>
      </c>
      <c r="AM693" s="11">
        <v>8767.1699999999983</v>
      </c>
      <c r="AN693" s="11">
        <v>3668.9699999999984</v>
      </c>
      <c r="AO693" s="10">
        <v>0.41848966085977563</v>
      </c>
      <c r="AP693" t="s">
        <v>4591</v>
      </c>
      <c r="AQ693" t="s">
        <v>4305</v>
      </c>
      <c r="AR693" t="s">
        <v>4139</v>
      </c>
      <c r="AS693" t="s">
        <v>4107</v>
      </c>
      <c r="AT693" t="s">
        <v>4115</v>
      </c>
      <c r="AU693">
        <v>1</v>
      </c>
      <c r="AV693" t="s">
        <v>4109</v>
      </c>
    </row>
    <row r="694" spans="1:48">
      <c r="A694" t="s">
        <v>3259</v>
      </c>
      <c r="B694" t="s">
        <v>237</v>
      </c>
      <c r="C694" t="s">
        <v>3260</v>
      </c>
      <c r="D694" t="s">
        <v>3261</v>
      </c>
      <c r="E694" t="s">
        <v>62</v>
      </c>
      <c r="F694" t="s">
        <v>1790</v>
      </c>
      <c r="G694" t="s">
        <v>71</v>
      </c>
      <c r="H694" t="s">
        <v>239</v>
      </c>
      <c r="I694" t="s">
        <v>240</v>
      </c>
      <c r="J694" t="s">
        <v>54</v>
      </c>
      <c r="K694" t="s">
        <v>74</v>
      </c>
      <c r="L694" t="s">
        <v>3262</v>
      </c>
      <c r="M694" t="s">
        <v>42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43</v>
      </c>
      <c r="U694" t="s">
        <v>44</v>
      </c>
      <c r="W694" t="s">
        <v>3259</v>
      </c>
      <c r="X694" t="str">
        <v>05-10-25</v>
      </c>
      <c r="Y694" t="str">
        <v>10-10-25</v>
      </c>
      <c r="Z694" t="s">
        <v>3261</v>
      </c>
      <c r="AA694" t="str">
        <v>Isha Nair</v>
      </c>
      <c r="AB694" t="str">
        <f>TRIM(PROPER(F:F))</f>
        <v>Corporate</v>
      </c>
      <c r="AC694" t="str">
        <f>TRIM(PROPER(G:G))</f>
        <v>South</v>
      </c>
      <c r="AD694" t="str">
        <f>TRIM(PROPER(H:H))</f>
        <v>Karnataka</v>
      </c>
      <c r="AE694" t="str">
        <f>TRIM(PROPER(I:I))</f>
        <v>Bengaluru</v>
      </c>
      <c r="AF694" t="str">
        <f t="shared" si="18"/>
        <v>Furniture</v>
      </c>
      <c r="AG694" t="str">
        <f t="shared" si="18"/>
        <v>Furnishings</v>
      </c>
      <c r="AH694" t="str">
        <f t="shared" si="18"/>
        <v>Prime Furnishings 883</v>
      </c>
      <c r="AI694" t="str">
        <f t="shared" si="18"/>
        <v>Second Class</v>
      </c>
      <c r="AJ694" s="3" t="str">
        <f t="shared" si="19"/>
        <v>anomaly</v>
      </c>
      <c r="AK694">
        <f>IFERROR(Y694-X694, "invalid date")</f>
        <v>5</v>
      </c>
      <c r="AL694" s="10">
        <v>0.1</v>
      </c>
      <c r="AM694" s="11">
        <v>8516.4480000000003</v>
      </c>
      <c r="AN694" s="11">
        <v>2612.6379999999999</v>
      </c>
      <c r="AO694" s="10">
        <v>0.30677554774009069</v>
      </c>
      <c r="AP694" t="s">
        <v>4163</v>
      </c>
      <c r="AQ694" t="s">
        <v>4188</v>
      </c>
      <c r="AR694" t="s">
        <v>4126</v>
      </c>
      <c r="AS694" t="s">
        <v>4120</v>
      </c>
      <c r="AT694" t="s">
        <v>4115</v>
      </c>
      <c r="AU694">
        <v>5</v>
      </c>
      <c r="AV694" t="s">
        <v>4109</v>
      </c>
    </row>
    <row r="695" spans="1:48">
      <c r="A695" t="s">
        <v>3263</v>
      </c>
      <c r="B695" t="s">
        <v>3264</v>
      </c>
      <c r="C695" t="s">
        <v>2507</v>
      </c>
      <c r="D695" t="s">
        <v>3265</v>
      </c>
      <c r="E695" t="s">
        <v>70</v>
      </c>
      <c r="F695" t="s">
        <v>35</v>
      </c>
      <c r="G695" t="s">
        <v>71</v>
      </c>
      <c r="H695" t="s">
        <v>350</v>
      </c>
      <c r="I695" t="s">
        <v>351</v>
      </c>
      <c r="J695" t="s">
        <v>54</v>
      </c>
      <c r="K695" t="s">
        <v>214</v>
      </c>
      <c r="L695" t="s">
        <v>3266</v>
      </c>
      <c r="M695" t="s">
        <v>42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43</v>
      </c>
      <c r="U695" t="s">
        <v>44</v>
      </c>
      <c r="W695" t="s">
        <v>3263</v>
      </c>
      <c r="X695" t="str">
        <v>03-04-25</v>
      </c>
      <c r="Y695" t="str">
        <v>11-04-25</v>
      </c>
      <c r="Z695" t="s">
        <v>3265</v>
      </c>
      <c r="AA695" t="str">
        <v>Arjun Bose</v>
      </c>
      <c r="AB695" t="str">
        <f>TRIM(PROPER(F:F))</f>
        <v>Consumer</v>
      </c>
      <c r="AC695" t="str">
        <f>TRIM(PROPER(G:G))</f>
        <v>South</v>
      </c>
      <c r="AD695" t="str">
        <f>TRIM(PROPER(H:H))</f>
        <v>Tamil Nadu</v>
      </c>
      <c r="AE695" t="str">
        <f>TRIM(PROPER(I:I))</f>
        <v>Chennai</v>
      </c>
      <c r="AF695" t="str">
        <f t="shared" si="18"/>
        <v>Furniture</v>
      </c>
      <c r="AG695" t="str">
        <f t="shared" si="18"/>
        <v>Bookcases</v>
      </c>
      <c r="AH695" t="str">
        <f t="shared" si="18"/>
        <v>Smart Bookcases 828</v>
      </c>
      <c r="AI695" t="str">
        <f t="shared" si="18"/>
        <v>Second Class</v>
      </c>
      <c r="AJ695" s="3" t="str">
        <f t="shared" si="19"/>
        <v>anomaly</v>
      </c>
      <c r="AK695">
        <f>IFERROR(Y695-X695, "invalid date")</f>
        <v>8</v>
      </c>
      <c r="AL695" s="10">
        <v>0.05</v>
      </c>
      <c r="AM695" s="11">
        <v>11826.844500000001</v>
      </c>
      <c r="AN695" s="11">
        <v>3790.884500000001</v>
      </c>
      <c r="AO695" s="10">
        <v>0.32053220112938835</v>
      </c>
      <c r="AP695" t="s">
        <v>4671</v>
      </c>
      <c r="AQ695" t="s">
        <v>4319</v>
      </c>
      <c r="AR695" t="s">
        <v>4199</v>
      </c>
      <c r="AS695" t="s">
        <v>4120</v>
      </c>
      <c r="AT695" t="s">
        <v>4115</v>
      </c>
      <c r="AU695">
        <v>8</v>
      </c>
      <c r="AV695" t="s">
        <v>4109</v>
      </c>
    </row>
    <row r="696" spans="1:48">
      <c r="A696" t="s">
        <v>3267</v>
      </c>
      <c r="B696" t="s">
        <v>1739</v>
      </c>
      <c r="C696" t="s">
        <v>3088</v>
      </c>
      <c r="D696" t="s">
        <v>1747</v>
      </c>
      <c r="E696" t="s">
        <v>62</v>
      </c>
      <c r="F696" t="s">
        <v>35</v>
      </c>
      <c r="G696" t="s">
        <v>71</v>
      </c>
      <c r="H696" t="s">
        <v>109</v>
      </c>
      <c r="I696" t="s">
        <v>110</v>
      </c>
      <c r="J696" t="s">
        <v>39</v>
      </c>
      <c r="K696" t="s">
        <v>165</v>
      </c>
      <c r="L696" t="s">
        <v>3268</v>
      </c>
      <c r="M696" t="s">
        <v>65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43</v>
      </c>
      <c r="U696" t="s">
        <v>44</v>
      </c>
      <c r="W696" t="s">
        <v>3267</v>
      </c>
      <c r="X696" t="str">
        <v>01-08-25</v>
      </c>
      <c r="Y696" t="str">
        <v>09-08-25</v>
      </c>
      <c r="Z696" t="s">
        <v>1747</v>
      </c>
      <c r="AA696" t="str">
        <v>Isha Nair</v>
      </c>
      <c r="AB696" t="str">
        <f>TRIM(PROPER(F:F))</f>
        <v>Consumer</v>
      </c>
      <c r="AC696" t="str">
        <f>TRIM(PROPER(G:G))</f>
        <v>South</v>
      </c>
      <c r="AD696" t="str">
        <f>TRIM(PROPER(H:H))</f>
        <v>Andhra Pradesh</v>
      </c>
      <c r="AE696" t="str">
        <f>TRIM(PROPER(I:I))</f>
        <v>Vijayawada</v>
      </c>
      <c r="AF696" t="str">
        <f t="shared" si="18"/>
        <v>Office Supplies</v>
      </c>
      <c r="AG696" t="str">
        <f t="shared" si="18"/>
        <v>Storage</v>
      </c>
      <c r="AH696" t="str">
        <f t="shared" si="18"/>
        <v>Classic Storage 291</v>
      </c>
      <c r="AI696" t="str">
        <f t="shared" si="18"/>
        <v>First Class</v>
      </c>
      <c r="AJ696" s="3" t="str">
        <f t="shared" si="19"/>
        <v>anomaly</v>
      </c>
      <c r="AK696">
        <f>IFERROR(Y696-X696, "invalid date")</f>
        <v>8</v>
      </c>
      <c r="AL696" s="10">
        <v>0.15</v>
      </c>
      <c r="AM696" s="11">
        <v>11629.019999999999</v>
      </c>
      <c r="AN696" s="11">
        <v>2001.8099999999995</v>
      </c>
      <c r="AO696" s="10">
        <v>0.17213918283741877</v>
      </c>
      <c r="AP696" t="s">
        <v>4489</v>
      </c>
      <c r="AQ696" t="s">
        <v>4423</v>
      </c>
      <c r="AR696" t="s">
        <v>4114</v>
      </c>
      <c r="AS696" t="s">
        <v>4120</v>
      </c>
      <c r="AT696" t="s">
        <v>4115</v>
      </c>
      <c r="AU696">
        <v>8</v>
      </c>
      <c r="AV696" t="s">
        <v>4109</v>
      </c>
    </row>
    <row r="697" spans="1:48">
      <c r="A697" t="s">
        <v>3269</v>
      </c>
      <c r="B697" t="s">
        <v>3270</v>
      </c>
      <c r="C697" t="s">
        <v>2114</v>
      </c>
      <c r="D697" t="s">
        <v>3271</v>
      </c>
      <c r="E697" t="s">
        <v>171</v>
      </c>
      <c r="F697" t="s">
        <v>35</v>
      </c>
      <c r="G697" t="s">
        <v>82</v>
      </c>
      <c r="H697" t="s">
        <v>93</v>
      </c>
      <c r="I697" t="s">
        <v>94</v>
      </c>
      <c r="J697" t="s">
        <v>95</v>
      </c>
      <c r="K697" t="s">
        <v>393</v>
      </c>
      <c r="L697" t="s">
        <v>3272</v>
      </c>
      <c r="M697" t="s">
        <v>76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43</v>
      </c>
      <c r="U697" t="s">
        <v>44</v>
      </c>
      <c r="W697" t="s">
        <v>3269</v>
      </c>
      <c r="X697" t="str">
        <v>01-07-24</v>
      </c>
      <c r="Y697" t="str">
        <v>01-07-24</v>
      </c>
      <c r="Z697" t="s">
        <v>3271</v>
      </c>
      <c r="AA697" t="str">
        <v>Aarav Sharma</v>
      </c>
      <c r="AB697" t="str">
        <f>TRIM(PROPER(F:F))</f>
        <v>Consumer</v>
      </c>
      <c r="AC697" t="str">
        <f>TRIM(PROPER(G:G))</f>
        <v>West</v>
      </c>
      <c r="AD697" t="str">
        <f>TRIM(PROPER(H:H))</f>
        <v>Madhya Pradesh</v>
      </c>
      <c r="AE697" t="str">
        <f>TRIM(PROPER(I:I))</f>
        <v>Indore</v>
      </c>
      <c r="AF697" t="str">
        <f t="shared" si="18"/>
        <v>Technology</v>
      </c>
      <c r="AG697" t="str">
        <f t="shared" si="18"/>
        <v>Machines</v>
      </c>
      <c r="AH697" t="str">
        <f t="shared" si="18"/>
        <v>Prime Machines 102</v>
      </c>
      <c r="AI697" t="str">
        <f t="shared" si="18"/>
        <v>Standard Class</v>
      </c>
      <c r="AJ697" s="3" t="str">
        <f t="shared" si="19"/>
        <v xml:space="preserve">  </v>
      </c>
      <c r="AK697">
        <f>IFERROR(Y697-X697, "invalid date")</f>
        <v>0</v>
      </c>
      <c r="AL697" s="10">
        <v>0</v>
      </c>
      <c r="AM697" s="11">
        <v>1029.56</v>
      </c>
      <c r="AN697" s="11">
        <v>403.2299999999999</v>
      </c>
      <c r="AO697" s="10">
        <v>0.39165274486188267</v>
      </c>
      <c r="AP697" t="s">
        <v>4147</v>
      </c>
      <c r="AQ697" t="s">
        <v>4147</v>
      </c>
      <c r="AR697" t="s">
        <v>4106</v>
      </c>
      <c r="AS697" t="s">
        <v>4107</v>
      </c>
      <c r="AT697" t="s">
        <v>4115</v>
      </c>
      <c r="AU697">
        <v>0</v>
      </c>
      <c r="AV697" t="s">
        <v>4109</v>
      </c>
    </row>
    <row r="698" spans="1:48">
      <c r="A698" t="s">
        <v>3273</v>
      </c>
      <c r="B698" t="s">
        <v>3274</v>
      </c>
      <c r="C698" t="s">
        <v>3275</v>
      </c>
      <c r="D698" t="s">
        <v>3276</v>
      </c>
      <c r="E698" t="s">
        <v>62</v>
      </c>
      <c r="F698" t="s">
        <v>50</v>
      </c>
      <c r="G698" t="s">
        <v>71</v>
      </c>
      <c r="H698" t="s">
        <v>252</v>
      </c>
      <c r="I698" t="s">
        <v>253</v>
      </c>
      <c r="J698" t="s">
        <v>95</v>
      </c>
      <c r="K698" t="s">
        <v>233</v>
      </c>
      <c r="L698" t="s">
        <v>3277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43</v>
      </c>
      <c r="U698" t="s">
        <v>44</v>
      </c>
      <c r="W698" t="s">
        <v>3273</v>
      </c>
      <c r="X698" t="str">
        <v>22-09-25</v>
      </c>
      <c r="Y698" t="str">
        <v>25-09-25</v>
      </c>
      <c r="Z698" t="s">
        <v>3276</v>
      </c>
      <c r="AA698" t="str">
        <v>Isha Nair</v>
      </c>
      <c r="AB698" t="str">
        <f>TRIM(PROPER(F:F))</f>
        <v>Small Business</v>
      </c>
      <c r="AC698" t="str">
        <f>TRIM(PROPER(G:G))</f>
        <v>South</v>
      </c>
      <c r="AD698" t="str">
        <f>TRIM(PROPER(H:H))</f>
        <v>Kerala</v>
      </c>
      <c r="AE698" t="str">
        <f>TRIM(PROPER(I:I))</f>
        <v>Kochi</v>
      </c>
      <c r="AF698" t="str">
        <f t="shared" ref="AF698:AI761" si="20">TRIM(PROPER(J:J))</f>
        <v>Technology</v>
      </c>
      <c r="AG698" t="str">
        <f t="shared" si="20"/>
        <v>Phones</v>
      </c>
      <c r="AH698" t="str">
        <f t="shared" si="20"/>
        <v>Classic Phones 842</v>
      </c>
      <c r="AI698" s="4" t="s">
        <v>282</v>
      </c>
      <c r="AJ698" s="3" t="str">
        <f t="shared" si="19"/>
        <v>anomaly</v>
      </c>
      <c r="AK698">
        <f>IFERROR(Y698-X698, "invalid date")</f>
        <v>3</v>
      </c>
      <c r="AL698" s="10">
        <v>0.25</v>
      </c>
      <c r="AM698" s="11">
        <v>3536.5199999999995</v>
      </c>
      <c r="AN698" s="11">
        <v>1434.1099999999997</v>
      </c>
      <c r="AO698" s="10">
        <v>0.40551446054313278</v>
      </c>
      <c r="AP698" t="s">
        <v>4475</v>
      </c>
      <c r="AQ698" t="s">
        <v>4329</v>
      </c>
      <c r="AR698" t="s">
        <v>4134</v>
      </c>
      <c r="AS698" t="s">
        <v>4120</v>
      </c>
      <c r="AT698" t="s">
        <v>4115</v>
      </c>
      <c r="AU698">
        <v>3</v>
      </c>
      <c r="AV698" t="s">
        <v>4109</v>
      </c>
    </row>
    <row r="699" spans="1:48">
      <c r="A699" t="s">
        <v>3278</v>
      </c>
      <c r="B699" t="s">
        <v>2332</v>
      </c>
      <c r="C699" t="s">
        <v>797</v>
      </c>
      <c r="D699" t="s">
        <v>3279</v>
      </c>
      <c r="E699" t="s">
        <v>70</v>
      </c>
      <c r="F699" t="s">
        <v>117</v>
      </c>
      <c r="G699" t="s">
        <v>71</v>
      </c>
      <c r="H699" t="s">
        <v>109</v>
      </c>
      <c r="I699" t="s">
        <v>110</v>
      </c>
      <c r="J699" t="s">
        <v>39</v>
      </c>
      <c r="K699" t="s">
        <v>118</v>
      </c>
      <c r="L699" t="s">
        <v>3280</v>
      </c>
      <c r="M699" t="s">
        <v>65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133</v>
      </c>
      <c r="U699" t="s">
        <v>134</v>
      </c>
      <c r="W699" t="s">
        <v>3278</v>
      </c>
      <c r="X699" t="str">
        <v>03-01-25</v>
      </c>
      <c r="Y699" t="str">
        <v>07-03-25</v>
      </c>
      <c r="Z699" t="s">
        <v>3279</v>
      </c>
      <c r="AA699" t="str">
        <v>Arjun Bose</v>
      </c>
      <c r="AB699" t="str">
        <f>TRIM(PROPER(F:F))</f>
        <v>Corporate</v>
      </c>
      <c r="AC699" t="str">
        <f>TRIM(PROPER(G:G))</f>
        <v>South</v>
      </c>
      <c r="AD699" t="str">
        <f>TRIM(PROPER(H:H))</f>
        <v>Andhra Pradesh</v>
      </c>
      <c r="AE699" t="str">
        <f>TRIM(PROPER(I:I))</f>
        <v>Vijayawada</v>
      </c>
      <c r="AF699" t="str">
        <f t="shared" si="20"/>
        <v>Office Supplies</v>
      </c>
      <c r="AG699" t="str">
        <f t="shared" si="20"/>
        <v>Labels</v>
      </c>
      <c r="AH699" t="str">
        <f t="shared" si="20"/>
        <v>Max Labels 970</v>
      </c>
      <c r="AI699" t="str">
        <f t="shared" si="20"/>
        <v>First Class</v>
      </c>
      <c r="AJ699" s="3" t="str">
        <f t="shared" si="19"/>
        <v>anomaly</v>
      </c>
      <c r="AK699">
        <f>IFERROR(Y699-X699, "invalid date")</f>
        <v>63</v>
      </c>
      <c r="AL699" s="10">
        <v>0</v>
      </c>
      <c r="AM699" s="11">
        <v>3970.0499999999997</v>
      </c>
      <c r="AN699" s="11">
        <v>2120.75</v>
      </c>
      <c r="AO699" s="10">
        <v>0.53418722686112274</v>
      </c>
      <c r="AP699" t="s">
        <v>4420</v>
      </c>
      <c r="AQ699" t="s">
        <v>4313</v>
      </c>
      <c r="AR699" t="s">
        <v>4153</v>
      </c>
      <c r="AS699" t="s">
        <v>4120</v>
      </c>
      <c r="AT699" t="s">
        <v>4115</v>
      </c>
      <c r="AU699">
        <v>63</v>
      </c>
      <c r="AV699" t="s">
        <v>4109</v>
      </c>
    </row>
    <row r="700" spans="1:48">
      <c r="A700" t="s">
        <v>3281</v>
      </c>
      <c r="B700" t="s">
        <v>3282</v>
      </c>
      <c r="C700" t="s">
        <v>1750</v>
      </c>
      <c r="D700" t="s">
        <v>3283</v>
      </c>
      <c r="E700" t="s">
        <v>49</v>
      </c>
      <c r="F700" t="s">
        <v>117</v>
      </c>
      <c r="G700" t="s">
        <v>36</v>
      </c>
      <c r="H700" t="s">
        <v>37</v>
      </c>
      <c r="I700" t="s">
        <v>38</v>
      </c>
      <c r="J700" t="s">
        <v>95</v>
      </c>
      <c r="K700" t="s">
        <v>393</v>
      </c>
      <c r="L700" t="s">
        <v>3284</v>
      </c>
      <c r="M700" t="s">
        <v>76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43</v>
      </c>
      <c r="U700" t="s">
        <v>134</v>
      </c>
      <c r="W700" t="s">
        <v>3281</v>
      </c>
      <c r="X700" t="str">
        <v>14-09-24</v>
      </c>
      <c r="Y700" t="str">
        <v>14-09-24</v>
      </c>
      <c r="Z700" t="s">
        <v>3283</v>
      </c>
      <c r="AA700" t="str">
        <v>Mira Das</v>
      </c>
      <c r="AB700" t="str">
        <f>TRIM(PROPER(F:F))</f>
        <v>Corporate</v>
      </c>
      <c r="AC700" t="str">
        <f>TRIM(PROPER(G:G))</f>
        <v>North</v>
      </c>
      <c r="AD700" t="str">
        <f>TRIM(PROPER(H:H))</f>
        <v>Rajasthan</v>
      </c>
      <c r="AE700" t="str">
        <f>TRIM(PROPER(I:I))</f>
        <v>Jaipur</v>
      </c>
      <c r="AF700" t="str">
        <f t="shared" si="20"/>
        <v>Technology</v>
      </c>
      <c r="AG700" t="str">
        <f t="shared" si="20"/>
        <v>Machines</v>
      </c>
      <c r="AH700" t="str">
        <f t="shared" si="20"/>
        <v>Classic Machines 648</v>
      </c>
      <c r="AI700" t="str">
        <f t="shared" si="20"/>
        <v>Standard Class</v>
      </c>
      <c r="AJ700" s="3" t="str">
        <f t="shared" si="19"/>
        <v xml:space="preserve">  </v>
      </c>
      <c r="AK700">
        <f>IFERROR(Y700-X700, "invalid date")</f>
        <v>0</v>
      </c>
      <c r="AL700" s="10">
        <v>0.15</v>
      </c>
      <c r="AM700" s="11">
        <v>27755.287999999997</v>
      </c>
      <c r="AN700" s="11">
        <v>4003.377999999997</v>
      </c>
      <c r="AO700" s="10">
        <v>0.14423838801456493</v>
      </c>
      <c r="AP700" t="s">
        <v>4491</v>
      </c>
      <c r="AQ700" t="s">
        <v>4491</v>
      </c>
      <c r="AR700" t="s">
        <v>4134</v>
      </c>
      <c r="AS700" t="s">
        <v>4107</v>
      </c>
      <c r="AT700" t="s">
        <v>4115</v>
      </c>
      <c r="AU700">
        <v>0</v>
      </c>
      <c r="AV700" t="s">
        <v>4109</v>
      </c>
    </row>
    <row r="701" spans="1:48">
      <c r="A701" t="s">
        <v>3285</v>
      </c>
      <c r="B701" t="s">
        <v>3286</v>
      </c>
      <c r="C701" t="s">
        <v>3287</v>
      </c>
      <c r="D701" t="s">
        <v>3288</v>
      </c>
      <c r="E701" t="s">
        <v>70</v>
      </c>
      <c r="F701" t="s">
        <v>50</v>
      </c>
      <c r="G701" t="s">
        <v>71</v>
      </c>
      <c r="H701" t="s">
        <v>239</v>
      </c>
      <c r="I701" t="s">
        <v>240</v>
      </c>
      <c r="J701" t="s">
        <v>54</v>
      </c>
      <c r="K701" t="s">
        <v>214</v>
      </c>
      <c r="L701" t="s">
        <v>3289</v>
      </c>
      <c r="M701" t="s">
        <v>76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43</v>
      </c>
      <c r="U701" t="s">
        <v>44</v>
      </c>
      <c r="W701" t="s">
        <v>3285</v>
      </c>
      <c r="X701" t="str">
        <v>11-06-24</v>
      </c>
      <c r="Y701" t="str">
        <v>11-06-24</v>
      </c>
      <c r="Z701" t="s">
        <v>3288</v>
      </c>
      <c r="AA701" t="str">
        <v>Arjun Bose</v>
      </c>
      <c r="AB701" t="str">
        <f>TRIM(PROPER(F:F))</f>
        <v>Small Business</v>
      </c>
      <c r="AC701" t="str">
        <f>TRIM(PROPER(G:G))</f>
        <v>South</v>
      </c>
      <c r="AD701" t="str">
        <f>TRIM(PROPER(H:H))</f>
        <v>Karnataka</v>
      </c>
      <c r="AE701" t="str">
        <f>TRIM(PROPER(I:I))</f>
        <v>Bengaluru</v>
      </c>
      <c r="AF701" t="str">
        <f t="shared" si="20"/>
        <v>Furniture</v>
      </c>
      <c r="AG701" t="str">
        <f t="shared" si="20"/>
        <v>Bookcases</v>
      </c>
      <c r="AH701" t="str">
        <f t="shared" si="20"/>
        <v>Max Bookcases 565</v>
      </c>
      <c r="AI701" t="str">
        <f t="shared" si="20"/>
        <v>Standard Class</v>
      </c>
      <c r="AJ701" s="3" t="str">
        <f t="shared" si="19"/>
        <v xml:space="preserve">  </v>
      </c>
      <c r="AK701">
        <f>IFERROR(Y701-X701, "invalid date")</f>
        <v>0</v>
      </c>
      <c r="AL701" s="10">
        <v>0.25</v>
      </c>
      <c r="AM701" s="11">
        <v>9450.7425000000003</v>
      </c>
      <c r="AN701" s="11">
        <v>1652.1824999999999</v>
      </c>
      <c r="AO701" s="10">
        <v>0.17482039109625511</v>
      </c>
      <c r="AP701" t="s">
        <v>4672</v>
      </c>
      <c r="AQ701" t="s">
        <v>4672</v>
      </c>
      <c r="AR701" t="s">
        <v>4170</v>
      </c>
      <c r="AS701" t="s">
        <v>4107</v>
      </c>
      <c r="AT701" t="s">
        <v>4115</v>
      </c>
      <c r="AU701">
        <v>0</v>
      </c>
      <c r="AV701" t="s">
        <v>4109</v>
      </c>
    </row>
    <row r="702" spans="1:48">
      <c r="A702" t="s">
        <v>3290</v>
      </c>
      <c r="B702" t="s">
        <v>3291</v>
      </c>
      <c r="C702" t="s">
        <v>1144</v>
      </c>
      <c r="D702" t="s">
        <v>3292</v>
      </c>
      <c r="E702" t="s">
        <v>102</v>
      </c>
      <c r="F702" t="s">
        <v>117</v>
      </c>
      <c r="G702" t="s">
        <v>51</v>
      </c>
      <c r="H702" t="s">
        <v>130</v>
      </c>
      <c r="I702" t="s">
        <v>131</v>
      </c>
      <c r="J702" t="s">
        <v>95</v>
      </c>
      <c r="K702" t="s">
        <v>393</v>
      </c>
      <c r="L702" t="s">
        <v>3293</v>
      </c>
      <c r="M702" t="s">
        <v>76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43</v>
      </c>
      <c r="U702" t="s">
        <v>44</v>
      </c>
      <c r="W702" t="s">
        <v>3290</v>
      </c>
      <c r="X702" t="str">
        <v>18-09-24</v>
      </c>
      <c r="Y702" t="str">
        <v>invalid date</v>
      </c>
      <c r="Z702" t="s">
        <v>3292</v>
      </c>
      <c r="AA702" t="str">
        <v>Neha Gupta</v>
      </c>
      <c r="AB702" t="str">
        <f>TRIM(PROPER(F:F))</f>
        <v>Corporate</v>
      </c>
      <c r="AC702" t="str">
        <f>TRIM(PROPER(G:G))</f>
        <v>East</v>
      </c>
      <c r="AD702" t="str">
        <f>TRIM(PROPER(H:H))</f>
        <v>West Bengal</v>
      </c>
      <c r="AE702" t="str">
        <f>TRIM(PROPER(I:I))</f>
        <v>Kolkata</v>
      </c>
      <c r="AF702" t="str">
        <f t="shared" si="20"/>
        <v>Technology</v>
      </c>
      <c r="AG702" t="str">
        <f t="shared" si="20"/>
        <v>Machines</v>
      </c>
      <c r="AH702" t="str">
        <f t="shared" si="20"/>
        <v>Basic Machines 220</v>
      </c>
      <c r="AI702" t="str">
        <f t="shared" si="20"/>
        <v>Standard Class</v>
      </c>
      <c r="AJ702" s="3" t="str">
        <f t="shared" si="19"/>
        <v>Invalid</v>
      </c>
      <c r="AK702" t="str">
        <f>IFERROR(Y702-X702, "invalid date")</f>
        <v>invalid date</v>
      </c>
      <c r="AL702" s="10">
        <v>0.15</v>
      </c>
      <c r="AM702" s="11">
        <v>7792.5450000000001</v>
      </c>
      <c r="AN702" s="11">
        <v>3100.8150000000005</v>
      </c>
      <c r="AO702" s="10">
        <v>0.39792070498149201</v>
      </c>
      <c r="AP702" t="s">
        <v>4673</v>
      </c>
      <c r="AQ702" t="s">
        <v>4105</v>
      </c>
      <c r="AR702" t="s">
        <v>4134</v>
      </c>
      <c r="AS702" t="s">
        <v>4107</v>
      </c>
      <c r="AT702" t="s">
        <v>4108</v>
      </c>
      <c r="AU702" t="s">
        <v>4105</v>
      </c>
      <c r="AV702" t="s">
        <v>4109</v>
      </c>
    </row>
    <row r="703" spans="1:48">
      <c r="A703" t="s">
        <v>3294</v>
      </c>
      <c r="B703" t="s">
        <v>1631</v>
      </c>
      <c r="C703" t="s">
        <v>1302</v>
      </c>
      <c r="D703" t="s">
        <v>3295</v>
      </c>
      <c r="E703" t="s">
        <v>189</v>
      </c>
      <c r="F703" t="s">
        <v>50</v>
      </c>
      <c r="G703" t="s">
        <v>82</v>
      </c>
      <c r="H703" t="s">
        <v>245</v>
      </c>
      <c r="I703" t="s">
        <v>246</v>
      </c>
      <c r="J703" t="s">
        <v>39</v>
      </c>
      <c r="K703" t="s">
        <v>63</v>
      </c>
      <c r="L703" t="s">
        <v>3296</v>
      </c>
      <c r="M703" t="s">
        <v>57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43</v>
      </c>
      <c r="U703" t="s">
        <v>134</v>
      </c>
      <c r="W703" t="s">
        <v>3294</v>
      </c>
      <c r="X703" t="str">
        <v>30-04-24</v>
      </c>
      <c r="Y703" t="str">
        <v>04-05-24</v>
      </c>
      <c r="Z703" t="s">
        <v>3295</v>
      </c>
      <c r="AA703" t="str">
        <v>Rohan Mehta</v>
      </c>
      <c r="AB703" t="str">
        <f>TRIM(PROPER(F:F))</f>
        <v>Small Business</v>
      </c>
      <c r="AC703" t="str">
        <f>TRIM(PROPER(G:G))</f>
        <v>West</v>
      </c>
      <c r="AD703" t="str">
        <f>TRIM(PROPER(H:H))</f>
        <v>Gujarat</v>
      </c>
      <c r="AE703" t="str">
        <f>TRIM(PROPER(I:I))</f>
        <v>Ahmedabad</v>
      </c>
      <c r="AF703" t="str">
        <f t="shared" si="20"/>
        <v>Office Supplies</v>
      </c>
      <c r="AG703" t="str">
        <f t="shared" si="20"/>
        <v>Art</v>
      </c>
      <c r="AH703" t="str">
        <f t="shared" si="20"/>
        <v>Pro Art 151</v>
      </c>
      <c r="AI703" t="str">
        <f t="shared" si="20"/>
        <v>Same Day</v>
      </c>
      <c r="AJ703" s="3" t="str">
        <f t="shared" si="19"/>
        <v xml:space="preserve">  </v>
      </c>
      <c r="AK703">
        <f>IFERROR(Y703-X703, "invalid date")</f>
        <v>4</v>
      </c>
      <c r="AL703" s="10">
        <v>0</v>
      </c>
      <c r="AM703" s="11">
        <v>8574.58</v>
      </c>
      <c r="AN703" s="11">
        <v>1888.7699999999995</v>
      </c>
      <c r="AO703" s="10">
        <v>0.22027551203674112</v>
      </c>
      <c r="AP703" t="s">
        <v>4468</v>
      </c>
      <c r="AQ703" t="s">
        <v>4412</v>
      </c>
      <c r="AR703" t="s">
        <v>4199</v>
      </c>
      <c r="AS703" t="s">
        <v>4107</v>
      </c>
      <c r="AT703" t="s">
        <v>4121</v>
      </c>
      <c r="AU703">
        <v>4</v>
      </c>
      <c r="AV703" t="s">
        <v>4109</v>
      </c>
    </row>
    <row r="704" spans="1:48">
      <c r="A704" t="s">
        <v>3297</v>
      </c>
      <c r="B704" t="s">
        <v>3298</v>
      </c>
      <c r="C704" t="s">
        <v>2893</v>
      </c>
      <c r="D704" t="s">
        <v>3299</v>
      </c>
      <c r="E704" t="s">
        <v>34</v>
      </c>
      <c r="F704" t="s">
        <v>50</v>
      </c>
      <c r="G704" t="s">
        <v>82</v>
      </c>
      <c r="H704" t="s">
        <v>37</v>
      </c>
      <c r="I704" t="s">
        <v>144</v>
      </c>
      <c r="J704" t="s">
        <v>54</v>
      </c>
      <c r="K704" t="s">
        <v>55</v>
      </c>
      <c r="L704" t="s">
        <v>3300</v>
      </c>
      <c r="M704" t="s">
        <v>42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43</v>
      </c>
      <c r="U704" t="s">
        <v>44</v>
      </c>
      <c r="W704" t="s">
        <v>3297</v>
      </c>
      <c r="X704" t="str">
        <v>02-02-25</v>
      </c>
      <c r="Y704" t="str">
        <v>02-06-25</v>
      </c>
      <c r="Z704" t="s">
        <v>3299</v>
      </c>
      <c r="AA704" t="str">
        <v>Karan Malhotra</v>
      </c>
      <c r="AB704" t="str">
        <f>TRIM(PROPER(F:F))</f>
        <v>Small Business</v>
      </c>
      <c r="AC704" t="str">
        <f>TRIM(PROPER(G:G))</f>
        <v>West</v>
      </c>
      <c r="AD704" t="str">
        <f>TRIM(PROPER(H:H))</f>
        <v>Rajasthan</v>
      </c>
      <c r="AE704" t="str">
        <f>TRIM(PROPER(I:I))</f>
        <v>Udaipur</v>
      </c>
      <c r="AF704" t="str">
        <f t="shared" si="20"/>
        <v>Furniture</v>
      </c>
      <c r="AG704" t="str">
        <f t="shared" si="20"/>
        <v>Tables</v>
      </c>
      <c r="AH704" t="str">
        <f t="shared" si="20"/>
        <v>Pro Tables 980</v>
      </c>
      <c r="AI704" t="str">
        <f t="shared" si="20"/>
        <v>Second Class</v>
      </c>
      <c r="AJ704" s="3" t="str">
        <f t="shared" si="19"/>
        <v>anomaly</v>
      </c>
      <c r="AK704">
        <f>IFERROR(Y704-X704, "invalid date")</f>
        <v>120</v>
      </c>
      <c r="AL704" s="10">
        <v>0.1</v>
      </c>
      <c r="AM704" s="11">
        <v>2692.8180000000002</v>
      </c>
      <c r="AN704" s="11">
        <v>872.73800000000028</v>
      </c>
      <c r="AO704" s="10">
        <v>0.32409839803506968</v>
      </c>
      <c r="AP704" t="s">
        <v>4665</v>
      </c>
      <c r="AQ704" t="s">
        <v>4207</v>
      </c>
      <c r="AR704" t="s">
        <v>4129</v>
      </c>
      <c r="AS704" t="s">
        <v>4120</v>
      </c>
      <c r="AT704" t="s">
        <v>4115</v>
      </c>
      <c r="AU704">
        <v>120</v>
      </c>
      <c r="AV704" t="s">
        <v>4109</v>
      </c>
    </row>
    <row r="705" spans="1:48">
      <c r="A705" t="s">
        <v>3301</v>
      </c>
      <c r="B705" t="s">
        <v>3302</v>
      </c>
      <c r="C705" t="s">
        <v>2389</v>
      </c>
      <c r="D705" t="s">
        <v>3303</v>
      </c>
      <c r="E705" t="s">
        <v>116</v>
      </c>
      <c r="F705" t="s">
        <v>117</v>
      </c>
      <c r="G705" t="s">
        <v>36</v>
      </c>
      <c r="H705" t="s">
        <v>37</v>
      </c>
      <c r="I705" t="s">
        <v>38</v>
      </c>
      <c r="J705" t="s">
        <v>54</v>
      </c>
      <c r="K705" t="s">
        <v>55</v>
      </c>
      <c r="L705" t="s">
        <v>3304</v>
      </c>
      <c r="M705" t="s">
        <v>65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43</v>
      </c>
      <c r="U705" t="s">
        <v>44</v>
      </c>
      <c r="W705" t="s">
        <v>3301</v>
      </c>
      <c r="X705" t="str">
        <v>19-10-24</v>
      </c>
      <c r="Y705" t="str">
        <v>20-10-24</v>
      </c>
      <c r="Z705" t="s">
        <v>3303</v>
      </c>
      <c r="AA705" t="str">
        <v>Aditi Sen</v>
      </c>
      <c r="AB705" t="str">
        <f>TRIM(PROPER(F:F))</f>
        <v>Corporate</v>
      </c>
      <c r="AC705" t="str">
        <f>TRIM(PROPER(G:G))</f>
        <v>North</v>
      </c>
      <c r="AD705" t="str">
        <f>TRIM(PROPER(H:H))</f>
        <v>Rajasthan</v>
      </c>
      <c r="AE705" t="str">
        <f>TRIM(PROPER(I:I))</f>
        <v>Jaipur</v>
      </c>
      <c r="AF705" t="str">
        <f t="shared" si="20"/>
        <v>Furniture</v>
      </c>
      <c r="AG705" t="str">
        <f t="shared" si="20"/>
        <v>Tables</v>
      </c>
      <c r="AH705" t="str">
        <f t="shared" si="20"/>
        <v>Classic Tables 997</v>
      </c>
      <c r="AI705" t="str">
        <f t="shared" si="20"/>
        <v>First Class</v>
      </c>
      <c r="AJ705" s="3" t="str">
        <f t="shared" si="19"/>
        <v>anomaly</v>
      </c>
      <c r="AK705">
        <f>IFERROR(Y705-X705, "invalid date")</f>
        <v>1</v>
      </c>
      <c r="AL705" s="10">
        <v>0.1</v>
      </c>
      <c r="AM705" s="11">
        <v>1035.027</v>
      </c>
      <c r="AN705" s="11">
        <v>180.67700000000002</v>
      </c>
      <c r="AO705" s="10">
        <v>0.1745625959516032</v>
      </c>
      <c r="AP705" t="s">
        <v>4160</v>
      </c>
      <c r="AQ705" t="s">
        <v>4581</v>
      </c>
      <c r="AR705" t="s">
        <v>4126</v>
      </c>
      <c r="AS705" t="s">
        <v>4107</v>
      </c>
      <c r="AT705" t="s">
        <v>4115</v>
      </c>
      <c r="AU705">
        <v>1</v>
      </c>
      <c r="AV705" t="s">
        <v>4109</v>
      </c>
    </row>
    <row r="706" spans="1:48">
      <c r="A706" t="s">
        <v>3305</v>
      </c>
      <c r="B706" t="s">
        <v>1567</v>
      </c>
      <c r="C706" t="s">
        <v>3306</v>
      </c>
      <c r="D706" t="s">
        <v>3307</v>
      </c>
      <c r="E706" t="s">
        <v>151</v>
      </c>
      <c r="F706" t="s">
        <v>124</v>
      </c>
      <c r="G706" t="s">
        <v>71</v>
      </c>
      <c r="H706" t="s">
        <v>350</v>
      </c>
      <c r="I706" t="s">
        <v>351</v>
      </c>
      <c r="J706" t="s">
        <v>54</v>
      </c>
      <c r="K706" t="s">
        <v>214</v>
      </c>
      <c r="L706" t="s">
        <v>3308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43</v>
      </c>
      <c r="U706" t="s">
        <v>44</v>
      </c>
      <c r="W706" t="s">
        <v>3305</v>
      </c>
      <c r="X706" t="str">
        <v>13-03-24</v>
      </c>
      <c r="Y706" t="str">
        <v>invalid date</v>
      </c>
      <c r="Z706" t="s">
        <v>3307</v>
      </c>
      <c r="AA706" t="str">
        <v>Priya Menon</v>
      </c>
      <c r="AB706" t="str">
        <f>TRIM(PROPER(F:F))</f>
        <v>Home Office</v>
      </c>
      <c r="AC706" t="str">
        <f>TRIM(PROPER(G:G))</f>
        <v>South</v>
      </c>
      <c r="AD706" t="str">
        <f>TRIM(PROPER(H:H))</f>
        <v>Tamil Nadu</v>
      </c>
      <c r="AE706" t="str">
        <f>TRIM(PROPER(I:I))</f>
        <v>Chennai</v>
      </c>
      <c r="AF706" t="str">
        <f t="shared" si="20"/>
        <v>Furniture</v>
      </c>
      <c r="AG706" t="str">
        <f t="shared" si="20"/>
        <v>Bookcases</v>
      </c>
      <c r="AH706" t="str">
        <f t="shared" si="20"/>
        <v>Max Bookcases 738</v>
      </c>
      <c r="AI706" s="4" t="s">
        <v>282</v>
      </c>
      <c r="AJ706" s="3" t="str">
        <f t="shared" si="19"/>
        <v>Invalid</v>
      </c>
      <c r="AK706" t="str">
        <f>IFERROR(Y706-X706, "invalid date")</f>
        <v>invalid date</v>
      </c>
      <c r="AL706" s="10">
        <v>0.15</v>
      </c>
      <c r="AM706" s="11">
        <v>2401.7855</v>
      </c>
      <c r="AN706" s="11">
        <v>581.44550000000004</v>
      </c>
      <c r="AO706" s="10">
        <v>0.24208885431276025</v>
      </c>
      <c r="AP706" t="s">
        <v>4457</v>
      </c>
      <c r="AQ706" t="s">
        <v>4105</v>
      </c>
      <c r="AR706" t="s">
        <v>4159</v>
      </c>
      <c r="AS706" t="s">
        <v>4107</v>
      </c>
      <c r="AT706" t="s">
        <v>4108</v>
      </c>
      <c r="AU706" t="s">
        <v>4105</v>
      </c>
      <c r="AV706" t="s">
        <v>4109</v>
      </c>
    </row>
    <row r="707" spans="1:48">
      <c r="A707" t="s">
        <v>3309</v>
      </c>
      <c r="B707" t="s">
        <v>3310</v>
      </c>
      <c r="C707" t="s">
        <v>3311</v>
      </c>
      <c r="D707" t="s">
        <v>3312</v>
      </c>
      <c r="E707" t="s">
        <v>189</v>
      </c>
      <c r="F707" t="s">
        <v>35</v>
      </c>
      <c r="G707" t="s">
        <v>36</v>
      </c>
      <c r="H707" t="s">
        <v>37</v>
      </c>
      <c r="I707" t="s">
        <v>38</v>
      </c>
      <c r="J707" t="s">
        <v>39</v>
      </c>
      <c r="K707" t="s">
        <v>208</v>
      </c>
      <c r="L707" t="s">
        <v>3313</v>
      </c>
      <c r="M707" t="s">
        <v>76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43</v>
      </c>
      <c r="U707" t="s">
        <v>44</v>
      </c>
      <c r="W707" t="s">
        <v>3309</v>
      </c>
      <c r="X707" t="str">
        <v>08-09-24</v>
      </c>
      <c r="Y707" t="str">
        <v>invalid date</v>
      </c>
      <c r="Z707" t="s">
        <v>3312</v>
      </c>
      <c r="AA707" t="str">
        <v>Rohan Mehta</v>
      </c>
      <c r="AB707" t="str">
        <f>TRIM(PROPER(F:F))</f>
        <v>Consumer</v>
      </c>
      <c r="AC707" t="str">
        <f>TRIM(PROPER(G:G))</f>
        <v>North</v>
      </c>
      <c r="AD707" t="str">
        <f>TRIM(PROPER(H:H))</f>
        <v>Rajasthan</v>
      </c>
      <c r="AE707" t="str">
        <f>TRIM(PROPER(I:I))</f>
        <v>Jaipur</v>
      </c>
      <c r="AF707" t="str">
        <f t="shared" si="20"/>
        <v>Office Supplies</v>
      </c>
      <c r="AG707" t="str">
        <f t="shared" si="20"/>
        <v>Binders</v>
      </c>
      <c r="AH707" t="str">
        <f t="shared" si="20"/>
        <v>Max Binders 411</v>
      </c>
      <c r="AI707" t="str">
        <f t="shared" si="20"/>
        <v>Standard Class</v>
      </c>
      <c r="AJ707" s="3" t="str">
        <f t="shared" ref="AJ707:AJ770" si="21">IF(OR(X:X="Invalid Date",Y:Y="Invalid Date"),"Invalid",(IF(X:X&lt;Y:Y,"anomaly", "  ")))</f>
        <v>Invalid</v>
      </c>
      <c r="AK707" t="str">
        <f>IFERROR(Y707-X707, "invalid date")</f>
        <v>invalid date</v>
      </c>
      <c r="AL707" s="10">
        <v>0.05</v>
      </c>
      <c r="AM707" s="11">
        <v>16015.8125</v>
      </c>
      <c r="AN707" s="11">
        <v>4663.4325000000008</v>
      </c>
      <c r="AO707" s="10">
        <v>0.29117676671102394</v>
      </c>
      <c r="AP707" t="s">
        <v>4674</v>
      </c>
      <c r="AQ707" t="s">
        <v>4105</v>
      </c>
      <c r="AR707" t="s">
        <v>4134</v>
      </c>
      <c r="AS707" t="s">
        <v>4107</v>
      </c>
      <c r="AT707" t="s">
        <v>4108</v>
      </c>
      <c r="AU707" t="s">
        <v>4105</v>
      </c>
      <c r="AV707" t="s">
        <v>4109</v>
      </c>
    </row>
    <row r="708" spans="1:48">
      <c r="A708" t="s">
        <v>3314</v>
      </c>
      <c r="B708" t="s">
        <v>3315</v>
      </c>
      <c r="C708" t="s">
        <v>1053</v>
      </c>
      <c r="D708" t="s">
        <v>3316</v>
      </c>
      <c r="E708" t="s">
        <v>62</v>
      </c>
      <c r="F708" t="s">
        <v>50</v>
      </c>
      <c r="G708" t="s">
        <v>51</v>
      </c>
      <c r="H708" t="s">
        <v>52</v>
      </c>
      <c r="I708" t="s">
        <v>53</v>
      </c>
      <c r="J708" t="s">
        <v>39</v>
      </c>
      <c r="K708" t="s">
        <v>40</v>
      </c>
      <c r="L708" t="s">
        <v>3317</v>
      </c>
      <c r="M708" t="s">
        <v>57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43</v>
      </c>
      <c r="U708" t="s">
        <v>44</v>
      </c>
      <c r="W708" t="s">
        <v>3314</v>
      </c>
      <c r="X708" t="str">
        <v>24-06-24</v>
      </c>
      <c r="Y708" t="str">
        <v>28-06-24</v>
      </c>
      <c r="Z708" t="s">
        <v>3316</v>
      </c>
      <c r="AA708" t="str">
        <v>Isha Nair</v>
      </c>
      <c r="AB708" t="str">
        <f>TRIM(PROPER(F:F))</f>
        <v>Small Business</v>
      </c>
      <c r="AC708" t="str">
        <f>TRIM(PROPER(G:G))</f>
        <v>East</v>
      </c>
      <c r="AD708" t="str">
        <f>TRIM(PROPER(H:H))</f>
        <v>Odisha</v>
      </c>
      <c r="AE708" t="str">
        <f>TRIM(PROPER(I:I))</f>
        <v>Bhubaneswar</v>
      </c>
      <c r="AF708" t="str">
        <f t="shared" si="20"/>
        <v>Office Supplies</v>
      </c>
      <c r="AG708" t="str">
        <f t="shared" si="20"/>
        <v>Paper</v>
      </c>
      <c r="AH708" t="str">
        <f t="shared" si="20"/>
        <v>Max Paper 343</v>
      </c>
      <c r="AI708" t="str">
        <f t="shared" si="20"/>
        <v>Same Day</v>
      </c>
      <c r="AJ708" s="3" t="str">
        <f t="shared" si="21"/>
        <v>anomaly</v>
      </c>
      <c r="AK708">
        <f>IFERROR(Y708-X708, "invalid date")</f>
        <v>4</v>
      </c>
      <c r="AL708" s="10">
        <v>0.1</v>
      </c>
      <c r="AM708" s="11">
        <v>1901.4750000000001</v>
      </c>
      <c r="AN708" s="11">
        <v>547.19500000000016</v>
      </c>
      <c r="AO708" s="10">
        <v>0.28777396494826391</v>
      </c>
      <c r="AP708" t="s">
        <v>4448</v>
      </c>
      <c r="AQ708" t="s">
        <v>4364</v>
      </c>
      <c r="AR708" t="s">
        <v>4170</v>
      </c>
      <c r="AS708" t="s">
        <v>4107</v>
      </c>
      <c r="AT708" t="s">
        <v>4115</v>
      </c>
      <c r="AU708">
        <v>4</v>
      </c>
      <c r="AV708" t="s">
        <v>4109</v>
      </c>
    </row>
    <row r="709" spans="1:48">
      <c r="A709" t="s">
        <v>3318</v>
      </c>
      <c r="B709" t="s">
        <v>3319</v>
      </c>
      <c r="C709" t="s">
        <v>2380</v>
      </c>
      <c r="D709" t="s">
        <v>3320</v>
      </c>
      <c r="E709" t="s">
        <v>92</v>
      </c>
      <c r="F709" t="s">
        <v>35</v>
      </c>
      <c r="G709" t="s">
        <v>36</v>
      </c>
      <c r="H709" t="s">
        <v>37</v>
      </c>
      <c r="I709" t="s">
        <v>38</v>
      </c>
      <c r="J709" t="s">
        <v>95</v>
      </c>
      <c r="K709" t="s">
        <v>96</v>
      </c>
      <c r="L709" t="s">
        <v>3321</v>
      </c>
      <c r="M709" t="s">
        <v>57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43</v>
      </c>
      <c r="U709" t="s">
        <v>44</v>
      </c>
      <c r="W709" t="s">
        <v>3318</v>
      </c>
      <c r="X709" t="str">
        <v>24-06-25</v>
      </c>
      <c r="Y709" t="str">
        <v>invalid date</v>
      </c>
      <c r="Z709" t="s">
        <v>3320</v>
      </c>
      <c r="AA709" t="str">
        <v>Vikram Iyer</v>
      </c>
      <c r="AB709" t="str">
        <f>TRIM(PROPER(F:F))</f>
        <v>Consumer</v>
      </c>
      <c r="AC709" t="str">
        <f>TRIM(PROPER(G:G))</f>
        <v>North</v>
      </c>
      <c r="AD709" t="str">
        <f>TRIM(PROPER(H:H))</f>
        <v>Rajasthan</v>
      </c>
      <c r="AE709" t="str">
        <f>TRIM(PROPER(I:I))</f>
        <v>Jaipur</v>
      </c>
      <c r="AF709" t="str">
        <f t="shared" si="20"/>
        <v>Technology</v>
      </c>
      <c r="AG709" t="str">
        <f t="shared" si="20"/>
        <v>Accessories</v>
      </c>
      <c r="AH709" t="str">
        <f t="shared" si="20"/>
        <v>Pro Accessories 485</v>
      </c>
      <c r="AI709" t="str">
        <f t="shared" si="20"/>
        <v>Same Day</v>
      </c>
      <c r="AJ709" s="3" t="str">
        <f t="shared" si="21"/>
        <v>Invalid</v>
      </c>
      <c r="AK709" t="str">
        <f>IFERROR(Y709-X709, "invalid date")</f>
        <v>invalid date</v>
      </c>
      <c r="AL709" s="10" t="s">
        <v>191</v>
      </c>
      <c r="AM709" s="11" t="s">
        <v>4111</v>
      </c>
      <c r="AN709" s="11" t="s">
        <v>4111</v>
      </c>
      <c r="AO709" s="10" t="s">
        <v>4111</v>
      </c>
      <c r="AP709" t="s">
        <v>4352</v>
      </c>
      <c r="AQ709" t="s">
        <v>4105</v>
      </c>
      <c r="AR709" t="s">
        <v>4170</v>
      </c>
      <c r="AS709" t="s">
        <v>4120</v>
      </c>
      <c r="AT709" t="s">
        <v>4108</v>
      </c>
      <c r="AU709" t="s">
        <v>4105</v>
      </c>
      <c r="AV709" t="s">
        <v>4109</v>
      </c>
    </row>
    <row r="710" spans="1:48">
      <c r="A710" t="s">
        <v>3322</v>
      </c>
      <c r="B710" t="s">
        <v>3323</v>
      </c>
      <c r="C710" t="s">
        <v>3324</v>
      </c>
      <c r="D710" t="s">
        <v>3325</v>
      </c>
      <c r="E710" t="s">
        <v>177</v>
      </c>
      <c r="F710" t="s">
        <v>35</v>
      </c>
      <c r="G710" t="s">
        <v>51</v>
      </c>
      <c r="H710" t="s">
        <v>226</v>
      </c>
      <c r="I710" t="s">
        <v>227</v>
      </c>
      <c r="J710" t="s">
        <v>54</v>
      </c>
      <c r="K710" t="s">
        <v>214</v>
      </c>
      <c r="L710" t="s">
        <v>3326</v>
      </c>
      <c r="M710" t="s">
        <v>65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43</v>
      </c>
      <c r="U710" t="s">
        <v>44</v>
      </c>
      <c r="W710" t="s">
        <v>3322</v>
      </c>
      <c r="X710" t="str">
        <v>invalid date</v>
      </c>
      <c r="Y710" t="str">
        <v>26-03-25</v>
      </c>
      <c r="Z710" t="s">
        <v>3325</v>
      </c>
      <c r="AA710" t="str">
        <v>Sneha Kapoor</v>
      </c>
      <c r="AB710" t="str">
        <f>TRIM(PROPER(F:F))</f>
        <v>Consumer</v>
      </c>
      <c r="AC710" t="str">
        <f>TRIM(PROPER(G:G))</f>
        <v>East</v>
      </c>
      <c r="AD710" t="str">
        <f>TRIM(PROPER(H:H))</f>
        <v>Assam</v>
      </c>
      <c r="AE710" t="str">
        <f>TRIM(PROPER(I:I))</f>
        <v>Guwahati</v>
      </c>
      <c r="AF710" t="str">
        <f t="shared" si="20"/>
        <v>Furniture</v>
      </c>
      <c r="AG710" t="str">
        <f t="shared" si="20"/>
        <v>Bookcases</v>
      </c>
      <c r="AH710" t="str">
        <f t="shared" si="20"/>
        <v>Elite Bookcases 113</v>
      </c>
      <c r="AI710" t="str">
        <f t="shared" si="20"/>
        <v>First Class</v>
      </c>
      <c r="AJ710" s="3" t="str">
        <f t="shared" si="21"/>
        <v>Invalid</v>
      </c>
      <c r="AK710" t="str">
        <f>IFERROR(Y710-X710, "invalid date")</f>
        <v>invalid date</v>
      </c>
      <c r="AL710" s="10">
        <v>0.05</v>
      </c>
      <c r="AM710" s="11">
        <v>16559.108</v>
      </c>
      <c r="AN710" s="11">
        <v>3325.3179999999993</v>
      </c>
      <c r="AO710" s="10">
        <v>0.20081504390212318</v>
      </c>
      <c r="AP710" t="s">
        <v>4105</v>
      </c>
      <c r="AQ710" t="s">
        <v>4675</v>
      </c>
      <c r="AR710" t="s">
        <v>4105</v>
      </c>
      <c r="AS710" t="s">
        <v>4105</v>
      </c>
      <c r="AT710" t="s">
        <v>4108</v>
      </c>
      <c r="AU710" t="s">
        <v>4105</v>
      </c>
      <c r="AV710" t="s">
        <v>4109</v>
      </c>
    </row>
    <row r="711" spans="1:48">
      <c r="A711" t="s">
        <v>3327</v>
      </c>
      <c r="B711" t="s">
        <v>205</v>
      </c>
      <c r="C711" t="s">
        <v>194</v>
      </c>
      <c r="D711" t="s">
        <v>3328</v>
      </c>
      <c r="E711" t="s">
        <v>377</v>
      </c>
      <c r="F711" t="s">
        <v>124</v>
      </c>
      <c r="G711" t="s">
        <v>36</v>
      </c>
      <c r="H711" t="s">
        <v>163</v>
      </c>
      <c r="I711" t="s">
        <v>164</v>
      </c>
      <c r="J711" t="s">
        <v>95</v>
      </c>
      <c r="K711" t="s">
        <v>233</v>
      </c>
      <c r="L711" t="s">
        <v>3329</v>
      </c>
      <c r="M711" t="s">
        <v>57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43</v>
      </c>
      <c r="U711" t="s">
        <v>87</v>
      </c>
      <c r="W711" t="s">
        <v>3327</v>
      </c>
      <c r="X711" t="str">
        <v>19-01-25</v>
      </c>
      <c r="Y711" t="str">
        <v>23-01-25</v>
      </c>
      <c r="Z711" t="s">
        <v>3328</v>
      </c>
      <c r="AA711" t="str">
        <v>Kabir Singh</v>
      </c>
      <c r="AB711" t="str">
        <f>TRIM(PROPER(F:F))</f>
        <v>Home Office</v>
      </c>
      <c r="AC711" t="str">
        <f>TRIM(PROPER(G:G))</f>
        <v>North</v>
      </c>
      <c r="AD711" t="str">
        <f>TRIM(PROPER(H:H))</f>
        <v>Punjab</v>
      </c>
      <c r="AE711" t="str">
        <f>TRIM(PROPER(I:I))</f>
        <v>Ludhiana</v>
      </c>
      <c r="AF711" t="str">
        <f t="shared" si="20"/>
        <v>Technology</v>
      </c>
      <c r="AG711" t="str">
        <f t="shared" si="20"/>
        <v>Phones</v>
      </c>
      <c r="AH711" t="str">
        <f t="shared" si="20"/>
        <v>Eco Phones 787</v>
      </c>
      <c r="AI711" t="str">
        <f t="shared" si="20"/>
        <v>Same Day</v>
      </c>
      <c r="AJ711" s="3" t="str">
        <f t="shared" si="21"/>
        <v>anomaly</v>
      </c>
      <c r="AK711">
        <f>IFERROR(Y711-X711, "invalid date")</f>
        <v>4</v>
      </c>
      <c r="AL711" s="10">
        <v>0.15</v>
      </c>
      <c r="AM711" s="11">
        <v>8110.0879999999988</v>
      </c>
      <c r="AN711" s="11">
        <v>1692.7679999999991</v>
      </c>
      <c r="AO711" s="10">
        <v>0.2087237524426368</v>
      </c>
      <c r="AP711" t="s">
        <v>4155</v>
      </c>
      <c r="AQ711" t="s">
        <v>4152</v>
      </c>
      <c r="AR711" t="s">
        <v>4153</v>
      </c>
      <c r="AS711" t="s">
        <v>4120</v>
      </c>
      <c r="AT711" t="s">
        <v>4115</v>
      </c>
      <c r="AU711">
        <v>4</v>
      </c>
      <c r="AV711" t="s">
        <v>4109</v>
      </c>
    </row>
    <row r="712" spans="1:48">
      <c r="A712" t="s">
        <v>3330</v>
      </c>
      <c r="B712" t="s">
        <v>3331</v>
      </c>
      <c r="C712" t="s">
        <v>3332</v>
      </c>
      <c r="D712" t="s">
        <v>3333</v>
      </c>
      <c r="E712" t="s">
        <v>92</v>
      </c>
      <c r="F712" t="s">
        <v>117</v>
      </c>
      <c r="G712" t="s">
        <v>36</v>
      </c>
      <c r="H712" t="s">
        <v>163</v>
      </c>
      <c r="I712" t="s">
        <v>164</v>
      </c>
      <c r="J712" t="s">
        <v>39</v>
      </c>
      <c r="K712" t="s">
        <v>63</v>
      </c>
      <c r="L712" t="s">
        <v>3334</v>
      </c>
      <c r="M712" t="s">
        <v>42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43</v>
      </c>
      <c r="U712" t="s">
        <v>44</v>
      </c>
      <c r="W712" t="s">
        <v>3330</v>
      </c>
      <c r="X712" t="str">
        <v>07-12-24</v>
      </c>
      <c r="Y712" t="str">
        <v>invalid date</v>
      </c>
      <c r="Z712" t="s">
        <v>3333</v>
      </c>
      <c r="AA712" t="str">
        <v>Vikram Iyer</v>
      </c>
      <c r="AB712" t="str">
        <f>TRIM(PROPER(F:F))</f>
        <v>Corporate</v>
      </c>
      <c r="AC712" t="str">
        <f>TRIM(PROPER(G:G))</f>
        <v>North</v>
      </c>
      <c r="AD712" t="str">
        <f>TRIM(PROPER(H:H))</f>
        <v>Punjab</v>
      </c>
      <c r="AE712" t="str">
        <f>TRIM(PROPER(I:I))</f>
        <v>Ludhiana</v>
      </c>
      <c r="AF712" t="str">
        <f t="shared" si="20"/>
        <v>Office Supplies</v>
      </c>
      <c r="AG712" t="str">
        <f t="shared" si="20"/>
        <v>Art</v>
      </c>
      <c r="AH712" t="str">
        <f t="shared" si="20"/>
        <v>Smart Art 279</v>
      </c>
      <c r="AI712" t="str">
        <f t="shared" si="20"/>
        <v>Second Class</v>
      </c>
      <c r="AJ712" s="3" t="str">
        <f t="shared" si="21"/>
        <v>Invalid</v>
      </c>
      <c r="AK712" t="str">
        <f>IFERROR(Y712-X712, "invalid date")</f>
        <v>invalid date</v>
      </c>
      <c r="AL712" s="10">
        <v>0.05</v>
      </c>
      <c r="AM712" s="11">
        <v>7406.01</v>
      </c>
      <c r="AN712" s="11">
        <v>1464.2700000000004</v>
      </c>
      <c r="AO712" s="10">
        <v>0.19771374869869207</v>
      </c>
      <c r="AP712" t="s">
        <v>4661</v>
      </c>
      <c r="AQ712" t="s">
        <v>4105</v>
      </c>
      <c r="AR712" t="s">
        <v>4139</v>
      </c>
      <c r="AS712" t="s">
        <v>4107</v>
      </c>
      <c r="AT712" t="s">
        <v>4108</v>
      </c>
      <c r="AU712" t="s">
        <v>4105</v>
      </c>
      <c r="AV712" t="s">
        <v>4109</v>
      </c>
    </row>
    <row r="713" spans="1:48">
      <c r="A713" t="s">
        <v>3335</v>
      </c>
      <c r="B713" t="s">
        <v>3336</v>
      </c>
      <c r="C713" t="s">
        <v>3298</v>
      </c>
      <c r="D713" t="s">
        <v>3337</v>
      </c>
      <c r="E713" t="s">
        <v>377</v>
      </c>
      <c r="F713" t="s">
        <v>117</v>
      </c>
      <c r="G713" t="s">
        <v>51</v>
      </c>
      <c r="H713" t="s">
        <v>130</v>
      </c>
      <c r="I713" t="s">
        <v>131</v>
      </c>
      <c r="J713" t="s">
        <v>95</v>
      </c>
      <c r="K713" t="s">
        <v>393</v>
      </c>
      <c r="L713" t="s">
        <v>3338</v>
      </c>
      <c r="M713" t="s">
        <v>65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146</v>
      </c>
      <c r="U713" t="s">
        <v>134</v>
      </c>
      <c r="W713" t="s">
        <v>3335</v>
      </c>
      <c r="X713" t="str">
        <v>02-02-25</v>
      </c>
      <c r="Y713" t="str">
        <v>02-02-25</v>
      </c>
      <c r="Z713" t="s">
        <v>3337</v>
      </c>
      <c r="AA713" t="str">
        <v>Kabir Singh</v>
      </c>
      <c r="AB713" t="str">
        <f>TRIM(PROPER(F:F))</f>
        <v>Corporate</v>
      </c>
      <c r="AC713" t="str">
        <f>TRIM(PROPER(G:G))</f>
        <v>East</v>
      </c>
      <c r="AD713" t="str">
        <f>TRIM(PROPER(H:H))</f>
        <v>West Bengal</v>
      </c>
      <c r="AE713" t="str">
        <f>TRIM(PROPER(I:I))</f>
        <v>Kolkata</v>
      </c>
      <c r="AF713" t="str">
        <f t="shared" si="20"/>
        <v>Technology</v>
      </c>
      <c r="AG713" t="str">
        <f t="shared" si="20"/>
        <v>Machines</v>
      </c>
      <c r="AH713" t="str">
        <f t="shared" si="20"/>
        <v>Basic Machines 172</v>
      </c>
      <c r="AI713" t="str">
        <f t="shared" si="20"/>
        <v>First Class</v>
      </c>
      <c r="AJ713" s="3" t="str">
        <f t="shared" si="21"/>
        <v xml:space="preserve">  </v>
      </c>
      <c r="AK713">
        <f>IFERROR(Y713-X713, "invalid date")</f>
        <v>0</v>
      </c>
      <c r="AL713" s="10">
        <v>0.05</v>
      </c>
      <c r="AM713" s="11">
        <v>4110.4124999999995</v>
      </c>
      <c r="AN713" s="11">
        <v>1716.2724999999996</v>
      </c>
      <c r="AO713" s="10">
        <v>0.41754264322619683</v>
      </c>
      <c r="AP713" t="s">
        <v>4665</v>
      </c>
      <c r="AQ713" t="s">
        <v>4665</v>
      </c>
      <c r="AR713" t="s">
        <v>4129</v>
      </c>
      <c r="AS713" t="s">
        <v>4120</v>
      </c>
      <c r="AT713" t="s">
        <v>4115</v>
      </c>
      <c r="AU713">
        <v>0</v>
      </c>
      <c r="AV713" t="s">
        <v>4109</v>
      </c>
    </row>
    <row r="714" spans="1:48">
      <c r="A714" t="s">
        <v>3339</v>
      </c>
      <c r="B714" t="s">
        <v>2138</v>
      </c>
      <c r="C714" t="s">
        <v>3340</v>
      </c>
      <c r="D714" t="s">
        <v>3341</v>
      </c>
      <c r="E714" t="s">
        <v>62</v>
      </c>
      <c r="F714" t="s">
        <v>124</v>
      </c>
      <c r="G714" t="s">
        <v>82</v>
      </c>
      <c r="H714" t="s">
        <v>93</v>
      </c>
      <c r="I714" t="s">
        <v>94</v>
      </c>
      <c r="J714" t="s">
        <v>54</v>
      </c>
      <c r="K714" t="s">
        <v>85</v>
      </c>
      <c r="L714" t="s">
        <v>3342</v>
      </c>
      <c r="M714" t="s">
        <v>65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43</v>
      </c>
      <c r="U714" t="s">
        <v>44</v>
      </c>
      <c r="W714" t="s">
        <v>3339</v>
      </c>
      <c r="X714" t="str">
        <v>10-02-24</v>
      </c>
      <c r="Y714" t="str">
        <v>18-02-24</v>
      </c>
      <c r="Z714" t="s">
        <v>3341</v>
      </c>
      <c r="AA714" t="str">
        <v>Isha Nair</v>
      </c>
      <c r="AB714" t="str">
        <f>TRIM(PROPER(F:F))</f>
        <v>Home Office</v>
      </c>
      <c r="AC714" t="str">
        <f>TRIM(PROPER(G:G))</f>
        <v>West</v>
      </c>
      <c r="AD714" t="str">
        <f>TRIM(PROPER(H:H))</f>
        <v>Madhya Pradesh</v>
      </c>
      <c r="AE714" t="str">
        <f>TRIM(PROPER(I:I))</f>
        <v>Indore</v>
      </c>
      <c r="AF714" t="str">
        <f t="shared" si="20"/>
        <v>Furniture</v>
      </c>
      <c r="AG714" t="str">
        <f t="shared" si="20"/>
        <v>Chairs</v>
      </c>
      <c r="AH714" t="str">
        <f t="shared" si="20"/>
        <v>Smart Chairs 259</v>
      </c>
      <c r="AI714" t="str">
        <f t="shared" si="20"/>
        <v>First Class</v>
      </c>
      <c r="AJ714" s="3" t="str">
        <f t="shared" si="21"/>
        <v>anomaly</v>
      </c>
      <c r="AK714">
        <f>IFERROR(Y714-X714, "invalid date")</f>
        <v>8</v>
      </c>
      <c r="AL714" s="10">
        <v>0</v>
      </c>
      <c r="AM714" s="11">
        <v>9680.0199999999986</v>
      </c>
      <c r="AN714" s="11">
        <v>2803.3599999999988</v>
      </c>
      <c r="AO714" s="10">
        <v>0.28960270743242256</v>
      </c>
      <c r="AP714" t="s">
        <v>4444</v>
      </c>
      <c r="AQ714" t="s">
        <v>4555</v>
      </c>
      <c r="AR714" t="s">
        <v>4129</v>
      </c>
      <c r="AS714" t="s">
        <v>4107</v>
      </c>
      <c r="AT714" t="s">
        <v>4115</v>
      </c>
      <c r="AU714">
        <v>8</v>
      </c>
      <c r="AV714" t="s">
        <v>4109</v>
      </c>
    </row>
    <row r="715" spans="1:48">
      <c r="A715" t="s">
        <v>3343</v>
      </c>
      <c r="B715" t="s">
        <v>3344</v>
      </c>
      <c r="C715" t="s">
        <v>3191</v>
      </c>
      <c r="D715" t="s">
        <v>913</v>
      </c>
      <c r="E715" t="s">
        <v>49</v>
      </c>
      <c r="F715" t="s">
        <v>35</v>
      </c>
      <c r="G715" t="s">
        <v>82</v>
      </c>
      <c r="H715" t="s">
        <v>37</v>
      </c>
      <c r="I715" t="s">
        <v>144</v>
      </c>
      <c r="J715" t="s">
        <v>95</v>
      </c>
      <c r="K715" t="s">
        <v>393</v>
      </c>
      <c r="L715" t="s">
        <v>3345</v>
      </c>
      <c r="M715" t="s">
        <v>42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43</v>
      </c>
      <c r="U715" t="s">
        <v>44</v>
      </c>
      <c r="W715" t="s">
        <v>3343</v>
      </c>
      <c r="X715" t="str">
        <v>06-06-25</v>
      </c>
      <c r="Y715" t="str">
        <v>06-10-25</v>
      </c>
      <c r="Z715" t="s">
        <v>913</v>
      </c>
      <c r="AA715" t="str">
        <v>Mira Das</v>
      </c>
      <c r="AB715" t="str">
        <f>TRIM(PROPER(F:F))</f>
        <v>Consumer</v>
      </c>
      <c r="AC715" t="str">
        <f>TRIM(PROPER(G:G))</f>
        <v>West</v>
      </c>
      <c r="AD715" t="str">
        <f>TRIM(PROPER(H:H))</f>
        <v>Rajasthan</v>
      </c>
      <c r="AE715" t="str">
        <f>TRIM(PROPER(I:I))</f>
        <v>Udaipur</v>
      </c>
      <c r="AF715" t="str">
        <f t="shared" si="20"/>
        <v>Technology</v>
      </c>
      <c r="AG715" t="str">
        <f t="shared" si="20"/>
        <v>Machines</v>
      </c>
      <c r="AH715" t="str">
        <f t="shared" si="20"/>
        <v>Pro Machines 987</v>
      </c>
      <c r="AI715" t="str">
        <f t="shared" si="20"/>
        <v>Second Class</v>
      </c>
      <c r="AJ715" s="3" t="str">
        <f t="shared" si="21"/>
        <v>anomaly</v>
      </c>
      <c r="AK715">
        <f>IFERROR(Y715-X715, "invalid date")</f>
        <v>122</v>
      </c>
      <c r="AL715" s="10">
        <v>0.25</v>
      </c>
      <c r="AM715" s="11">
        <v>217.47750000000002</v>
      </c>
      <c r="AN715" s="11">
        <v>85.347500000000025</v>
      </c>
      <c r="AO715" s="10">
        <v>0.39244289639158081</v>
      </c>
      <c r="AP715" t="s">
        <v>4531</v>
      </c>
      <c r="AQ715" t="s">
        <v>4568</v>
      </c>
      <c r="AR715" t="s">
        <v>4170</v>
      </c>
      <c r="AS715" t="s">
        <v>4120</v>
      </c>
      <c r="AT715" t="s">
        <v>4115</v>
      </c>
      <c r="AU715">
        <v>122</v>
      </c>
      <c r="AV715" t="s">
        <v>4109</v>
      </c>
    </row>
    <row r="716" spans="1:48">
      <c r="A716" t="s">
        <v>3346</v>
      </c>
      <c r="B716" t="s">
        <v>2124</v>
      </c>
      <c r="C716" t="s">
        <v>2240</v>
      </c>
      <c r="D716" t="s">
        <v>3347</v>
      </c>
      <c r="E716" t="s">
        <v>34</v>
      </c>
      <c r="F716" t="s">
        <v>124</v>
      </c>
      <c r="G716" t="s">
        <v>36</v>
      </c>
      <c r="H716" t="s">
        <v>517</v>
      </c>
      <c r="I716" t="s">
        <v>518</v>
      </c>
      <c r="J716" t="s">
        <v>95</v>
      </c>
      <c r="K716" t="s">
        <v>103</v>
      </c>
      <c r="L716" t="s">
        <v>3348</v>
      </c>
      <c r="M716" t="s">
        <v>76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43</v>
      </c>
      <c r="U716" t="s">
        <v>44</v>
      </c>
      <c r="W716" t="s">
        <v>3346</v>
      </c>
      <c r="X716" t="str">
        <v>22-03-25</v>
      </c>
      <c r="Y716" t="str">
        <v>23-03-25</v>
      </c>
      <c r="Z716" t="s">
        <v>3347</v>
      </c>
      <c r="AA716" t="str">
        <v>Karan Malhotra</v>
      </c>
      <c r="AB716" t="str">
        <f>TRIM(PROPER(F:F))</f>
        <v>Home Office</v>
      </c>
      <c r="AC716" t="str">
        <f>TRIM(PROPER(G:G))</f>
        <v>North</v>
      </c>
      <c r="AD716" t="str">
        <f>TRIM(PROPER(H:H))</f>
        <v>Delhi</v>
      </c>
      <c r="AE716" t="str">
        <f>TRIM(PROPER(I:I))</f>
        <v>New Delhi</v>
      </c>
      <c r="AF716" t="str">
        <f t="shared" si="20"/>
        <v>Technology</v>
      </c>
      <c r="AG716" t="str">
        <f t="shared" si="20"/>
        <v>Copiers</v>
      </c>
      <c r="AH716" t="str">
        <f t="shared" si="20"/>
        <v>Pro Copiers 206</v>
      </c>
      <c r="AI716" t="str">
        <f t="shared" si="20"/>
        <v>Standard Class</v>
      </c>
      <c r="AJ716" s="3" t="str">
        <f t="shared" si="21"/>
        <v>anomaly</v>
      </c>
      <c r="AK716">
        <f>IFERROR(Y716-X716, "invalid date")</f>
        <v>1</v>
      </c>
      <c r="AL716" s="10">
        <v>0</v>
      </c>
      <c r="AM716" s="11">
        <v>18675.18</v>
      </c>
      <c r="AN716" s="11">
        <v>4700.4799999999996</v>
      </c>
      <c r="AO716" s="10">
        <v>0.25169663692665878</v>
      </c>
      <c r="AP716" t="s">
        <v>4550</v>
      </c>
      <c r="AQ716" t="s">
        <v>4565</v>
      </c>
      <c r="AR716" t="s">
        <v>4159</v>
      </c>
      <c r="AS716" t="s">
        <v>4120</v>
      </c>
      <c r="AT716" t="s">
        <v>4115</v>
      </c>
      <c r="AU716">
        <v>1</v>
      </c>
      <c r="AV716" t="s">
        <v>4109</v>
      </c>
    </row>
    <row r="717" spans="1:48">
      <c r="A717" t="s">
        <v>3349</v>
      </c>
      <c r="B717" t="s">
        <v>465</v>
      </c>
      <c r="C717" t="s">
        <v>466</v>
      </c>
      <c r="D717" t="s">
        <v>3350</v>
      </c>
      <c r="E717" t="s">
        <v>151</v>
      </c>
      <c r="F717" t="s">
        <v>35</v>
      </c>
      <c r="G717" t="s">
        <v>36</v>
      </c>
      <c r="H717" t="s">
        <v>334</v>
      </c>
      <c r="I717" t="s">
        <v>335</v>
      </c>
      <c r="J717" t="s">
        <v>54</v>
      </c>
      <c r="K717" t="s">
        <v>85</v>
      </c>
      <c r="L717" t="s">
        <v>3351</v>
      </c>
      <c r="M717" t="s">
        <v>42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133</v>
      </c>
      <c r="U717" t="s">
        <v>87</v>
      </c>
      <c r="W717" t="s">
        <v>3349</v>
      </c>
      <c r="X717" t="str">
        <v>22-08-25</v>
      </c>
      <c r="Y717" t="str">
        <v>27-08-25</v>
      </c>
      <c r="Z717" t="s">
        <v>3350</v>
      </c>
      <c r="AA717" t="str">
        <v>Priya Menon</v>
      </c>
      <c r="AB717" t="str">
        <f>TRIM(PROPER(F:F))</f>
        <v>Consumer</v>
      </c>
      <c r="AC717" t="str">
        <f>TRIM(PROPER(G:G))</f>
        <v>North</v>
      </c>
      <c r="AD717" t="str">
        <f>TRIM(PROPER(H:H))</f>
        <v>Haryana</v>
      </c>
      <c r="AE717" t="str">
        <f>TRIM(PROPER(I:I))</f>
        <v>Gurugram</v>
      </c>
      <c r="AF717" t="str">
        <f t="shared" si="20"/>
        <v>Furniture</v>
      </c>
      <c r="AG717" t="str">
        <f t="shared" si="20"/>
        <v>Chairs</v>
      </c>
      <c r="AH717" t="str">
        <f t="shared" si="20"/>
        <v>Max Chairs 372</v>
      </c>
      <c r="AI717" t="str">
        <f t="shared" si="20"/>
        <v>Second Class</v>
      </c>
      <c r="AJ717" s="3" t="str">
        <f t="shared" si="21"/>
        <v>anomaly</v>
      </c>
      <c r="AK717">
        <f>IFERROR(Y717-X717, "invalid date")</f>
        <v>5</v>
      </c>
      <c r="AL717" s="10">
        <v>0</v>
      </c>
      <c r="AM717" s="11">
        <v>19901.63</v>
      </c>
      <c r="AN717" s="11">
        <v>4409.6000000000004</v>
      </c>
      <c r="AO717" s="10">
        <v>0.22156979101711771</v>
      </c>
      <c r="AP717" t="s">
        <v>4229</v>
      </c>
      <c r="AQ717" t="s">
        <v>4230</v>
      </c>
      <c r="AR717" t="s">
        <v>4114</v>
      </c>
      <c r="AS717" t="s">
        <v>4120</v>
      </c>
      <c r="AT717" t="s">
        <v>4115</v>
      </c>
      <c r="AU717">
        <v>5</v>
      </c>
      <c r="AV717" t="s">
        <v>4109</v>
      </c>
    </row>
    <row r="718" spans="1:48">
      <c r="A718" t="s">
        <v>3352</v>
      </c>
      <c r="B718" t="s">
        <v>3353</v>
      </c>
      <c r="C718" t="s">
        <v>212</v>
      </c>
      <c r="D718" t="s">
        <v>3354</v>
      </c>
      <c r="E718" t="s">
        <v>220</v>
      </c>
      <c r="F718" t="s">
        <v>50</v>
      </c>
      <c r="G718" t="s">
        <v>36</v>
      </c>
      <c r="H718" t="s">
        <v>334</v>
      </c>
      <c r="I718" t="s">
        <v>335</v>
      </c>
      <c r="J718" t="s">
        <v>95</v>
      </c>
      <c r="K718" t="s">
        <v>233</v>
      </c>
      <c r="L718" t="s">
        <v>3355</v>
      </c>
      <c r="M718" t="s">
        <v>65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43</v>
      </c>
      <c r="U718" t="s">
        <v>44</v>
      </c>
      <c r="W718" t="s">
        <v>3352</v>
      </c>
      <c r="X718" t="str">
        <v>26-08-25</v>
      </c>
      <c r="Y718" t="str">
        <v>31-08-25</v>
      </c>
      <c r="Z718" t="s">
        <v>3354</v>
      </c>
      <c r="AA718" t="str">
        <v>Diya Patel</v>
      </c>
      <c r="AB718" t="str">
        <f>TRIM(PROPER(F:F))</f>
        <v>Small Business</v>
      </c>
      <c r="AC718" t="str">
        <f>TRIM(PROPER(G:G))</f>
        <v>North</v>
      </c>
      <c r="AD718" t="str">
        <f>TRIM(PROPER(H:H))</f>
        <v>Haryana</v>
      </c>
      <c r="AE718" t="str">
        <f>TRIM(PROPER(I:I))</f>
        <v>Gurugram</v>
      </c>
      <c r="AF718" t="str">
        <f t="shared" si="20"/>
        <v>Technology</v>
      </c>
      <c r="AG718" t="str">
        <f t="shared" si="20"/>
        <v>Phones</v>
      </c>
      <c r="AH718" t="str">
        <f t="shared" si="20"/>
        <v>Basic Phones 496</v>
      </c>
      <c r="AI718" t="str">
        <f t="shared" si="20"/>
        <v>First Class</v>
      </c>
      <c r="AJ718" s="3" t="str">
        <f t="shared" si="21"/>
        <v>anomaly</v>
      </c>
      <c r="AK718">
        <f>IFERROR(Y718-X718, "invalid date")</f>
        <v>5</v>
      </c>
      <c r="AL718" s="10">
        <v>0.15</v>
      </c>
      <c r="AM718" s="11">
        <v>2879.817</v>
      </c>
      <c r="AN718" s="11">
        <v>1054.9369999999999</v>
      </c>
      <c r="AO718" s="10">
        <v>0.3663208460815392</v>
      </c>
      <c r="AP718" t="s">
        <v>4449</v>
      </c>
      <c r="AQ718" t="s">
        <v>4156</v>
      </c>
      <c r="AR718" t="s">
        <v>4114</v>
      </c>
      <c r="AS718" t="s">
        <v>4120</v>
      </c>
      <c r="AT718" t="s">
        <v>4115</v>
      </c>
      <c r="AU718">
        <v>5</v>
      </c>
      <c r="AV718" t="s">
        <v>4109</v>
      </c>
    </row>
    <row r="719" spans="1:48">
      <c r="A719" t="s">
        <v>3356</v>
      </c>
      <c r="B719" t="s">
        <v>3357</v>
      </c>
      <c r="C719" t="s">
        <v>320</v>
      </c>
      <c r="D719" t="s">
        <v>3358</v>
      </c>
      <c r="E719" t="s">
        <v>377</v>
      </c>
      <c r="F719" t="s">
        <v>50</v>
      </c>
      <c r="G719" t="s">
        <v>36</v>
      </c>
      <c r="H719" t="s">
        <v>334</v>
      </c>
      <c r="I719" t="s">
        <v>335</v>
      </c>
      <c r="J719" t="s">
        <v>95</v>
      </c>
      <c r="K719" t="s">
        <v>393</v>
      </c>
      <c r="L719" t="s">
        <v>3359</v>
      </c>
      <c r="M719" t="s">
        <v>76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146</v>
      </c>
      <c r="U719" t="s">
        <v>87</v>
      </c>
      <c r="W719" t="s">
        <v>3356</v>
      </c>
      <c r="X719" t="str">
        <v>12-10-25</v>
      </c>
      <c r="Y719" t="str">
        <v>15-10-25</v>
      </c>
      <c r="Z719" t="s">
        <v>3358</v>
      </c>
      <c r="AA719" t="str">
        <v>Kabir Singh</v>
      </c>
      <c r="AB719" t="str">
        <f>TRIM(PROPER(F:F))</f>
        <v>Small Business</v>
      </c>
      <c r="AC719" t="str">
        <f>TRIM(PROPER(G:G))</f>
        <v>North</v>
      </c>
      <c r="AD719" t="str">
        <f>TRIM(PROPER(H:H))</f>
        <v>Haryana</v>
      </c>
      <c r="AE719" t="str">
        <f>TRIM(PROPER(I:I))</f>
        <v>Gurugram</v>
      </c>
      <c r="AF719" t="str">
        <f t="shared" si="20"/>
        <v>Technology</v>
      </c>
      <c r="AG719" t="str">
        <f t="shared" si="20"/>
        <v>Machines</v>
      </c>
      <c r="AH719" t="str">
        <f t="shared" si="20"/>
        <v>Prime Machines 612</v>
      </c>
      <c r="AI719" t="str">
        <f t="shared" si="20"/>
        <v>Standard Class</v>
      </c>
      <c r="AJ719" s="3" t="str">
        <f t="shared" si="21"/>
        <v>anomaly</v>
      </c>
      <c r="AK719">
        <f>IFERROR(Y719-X719, "invalid date")</f>
        <v>3</v>
      </c>
      <c r="AL719" s="10">
        <v>0.2</v>
      </c>
      <c r="AM719" s="11">
        <v>18712.223999999998</v>
      </c>
      <c r="AN719" s="11">
        <v>6860.003999999999</v>
      </c>
      <c r="AO719" s="10">
        <v>0.3666054874075898</v>
      </c>
      <c r="AP719" t="s">
        <v>4140</v>
      </c>
      <c r="AQ719" t="s">
        <v>4189</v>
      </c>
      <c r="AR719" t="s">
        <v>4126</v>
      </c>
      <c r="AS719" t="s">
        <v>4120</v>
      </c>
      <c r="AT719" t="s">
        <v>4115</v>
      </c>
      <c r="AU719">
        <v>3</v>
      </c>
      <c r="AV719" t="s">
        <v>4109</v>
      </c>
    </row>
    <row r="720" spans="1:48">
      <c r="A720" t="s">
        <v>3360</v>
      </c>
      <c r="B720" t="s">
        <v>3361</v>
      </c>
      <c r="C720" t="s">
        <v>886</v>
      </c>
      <c r="D720" t="s">
        <v>3362</v>
      </c>
      <c r="E720" t="s">
        <v>49</v>
      </c>
      <c r="F720" t="s">
        <v>35</v>
      </c>
      <c r="G720" t="s">
        <v>82</v>
      </c>
      <c r="H720" t="s">
        <v>83</v>
      </c>
      <c r="I720" t="s">
        <v>84</v>
      </c>
      <c r="J720" t="s">
        <v>39</v>
      </c>
      <c r="K720" t="s">
        <v>63</v>
      </c>
      <c r="L720" t="s">
        <v>3363</v>
      </c>
      <c r="M720" t="s">
        <v>57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43</v>
      </c>
      <c r="U720" t="s">
        <v>44</v>
      </c>
      <c r="W720" t="s">
        <v>3360</v>
      </c>
      <c r="X720" t="str">
        <v>06-09-24</v>
      </c>
      <c r="Y720" t="str">
        <v>09-09-24</v>
      </c>
      <c r="Z720" t="s">
        <v>3362</v>
      </c>
      <c r="AA720" t="str">
        <v>Mira Das</v>
      </c>
      <c r="AB720" t="str">
        <f>TRIM(PROPER(F:F))</f>
        <v>Consumer</v>
      </c>
      <c r="AC720" t="str">
        <f>TRIM(PROPER(G:G))</f>
        <v>West</v>
      </c>
      <c r="AD720" t="str">
        <f>TRIM(PROPER(H:H))</f>
        <v>Maharashtra</v>
      </c>
      <c r="AE720" t="str">
        <f>TRIM(PROPER(I:I))</f>
        <v>Mumbai</v>
      </c>
      <c r="AF720" t="str">
        <f t="shared" si="20"/>
        <v>Office Supplies</v>
      </c>
      <c r="AG720" t="str">
        <f t="shared" si="20"/>
        <v>Art</v>
      </c>
      <c r="AH720" t="str">
        <f t="shared" si="20"/>
        <v>Smart Art 866</v>
      </c>
      <c r="AI720" t="str">
        <f t="shared" si="20"/>
        <v>Same Day</v>
      </c>
      <c r="AJ720" s="3" t="str">
        <f t="shared" si="21"/>
        <v>anomaly</v>
      </c>
      <c r="AK720">
        <f>IFERROR(Y720-X720, "invalid date")</f>
        <v>3</v>
      </c>
      <c r="AL720" s="10">
        <v>0.2</v>
      </c>
      <c r="AM720" s="11">
        <v>4733.4479999999994</v>
      </c>
      <c r="AN720" s="11">
        <v>1061.1279999999992</v>
      </c>
      <c r="AO720" s="10">
        <v>0.22417654107534282</v>
      </c>
      <c r="AP720" t="s">
        <v>4577</v>
      </c>
      <c r="AQ720" t="s">
        <v>4260</v>
      </c>
      <c r="AR720" t="s">
        <v>4134</v>
      </c>
      <c r="AS720" t="s">
        <v>4107</v>
      </c>
      <c r="AT720" t="s">
        <v>4115</v>
      </c>
      <c r="AU720">
        <v>3</v>
      </c>
      <c r="AV720" t="s">
        <v>4109</v>
      </c>
    </row>
    <row r="721" spans="1:48">
      <c r="A721" t="s">
        <v>3364</v>
      </c>
      <c r="B721" t="s">
        <v>1733</v>
      </c>
      <c r="C721" t="s">
        <v>1734</v>
      </c>
      <c r="D721" t="s">
        <v>195</v>
      </c>
      <c r="E721" t="s">
        <v>377</v>
      </c>
      <c r="F721" t="s">
        <v>117</v>
      </c>
      <c r="G721" t="s">
        <v>82</v>
      </c>
      <c r="H721" t="s">
        <v>245</v>
      </c>
      <c r="I721" t="s">
        <v>246</v>
      </c>
      <c r="J721" t="s">
        <v>39</v>
      </c>
      <c r="K721" t="s">
        <v>63</v>
      </c>
      <c r="L721" t="s">
        <v>3365</v>
      </c>
      <c r="M721" t="s">
        <v>57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43</v>
      </c>
      <c r="U721" t="s">
        <v>44</v>
      </c>
      <c r="W721" t="s">
        <v>3364</v>
      </c>
      <c r="X721" t="str">
        <v>08-09-25</v>
      </c>
      <c r="Y721" t="str">
        <v>09-09-25</v>
      </c>
      <c r="Z721" t="s">
        <v>195</v>
      </c>
      <c r="AA721" t="str">
        <v>Kabir Singh</v>
      </c>
      <c r="AB721" t="str">
        <f>TRIM(PROPER(F:F))</f>
        <v>Corporate</v>
      </c>
      <c r="AC721" t="str">
        <f>TRIM(PROPER(G:G))</f>
        <v>West</v>
      </c>
      <c r="AD721" t="str">
        <f>TRIM(PROPER(H:H))</f>
        <v>Gujarat</v>
      </c>
      <c r="AE721" t="str">
        <f>TRIM(PROPER(I:I))</f>
        <v>Ahmedabad</v>
      </c>
      <c r="AF721" t="str">
        <f t="shared" si="20"/>
        <v>Office Supplies</v>
      </c>
      <c r="AG721" t="str">
        <f t="shared" si="20"/>
        <v>Art</v>
      </c>
      <c r="AH721" t="str">
        <f t="shared" si="20"/>
        <v>Pro Art 447</v>
      </c>
      <c r="AI721" t="str">
        <f t="shared" si="20"/>
        <v>Same Day</v>
      </c>
      <c r="AJ721" s="3" t="str">
        <f t="shared" si="21"/>
        <v>anomaly</v>
      </c>
      <c r="AK721">
        <f>IFERROR(Y721-X721, "invalid date")</f>
        <v>1</v>
      </c>
      <c r="AL721" s="10">
        <v>0.2</v>
      </c>
      <c r="AM721" s="11">
        <v>3795.8559999999998</v>
      </c>
      <c r="AN721" s="11">
        <v>1530.9359999999997</v>
      </c>
      <c r="AO721" s="10">
        <v>0.40331772332775528</v>
      </c>
      <c r="AP721" t="s">
        <v>4488</v>
      </c>
      <c r="AQ721" t="s">
        <v>4338</v>
      </c>
      <c r="AR721" t="s">
        <v>4134</v>
      </c>
      <c r="AS721" t="s">
        <v>4120</v>
      </c>
      <c r="AT721" t="s">
        <v>4115</v>
      </c>
      <c r="AU721">
        <v>1</v>
      </c>
      <c r="AV721" t="s">
        <v>4109</v>
      </c>
    </row>
    <row r="722" spans="1:48">
      <c r="A722" t="s">
        <v>3366</v>
      </c>
      <c r="B722" t="s">
        <v>1119</v>
      </c>
      <c r="C722" t="s">
        <v>3367</v>
      </c>
      <c r="D722" t="s">
        <v>3368</v>
      </c>
      <c r="E722" t="s">
        <v>116</v>
      </c>
      <c r="F722" t="s">
        <v>124</v>
      </c>
      <c r="G722" t="s">
        <v>82</v>
      </c>
      <c r="H722" t="s">
        <v>93</v>
      </c>
      <c r="I722" t="s">
        <v>94</v>
      </c>
      <c r="J722" t="s">
        <v>95</v>
      </c>
      <c r="K722" t="s">
        <v>103</v>
      </c>
      <c r="L722" t="s">
        <v>3369</v>
      </c>
      <c r="M722" t="s">
        <v>57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43</v>
      </c>
      <c r="U722" t="s">
        <v>44</v>
      </c>
      <c r="W722" t="s">
        <v>3366</v>
      </c>
      <c r="X722" t="str">
        <v>16-07-24</v>
      </c>
      <c r="Y722" t="str">
        <v>invalid date</v>
      </c>
      <c r="Z722" t="s">
        <v>3368</v>
      </c>
      <c r="AA722" t="str">
        <v>Aditi Sen</v>
      </c>
      <c r="AB722" t="str">
        <f>TRIM(PROPER(F:F))</f>
        <v>Home Office</v>
      </c>
      <c r="AC722" t="str">
        <f>TRIM(PROPER(G:G))</f>
        <v>West</v>
      </c>
      <c r="AD722" t="str">
        <f>TRIM(PROPER(H:H))</f>
        <v>Madhya Pradesh</v>
      </c>
      <c r="AE722" t="str">
        <f>TRIM(PROPER(I:I))</f>
        <v>Indore</v>
      </c>
      <c r="AF722" t="str">
        <f t="shared" si="20"/>
        <v>Technology</v>
      </c>
      <c r="AG722" t="str">
        <f t="shared" si="20"/>
        <v>Copiers</v>
      </c>
      <c r="AH722" t="str">
        <f t="shared" si="20"/>
        <v>Smart Copiers 196</v>
      </c>
      <c r="AI722" t="str">
        <f t="shared" si="20"/>
        <v>Same Day</v>
      </c>
      <c r="AJ722" s="3" t="str">
        <f t="shared" si="21"/>
        <v>Invalid</v>
      </c>
      <c r="AK722" t="str">
        <f>IFERROR(Y722-X722, "invalid date")</f>
        <v>invalid date</v>
      </c>
      <c r="AL722" s="10">
        <v>0.15</v>
      </c>
      <c r="AM722" s="11">
        <v>15231.727999999999</v>
      </c>
      <c r="AN722" s="11">
        <v>2780.268</v>
      </c>
      <c r="AO722" s="10">
        <v>0.1825313582280356</v>
      </c>
      <c r="AP722" t="s">
        <v>4379</v>
      </c>
      <c r="AQ722" t="s">
        <v>4105</v>
      </c>
      <c r="AR722" t="s">
        <v>4106</v>
      </c>
      <c r="AS722" t="s">
        <v>4107</v>
      </c>
      <c r="AT722" t="s">
        <v>4108</v>
      </c>
      <c r="AU722" t="s">
        <v>4105</v>
      </c>
      <c r="AV722" t="s">
        <v>4109</v>
      </c>
    </row>
    <row r="723" spans="1:48">
      <c r="A723" t="s">
        <v>3370</v>
      </c>
      <c r="B723" t="s">
        <v>264</v>
      </c>
      <c r="C723" t="s">
        <v>3371</v>
      </c>
      <c r="D723" t="s">
        <v>3372</v>
      </c>
      <c r="E723" t="s">
        <v>177</v>
      </c>
      <c r="F723" t="s">
        <v>35</v>
      </c>
      <c r="G723" t="s">
        <v>71</v>
      </c>
      <c r="H723" t="s">
        <v>239</v>
      </c>
      <c r="I723" t="s">
        <v>240</v>
      </c>
      <c r="J723" t="s">
        <v>95</v>
      </c>
      <c r="K723" t="s">
        <v>103</v>
      </c>
      <c r="L723" t="s">
        <v>3373</v>
      </c>
      <c r="M723" t="s">
        <v>65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43</v>
      </c>
      <c r="U723" t="s">
        <v>44</v>
      </c>
      <c r="W723" t="s">
        <v>3370</v>
      </c>
      <c r="X723" t="str">
        <v>19-06-25</v>
      </c>
      <c r="Y723" t="str">
        <v>23-06-25</v>
      </c>
      <c r="Z723" t="s">
        <v>3372</v>
      </c>
      <c r="AA723" t="str">
        <v>Sneha Kapoor</v>
      </c>
      <c r="AB723" t="str">
        <f>TRIM(PROPER(F:F))</f>
        <v>Consumer</v>
      </c>
      <c r="AC723" t="str">
        <f>TRIM(PROPER(G:G))</f>
        <v>South</v>
      </c>
      <c r="AD723" t="str">
        <f>TRIM(PROPER(H:H))</f>
        <v>Karnataka</v>
      </c>
      <c r="AE723" t="str">
        <f>TRIM(PROPER(I:I))</f>
        <v>Bengaluru</v>
      </c>
      <c r="AF723" t="str">
        <f t="shared" si="20"/>
        <v>Technology</v>
      </c>
      <c r="AG723" t="str">
        <f t="shared" si="20"/>
        <v>Copiers</v>
      </c>
      <c r="AH723" t="str">
        <f t="shared" si="20"/>
        <v>Pro Copiers 532</v>
      </c>
      <c r="AI723" t="str">
        <f t="shared" si="20"/>
        <v>First Class</v>
      </c>
      <c r="AJ723" s="3" t="str">
        <f t="shared" si="21"/>
        <v>anomaly</v>
      </c>
      <c r="AK723">
        <f>IFERROR(Y723-X723, "invalid date")</f>
        <v>4</v>
      </c>
      <c r="AL723" s="10">
        <v>0</v>
      </c>
      <c r="AM723" s="11">
        <v>13649.75</v>
      </c>
      <c r="AN723" s="11">
        <v>3361.7199999999993</v>
      </c>
      <c r="AO723" s="10">
        <v>0.24628436418249414</v>
      </c>
      <c r="AP723" t="s">
        <v>4169</v>
      </c>
      <c r="AQ723" t="s">
        <v>4676</v>
      </c>
      <c r="AR723" t="s">
        <v>4170</v>
      </c>
      <c r="AS723" t="s">
        <v>4120</v>
      </c>
      <c r="AT723" t="s">
        <v>4115</v>
      </c>
      <c r="AU723">
        <v>4</v>
      </c>
      <c r="AV723" t="s">
        <v>4109</v>
      </c>
    </row>
    <row r="724" spans="1:48">
      <c r="A724" t="s">
        <v>3374</v>
      </c>
      <c r="B724" t="s">
        <v>2566</v>
      </c>
      <c r="C724" t="s">
        <v>3375</v>
      </c>
      <c r="D724" t="s">
        <v>3376</v>
      </c>
      <c r="E724" t="s">
        <v>92</v>
      </c>
      <c r="F724" t="s">
        <v>35</v>
      </c>
      <c r="G724" t="s">
        <v>51</v>
      </c>
      <c r="H724" t="s">
        <v>130</v>
      </c>
      <c r="I724" t="s">
        <v>131</v>
      </c>
      <c r="J724" t="s">
        <v>54</v>
      </c>
      <c r="K724" t="s">
        <v>85</v>
      </c>
      <c r="L724" t="s">
        <v>3377</v>
      </c>
      <c r="M724" t="s">
        <v>42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133</v>
      </c>
      <c r="U724" t="s">
        <v>87</v>
      </c>
      <c r="W724" t="s">
        <v>3374</v>
      </c>
      <c r="X724" t="str">
        <v>07-10-24</v>
      </c>
      <c r="Y724" t="str">
        <v>10-10-24</v>
      </c>
      <c r="Z724" t="s">
        <v>3376</v>
      </c>
      <c r="AA724" t="str">
        <v>Vikram Iyer</v>
      </c>
      <c r="AB724" t="str">
        <f>TRIM(PROPER(F:F))</f>
        <v>Consumer</v>
      </c>
      <c r="AC724" t="str">
        <f>TRIM(PROPER(G:G))</f>
        <v>East</v>
      </c>
      <c r="AD724" t="str">
        <f>TRIM(PROPER(H:H))</f>
        <v>West Bengal</v>
      </c>
      <c r="AE724" t="str">
        <f>TRIM(PROPER(I:I))</f>
        <v>Kolkata</v>
      </c>
      <c r="AF724" t="str">
        <f t="shared" si="20"/>
        <v>Furniture</v>
      </c>
      <c r="AG724" t="str">
        <f t="shared" si="20"/>
        <v>Chairs</v>
      </c>
      <c r="AH724" t="str">
        <f t="shared" si="20"/>
        <v>Eco Chairs 442</v>
      </c>
      <c r="AI724" t="str">
        <f t="shared" si="20"/>
        <v>Second Class</v>
      </c>
      <c r="AJ724" s="3" t="str">
        <f t="shared" si="21"/>
        <v>anomaly</v>
      </c>
      <c r="AK724">
        <f>IFERROR(Y724-X724, "invalid date")</f>
        <v>3</v>
      </c>
      <c r="AL724" s="10">
        <v>0</v>
      </c>
      <c r="AM724" s="11">
        <v>4333.59</v>
      </c>
      <c r="AN724" s="11">
        <v>1800</v>
      </c>
      <c r="AO724" s="10">
        <v>0.41536001329152039</v>
      </c>
      <c r="AP724" t="s">
        <v>4600</v>
      </c>
      <c r="AQ724" t="s">
        <v>4184</v>
      </c>
      <c r="AR724" t="s">
        <v>4126</v>
      </c>
      <c r="AS724" t="s">
        <v>4107</v>
      </c>
      <c r="AT724" t="s">
        <v>4115</v>
      </c>
      <c r="AU724">
        <v>3</v>
      </c>
      <c r="AV724" t="s">
        <v>4109</v>
      </c>
    </row>
    <row r="725" spans="1:48">
      <c r="A725" t="s">
        <v>3378</v>
      </c>
      <c r="B725" t="s">
        <v>897</v>
      </c>
      <c r="C725" t="s">
        <v>3379</v>
      </c>
      <c r="D725" t="s">
        <v>3380</v>
      </c>
      <c r="E725" t="s">
        <v>377</v>
      </c>
      <c r="F725" t="s">
        <v>124</v>
      </c>
      <c r="G725" t="s">
        <v>51</v>
      </c>
      <c r="H725" t="s">
        <v>322</v>
      </c>
      <c r="I725" t="s">
        <v>323</v>
      </c>
      <c r="J725" t="s">
        <v>95</v>
      </c>
      <c r="K725" t="s">
        <v>96</v>
      </c>
      <c r="L725" t="s">
        <v>3381</v>
      </c>
      <c r="M725" t="s">
        <v>76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210</v>
      </c>
      <c r="U725" t="s">
        <v>134</v>
      </c>
      <c r="W725" t="s">
        <v>3378</v>
      </c>
      <c r="X725" t="str">
        <v>10-06-25</v>
      </c>
      <c r="Y725" t="str">
        <v>13-10-25</v>
      </c>
      <c r="Z725" t="s">
        <v>3380</v>
      </c>
      <c r="AA725" t="str">
        <v>Kabir Singh</v>
      </c>
      <c r="AB725" t="str">
        <f>TRIM(PROPER(F:F))</f>
        <v>Home Office</v>
      </c>
      <c r="AC725" t="str">
        <f>TRIM(PROPER(G:G))</f>
        <v>East</v>
      </c>
      <c r="AD725" t="str">
        <f>TRIM(PROPER(H:H))</f>
        <v>Jharkhand</v>
      </c>
      <c r="AE725" t="str">
        <f>TRIM(PROPER(I:I))</f>
        <v>Ranchi</v>
      </c>
      <c r="AF725" t="str">
        <f t="shared" si="20"/>
        <v>Technology</v>
      </c>
      <c r="AG725" t="str">
        <f t="shared" si="20"/>
        <v>Accessories</v>
      </c>
      <c r="AH725" t="str">
        <f t="shared" si="20"/>
        <v>Eco Accessories 364</v>
      </c>
      <c r="AI725" t="str">
        <f t="shared" si="20"/>
        <v>Standard Class</v>
      </c>
      <c r="AJ725" s="3" t="str">
        <f t="shared" si="21"/>
        <v>anomaly</v>
      </c>
      <c r="AK725">
        <f>IFERROR(Y725-X725, "invalid date")</f>
        <v>125</v>
      </c>
      <c r="AL725" s="10">
        <v>0.05</v>
      </c>
      <c r="AM725" s="11">
        <v>13634.000999999998</v>
      </c>
      <c r="AN725" s="11">
        <v>4044.1909999999989</v>
      </c>
      <c r="AO725" s="10">
        <v>0.29662539998346776</v>
      </c>
      <c r="AP725" t="s">
        <v>4334</v>
      </c>
      <c r="AQ725" t="s">
        <v>4615</v>
      </c>
      <c r="AR725" t="s">
        <v>4170</v>
      </c>
      <c r="AS725" t="s">
        <v>4120</v>
      </c>
      <c r="AT725" t="s">
        <v>4115</v>
      </c>
      <c r="AU725">
        <v>125</v>
      </c>
      <c r="AV725" t="s">
        <v>4109</v>
      </c>
    </row>
    <row r="726" spans="1:48">
      <c r="A726" t="s">
        <v>3382</v>
      </c>
      <c r="B726" t="s">
        <v>3383</v>
      </c>
      <c r="C726" t="s">
        <v>1620</v>
      </c>
      <c r="D726" t="s">
        <v>3384</v>
      </c>
      <c r="E726" t="s">
        <v>34</v>
      </c>
      <c r="F726" t="s">
        <v>35</v>
      </c>
      <c r="G726" t="s">
        <v>82</v>
      </c>
      <c r="H726" t="s">
        <v>259</v>
      </c>
      <c r="I726" t="s">
        <v>260</v>
      </c>
      <c r="J726" t="s">
        <v>54</v>
      </c>
      <c r="K726" t="s">
        <v>74</v>
      </c>
      <c r="L726" t="s">
        <v>3385</v>
      </c>
      <c r="M726" t="s">
        <v>42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43</v>
      </c>
      <c r="U726" t="s">
        <v>44</v>
      </c>
      <c r="W726" t="s">
        <v>3382</v>
      </c>
      <c r="X726" t="str">
        <v>02-10-24</v>
      </c>
      <c r="Y726" t="str">
        <v>16-02-24</v>
      </c>
      <c r="Z726" t="s">
        <v>3384</v>
      </c>
      <c r="AA726" t="str">
        <v>Karan Malhotra</v>
      </c>
      <c r="AB726" t="str">
        <f>TRIM(PROPER(F:F))</f>
        <v>Consumer</v>
      </c>
      <c r="AC726" t="str">
        <f>TRIM(PROPER(G:G))</f>
        <v>West</v>
      </c>
      <c r="AD726" t="str">
        <f>TRIM(PROPER(H:H))</f>
        <v>Goa</v>
      </c>
      <c r="AE726" t="str">
        <f>TRIM(PROPER(I:I))</f>
        <v>Panaji</v>
      </c>
      <c r="AF726" t="str">
        <f t="shared" si="20"/>
        <v>Furniture</v>
      </c>
      <c r="AG726" t="str">
        <f t="shared" si="20"/>
        <v>Furnishings</v>
      </c>
      <c r="AH726" t="str">
        <f t="shared" si="20"/>
        <v>Elite Furnishings 921</v>
      </c>
      <c r="AI726" t="str">
        <f t="shared" si="20"/>
        <v>Second Class</v>
      </c>
      <c r="AJ726" s="3" t="str">
        <f t="shared" si="21"/>
        <v>anomaly</v>
      </c>
      <c r="AK726">
        <f>IFERROR(Y726-X726, "invalid date")</f>
        <v>-229</v>
      </c>
      <c r="AL726" s="10">
        <v>0</v>
      </c>
      <c r="AM726" s="11">
        <v>760.29</v>
      </c>
      <c r="AN726" s="11">
        <v>262.52</v>
      </c>
      <c r="AO726" s="10">
        <v>0.34528929750489945</v>
      </c>
      <c r="AP726" t="s">
        <v>4647</v>
      </c>
      <c r="AQ726" t="s">
        <v>4465</v>
      </c>
      <c r="AR726" t="s">
        <v>4126</v>
      </c>
      <c r="AS726" t="s">
        <v>4107</v>
      </c>
      <c r="AT726" t="s">
        <v>4115</v>
      </c>
      <c r="AU726">
        <v>-229</v>
      </c>
      <c r="AV726" t="s">
        <v>4109</v>
      </c>
    </row>
    <row r="727" spans="1:48">
      <c r="A727" t="s">
        <v>3386</v>
      </c>
      <c r="B727" t="s">
        <v>3387</v>
      </c>
      <c r="C727" t="s">
        <v>148</v>
      </c>
      <c r="D727" t="s">
        <v>3388</v>
      </c>
      <c r="E727" t="s">
        <v>151</v>
      </c>
      <c r="F727" t="s">
        <v>117</v>
      </c>
      <c r="G727" t="s">
        <v>71</v>
      </c>
      <c r="H727" t="s">
        <v>239</v>
      </c>
      <c r="I727" t="s">
        <v>240</v>
      </c>
      <c r="J727" t="s">
        <v>54</v>
      </c>
      <c r="K727" t="s">
        <v>55</v>
      </c>
      <c r="L727" t="s">
        <v>3389</v>
      </c>
      <c r="M727" t="s">
        <v>42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43</v>
      </c>
      <c r="U727" t="s">
        <v>44</v>
      </c>
      <c r="W727" t="s">
        <v>3386</v>
      </c>
      <c r="X727" t="str">
        <v>10-05-25</v>
      </c>
      <c r="Y727" t="str">
        <v>12-10-25</v>
      </c>
      <c r="Z727" t="s">
        <v>3388</v>
      </c>
      <c r="AA727" t="str">
        <v>Priya Menon</v>
      </c>
      <c r="AB727" t="str">
        <f>TRIM(PROPER(F:F))</f>
        <v>Corporate</v>
      </c>
      <c r="AC727" t="str">
        <f>TRIM(PROPER(G:G))</f>
        <v>South</v>
      </c>
      <c r="AD727" t="str">
        <f>TRIM(PROPER(H:H))</f>
        <v>Karnataka</v>
      </c>
      <c r="AE727" t="str">
        <f>TRIM(PROPER(I:I))</f>
        <v>Bengaluru</v>
      </c>
      <c r="AF727" t="str">
        <f t="shared" si="20"/>
        <v>Furniture</v>
      </c>
      <c r="AG727" t="str">
        <f t="shared" si="20"/>
        <v>Tables</v>
      </c>
      <c r="AH727" t="str">
        <f t="shared" si="20"/>
        <v>Max Tables 309</v>
      </c>
      <c r="AI727" t="str">
        <f t="shared" si="20"/>
        <v>Second Class</v>
      </c>
      <c r="AJ727" s="3" t="str">
        <f t="shared" si="21"/>
        <v>anomaly</v>
      </c>
      <c r="AK727">
        <f>IFERROR(Y727-X727, "invalid date")</f>
        <v>155</v>
      </c>
      <c r="AL727" s="10">
        <v>0</v>
      </c>
      <c r="AM727" s="11">
        <v>14943.11</v>
      </c>
      <c r="AN727" s="11">
        <v>6421.6100000000006</v>
      </c>
      <c r="AO727" s="10">
        <v>0.42973718322357263</v>
      </c>
      <c r="AP727" t="s">
        <v>4432</v>
      </c>
      <c r="AQ727" t="s">
        <v>4140</v>
      </c>
      <c r="AR727" t="s">
        <v>4124</v>
      </c>
      <c r="AS727" t="s">
        <v>4120</v>
      </c>
      <c r="AT727" t="s">
        <v>4115</v>
      </c>
      <c r="AU727">
        <v>155</v>
      </c>
      <c r="AV727" t="s">
        <v>4109</v>
      </c>
    </row>
    <row r="728" spans="1:48">
      <c r="A728" t="s">
        <v>3390</v>
      </c>
      <c r="B728" t="s">
        <v>3391</v>
      </c>
      <c r="C728" t="s">
        <v>3392</v>
      </c>
      <c r="D728" t="s">
        <v>3393</v>
      </c>
      <c r="E728" t="s">
        <v>377</v>
      </c>
      <c r="F728" t="s">
        <v>124</v>
      </c>
      <c r="G728" t="s">
        <v>82</v>
      </c>
      <c r="H728" t="s">
        <v>245</v>
      </c>
      <c r="I728" t="s">
        <v>246</v>
      </c>
      <c r="J728" t="s">
        <v>95</v>
      </c>
      <c r="K728" t="s">
        <v>233</v>
      </c>
      <c r="L728" t="s">
        <v>3394</v>
      </c>
      <c r="M728" t="s">
        <v>76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146</v>
      </c>
      <c r="U728" t="s">
        <v>134</v>
      </c>
      <c r="W728" t="s">
        <v>3390</v>
      </c>
      <c r="X728" t="str">
        <v>17-01-24</v>
      </c>
      <c r="Y728" t="str">
        <v>invalid date</v>
      </c>
      <c r="Z728" t="s">
        <v>3393</v>
      </c>
      <c r="AA728" t="str">
        <v>Kabir Singh</v>
      </c>
      <c r="AB728" t="str">
        <f>TRIM(PROPER(F:F))</f>
        <v>Home Office</v>
      </c>
      <c r="AC728" t="str">
        <f>TRIM(PROPER(G:G))</f>
        <v>West</v>
      </c>
      <c r="AD728" t="str">
        <f>TRIM(PROPER(H:H))</f>
        <v>Gujarat</v>
      </c>
      <c r="AE728" t="str">
        <f>TRIM(PROPER(I:I))</f>
        <v>Ahmedabad</v>
      </c>
      <c r="AF728" t="str">
        <f t="shared" si="20"/>
        <v>Technology</v>
      </c>
      <c r="AG728" t="str">
        <f t="shared" si="20"/>
        <v>Phones</v>
      </c>
      <c r="AH728" t="str">
        <f t="shared" si="20"/>
        <v>Pro Phones 857</v>
      </c>
      <c r="AI728" t="str">
        <f t="shared" si="20"/>
        <v>Standard Class</v>
      </c>
      <c r="AJ728" s="3" t="str">
        <f t="shared" si="21"/>
        <v>Invalid</v>
      </c>
      <c r="AK728" t="str">
        <f>IFERROR(Y728-X728, "invalid date")</f>
        <v>invalid date</v>
      </c>
      <c r="AL728" s="10">
        <v>0.2</v>
      </c>
      <c r="AM728" s="11">
        <v>8072</v>
      </c>
      <c r="AN728" s="11">
        <v>2692.7799999999997</v>
      </c>
      <c r="AO728" s="10">
        <v>0.33359514370664023</v>
      </c>
      <c r="AP728" t="s">
        <v>4677</v>
      </c>
      <c r="AQ728" t="s">
        <v>4105</v>
      </c>
      <c r="AR728" t="s">
        <v>4153</v>
      </c>
      <c r="AS728" t="s">
        <v>4107</v>
      </c>
      <c r="AT728" t="s">
        <v>4108</v>
      </c>
      <c r="AU728" t="s">
        <v>4105</v>
      </c>
      <c r="AV728" t="s">
        <v>4109</v>
      </c>
    </row>
    <row r="729" spans="1:48">
      <c r="A729" t="s">
        <v>3395</v>
      </c>
      <c r="B729" t="s">
        <v>3396</v>
      </c>
      <c r="C729" t="s">
        <v>3396</v>
      </c>
      <c r="D729" t="s">
        <v>3397</v>
      </c>
      <c r="E729" t="s">
        <v>171</v>
      </c>
      <c r="F729" t="s">
        <v>50</v>
      </c>
      <c r="G729" t="s">
        <v>51</v>
      </c>
      <c r="H729" t="s">
        <v>226</v>
      </c>
      <c r="I729" t="s">
        <v>227</v>
      </c>
      <c r="J729" t="s">
        <v>95</v>
      </c>
      <c r="K729" t="s">
        <v>96</v>
      </c>
      <c r="L729" t="s">
        <v>3398</v>
      </c>
      <c r="M729" t="s">
        <v>42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43</v>
      </c>
      <c r="U729" t="s">
        <v>44</v>
      </c>
      <c r="W729" t="s">
        <v>3395</v>
      </c>
      <c r="X729" t="str">
        <v>13-10-24</v>
      </c>
      <c r="Y729" t="str">
        <v>13-10-24</v>
      </c>
      <c r="Z729" t="s">
        <v>3397</v>
      </c>
      <c r="AA729" t="str">
        <v>Aarav Sharma</v>
      </c>
      <c r="AB729" t="str">
        <f>TRIM(PROPER(F:F))</f>
        <v>Small Business</v>
      </c>
      <c r="AC729" t="str">
        <f>TRIM(PROPER(G:G))</f>
        <v>East</v>
      </c>
      <c r="AD729" t="str">
        <f>TRIM(PROPER(H:H))</f>
        <v>Assam</v>
      </c>
      <c r="AE729" t="str">
        <f>TRIM(PROPER(I:I))</f>
        <v>Guwahati</v>
      </c>
      <c r="AF729" t="str">
        <f t="shared" si="20"/>
        <v>Technology</v>
      </c>
      <c r="AG729" t="str">
        <f t="shared" si="20"/>
        <v>Accessories</v>
      </c>
      <c r="AH729" t="str">
        <f t="shared" si="20"/>
        <v>Max Accessories 567</v>
      </c>
      <c r="AI729" t="str">
        <f t="shared" si="20"/>
        <v>Second Class</v>
      </c>
      <c r="AJ729" s="3" t="str">
        <f t="shared" si="21"/>
        <v xml:space="preserve">  </v>
      </c>
      <c r="AK729">
        <f>IFERROR(Y729-X729, "invalid date")</f>
        <v>0</v>
      </c>
      <c r="AL729" s="10">
        <v>0.05</v>
      </c>
      <c r="AM729" s="11">
        <v>28353.015999999996</v>
      </c>
      <c r="AN729" s="11">
        <v>9095.1659999999974</v>
      </c>
      <c r="AO729" s="10">
        <v>0.3207830165228277</v>
      </c>
      <c r="AP729" t="s">
        <v>4678</v>
      </c>
      <c r="AQ729" t="s">
        <v>4678</v>
      </c>
      <c r="AR729" t="s">
        <v>4126</v>
      </c>
      <c r="AS729" t="s">
        <v>4107</v>
      </c>
      <c r="AT729" t="s">
        <v>4115</v>
      </c>
      <c r="AU729">
        <v>0</v>
      </c>
      <c r="AV729" t="s">
        <v>4109</v>
      </c>
    </row>
    <row r="730" spans="1:48">
      <c r="A730" t="s">
        <v>3399</v>
      </c>
      <c r="B730" t="s">
        <v>3061</v>
      </c>
      <c r="C730" t="s">
        <v>1771</v>
      </c>
      <c r="D730" t="s">
        <v>3400</v>
      </c>
      <c r="E730" t="s">
        <v>177</v>
      </c>
      <c r="F730" t="s">
        <v>50</v>
      </c>
      <c r="G730" t="s">
        <v>71</v>
      </c>
      <c r="H730" t="s">
        <v>239</v>
      </c>
      <c r="I730" t="s">
        <v>240</v>
      </c>
      <c r="J730" t="s">
        <v>95</v>
      </c>
      <c r="K730" t="s">
        <v>393</v>
      </c>
      <c r="L730" t="s">
        <v>3401</v>
      </c>
      <c r="M730" t="s">
        <v>65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43</v>
      </c>
      <c r="U730" t="s">
        <v>44</v>
      </c>
      <c r="W730" t="s">
        <v>3399</v>
      </c>
      <c r="X730" t="str">
        <v>04-01-24</v>
      </c>
      <c r="Y730" t="str">
        <v>07-01-24</v>
      </c>
      <c r="Z730" t="s">
        <v>3400</v>
      </c>
      <c r="AA730" t="str">
        <v>Sneha Kapoor</v>
      </c>
      <c r="AB730" t="str">
        <f>TRIM(PROPER(F:F))</f>
        <v>Small Business</v>
      </c>
      <c r="AC730" t="str">
        <f>TRIM(PROPER(G:G))</f>
        <v>South</v>
      </c>
      <c r="AD730" t="str">
        <f>TRIM(PROPER(H:H))</f>
        <v>Karnataka</v>
      </c>
      <c r="AE730" t="str">
        <f>TRIM(PROPER(I:I))</f>
        <v>Bengaluru</v>
      </c>
      <c r="AF730" t="str">
        <f t="shared" si="20"/>
        <v>Technology</v>
      </c>
      <c r="AG730" t="str">
        <f t="shared" si="20"/>
        <v>Machines</v>
      </c>
      <c r="AH730" t="str">
        <f t="shared" si="20"/>
        <v>Max Machines 200</v>
      </c>
      <c r="AI730" t="str">
        <f t="shared" si="20"/>
        <v>First Class</v>
      </c>
      <c r="AJ730" s="3" t="str">
        <f t="shared" si="21"/>
        <v>anomaly</v>
      </c>
      <c r="AK730">
        <f>IFERROR(Y730-X730, "invalid date")</f>
        <v>3</v>
      </c>
      <c r="AL730" s="10">
        <v>0.15</v>
      </c>
      <c r="AM730" s="11">
        <v>2008.567</v>
      </c>
      <c r="AN730" s="11">
        <v>813.73700000000008</v>
      </c>
      <c r="AO730" s="10">
        <v>0.40513311231340554</v>
      </c>
      <c r="AP730" t="s">
        <v>4571</v>
      </c>
      <c r="AQ730" t="s">
        <v>4495</v>
      </c>
      <c r="AR730" t="s">
        <v>4153</v>
      </c>
      <c r="AS730" t="s">
        <v>4107</v>
      </c>
      <c r="AT730" t="s">
        <v>4115</v>
      </c>
      <c r="AU730">
        <v>3</v>
      </c>
      <c r="AV730" t="s">
        <v>4109</v>
      </c>
    </row>
    <row r="731" spans="1:48">
      <c r="A731" t="s">
        <v>3402</v>
      </c>
      <c r="B731" t="s">
        <v>3403</v>
      </c>
      <c r="C731" t="s">
        <v>3404</v>
      </c>
      <c r="D731" t="s">
        <v>3405</v>
      </c>
      <c r="E731" t="s">
        <v>81</v>
      </c>
      <c r="F731" t="s">
        <v>117</v>
      </c>
      <c r="G731" t="s">
        <v>71</v>
      </c>
      <c r="H731" t="s">
        <v>350</v>
      </c>
      <c r="I731" t="s">
        <v>351</v>
      </c>
      <c r="J731" t="s">
        <v>95</v>
      </c>
      <c r="K731" t="s">
        <v>393</v>
      </c>
      <c r="L731" t="s">
        <v>3406</v>
      </c>
      <c r="M731" t="s">
        <v>57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43</v>
      </c>
      <c r="U731" t="s">
        <v>44</v>
      </c>
      <c r="W731" t="s">
        <v>3402</v>
      </c>
      <c r="X731" t="str">
        <v>17-05-25</v>
      </c>
      <c r="Y731" t="str">
        <v>25-05-25</v>
      </c>
      <c r="Z731" t="s">
        <v>3405</v>
      </c>
      <c r="AA731" t="str">
        <v>Ananya Rao</v>
      </c>
      <c r="AB731" t="str">
        <f>TRIM(PROPER(F:F))</f>
        <v>Corporate</v>
      </c>
      <c r="AC731" t="str">
        <f>TRIM(PROPER(G:G))</f>
        <v>South</v>
      </c>
      <c r="AD731" t="str">
        <f>TRIM(PROPER(H:H))</f>
        <v>Tamil Nadu</v>
      </c>
      <c r="AE731" t="str">
        <f>TRIM(PROPER(I:I))</f>
        <v>Chennai</v>
      </c>
      <c r="AF731" t="str">
        <f t="shared" si="20"/>
        <v>Technology</v>
      </c>
      <c r="AG731" t="str">
        <f t="shared" si="20"/>
        <v>Machines</v>
      </c>
      <c r="AH731" t="str">
        <f t="shared" si="20"/>
        <v>Pro Machines 563</v>
      </c>
      <c r="AI731" t="str">
        <f t="shared" si="20"/>
        <v>Same Day</v>
      </c>
      <c r="AJ731" s="3" t="str">
        <f t="shared" si="21"/>
        <v>anomaly</v>
      </c>
      <c r="AK731">
        <f>IFERROR(Y731-X731, "invalid date")</f>
        <v>8</v>
      </c>
      <c r="AL731" s="10">
        <v>0.15</v>
      </c>
      <c r="AM731" s="11">
        <v>9234.2129999999997</v>
      </c>
      <c r="AN731" s="11">
        <v>3717.6929999999993</v>
      </c>
      <c r="AO731" s="10">
        <v>0.40259987505161504</v>
      </c>
      <c r="AP731" t="s">
        <v>4679</v>
      </c>
      <c r="AQ731" t="s">
        <v>4594</v>
      </c>
      <c r="AR731" t="s">
        <v>4124</v>
      </c>
      <c r="AS731" t="s">
        <v>4120</v>
      </c>
      <c r="AT731" t="s">
        <v>4115</v>
      </c>
      <c r="AU731">
        <v>8</v>
      </c>
      <c r="AV731" t="s">
        <v>4109</v>
      </c>
    </row>
    <row r="732" spans="1:48">
      <c r="A732" t="s">
        <v>3407</v>
      </c>
      <c r="B732" t="s">
        <v>3408</v>
      </c>
      <c r="C732" t="s">
        <v>3319</v>
      </c>
      <c r="D732" t="s">
        <v>3409</v>
      </c>
      <c r="E732" t="s">
        <v>70</v>
      </c>
      <c r="F732" t="s">
        <v>35</v>
      </c>
      <c r="G732" t="s">
        <v>51</v>
      </c>
      <c r="H732" t="s">
        <v>130</v>
      </c>
      <c r="I732" t="s">
        <v>131</v>
      </c>
      <c r="J732" t="s">
        <v>39</v>
      </c>
      <c r="K732" t="s">
        <v>63</v>
      </c>
      <c r="L732" t="s">
        <v>3410</v>
      </c>
      <c r="M732" t="s">
        <v>42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133</v>
      </c>
      <c r="U732" t="s">
        <v>134</v>
      </c>
      <c r="W732" t="s">
        <v>3407</v>
      </c>
      <c r="X732" t="str">
        <v>invalid date</v>
      </c>
      <c r="Y732" t="str">
        <v>24-06-25</v>
      </c>
      <c r="Z732" t="s">
        <v>3409</v>
      </c>
      <c r="AA732" t="str">
        <v>Arjun Bose</v>
      </c>
      <c r="AB732" t="str">
        <f>TRIM(PROPER(F:F))</f>
        <v>Consumer</v>
      </c>
      <c r="AC732" t="str">
        <f>TRIM(PROPER(G:G))</f>
        <v>East</v>
      </c>
      <c r="AD732" t="str">
        <f>TRIM(PROPER(H:H))</f>
        <v>West Bengal</v>
      </c>
      <c r="AE732" t="str">
        <f>TRIM(PROPER(I:I))</f>
        <v>Kolkata</v>
      </c>
      <c r="AF732" t="str">
        <f t="shared" si="20"/>
        <v>Office Supplies</v>
      </c>
      <c r="AG732" t="str">
        <f t="shared" si="20"/>
        <v>Art</v>
      </c>
      <c r="AH732" t="str">
        <f t="shared" si="20"/>
        <v>Elite Art 696</v>
      </c>
      <c r="AI732" t="str">
        <f t="shared" si="20"/>
        <v>Second Class</v>
      </c>
      <c r="AJ732" s="3" t="str">
        <f t="shared" si="21"/>
        <v>Invalid</v>
      </c>
      <c r="AK732" t="str">
        <f>IFERROR(Y732-X732, "invalid date")</f>
        <v>invalid date</v>
      </c>
      <c r="AL732" s="10">
        <v>0.15</v>
      </c>
      <c r="AM732" s="11">
        <v>2658.8339999999998</v>
      </c>
      <c r="AN732" s="11">
        <v>431.86400000000003</v>
      </c>
      <c r="AO732" s="10">
        <v>0.16242608602116568</v>
      </c>
      <c r="AP732" t="s">
        <v>4105</v>
      </c>
      <c r="AQ732" t="s">
        <v>4352</v>
      </c>
      <c r="AR732" t="s">
        <v>4105</v>
      </c>
      <c r="AS732" t="s">
        <v>4105</v>
      </c>
      <c r="AT732" t="s">
        <v>4108</v>
      </c>
      <c r="AU732" t="s">
        <v>4105</v>
      </c>
      <c r="AV732" t="s">
        <v>4109</v>
      </c>
    </row>
    <row r="733" spans="1:48">
      <c r="A733" t="s">
        <v>3411</v>
      </c>
      <c r="B733" t="s">
        <v>3412</v>
      </c>
      <c r="C733" t="s">
        <v>3413</v>
      </c>
      <c r="D733" t="s">
        <v>3414</v>
      </c>
      <c r="E733" t="s">
        <v>81</v>
      </c>
      <c r="F733" t="s">
        <v>117</v>
      </c>
      <c r="G733" t="s">
        <v>51</v>
      </c>
      <c r="H733" t="s">
        <v>52</v>
      </c>
      <c r="I733" t="s">
        <v>53</v>
      </c>
      <c r="J733" t="s">
        <v>39</v>
      </c>
      <c r="K733" t="s">
        <v>208</v>
      </c>
      <c r="L733" t="s">
        <v>3415</v>
      </c>
      <c r="M733" t="s">
        <v>65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43</v>
      </c>
      <c r="U733" t="s">
        <v>44</v>
      </c>
      <c r="W733" t="s">
        <v>3411</v>
      </c>
      <c r="X733" t="str">
        <v>17-03-24</v>
      </c>
      <c r="Y733" t="str">
        <v>19-03-24</v>
      </c>
      <c r="Z733" t="s">
        <v>3414</v>
      </c>
      <c r="AA733" t="str">
        <v>Ananya Rao</v>
      </c>
      <c r="AB733" t="str">
        <f>TRIM(PROPER(F:F))</f>
        <v>Corporate</v>
      </c>
      <c r="AC733" t="str">
        <f>TRIM(PROPER(G:G))</f>
        <v>East</v>
      </c>
      <c r="AD733" t="str">
        <f>TRIM(PROPER(H:H))</f>
        <v>Odisha</v>
      </c>
      <c r="AE733" t="str">
        <f>TRIM(PROPER(I:I))</f>
        <v>Bhubaneswar</v>
      </c>
      <c r="AF733" t="str">
        <f t="shared" si="20"/>
        <v>Office Supplies</v>
      </c>
      <c r="AG733" t="str">
        <f t="shared" si="20"/>
        <v>Binders</v>
      </c>
      <c r="AH733" t="str">
        <f t="shared" si="20"/>
        <v>Eco Binders 178</v>
      </c>
      <c r="AI733" t="str">
        <f t="shared" si="20"/>
        <v>First Class</v>
      </c>
      <c r="AJ733" s="3" t="str">
        <f t="shared" si="21"/>
        <v>anomaly</v>
      </c>
      <c r="AK733">
        <f>IFERROR(Y733-X733, "invalid date")</f>
        <v>2</v>
      </c>
      <c r="AL733" s="10">
        <v>0.1</v>
      </c>
      <c r="AM733" s="11">
        <v>15756.048000000001</v>
      </c>
      <c r="AN733" s="11">
        <v>5510.6080000000002</v>
      </c>
      <c r="AO733" s="10">
        <v>0.3497455707167178</v>
      </c>
      <c r="AP733" t="s">
        <v>4187</v>
      </c>
      <c r="AQ733" t="s">
        <v>4680</v>
      </c>
      <c r="AR733" t="s">
        <v>4159</v>
      </c>
      <c r="AS733" t="s">
        <v>4107</v>
      </c>
      <c r="AT733" t="s">
        <v>4115</v>
      </c>
      <c r="AU733">
        <v>2</v>
      </c>
      <c r="AV733" t="s">
        <v>4109</v>
      </c>
    </row>
    <row r="734" spans="1:48">
      <c r="A734" t="s">
        <v>3416</v>
      </c>
      <c r="B734" t="s">
        <v>3417</v>
      </c>
      <c r="C734" t="s">
        <v>2830</v>
      </c>
      <c r="D734" t="s">
        <v>3418</v>
      </c>
      <c r="E734" t="s">
        <v>70</v>
      </c>
      <c r="F734" t="s">
        <v>50</v>
      </c>
      <c r="G734" t="s">
        <v>36</v>
      </c>
      <c r="H734" t="s">
        <v>163</v>
      </c>
      <c r="I734" t="s">
        <v>164</v>
      </c>
      <c r="J734" t="s">
        <v>95</v>
      </c>
      <c r="K734" t="s">
        <v>233</v>
      </c>
      <c r="L734" t="s">
        <v>3419</v>
      </c>
      <c r="M734" t="s">
        <v>76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43</v>
      </c>
      <c r="U734" t="s">
        <v>44</v>
      </c>
      <c r="W734" t="s">
        <v>3416</v>
      </c>
      <c r="X734" t="str">
        <v>28-11-24</v>
      </c>
      <c r="Y734" t="str">
        <v>06-12-24</v>
      </c>
      <c r="Z734" t="s">
        <v>3418</v>
      </c>
      <c r="AA734" t="str">
        <v>Arjun Bose</v>
      </c>
      <c r="AB734" t="str">
        <f>TRIM(PROPER(F:F))</f>
        <v>Small Business</v>
      </c>
      <c r="AC734" t="str">
        <f>TRIM(PROPER(G:G))</f>
        <v>North</v>
      </c>
      <c r="AD734" t="str">
        <f>TRIM(PROPER(H:H))</f>
        <v>Punjab</v>
      </c>
      <c r="AE734" t="str">
        <f>TRIM(PROPER(I:I))</f>
        <v>Ludhiana</v>
      </c>
      <c r="AF734" t="str">
        <f t="shared" si="20"/>
        <v>Technology</v>
      </c>
      <c r="AG734" t="str">
        <f t="shared" si="20"/>
        <v>Phones</v>
      </c>
      <c r="AH734" t="str">
        <f t="shared" si="20"/>
        <v>Max Phones 678</v>
      </c>
      <c r="AI734" t="str">
        <f t="shared" si="20"/>
        <v>Standard Class</v>
      </c>
      <c r="AJ734" s="3" t="str">
        <f t="shared" si="21"/>
        <v xml:space="preserve">  </v>
      </c>
      <c r="AK734">
        <f>IFERROR(Y734-X734, "invalid date")</f>
        <v>8</v>
      </c>
      <c r="AL734" s="10">
        <v>0</v>
      </c>
      <c r="AM734" s="11">
        <v>14787.78</v>
      </c>
      <c r="AN734" s="11">
        <v>6191.130000000001</v>
      </c>
      <c r="AO734" s="10">
        <v>0.41866527632950995</v>
      </c>
      <c r="AP734" t="s">
        <v>4116</v>
      </c>
      <c r="AQ734" t="s">
        <v>4480</v>
      </c>
      <c r="AR734" t="s">
        <v>4117</v>
      </c>
      <c r="AS734" t="s">
        <v>4107</v>
      </c>
      <c r="AT734" t="s">
        <v>4121</v>
      </c>
      <c r="AU734">
        <v>8</v>
      </c>
      <c r="AV734" t="s">
        <v>4109</v>
      </c>
    </row>
    <row r="735" spans="1:48">
      <c r="A735" t="s">
        <v>3420</v>
      </c>
      <c r="B735" t="s">
        <v>1841</v>
      </c>
      <c r="C735" t="s">
        <v>3421</v>
      </c>
      <c r="D735" t="s">
        <v>3422</v>
      </c>
      <c r="E735" t="s">
        <v>171</v>
      </c>
      <c r="F735" t="s">
        <v>124</v>
      </c>
      <c r="G735" t="s">
        <v>36</v>
      </c>
      <c r="H735" t="s">
        <v>37</v>
      </c>
      <c r="I735" t="s">
        <v>38</v>
      </c>
      <c r="J735" t="s">
        <v>54</v>
      </c>
      <c r="K735" t="s">
        <v>74</v>
      </c>
      <c r="L735" t="s">
        <v>3423</v>
      </c>
      <c r="M735" t="s">
        <v>65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43</v>
      </c>
      <c r="U735" t="s">
        <v>44</v>
      </c>
      <c r="W735" t="s">
        <v>3420</v>
      </c>
      <c r="X735" t="str">
        <v>21-06-24</v>
      </c>
      <c r="Y735" t="str">
        <v>28-06-24</v>
      </c>
      <c r="Z735" t="s">
        <v>3422</v>
      </c>
      <c r="AA735" t="str">
        <v>Aarav Sharma</v>
      </c>
      <c r="AB735" t="str">
        <f>TRIM(PROPER(F:F))</f>
        <v>Home Office</v>
      </c>
      <c r="AC735" t="str">
        <f>TRIM(PROPER(G:G))</f>
        <v>North</v>
      </c>
      <c r="AD735" t="str">
        <f>TRIM(PROPER(H:H))</f>
        <v>Rajasthan</v>
      </c>
      <c r="AE735" t="str">
        <f>TRIM(PROPER(I:I))</f>
        <v>Jaipur</v>
      </c>
      <c r="AF735" t="str">
        <f t="shared" si="20"/>
        <v>Furniture</v>
      </c>
      <c r="AG735" t="str">
        <f t="shared" si="20"/>
        <v>Furnishings</v>
      </c>
      <c r="AH735" t="str">
        <f t="shared" si="20"/>
        <v>Classic Furnishings 582</v>
      </c>
      <c r="AI735" t="str">
        <f t="shared" si="20"/>
        <v>First Class</v>
      </c>
      <c r="AJ735" s="3" t="str">
        <f t="shared" si="21"/>
        <v>anomaly</v>
      </c>
      <c r="AK735">
        <f>IFERROR(Y735-X735, "invalid date")</f>
        <v>7</v>
      </c>
      <c r="AL735" s="10">
        <v>0</v>
      </c>
      <c r="AM735" s="11">
        <v>25181.64</v>
      </c>
      <c r="AN735" s="11">
        <v>9843.74</v>
      </c>
      <c r="AO735" s="10">
        <v>0.39090940860086953</v>
      </c>
      <c r="AP735" t="s">
        <v>4509</v>
      </c>
      <c r="AQ735" t="s">
        <v>4364</v>
      </c>
      <c r="AR735" t="s">
        <v>4170</v>
      </c>
      <c r="AS735" t="s">
        <v>4107</v>
      </c>
      <c r="AT735" t="s">
        <v>4115</v>
      </c>
      <c r="AU735">
        <v>7</v>
      </c>
      <c r="AV735" t="s">
        <v>4109</v>
      </c>
    </row>
    <row r="736" spans="1:48">
      <c r="A736" t="s">
        <v>3424</v>
      </c>
      <c r="B736" t="s">
        <v>3425</v>
      </c>
      <c r="C736" t="s">
        <v>3425</v>
      </c>
      <c r="D736" t="s">
        <v>3426</v>
      </c>
      <c r="E736" t="s">
        <v>81</v>
      </c>
      <c r="F736" t="s">
        <v>50</v>
      </c>
      <c r="G736" t="s">
        <v>36</v>
      </c>
      <c r="H736" t="s">
        <v>37</v>
      </c>
      <c r="I736" t="s">
        <v>38</v>
      </c>
      <c r="J736" t="s">
        <v>95</v>
      </c>
      <c r="K736" t="s">
        <v>96</v>
      </c>
      <c r="L736" t="s">
        <v>3427</v>
      </c>
      <c r="M736" t="s">
        <v>65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43</v>
      </c>
      <c r="U736" t="s">
        <v>44</v>
      </c>
      <c r="W736" t="s">
        <v>3424</v>
      </c>
      <c r="X736" t="str">
        <v>24-08-24</v>
      </c>
      <c r="Y736" t="str">
        <v>24-08-24</v>
      </c>
      <c r="Z736" t="s">
        <v>3426</v>
      </c>
      <c r="AA736" t="str">
        <v>Ananya Rao</v>
      </c>
      <c r="AB736" t="str">
        <f>TRIM(PROPER(F:F))</f>
        <v>Small Business</v>
      </c>
      <c r="AC736" t="str">
        <f>TRIM(PROPER(G:G))</f>
        <v>North</v>
      </c>
      <c r="AD736" t="str">
        <f>TRIM(PROPER(H:H))</f>
        <v>Rajasthan</v>
      </c>
      <c r="AE736" t="str">
        <f>TRIM(PROPER(I:I))</f>
        <v>Jaipur</v>
      </c>
      <c r="AF736" t="str">
        <f t="shared" si="20"/>
        <v>Technology</v>
      </c>
      <c r="AG736" t="str">
        <f t="shared" si="20"/>
        <v>Accessories</v>
      </c>
      <c r="AH736" t="str">
        <f t="shared" si="20"/>
        <v>Classic Accessories 981</v>
      </c>
      <c r="AI736" t="str">
        <f t="shared" si="20"/>
        <v>First Class</v>
      </c>
      <c r="AJ736" s="3" t="str">
        <f t="shared" si="21"/>
        <v xml:space="preserve">  </v>
      </c>
      <c r="AK736">
        <f>IFERROR(Y736-X736, "invalid date")</f>
        <v>0</v>
      </c>
      <c r="AL736" s="10">
        <v>0.2</v>
      </c>
      <c r="AM736" s="11">
        <v>8837.9520000000011</v>
      </c>
      <c r="AN736" s="11">
        <v>2680.6820000000007</v>
      </c>
      <c r="AO736" s="10">
        <v>0.30331484036120587</v>
      </c>
      <c r="AP736" t="s">
        <v>4411</v>
      </c>
      <c r="AQ736" t="s">
        <v>4411</v>
      </c>
      <c r="AR736" t="s">
        <v>4114</v>
      </c>
      <c r="AS736" t="s">
        <v>4107</v>
      </c>
      <c r="AT736" t="s">
        <v>4115</v>
      </c>
      <c r="AU736">
        <v>0</v>
      </c>
      <c r="AV736" t="s">
        <v>4109</v>
      </c>
    </row>
    <row r="737" spans="1:48">
      <c r="A737" t="s">
        <v>3428</v>
      </c>
      <c r="B737" t="s">
        <v>3429</v>
      </c>
      <c r="C737" t="s">
        <v>2870</v>
      </c>
      <c r="D737" t="s">
        <v>3430</v>
      </c>
      <c r="E737" t="s">
        <v>49</v>
      </c>
      <c r="F737" t="s">
        <v>35</v>
      </c>
      <c r="G737" t="s">
        <v>82</v>
      </c>
      <c r="H737" t="s">
        <v>83</v>
      </c>
      <c r="I737" t="s">
        <v>84</v>
      </c>
      <c r="J737" t="s">
        <v>54</v>
      </c>
      <c r="K737" t="s">
        <v>55</v>
      </c>
      <c r="L737" t="s">
        <v>3431</v>
      </c>
      <c r="M737" t="s">
        <v>76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43</v>
      </c>
      <c r="U737" t="s">
        <v>44</v>
      </c>
      <c r="W737" t="s">
        <v>3428</v>
      </c>
      <c r="X737" t="str">
        <v>11-08-24</v>
      </c>
      <c r="Y737" t="str">
        <v>19-08-24</v>
      </c>
      <c r="Z737" t="s">
        <v>3430</v>
      </c>
      <c r="AA737" t="str">
        <v>Mira Das</v>
      </c>
      <c r="AB737" t="str">
        <f>TRIM(PROPER(F:F))</f>
        <v>Consumer</v>
      </c>
      <c r="AC737" t="str">
        <f>TRIM(PROPER(G:G))</f>
        <v>West</v>
      </c>
      <c r="AD737" t="str">
        <f>TRIM(PROPER(H:H))</f>
        <v>Maharashtra</v>
      </c>
      <c r="AE737" t="str">
        <f>TRIM(PROPER(I:I))</f>
        <v>Mumbai</v>
      </c>
      <c r="AF737" t="str">
        <f t="shared" si="20"/>
        <v>Furniture</v>
      </c>
      <c r="AG737" t="str">
        <f t="shared" si="20"/>
        <v>Tables</v>
      </c>
      <c r="AH737" t="str">
        <f t="shared" si="20"/>
        <v>Classic Tables 534</v>
      </c>
      <c r="AI737" t="str">
        <f t="shared" si="20"/>
        <v>Standard Class</v>
      </c>
      <c r="AJ737" s="3" t="str">
        <f t="shared" si="21"/>
        <v>anomaly</v>
      </c>
      <c r="AK737">
        <f>IFERROR(Y737-X737, "invalid date")</f>
        <v>8</v>
      </c>
      <c r="AL737" s="10">
        <v>0.2</v>
      </c>
      <c r="AM737" s="11">
        <v>7275.7920000000004</v>
      </c>
      <c r="AN737" s="11">
        <v>1122.9220000000005</v>
      </c>
      <c r="AO737" s="10">
        <v>0.15433673749881804</v>
      </c>
      <c r="AP737" t="s">
        <v>4586</v>
      </c>
      <c r="AQ737" t="s">
        <v>4623</v>
      </c>
      <c r="AR737" t="s">
        <v>4114</v>
      </c>
      <c r="AS737" t="s">
        <v>4107</v>
      </c>
      <c r="AT737" t="s">
        <v>4115</v>
      </c>
      <c r="AU737">
        <v>8</v>
      </c>
      <c r="AV737" t="s">
        <v>4109</v>
      </c>
    </row>
    <row r="738" spans="1:48">
      <c r="A738" t="s">
        <v>3432</v>
      </c>
      <c r="B738" t="s">
        <v>2830</v>
      </c>
      <c r="C738" t="s">
        <v>3433</v>
      </c>
      <c r="D738" t="s">
        <v>3434</v>
      </c>
      <c r="E738" t="s">
        <v>116</v>
      </c>
      <c r="F738" t="s">
        <v>35</v>
      </c>
      <c r="G738" t="s">
        <v>82</v>
      </c>
      <c r="H738" t="s">
        <v>83</v>
      </c>
      <c r="I738" t="s">
        <v>84</v>
      </c>
      <c r="J738" t="s">
        <v>54</v>
      </c>
      <c r="K738" t="s">
        <v>85</v>
      </c>
      <c r="L738" t="s">
        <v>3435</v>
      </c>
      <c r="M738" t="s">
        <v>42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43</v>
      </c>
      <c r="U738" t="s">
        <v>44</v>
      </c>
      <c r="W738" t="s">
        <v>3432</v>
      </c>
      <c r="X738" t="str">
        <v>06-12-24</v>
      </c>
      <c r="Y738" t="str">
        <v>09-12-24</v>
      </c>
      <c r="Z738" t="s">
        <v>3434</v>
      </c>
      <c r="AA738" t="str">
        <v>Aditi Sen</v>
      </c>
      <c r="AB738" t="str">
        <f>TRIM(PROPER(F:F))</f>
        <v>Consumer</v>
      </c>
      <c r="AC738" t="str">
        <f>TRIM(PROPER(G:G))</f>
        <v>West</v>
      </c>
      <c r="AD738" t="str">
        <f>TRIM(PROPER(H:H))</f>
        <v>Maharashtra</v>
      </c>
      <c r="AE738" t="str">
        <f>TRIM(PROPER(I:I))</f>
        <v>Mumbai</v>
      </c>
      <c r="AF738" t="str">
        <f t="shared" si="20"/>
        <v>Furniture</v>
      </c>
      <c r="AG738" t="str">
        <f t="shared" si="20"/>
        <v>Chairs</v>
      </c>
      <c r="AH738" t="str">
        <f t="shared" si="20"/>
        <v>Pro Chairs 383</v>
      </c>
      <c r="AI738" t="str">
        <f t="shared" si="20"/>
        <v>Second Class</v>
      </c>
      <c r="AJ738" s="3" t="str">
        <f t="shared" si="21"/>
        <v>anomaly</v>
      </c>
      <c r="AK738">
        <f>IFERROR(Y738-X738, "invalid date")</f>
        <v>3</v>
      </c>
      <c r="AL738" s="10">
        <v>0.1</v>
      </c>
      <c r="AM738" s="11">
        <v>2355.0750000000003</v>
      </c>
      <c r="AN738" s="11">
        <v>1005.0450000000003</v>
      </c>
      <c r="AO738" s="10">
        <v>0.42675710964618968</v>
      </c>
      <c r="AP738" t="s">
        <v>4480</v>
      </c>
      <c r="AQ738" t="s">
        <v>4362</v>
      </c>
      <c r="AR738" t="s">
        <v>4139</v>
      </c>
      <c r="AS738" t="s">
        <v>4107</v>
      </c>
      <c r="AT738" t="s">
        <v>4115</v>
      </c>
      <c r="AU738">
        <v>3</v>
      </c>
      <c r="AV738" t="s">
        <v>4109</v>
      </c>
    </row>
    <row r="739" spans="1:48">
      <c r="A739" t="s">
        <v>3436</v>
      </c>
      <c r="B739" t="s">
        <v>2258</v>
      </c>
      <c r="C739" t="s">
        <v>2138</v>
      </c>
      <c r="D739" t="s">
        <v>3437</v>
      </c>
      <c r="E739" t="s">
        <v>62</v>
      </c>
      <c r="F739" t="s">
        <v>124</v>
      </c>
      <c r="G739" t="s">
        <v>82</v>
      </c>
      <c r="H739" t="s">
        <v>83</v>
      </c>
      <c r="I739" t="s">
        <v>84</v>
      </c>
      <c r="J739" t="s">
        <v>54</v>
      </c>
      <c r="K739" t="s">
        <v>85</v>
      </c>
      <c r="L739" t="s">
        <v>3438</v>
      </c>
      <c r="M739" t="s">
        <v>57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43</v>
      </c>
      <c r="U739" t="s">
        <v>44</v>
      </c>
      <c r="W739" t="s">
        <v>3436</v>
      </c>
      <c r="X739" t="str">
        <v>10-02-24</v>
      </c>
      <c r="Y739" t="str">
        <v>10-02-24</v>
      </c>
      <c r="Z739" t="s">
        <v>3437</v>
      </c>
      <c r="AA739" t="str">
        <v>Isha Nair</v>
      </c>
      <c r="AB739" t="str">
        <f>TRIM(PROPER(F:F))</f>
        <v>Home Office</v>
      </c>
      <c r="AC739" t="str">
        <f>TRIM(PROPER(G:G))</f>
        <v>West</v>
      </c>
      <c r="AD739" t="str">
        <f>TRIM(PROPER(H:H))</f>
        <v>Maharashtra</v>
      </c>
      <c r="AE739" t="str">
        <f>TRIM(PROPER(I:I))</f>
        <v>Mumbai</v>
      </c>
      <c r="AF739" t="str">
        <f t="shared" si="20"/>
        <v>Furniture</v>
      </c>
      <c r="AG739" t="str">
        <f t="shared" si="20"/>
        <v>Chairs</v>
      </c>
      <c r="AH739" t="str">
        <f t="shared" si="20"/>
        <v>Max Chairs 845</v>
      </c>
      <c r="AI739" t="str">
        <f t="shared" si="20"/>
        <v>Same Day</v>
      </c>
      <c r="AJ739" s="3" t="str">
        <f t="shared" si="21"/>
        <v xml:space="preserve">  </v>
      </c>
      <c r="AK739">
        <f>IFERROR(Y739-X739, "invalid date")</f>
        <v>0</v>
      </c>
      <c r="AL739" s="10">
        <v>0</v>
      </c>
      <c r="AM739" s="11">
        <v>3609.12</v>
      </c>
      <c r="AN739" s="11">
        <v>963.61999999999989</v>
      </c>
      <c r="AO739" s="10">
        <v>0.2669958327791816</v>
      </c>
      <c r="AP739" t="s">
        <v>4444</v>
      </c>
      <c r="AQ739" t="s">
        <v>4444</v>
      </c>
      <c r="AR739" t="s">
        <v>4129</v>
      </c>
      <c r="AS739" t="s">
        <v>4107</v>
      </c>
      <c r="AT739" t="s">
        <v>4115</v>
      </c>
      <c r="AU739">
        <v>0</v>
      </c>
      <c r="AV739" t="s">
        <v>4109</v>
      </c>
    </row>
    <row r="740" spans="1:48">
      <c r="A740" t="s">
        <v>3439</v>
      </c>
      <c r="B740" t="s">
        <v>1575</v>
      </c>
      <c r="C740" t="s">
        <v>3440</v>
      </c>
      <c r="D740" t="s">
        <v>3441</v>
      </c>
      <c r="E740" t="s">
        <v>151</v>
      </c>
      <c r="F740" t="s">
        <v>117</v>
      </c>
      <c r="G740" t="s">
        <v>71</v>
      </c>
      <c r="H740" t="s">
        <v>252</v>
      </c>
      <c r="I740" t="s">
        <v>253</v>
      </c>
      <c r="J740" t="s">
        <v>39</v>
      </c>
      <c r="K740" t="s">
        <v>40</v>
      </c>
      <c r="L740" t="s">
        <v>3442</v>
      </c>
      <c r="M740" t="s">
        <v>65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43</v>
      </c>
      <c r="U740" t="s">
        <v>44</v>
      </c>
      <c r="W740" t="s">
        <v>3439</v>
      </c>
      <c r="X740" t="str">
        <v>20-02-25</v>
      </c>
      <c r="Y740" t="str">
        <v>invalid date</v>
      </c>
      <c r="Z740" t="s">
        <v>3441</v>
      </c>
      <c r="AA740" t="str">
        <v>Priya Menon</v>
      </c>
      <c r="AB740" t="str">
        <f>TRIM(PROPER(F:F))</f>
        <v>Corporate</v>
      </c>
      <c r="AC740" t="str">
        <f>TRIM(PROPER(G:G))</f>
        <v>South</v>
      </c>
      <c r="AD740" t="str">
        <f>TRIM(PROPER(H:H))</f>
        <v>Kerala</v>
      </c>
      <c r="AE740" t="str">
        <f>TRIM(PROPER(I:I))</f>
        <v>Kochi</v>
      </c>
      <c r="AF740" t="str">
        <f t="shared" si="20"/>
        <v>Office Supplies</v>
      </c>
      <c r="AG740" t="str">
        <f t="shared" si="20"/>
        <v>Paper</v>
      </c>
      <c r="AH740" t="str">
        <f t="shared" si="20"/>
        <v>Prime Paper 307</v>
      </c>
      <c r="AI740" t="str">
        <f t="shared" si="20"/>
        <v>First Class</v>
      </c>
      <c r="AJ740" s="3" t="str">
        <f t="shared" si="21"/>
        <v>Invalid</v>
      </c>
      <c r="AK740" t="str">
        <f>IFERROR(Y740-X740, "invalid date")</f>
        <v>invalid date</v>
      </c>
      <c r="AL740" s="10">
        <v>0</v>
      </c>
      <c r="AM740" s="11">
        <v>2188.19</v>
      </c>
      <c r="AN740" s="11">
        <v>889.35000000000014</v>
      </c>
      <c r="AO740" s="10">
        <v>0.40643179979800664</v>
      </c>
      <c r="AP740" t="s">
        <v>4340</v>
      </c>
      <c r="AQ740" t="s">
        <v>4105</v>
      </c>
      <c r="AR740" t="s">
        <v>4129</v>
      </c>
      <c r="AS740" t="s">
        <v>4120</v>
      </c>
      <c r="AT740" t="s">
        <v>4108</v>
      </c>
      <c r="AU740" t="s">
        <v>4105</v>
      </c>
      <c r="AV740" t="s">
        <v>4109</v>
      </c>
    </row>
    <row r="741" spans="1:48">
      <c r="A741" t="s">
        <v>3443</v>
      </c>
      <c r="B741" t="s">
        <v>3444</v>
      </c>
      <c r="C741" t="s">
        <v>3445</v>
      </c>
      <c r="D741" t="s">
        <v>3446</v>
      </c>
      <c r="E741" t="s">
        <v>102</v>
      </c>
      <c r="F741" t="s">
        <v>117</v>
      </c>
      <c r="G741" t="s">
        <v>36</v>
      </c>
      <c r="H741" t="s">
        <v>37</v>
      </c>
      <c r="I741" t="s">
        <v>38</v>
      </c>
      <c r="J741" t="s">
        <v>95</v>
      </c>
      <c r="K741" t="s">
        <v>233</v>
      </c>
      <c r="L741" t="s">
        <v>3447</v>
      </c>
      <c r="M741" t="s">
        <v>76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43</v>
      </c>
      <c r="U741" t="s">
        <v>44</v>
      </c>
      <c r="W741" t="s">
        <v>3443</v>
      </c>
      <c r="X741" t="str">
        <v>03-12-24</v>
      </c>
      <c r="Y741" t="str">
        <v>12-10-24</v>
      </c>
      <c r="Z741" t="s">
        <v>3446</v>
      </c>
      <c r="AA741" t="str">
        <v>Neha Gupta</v>
      </c>
      <c r="AB741" t="str">
        <f>TRIM(PROPER(F:F))</f>
        <v>Corporate</v>
      </c>
      <c r="AC741" t="str">
        <f>TRIM(PROPER(G:G))</f>
        <v>North</v>
      </c>
      <c r="AD741" t="str">
        <f>TRIM(PROPER(H:H))</f>
        <v>Rajasthan</v>
      </c>
      <c r="AE741" t="str">
        <f>TRIM(PROPER(I:I))</f>
        <v>Jaipur</v>
      </c>
      <c r="AF741" t="str">
        <f t="shared" si="20"/>
        <v>Technology</v>
      </c>
      <c r="AG741" t="str">
        <f t="shared" si="20"/>
        <v>Phones</v>
      </c>
      <c r="AH741" t="str">
        <f t="shared" si="20"/>
        <v>Basic Phones 859</v>
      </c>
      <c r="AI741" t="str">
        <f t="shared" si="20"/>
        <v>Standard Class</v>
      </c>
      <c r="AJ741" s="3" t="str">
        <f t="shared" si="21"/>
        <v>anomaly</v>
      </c>
      <c r="AK741">
        <f>IFERROR(Y741-X741, "invalid date")</f>
        <v>-52</v>
      </c>
      <c r="AL741" s="10">
        <v>0.05</v>
      </c>
      <c r="AM741" s="11">
        <v>11370.835000000001</v>
      </c>
      <c r="AN741" s="11">
        <v>3901.255000000001</v>
      </c>
      <c r="AO741" s="10">
        <v>0.34309309738466881</v>
      </c>
      <c r="AP741" t="s">
        <v>4186</v>
      </c>
      <c r="AQ741" t="s">
        <v>4618</v>
      </c>
      <c r="AR741" t="s">
        <v>4139</v>
      </c>
      <c r="AS741" t="s">
        <v>4107</v>
      </c>
      <c r="AT741" t="s">
        <v>4115</v>
      </c>
      <c r="AU741">
        <v>-52</v>
      </c>
      <c r="AV741" t="s">
        <v>4109</v>
      </c>
    </row>
    <row r="742" spans="1:48">
      <c r="A742" t="s">
        <v>3448</v>
      </c>
      <c r="B742" t="s">
        <v>3449</v>
      </c>
      <c r="C742" t="s">
        <v>2179</v>
      </c>
      <c r="D742" t="s">
        <v>788</v>
      </c>
      <c r="E742" t="s">
        <v>177</v>
      </c>
      <c r="F742" t="s">
        <v>50</v>
      </c>
      <c r="G742" t="s">
        <v>82</v>
      </c>
      <c r="H742" t="s">
        <v>83</v>
      </c>
      <c r="I742" t="s">
        <v>84</v>
      </c>
      <c r="J742" t="s">
        <v>54</v>
      </c>
      <c r="K742" t="s">
        <v>85</v>
      </c>
      <c r="L742" t="s">
        <v>3450</v>
      </c>
      <c r="M742" t="s">
        <v>65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43</v>
      </c>
      <c r="U742" t="s">
        <v>44</v>
      </c>
      <c r="W742" t="s">
        <v>3448</v>
      </c>
      <c r="X742" t="str">
        <v>02-04-24</v>
      </c>
      <c r="Y742" t="str">
        <v>04-02-24</v>
      </c>
      <c r="Z742" t="s">
        <v>788</v>
      </c>
      <c r="AA742" t="str">
        <v>Sneha Kapoor</v>
      </c>
      <c r="AB742" t="str">
        <f>TRIM(PROPER(F:F))</f>
        <v>Small Business</v>
      </c>
      <c r="AC742" t="str">
        <f>TRIM(PROPER(G:G))</f>
        <v>West</v>
      </c>
      <c r="AD742" t="str">
        <f>TRIM(PROPER(H:H))</f>
        <v>Maharashtra</v>
      </c>
      <c r="AE742" t="str">
        <f>TRIM(PROPER(I:I))</f>
        <v>Mumbai</v>
      </c>
      <c r="AF742" t="str">
        <f t="shared" si="20"/>
        <v>Furniture</v>
      </c>
      <c r="AG742" t="str">
        <f t="shared" si="20"/>
        <v>Chairs</v>
      </c>
      <c r="AH742" t="str">
        <f t="shared" si="20"/>
        <v>Eco Chairs 883</v>
      </c>
      <c r="AI742" t="str">
        <f t="shared" si="20"/>
        <v>First Class</v>
      </c>
      <c r="AJ742" s="3" t="str">
        <f t="shared" si="21"/>
        <v>anomaly</v>
      </c>
      <c r="AK742">
        <f>IFERROR(Y742-X742, "invalid date")</f>
        <v>-58</v>
      </c>
      <c r="AL742" s="10">
        <v>0.1</v>
      </c>
      <c r="AM742" s="11">
        <v>9298.8000000000011</v>
      </c>
      <c r="AN742" s="11">
        <v>2750.3000000000011</v>
      </c>
      <c r="AO742" s="10">
        <v>0.29576934658235482</v>
      </c>
      <c r="AP742" t="s">
        <v>4354</v>
      </c>
      <c r="AQ742" t="s">
        <v>4557</v>
      </c>
      <c r="AR742" t="s">
        <v>4199</v>
      </c>
      <c r="AS742" t="s">
        <v>4107</v>
      </c>
      <c r="AT742" t="s">
        <v>4115</v>
      </c>
      <c r="AU742">
        <v>-58</v>
      </c>
      <c r="AV742" t="s">
        <v>4109</v>
      </c>
    </row>
    <row r="743" spans="1:48">
      <c r="A743" t="s">
        <v>3451</v>
      </c>
      <c r="B743" t="s">
        <v>3452</v>
      </c>
      <c r="C743" t="s">
        <v>3453</v>
      </c>
      <c r="D743" t="s">
        <v>3454</v>
      </c>
      <c r="E743" t="s">
        <v>62</v>
      </c>
      <c r="F743" t="s">
        <v>124</v>
      </c>
      <c r="G743" t="s">
        <v>71</v>
      </c>
      <c r="H743" t="s">
        <v>350</v>
      </c>
      <c r="I743" t="s">
        <v>351</v>
      </c>
      <c r="J743" t="s">
        <v>54</v>
      </c>
      <c r="K743" t="s">
        <v>85</v>
      </c>
      <c r="L743" t="s">
        <v>3455</v>
      </c>
      <c r="M743" t="s">
        <v>42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43</v>
      </c>
      <c r="U743" t="s">
        <v>87</v>
      </c>
      <c r="W743" t="s">
        <v>3451</v>
      </c>
      <c r="X743" t="str">
        <v>invalid date</v>
      </c>
      <c r="Y743" t="str">
        <v>25-04-25</v>
      </c>
      <c r="Z743" t="s">
        <v>3454</v>
      </c>
      <c r="AA743" t="str">
        <v>Isha Nair</v>
      </c>
      <c r="AB743" t="str">
        <f>TRIM(PROPER(F:F))</f>
        <v>Home Office</v>
      </c>
      <c r="AC743" t="str">
        <f>TRIM(PROPER(G:G))</f>
        <v>South</v>
      </c>
      <c r="AD743" t="str">
        <f>TRIM(PROPER(H:H))</f>
        <v>Tamil Nadu</v>
      </c>
      <c r="AE743" t="str">
        <f>TRIM(PROPER(I:I))</f>
        <v>Chennai</v>
      </c>
      <c r="AF743" t="str">
        <f t="shared" si="20"/>
        <v>Furniture</v>
      </c>
      <c r="AG743" t="str">
        <f t="shared" si="20"/>
        <v>Chairs</v>
      </c>
      <c r="AH743" t="str">
        <f t="shared" si="20"/>
        <v>Max Chairs 706</v>
      </c>
      <c r="AI743" t="str">
        <f t="shared" si="20"/>
        <v>Second Class</v>
      </c>
      <c r="AJ743" s="3" t="str">
        <f t="shared" si="21"/>
        <v>Invalid</v>
      </c>
      <c r="AK743" t="str">
        <f>IFERROR(Y743-X743, "invalid date")</f>
        <v>invalid date</v>
      </c>
      <c r="AL743" s="10">
        <v>0</v>
      </c>
      <c r="AM743" s="11">
        <v>8853.36</v>
      </c>
      <c r="AN743" s="11">
        <v>3257.0200000000004</v>
      </c>
      <c r="AO743" s="10">
        <v>0.36788518709280998</v>
      </c>
      <c r="AP743" t="s">
        <v>4105</v>
      </c>
      <c r="AQ743" t="s">
        <v>4681</v>
      </c>
      <c r="AR743" t="s">
        <v>4105</v>
      </c>
      <c r="AS743" t="s">
        <v>4105</v>
      </c>
      <c r="AT743" t="s">
        <v>4108</v>
      </c>
      <c r="AU743" t="s">
        <v>4105</v>
      </c>
      <c r="AV743" t="s">
        <v>4109</v>
      </c>
    </row>
    <row r="744" spans="1:48">
      <c r="A744" t="s">
        <v>3456</v>
      </c>
      <c r="B744" t="s">
        <v>3457</v>
      </c>
      <c r="C744" t="s">
        <v>3458</v>
      </c>
      <c r="D744" t="s">
        <v>3459</v>
      </c>
      <c r="E744" t="s">
        <v>34</v>
      </c>
      <c r="F744" t="s">
        <v>117</v>
      </c>
      <c r="G744" t="s">
        <v>3460</v>
      </c>
      <c r="H744" t="s">
        <v>52</v>
      </c>
      <c r="I744" t="s">
        <v>53</v>
      </c>
      <c r="J744" t="s">
        <v>39</v>
      </c>
      <c r="K744" t="s">
        <v>40</v>
      </c>
      <c r="L744" t="s">
        <v>3461</v>
      </c>
      <c r="M744" t="s">
        <v>76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43</v>
      </c>
      <c r="U744" t="s">
        <v>44</v>
      </c>
      <c r="W744" t="s">
        <v>3456</v>
      </c>
      <c r="X744" t="str">
        <v>invalid date</v>
      </c>
      <c r="Y744" t="str">
        <v>22-10-24</v>
      </c>
      <c r="Z744" t="s">
        <v>3459</v>
      </c>
      <c r="AA744" t="str">
        <v>Karan Malhotra</v>
      </c>
      <c r="AB744" t="str">
        <f>TRIM(PROPER(F:F))</f>
        <v>Corporate</v>
      </c>
      <c r="AC744" t="str">
        <f>TRIM(PROPER(G:G))</f>
        <v>East</v>
      </c>
      <c r="AD744" t="str">
        <f>TRIM(PROPER(H:H))</f>
        <v>Odisha</v>
      </c>
      <c r="AE744" t="str">
        <f>TRIM(PROPER(I:I))</f>
        <v>Bhubaneswar</v>
      </c>
      <c r="AF744" t="str">
        <f t="shared" si="20"/>
        <v>Office Supplies</v>
      </c>
      <c r="AG744" t="str">
        <f t="shared" si="20"/>
        <v>Paper</v>
      </c>
      <c r="AH744" t="str">
        <f t="shared" si="20"/>
        <v>Prime Paper 768</v>
      </c>
      <c r="AI744" t="str">
        <f t="shared" si="20"/>
        <v>Standard Class</v>
      </c>
      <c r="AJ744" s="3" t="str">
        <f t="shared" si="21"/>
        <v>Invalid</v>
      </c>
      <c r="AK744" t="str">
        <f>IFERROR(Y744-X744, "invalid date")</f>
        <v>invalid date</v>
      </c>
      <c r="AL744" s="10">
        <v>0</v>
      </c>
      <c r="AM744" s="11">
        <v>9043.7999999999993</v>
      </c>
      <c r="AN744" s="11">
        <v>3130.4199999999992</v>
      </c>
      <c r="AO744" s="10">
        <v>0.34613989694597397</v>
      </c>
      <c r="AP744" t="s">
        <v>4105</v>
      </c>
      <c r="AQ744" t="s">
        <v>4682</v>
      </c>
      <c r="AR744" t="s">
        <v>4105</v>
      </c>
      <c r="AS744" t="s">
        <v>4105</v>
      </c>
      <c r="AT744" t="s">
        <v>4108</v>
      </c>
      <c r="AU744" t="s">
        <v>4105</v>
      </c>
      <c r="AV744" t="s">
        <v>4109</v>
      </c>
    </row>
    <row r="745" spans="1:48">
      <c r="A745" t="s">
        <v>3462</v>
      </c>
      <c r="B745" t="s">
        <v>1406</v>
      </c>
      <c r="C745" t="s">
        <v>1949</v>
      </c>
      <c r="D745" t="s">
        <v>3463</v>
      </c>
      <c r="E745" t="s">
        <v>177</v>
      </c>
      <c r="F745" t="s">
        <v>35</v>
      </c>
      <c r="G745" t="s">
        <v>36</v>
      </c>
      <c r="H745" t="s">
        <v>183</v>
      </c>
      <c r="I745" t="s">
        <v>184</v>
      </c>
      <c r="J745" t="s">
        <v>39</v>
      </c>
      <c r="K745" t="s">
        <v>63</v>
      </c>
      <c r="L745" t="s">
        <v>3464</v>
      </c>
      <c r="M745" t="s">
        <v>76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43</v>
      </c>
      <c r="U745" t="s">
        <v>44</v>
      </c>
      <c r="W745" t="s">
        <v>3462</v>
      </c>
      <c r="X745" t="str">
        <v>02-12-25</v>
      </c>
      <c r="Y745" t="str">
        <v>14-02-25</v>
      </c>
      <c r="Z745" t="s">
        <v>3463</v>
      </c>
      <c r="AA745" t="str">
        <v>Sneha Kapoor</v>
      </c>
      <c r="AB745" t="str">
        <f>TRIM(PROPER(F:F))</f>
        <v>Consumer</v>
      </c>
      <c r="AC745" t="str">
        <f>TRIM(PROPER(G:G))</f>
        <v>North</v>
      </c>
      <c r="AD745" t="str">
        <f>TRIM(PROPER(H:H))</f>
        <v>Uttar Pradesh</v>
      </c>
      <c r="AE745" t="str">
        <f>TRIM(PROPER(I:I))</f>
        <v>Noida</v>
      </c>
      <c r="AF745" t="str">
        <f t="shared" si="20"/>
        <v>Office Supplies</v>
      </c>
      <c r="AG745" t="str">
        <f t="shared" si="20"/>
        <v>Art</v>
      </c>
      <c r="AH745" t="str">
        <f t="shared" si="20"/>
        <v>Basic Art 764</v>
      </c>
      <c r="AI745" t="str">
        <f t="shared" si="20"/>
        <v>Standard Class</v>
      </c>
      <c r="AJ745" s="3" t="str">
        <f t="shared" si="21"/>
        <v>anomaly</v>
      </c>
      <c r="AK745">
        <f>IFERROR(Y745-X745, "invalid date")</f>
        <v>-291</v>
      </c>
      <c r="AL745" s="10">
        <v>0.25</v>
      </c>
      <c r="AM745" s="11">
        <v>2211.2999999999997</v>
      </c>
      <c r="AN745" s="11">
        <v>475.65999999999963</v>
      </c>
      <c r="AO745" s="10">
        <v>0.21510423732645942</v>
      </c>
      <c r="AP745" t="s">
        <v>4433</v>
      </c>
      <c r="AQ745" t="s">
        <v>4519</v>
      </c>
      <c r="AR745" t="s">
        <v>4139</v>
      </c>
      <c r="AS745" t="s">
        <v>4120</v>
      </c>
      <c r="AT745" t="s">
        <v>4115</v>
      </c>
      <c r="AU745">
        <v>-291</v>
      </c>
      <c r="AV745" t="s">
        <v>4109</v>
      </c>
    </row>
    <row r="746" spans="1:48">
      <c r="A746" t="s">
        <v>3465</v>
      </c>
      <c r="B746" t="s">
        <v>3466</v>
      </c>
      <c r="C746" t="s">
        <v>1479</v>
      </c>
      <c r="D746" t="s">
        <v>3467</v>
      </c>
      <c r="E746" t="s">
        <v>49</v>
      </c>
      <c r="F746" t="s">
        <v>124</v>
      </c>
      <c r="G746" t="s">
        <v>36</v>
      </c>
      <c r="H746" t="s">
        <v>163</v>
      </c>
      <c r="I746" t="s">
        <v>164</v>
      </c>
      <c r="J746" t="s">
        <v>39</v>
      </c>
      <c r="K746" t="s">
        <v>208</v>
      </c>
      <c r="L746" t="s">
        <v>3468</v>
      </c>
      <c r="M746" t="s">
        <v>65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43</v>
      </c>
      <c r="U746" t="s">
        <v>87</v>
      </c>
      <c r="W746" t="s">
        <v>3465</v>
      </c>
      <c r="X746" t="str">
        <v>17-08-25</v>
      </c>
      <c r="Y746" t="str">
        <v>20-08-25</v>
      </c>
      <c r="Z746" t="s">
        <v>3467</v>
      </c>
      <c r="AA746" t="str">
        <v>Mira Das</v>
      </c>
      <c r="AB746" t="str">
        <f>TRIM(PROPER(F:F))</f>
        <v>Home Office</v>
      </c>
      <c r="AC746" t="str">
        <f>TRIM(PROPER(G:G))</f>
        <v>North</v>
      </c>
      <c r="AD746" t="str">
        <f>TRIM(PROPER(H:H))</f>
        <v>Punjab</v>
      </c>
      <c r="AE746" t="str">
        <f>TRIM(PROPER(I:I))</f>
        <v>Ludhiana</v>
      </c>
      <c r="AF746" t="str">
        <f t="shared" si="20"/>
        <v>Office Supplies</v>
      </c>
      <c r="AG746" t="str">
        <f t="shared" si="20"/>
        <v>Binders</v>
      </c>
      <c r="AH746" t="str">
        <f t="shared" si="20"/>
        <v>Prime Binders 181</v>
      </c>
      <c r="AI746" t="str">
        <f t="shared" si="20"/>
        <v>First Class</v>
      </c>
      <c r="AJ746" s="3" t="str">
        <f t="shared" si="21"/>
        <v>anomaly</v>
      </c>
      <c r="AK746">
        <f>IFERROR(Y746-X746, "invalid date")</f>
        <v>3</v>
      </c>
      <c r="AL746" s="10">
        <v>0.1</v>
      </c>
      <c r="AM746" s="11">
        <v>12158.504999999999</v>
      </c>
      <c r="AN746" s="11">
        <v>1898.4349999999995</v>
      </c>
      <c r="AO746" s="10">
        <v>0.15614049589155901</v>
      </c>
      <c r="AP746" t="s">
        <v>4541</v>
      </c>
      <c r="AQ746" t="s">
        <v>4447</v>
      </c>
      <c r="AR746" t="s">
        <v>4114</v>
      </c>
      <c r="AS746" t="s">
        <v>4120</v>
      </c>
      <c r="AT746" t="s">
        <v>4115</v>
      </c>
      <c r="AU746">
        <v>3</v>
      </c>
      <c r="AV746" t="s">
        <v>4109</v>
      </c>
    </row>
    <row r="747" spans="1:48">
      <c r="A747" t="s">
        <v>3469</v>
      </c>
      <c r="B747" t="s">
        <v>3470</v>
      </c>
      <c r="C747" t="s">
        <v>3471</v>
      </c>
      <c r="D747" t="s">
        <v>3472</v>
      </c>
      <c r="E747" t="s">
        <v>49</v>
      </c>
      <c r="F747" t="s">
        <v>50</v>
      </c>
      <c r="G747" t="s">
        <v>51</v>
      </c>
      <c r="H747" t="s">
        <v>226</v>
      </c>
      <c r="I747" t="s">
        <v>227</v>
      </c>
      <c r="J747" t="s">
        <v>95</v>
      </c>
      <c r="K747" t="s">
        <v>103</v>
      </c>
      <c r="L747" t="s">
        <v>3473</v>
      </c>
      <c r="M747" t="s">
        <v>76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43</v>
      </c>
      <c r="U747" t="s">
        <v>44</v>
      </c>
      <c r="W747" t="s">
        <v>3469</v>
      </c>
      <c r="X747" t="str">
        <v>24-10-24</v>
      </c>
      <c r="Y747" t="str">
        <v>28-10-24</v>
      </c>
      <c r="Z747" t="s">
        <v>3472</v>
      </c>
      <c r="AA747" t="str">
        <v>Mira Das</v>
      </c>
      <c r="AB747" t="str">
        <f>TRIM(PROPER(F:F))</f>
        <v>Small Business</v>
      </c>
      <c r="AC747" t="str">
        <f>TRIM(PROPER(G:G))</f>
        <v>East</v>
      </c>
      <c r="AD747" t="str">
        <f>TRIM(PROPER(H:H))</f>
        <v>Assam</v>
      </c>
      <c r="AE747" t="str">
        <f>TRIM(PROPER(I:I))</f>
        <v>Guwahati</v>
      </c>
      <c r="AF747" t="str">
        <f t="shared" si="20"/>
        <v>Technology</v>
      </c>
      <c r="AG747" t="str">
        <f t="shared" si="20"/>
        <v>Copiers</v>
      </c>
      <c r="AH747" t="str">
        <f t="shared" si="20"/>
        <v>Max Copiers 866</v>
      </c>
      <c r="AI747" t="str">
        <f t="shared" si="20"/>
        <v>Standard Class</v>
      </c>
      <c r="AJ747" s="3" t="str">
        <f t="shared" si="21"/>
        <v>anomaly</v>
      </c>
      <c r="AK747">
        <f>IFERROR(Y747-X747, "invalid date")</f>
        <v>4</v>
      </c>
      <c r="AL747" s="10">
        <v>0.2</v>
      </c>
      <c r="AM747" s="11">
        <v>1736.616</v>
      </c>
      <c r="AN747" s="11">
        <v>677.096</v>
      </c>
      <c r="AO747" s="10">
        <v>0.38989390861307277</v>
      </c>
      <c r="AP747" t="s">
        <v>4282</v>
      </c>
      <c r="AQ747" t="s">
        <v>4178</v>
      </c>
      <c r="AR747" t="s">
        <v>4126</v>
      </c>
      <c r="AS747" t="s">
        <v>4107</v>
      </c>
      <c r="AT747" t="s">
        <v>4115</v>
      </c>
      <c r="AU747">
        <v>4</v>
      </c>
      <c r="AV747" t="s">
        <v>4109</v>
      </c>
    </row>
    <row r="748" spans="1:48">
      <c r="A748" t="s">
        <v>3474</v>
      </c>
      <c r="B748" t="s">
        <v>1357</v>
      </c>
      <c r="C748" t="s">
        <v>3475</v>
      </c>
      <c r="D748" t="s">
        <v>3062</v>
      </c>
      <c r="E748" t="s">
        <v>171</v>
      </c>
      <c r="F748" t="s">
        <v>124</v>
      </c>
      <c r="G748" t="s">
        <v>51</v>
      </c>
      <c r="H748" t="s">
        <v>130</v>
      </c>
      <c r="I748" t="s">
        <v>131</v>
      </c>
      <c r="J748" t="s">
        <v>39</v>
      </c>
      <c r="K748" t="s">
        <v>40</v>
      </c>
      <c r="L748" t="s">
        <v>3476</v>
      </c>
      <c r="M748" t="s">
        <v>76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43</v>
      </c>
      <c r="U748" t="s">
        <v>44</v>
      </c>
      <c r="W748" t="s">
        <v>3474</v>
      </c>
      <c r="X748" t="str">
        <v>04-01-25</v>
      </c>
      <c r="Y748" t="str">
        <v>10-01-25</v>
      </c>
      <c r="Z748" t="s">
        <v>3062</v>
      </c>
      <c r="AA748" t="str">
        <v>Aarav Sharma</v>
      </c>
      <c r="AB748" t="str">
        <f>TRIM(PROPER(F:F))</f>
        <v>Home Office</v>
      </c>
      <c r="AC748" t="str">
        <f>TRIM(PROPER(G:G))</f>
        <v>East</v>
      </c>
      <c r="AD748" t="str">
        <f>TRIM(PROPER(H:H))</f>
        <v>West Bengal</v>
      </c>
      <c r="AE748" t="str">
        <f>TRIM(PROPER(I:I))</f>
        <v>Kolkata</v>
      </c>
      <c r="AF748" t="str">
        <f t="shared" si="20"/>
        <v>Office Supplies</v>
      </c>
      <c r="AG748" t="str">
        <f t="shared" si="20"/>
        <v>Paper</v>
      </c>
      <c r="AH748" t="str">
        <f t="shared" si="20"/>
        <v>Pro Paper 662</v>
      </c>
      <c r="AI748" t="str">
        <f t="shared" si="20"/>
        <v>Standard Class</v>
      </c>
      <c r="AJ748" s="3" t="str">
        <f t="shared" si="21"/>
        <v>anomaly</v>
      </c>
      <c r="AK748">
        <f>IFERROR(Y748-X748, "invalid date")</f>
        <v>6</v>
      </c>
      <c r="AL748" s="10">
        <v>0.2</v>
      </c>
      <c r="AM748" s="11">
        <v>8266.2080000000005</v>
      </c>
      <c r="AN748" s="11">
        <v>2029.8880000000008</v>
      </c>
      <c r="AO748" s="10">
        <v>0.24556459261610653</v>
      </c>
      <c r="AP748" t="s">
        <v>4425</v>
      </c>
      <c r="AQ748" t="s">
        <v>4683</v>
      </c>
      <c r="AR748" t="s">
        <v>4153</v>
      </c>
      <c r="AS748" t="s">
        <v>4120</v>
      </c>
      <c r="AT748" t="s">
        <v>4115</v>
      </c>
      <c r="AU748">
        <v>6</v>
      </c>
      <c r="AV748" t="s">
        <v>4109</v>
      </c>
    </row>
    <row r="749" spans="1:48">
      <c r="A749" t="s">
        <v>3477</v>
      </c>
      <c r="B749" t="s">
        <v>3478</v>
      </c>
      <c r="C749" t="s">
        <v>3479</v>
      </c>
      <c r="D749" t="s">
        <v>3480</v>
      </c>
      <c r="E749" t="s">
        <v>62</v>
      </c>
      <c r="F749" t="s">
        <v>124</v>
      </c>
      <c r="G749" t="s">
        <v>51</v>
      </c>
      <c r="H749" t="s">
        <v>52</v>
      </c>
      <c r="I749" t="s">
        <v>53</v>
      </c>
      <c r="J749" t="s">
        <v>39</v>
      </c>
      <c r="K749" t="s">
        <v>40</v>
      </c>
      <c r="L749" t="s">
        <v>3481</v>
      </c>
      <c r="M749" t="s">
        <v>57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43</v>
      </c>
      <c r="U749" t="s">
        <v>44</v>
      </c>
      <c r="W749" t="s">
        <v>3477</v>
      </c>
      <c r="X749" t="str">
        <v>01-05-24</v>
      </c>
      <c r="Y749" t="str">
        <v>07-05-24</v>
      </c>
      <c r="Z749" t="s">
        <v>3480</v>
      </c>
      <c r="AA749" t="str">
        <v>Isha Nair</v>
      </c>
      <c r="AB749" t="str">
        <f>TRIM(PROPER(F:F))</f>
        <v>Home Office</v>
      </c>
      <c r="AC749" t="str">
        <f>TRIM(PROPER(G:G))</f>
        <v>East</v>
      </c>
      <c r="AD749" t="str">
        <f>TRIM(PROPER(H:H))</f>
        <v>Odisha</v>
      </c>
      <c r="AE749" t="str">
        <f>TRIM(PROPER(I:I))</f>
        <v>Bhubaneswar</v>
      </c>
      <c r="AF749" t="str">
        <f t="shared" si="20"/>
        <v>Office Supplies</v>
      </c>
      <c r="AG749" t="str">
        <f t="shared" si="20"/>
        <v>Paper</v>
      </c>
      <c r="AH749" t="str">
        <f t="shared" si="20"/>
        <v>Classic Paper 388</v>
      </c>
      <c r="AI749" t="str">
        <f t="shared" si="20"/>
        <v>Same Day</v>
      </c>
      <c r="AJ749" s="3" t="str">
        <f t="shared" si="21"/>
        <v>anomaly</v>
      </c>
      <c r="AK749">
        <f>IFERROR(Y749-X749, "invalid date")</f>
        <v>6</v>
      </c>
      <c r="AL749" s="10">
        <v>0.15</v>
      </c>
      <c r="AM749" s="11">
        <v>10022.044</v>
      </c>
      <c r="AN749" s="11">
        <v>4445.0640000000003</v>
      </c>
      <c r="AO749" s="10">
        <v>0.44352868536597928</v>
      </c>
      <c r="AP749" t="s">
        <v>4458</v>
      </c>
      <c r="AQ749" t="s">
        <v>4658</v>
      </c>
      <c r="AR749" t="s">
        <v>4124</v>
      </c>
      <c r="AS749" t="s">
        <v>4107</v>
      </c>
      <c r="AT749" t="s">
        <v>4115</v>
      </c>
      <c r="AU749">
        <v>6</v>
      </c>
      <c r="AV749" t="s">
        <v>4109</v>
      </c>
    </row>
    <row r="750" spans="1:48">
      <c r="A750" t="s">
        <v>3482</v>
      </c>
      <c r="B750" t="s">
        <v>3483</v>
      </c>
      <c r="C750" t="s">
        <v>3484</v>
      </c>
      <c r="D750" t="s">
        <v>3485</v>
      </c>
      <c r="E750" t="s">
        <v>220</v>
      </c>
      <c r="F750" t="s">
        <v>124</v>
      </c>
      <c r="G750" t="s">
        <v>36</v>
      </c>
      <c r="H750" t="s">
        <v>334</v>
      </c>
      <c r="I750" t="s">
        <v>335</v>
      </c>
      <c r="J750" t="s">
        <v>95</v>
      </c>
      <c r="K750" t="s">
        <v>233</v>
      </c>
      <c r="L750" t="s">
        <v>3486</v>
      </c>
      <c r="M750" t="s">
        <v>42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43</v>
      </c>
      <c r="U750" t="s">
        <v>44</v>
      </c>
      <c r="W750" t="s">
        <v>3482</v>
      </c>
      <c r="X750" t="str">
        <v>30-05-24</v>
      </c>
      <c r="Y750" t="str">
        <v>invalid date</v>
      </c>
      <c r="Z750" t="s">
        <v>3485</v>
      </c>
      <c r="AA750" t="str">
        <v>Diya Patel</v>
      </c>
      <c r="AB750" t="str">
        <f>TRIM(PROPER(F:F))</f>
        <v>Home Office</v>
      </c>
      <c r="AC750" t="str">
        <f>TRIM(PROPER(G:G))</f>
        <v>North</v>
      </c>
      <c r="AD750" t="str">
        <f>TRIM(PROPER(H:H))</f>
        <v>Haryana</v>
      </c>
      <c r="AE750" t="str">
        <f>TRIM(PROPER(I:I))</f>
        <v>Gurugram</v>
      </c>
      <c r="AF750" t="str">
        <f t="shared" si="20"/>
        <v>Technology</v>
      </c>
      <c r="AG750" t="str">
        <f t="shared" si="20"/>
        <v>Phones</v>
      </c>
      <c r="AH750" t="str">
        <f t="shared" si="20"/>
        <v>Pro Phones 765</v>
      </c>
      <c r="AI750" t="str">
        <f t="shared" si="20"/>
        <v>Second Class</v>
      </c>
      <c r="AJ750" s="3" t="str">
        <f t="shared" si="21"/>
        <v>Invalid</v>
      </c>
      <c r="AK750" t="str">
        <f>IFERROR(Y750-X750, "invalid date")</f>
        <v>invalid date</v>
      </c>
      <c r="AL750" s="10">
        <v>0.25</v>
      </c>
      <c r="AM750" s="11">
        <v>2886.0299999999997</v>
      </c>
      <c r="AN750" s="11">
        <v>821.19999999999982</v>
      </c>
      <c r="AO750" s="10">
        <v>0.28454312671732446</v>
      </c>
      <c r="AP750" t="s">
        <v>4611</v>
      </c>
      <c r="AQ750" t="s">
        <v>4105</v>
      </c>
      <c r="AR750" t="s">
        <v>4124</v>
      </c>
      <c r="AS750" t="s">
        <v>4107</v>
      </c>
      <c r="AT750" t="s">
        <v>4108</v>
      </c>
      <c r="AU750" t="s">
        <v>4105</v>
      </c>
      <c r="AV750" t="s">
        <v>4109</v>
      </c>
    </row>
    <row r="751" spans="1:48">
      <c r="A751" t="s">
        <v>3487</v>
      </c>
      <c r="B751" t="s">
        <v>3488</v>
      </c>
      <c r="C751" t="s">
        <v>3489</v>
      </c>
      <c r="D751" t="s">
        <v>3490</v>
      </c>
      <c r="E751" t="s">
        <v>116</v>
      </c>
      <c r="F751" t="s">
        <v>124</v>
      </c>
      <c r="G751" t="s">
        <v>51</v>
      </c>
      <c r="H751" t="s">
        <v>226</v>
      </c>
      <c r="I751" t="s">
        <v>227</v>
      </c>
      <c r="J751" t="s">
        <v>95</v>
      </c>
      <c r="K751" t="s">
        <v>393</v>
      </c>
      <c r="L751" t="s">
        <v>3491</v>
      </c>
      <c r="M751" t="s">
        <v>76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43</v>
      </c>
      <c r="U751" t="s">
        <v>44</v>
      </c>
      <c r="W751" t="s">
        <v>3487</v>
      </c>
      <c r="X751" t="str">
        <v>21-03-24</v>
      </c>
      <c r="Y751" t="str">
        <v>25-03-24</v>
      </c>
      <c r="Z751" t="s">
        <v>3490</v>
      </c>
      <c r="AA751" t="str">
        <v>Aditi Sen</v>
      </c>
      <c r="AB751" t="str">
        <f>TRIM(PROPER(F:F))</f>
        <v>Home Office</v>
      </c>
      <c r="AC751" t="str">
        <f>TRIM(PROPER(G:G))</f>
        <v>East</v>
      </c>
      <c r="AD751" t="str">
        <f>TRIM(PROPER(H:H))</f>
        <v>Assam</v>
      </c>
      <c r="AE751" t="str">
        <f>TRIM(PROPER(I:I))</f>
        <v>Guwahati</v>
      </c>
      <c r="AF751" t="str">
        <f t="shared" si="20"/>
        <v>Technology</v>
      </c>
      <c r="AG751" t="str">
        <f t="shared" si="20"/>
        <v>Machines</v>
      </c>
      <c r="AH751" t="str">
        <f t="shared" si="20"/>
        <v>Classic Machines 543</v>
      </c>
      <c r="AI751" t="str">
        <f t="shared" si="20"/>
        <v>Standard Class</v>
      </c>
      <c r="AJ751" s="3" t="str">
        <f t="shared" si="21"/>
        <v>anomaly</v>
      </c>
      <c r="AK751">
        <f>IFERROR(Y751-X751, "invalid date")</f>
        <v>4</v>
      </c>
      <c r="AL751" s="10">
        <v>0.15</v>
      </c>
      <c r="AM751" s="11">
        <v>1459.1949999999999</v>
      </c>
      <c r="AN751" s="11">
        <v>403.40499999999997</v>
      </c>
      <c r="AO751" s="10">
        <v>0.27645722470266137</v>
      </c>
      <c r="AP751" t="s">
        <v>4684</v>
      </c>
      <c r="AQ751" t="s">
        <v>4669</v>
      </c>
      <c r="AR751" t="s">
        <v>4159</v>
      </c>
      <c r="AS751" t="s">
        <v>4107</v>
      </c>
      <c r="AT751" t="s">
        <v>4115</v>
      </c>
      <c r="AU751">
        <v>4</v>
      </c>
      <c r="AV751" t="s">
        <v>4109</v>
      </c>
    </row>
    <row r="752" spans="1:48">
      <c r="A752" t="s">
        <v>3492</v>
      </c>
      <c r="B752" t="s">
        <v>3493</v>
      </c>
      <c r="C752" t="s">
        <v>386</v>
      </c>
      <c r="D752" t="s">
        <v>3494</v>
      </c>
      <c r="E752" t="s">
        <v>171</v>
      </c>
      <c r="F752" t="s">
        <v>124</v>
      </c>
      <c r="G752" t="s">
        <v>71</v>
      </c>
      <c r="H752" t="s">
        <v>72</v>
      </c>
      <c r="I752" t="s">
        <v>73</v>
      </c>
      <c r="J752" t="s">
        <v>95</v>
      </c>
      <c r="K752" t="s">
        <v>96</v>
      </c>
      <c r="L752" t="s">
        <v>3495</v>
      </c>
      <c r="M752" t="s">
        <v>65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43</v>
      </c>
      <c r="U752" t="s">
        <v>44</v>
      </c>
      <c r="W752" t="s">
        <v>3492</v>
      </c>
      <c r="X752" t="str">
        <v>06-02-25</v>
      </c>
      <c r="Y752" t="str">
        <v>02-06-25</v>
      </c>
      <c r="Z752" t="s">
        <v>3494</v>
      </c>
      <c r="AA752" t="str">
        <v>Aarav Sharma</v>
      </c>
      <c r="AB752" t="str">
        <f>TRIM(PROPER(F:F))</f>
        <v>Home Office</v>
      </c>
      <c r="AC752" t="str">
        <f>TRIM(PROPER(G:G))</f>
        <v>South</v>
      </c>
      <c r="AD752" t="str">
        <f>TRIM(PROPER(H:H))</f>
        <v>Telangana</v>
      </c>
      <c r="AE752" t="str">
        <f>TRIM(PROPER(I:I))</f>
        <v>Hyderabad</v>
      </c>
      <c r="AF752" t="str">
        <f t="shared" si="20"/>
        <v>Technology</v>
      </c>
      <c r="AG752" t="str">
        <f t="shared" si="20"/>
        <v>Accessories</v>
      </c>
      <c r="AH752" t="str">
        <f t="shared" si="20"/>
        <v>Max Accessories 291</v>
      </c>
      <c r="AI752" t="str">
        <f t="shared" si="20"/>
        <v>First Class</v>
      </c>
      <c r="AJ752" s="3" t="str">
        <f t="shared" si="21"/>
        <v xml:space="preserve">  </v>
      </c>
      <c r="AK752">
        <f>IFERROR(Y752-X752, "invalid date")</f>
        <v>116</v>
      </c>
      <c r="AL752" s="10">
        <v>0.15</v>
      </c>
      <c r="AM752" s="11">
        <v>26696.323999999997</v>
      </c>
      <c r="AN752" s="11">
        <v>3971.8039999999964</v>
      </c>
      <c r="AO752" s="10">
        <v>0.14877718745097629</v>
      </c>
      <c r="AP752" t="s">
        <v>4643</v>
      </c>
      <c r="AQ752" t="s">
        <v>4207</v>
      </c>
      <c r="AR752" t="s">
        <v>4129</v>
      </c>
      <c r="AS752" t="s">
        <v>4120</v>
      </c>
      <c r="AT752" t="s">
        <v>4121</v>
      </c>
      <c r="AU752">
        <v>116</v>
      </c>
      <c r="AV752" t="s">
        <v>4109</v>
      </c>
    </row>
    <row r="753" spans="1:48">
      <c r="A753" t="s">
        <v>3496</v>
      </c>
      <c r="B753" t="s">
        <v>730</v>
      </c>
      <c r="C753" t="s">
        <v>3497</v>
      </c>
      <c r="D753" t="s">
        <v>3498</v>
      </c>
      <c r="E753" t="s">
        <v>151</v>
      </c>
      <c r="F753" t="s">
        <v>124</v>
      </c>
      <c r="H753" t="s">
        <v>183</v>
      </c>
      <c r="I753" t="s">
        <v>184</v>
      </c>
      <c r="J753" t="s">
        <v>95</v>
      </c>
      <c r="K753" t="s">
        <v>393</v>
      </c>
      <c r="L753" t="s">
        <v>3499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43</v>
      </c>
      <c r="U753" t="s">
        <v>44</v>
      </c>
      <c r="W753" t="s">
        <v>3496</v>
      </c>
      <c r="X753" t="str">
        <v>18-07-25</v>
      </c>
      <c r="Y753" t="str">
        <v>19-07-25</v>
      </c>
      <c r="Z753" t="s">
        <v>3498</v>
      </c>
      <c r="AA753" t="str">
        <v>Priya Menon</v>
      </c>
      <c r="AB753" t="str">
        <f>TRIM(PROPER(F:F))</f>
        <v>Home Office</v>
      </c>
      <c r="AC753" s="4" t="s">
        <v>282</v>
      </c>
      <c r="AD753" t="str">
        <f>TRIM(PROPER(H:H))</f>
        <v>Uttar Pradesh</v>
      </c>
      <c r="AE753" t="str">
        <f>TRIM(PROPER(I:I))</f>
        <v>Noida</v>
      </c>
      <c r="AF753" t="str">
        <f t="shared" si="20"/>
        <v>Technology</v>
      </c>
      <c r="AG753" t="str">
        <f t="shared" si="20"/>
        <v>Machines</v>
      </c>
      <c r="AH753" t="str">
        <f t="shared" si="20"/>
        <v>Eco Machines 414</v>
      </c>
      <c r="AI753" s="4" t="s">
        <v>282</v>
      </c>
      <c r="AJ753" s="3" t="str">
        <f t="shared" si="21"/>
        <v>anomaly</v>
      </c>
      <c r="AK753">
        <f>IFERROR(Y753-X753, "invalid date")</f>
        <v>1</v>
      </c>
      <c r="AL753" s="10">
        <v>0.05</v>
      </c>
      <c r="AM753" s="11">
        <v>8445.2624999999989</v>
      </c>
      <c r="AN753" s="11">
        <v>1507.6624999999985</v>
      </c>
      <c r="AO753" s="10">
        <v>0.17852168597482893</v>
      </c>
      <c r="AP753" t="s">
        <v>4300</v>
      </c>
      <c r="AQ753" t="s">
        <v>4459</v>
      </c>
      <c r="AR753" t="s">
        <v>4106</v>
      </c>
      <c r="AS753" t="s">
        <v>4120</v>
      </c>
      <c r="AT753" t="s">
        <v>4115</v>
      </c>
      <c r="AU753">
        <v>1</v>
      </c>
      <c r="AV753" t="s">
        <v>4109</v>
      </c>
    </row>
    <row r="754" spans="1:48">
      <c r="A754" t="s">
        <v>3500</v>
      </c>
      <c r="B754" t="s">
        <v>2226</v>
      </c>
      <c r="C754" t="s">
        <v>3171</v>
      </c>
      <c r="D754" t="s">
        <v>3501</v>
      </c>
      <c r="E754" t="s">
        <v>116</v>
      </c>
      <c r="F754" t="s">
        <v>117</v>
      </c>
      <c r="G754" t="s">
        <v>82</v>
      </c>
      <c r="H754" t="s">
        <v>245</v>
      </c>
      <c r="I754" t="s">
        <v>246</v>
      </c>
      <c r="J754" t="s">
        <v>39</v>
      </c>
      <c r="K754" t="s">
        <v>165</v>
      </c>
      <c r="L754" t="s">
        <v>3502</v>
      </c>
      <c r="M754" t="s">
        <v>65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43</v>
      </c>
      <c r="U754" t="s">
        <v>44</v>
      </c>
      <c r="W754" t="s">
        <v>3500</v>
      </c>
      <c r="X754" t="str">
        <v>24-03-24</v>
      </c>
      <c r="Y754" t="str">
        <v>27-03-24</v>
      </c>
      <c r="Z754" t="s">
        <v>3501</v>
      </c>
      <c r="AA754" t="str">
        <v>Aditi Sen</v>
      </c>
      <c r="AB754" t="str">
        <f>TRIM(PROPER(F:F))</f>
        <v>Corporate</v>
      </c>
      <c r="AC754" t="str">
        <f>TRIM(PROPER(G:G))</f>
        <v>West</v>
      </c>
      <c r="AD754" t="str">
        <f>TRIM(PROPER(H:H))</f>
        <v>Gujarat</v>
      </c>
      <c r="AE754" t="str">
        <f>TRIM(PROPER(I:I))</f>
        <v>Ahmedabad</v>
      </c>
      <c r="AF754" t="str">
        <f t="shared" si="20"/>
        <v>Office Supplies</v>
      </c>
      <c r="AG754" t="str">
        <f t="shared" si="20"/>
        <v>Storage</v>
      </c>
      <c r="AH754" t="str">
        <f t="shared" si="20"/>
        <v>Basic Storage 273</v>
      </c>
      <c r="AI754" t="str">
        <f t="shared" si="20"/>
        <v>First Class</v>
      </c>
      <c r="AJ754" s="3" t="str">
        <f t="shared" si="21"/>
        <v>anomaly</v>
      </c>
      <c r="AK754">
        <f>IFERROR(Y754-X754, "invalid date")</f>
        <v>3</v>
      </c>
      <c r="AL754" s="10">
        <v>0.05</v>
      </c>
      <c r="AM754" s="11">
        <v>11709.794999999998</v>
      </c>
      <c r="AN754" s="11">
        <v>3337.5049999999974</v>
      </c>
      <c r="AO754" s="10">
        <v>0.28501822619439521</v>
      </c>
      <c r="AP754" t="s">
        <v>4561</v>
      </c>
      <c r="AQ754" t="s">
        <v>4255</v>
      </c>
      <c r="AR754" t="s">
        <v>4159</v>
      </c>
      <c r="AS754" t="s">
        <v>4107</v>
      </c>
      <c r="AT754" t="s">
        <v>4115</v>
      </c>
      <c r="AU754">
        <v>3</v>
      </c>
      <c r="AV754" t="s">
        <v>4109</v>
      </c>
    </row>
    <row r="755" spans="1:48">
      <c r="A755" t="s">
        <v>3503</v>
      </c>
      <c r="B755" t="s">
        <v>2447</v>
      </c>
      <c r="C755" t="s">
        <v>2807</v>
      </c>
      <c r="D755" t="s">
        <v>3504</v>
      </c>
      <c r="E755" t="s">
        <v>116</v>
      </c>
      <c r="F755" t="s">
        <v>117</v>
      </c>
      <c r="G755" t="s">
        <v>36</v>
      </c>
      <c r="H755" t="s">
        <v>517</v>
      </c>
      <c r="I755" t="s">
        <v>518</v>
      </c>
      <c r="J755" t="s">
        <v>54</v>
      </c>
      <c r="K755" t="s">
        <v>74</v>
      </c>
      <c r="L755" t="s">
        <v>3505</v>
      </c>
      <c r="M755" t="s">
        <v>42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210</v>
      </c>
      <c r="U755" t="s">
        <v>134</v>
      </c>
      <c r="W755" t="s">
        <v>3503</v>
      </c>
      <c r="X755" t="str">
        <v>11-08-24</v>
      </c>
      <c r="Y755" t="str">
        <v>10-08-24</v>
      </c>
      <c r="Z755" t="s">
        <v>3504</v>
      </c>
      <c r="AA755" t="str">
        <v>Aditi Sen</v>
      </c>
      <c r="AB755" t="str">
        <f>TRIM(PROPER(F:F))</f>
        <v>Corporate</v>
      </c>
      <c r="AC755" t="str">
        <f>TRIM(PROPER(G:G))</f>
        <v>North</v>
      </c>
      <c r="AD755" t="str">
        <f>TRIM(PROPER(H:H))</f>
        <v>Delhi</v>
      </c>
      <c r="AE755" t="str">
        <f>TRIM(PROPER(I:I))</f>
        <v>New Delhi</v>
      </c>
      <c r="AF755" t="str">
        <f t="shared" si="20"/>
        <v>Furniture</v>
      </c>
      <c r="AG755" t="str">
        <f t="shared" si="20"/>
        <v>Furnishings</v>
      </c>
      <c r="AH755" t="str">
        <f t="shared" si="20"/>
        <v>Elite Furnishings 588</v>
      </c>
      <c r="AI755" t="str">
        <f t="shared" si="20"/>
        <v>Second Class</v>
      </c>
      <c r="AJ755" s="3" t="str">
        <f t="shared" si="21"/>
        <v xml:space="preserve">  </v>
      </c>
      <c r="AK755">
        <f>IFERROR(Y755-X755, "invalid date")</f>
        <v>-1</v>
      </c>
      <c r="AL755" s="10">
        <v>0.15</v>
      </c>
      <c r="AM755" s="11">
        <v>2593.9109999999996</v>
      </c>
      <c r="AN755" s="11">
        <v>745.43099999999959</v>
      </c>
      <c r="AO755" s="10">
        <v>0.28737724617382776</v>
      </c>
      <c r="AP755" t="s">
        <v>4586</v>
      </c>
      <c r="AQ755" t="s">
        <v>4243</v>
      </c>
      <c r="AR755" t="s">
        <v>4114</v>
      </c>
      <c r="AS755" t="s">
        <v>4107</v>
      </c>
      <c r="AT755" t="s">
        <v>4121</v>
      </c>
      <c r="AU755">
        <v>-1</v>
      </c>
      <c r="AV755" t="s">
        <v>4109</v>
      </c>
    </row>
    <row r="756" spans="1:48">
      <c r="A756" t="s">
        <v>3506</v>
      </c>
      <c r="B756" t="s">
        <v>3507</v>
      </c>
      <c r="C756" t="s">
        <v>3507</v>
      </c>
      <c r="D756" t="s">
        <v>3508</v>
      </c>
      <c r="E756" t="s">
        <v>102</v>
      </c>
      <c r="F756" t="s">
        <v>117</v>
      </c>
      <c r="G756" t="s">
        <v>71</v>
      </c>
      <c r="H756" t="s">
        <v>252</v>
      </c>
      <c r="I756" t="s">
        <v>253</v>
      </c>
      <c r="J756" t="s">
        <v>39</v>
      </c>
      <c r="K756" t="s">
        <v>165</v>
      </c>
      <c r="L756" t="s">
        <v>3509</v>
      </c>
      <c r="M756" t="s">
        <v>76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43</v>
      </c>
      <c r="U756" t="s">
        <v>44</v>
      </c>
      <c r="W756" t="s">
        <v>3506</v>
      </c>
      <c r="X756" t="str">
        <v>06-04-25</v>
      </c>
      <c r="Y756" t="str">
        <v>06-04-25</v>
      </c>
      <c r="Z756" t="s">
        <v>3508</v>
      </c>
      <c r="AA756" t="str">
        <v>Neha Gupta</v>
      </c>
      <c r="AB756" t="str">
        <f>TRIM(PROPER(F:F))</f>
        <v>Corporate</v>
      </c>
      <c r="AC756" t="str">
        <f>TRIM(PROPER(G:G))</f>
        <v>South</v>
      </c>
      <c r="AD756" t="str">
        <f>TRIM(PROPER(H:H))</f>
        <v>Kerala</v>
      </c>
      <c r="AE756" t="str">
        <f>TRIM(PROPER(I:I))</f>
        <v>Kochi</v>
      </c>
      <c r="AF756" t="str">
        <f t="shared" si="20"/>
        <v>Office Supplies</v>
      </c>
      <c r="AG756" t="str">
        <f t="shared" si="20"/>
        <v>Storage</v>
      </c>
      <c r="AH756" t="str">
        <f t="shared" si="20"/>
        <v>Elite Storage 857</v>
      </c>
      <c r="AI756" t="str">
        <f t="shared" si="20"/>
        <v>Standard Class</v>
      </c>
      <c r="AJ756" s="3" t="str">
        <f t="shared" si="21"/>
        <v xml:space="preserve">  </v>
      </c>
      <c r="AK756">
        <f>IFERROR(Y756-X756, "invalid date")</f>
        <v>0</v>
      </c>
      <c r="AL756" s="10">
        <v>0.25</v>
      </c>
      <c r="AM756" s="11">
        <v>2674.02</v>
      </c>
      <c r="AN756" s="11">
        <v>466.44999999999982</v>
      </c>
      <c r="AO756" s="10">
        <v>0.17443773793763689</v>
      </c>
      <c r="AP756" t="s">
        <v>4417</v>
      </c>
      <c r="AQ756" t="s">
        <v>4417</v>
      </c>
      <c r="AR756" t="s">
        <v>4199</v>
      </c>
      <c r="AS756" t="s">
        <v>4120</v>
      </c>
      <c r="AT756" t="s">
        <v>4115</v>
      </c>
      <c r="AU756">
        <v>0</v>
      </c>
      <c r="AV756" t="s">
        <v>4109</v>
      </c>
    </row>
    <row r="757" spans="1:48">
      <c r="A757" t="s">
        <v>3510</v>
      </c>
      <c r="B757" t="s">
        <v>1104</v>
      </c>
      <c r="C757" t="s">
        <v>1738</v>
      </c>
      <c r="D757" t="s">
        <v>3511</v>
      </c>
      <c r="E757" t="s">
        <v>151</v>
      </c>
      <c r="F757" t="s">
        <v>124</v>
      </c>
      <c r="G757" t="s">
        <v>82</v>
      </c>
      <c r="H757" t="s">
        <v>93</v>
      </c>
      <c r="I757" t="s">
        <v>94</v>
      </c>
      <c r="J757" t="s">
        <v>39</v>
      </c>
      <c r="K757" t="s">
        <v>165</v>
      </c>
      <c r="L757" t="s">
        <v>3512</v>
      </c>
      <c r="M757" t="s">
        <v>42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43</v>
      </c>
      <c r="U757" t="s">
        <v>44</v>
      </c>
      <c r="W757" t="s">
        <v>3510</v>
      </c>
      <c r="X757" t="str">
        <v>20-07-25</v>
      </c>
      <c r="Y757" t="str">
        <v>24-07-25</v>
      </c>
      <c r="Z757" t="s">
        <v>3511</v>
      </c>
      <c r="AA757" t="str">
        <v>Priya Menon</v>
      </c>
      <c r="AB757" t="str">
        <f>TRIM(PROPER(F:F))</f>
        <v>Home Office</v>
      </c>
      <c r="AC757" t="str">
        <f>TRIM(PROPER(G:G))</f>
        <v>West</v>
      </c>
      <c r="AD757" t="str">
        <f>TRIM(PROPER(H:H))</f>
        <v>Madhya Pradesh</v>
      </c>
      <c r="AE757" t="str">
        <f>TRIM(PROPER(I:I))</f>
        <v>Indore</v>
      </c>
      <c r="AF757" t="str">
        <f t="shared" si="20"/>
        <v>Office Supplies</v>
      </c>
      <c r="AG757" t="str">
        <f t="shared" si="20"/>
        <v>Storage</v>
      </c>
      <c r="AH757" t="str">
        <f t="shared" si="20"/>
        <v>Prime Storage 183</v>
      </c>
      <c r="AI757" t="str">
        <f t="shared" si="20"/>
        <v>Second Class</v>
      </c>
      <c r="AJ757" s="3" t="str">
        <f t="shared" si="21"/>
        <v>anomaly</v>
      </c>
      <c r="AK757">
        <f>IFERROR(Y757-X757, "invalid date")</f>
        <v>4</v>
      </c>
      <c r="AL757" s="10">
        <v>0.2</v>
      </c>
      <c r="AM757" s="11">
        <v>9926.9599999999991</v>
      </c>
      <c r="AN757" s="11">
        <v>1931.9799999999996</v>
      </c>
      <c r="AO757" s="10">
        <v>0.19461950083409219</v>
      </c>
      <c r="AP757" t="s">
        <v>4375</v>
      </c>
      <c r="AQ757" t="s">
        <v>4335</v>
      </c>
      <c r="AR757" t="s">
        <v>4106</v>
      </c>
      <c r="AS757" t="s">
        <v>4120</v>
      </c>
      <c r="AT757" t="s">
        <v>4115</v>
      </c>
      <c r="AU757">
        <v>4</v>
      </c>
      <c r="AV757" t="s">
        <v>4109</v>
      </c>
    </row>
    <row r="758" spans="1:48">
      <c r="A758" t="s">
        <v>3513</v>
      </c>
      <c r="B758" t="s">
        <v>3514</v>
      </c>
      <c r="C758" t="s">
        <v>3515</v>
      </c>
      <c r="D758" t="s">
        <v>3516</v>
      </c>
      <c r="E758" t="s">
        <v>189</v>
      </c>
      <c r="F758" t="s">
        <v>35</v>
      </c>
      <c r="G758" t="s">
        <v>36</v>
      </c>
      <c r="H758" t="s">
        <v>37</v>
      </c>
      <c r="I758" t="s">
        <v>38</v>
      </c>
      <c r="J758" t="s">
        <v>95</v>
      </c>
      <c r="K758" t="s">
        <v>96</v>
      </c>
      <c r="L758" t="s">
        <v>3517</v>
      </c>
      <c r="M758" t="s">
        <v>57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43</v>
      </c>
      <c r="U758" t="s">
        <v>134</v>
      </c>
      <c r="W758" t="s">
        <v>3513</v>
      </c>
      <c r="X758" t="str">
        <v>invalid date</v>
      </c>
      <c r="Y758" t="str">
        <v>11-01-24</v>
      </c>
      <c r="Z758" t="s">
        <v>3516</v>
      </c>
      <c r="AA758" t="str">
        <v>Rohan Mehta</v>
      </c>
      <c r="AB758" t="str">
        <f>TRIM(PROPER(F:F))</f>
        <v>Consumer</v>
      </c>
      <c r="AC758" t="str">
        <f>TRIM(PROPER(G:G))</f>
        <v>North</v>
      </c>
      <c r="AD758" t="str">
        <f>TRIM(PROPER(H:H))</f>
        <v>Rajasthan</v>
      </c>
      <c r="AE758" t="str">
        <f>TRIM(PROPER(I:I))</f>
        <v>Jaipur</v>
      </c>
      <c r="AF758" t="str">
        <f t="shared" si="20"/>
        <v>Technology</v>
      </c>
      <c r="AG758" t="str">
        <f t="shared" si="20"/>
        <v>Accessories</v>
      </c>
      <c r="AH758" t="str">
        <f t="shared" si="20"/>
        <v>Smart Accessories 362</v>
      </c>
      <c r="AI758" t="str">
        <f t="shared" si="20"/>
        <v>Same Day</v>
      </c>
      <c r="AJ758" s="3" t="str">
        <f t="shared" si="21"/>
        <v>Invalid</v>
      </c>
      <c r="AK758" t="str">
        <f>IFERROR(Y758-X758, "invalid date")</f>
        <v>invalid date</v>
      </c>
      <c r="AL758" s="10">
        <v>0.2</v>
      </c>
      <c r="AM758" s="11">
        <v>12191.76</v>
      </c>
      <c r="AN758" s="11">
        <v>1734.2700000000004</v>
      </c>
      <c r="AO758" s="10">
        <v>0.14224935530226976</v>
      </c>
      <c r="AP758" t="s">
        <v>4105</v>
      </c>
      <c r="AQ758" t="s">
        <v>4685</v>
      </c>
      <c r="AR758" t="s">
        <v>4105</v>
      </c>
      <c r="AS758" t="s">
        <v>4105</v>
      </c>
      <c r="AT758" t="s">
        <v>4108</v>
      </c>
      <c r="AU758" t="s">
        <v>4105</v>
      </c>
      <c r="AV758" t="s">
        <v>4109</v>
      </c>
    </row>
    <row r="759" spans="1:48">
      <c r="A759" t="s">
        <v>3518</v>
      </c>
      <c r="B759" t="s">
        <v>3519</v>
      </c>
      <c r="C759" t="s">
        <v>3520</v>
      </c>
      <c r="D759" t="s">
        <v>3521</v>
      </c>
      <c r="E759" t="s">
        <v>116</v>
      </c>
      <c r="F759" t="s">
        <v>50</v>
      </c>
      <c r="G759" t="s">
        <v>71</v>
      </c>
      <c r="H759" t="s">
        <v>252</v>
      </c>
      <c r="I759" t="s">
        <v>253</v>
      </c>
      <c r="J759" t="s">
        <v>54</v>
      </c>
      <c r="K759" t="s">
        <v>214</v>
      </c>
      <c r="L759" t="s">
        <v>3522</v>
      </c>
      <c r="M759" t="s">
        <v>76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210</v>
      </c>
      <c r="U759" t="s">
        <v>87</v>
      </c>
      <c r="W759" t="s">
        <v>3518</v>
      </c>
      <c r="X759" t="str">
        <v>01-08-25</v>
      </c>
      <c r="Y759" t="str">
        <v>03-08-25</v>
      </c>
      <c r="Z759" t="s">
        <v>3521</v>
      </c>
      <c r="AA759" t="str">
        <v>Aditi Sen</v>
      </c>
      <c r="AB759" t="str">
        <f>TRIM(PROPER(F:F))</f>
        <v>Small Business</v>
      </c>
      <c r="AC759" t="str">
        <f>TRIM(PROPER(G:G))</f>
        <v>South</v>
      </c>
      <c r="AD759" t="str">
        <f>TRIM(PROPER(H:H))</f>
        <v>Kerala</v>
      </c>
      <c r="AE759" t="str">
        <f>TRIM(PROPER(I:I))</f>
        <v>Kochi</v>
      </c>
      <c r="AF759" t="str">
        <f t="shared" si="20"/>
        <v>Furniture</v>
      </c>
      <c r="AG759" t="str">
        <f t="shared" si="20"/>
        <v>Bookcases</v>
      </c>
      <c r="AH759" t="str">
        <f t="shared" si="20"/>
        <v>Classic Bookcases 310</v>
      </c>
      <c r="AI759" t="str">
        <f t="shared" si="20"/>
        <v>Standard Class</v>
      </c>
      <c r="AJ759" s="3" t="str">
        <f t="shared" si="21"/>
        <v>anomaly</v>
      </c>
      <c r="AK759">
        <f>IFERROR(Y759-X759, "invalid date")</f>
        <v>2</v>
      </c>
      <c r="AL759" s="10">
        <v>0.25</v>
      </c>
      <c r="AM759" s="11">
        <v>4285.7550000000001</v>
      </c>
      <c r="AN759" s="11">
        <v>1899.4250000000002</v>
      </c>
      <c r="AO759" s="10">
        <v>0.44319495631458172</v>
      </c>
      <c r="AP759" t="s">
        <v>4489</v>
      </c>
      <c r="AQ759" t="s">
        <v>4257</v>
      </c>
      <c r="AR759" t="s">
        <v>4114</v>
      </c>
      <c r="AS759" t="s">
        <v>4120</v>
      </c>
      <c r="AT759" t="s">
        <v>4115</v>
      </c>
      <c r="AU759">
        <v>2</v>
      </c>
      <c r="AV759" t="s">
        <v>4109</v>
      </c>
    </row>
    <row r="760" spans="1:48">
      <c r="A760" t="s">
        <v>3523</v>
      </c>
      <c r="B760" t="s">
        <v>3524</v>
      </c>
      <c r="C760" t="s">
        <v>2713</v>
      </c>
      <c r="D760" t="s">
        <v>3525</v>
      </c>
      <c r="E760" t="s">
        <v>171</v>
      </c>
      <c r="F760" t="s">
        <v>50</v>
      </c>
      <c r="G760" t="s">
        <v>71</v>
      </c>
      <c r="H760" t="s">
        <v>239</v>
      </c>
      <c r="I760" t="s">
        <v>240</v>
      </c>
      <c r="J760" t="s">
        <v>54</v>
      </c>
      <c r="K760" t="s">
        <v>85</v>
      </c>
      <c r="L760" t="s">
        <v>3526</v>
      </c>
      <c r="M760" t="s">
        <v>76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43</v>
      </c>
      <c r="U760" t="s">
        <v>44</v>
      </c>
      <c r="W760" t="s">
        <v>3523</v>
      </c>
      <c r="X760" t="str">
        <v>02-05-24</v>
      </c>
      <c r="Y760" t="str">
        <v>10-05-24</v>
      </c>
      <c r="Z760" t="s">
        <v>3525</v>
      </c>
      <c r="AA760" t="str">
        <v>Aarav Sharma</v>
      </c>
      <c r="AB760" t="str">
        <f>TRIM(PROPER(F:F))</f>
        <v>Small Business</v>
      </c>
      <c r="AC760" t="str">
        <f>TRIM(PROPER(G:G))</f>
        <v>South</v>
      </c>
      <c r="AD760" t="str">
        <f>TRIM(PROPER(H:H))</f>
        <v>Karnataka</v>
      </c>
      <c r="AE760" t="str">
        <f>TRIM(PROPER(I:I))</f>
        <v>Bengaluru</v>
      </c>
      <c r="AF760" t="str">
        <f t="shared" si="20"/>
        <v>Furniture</v>
      </c>
      <c r="AG760" t="str">
        <f t="shared" si="20"/>
        <v>Chairs</v>
      </c>
      <c r="AH760" t="str">
        <f t="shared" si="20"/>
        <v>Prime Chairs 721</v>
      </c>
      <c r="AI760" t="str">
        <f t="shared" si="20"/>
        <v>Standard Class</v>
      </c>
      <c r="AJ760" s="3" t="str">
        <f t="shared" si="21"/>
        <v>anomaly</v>
      </c>
      <c r="AK760">
        <f>IFERROR(Y760-X760, "invalid date")</f>
        <v>8</v>
      </c>
      <c r="AL760" s="10">
        <v>0</v>
      </c>
      <c r="AM760" s="11">
        <v>4166.91</v>
      </c>
      <c r="AN760" s="11">
        <v>754.27999999999975</v>
      </c>
      <c r="AO760" s="10">
        <v>0.18101662862888801</v>
      </c>
      <c r="AP760" t="s">
        <v>4344</v>
      </c>
      <c r="AQ760" t="s">
        <v>4562</v>
      </c>
      <c r="AR760" t="s">
        <v>4124</v>
      </c>
      <c r="AS760" t="s">
        <v>4107</v>
      </c>
      <c r="AT760" t="s">
        <v>4115</v>
      </c>
      <c r="AU760">
        <v>8</v>
      </c>
      <c r="AV760" t="s">
        <v>4109</v>
      </c>
    </row>
    <row r="761" spans="1:48">
      <c r="A761" t="s">
        <v>3527</v>
      </c>
      <c r="B761" t="s">
        <v>417</v>
      </c>
      <c r="C761" t="s">
        <v>3528</v>
      </c>
      <c r="D761" t="s">
        <v>3529</v>
      </c>
      <c r="E761" t="s">
        <v>70</v>
      </c>
      <c r="F761" t="s">
        <v>124</v>
      </c>
      <c r="G761" t="s">
        <v>71</v>
      </c>
      <c r="H761" t="s">
        <v>239</v>
      </c>
      <c r="I761" t="s">
        <v>240</v>
      </c>
      <c r="J761" t="s">
        <v>54</v>
      </c>
      <c r="K761" t="s">
        <v>55</v>
      </c>
      <c r="L761" t="s">
        <v>3530</v>
      </c>
      <c r="M761" t="s">
        <v>42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43</v>
      </c>
      <c r="U761" t="s">
        <v>44</v>
      </c>
      <c r="W761" t="s">
        <v>3527</v>
      </c>
      <c r="X761" t="str">
        <v>19-07-24</v>
      </c>
      <c r="Y761" t="str">
        <v>26-07-24</v>
      </c>
      <c r="Z761" t="s">
        <v>3529</v>
      </c>
      <c r="AA761" t="str">
        <v>Arjun Bose</v>
      </c>
      <c r="AB761" t="str">
        <f>TRIM(PROPER(F:F))</f>
        <v>Home Office</v>
      </c>
      <c r="AC761" t="str">
        <f>TRIM(PROPER(G:G))</f>
        <v>South</v>
      </c>
      <c r="AD761" t="str">
        <f>TRIM(PROPER(H:H))</f>
        <v>Karnataka</v>
      </c>
      <c r="AE761" t="str">
        <f>TRIM(PROPER(I:I))</f>
        <v>Bengaluru</v>
      </c>
      <c r="AF761" t="str">
        <f t="shared" si="20"/>
        <v>Furniture</v>
      </c>
      <c r="AG761" t="str">
        <f t="shared" si="20"/>
        <v>Tables</v>
      </c>
      <c r="AH761" t="str">
        <f t="shared" si="20"/>
        <v>Prime Tables 797</v>
      </c>
      <c r="AI761" t="str">
        <f t="shared" si="20"/>
        <v>Second Class</v>
      </c>
      <c r="AJ761" s="3" t="str">
        <f t="shared" si="21"/>
        <v>anomaly</v>
      </c>
      <c r="AK761">
        <f>IFERROR(Y761-X761, "invalid date")</f>
        <v>7</v>
      </c>
      <c r="AL761" s="10">
        <v>0.25</v>
      </c>
      <c r="AM761" s="11">
        <v>14947.537500000002</v>
      </c>
      <c r="AN761" s="11">
        <v>5509.0775000000031</v>
      </c>
      <c r="AO761" s="10">
        <v>0.36856087499362367</v>
      </c>
      <c r="AP761" t="s">
        <v>4194</v>
      </c>
      <c r="AQ761" t="s">
        <v>4529</v>
      </c>
      <c r="AR761" t="s">
        <v>4106</v>
      </c>
      <c r="AS761" t="s">
        <v>4107</v>
      </c>
      <c r="AT761" t="s">
        <v>4115</v>
      </c>
      <c r="AU761">
        <v>7</v>
      </c>
      <c r="AV761" t="s">
        <v>4109</v>
      </c>
    </row>
    <row r="762" spans="1:48">
      <c r="A762" t="s">
        <v>3531</v>
      </c>
      <c r="B762" t="s">
        <v>3532</v>
      </c>
      <c r="C762" t="s">
        <v>1204</v>
      </c>
      <c r="D762" t="s">
        <v>3533</v>
      </c>
      <c r="E762" t="s">
        <v>116</v>
      </c>
      <c r="F762" t="s">
        <v>124</v>
      </c>
      <c r="G762" t="s">
        <v>51</v>
      </c>
      <c r="H762" t="s">
        <v>226</v>
      </c>
      <c r="I762" t="s">
        <v>227</v>
      </c>
      <c r="J762" t="s">
        <v>39</v>
      </c>
      <c r="K762" t="s">
        <v>63</v>
      </c>
      <c r="L762" t="s">
        <v>3534</v>
      </c>
      <c r="M762" t="s">
        <v>42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146</v>
      </c>
      <c r="U762" t="s">
        <v>134</v>
      </c>
      <c r="W762" t="s">
        <v>3531</v>
      </c>
      <c r="X762" t="str">
        <v>28-08-24</v>
      </c>
      <c r="Y762" t="str">
        <v>02-09-24</v>
      </c>
      <c r="Z762" t="s">
        <v>3533</v>
      </c>
      <c r="AA762" t="str">
        <v>Aditi Sen</v>
      </c>
      <c r="AB762" t="str">
        <f>TRIM(PROPER(F:F))</f>
        <v>Home Office</v>
      </c>
      <c r="AC762" t="str">
        <f>TRIM(PROPER(G:G))</f>
        <v>East</v>
      </c>
      <c r="AD762" t="str">
        <f>TRIM(PROPER(H:H))</f>
        <v>Assam</v>
      </c>
      <c r="AE762" t="str">
        <f>TRIM(PROPER(I:I))</f>
        <v>Guwahati</v>
      </c>
      <c r="AF762" t="str">
        <f t="shared" ref="AF762:AI825" si="22">TRIM(PROPER(J:J))</f>
        <v>Office Supplies</v>
      </c>
      <c r="AG762" t="str">
        <f t="shared" si="22"/>
        <v>Art</v>
      </c>
      <c r="AH762" t="str">
        <f t="shared" si="22"/>
        <v>Max Art 926</v>
      </c>
      <c r="AI762" t="str">
        <f t="shared" si="22"/>
        <v>Second Class</v>
      </c>
      <c r="AJ762" s="3" t="str">
        <f t="shared" si="21"/>
        <v xml:space="preserve">  </v>
      </c>
      <c r="AK762">
        <f>IFERROR(Y762-X762, "invalid date")</f>
        <v>5</v>
      </c>
      <c r="AL762" s="10">
        <v>0</v>
      </c>
      <c r="AM762" s="11">
        <v>13462.12</v>
      </c>
      <c r="AN762" s="11">
        <v>5861.4900000000007</v>
      </c>
      <c r="AO762" s="10">
        <v>0.43540616188237813</v>
      </c>
      <c r="AP762" t="s">
        <v>4686</v>
      </c>
      <c r="AQ762" t="s">
        <v>4392</v>
      </c>
      <c r="AR762" t="s">
        <v>4114</v>
      </c>
      <c r="AS762" t="s">
        <v>4107</v>
      </c>
      <c r="AT762" t="s">
        <v>4121</v>
      </c>
      <c r="AU762">
        <v>5</v>
      </c>
      <c r="AV762" t="s">
        <v>4109</v>
      </c>
    </row>
    <row r="763" spans="1:48">
      <c r="A763" t="s">
        <v>3535</v>
      </c>
      <c r="B763" t="s">
        <v>466</v>
      </c>
      <c r="C763" t="s">
        <v>3536</v>
      </c>
      <c r="D763" t="s">
        <v>3537</v>
      </c>
      <c r="E763" t="s">
        <v>62</v>
      </c>
      <c r="F763" t="s">
        <v>35</v>
      </c>
      <c r="G763" t="s">
        <v>71</v>
      </c>
      <c r="H763" t="s">
        <v>239</v>
      </c>
      <c r="I763" t="s">
        <v>240</v>
      </c>
      <c r="J763" t="s">
        <v>95</v>
      </c>
      <c r="K763" t="s">
        <v>393</v>
      </c>
      <c r="L763" t="s">
        <v>3538</v>
      </c>
      <c r="M763" t="s">
        <v>65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43</v>
      </c>
      <c r="U763" t="s">
        <v>44</v>
      </c>
      <c r="W763" t="s">
        <v>3535</v>
      </c>
      <c r="X763" t="str">
        <v>27-08-25</v>
      </c>
      <c r="Y763" t="str">
        <v>invalid date</v>
      </c>
      <c r="Z763" t="s">
        <v>3537</v>
      </c>
      <c r="AA763" t="str">
        <v>Isha Nair</v>
      </c>
      <c r="AB763" t="str">
        <f>TRIM(PROPER(F:F))</f>
        <v>Consumer</v>
      </c>
      <c r="AC763" t="str">
        <f>TRIM(PROPER(G:G))</f>
        <v>South</v>
      </c>
      <c r="AD763" t="str">
        <f>TRIM(PROPER(H:H))</f>
        <v>Karnataka</v>
      </c>
      <c r="AE763" t="str">
        <f>TRIM(PROPER(I:I))</f>
        <v>Bengaluru</v>
      </c>
      <c r="AF763" t="str">
        <f t="shared" si="22"/>
        <v>Technology</v>
      </c>
      <c r="AG763" t="str">
        <f t="shared" si="22"/>
        <v>Machines</v>
      </c>
      <c r="AH763" t="str">
        <f t="shared" si="22"/>
        <v>Max Machines 364</v>
      </c>
      <c r="AI763" t="str">
        <f t="shared" si="22"/>
        <v>First Class</v>
      </c>
      <c r="AJ763" s="3" t="str">
        <f t="shared" si="21"/>
        <v>Invalid</v>
      </c>
      <c r="AK763" t="str">
        <f>IFERROR(Y763-X763, "invalid date")</f>
        <v>invalid date</v>
      </c>
      <c r="AL763" s="10">
        <v>0</v>
      </c>
      <c r="AM763" s="11">
        <v>7467.36</v>
      </c>
      <c r="AN763" s="11">
        <v>2456.75</v>
      </c>
      <c r="AO763" s="10">
        <v>0.32899846799940008</v>
      </c>
      <c r="AP763" t="s">
        <v>4230</v>
      </c>
      <c r="AQ763" t="s">
        <v>4105</v>
      </c>
      <c r="AR763" t="s">
        <v>4114</v>
      </c>
      <c r="AS763" t="s">
        <v>4120</v>
      </c>
      <c r="AT763" t="s">
        <v>4108</v>
      </c>
      <c r="AU763" t="s">
        <v>4105</v>
      </c>
      <c r="AV763" t="s">
        <v>4109</v>
      </c>
    </row>
    <row r="764" spans="1:48">
      <c r="A764" t="s">
        <v>3539</v>
      </c>
      <c r="B764" t="s">
        <v>3540</v>
      </c>
      <c r="C764" t="s">
        <v>3541</v>
      </c>
      <c r="D764" t="s">
        <v>3542</v>
      </c>
      <c r="E764" t="s">
        <v>220</v>
      </c>
      <c r="F764" t="s">
        <v>117</v>
      </c>
      <c r="G764" t="s">
        <v>82</v>
      </c>
      <c r="H764" t="s">
        <v>93</v>
      </c>
      <c r="I764" t="s">
        <v>94</v>
      </c>
      <c r="J764" t="s">
        <v>95</v>
      </c>
      <c r="K764" t="s">
        <v>393</v>
      </c>
      <c r="L764" t="s">
        <v>3543</v>
      </c>
      <c r="M764" t="s">
        <v>42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133</v>
      </c>
      <c r="U764" t="s">
        <v>134</v>
      </c>
      <c r="W764" t="s">
        <v>3539</v>
      </c>
      <c r="X764" t="str">
        <v>01-01-24</v>
      </c>
      <c r="Y764" t="str">
        <v>05-01-24</v>
      </c>
      <c r="Z764" t="s">
        <v>3542</v>
      </c>
      <c r="AA764" t="str">
        <v>Diya Patel</v>
      </c>
      <c r="AB764" t="str">
        <f>TRIM(PROPER(F:F))</f>
        <v>Corporate</v>
      </c>
      <c r="AC764" t="str">
        <f>TRIM(PROPER(G:G))</f>
        <v>West</v>
      </c>
      <c r="AD764" t="str">
        <f>TRIM(PROPER(H:H))</f>
        <v>Madhya Pradesh</v>
      </c>
      <c r="AE764" t="str">
        <f>TRIM(PROPER(I:I))</f>
        <v>Indore</v>
      </c>
      <c r="AF764" t="str">
        <f t="shared" si="22"/>
        <v>Technology</v>
      </c>
      <c r="AG764" t="str">
        <f t="shared" si="22"/>
        <v>Machines</v>
      </c>
      <c r="AH764" t="str">
        <f t="shared" si="22"/>
        <v>Classic Machines 122</v>
      </c>
      <c r="AI764" t="str">
        <f t="shared" si="22"/>
        <v>Second Class</v>
      </c>
      <c r="AJ764" s="3" t="str">
        <f t="shared" si="21"/>
        <v>anomaly</v>
      </c>
      <c r="AK764">
        <f>IFERROR(Y764-X764, "invalid date")</f>
        <v>4</v>
      </c>
      <c r="AL764" s="10">
        <v>0.2</v>
      </c>
      <c r="AM764" s="11">
        <v>5910.5920000000006</v>
      </c>
      <c r="AN764" s="11">
        <v>1135.152000000001</v>
      </c>
      <c r="AO764" s="10">
        <v>0.19205385856442145</v>
      </c>
      <c r="AP764" t="s">
        <v>4687</v>
      </c>
      <c r="AQ764" t="s">
        <v>4688</v>
      </c>
      <c r="AR764" t="s">
        <v>4153</v>
      </c>
      <c r="AS764" t="s">
        <v>4107</v>
      </c>
      <c r="AT764" t="s">
        <v>4115</v>
      </c>
      <c r="AU764">
        <v>4</v>
      </c>
      <c r="AV764" t="s">
        <v>4109</v>
      </c>
    </row>
    <row r="765" spans="1:48">
      <c r="A765" t="s">
        <v>3544</v>
      </c>
      <c r="B765" t="s">
        <v>3545</v>
      </c>
      <c r="C765" t="s">
        <v>3546</v>
      </c>
      <c r="D765" t="s">
        <v>3547</v>
      </c>
      <c r="E765" t="s">
        <v>220</v>
      </c>
      <c r="F765" t="s">
        <v>35</v>
      </c>
      <c r="G765" t="s">
        <v>36</v>
      </c>
      <c r="H765" t="s">
        <v>37</v>
      </c>
      <c r="I765" t="s">
        <v>38</v>
      </c>
      <c r="J765" t="s">
        <v>54</v>
      </c>
      <c r="K765" t="s">
        <v>74</v>
      </c>
      <c r="L765" t="s">
        <v>3548</v>
      </c>
      <c r="M765" t="s">
        <v>57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43</v>
      </c>
      <c r="U765" t="s">
        <v>44</v>
      </c>
      <c r="W765" t="s">
        <v>3544</v>
      </c>
      <c r="X765" t="str">
        <v>23-08-25</v>
      </c>
      <c r="Y765" t="str">
        <v>25-08-25</v>
      </c>
      <c r="Z765" t="s">
        <v>3547</v>
      </c>
      <c r="AA765" t="str">
        <v>Diya Patel</v>
      </c>
      <c r="AB765" t="str">
        <f>TRIM(PROPER(F:F))</f>
        <v>Consumer</v>
      </c>
      <c r="AC765" t="str">
        <f>TRIM(PROPER(G:G))</f>
        <v>North</v>
      </c>
      <c r="AD765" t="str">
        <f>TRIM(PROPER(H:H))</f>
        <v>Rajasthan</v>
      </c>
      <c r="AE765" t="str">
        <f>TRIM(PROPER(I:I))</f>
        <v>Jaipur</v>
      </c>
      <c r="AF765" t="str">
        <f t="shared" si="22"/>
        <v>Furniture</v>
      </c>
      <c r="AG765" t="str">
        <f t="shared" si="22"/>
        <v>Furnishings</v>
      </c>
      <c r="AH765" t="str">
        <f t="shared" si="22"/>
        <v>Elite Furnishings 169</v>
      </c>
      <c r="AI765" t="str">
        <f t="shared" si="22"/>
        <v>Same Day</v>
      </c>
      <c r="AJ765" s="3" t="str">
        <f t="shared" si="21"/>
        <v>anomaly</v>
      </c>
      <c r="AK765">
        <f>IFERROR(Y765-X765, "invalid date")</f>
        <v>2</v>
      </c>
      <c r="AL765" s="10">
        <v>0</v>
      </c>
      <c r="AM765" s="11">
        <v>16454.88</v>
      </c>
      <c r="AN765" s="11">
        <v>4373.34</v>
      </c>
      <c r="AO765" s="10">
        <v>0.26577769026574488</v>
      </c>
      <c r="AP765" t="s">
        <v>4281</v>
      </c>
      <c r="AQ765" t="s">
        <v>4689</v>
      </c>
      <c r="AR765" t="s">
        <v>4114</v>
      </c>
      <c r="AS765" t="s">
        <v>4120</v>
      </c>
      <c r="AT765" t="s">
        <v>4115</v>
      </c>
      <c r="AU765">
        <v>2</v>
      </c>
      <c r="AV765" t="s">
        <v>4109</v>
      </c>
    </row>
    <row r="766" spans="1:48">
      <c r="A766" t="s">
        <v>3549</v>
      </c>
      <c r="B766" t="s">
        <v>1871</v>
      </c>
      <c r="C766" t="s">
        <v>2922</v>
      </c>
      <c r="D766" t="s">
        <v>1363</v>
      </c>
      <c r="E766" t="s">
        <v>151</v>
      </c>
      <c r="F766" t="s">
        <v>117</v>
      </c>
      <c r="G766" t="s">
        <v>71</v>
      </c>
      <c r="H766" t="s">
        <v>252</v>
      </c>
      <c r="I766" t="s">
        <v>253</v>
      </c>
      <c r="J766" t="s">
        <v>54</v>
      </c>
      <c r="K766" t="s">
        <v>214</v>
      </c>
      <c r="L766" t="s">
        <v>3550</v>
      </c>
      <c r="M766" t="s">
        <v>65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43</v>
      </c>
      <c r="U766" t="s">
        <v>44</v>
      </c>
      <c r="W766" t="s">
        <v>3549</v>
      </c>
      <c r="X766" t="str">
        <v>13-04-25</v>
      </c>
      <c r="Y766" t="str">
        <v>13-04-25</v>
      </c>
      <c r="Z766" t="s">
        <v>1363</v>
      </c>
      <c r="AA766" t="str">
        <v>Priya Menon</v>
      </c>
      <c r="AB766" t="str">
        <f>TRIM(PROPER(F:F))</f>
        <v>Corporate</v>
      </c>
      <c r="AC766" t="str">
        <f>TRIM(PROPER(G:G))</f>
        <v>South</v>
      </c>
      <c r="AD766" t="str">
        <f>TRIM(PROPER(H:H))</f>
        <v>Kerala</v>
      </c>
      <c r="AE766" t="str">
        <f>TRIM(PROPER(I:I))</f>
        <v>Kochi</v>
      </c>
      <c r="AF766" t="str">
        <f t="shared" si="22"/>
        <v>Furniture</v>
      </c>
      <c r="AG766" t="str">
        <f t="shared" si="22"/>
        <v>Bookcases</v>
      </c>
      <c r="AH766" t="str">
        <f t="shared" si="22"/>
        <v>Pro Bookcases 615</v>
      </c>
      <c r="AI766" t="str">
        <f t="shared" si="22"/>
        <v>First Class</v>
      </c>
      <c r="AJ766" s="3" t="str">
        <f t="shared" si="21"/>
        <v xml:space="preserve">  </v>
      </c>
      <c r="AK766">
        <f>IFERROR(Y766-X766, "invalid date")</f>
        <v>0</v>
      </c>
      <c r="AL766" s="10">
        <v>0.05</v>
      </c>
      <c r="AM766" s="11">
        <v>25159.8</v>
      </c>
      <c r="AN766" s="11">
        <v>3552.9699999999975</v>
      </c>
      <c r="AO766" s="10">
        <v>0.14121614639226057</v>
      </c>
      <c r="AP766" t="s">
        <v>4513</v>
      </c>
      <c r="AQ766" t="s">
        <v>4513</v>
      </c>
      <c r="AR766" t="s">
        <v>4199</v>
      </c>
      <c r="AS766" t="s">
        <v>4120</v>
      </c>
      <c r="AT766" t="s">
        <v>4115</v>
      </c>
      <c r="AU766">
        <v>0</v>
      </c>
      <c r="AV766" t="s">
        <v>4109</v>
      </c>
    </row>
    <row r="767" spans="1:48">
      <c r="A767" t="s">
        <v>3551</v>
      </c>
      <c r="B767" t="s">
        <v>3552</v>
      </c>
      <c r="C767" t="s">
        <v>3553</v>
      </c>
      <c r="D767" t="s">
        <v>3554</v>
      </c>
      <c r="E767" t="s">
        <v>92</v>
      </c>
      <c r="F767" t="s">
        <v>117</v>
      </c>
      <c r="G767" t="s">
        <v>51</v>
      </c>
      <c r="H767" t="s">
        <v>322</v>
      </c>
      <c r="I767" t="s">
        <v>323</v>
      </c>
      <c r="J767" t="s">
        <v>39</v>
      </c>
      <c r="K767" t="s">
        <v>118</v>
      </c>
      <c r="L767" t="s">
        <v>3555</v>
      </c>
      <c r="M767" t="s">
        <v>65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43</v>
      </c>
      <c r="U767" t="s">
        <v>44</v>
      </c>
      <c r="W767" t="s">
        <v>3551</v>
      </c>
      <c r="X767" t="str">
        <v>29-06-25</v>
      </c>
      <c r="Y767" t="str">
        <v>03-07-25</v>
      </c>
      <c r="Z767" t="s">
        <v>3554</v>
      </c>
      <c r="AA767" t="str">
        <v>Vikram Iyer</v>
      </c>
      <c r="AB767" t="str">
        <f>TRIM(PROPER(F:F))</f>
        <v>Corporate</v>
      </c>
      <c r="AC767" t="str">
        <f>TRIM(PROPER(G:G))</f>
        <v>East</v>
      </c>
      <c r="AD767" t="str">
        <f>TRIM(PROPER(H:H))</f>
        <v>Jharkhand</v>
      </c>
      <c r="AE767" t="str">
        <f>TRIM(PROPER(I:I))</f>
        <v>Ranchi</v>
      </c>
      <c r="AF767" t="str">
        <f t="shared" si="22"/>
        <v>Office Supplies</v>
      </c>
      <c r="AG767" t="str">
        <f t="shared" si="22"/>
        <v>Labels</v>
      </c>
      <c r="AH767" t="str">
        <f t="shared" si="22"/>
        <v>Max Labels 136</v>
      </c>
      <c r="AI767" t="str">
        <f t="shared" si="22"/>
        <v>First Class</v>
      </c>
      <c r="AJ767" s="3" t="str">
        <f t="shared" si="21"/>
        <v xml:space="preserve">  </v>
      </c>
      <c r="AK767">
        <f>IFERROR(Y767-X767, "invalid date")</f>
        <v>4</v>
      </c>
      <c r="AL767" s="10">
        <v>0</v>
      </c>
      <c r="AM767" s="11">
        <v>1824.42</v>
      </c>
      <c r="AN767" s="11">
        <v>609.55000000000018</v>
      </c>
      <c r="AO767" s="10">
        <v>0.33410618169061956</v>
      </c>
      <c r="AP767" t="s">
        <v>4500</v>
      </c>
      <c r="AQ767" t="s">
        <v>4209</v>
      </c>
      <c r="AR767" t="s">
        <v>4170</v>
      </c>
      <c r="AS767" t="s">
        <v>4120</v>
      </c>
      <c r="AT767" t="s">
        <v>4121</v>
      </c>
      <c r="AU767">
        <v>4</v>
      </c>
      <c r="AV767" t="s">
        <v>4109</v>
      </c>
    </row>
    <row r="768" spans="1:48">
      <c r="A768" t="s">
        <v>3556</v>
      </c>
      <c r="B768" t="s">
        <v>3557</v>
      </c>
      <c r="C768" t="s">
        <v>2018</v>
      </c>
      <c r="D768" t="s">
        <v>3558</v>
      </c>
      <c r="E768" t="s">
        <v>49</v>
      </c>
      <c r="F768" t="s">
        <v>117</v>
      </c>
      <c r="G768" t="s">
        <v>82</v>
      </c>
      <c r="H768" t="s">
        <v>245</v>
      </c>
      <c r="I768" t="s">
        <v>246</v>
      </c>
      <c r="J768" t="s">
        <v>39</v>
      </c>
      <c r="K768" t="s">
        <v>63</v>
      </c>
      <c r="L768" t="s">
        <v>3559</v>
      </c>
      <c r="M768" t="s">
        <v>42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43</v>
      </c>
      <c r="U768" t="s">
        <v>87</v>
      </c>
      <c r="W768" t="s">
        <v>3556</v>
      </c>
      <c r="X768" t="str">
        <v>17-09-24</v>
      </c>
      <c r="Y768" t="str">
        <v>24-09-24</v>
      </c>
      <c r="Z768" t="s">
        <v>3558</v>
      </c>
      <c r="AA768" t="str">
        <v>Mira Das</v>
      </c>
      <c r="AB768" t="str">
        <f>TRIM(PROPER(F:F))</f>
        <v>Corporate</v>
      </c>
      <c r="AC768" t="str">
        <f>TRIM(PROPER(G:G))</f>
        <v>West</v>
      </c>
      <c r="AD768" t="str">
        <f>TRIM(PROPER(H:H))</f>
        <v>Gujarat</v>
      </c>
      <c r="AE768" t="str">
        <f>TRIM(PROPER(I:I))</f>
        <v>Ahmedabad</v>
      </c>
      <c r="AF768" t="str">
        <f t="shared" si="22"/>
        <v>Office Supplies</v>
      </c>
      <c r="AG768" t="str">
        <f t="shared" si="22"/>
        <v>Art</v>
      </c>
      <c r="AH768" t="str">
        <f t="shared" si="22"/>
        <v>Prime Art 380</v>
      </c>
      <c r="AI768" t="str">
        <f t="shared" si="22"/>
        <v>Second Class</v>
      </c>
      <c r="AJ768" s="3" t="str">
        <f t="shared" si="21"/>
        <v>anomaly</v>
      </c>
      <c r="AK768">
        <f>IFERROR(Y768-X768, "invalid date")</f>
        <v>7</v>
      </c>
      <c r="AL768" s="10">
        <v>0.2</v>
      </c>
      <c r="AM768" s="11">
        <v>16617.312000000002</v>
      </c>
      <c r="AN768" s="11">
        <v>7421.5820000000022</v>
      </c>
      <c r="AO768" s="10">
        <v>0.44661747940942564</v>
      </c>
      <c r="AP768" t="s">
        <v>4483</v>
      </c>
      <c r="AQ768" t="s">
        <v>4537</v>
      </c>
      <c r="AR768" t="s">
        <v>4134</v>
      </c>
      <c r="AS768" t="s">
        <v>4107</v>
      </c>
      <c r="AT768" t="s">
        <v>4115</v>
      </c>
      <c r="AU768">
        <v>7</v>
      </c>
      <c r="AV768" t="s">
        <v>4109</v>
      </c>
    </row>
    <row r="769" spans="1:48">
      <c r="A769" t="s">
        <v>3560</v>
      </c>
      <c r="B769" t="s">
        <v>3561</v>
      </c>
      <c r="C769" t="s">
        <v>2717</v>
      </c>
      <c r="D769" t="s">
        <v>3562</v>
      </c>
      <c r="E769" t="s">
        <v>81</v>
      </c>
      <c r="F769" t="s">
        <v>124</v>
      </c>
      <c r="G769" t="s">
        <v>36</v>
      </c>
      <c r="H769" t="s">
        <v>183</v>
      </c>
      <c r="I769" t="s">
        <v>184</v>
      </c>
      <c r="J769" t="s">
        <v>928</v>
      </c>
      <c r="K769" t="s">
        <v>208</v>
      </c>
      <c r="L769" t="s">
        <v>3563</v>
      </c>
      <c r="M769" t="s">
        <v>76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43</v>
      </c>
      <c r="U769" t="s">
        <v>44</v>
      </c>
      <c r="W769" t="s">
        <v>3560</v>
      </c>
      <c r="X769" t="str">
        <v>03-05-24</v>
      </c>
      <c r="Y769" t="str">
        <v>05-06-24</v>
      </c>
      <c r="Z769" t="s">
        <v>3562</v>
      </c>
      <c r="AA769" t="str">
        <v>Ananya Rao</v>
      </c>
      <c r="AB769" t="str">
        <f>TRIM(PROPER(F:F))</f>
        <v>Home Office</v>
      </c>
      <c r="AC769" t="str">
        <f>TRIM(PROPER(G:G))</f>
        <v>North</v>
      </c>
      <c r="AD769" t="str">
        <f>TRIM(PROPER(H:H))</f>
        <v>Uttar Pradesh</v>
      </c>
      <c r="AE769" t="str">
        <f>TRIM(PROPER(I:I))</f>
        <v>Noida</v>
      </c>
      <c r="AF769" t="str">
        <f t="shared" si="22"/>
        <v>Office Supplies</v>
      </c>
      <c r="AG769" t="str">
        <f t="shared" si="22"/>
        <v>Binders</v>
      </c>
      <c r="AH769" t="str">
        <f t="shared" si="22"/>
        <v>Classic Binders 234</v>
      </c>
      <c r="AI769" t="str">
        <f t="shared" si="22"/>
        <v>Standard Class</v>
      </c>
      <c r="AJ769" s="3" t="str">
        <f t="shared" si="21"/>
        <v>anomaly</v>
      </c>
      <c r="AK769">
        <f>IFERROR(Y769-X769, "invalid date")</f>
        <v>33</v>
      </c>
      <c r="AL769" s="10">
        <v>0.25</v>
      </c>
      <c r="AM769" s="11">
        <v>933.43499999999995</v>
      </c>
      <c r="AN769" s="11">
        <v>350.34499999999991</v>
      </c>
      <c r="AO769" s="10">
        <v>0.3753287588316272</v>
      </c>
      <c r="AP769" t="s">
        <v>4690</v>
      </c>
      <c r="AQ769" t="s">
        <v>4263</v>
      </c>
      <c r="AR769" t="s">
        <v>4124</v>
      </c>
      <c r="AS769" t="s">
        <v>4107</v>
      </c>
      <c r="AT769" t="s">
        <v>4115</v>
      </c>
      <c r="AU769">
        <v>33</v>
      </c>
      <c r="AV769" t="s">
        <v>4109</v>
      </c>
    </row>
    <row r="770" spans="1:48">
      <c r="A770" t="s">
        <v>3564</v>
      </c>
      <c r="B770" t="s">
        <v>1821</v>
      </c>
      <c r="C770" t="s">
        <v>3565</v>
      </c>
      <c r="D770" t="s">
        <v>3566</v>
      </c>
      <c r="E770" t="s">
        <v>177</v>
      </c>
      <c r="F770" t="s">
        <v>124</v>
      </c>
      <c r="G770" t="s">
        <v>51</v>
      </c>
      <c r="H770" t="s">
        <v>322</v>
      </c>
      <c r="I770" t="s">
        <v>323</v>
      </c>
      <c r="J770" t="s">
        <v>39</v>
      </c>
      <c r="K770" t="s">
        <v>40</v>
      </c>
      <c r="L770" t="s">
        <v>3567</v>
      </c>
      <c r="M770" t="s">
        <v>57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43</v>
      </c>
      <c r="U770" t="s">
        <v>44</v>
      </c>
      <c r="W770" t="s">
        <v>3564</v>
      </c>
      <c r="X770" t="str">
        <v>02-04-25</v>
      </c>
      <c r="Y770" t="str">
        <v>04-04-25</v>
      </c>
      <c r="Z770" t="s">
        <v>3566</v>
      </c>
      <c r="AA770" t="str">
        <v>Sneha Kapoor</v>
      </c>
      <c r="AB770" t="str">
        <f>TRIM(PROPER(F:F))</f>
        <v>Home Office</v>
      </c>
      <c r="AC770" t="str">
        <f>TRIM(PROPER(G:G))</f>
        <v>East</v>
      </c>
      <c r="AD770" t="str">
        <f>TRIM(PROPER(H:H))</f>
        <v>Jharkhand</v>
      </c>
      <c r="AE770" t="str">
        <f>TRIM(PROPER(I:I))</f>
        <v>Ranchi</v>
      </c>
      <c r="AF770" t="str">
        <f t="shared" si="22"/>
        <v>Office Supplies</v>
      </c>
      <c r="AG770" t="str">
        <f t="shared" si="22"/>
        <v>Paper</v>
      </c>
      <c r="AH770" t="str">
        <f t="shared" si="22"/>
        <v>Classic Paper 280</v>
      </c>
      <c r="AI770" t="str">
        <f t="shared" si="22"/>
        <v>Same Day</v>
      </c>
      <c r="AJ770" s="3" t="str">
        <f t="shared" si="21"/>
        <v>anomaly</v>
      </c>
      <c r="AK770">
        <f>IFERROR(Y770-X770, "invalid date")</f>
        <v>2</v>
      </c>
      <c r="AL770" s="10">
        <v>0.1</v>
      </c>
      <c r="AM770" s="11">
        <v>14554.08</v>
      </c>
      <c r="AN770" s="11">
        <v>3387.24</v>
      </c>
      <c r="AO770" s="10">
        <v>0.23273473830018798</v>
      </c>
      <c r="AP770" t="s">
        <v>4503</v>
      </c>
      <c r="AQ770" t="s">
        <v>4656</v>
      </c>
      <c r="AR770" t="s">
        <v>4199</v>
      </c>
      <c r="AS770" t="s">
        <v>4120</v>
      </c>
      <c r="AT770" t="s">
        <v>4115</v>
      </c>
      <c r="AU770">
        <v>2</v>
      </c>
      <c r="AV770" t="s">
        <v>4109</v>
      </c>
    </row>
    <row r="771" spans="1:48">
      <c r="A771" t="s">
        <v>3568</v>
      </c>
      <c r="B771" t="s">
        <v>3569</v>
      </c>
      <c r="C771" t="s">
        <v>2027</v>
      </c>
      <c r="D771" t="s">
        <v>3570</v>
      </c>
      <c r="E771" t="s">
        <v>151</v>
      </c>
      <c r="F771" t="s">
        <v>124</v>
      </c>
      <c r="G771" t="s">
        <v>82</v>
      </c>
      <c r="H771" t="s">
        <v>259</v>
      </c>
      <c r="I771" t="s">
        <v>260</v>
      </c>
      <c r="J771" t="s">
        <v>54</v>
      </c>
      <c r="K771" t="s">
        <v>214</v>
      </c>
      <c r="L771" t="s">
        <v>3571</v>
      </c>
      <c r="M771" t="s">
        <v>57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43</v>
      </c>
      <c r="U771" t="s">
        <v>44</v>
      </c>
      <c r="W771" t="s">
        <v>3568</v>
      </c>
      <c r="X771" t="str">
        <v>05-11-24</v>
      </c>
      <c r="Y771" t="str">
        <v>13-05-24</v>
      </c>
      <c r="Z771" t="s">
        <v>3570</v>
      </c>
      <c r="AA771" t="str">
        <v>Priya Menon</v>
      </c>
      <c r="AB771" t="str">
        <f>TRIM(PROPER(F:F))</f>
        <v>Home Office</v>
      </c>
      <c r="AC771" t="str">
        <f>TRIM(PROPER(G:G))</f>
        <v>West</v>
      </c>
      <c r="AD771" t="str">
        <f>TRIM(PROPER(H:H))</f>
        <v>Goa</v>
      </c>
      <c r="AE771" t="str">
        <f>TRIM(PROPER(I:I))</f>
        <v>Panaji</v>
      </c>
      <c r="AF771" t="str">
        <f t="shared" si="22"/>
        <v>Furniture</v>
      </c>
      <c r="AG771" t="str">
        <f t="shared" si="22"/>
        <v>Bookcases</v>
      </c>
      <c r="AH771" t="str">
        <f t="shared" si="22"/>
        <v>Classic Bookcases 922</v>
      </c>
      <c r="AI771" t="str">
        <f t="shared" si="22"/>
        <v>Same Day</v>
      </c>
      <c r="AJ771" s="3" t="str">
        <f t="shared" ref="AJ771:AJ834" si="23">IF(OR(X:X="Invalid Date",Y:Y="Invalid Date"),"Invalid",(IF(X:X&lt;Y:Y,"anomaly", "  ")))</f>
        <v>anomaly</v>
      </c>
      <c r="AK771">
        <f>IFERROR(Y771-X771, "invalid date")</f>
        <v>-176</v>
      </c>
      <c r="AL771" s="10">
        <v>0.25</v>
      </c>
      <c r="AM771" s="11">
        <v>8128.6875</v>
      </c>
      <c r="AN771" s="11">
        <v>3057.0275000000001</v>
      </c>
      <c r="AO771" s="10">
        <v>0.3760788565189645</v>
      </c>
      <c r="AP771" t="s">
        <v>4422</v>
      </c>
      <c r="AQ771" t="s">
        <v>4520</v>
      </c>
      <c r="AR771" t="s">
        <v>4117</v>
      </c>
      <c r="AS771" t="s">
        <v>4107</v>
      </c>
      <c r="AT771" t="s">
        <v>4115</v>
      </c>
      <c r="AU771">
        <v>-176</v>
      </c>
      <c r="AV771" t="s">
        <v>4109</v>
      </c>
    </row>
    <row r="772" spans="1:48">
      <c r="A772" t="s">
        <v>3572</v>
      </c>
      <c r="B772" t="s">
        <v>2316</v>
      </c>
      <c r="C772" t="s">
        <v>2771</v>
      </c>
      <c r="D772" t="s">
        <v>3573</v>
      </c>
      <c r="E772" t="s">
        <v>102</v>
      </c>
      <c r="F772" t="s">
        <v>35</v>
      </c>
      <c r="G772" t="s">
        <v>36</v>
      </c>
      <c r="H772" t="s">
        <v>183</v>
      </c>
      <c r="I772" t="s">
        <v>184</v>
      </c>
      <c r="J772" t="s">
        <v>95</v>
      </c>
      <c r="K772" t="s">
        <v>103</v>
      </c>
      <c r="L772" t="s">
        <v>3574</v>
      </c>
      <c r="M772" t="s">
        <v>65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43</v>
      </c>
      <c r="U772" t="s">
        <v>44</v>
      </c>
      <c r="W772" t="s">
        <v>3572</v>
      </c>
      <c r="X772" t="str">
        <v>invalid date</v>
      </c>
      <c r="Y772" t="str">
        <v>17-02-24</v>
      </c>
      <c r="Z772" t="s">
        <v>3573</v>
      </c>
      <c r="AA772" t="str">
        <v>Neha Gupta</v>
      </c>
      <c r="AB772" t="str">
        <f>TRIM(PROPER(F:F))</f>
        <v>Consumer</v>
      </c>
      <c r="AC772" t="str">
        <f>TRIM(PROPER(G:G))</f>
        <v>North</v>
      </c>
      <c r="AD772" t="str">
        <f>TRIM(PROPER(H:H))</f>
        <v>Uttar Pradesh</v>
      </c>
      <c r="AE772" t="str">
        <f>TRIM(PROPER(I:I))</f>
        <v>Noida</v>
      </c>
      <c r="AF772" t="str">
        <f t="shared" si="22"/>
        <v>Technology</v>
      </c>
      <c r="AG772" t="str">
        <f t="shared" si="22"/>
        <v>Copiers</v>
      </c>
      <c r="AH772" t="str">
        <f t="shared" si="22"/>
        <v>Eco Copiers 396</v>
      </c>
      <c r="AI772" t="str">
        <f t="shared" si="22"/>
        <v>First Class</v>
      </c>
      <c r="AJ772" s="3" t="str">
        <f t="shared" si="23"/>
        <v>Invalid</v>
      </c>
      <c r="AK772" t="str">
        <f>IFERROR(Y772-X772, "invalid date")</f>
        <v>invalid date</v>
      </c>
      <c r="AL772" s="10">
        <v>0</v>
      </c>
      <c r="AM772" s="11">
        <v>3452</v>
      </c>
      <c r="AN772" s="11">
        <v>1075.3800000000001</v>
      </c>
      <c r="AO772" s="10">
        <v>0.3115237543453071</v>
      </c>
      <c r="AP772" t="s">
        <v>4105</v>
      </c>
      <c r="AQ772" t="s">
        <v>4292</v>
      </c>
      <c r="AR772" t="s">
        <v>4105</v>
      </c>
      <c r="AS772" t="s">
        <v>4105</v>
      </c>
      <c r="AT772" t="s">
        <v>4108</v>
      </c>
      <c r="AU772" t="s">
        <v>4105</v>
      </c>
      <c r="AV772" t="s">
        <v>4109</v>
      </c>
    </row>
    <row r="773" spans="1:48">
      <c r="A773" t="s">
        <v>3575</v>
      </c>
      <c r="B773" t="s">
        <v>3576</v>
      </c>
      <c r="C773" t="s">
        <v>2632</v>
      </c>
      <c r="D773" t="s">
        <v>701</v>
      </c>
      <c r="E773" t="s">
        <v>81</v>
      </c>
      <c r="F773" t="s">
        <v>35</v>
      </c>
      <c r="G773" t="s">
        <v>36</v>
      </c>
      <c r="H773" t="s">
        <v>334</v>
      </c>
      <c r="I773" t="s">
        <v>335</v>
      </c>
      <c r="J773" t="s">
        <v>95</v>
      </c>
      <c r="K773" t="s">
        <v>393</v>
      </c>
      <c r="L773" t="s">
        <v>3577</v>
      </c>
      <c r="M773" t="s">
        <v>42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43</v>
      </c>
      <c r="U773" t="s">
        <v>44</v>
      </c>
      <c r="W773" t="s">
        <v>3575</v>
      </c>
      <c r="X773" t="str">
        <v>12-07-24</v>
      </c>
      <c r="Y773" t="str">
        <v>14-07-24</v>
      </c>
      <c r="Z773" t="s">
        <v>701</v>
      </c>
      <c r="AA773" t="str">
        <v>Ananya Rao</v>
      </c>
      <c r="AB773" t="str">
        <f>TRIM(PROPER(F:F))</f>
        <v>Consumer</v>
      </c>
      <c r="AC773" t="str">
        <f>TRIM(PROPER(G:G))</f>
        <v>North</v>
      </c>
      <c r="AD773" t="str">
        <f>TRIM(PROPER(H:H))</f>
        <v>Haryana</v>
      </c>
      <c r="AE773" t="str">
        <f>TRIM(PROPER(I:I))</f>
        <v>Gurugram</v>
      </c>
      <c r="AF773" t="str">
        <f t="shared" si="22"/>
        <v>Technology</v>
      </c>
      <c r="AG773" t="str">
        <f t="shared" si="22"/>
        <v>Machines</v>
      </c>
      <c r="AH773" t="str">
        <f t="shared" si="22"/>
        <v>Basic Machines 401</v>
      </c>
      <c r="AI773" t="str">
        <f t="shared" si="22"/>
        <v>Second Class</v>
      </c>
      <c r="AJ773" s="3" t="str">
        <f t="shared" si="23"/>
        <v>anomaly</v>
      </c>
      <c r="AK773">
        <f>IFERROR(Y773-X773, "invalid date")</f>
        <v>2</v>
      </c>
      <c r="AL773" s="10">
        <v>0</v>
      </c>
      <c r="AM773" s="11">
        <v>8525.64</v>
      </c>
      <c r="AN773" s="11">
        <v>5004.9499999999989</v>
      </c>
      <c r="AO773" s="10">
        <v>0.58704683753946907</v>
      </c>
      <c r="AP773" t="s">
        <v>4396</v>
      </c>
      <c r="AQ773" t="s">
        <v>4609</v>
      </c>
      <c r="AR773" t="s">
        <v>4106</v>
      </c>
      <c r="AS773" t="s">
        <v>4107</v>
      </c>
      <c r="AT773" t="s">
        <v>4115</v>
      </c>
      <c r="AU773">
        <v>2</v>
      </c>
      <c r="AV773" t="s">
        <v>4109</v>
      </c>
    </row>
    <row r="774" spans="1:48">
      <c r="A774" t="s">
        <v>3578</v>
      </c>
      <c r="B774" t="s">
        <v>180</v>
      </c>
      <c r="C774" t="s">
        <v>1580</v>
      </c>
      <c r="D774" t="s">
        <v>3579</v>
      </c>
      <c r="E774" t="s">
        <v>220</v>
      </c>
      <c r="F774" t="s">
        <v>35</v>
      </c>
      <c r="G774" t="s">
        <v>71</v>
      </c>
      <c r="H774" t="s">
        <v>350</v>
      </c>
      <c r="I774" t="s">
        <v>351</v>
      </c>
      <c r="J774" t="s">
        <v>54</v>
      </c>
      <c r="K774" t="s">
        <v>85</v>
      </c>
      <c r="L774" t="s">
        <v>3580</v>
      </c>
      <c r="M774" t="s">
        <v>57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146</v>
      </c>
      <c r="U774" t="s">
        <v>87</v>
      </c>
      <c r="W774" t="s">
        <v>3578</v>
      </c>
      <c r="X774" t="str">
        <v>invalid date</v>
      </c>
      <c r="Y774" t="str">
        <v>19-07-25</v>
      </c>
      <c r="Z774" t="s">
        <v>3579</v>
      </c>
      <c r="AA774" t="str">
        <v>Diya Patel</v>
      </c>
      <c r="AB774" t="str">
        <f>TRIM(PROPER(F:F))</f>
        <v>Consumer</v>
      </c>
      <c r="AC774" t="str">
        <f>TRIM(PROPER(G:G))</f>
        <v>South</v>
      </c>
      <c r="AD774" t="str">
        <f>TRIM(PROPER(H:H))</f>
        <v>Tamil Nadu</v>
      </c>
      <c r="AE774" t="str">
        <f>TRIM(PROPER(I:I))</f>
        <v>Chennai</v>
      </c>
      <c r="AF774" t="str">
        <f t="shared" si="22"/>
        <v>Furniture</v>
      </c>
      <c r="AG774" t="str">
        <f t="shared" si="22"/>
        <v>Chairs</v>
      </c>
      <c r="AH774" t="str">
        <f t="shared" si="22"/>
        <v>Basic Chairs 279</v>
      </c>
      <c r="AI774" t="str">
        <f t="shared" si="22"/>
        <v>Same Day</v>
      </c>
      <c r="AJ774" s="3" t="str">
        <f t="shared" si="23"/>
        <v>Invalid</v>
      </c>
      <c r="AK774" t="str">
        <f>IFERROR(Y774-X774, "invalid date")</f>
        <v>invalid date</v>
      </c>
      <c r="AL774" s="10">
        <v>0.05</v>
      </c>
      <c r="AM774" s="11">
        <v>3708.0589999999997</v>
      </c>
      <c r="AN774" s="11">
        <v>947.76899999999978</v>
      </c>
      <c r="AO774" s="10">
        <v>0.25559706574248142</v>
      </c>
      <c r="AP774" t="s">
        <v>4105</v>
      </c>
      <c r="AQ774" t="s">
        <v>4459</v>
      </c>
      <c r="AR774" t="s">
        <v>4105</v>
      </c>
      <c r="AS774" t="s">
        <v>4105</v>
      </c>
      <c r="AT774" t="s">
        <v>4108</v>
      </c>
      <c r="AU774" t="s">
        <v>4105</v>
      </c>
      <c r="AV774" t="s">
        <v>4109</v>
      </c>
    </row>
    <row r="775" spans="1:48">
      <c r="A775" t="s">
        <v>3581</v>
      </c>
      <c r="B775" t="s">
        <v>3582</v>
      </c>
      <c r="C775" t="s">
        <v>3583</v>
      </c>
      <c r="D775" t="s">
        <v>3584</v>
      </c>
      <c r="E775" t="s">
        <v>34</v>
      </c>
      <c r="F775" t="s">
        <v>124</v>
      </c>
      <c r="G775" t="s">
        <v>82</v>
      </c>
      <c r="H775" t="s">
        <v>245</v>
      </c>
      <c r="I775" t="s">
        <v>246</v>
      </c>
      <c r="J775" t="s">
        <v>95</v>
      </c>
      <c r="K775" t="s">
        <v>233</v>
      </c>
      <c r="L775" t="s">
        <v>3585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43</v>
      </c>
      <c r="U775" t="s">
        <v>44</v>
      </c>
      <c r="W775" t="s">
        <v>3581</v>
      </c>
      <c r="X775" t="str">
        <v>21-02-25</v>
      </c>
      <c r="Y775" t="str">
        <v>21-02-25</v>
      </c>
      <c r="Z775" t="s">
        <v>3584</v>
      </c>
      <c r="AA775" t="str">
        <v>Karan Malhotra</v>
      </c>
      <c r="AB775" t="str">
        <f>TRIM(PROPER(F:F))</f>
        <v>Home Office</v>
      </c>
      <c r="AC775" t="str">
        <f>TRIM(PROPER(G:G))</f>
        <v>West</v>
      </c>
      <c r="AD775" t="str">
        <f>TRIM(PROPER(H:H))</f>
        <v>Gujarat</v>
      </c>
      <c r="AE775" t="str">
        <f>TRIM(PROPER(I:I))</f>
        <v>Ahmedabad</v>
      </c>
      <c r="AF775" t="str">
        <f t="shared" si="22"/>
        <v>Technology</v>
      </c>
      <c r="AG775" t="str">
        <f t="shared" si="22"/>
        <v>Phones</v>
      </c>
      <c r="AH775" t="str">
        <f t="shared" si="22"/>
        <v>Basic Phones 753</v>
      </c>
      <c r="AI775" s="4" t="s">
        <v>282</v>
      </c>
      <c r="AJ775" s="3" t="str">
        <f t="shared" si="23"/>
        <v xml:space="preserve">  </v>
      </c>
      <c r="AK775">
        <f>IFERROR(Y775-X775, "invalid date")</f>
        <v>0</v>
      </c>
      <c r="AL775" s="10">
        <v>0.2</v>
      </c>
      <c r="AM775" s="11">
        <v>9424.2240000000002</v>
      </c>
      <c r="AN775" s="11">
        <v>3245.3040000000001</v>
      </c>
      <c r="AO775" s="10">
        <v>0.3443576892909167</v>
      </c>
      <c r="AP775" t="s">
        <v>4497</v>
      </c>
      <c r="AQ775" t="s">
        <v>4497</v>
      </c>
      <c r="AR775" t="s">
        <v>4129</v>
      </c>
      <c r="AS775" t="s">
        <v>4120</v>
      </c>
      <c r="AT775" t="s">
        <v>4115</v>
      </c>
      <c r="AU775">
        <v>0</v>
      </c>
      <c r="AV775" t="s">
        <v>4109</v>
      </c>
    </row>
    <row r="776" spans="1:48">
      <c r="A776" t="s">
        <v>3586</v>
      </c>
      <c r="B776" t="s">
        <v>3587</v>
      </c>
      <c r="C776" t="s">
        <v>1808</v>
      </c>
      <c r="D776" t="s">
        <v>3588</v>
      </c>
      <c r="E776" t="s">
        <v>377</v>
      </c>
      <c r="F776" t="s">
        <v>35</v>
      </c>
      <c r="G776" t="s">
        <v>82</v>
      </c>
      <c r="H776" t="s">
        <v>37</v>
      </c>
      <c r="I776" t="s">
        <v>144</v>
      </c>
      <c r="J776" t="s">
        <v>95</v>
      </c>
      <c r="K776" t="s">
        <v>393</v>
      </c>
      <c r="L776" t="s">
        <v>3589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43</v>
      </c>
      <c r="U776" t="s">
        <v>44</v>
      </c>
      <c r="W776" t="s">
        <v>3586</v>
      </c>
      <c r="X776" t="str">
        <v>07-08-25</v>
      </c>
      <c r="Y776" t="str">
        <v>07-08-25</v>
      </c>
      <c r="Z776" t="s">
        <v>3588</v>
      </c>
      <c r="AA776" t="str">
        <v>Kabir Singh</v>
      </c>
      <c r="AB776" t="str">
        <f>TRIM(PROPER(F:F))</f>
        <v>Consumer</v>
      </c>
      <c r="AC776" t="str">
        <f>TRIM(PROPER(G:G))</f>
        <v>West</v>
      </c>
      <c r="AD776" t="str">
        <f>TRIM(PROPER(H:H))</f>
        <v>Rajasthan</v>
      </c>
      <c r="AE776" t="str">
        <f>TRIM(PROPER(I:I))</f>
        <v>Udaipur</v>
      </c>
      <c r="AF776" t="str">
        <f t="shared" si="22"/>
        <v>Technology</v>
      </c>
      <c r="AG776" t="str">
        <f t="shared" si="22"/>
        <v>Machines</v>
      </c>
      <c r="AH776" t="str">
        <f t="shared" si="22"/>
        <v>Smart Machines 789</v>
      </c>
      <c r="AI776" s="4" t="s">
        <v>282</v>
      </c>
      <c r="AJ776" s="3" t="str">
        <f t="shared" si="23"/>
        <v xml:space="preserve">  </v>
      </c>
      <c r="AK776">
        <f>IFERROR(Y776-X776, "invalid date")</f>
        <v>0</v>
      </c>
      <c r="AL776" s="10">
        <v>0.2</v>
      </c>
      <c r="AM776" s="11">
        <v>7752.6</v>
      </c>
      <c r="AN776" s="11">
        <v>3063.3</v>
      </c>
      <c r="AO776" s="10">
        <v>0.39513195573098059</v>
      </c>
      <c r="AP776" t="s">
        <v>4238</v>
      </c>
      <c r="AQ776" t="s">
        <v>4238</v>
      </c>
      <c r="AR776" t="s">
        <v>4114</v>
      </c>
      <c r="AS776" t="s">
        <v>4120</v>
      </c>
      <c r="AT776" t="s">
        <v>4115</v>
      </c>
      <c r="AU776">
        <v>0</v>
      </c>
      <c r="AV776" t="s">
        <v>4109</v>
      </c>
    </row>
    <row r="777" spans="1:48">
      <c r="A777" t="s">
        <v>3590</v>
      </c>
      <c r="B777" t="s">
        <v>3591</v>
      </c>
      <c r="C777" t="s">
        <v>3592</v>
      </c>
      <c r="D777" t="s">
        <v>3593</v>
      </c>
      <c r="E777" t="s">
        <v>70</v>
      </c>
      <c r="F777" t="s">
        <v>35</v>
      </c>
      <c r="G777" t="s">
        <v>36</v>
      </c>
      <c r="H777" t="s">
        <v>334</v>
      </c>
      <c r="I777" t="s">
        <v>335</v>
      </c>
      <c r="J777" t="s">
        <v>95</v>
      </c>
      <c r="K777" t="s">
        <v>96</v>
      </c>
      <c r="L777" t="s">
        <v>3594</v>
      </c>
      <c r="M777" t="s">
        <v>76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43</v>
      </c>
      <c r="U777" t="s">
        <v>44</v>
      </c>
      <c r="W777" t="s">
        <v>3590</v>
      </c>
      <c r="X777" t="str">
        <v>14-04-24</v>
      </c>
      <c r="Y777" t="str">
        <v>22-04-24</v>
      </c>
      <c r="Z777" t="s">
        <v>3593</v>
      </c>
      <c r="AA777" t="str">
        <v>Arjun Bose</v>
      </c>
      <c r="AB777" t="str">
        <f>TRIM(PROPER(F:F))</f>
        <v>Consumer</v>
      </c>
      <c r="AC777" t="str">
        <f>TRIM(PROPER(G:G))</f>
        <v>North</v>
      </c>
      <c r="AD777" t="str">
        <f>TRIM(PROPER(H:H))</f>
        <v>Haryana</v>
      </c>
      <c r="AE777" t="str">
        <f>TRIM(PROPER(I:I))</f>
        <v>Gurugram</v>
      </c>
      <c r="AF777" t="str">
        <f t="shared" si="22"/>
        <v>Technology</v>
      </c>
      <c r="AG777" t="str">
        <f t="shared" si="22"/>
        <v>Accessories</v>
      </c>
      <c r="AH777" t="str">
        <f t="shared" si="22"/>
        <v>Elite Accessories 312</v>
      </c>
      <c r="AI777" t="str">
        <f t="shared" si="22"/>
        <v>Standard Class</v>
      </c>
      <c r="AJ777" s="3" t="str">
        <f t="shared" si="23"/>
        <v>anomaly</v>
      </c>
      <c r="AK777">
        <f>IFERROR(Y777-X777, "invalid date")</f>
        <v>8</v>
      </c>
      <c r="AL777" s="10">
        <v>0.25</v>
      </c>
      <c r="AM777" s="11">
        <v>23736.720000000001</v>
      </c>
      <c r="AN777" s="11">
        <v>9845.8200000000015</v>
      </c>
      <c r="AO777" s="10">
        <v>0.41479277676106896</v>
      </c>
      <c r="AP777" t="s">
        <v>4437</v>
      </c>
      <c r="AQ777" t="s">
        <v>4223</v>
      </c>
      <c r="AR777" t="s">
        <v>4199</v>
      </c>
      <c r="AS777" t="s">
        <v>4107</v>
      </c>
      <c r="AT777" t="s">
        <v>4115</v>
      </c>
      <c r="AU777">
        <v>8</v>
      </c>
      <c r="AV777" t="s">
        <v>4109</v>
      </c>
    </row>
    <row r="778" spans="1:48">
      <c r="A778" t="s">
        <v>3595</v>
      </c>
      <c r="B778" t="s">
        <v>3596</v>
      </c>
      <c r="C778" t="s">
        <v>2360</v>
      </c>
      <c r="D778" t="s">
        <v>3597</v>
      </c>
      <c r="E778" t="s">
        <v>116</v>
      </c>
      <c r="F778" t="s">
        <v>50</v>
      </c>
      <c r="G778" t="s">
        <v>36</v>
      </c>
      <c r="H778" t="s">
        <v>37</v>
      </c>
      <c r="I778" t="s">
        <v>38</v>
      </c>
      <c r="J778" t="s">
        <v>95</v>
      </c>
      <c r="K778" t="s">
        <v>103</v>
      </c>
      <c r="L778" t="s">
        <v>3598</v>
      </c>
      <c r="M778" t="s">
        <v>42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43</v>
      </c>
      <c r="U778" t="s">
        <v>44</v>
      </c>
      <c r="W778" t="s">
        <v>3595</v>
      </c>
      <c r="X778" t="str">
        <v>08-06-25</v>
      </c>
      <c r="Y778" t="str">
        <v>invalid date</v>
      </c>
      <c r="Z778" t="s">
        <v>3597</v>
      </c>
      <c r="AA778" t="str">
        <v>Aditi Sen</v>
      </c>
      <c r="AB778" t="str">
        <f>TRIM(PROPER(F:F))</f>
        <v>Small Business</v>
      </c>
      <c r="AC778" t="str">
        <f>TRIM(PROPER(G:G))</f>
        <v>North</v>
      </c>
      <c r="AD778" t="str">
        <f>TRIM(PROPER(H:H))</f>
        <v>Rajasthan</v>
      </c>
      <c r="AE778" t="str">
        <f>TRIM(PROPER(I:I))</f>
        <v>Jaipur</v>
      </c>
      <c r="AF778" t="str">
        <f t="shared" si="22"/>
        <v>Technology</v>
      </c>
      <c r="AG778" t="str">
        <f t="shared" si="22"/>
        <v>Copiers</v>
      </c>
      <c r="AH778" t="str">
        <f t="shared" si="22"/>
        <v>Eco Copiers 528</v>
      </c>
      <c r="AI778" t="str">
        <f t="shared" si="22"/>
        <v>Second Class</v>
      </c>
      <c r="AJ778" s="3" t="str">
        <f t="shared" si="23"/>
        <v>Invalid</v>
      </c>
      <c r="AK778" t="str">
        <f>IFERROR(Y778-X778, "invalid date")</f>
        <v>invalid date</v>
      </c>
      <c r="AL778" s="10">
        <v>0</v>
      </c>
      <c r="AM778" s="11">
        <v>26999.91</v>
      </c>
      <c r="AN778" s="11">
        <v>9183.93</v>
      </c>
      <c r="AO778" s="10">
        <v>0.34014668937785347</v>
      </c>
      <c r="AP778" t="s">
        <v>4691</v>
      </c>
      <c r="AQ778" t="s">
        <v>4105</v>
      </c>
      <c r="AR778" t="s">
        <v>4170</v>
      </c>
      <c r="AS778" t="s">
        <v>4120</v>
      </c>
      <c r="AT778" t="s">
        <v>4108</v>
      </c>
      <c r="AU778" t="s">
        <v>4105</v>
      </c>
      <c r="AV778" t="s">
        <v>4109</v>
      </c>
    </row>
    <row r="779" spans="1:48">
      <c r="A779" t="s">
        <v>3599</v>
      </c>
      <c r="B779" t="s">
        <v>3600</v>
      </c>
      <c r="C779" t="s">
        <v>2289</v>
      </c>
      <c r="D779" t="s">
        <v>3601</v>
      </c>
      <c r="E779" t="s">
        <v>377</v>
      </c>
      <c r="F779" t="s">
        <v>50</v>
      </c>
      <c r="G779" t="s">
        <v>82</v>
      </c>
      <c r="H779" t="s">
        <v>93</v>
      </c>
      <c r="I779" t="s">
        <v>94</v>
      </c>
      <c r="J779" t="s">
        <v>95</v>
      </c>
      <c r="K779" t="s">
        <v>96</v>
      </c>
      <c r="L779" t="s">
        <v>3602</v>
      </c>
      <c r="M779" t="s">
        <v>42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210</v>
      </c>
      <c r="U779" t="s">
        <v>87</v>
      </c>
      <c r="W779" t="s">
        <v>3599</v>
      </c>
      <c r="X779" t="str">
        <v>04-02-24</v>
      </c>
      <c r="Y779" t="str">
        <v>06-02-24</v>
      </c>
      <c r="Z779" t="s">
        <v>3601</v>
      </c>
      <c r="AA779" t="str">
        <v>Kabir Singh</v>
      </c>
      <c r="AB779" t="str">
        <f>TRIM(PROPER(F:F))</f>
        <v>Small Business</v>
      </c>
      <c r="AC779" t="str">
        <f>TRIM(PROPER(G:G))</f>
        <v>West</v>
      </c>
      <c r="AD779" t="str">
        <f>TRIM(PROPER(H:H))</f>
        <v>Madhya Pradesh</v>
      </c>
      <c r="AE779" t="str">
        <f>TRIM(PROPER(I:I))</f>
        <v>Indore</v>
      </c>
      <c r="AF779" t="str">
        <f t="shared" si="22"/>
        <v>Technology</v>
      </c>
      <c r="AG779" t="str">
        <f t="shared" si="22"/>
        <v>Accessories</v>
      </c>
      <c r="AH779" t="str">
        <f t="shared" si="22"/>
        <v>Elite Accessories 226</v>
      </c>
      <c r="AI779" t="str">
        <f t="shared" si="22"/>
        <v>Second Class</v>
      </c>
      <c r="AJ779" s="3" t="str">
        <f t="shared" si="23"/>
        <v>anomaly</v>
      </c>
      <c r="AK779">
        <f>IFERROR(Y779-X779, "invalid date")</f>
        <v>2</v>
      </c>
      <c r="AL779" s="10">
        <v>0.15</v>
      </c>
      <c r="AM779" s="11">
        <v>5065.116</v>
      </c>
      <c r="AN779" s="11">
        <v>1534.9960000000001</v>
      </c>
      <c r="AO779" s="10">
        <v>0.30305248685321323</v>
      </c>
      <c r="AP779" t="s">
        <v>4557</v>
      </c>
      <c r="AQ779" t="s">
        <v>4415</v>
      </c>
      <c r="AR779" t="s">
        <v>4129</v>
      </c>
      <c r="AS779" t="s">
        <v>4107</v>
      </c>
      <c r="AT779" t="s">
        <v>4115</v>
      </c>
      <c r="AU779">
        <v>2</v>
      </c>
      <c r="AV779" t="s">
        <v>4109</v>
      </c>
    </row>
    <row r="780" spans="1:48">
      <c r="A780" t="s">
        <v>3603</v>
      </c>
      <c r="B780" t="s">
        <v>725</v>
      </c>
      <c r="C780" t="s">
        <v>3604</v>
      </c>
      <c r="D780" t="s">
        <v>3605</v>
      </c>
      <c r="E780" t="s">
        <v>34</v>
      </c>
      <c r="F780" t="s">
        <v>50</v>
      </c>
      <c r="G780" t="s">
        <v>36</v>
      </c>
      <c r="H780" t="s">
        <v>334</v>
      </c>
      <c r="I780" t="s">
        <v>335</v>
      </c>
      <c r="J780" t="s">
        <v>95</v>
      </c>
      <c r="K780" t="s">
        <v>103</v>
      </c>
      <c r="L780" t="s">
        <v>3606</v>
      </c>
      <c r="M780" t="s">
        <v>42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43</v>
      </c>
      <c r="U780" t="s">
        <v>44</v>
      </c>
      <c r="W780" t="s">
        <v>3603</v>
      </c>
      <c r="X780" t="str">
        <v>invalid date</v>
      </c>
      <c r="Y780" t="str">
        <v>24-07-24</v>
      </c>
      <c r="Z780" t="s">
        <v>3605</v>
      </c>
      <c r="AA780" t="str">
        <v>Karan Malhotra</v>
      </c>
      <c r="AB780" t="str">
        <f>TRIM(PROPER(F:F))</f>
        <v>Small Business</v>
      </c>
      <c r="AC780" t="str">
        <f>TRIM(PROPER(G:G))</f>
        <v>North</v>
      </c>
      <c r="AD780" t="str">
        <f>TRIM(PROPER(H:H))</f>
        <v>Haryana</v>
      </c>
      <c r="AE780" t="str">
        <f>TRIM(PROPER(I:I))</f>
        <v>Gurugram</v>
      </c>
      <c r="AF780" t="str">
        <f t="shared" si="22"/>
        <v>Technology</v>
      </c>
      <c r="AG780" t="str">
        <f t="shared" si="22"/>
        <v>Copiers</v>
      </c>
      <c r="AH780" t="str">
        <f t="shared" si="22"/>
        <v>Pro Copiers 298</v>
      </c>
      <c r="AI780" t="str">
        <f t="shared" si="22"/>
        <v>Second Class</v>
      </c>
      <c r="AJ780" s="3" t="str">
        <f t="shared" si="23"/>
        <v>Invalid</v>
      </c>
      <c r="AK780" t="str">
        <f>IFERROR(Y780-X780, "invalid date")</f>
        <v>invalid date</v>
      </c>
      <c r="AL780" s="10">
        <v>0</v>
      </c>
      <c r="AM780" s="11">
        <v>6707.52</v>
      </c>
      <c r="AN780" s="11">
        <v>1034.9500000000007</v>
      </c>
      <c r="AO780" s="10">
        <v>0.15429696817899918</v>
      </c>
      <c r="AP780" t="s">
        <v>4105</v>
      </c>
      <c r="AQ780" t="s">
        <v>4476</v>
      </c>
      <c r="AR780" t="s">
        <v>4105</v>
      </c>
      <c r="AS780" t="s">
        <v>4105</v>
      </c>
      <c r="AT780" t="s">
        <v>4108</v>
      </c>
      <c r="AU780" t="s">
        <v>4105</v>
      </c>
      <c r="AV780" t="s">
        <v>4109</v>
      </c>
    </row>
    <row r="781" spans="1:48">
      <c r="A781" t="s">
        <v>3607</v>
      </c>
      <c r="B781" t="s">
        <v>2214</v>
      </c>
      <c r="C781" t="s">
        <v>3608</v>
      </c>
      <c r="D781" t="s">
        <v>3609</v>
      </c>
      <c r="E781" t="s">
        <v>151</v>
      </c>
      <c r="F781" t="s">
        <v>50</v>
      </c>
      <c r="G781" t="s">
        <v>71</v>
      </c>
      <c r="H781" t="s">
        <v>109</v>
      </c>
      <c r="I781" t="s">
        <v>110</v>
      </c>
      <c r="J781" t="s">
        <v>54</v>
      </c>
      <c r="K781" t="s">
        <v>85</v>
      </c>
      <c r="L781" t="s">
        <v>3610</v>
      </c>
      <c r="M781" t="s">
        <v>76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43</v>
      </c>
      <c r="U781" t="s">
        <v>44</v>
      </c>
      <c r="W781" t="s">
        <v>3607</v>
      </c>
      <c r="X781" t="str">
        <v>invalid date</v>
      </c>
      <c r="Y781" t="str">
        <v>20-01-24</v>
      </c>
      <c r="Z781" t="s">
        <v>3609</v>
      </c>
      <c r="AA781" t="str">
        <v>Priya Menon</v>
      </c>
      <c r="AB781" t="str">
        <f>TRIM(PROPER(F:F))</f>
        <v>Small Business</v>
      </c>
      <c r="AC781" t="str">
        <f>TRIM(PROPER(G:G))</f>
        <v>South</v>
      </c>
      <c r="AD781" t="str">
        <f>TRIM(PROPER(H:H))</f>
        <v>Andhra Pradesh</v>
      </c>
      <c r="AE781" t="str">
        <f>TRIM(PROPER(I:I))</f>
        <v>Vijayawada</v>
      </c>
      <c r="AF781" t="str">
        <f t="shared" si="22"/>
        <v>Furniture</v>
      </c>
      <c r="AG781" t="str">
        <f t="shared" si="22"/>
        <v>Chairs</v>
      </c>
      <c r="AH781" t="str">
        <f t="shared" si="22"/>
        <v>Prime Chairs 331</v>
      </c>
      <c r="AI781" t="str">
        <f t="shared" si="22"/>
        <v>Standard Class</v>
      </c>
      <c r="AJ781" s="3" t="str">
        <f t="shared" si="23"/>
        <v>Invalid</v>
      </c>
      <c r="AK781" t="str">
        <f>IFERROR(Y781-X781, "invalid date")</f>
        <v>invalid date</v>
      </c>
      <c r="AL781" s="10">
        <v>0.05</v>
      </c>
      <c r="AM781" s="11">
        <v>11983.451999999999</v>
      </c>
      <c r="AN781" s="11">
        <v>3410.5519999999997</v>
      </c>
      <c r="AO781" s="10">
        <v>0.2846051371507976</v>
      </c>
      <c r="AP781" t="s">
        <v>4105</v>
      </c>
      <c r="AQ781" t="s">
        <v>4312</v>
      </c>
      <c r="AR781" t="s">
        <v>4105</v>
      </c>
      <c r="AS781" t="s">
        <v>4105</v>
      </c>
      <c r="AT781" t="s">
        <v>4108</v>
      </c>
      <c r="AU781" t="s">
        <v>4105</v>
      </c>
      <c r="AV781" t="s">
        <v>4109</v>
      </c>
    </row>
    <row r="782" spans="1:48">
      <c r="A782" t="s">
        <v>3611</v>
      </c>
      <c r="B782" t="s">
        <v>3612</v>
      </c>
      <c r="C782" t="s">
        <v>2663</v>
      </c>
      <c r="D782" t="s">
        <v>3613</v>
      </c>
      <c r="E782" t="s">
        <v>220</v>
      </c>
      <c r="F782" t="s">
        <v>50</v>
      </c>
      <c r="G782" t="s">
        <v>82</v>
      </c>
      <c r="H782" t="s">
        <v>37</v>
      </c>
      <c r="I782" t="s">
        <v>144</v>
      </c>
      <c r="J782" t="s">
        <v>54</v>
      </c>
      <c r="K782" t="s">
        <v>85</v>
      </c>
      <c r="L782" t="s">
        <v>3614</v>
      </c>
      <c r="M782" t="s">
        <v>57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43</v>
      </c>
      <c r="U782" t="s">
        <v>44</v>
      </c>
      <c r="W782" t="s">
        <v>3611</v>
      </c>
      <c r="X782" t="str">
        <v>04-08-24</v>
      </c>
      <c r="Y782" t="str">
        <v>08-10-24</v>
      </c>
      <c r="Z782" t="s">
        <v>3613</v>
      </c>
      <c r="AA782" t="str">
        <v>Diya Patel</v>
      </c>
      <c r="AB782" t="str">
        <f>TRIM(PROPER(F:F))</f>
        <v>Small Business</v>
      </c>
      <c r="AC782" t="str">
        <f>TRIM(PROPER(G:G))</f>
        <v>West</v>
      </c>
      <c r="AD782" t="str">
        <f>TRIM(PROPER(H:H))</f>
        <v>Rajasthan</v>
      </c>
      <c r="AE782" t="str">
        <f>TRIM(PROPER(I:I))</f>
        <v>Udaipur</v>
      </c>
      <c r="AF782" t="str">
        <f t="shared" si="22"/>
        <v>Furniture</v>
      </c>
      <c r="AG782" t="str">
        <f t="shared" si="22"/>
        <v>Chairs</v>
      </c>
      <c r="AH782" t="str">
        <f t="shared" si="22"/>
        <v>Classic Chairs 798</v>
      </c>
      <c r="AI782" t="str">
        <f t="shared" si="22"/>
        <v>Same Day</v>
      </c>
      <c r="AJ782" s="3" t="str">
        <f t="shared" si="23"/>
        <v>anomaly</v>
      </c>
      <c r="AK782">
        <f>IFERROR(Y782-X782, "invalid date")</f>
        <v>65</v>
      </c>
      <c r="AL782" s="10">
        <v>0.2</v>
      </c>
      <c r="AM782" s="11">
        <v>1364.576</v>
      </c>
      <c r="AN782" s="11">
        <v>386.41600000000005</v>
      </c>
      <c r="AO782" s="10">
        <v>0.28317660577351506</v>
      </c>
      <c r="AP782" t="s">
        <v>4248</v>
      </c>
      <c r="AQ782" t="s">
        <v>4616</v>
      </c>
      <c r="AR782" t="s">
        <v>4114</v>
      </c>
      <c r="AS782" t="s">
        <v>4107</v>
      </c>
      <c r="AT782" t="s">
        <v>4115</v>
      </c>
      <c r="AU782">
        <v>65</v>
      </c>
      <c r="AV782" t="s">
        <v>4109</v>
      </c>
    </row>
    <row r="783" spans="1:48">
      <c r="A783" t="s">
        <v>3615</v>
      </c>
      <c r="B783" t="s">
        <v>3616</v>
      </c>
      <c r="C783" t="s">
        <v>2138</v>
      </c>
      <c r="D783" t="s">
        <v>3617</v>
      </c>
      <c r="E783" t="s">
        <v>34</v>
      </c>
      <c r="F783" t="s">
        <v>124</v>
      </c>
      <c r="G783" t="s">
        <v>82</v>
      </c>
      <c r="H783" t="s">
        <v>37</v>
      </c>
      <c r="I783" t="s">
        <v>144</v>
      </c>
      <c r="J783" t="s">
        <v>39</v>
      </c>
      <c r="K783" t="s">
        <v>118</v>
      </c>
      <c r="L783" t="s">
        <v>3618</v>
      </c>
      <c r="M783" t="s">
        <v>65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146</v>
      </c>
      <c r="U783" t="s">
        <v>134</v>
      </c>
      <c r="W783" t="s">
        <v>3615</v>
      </c>
      <c r="X783" t="str">
        <v>02-02-24</v>
      </c>
      <c r="Y783" t="str">
        <v>10-02-24</v>
      </c>
      <c r="Z783" t="s">
        <v>3617</v>
      </c>
      <c r="AA783" t="str">
        <v>Karan Malhotra</v>
      </c>
      <c r="AB783" t="str">
        <f>TRIM(PROPER(F:F))</f>
        <v>Home Office</v>
      </c>
      <c r="AC783" t="str">
        <f>TRIM(PROPER(G:G))</f>
        <v>West</v>
      </c>
      <c r="AD783" t="str">
        <f>TRIM(PROPER(H:H))</f>
        <v>Rajasthan</v>
      </c>
      <c r="AE783" t="str">
        <f>TRIM(PROPER(I:I))</f>
        <v>Udaipur</v>
      </c>
      <c r="AF783" t="str">
        <f t="shared" si="22"/>
        <v>Office Supplies</v>
      </c>
      <c r="AG783" t="str">
        <f t="shared" si="22"/>
        <v>Labels</v>
      </c>
      <c r="AH783" t="str">
        <f t="shared" si="22"/>
        <v>Classic Labels 204</v>
      </c>
      <c r="AI783" t="str">
        <f t="shared" si="22"/>
        <v>First Class</v>
      </c>
      <c r="AJ783" s="3" t="str">
        <f t="shared" si="23"/>
        <v>anomaly</v>
      </c>
      <c r="AK783">
        <f>IFERROR(Y783-X783, "invalid date")</f>
        <v>8</v>
      </c>
      <c r="AL783" s="10">
        <v>0.25</v>
      </c>
      <c r="AM783" s="11">
        <v>862.64999999999986</v>
      </c>
      <c r="AN783" s="11">
        <v>258.91999999999985</v>
      </c>
      <c r="AO783" s="10">
        <v>0.30014490233582553</v>
      </c>
      <c r="AP783" t="s">
        <v>4307</v>
      </c>
      <c r="AQ783" t="s">
        <v>4444</v>
      </c>
      <c r="AR783" t="s">
        <v>4129</v>
      </c>
      <c r="AS783" t="s">
        <v>4107</v>
      </c>
      <c r="AT783" t="s">
        <v>4115</v>
      </c>
      <c r="AU783">
        <v>8</v>
      </c>
      <c r="AV783" t="s">
        <v>4109</v>
      </c>
    </row>
    <row r="784" spans="1:48">
      <c r="A784" t="s">
        <v>3619</v>
      </c>
      <c r="B784" t="s">
        <v>1444</v>
      </c>
      <c r="C784" t="s">
        <v>3620</v>
      </c>
      <c r="D784" t="s">
        <v>3621</v>
      </c>
      <c r="E784" t="s">
        <v>49</v>
      </c>
      <c r="F784" t="s">
        <v>117</v>
      </c>
      <c r="G784" t="s">
        <v>51</v>
      </c>
      <c r="H784" t="s">
        <v>130</v>
      </c>
      <c r="I784" t="s">
        <v>131</v>
      </c>
      <c r="J784" t="s">
        <v>95</v>
      </c>
      <c r="K784" t="s">
        <v>103</v>
      </c>
      <c r="L784" t="s">
        <v>3622</v>
      </c>
      <c r="M784" t="s">
        <v>76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43</v>
      </c>
      <c r="U784" t="s">
        <v>44</v>
      </c>
      <c r="W784" t="s">
        <v>3619</v>
      </c>
      <c r="X784" t="str">
        <v>14-03-25</v>
      </c>
      <c r="Y784" t="str">
        <v>invalid date</v>
      </c>
      <c r="Z784" t="s">
        <v>3621</v>
      </c>
      <c r="AA784" t="str">
        <v>Mira Das</v>
      </c>
      <c r="AB784" t="str">
        <f>TRIM(PROPER(F:F))</f>
        <v>Corporate</v>
      </c>
      <c r="AC784" t="str">
        <f>TRIM(PROPER(G:G))</f>
        <v>East</v>
      </c>
      <c r="AD784" t="str">
        <f>TRIM(PROPER(H:H))</f>
        <v>West Bengal</v>
      </c>
      <c r="AE784" t="str">
        <f>TRIM(PROPER(I:I))</f>
        <v>Kolkata</v>
      </c>
      <c r="AF784" t="str">
        <f t="shared" si="22"/>
        <v>Technology</v>
      </c>
      <c r="AG784" t="str">
        <f t="shared" si="22"/>
        <v>Copiers</v>
      </c>
      <c r="AH784" t="str">
        <f t="shared" si="22"/>
        <v>Basic Copiers 254</v>
      </c>
      <c r="AI784" t="str">
        <f t="shared" si="22"/>
        <v>Standard Class</v>
      </c>
      <c r="AJ784" s="3" t="str">
        <f t="shared" si="23"/>
        <v>Invalid</v>
      </c>
      <c r="AK784" t="str">
        <f>IFERROR(Y784-X784, "invalid date")</f>
        <v>invalid date</v>
      </c>
      <c r="AL784" s="10">
        <v>0.15</v>
      </c>
      <c r="AM784" s="11">
        <v>1138.3709999999999</v>
      </c>
      <c r="AN784" s="11">
        <v>341.03099999999984</v>
      </c>
      <c r="AO784" s="10">
        <v>0.29957808131092578</v>
      </c>
      <c r="AP784" t="s">
        <v>4439</v>
      </c>
      <c r="AQ784" t="s">
        <v>4105</v>
      </c>
      <c r="AR784" t="s">
        <v>4159</v>
      </c>
      <c r="AS784" t="s">
        <v>4120</v>
      </c>
      <c r="AT784" t="s">
        <v>4108</v>
      </c>
      <c r="AU784" t="s">
        <v>4105</v>
      </c>
      <c r="AV784" t="s">
        <v>4109</v>
      </c>
    </row>
    <row r="785" spans="1:48">
      <c r="A785" t="s">
        <v>3623</v>
      </c>
      <c r="B785" t="s">
        <v>3624</v>
      </c>
      <c r="C785" t="s">
        <v>3625</v>
      </c>
      <c r="D785" t="s">
        <v>3626</v>
      </c>
      <c r="E785" t="s">
        <v>171</v>
      </c>
      <c r="F785" t="s">
        <v>50</v>
      </c>
      <c r="G785" t="s">
        <v>51</v>
      </c>
      <c r="H785" t="s">
        <v>196</v>
      </c>
      <c r="I785" t="s">
        <v>197</v>
      </c>
      <c r="J785" t="s">
        <v>39</v>
      </c>
      <c r="K785" t="s">
        <v>63</v>
      </c>
      <c r="L785" t="s">
        <v>3627</v>
      </c>
      <c r="M785" t="s">
        <v>42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43</v>
      </c>
      <c r="U785" t="s">
        <v>44</v>
      </c>
      <c r="W785" t="s">
        <v>3623</v>
      </c>
      <c r="X785" t="str">
        <v>07-06-24</v>
      </c>
      <c r="Y785" t="str">
        <v>07-06-24</v>
      </c>
      <c r="Z785" t="s">
        <v>3626</v>
      </c>
      <c r="AA785" t="str">
        <v>Aarav Sharma</v>
      </c>
      <c r="AB785" t="str">
        <f>TRIM(PROPER(F:F))</f>
        <v>Small Business</v>
      </c>
      <c r="AC785" t="str">
        <f>TRIM(PROPER(G:G))</f>
        <v>East</v>
      </c>
      <c r="AD785" t="str">
        <f>TRIM(PROPER(H:H))</f>
        <v>Bihar</v>
      </c>
      <c r="AE785" t="str">
        <f>TRIM(PROPER(I:I))</f>
        <v>Patna</v>
      </c>
      <c r="AF785" t="str">
        <f t="shared" si="22"/>
        <v>Office Supplies</v>
      </c>
      <c r="AG785" t="str">
        <f t="shared" si="22"/>
        <v>Art</v>
      </c>
      <c r="AH785" t="str">
        <f t="shared" si="22"/>
        <v>Basic Art 709</v>
      </c>
      <c r="AI785" t="str">
        <f t="shared" si="22"/>
        <v>Second Class</v>
      </c>
      <c r="AJ785" s="3" t="str">
        <f t="shared" si="23"/>
        <v xml:space="preserve">  </v>
      </c>
      <c r="AK785">
        <f>IFERROR(Y785-X785, "invalid date")</f>
        <v>0</v>
      </c>
      <c r="AL785" s="10">
        <v>0.05</v>
      </c>
      <c r="AM785" s="11">
        <v>2452.8334999999997</v>
      </c>
      <c r="AN785" s="11">
        <v>546.13349999999969</v>
      </c>
      <c r="AO785" s="10">
        <v>0.22265412634000625</v>
      </c>
      <c r="AP785" t="s">
        <v>4264</v>
      </c>
      <c r="AQ785" t="s">
        <v>4264</v>
      </c>
      <c r="AR785" t="s">
        <v>4170</v>
      </c>
      <c r="AS785" t="s">
        <v>4107</v>
      </c>
      <c r="AT785" t="s">
        <v>4115</v>
      </c>
      <c r="AU785">
        <v>0</v>
      </c>
      <c r="AV785" t="s">
        <v>4109</v>
      </c>
    </row>
    <row r="786" spans="1:48">
      <c r="A786" t="s">
        <v>3628</v>
      </c>
      <c r="B786" t="s">
        <v>3629</v>
      </c>
      <c r="C786" t="s">
        <v>2562</v>
      </c>
      <c r="D786" t="s">
        <v>3630</v>
      </c>
      <c r="E786" t="s">
        <v>151</v>
      </c>
      <c r="F786" t="s">
        <v>117</v>
      </c>
      <c r="G786" t="s">
        <v>3631</v>
      </c>
      <c r="H786" t="s">
        <v>163</v>
      </c>
      <c r="I786" t="s">
        <v>164</v>
      </c>
      <c r="J786" t="s">
        <v>95</v>
      </c>
      <c r="K786" t="s">
        <v>103</v>
      </c>
      <c r="L786" t="s">
        <v>3632</v>
      </c>
      <c r="M786" t="s">
        <v>65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43</v>
      </c>
      <c r="U786" t="s">
        <v>44</v>
      </c>
      <c r="W786" t="s">
        <v>3628</v>
      </c>
      <c r="X786" t="str">
        <v>10-04-25</v>
      </c>
      <c r="Y786" t="str">
        <v>05-10-25</v>
      </c>
      <c r="Z786" t="s">
        <v>3630</v>
      </c>
      <c r="AA786" t="str">
        <v>Priya Menon</v>
      </c>
      <c r="AB786" t="str">
        <f>TRIM(PROPER(F:F))</f>
        <v>Corporate</v>
      </c>
      <c r="AC786" t="str">
        <f>TRIM(PROPER(G:G))</f>
        <v>North</v>
      </c>
      <c r="AD786" t="str">
        <f>TRIM(PROPER(H:H))</f>
        <v>Punjab</v>
      </c>
      <c r="AE786" t="str">
        <f>TRIM(PROPER(I:I))</f>
        <v>Ludhiana</v>
      </c>
      <c r="AF786" t="str">
        <f t="shared" si="22"/>
        <v>Technology</v>
      </c>
      <c r="AG786" t="str">
        <f t="shared" si="22"/>
        <v>Copiers</v>
      </c>
      <c r="AH786" t="str">
        <f t="shared" si="22"/>
        <v>Max Copiers 551</v>
      </c>
      <c r="AI786" t="str">
        <f t="shared" si="22"/>
        <v>First Class</v>
      </c>
      <c r="AJ786" s="3" t="str">
        <f t="shared" si="23"/>
        <v xml:space="preserve">  </v>
      </c>
      <c r="AK786">
        <f>IFERROR(Y786-X786, "invalid date")</f>
        <v>178</v>
      </c>
      <c r="AL786" s="10">
        <v>0.05</v>
      </c>
      <c r="AM786" s="11">
        <v>1589.0840000000001</v>
      </c>
      <c r="AN786" s="11">
        <v>504.42399999999998</v>
      </c>
      <c r="AO786" s="10">
        <v>0.31743067075120002</v>
      </c>
      <c r="AP786" t="s">
        <v>4394</v>
      </c>
      <c r="AQ786" t="s">
        <v>4163</v>
      </c>
      <c r="AR786" t="s">
        <v>4199</v>
      </c>
      <c r="AS786" t="s">
        <v>4120</v>
      </c>
      <c r="AT786" t="s">
        <v>4121</v>
      </c>
      <c r="AU786">
        <v>178</v>
      </c>
      <c r="AV786" t="s">
        <v>4109</v>
      </c>
    </row>
    <row r="787" spans="1:48">
      <c r="A787" t="s">
        <v>3633</v>
      </c>
      <c r="B787" t="s">
        <v>3634</v>
      </c>
      <c r="C787" t="s">
        <v>284</v>
      </c>
      <c r="D787" t="s">
        <v>3635</v>
      </c>
      <c r="E787" t="s">
        <v>220</v>
      </c>
      <c r="F787" t="s">
        <v>50</v>
      </c>
      <c r="G787" t="s">
        <v>36</v>
      </c>
      <c r="H787" t="s">
        <v>334</v>
      </c>
      <c r="I787" t="s">
        <v>335</v>
      </c>
      <c r="J787" t="s">
        <v>39</v>
      </c>
      <c r="K787" t="s">
        <v>165</v>
      </c>
      <c r="L787" t="s">
        <v>3636</v>
      </c>
      <c r="M787" t="s">
        <v>57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210</v>
      </c>
      <c r="U787" t="s">
        <v>87</v>
      </c>
      <c r="W787" t="s">
        <v>3633</v>
      </c>
      <c r="X787" t="str">
        <v>23-05-24</v>
      </c>
      <c r="Y787" t="str">
        <v>29-05-24</v>
      </c>
      <c r="Z787" t="s">
        <v>3635</v>
      </c>
      <c r="AA787" t="str">
        <v>Diya Patel</v>
      </c>
      <c r="AB787" t="str">
        <f>TRIM(PROPER(F:F))</f>
        <v>Small Business</v>
      </c>
      <c r="AC787" t="str">
        <f>TRIM(PROPER(G:G))</f>
        <v>North</v>
      </c>
      <c r="AD787" t="str">
        <f>TRIM(PROPER(H:H))</f>
        <v>Haryana</v>
      </c>
      <c r="AE787" t="str">
        <f>TRIM(PROPER(I:I))</f>
        <v>Gurugram</v>
      </c>
      <c r="AF787" t="str">
        <f t="shared" si="22"/>
        <v>Office Supplies</v>
      </c>
      <c r="AG787" t="str">
        <f t="shared" si="22"/>
        <v>Storage</v>
      </c>
      <c r="AH787" t="str">
        <f t="shared" si="22"/>
        <v>Eco Storage 183</v>
      </c>
      <c r="AI787" t="str">
        <f t="shared" si="22"/>
        <v>Same Day</v>
      </c>
      <c r="AJ787" s="3" t="str">
        <f t="shared" si="23"/>
        <v>anomaly</v>
      </c>
      <c r="AK787">
        <f>IFERROR(Y787-X787, "invalid date")</f>
        <v>6</v>
      </c>
      <c r="AL787" s="10">
        <v>0.25</v>
      </c>
      <c r="AM787" s="11">
        <v>4519.41</v>
      </c>
      <c r="AN787" s="11">
        <v>1015.25</v>
      </c>
      <c r="AO787" s="10">
        <v>0.22464215461752751</v>
      </c>
      <c r="AP787" t="s">
        <v>4613</v>
      </c>
      <c r="AQ787" t="s">
        <v>4176</v>
      </c>
      <c r="AR787" t="s">
        <v>4124</v>
      </c>
      <c r="AS787" t="s">
        <v>4107</v>
      </c>
      <c r="AT787" t="s">
        <v>4115</v>
      </c>
      <c r="AU787">
        <v>6</v>
      </c>
      <c r="AV787" t="s">
        <v>4109</v>
      </c>
    </row>
    <row r="788" spans="1:48">
      <c r="A788" t="s">
        <v>3637</v>
      </c>
      <c r="B788" t="s">
        <v>1280</v>
      </c>
      <c r="C788" t="s">
        <v>2862</v>
      </c>
      <c r="D788" t="s">
        <v>3638</v>
      </c>
      <c r="E788" t="s">
        <v>81</v>
      </c>
      <c r="F788" t="s">
        <v>117</v>
      </c>
      <c r="G788" t="s">
        <v>36</v>
      </c>
      <c r="H788" t="s">
        <v>37</v>
      </c>
      <c r="I788" t="s">
        <v>38</v>
      </c>
      <c r="J788" t="s">
        <v>54</v>
      </c>
      <c r="K788" t="s">
        <v>74</v>
      </c>
      <c r="L788" t="s">
        <v>3639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133</v>
      </c>
      <c r="U788" t="s">
        <v>134</v>
      </c>
      <c r="W788" t="s">
        <v>3637</v>
      </c>
      <c r="X788" t="str">
        <v>07-06-25</v>
      </c>
      <c r="Y788" t="str">
        <v>08-07-25</v>
      </c>
      <c r="Z788" t="s">
        <v>3638</v>
      </c>
      <c r="AA788" t="str">
        <v>Ananya Rao</v>
      </c>
      <c r="AB788" t="str">
        <f>TRIM(PROPER(F:F))</f>
        <v>Corporate</v>
      </c>
      <c r="AC788" t="str">
        <f>TRIM(PROPER(G:G))</f>
        <v>North</v>
      </c>
      <c r="AD788" t="str">
        <f>TRIM(PROPER(H:H))</f>
        <v>Rajasthan</v>
      </c>
      <c r="AE788" t="str">
        <f>TRIM(PROPER(I:I))</f>
        <v>Jaipur</v>
      </c>
      <c r="AF788" t="str">
        <f t="shared" si="22"/>
        <v>Furniture</v>
      </c>
      <c r="AG788" t="str">
        <f t="shared" si="22"/>
        <v>Furnishings</v>
      </c>
      <c r="AH788" t="str">
        <f t="shared" si="22"/>
        <v>Pro Furnishings 233</v>
      </c>
      <c r="AI788" s="4" t="s">
        <v>282</v>
      </c>
      <c r="AJ788" s="3" t="str">
        <f t="shared" si="23"/>
        <v>anomaly</v>
      </c>
      <c r="AK788">
        <f>IFERROR(Y788-X788, "invalid date")</f>
        <v>31</v>
      </c>
      <c r="AL788" s="10">
        <v>0.05</v>
      </c>
      <c r="AM788" s="11">
        <v>2718.71</v>
      </c>
      <c r="AN788" s="11">
        <v>653.65999999999985</v>
      </c>
      <c r="AO788" s="10">
        <v>0.24043020403058799</v>
      </c>
      <c r="AP788" t="s">
        <v>4409</v>
      </c>
      <c r="AQ788" t="s">
        <v>4607</v>
      </c>
      <c r="AR788" t="s">
        <v>4170</v>
      </c>
      <c r="AS788" t="s">
        <v>4120</v>
      </c>
      <c r="AT788" t="s">
        <v>4115</v>
      </c>
      <c r="AU788">
        <v>31</v>
      </c>
      <c r="AV788" t="s">
        <v>4109</v>
      </c>
    </row>
    <row r="789" spans="1:48">
      <c r="A789" t="s">
        <v>3640</v>
      </c>
      <c r="B789" t="s">
        <v>1333</v>
      </c>
      <c r="C789" t="s">
        <v>3641</v>
      </c>
      <c r="D789" t="s">
        <v>3642</v>
      </c>
      <c r="E789" t="s">
        <v>81</v>
      </c>
      <c r="F789" t="s">
        <v>124</v>
      </c>
      <c r="G789" t="s">
        <v>51</v>
      </c>
      <c r="H789" t="s">
        <v>196</v>
      </c>
      <c r="I789" t="s">
        <v>197</v>
      </c>
      <c r="J789" t="s">
        <v>39</v>
      </c>
      <c r="K789" t="s">
        <v>40</v>
      </c>
      <c r="L789" t="s">
        <v>3643</v>
      </c>
      <c r="M789" t="s">
        <v>42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43</v>
      </c>
      <c r="U789" t="s">
        <v>44</v>
      </c>
      <c r="W789" t="s">
        <v>3640</v>
      </c>
      <c r="X789" t="str">
        <v>12-09-24</v>
      </c>
      <c r="Y789" t="str">
        <v>18-09-24</v>
      </c>
      <c r="Z789" t="s">
        <v>3642</v>
      </c>
      <c r="AA789" t="str">
        <v>Ananya Rao</v>
      </c>
      <c r="AB789" t="str">
        <f>TRIM(PROPER(F:F))</f>
        <v>Home Office</v>
      </c>
      <c r="AC789" t="str">
        <f>TRIM(PROPER(G:G))</f>
        <v>East</v>
      </c>
      <c r="AD789" t="str">
        <f>TRIM(PROPER(H:H))</f>
        <v>Bihar</v>
      </c>
      <c r="AE789" t="str">
        <f>TRIM(PROPER(I:I))</f>
        <v>Patna</v>
      </c>
      <c r="AF789" t="str">
        <f t="shared" si="22"/>
        <v>Office Supplies</v>
      </c>
      <c r="AG789" t="str">
        <f t="shared" si="22"/>
        <v>Paper</v>
      </c>
      <c r="AH789" t="str">
        <f t="shared" si="22"/>
        <v>Prime Paper 878</v>
      </c>
      <c r="AI789" t="str">
        <f t="shared" si="22"/>
        <v>Second Class</v>
      </c>
      <c r="AJ789" s="3" t="str">
        <f t="shared" si="23"/>
        <v>anomaly</v>
      </c>
      <c r="AK789">
        <f>IFERROR(Y789-X789, "invalid date")</f>
        <v>6</v>
      </c>
      <c r="AL789" s="10">
        <v>0.05</v>
      </c>
      <c r="AM789" s="11">
        <v>7065.6629999999996</v>
      </c>
      <c r="AN789" s="11">
        <v>2150.3929999999991</v>
      </c>
      <c r="AO789" s="10">
        <v>0.30434412170521002</v>
      </c>
      <c r="AP789" t="s">
        <v>4419</v>
      </c>
      <c r="AQ789" t="s">
        <v>4673</v>
      </c>
      <c r="AR789" t="s">
        <v>4134</v>
      </c>
      <c r="AS789" t="s">
        <v>4107</v>
      </c>
      <c r="AT789" t="s">
        <v>4115</v>
      </c>
      <c r="AU789">
        <v>6</v>
      </c>
      <c r="AV789" t="s">
        <v>4109</v>
      </c>
    </row>
    <row r="790" spans="1:48">
      <c r="A790" t="s">
        <v>3644</v>
      </c>
      <c r="B790" t="s">
        <v>1308</v>
      </c>
      <c r="C790" t="s">
        <v>549</v>
      </c>
      <c r="D790" t="s">
        <v>3645</v>
      </c>
      <c r="E790" t="s">
        <v>62</v>
      </c>
      <c r="F790" t="s">
        <v>117</v>
      </c>
      <c r="G790" t="s">
        <v>36</v>
      </c>
      <c r="H790" t="s">
        <v>183</v>
      </c>
      <c r="I790" t="s">
        <v>184</v>
      </c>
      <c r="J790" t="s">
        <v>54</v>
      </c>
      <c r="K790" t="s">
        <v>85</v>
      </c>
      <c r="L790" t="s">
        <v>3646</v>
      </c>
      <c r="M790" t="s">
        <v>76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210</v>
      </c>
      <c r="U790" t="s">
        <v>134</v>
      </c>
      <c r="W790" t="s">
        <v>3644</v>
      </c>
      <c r="X790" t="str">
        <v>01-08-24</v>
      </c>
      <c r="Y790" t="str">
        <v>02-08-24</v>
      </c>
      <c r="Z790" t="s">
        <v>3645</v>
      </c>
      <c r="AA790" t="str">
        <v>Isha Nair</v>
      </c>
      <c r="AB790" t="str">
        <f>TRIM(PROPER(F:F))</f>
        <v>Corporate</v>
      </c>
      <c r="AC790" t="str">
        <f>TRIM(PROPER(G:G))</f>
        <v>North</v>
      </c>
      <c r="AD790" t="str">
        <f>TRIM(PROPER(H:H))</f>
        <v>Uttar Pradesh</v>
      </c>
      <c r="AE790" t="str">
        <f>TRIM(PROPER(I:I))</f>
        <v>Noida</v>
      </c>
      <c r="AF790" t="str">
        <f t="shared" si="22"/>
        <v>Furniture</v>
      </c>
      <c r="AG790" t="str">
        <f t="shared" si="22"/>
        <v>Chairs</v>
      </c>
      <c r="AH790" t="str">
        <f t="shared" si="22"/>
        <v>Smart Chairs 353</v>
      </c>
      <c r="AI790" t="str">
        <f t="shared" si="22"/>
        <v>Standard Class</v>
      </c>
      <c r="AJ790" s="3" t="str">
        <f t="shared" si="23"/>
        <v>anomaly</v>
      </c>
      <c r="AK790">
        <f>IFERROR(Y790-X790, "invalid date")</f>
        <v>1</v>
      </c>
      <c r="AL790" s="10">
        <v>0.1</v>
      </c>
      <c r="AM790" s="11">
        <v>17911.007999999998</v>
      </c>
      <c r="AN790" s="11">
        <v>6364.9579999999987</v>
      </c>
      <c r="AO790" s="10">
        <v>0.35536570582738836</v>
      </c>
      <c r="AP790" t="s">
        <v>4414</v>
      </c>
      <c r="AQ790" t="s">
        <v>4254</v>
      </c>
      <c r="AR790" t="s">
        <v>4114</v>
      </c>
      <c r="AS790" t="s">
        <v>4107</v>
      </c>
      <c r="AT790" t="s">
        <v>4115</v>
      </c>
      <c r="AU790">
        <v>1</v>
      </c>
      <c r="AV790" t="s">
        <v>4109</v>
      </c>
    </row>
    <row r="791" spans="1:48">
      <c r="A791" t="s">
        <v>3647</v>
      </c>
      <c r="B791" t="s">
        <v>3648</v>
      </c>
      <c r="C791" t="s">
        <v>2333</v>
      </c>
      <c r="D791" t="s">
        <v>3649</v>
      </c>
      <c r="E791" t="s">
        <v>151</v>
      </c>
      <c r="F791" t="s">
        <v>124</v>
      </c>
      <c r="H791" t="s">
        <v>37</v>
      </c>
      <c r="I791" t="s">
        <v>144</v>
      </c>
      <c r="J791" t="s">
        <v>95</v>
      </c>
      <c r="K791" t="s">
        <v>103</v>
      </c>
      <c r="L791" t="s">
        <v>3650</v>
      </c>
      <c r="M791" t="s">
        <v>57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43</v>
      </c>
      <c r="U791" t="s">
        <v>44</v>
      </c>
      <c r="W791" t="s">
        <v>3647</v>
      </c>
      <c r="X791" t="str">
        <v>07-03-25</v>
      </c>
      <c r="Y791" t="str">
        <v>08-03-25</v>
      </c>
      <c r="Z791" t="s">
        <v>3649</v>
      </c>
      <c r="AA791" t="str">
        <v>Priya Menon</v>
      </c>
      <c r="AB791" t="str">
        <f>TRIM(PROPER(F:F))</f>
        <v>Home Office</v>
      </c>
      <c r="AC791" s="4" t="s">
        <v>282</v>
      </c>
      <c r="AD791" t="str">
        <f>TRIM(PROPER(H:H))</f>
        <v>Rajasthan</v>
      </c>
      <c r="AE791" t="str">
        <f>TRIM(PROPER(I:I))</f>
        <v>Udaipur</v>
      </c>
      <c r="AF791" t="str">
        <f t="shared" si="22"/>
        <v>Technology</v>
      </c>
      <c r="AG791" t="str">
        <f t="shared" si="22"/>
        <v>Copiers</v>
      </c>
      <c r="AH791" t="str">
        <f t="shared" si="22"/>
        <v>Smart Copiers 408</v>
      </c>
      <c r="AI791" t="str">
        <f t="shared" si="22"/>
        <v>Same Day</v>
      </c>
      <c r="AJ791" s="3" t="str">
        <f t="shared" si="23"/>
        <v>anomaly</v>
      </c>
      <c r="AK791">
        <f>IFERROR(Y791-X791, "invalid date")</f>
        <v>1</v>
      </c>
      <c r="AL791" s="10">
        <v>0</v>
      </c>
      <c r="AM791" s="11">
        <v>14149.92</v>
      </c>
      <c r="AN791" s="11">
        <v>4683.41</v>
      </c>
      <c r="AO791" s="10">
        <v>0.33098491016203624</v>
      </c>
      <c r="AP791" t="s">
        <v>4313</v>
      </c>
      <c r="AQ791" t="s">
        <v>4372</v>
      </c>
      <c r="AR791" t="s">
        <v>4159</v>
      </c>
      <c r="AS791" t="s">
        <v>4120</v>
      </c>
      <c r="AT791" t="s">
        <v>4115</v>
      </c>
      <c r="AU791">
        <v>1</v>
      </c>
      <c r="AV791" t="s">
        <v>4109</v>
      </c>
    </row>
    <row r="792" spans="1:48">
      <c r="A792" t="s">
        <v>3651</v>
      </c>
      <c r="B792" t="s">
        <v>3652</v>
      </c>
      <c r="C792" t="s">
        <v>3653</v>
      </c>
      <c r="D792" t="s">
        <v>3654</v>
      </c>
      <c r="E792" t="s">
        <v>157</v>
      </c>
      <c r="F792" t="s">
        <v>117</v>
      </c>
      <c r="G792" t="s">
        <v>71</v>
      </c>
      <c r="H792" t="s">
        <v>109</v>
      </c>
      <c r="I792" t="s">
        <v>110</v>
      </c>
      <c r="J792" t="s">
        <v>39</v>
      </c>
      <c r="K792" t="s">
        <v>63</v>
      </c>
      <c r="L792" t="s">
        <v>3655</v>
      </c>
      <c r="M792" t="s">
        <v>76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43</v>
      </c>
      <c r="U792" t="s">
        <v>44</v>
      </c>
      <c r="W792" t="s">
        <v>3651</v>
      </c>
      <c r="X792" t="str">
        <v>31-05-24</v>
      </c>
      <c r="Y792" t="str">
        <v>02-06-24</v>
      </c>
      <c r="Z792" t="s">
        <v>3654</v>
      </c>
      <c r="AA792" t="str">
        <v>Rahul Verma</v>
      </c>
      <c r="AB792" t="str">
        <f>TRIM(PROPER(F:F))</f>
        <v>Corporate</v>
      </c>
      <c r="AC792" t="str">
        <f>TRIM(PROPER(G:G))</f>
        <v>South</v>
      </c>
      <c r="AD792" t="str">
        <f>TRIM(PROPER(H:H))</f>
        <v>Andhra Pradesh</v>
      </c>
      <c r="AE792" t="str">
        <f>TRIM(PROPER(I:I))</f>
        <v>Vijayawada</v>
      </c>
      <c r="AF792" t="str">
        <f t="shared" si="22"/>
        <v>Office Supplies</v>
      </c>
      <c r="AG792" t="str">
        <f t="shared" si="22"/>
        <v>Art</v>
      </c>
      <c r="AH792" t="str">
        <f t="shared" si="22"/>
        <v>Classic Art 781</v>
      </c>
      <c r="AI792" t="str">
        <f t="shared" si="22"/>
        <v>Standard Class</v>
      </c>
      <c r="AJ792" s="3" t="str">
        <f t="shared" si="23"/>
        <v xml:space="preserve">  </v>
      </c>
      <c r="AK792">
        <f>IFERROR(Y792-X792, "invalid date")</f>
        <v>2</v>
      </c>
      <c r="AL792" s="10">
        <v>0.2</v>
      </c>
      <c r="AM792" s="11">
        <v>4272.576</v>
      </c>
      <c r="AN792" s="11">
        <v>943.65599999999995</v>
      </c>
      <c r="AO792" s="10">
        <v>0.22086347908147214</v>
      </c>
      <c r="AP792" t="s">
        <v>4314</v>
      </c>
      <c r="AQ792" t="s">
        <v>4692</v>
      </c>
      <c r="AR792" t="s">
        <v>4124</v>
      </c>
      <c r="AS792" t="s">
        <v>4107</v>
      </c>
      <c r="AT792" t="s">
        <v>4121</v>
      </c>
      <c r="AU792">
        <v>2</v>
      </c>
      <c r="AV792" t="s">
        <v>4109</v>
      </c>
    </row>
    <row r="793" spans="1:48">
      <c r="A793" t="s">
        <v>3656</v>
      </c>
      <c r="B793" t="s">
        <v>3022</v>
      </c>
      <c r="C793" t="s">
        <v>3657</v>
      </c>
      <c r="D793" t="s">
        <v>3658</v>
      </c>
      <c r="E793" t="s">
        <v>157</v>
      </c>
      <c r="F793" t="s">
        <v>124</v>
      </c>
      <c r="G793" t="s">
        <v>71</v>
      </c>
      <c r="H793" t="s">
        <v>239</v>
      </c>
      <c r="I793" t="s">
        <v>240</v>
      </c>
      <c r="J793" t="s">
        <v>54</v>
      </c>
      <c r="K793" t="s">
        <v>214</v>
      </c>
      <c r="L793" t="s">
        <v>3659</v>
      </c>
      <c r="M793" t="s">
        <v>57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43</v>
      </c>
      <c r="U793" t="s">
        <v>44</v>
      </c>
      <c r="W793" t="s">
        <v>3656</v>
      </c>
      <c r="X793" t="str">
        <v>02-10-24</v>
      </c>
      <c r="Y793" t="str">
        <v>06-10-24</v>
      </c>
      <c r="Z793" t="s">
        <v>3658</v>
      </c>
      <c r="AA793" t="str">
        <v>Rahul Verma</v>
      </c>
      <c r="AB793" t="str">
        <f>TRIM(PROPER(F:F))</f>
        <v>Home Office</v>
      </c>
      <c r="AC793" t="str">
        <f>TRIM(PROPER(G:G))</f>
        <v>South</v>
      </c>
      <c r="AD793" t="str">
        <f>TRIM(PROPER(H:H))</f>
        <v>Karnataka</v>
      </c>
      <c r="AE793" t="str">
        <f>TRIM(PROPER(I:I))</f>
        <v>Bengaluru</v>
      </c>
      <c r="AF793" t="str">
        <f t="shared" si="22"/>
        <v>Furniture</v>
      </c>
      <c r="AG793" t="str">
        <f t="shared" si="22"/>
        <v>Bookcases</v>
      </c>
      <c r="AH793" t="str">
        <f t="shared" si="22"/>
        <v>Eco Bookcases 144</v>
      </c>
      <c r="AI793" t="str">
        <f t="shared" si="22"/>
        <v>Same Day</v>
      </c>
      <c r="AJ793" s="3" t="str">
        <f t="shared" si="23"/>
        <v>anomaly</v>
      </c>
      <c r="AK793">
        <f>IFERROR(Y793-X793, "invalid date")</f>
        <v>4</v>
      </c>
      <c r="AL793" s="10">
        <v>0.25</v>
      </c>
      <c r="AM793" s="11">
        <v>9352.619999999999</v>
      </c>
      <c r="AN793" s="11">
        <v>4083.2099999999991</v>
      </c>
      <c r="AO793" s="10">
        <v>0.43658461479243243</v>
      </c>
      <c r="AP793" t="s">
        <v>4647</v>
      </c>
      <c r="AQ793" t="s">
        <v>4293</v>
      </c>
      <c r="AR793" t="s">
        <v>4126</v>
      </c>
      <c r="AS793" t="s">
        <v>4107</v>
      </c>
      <c r="AT793" t="s">
        <v>4115</v>
      </c>
      <c r="AU793">
        <v>4</v>
      </c>
      <c r="AV793" t="s">
        <v>4109</v>
      </c>
    </row>
    <row r="794" spans="1:48">
      <c r="A794" t="s">
        <v>3660</v>
      </c>
      <c r="B794" t="s">
        <v>1239</v>
      </c>
      <c r="C794" t="s">
        <v>3661</v>
      </c>
      <c r="D794" t="s">
        <v>3662</v>
      </c>
      <c r="E794" t="s">
        <v>70</v>
      </c>
      <c r="F794" t="s">
        <v>50</v>
      </c>
      <c r="G794" t="s">
        <v>51</v>
      </c>
      <c r="H794" t="s">
        <v>226</v>
      </c>
      <c r="I794" t="s">
        <v>227</v>
      </c>
      <c r="J794" t="s">
        <v>54</v>
      </c>
      <c r="K794" t="s">
        <v>74</v>
      </c>
      <c r="L794" t="s">
        <v>3663</v>
      </c>
      <c r="M794" t="s">
        <v>42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43</v>
      </c>
      <c r="U794" t="s">
        <v>134</v>
      </c>
      <c r="W794" t="s">
        <v>3660</v>
      </c>
      <c r="X794" t="str">
        <v>04-06-25</v>
      </c>
      <c r="Y794" t="str">
        <v>08-06-25</v>
      </c>
      <c r="Z794" t="s">
        <v>3662</v>
      </c>
      <c r="AA794" t="str">
        <v>Arjun Bose</v>
      </c>
      <c r="AB794" t="str">
        <f>TRIM(PROPER(F:F))</f>
        <v>Small Business</v>
      </c>
      <c r="AC794" t="str">
        <f>TRIM(PROPER(G:G))</f>
        <v>East</v>
      </c>
      <c r="AD794" t="str">
        <f>TRIM(PROPER(H:H))</f>
        <v>Assam</v>
      </c>
      <c r="AE794" t="str">
        <f>TRIM(PROPER(I:I))</f>
        <v>Guwahati</v>
      </c>
      <c r="AF794" t="str">
        <f t="shared" si="22"/>
        <v>Furniture</v>
      </c>
      <c r="AG794" t="str">
        <f t="shared" si="22"/>
        <v>Furnishings</v>
      </c>
      <c r="AH794" t="str">
        <f t="shared" si="22"/>
        <v>Elite Furnishings 852</v>
      </c>
      <c r="AI794" t="str">
        <f t="shared" si="22"/>
        <v>Second Class</v>
      </c>
      <c r="AJ794" s="3" t="str">
        <f t="shared" si="23"/>
        <v>anomaly</v>
      </c>
      <c r="AK794">
        <f>IFERROR(Y794-X794, "invalid date")</f>
        <v>4</v>
      </c>
      <c r="AL794" s="10">
        <v>0.2</v>
      </c>
      <c r="AM794" s="11">
        <v>2800.8960000000002</v>
      </c>
      <c r="AN794" s="11">
        <v>1064.9160000000002</v>
      </c>
      <c r="AO794" s="10">
        <v>0.38020547710446945</v>
      </c>
      <c r="AP794" t="s">
        <v>4401</v>
      </c>
      <c r="AQ794" t="s">
        <v>4691</v>
      </c>
      <c r="AR794" t="s">
        <v>4170</v>
      </c>
      <c r="AS794" t="s">
        <v>4120</v>
      </c>
      <c r="AT794" t="s">
        <v>4115</v>
      </c>
      <c r="AU794">
        <v>4</v>
      </c>
      <c r="AV794" t="s">
        <v>4109</v>
      </c>
    </row>
    <row r="795" spans="1:48">
      <c r="A795" t="s">
        <v>3664</v>
      </c>
      <c r="B795" t="s">
        <v>90</v>
      </c>
      <c r="C795" t="s">
        <v>3665</v>
      </c>
      <c r="D795" t="s">
        <v>3666</v>
      </c>
      <c r="E795" t="s">
        <v>92</v>
      </c>
      <c r="F795" t="s">
        <v>117</v>
      </c>
      <c r="G795" t="s">
        <v>36</v>
      </c>
      <c r="H795" t="s">
        <v>37</v>
      </c>
      <c r="I795" t="s">
        <v>38</v>
      </c>
      <c r="J795" t="s">
        <v>95</v>
      </c>
      <c r="K795" t="s">
        <v>103</v>
      </c>
      <c r="L795" t="s">
        <v>3667</v>
      </c>
      <c r="M795" t="s">
        <v>42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43</v>
      </c>
      <c r="U795" t="s">
        <v>44</v>
      </c>
      <c r="W795" t="s">
        <v>3664</v>
      </c>
      <c r="X795" t="str">
        <v>28-05-24</v>
      </c>
      <c r="Y795" t="str">
        <v>03-06-24</v>
      </c>
      <c r="Z795" t="s">
        <v>3666</v>
      </c>
      <c r="AA795" t="str">
        <v>Vikram Iyer</v>
      </c>
      <c r="AB795" t="str">
        <f>TRIM(PROPER(F:F))</f>
        <v>Corporate</v>
      </c>
      <c r="AC795" t="str">
        <f>TRIM(PROPER(G:G))</f>
        <v>North</v>
      </c>
      <c r="AD795" t="str">
        <f>TRIM(PROPER(H:H))</f>
        <v>Rajasthan</v>
      </c>
      <c r="AE795" t="str">
        <f>TRIM(PROPER(I:I))</f>
        <v>Jaipur</v>
      </c>
      <c r="AF795" t="str">
        <f t="shared" si="22"/>
        <v>Technology</v>
      </c>
      <c r="AG795" t="str">
        <f t="shared" si="22"/>
        <v>Copiers</v>
      </c>
      <c r="AH795" t="str">
        <f t="shared" si="22"/>
        <v>Basic Copiers 238</v>
      </c>
      <c r="AI795" t="str">
        <f t="shared" si="22"/>
        <v>Second Class</v>
      </c>
      <c r="AJ795" s="3" t="str">
        <f t="shared" si="23"/>
        <v xml:space="preserve">  </v>
      </c>
      <c r="AK795">
        <f>IFERROR(Y795-X795, "invalid date")</f>
        <v>6</v>
      </c>
      <c r="AL795" s="10">
        <v>0</v>
      </c>
      <c r="AM795" s="11">
        <v>21511.599999999999</v>
      </c>
      <c r="AN795" s="11">
        <v>6103.1299999999992</v>
      </c>
      <c r="AO795" s="10">
        <v>0.28371343833094703</v>
      </c>
      <c r="AP795" t="s">
        <v>4123</v>
      </c>
      <c r="AQ795" t="s">
        <v>4399</v>
      </c>
      <c r="AR795" t="s">
        <v>4124</v>
      </c>
      <c r="AS795" t="s">
        <v>4107</v>
      </c>
      <c r="AT795" t="s">
        <v>4121</v>
      </c>
      <c r="AU795">
        <v>6</v>
      </c>
      <c r="AV795" t="s">
        <v>4109</v>
      </c>
    </row>
    <row r="796" spans="1:48">
      <c r="A796" t="s">
        <v>3668</v>
      </c>
      <c r="B796" t="s">
        <v>3669</v>
      </c>
      <c r="C796" t="s">
        <v>1006</v>
      </c>
      <c r="D796" t="s">
        <v>3670</v>
      </c>
      <c r="E796" t="s">
        <v>177</v>
      </c>
      <c r="F796" t="s">
        <v>117</v>
      </c>
      <c r="G796" t="s">
        <v>51</v>
      </c>
      <c r="H796" t="s">
        <v>226</v>
      </c>
      <c r="I796" t="s">
        <v>227</v>
      </c>
      <c r="J796" t="s">
        <v>39</v>
      </c>
      <c r="K796" t="s">
        <v>40</v>
      </c>
      <c r="L796" t="s">
        <v>3671</v>
      </c>
      <c r="M796" t="s">
        <v>76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43</v>
      </c>
      <c r="U796" t="s">
        <v>44</v>
      </c>
      <c r="W796" t="s">
        <v>3668</v>
      </c>
      <c r="X796" t="str">
        <v>22-06-25</v>
      </c>
      <c r="Y796" t="str">
        <v>24-06-25</v>
      </c>
      <c r="Z796" t="s">
        <v>3670</v>
      </c>
      <c r="AA796" t="str">
        <v>Sneha Kapoor</v>
      </c>
      <c r="AB796" t="str">
        <f>TRIM(PROPER(F:F))</f>
        <v>Corporate</v>
      </c>
      <c r="AC796" t="str">
        <f>TRIM(PROPER(G:G))</f>
        <v>East</v>
      </c>
      <c r="AD796" t="str">
        <f>TRIM(PROPER(H:H))</f>
        <v>Assam</v>
      </c>
      <c r="AE796" t="str">
        <f>TRIM(PROPER(I:I))</f>
        <v>Guwahati</v>
      </c>
      <c r="AF796" t="str">
        <f t="shared" si="22"/>
        <v>Office Supplies</v>
      </c>
      <c r="AG796" t="str">
        <f t="shared" si="22"/>
        <v>Paper</v>
      </c>
      <c r="AH796" t="str">
        <f t="shared" si="22"/>
        <v>Elite Paper 847</v>
      </c>
      <c r="AI796" t="str">
        <f t="shared" si="22"/>
        <v>Standard Class</v>
      </c>
      <c r="AJ796" s="3" t="str">
        <f t="shared" si="23"/>
        <v>anomaly</v>
      </c>
      <c r="AK796">
        <f>IFERROR(Y796-X796, "invalid date")</f>
        <v>2</v>
      </c>
      <c r="AL796" s="10">
        <v>0.15</v>
      </c>
      <c r="AM796" s="11">
        <v>7279.3574999999992</v>
      </c>
      <c r="AN796" s="11">
        <v>2408.9674999999988</v>
      </c>
      <c r="AO796" s="10">
        <v>0.33093133562955235</v>
      </c>
      <c r="AP796" t="s">
        <v>4482</v>
      </c>
      <c r="AQ796" t="s">
        <v>4352</v>
      </c>
      <c r="AR796" t="s">
        <v>4170</v>
      </c>
      <c r="AS796" t="s">
        <v>4120</v>
      </c>
      <c r="AT796" t="s">
        <v>4115</v>
      </c>
      <c r="AU796">
        <v>2</v>
      </c>
      <c r="AV796" t="s">
        <v>4109</v>
      </c>
    </row>
    <row r="797" spans="1:48">
      <c r="A797" t="s">
        <v>3672</v>
      </c>
      <c r="B797" t="s">
        <v>3673</v>
      </c>
      <c r="C797" t="s">
        <v>540</v>
      </c>
      <c r="D797" t="s">
        <v>3674</v>
      </c>
      <c r="E797" t="s">
        <v>220</v>
      </c>
      <c r="F797" t="s">
        <v>124</v>
      </c>
      <c r="G797" t="s">
        <v>51</v>
      </c>
      <c r="H797" t="s">
        <v>52</v>
      </c>
      <c r="I797" t="s">
        <v>53</v>
      </c>
      <c r="J797" t="s">
        <v>95</v>
      </c>
      <c r="K797" t="s">
        <v>103</v>
      </c>
      <c r="L797" t="s">
        <v>3675</v>
      </c>
      <c r="M797" t="s">
        <v>57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133</v>
      </c>
      <c r="U797" t="s">
        <v>87</v>
      </c>
      <c r="W797" t="s">
        <v>3672</v>
      </c>
      <c r="X797" t="str">
        <v>30-07-24</v>
      </c>
      <c r="Y797" t="str">
        <v>30-07-24</v>
      </c>
      <c r="Z797" t="s">
        <v>3674</v>
      </c>
      <c r="AA797" t="str">
        <v>Diya Patel</v>
      </c>
      <c r="AB797" t="str">
        <f>TRIM(PROPER(F:F))</f>
        <v>Home Office</v>
      </c>
      <c r="AC797" t="str">
        <f>TRIM(PROPER(G:G))</f>
        <v>East</v>
      </c>
      <c r="AD797" t="str">
        <f>TRIM(PROPER(H:H))</f>
        <v>Odisha</v>
      </c>
      <c r="AE797" t="str">
        <f>TRIM(PROPER(I:I))</f>
        <v>Bhubaneswar</v>
      </c>
      <c r="AF797" t="str">
        <f t="shared" si="22"/>
        <v>Technology</v>
      </c>
      <c r="AG797" t="str">
        <f t="shared" si="22"/>
        <v>Copiers</v>
      </c>
      <c r="AH797" t="str">
        <f t="shared" si="22"/>
        <v>Pro Copiers 653</v>
      </c>
      <c r="AI797" t="str">
        <f t="shared" si="22"/>
        <v>Same Day</v>
      </c>
      <c r="AJ797" s="3" t="str">
        <f t="shared" si="23"/>
        <v xml:space="preserve">  </v>
      </c>
      <c r="AK797">
        <f>IFERROR(Y797-X797, "invalid date")</f>
        <v>0</v>
      </c>
      <c r="AL797" s="10">
        <v>0</v>
      </c>
      <c r="AM797" s="11">
        <v>26051.94</v>
      </c>
      <c r="AN797" s="11">
        <v>9168.3499999999985</v>
      </c>
      <c r="AO797" s="10">
        <v>0.3519258066769691</v>
      </c>
      <c r="AP797" t="s">
        <v>4252</v>
      </c>
      <c r="AQ797" t="s">
        <v>4252</v>
      </c>
      <c r="AR797" t="s">
        <v>4106</v>
      </c>
      <c r="AS797" t="s">
        <v>4107</v>
      </c>
      <c r="AT797" t="s">
        <v>4115</v>
      </c>
      <c r="AU797">
        <v>0</v>
      </c>
      <c r="AV797" t="s">
        <v>4109</v>
      </c>
    </row>
    <row r="798" spans="1:48">
      <c r="A798" t="s">
        <v>3676</v>
      </c>
      <c r="B798" t="s">
        <v>806</v>
      </c>
      <c r="C798" t="s">
        <v>3677</v>
      </c>
      <c r="D798" t="s">
        <v>3678</v>
      </c>
      <c r="E798" t="s">
        <v>189</v>
      </c>
      <c r="F798" t="s">
        <v>50</v>
      </c>
      <c r="G798" t="s">
        <v>71</v>
      </c>
      <c r="H798" t="s">
        <v>109</v>
      </c>
      <c r="I798" t="s">
        <v>110</v>
      </c>
      <c r="J798" t="s">
        <v>95</v>
      </c>
      <c r="K798" t="s">
        <v>393</v>
      </c>
      <c r="L798" t="s">
        <v>3679</v>
      </c>
      <c r="M798" t="s">
        <v>65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43</v>
      </c>
      <c r="U798" t="s">
        <v>44</v>
      </c>
      <c r="W798" t="s">
        <v>3676</v>
      </c>
      <c r="X798" t="str">
        <v>invalid date</v>
      </c>
      <c r="Y798" t="str">
        <v>30-03-24</v>
      </c>
      <c r="Z798" t="s">
        <v>3678</v>
      </c>
      <c r="AA798" t="str">
        <v>Rohan Mehta</v>
      </c>
      <c r="AB798" t="str">
        <f>TRIM(PROPER(F:F))</f>
        <v>Small Business</v>
      </c>
      <c r="AC798" t="str">
        <f>TRIM(PROPER(G:G))</f>
        <v>South</v>
      </c>
      <c r="AD798" t="str">
        <f>TRIM(PROPER(H:H))</f>
        <v>Andhra Pradesh</v>
      </c>
      <c r="AE798" t="str">
        <f>TRIM(PROPER(I:I))</f>
        <v>Vijayawada</v>
      </c>
      <c r="AF798" t="str">
        <f t="shared" si="22"/>
        <v>Technology</v>
      </c>
      <c r="AG798" t="str">
        <f t="shared" si="22"/>
        <v>Machines</v>
      </c>
      <c r="AH798" t="str">
        <f t="shared" si="22"/>
        <v>Elite Machines 459</v>
      </c>
      <c r="AI798" t="str">
        <f t="shared" si="22"/>
        <v>First Class</v>
      </c>
      <c r="AJ798" s="3" t="str">
        <f t="shared" si="23"/>
        <v>Invalid</v>
      </c>
      <c r="AK798" t="str">
        <f>IFERROR(Y798-X798, "invalid date")</f>
        <v>invalid date</v>
      </c>
      <c r="AL798" s="10">
        <v>0.15</v>
      </c>
      <c r="AM798" s="11">
        <v>9661.6439999999984</v>
      </c>
      <c r="AN798" s="11">
        <v>3357.873999999998</v>
      </c>
      <c r="AO798" s="10">
        <v>0.34754685641491223</v>
      </c>
      <c r="AP798" t="s">
        <v>4105</v>
      </c>
      <c r="AQ798" t="s">
        <v>4317</v>
      </c>
      <c r="AR798" t="s">
        <v>4105</v>
      </c>
      <c r="AS798" t="s">
        <v>4105</v>
      </c>
      <c r="AT798" t="s">
        <v>4108</v>
      </c>
      <c r="AU798" t="s">
        <v>4105</v>
      </c>
      <c r="AV798" t="s">
        <v>4109</v>
      </c>
    </row>
    <row r="799" spans="1:48">
      <c r="A799" t="s">
        <v>3680</v>
      </c>
      <c r="B799" t="s">
        <v>3681</v>
      </c>
      <c r="C799" t="s">
        <v>3592</v>
      </c>
      <c r="D799" t="s">
        <v>3682</v>
      </c>
      <c r="E799" t="s">
        <v>171</v>
      </c>
      <c r="F799" t="s">
        <v>35</v>
      </c>
      <c r="G799" t="s">
        <v>51</v>
      </c>
      <c r="H799" t="s">
        <v>52</v>
      </c>
      <c r="I799" t="s">
        <v>53</v>
      </c>
      <c r="J799" t="s">
        <v>39</v>
      </c>
      <c r="K799" t="s">
        <v>208</v>
      </c>
      <c r="L799" t="s">
        <v>3683</v>
      </c>
      <c r="M799" t="s">
        <v>65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210</v>
      </c>
      <c r="U799" t="s">
        <v>87</v>
      </c>
      <c r="W799" t="s">
        <v>3680</v>
      </c>
      <c r="X799" t="str">
        <v>18-04-24</v>
      </c>
      <c r="Y799" t="str">
        <v>22-04-24</v>
      </c>
      <c r="Z799" t="s">
        <v>3682</v>
      </c>
      <c r="AA799" t="str">
        <v>Aarav Sharma</v>
      </c>
      <c r="AB799" t="str">
        <f>TRIM(PROPER(F:F))</f>
        <v>Consumer</v>
      </c>
      <c r="AC799" t="str">
        <f>TRIM(PROPER(G:G))</f>
        <v>East</v>
      </c>
      <c r="AD799" t="str">
        <f>TRIM(PROPER(H:H))</f>
        <v>Odisha</v>
      </c>
      <c r="AE799" t="str">
        <f>TRIM(PROPER(I:I))</f>
        <v>Bhubaneswar</v>
      </c>
      <c r="AF799" t="str">
        <f t="shared" si="22"/>
        <v>Office Supplies</v>
      </c>
      <c r="AG799" t="str">
        <f t="shared" si="22"/>
        <v>Binders</v>
      </c>
      <c r="AH799" t="str">
        <f t="shared" si="22"/>
        <v>Elite Binders 764</v>
      </c>
      <c r="AI799" t="str">
        <f t="shared" si="22"/>
        <v>First Class</v>
      </c>
      <c r="AJ799" s="3" t="str">
        <f t="shared" si="23"/>
        <v>anomaly</v>
      </c>
      <c r="AK799">
        <f>IFERROR(Y799-X799, "invalid date")</f>
        <v>4</v>
      </c>
      <c r="AL799" s="10">
        <v>0</v>
      </c>
      <c r="AM799" s="11">
        <v>13714.96</v>
      </c>
      <c r="AN799" s="11">
        <v>3164.49</v>
      </c>
      <c r="AO799" s="10">
        <v>0.23073271814135804</v>
      </c>
      <c r="AP799" t="s">
        <v>4693</v>
      </c>
      <c r="AQ799" t="s">
        <v>4223</v>
      </c>
      <c r="AR799" t="s">
        <v>4199</v>
      </c>
      <c r="AS799" t="s">
        <v>4107</v>
      </c>
      <c r="AT799" t="s">
        <v>4115</v>
      </c>
      <c r="AU799">
        <v>4</v>
      </c>
      <c r="AV799" t="s">
        <v>4109</v>
      </c>
    </row>
    <row r="800" spans="1:48">
      <c r="A800" t="s">
        <v>3684</v>
      </c>
      <c r="B800" t="s">
        <v>3685</v>
      </c>
      <c r="C800" t="s">
        <v>3686</v>
      </c>
      <c r="D800" t="s">
        <v>3687</v>
      </c>
      <c r="E800" t="s">
        <v>116</v>
      </c>
      <c r="F800" t="s">
        <v>117</v>
      </c>
      <c r="G800" t="s">
        <v>36</v>
      </c>
      <c r="H800" t="s">
        <v>517</v>
      </c>
      <c r="I800" t="s">
        <v>518</v>
      </c>
      <c r="J800" t="s">
        <v>54</v>
      </c>
      <c r="K800" t="s">
        <v>74</v>
      </c>
      <c r="L800" t="s">
        <v>3688</v>
      </c>
      <c r="M800" t="s">
        <v>76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43</v>
      </c>
      <c r="U800" t="s">
        <v>44</v>
      </c>
      <c r="W800" t="s">
        <v>3684</v>
      </c>
      <c r="X800" t="str">
        <v>11-07-25</v>
      </c>
      <c r="Y800" t="str">
        <v>09-07-25</v>
      </c>
      <c r="Z800" t="s">
        <v>3687</v>
      </c>
      <c r="AA800" t="str">
        <v>Aditi Sen</v>
      </c>
      <c r="AB800" t="str">
        <f>TRIM(PROPER(F:F))</f>
        <v>Corporate</v>
      </c>
      <c r="AC800" t="str">
        <f>TRIM(PROPER(G:G))</f>
        <v>North</v>
      </c>
      <c r="AD800" t="str">
        <f>TRIM(PROPER(H:H))</f>
        <v>Delhi</v>
      </c>
      <c r="AE800" t="str">
        <f>TRIM(PROPER(I:I))</f>
        <v>New Delhi</v>
      </c>
      <c r="AF800" t="str">
        <f t="shared" si="22"/>
        <v>Furniture</v>
      </c>
      <c r="AG800" t="str">
        <f t="shared" si="22"/>
        <v>Furnishings</v>
      </c>
      <c r="AH800" t="str">
        <f t="shared" si="22"/>
        <v>Classic Furnishings 348</v>
      </c>
      <c r="AI800" t="str">
        <f t="shared" si="22"/>
        <v>Standard Class</v>
      </c>
      <c r="AJ800" s="3" t="str">
        <f t="shared" si="23"/>
        <v xml:space="preserve">  </v>
      </c>
      <c r="AK800">
        <f>IFERROR(Y800-X800, "invalid date")</f>
        <v>-2</v>
      </c>
      <c r="AL800" s="10">
        <v>0</v>
      </c>
      <c r="AM800" s="11">
        <v>15354.449999999999</v>
      </c>
      <c r="AN800" s="11">
        <v>5697.9499999999989</v>
      </c>
      <c r="AO800" s="10">
        <v>0.37109437329243311</v>
      </c>
      <c r="AP800" t="s">
        <v>4694</v>
      </c>
      <c r="AQ800" t="s">
        <v>4608</v>
      </c>
      <c r="AR800" t="s">
        <v>4106</v>
      </c>
      <c r="AS800" t="s">
        <v>4120</v>
      </c>
      <c r="AT800" t="s">
        <v>4121</v>
      </c>
      <c r="AU800">
        <v>-2</v>
      </c>
      <c r="AV800" t="s">
        <v>4109</v>
      </c>
    </row>
    <row r="801" spans="1:48">
      <c r="A801" t="s">
        <v>3689</v>
      </c>
      <c r="B801" t="s">
        <v>3375</v>
      </c>
      <c r="C801" t="s">
        <v>2552</v>
      </c>
      <c r="D801" t="s">
        <v>3690</v>
      </c>
      <c r="E801" t="s">
        <v>62</v>
      </c>
      <c r="F801" t="s">
        <v>124</v>
      </c>
      <c r="G801" t="s">
        <v>36</v>
      </c>
      <c r="H801" t="s">
        <v>334</v>
      </c>
      <c r="I801" t="s">
        <v>335</v>
      </c>
      <c r="J801" t="s">
        <v>95</v>
      </c>
      <c r="K801" t="s">
        <v>96</v>
      </c>
      <c r="L801" t="s">
        <v>3691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43</v>
      </c>
      <c r="U801" t="s">
        <v>134</v>
      </c>
      <c r="W801" t="s">
        <v>3689</v>
      </c>
      <c r="X801" t="str">
        <v>10-10-24</v>
      </c>
      <c r="Y801" t="str">
        <v>17-10-24</v>
      </c>
      <c r="Z801" t="s">
        <v>3690</v>
      </c>
      <c r="AA801" t="str">
        <v>Isha Nair</v>
      </c>
      <c r="AB801" t="str">
        <f>TRIM(PROPER(F:F))</f>
        <v>Home Office</v>
      </c>
      <c r="AC801" t="str">
        <f>TRIM(PROPER(G:G))</f>
        <v>North</v>
      </c>
      <c r="AD801" t="str">
        <f>TRIM(PROPER(H:H))</f>
        <v>Haryana</v>
      </c>
      <c r="AE801" t="str">
        <f>TRIM(PROPER(I:I))</f>
        <v>Gurugram</v>
      </c>
      <c r="AF801" t="str">
        <f t="shared" si="22"/>
        <v>Technology</v>
      </c>
      <c r="AG801" t="str">
        <f t="shared" si="22"/>
        <v>Accessories</v>
      </c>
      <c r="AH801" t="str">
        <f t="shared" si="22"/>
        <v>Smart Accessories 487</v>
      </c>
      <c r="AI801" s="4" t="s">
        <v>282</v>
      </c>
      <c r="AJ801" s="3" t="str">
        <f t="shared" si="23"/>
        <v>anomaly</v>
      </c>
      <c r="AK801">
        <f>IFERROR(Y801-X801, "invalid date")</f>
        <v>7</v>
      </c>
      <c r="AL801" s="10">
        <v>0.05</v>
      </c>
      <c r="AM801" s="11">
        <v>4595.1975000000002</v>
      </c>
      <c r="AN801" s="11">
        <v>707.78750000000036</v>
      </c>
      <c r="AO801" s="10">
        <v>0.15402765604742785</v>
      </c>
      <c r="AP801" t="s">
        <v>4184</v>
      </c>
      <c r="AQ801" t="s">
        <v>4598</v>
      </c>
      <c r="AR801" t="s">
        <v>4126</v>
      </c>
      <c r="AS801" t="s">
        <v>4107</v>
      </c>
      <c r="AT801" t="s">
        <v>4115</v>
      </c>
      <c r="AU801">
        <v>7</v>
      </c>
      <c r="AV801" t="s">
        <v>4109</v>
      </c>
    </row>
    <row r="802" spans="1:48">
      <c r="A802" t="s">
        <v>3692</v>
      </c>
      <c r="B802" t="s">
        <v>3693</v>
      </c>
      <c r="C802" t="s">
        <v>3694</v>
      </c>
      <c r="D802" t="s">
        <v>3695</v>
      </c>
      <c r="E802" t="s">
        <v>92</v>
      </c>
      <c r="F802" t="s">
        <v>50</v>
      </c>
      <c r="G802" t="s">
        <v>82</v>
      </c>
      <c r="H802" t="s">
        <v>83</v>
      </c>
      <c r="I802" t="s">
        <v>84</v>
      </c>
      <c r="J802" t="s">
        <v>39</v>
      </c>
      <c r="K802" t="s">
        <v>165</v>
      </c>
      <c r="L802" t="s">
        <v>3696</v>
      </c>
      <c r="M802" t="s">
        <v>42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43</v>
      </c>
      <c r="U802" t="s">
        <v>44</v>
      </c>
      <c r="W802" t="s">
        <v>3692</v>
      </c>
      <c r="X802" t="str">
        <v>01-03-24</v>
      </c>
      <c r="Y802" t="str">
        <v>07-03-24</v>
      </c>
      <c r="Z802" t="s">
        <v>3695</v>
      </c>
      <c r="AA802" t="str">
        <v>Vikram Iyer</v>
      </c>
      <c r="AB802" t="str">
        <f>TRIM(PROPER(F:F))</f>
        <v>Small Business</v>
      </c>
      <c r="AC802" t="str">
        <f>TRIM(PROPER(G:G))</f>
        <v>West</v>
      </c>
      <c r="AD802" t="str">
        <f>TRIM(PROPER(H:H))</f>
        <v>Maharashtra</v>
      </c>
      <c r="AE802" t="str">
        <f>TRIM(PROPER(I:I))</f>
        <v>Mumbai</v>
      </c>
      <c r="AF802" t="str">
        <f t="shared" si="22"/>
        <v>Office Supplies</v>
      </c>
      <c r="AG802" t="str">
        <f t="shared" si="22"/>
        <v>Storage</v>
      </c>
      <c r="AH802" t="str">
        <f t="shared" si="22"/>
        <v>Elite Storage 825</v>
      </c>
      <c r="AI802" t="str">
        <f t="shared" si="22"/>
        <v>Second Class</v>
      </c>
      <c r="AJ802" s="3" t="str">
        <f t="shared" si="23"/>
        <v>anomaly</v>
      </c>
      <c r="AK802">
        <f>IFERROR(Y802-X802, "invalid date")</f>
        <v>6</v>
      </c>
      <c r="AL802" s="10">
        <v>0.15</v>
      </c>
      <c r="AM802" s="11">
        <v>21234.971999999998</v>
      </c>
      <c r="AN802" s="11">
        <v>4498.8819999999978</v>
      </c>
      <c r="AO802" s="10">
        <v>0.21186192286950029</v>
      </c>
      <c r="AP802" t="s">
        <v>4384</v>
      </c>
      <c r="AQ802" t="s">
        <v>4695</v>
      </c>
      <c r="AR802" t="s">
        <v>4159</v>
      </c>
      <c r="AS802" t="s">
        <v>4107</v>
      </c>
      <c r="AT802" t="s">
        <v>4115</v>
      </c>
      <c r="AU802">
        <v>6</v>
      </c>
      <c r="AV802" t="s">
        <v>4109</v>
      </c>
    </row>
    <row r="803" spans="1:48">
      <c r="A803" t="s">
        <v>3697</v>
      </c>
      <c r="B803" t="s">
        <v>3698</v>
      </c>
      <c r="C803" t="s">
        <v>320</v>
      </c>
      <c r="D803" t="s">
        <v>3699</v>
      </c>
      <c r="E803" t="s">
        <v>171</v>
      </c>
      <c r="F803" t="s">
        <v>124</v>
      </c>
      <c r="G803" t="s">
        <v>51</v>
      </c>
      <c r="H803" t="s">
        <v>52</v>
      </c>
      <c r="I803" t="s">
        <v>53</v>
      </c>
      <c r="J803" t="s">
        <v>95</v>
      </c>
      <c r="K803" t="s">
        <v>96</v>
      </c>
      <c r="L803" t="s">
        <v>3700</v>
      </c>
      <c r="M803" t="s">
        <v>42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146</v>
      </c>
      <c r="U803" t="s">
        <v>87</v>
      </c>
      <c r="W803" t="s">
        <v>3697</v>
      </c>
      <c r="X803" t="str">
        <v>08-10-25</v>
      </c>
      <c r="Y803" t="str">
        <v>15-10-25</v>
      </c>
      <c r="Z803" t="s">
        <v>3699</v>
      </c>
      <c r="AA803" t="str">
        <v>Aarav Sharma</v>
      </c>
      <c r="AB803" t="str">
        <f>TRIM(PROPER(F:F))</f>
        <v>Home Office</v>
      </c>
      <c r="AC803" t="str">
        <f>TRIM(PROPER(G:G))</f>
        <v>East</v>
      </c>
      <c r="AD803" t="str">
        <f>TRIM(PROPER(H:H))</f>
        <v>Odisha</v>
      </c>
      <c r="AE803" t="str">
        <f>TRIM(PROPER(I:I))</f>
        <v>Bhubaneswar</v>
      </c>
      <c r="AF803" t="str">
        <f t="shared" si="22"/>
        <v>Technology</v>
      </c>
      <c r="AG803" t="str">
        <f t="shared" si="22"/>
        <v>Accessories</v>
      </c>
      <c r="AH803" t="str">
        <f t="shared" si="22"/>
        <v>Pro Accessories 500</v>
      </c>
      <c r="AI803" t="str">
        <f t="shared" si="22"/>
        <v>Second Class</v>
      </c>
      <c r="AJ803" s="3" t="str">
        <f t="shared" si="23"/>
        <v>anomaly</v>
      </c>
      <c r="AK803">
        <f>IFERROR(Y803-X803, "invalid date")</f>
        <v>7</v>
      </c>
      <c r="AL803" s="10">
        <v>0.2</v>
      </c>
      <c r="AM803" s="11">
        <v>8093.304000000001</v>
      </c>
      <c r="AN803" s="11">
        <v>2040.8740000000007</v>
      </c>
      <c r="AO803" s="10">
        <v>0.25216821214179036</v>
      </c>
      <c r="AP803" t="s">
        <v>4333</v>
      </c>
      <c r="AQ803" t="s">
        <v>4189</v>
      </c>
      <c r="AR803" t="s">
        <v>4126</v>
      </c>
      <c r="AS803" t="s">
        <v>4120</v>
      </c>
      <c r="AT803" t="s">
        <v>4115</v>
      </c>
      <c r="AU803">
        <v>7</v>
      </c>
      <c r="AV803" t="s">
        <v>4109</v>
      </c>
    </row>
    <row r="804" spans="1:48">
      <c r="A804" t="s">
        <v>3701</v>
      </c>
      <c r="B804" t="s">
        <v>3181</v>
      </c>
      <c r="C804" t="s">
        <v>3702</v>
      </c>
      <c r="D804" t="s">
        <v>3703</v>
      </c>
      <c r="E804" t="s">
        <v>189</v>
      </c>
      <c r="F804" t="s">
        <v>50</v>
      </c>
      <c r="G804" t="s">
        <v>51</v>
      </c>
      <c r="H804" t="s">
        <v>226</v>
      </c>
      <c r="I804" t="s">
        <v>227</v>
      </c>
      <c r="J804" t="s">
        <v>54</v>
      </c>
      <c r="K804" t="s">
        <v>74</v>
      </c>
      <c r="L804" t="s">
        <v>3704</v>
      </c>
      <c r="M804" t="s">
        <v>42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3705</v>
      </c>
      <c r="U804" t="s">
        <v>134</v>
      </c>
      <c r="W804" t="s">
        <v>3701</v>
      </c>
      <c r="X804" t="str">
        <v>16-02-25</v>
      </c>
      <c r="Y804" t="str">
        <v>16-02-25</v>
      </c>
      <c r="Z804" t="s">
        <v>3703</v>
      </c>
      <c r="AA804" t="str">
        <v>Rohan Mehta</v>
      </c>
      <c r="AB804" t="str">
        <f>TRIM(PROPER(F:F))</f>
        <v>Small Business</v>
      </c>
      <c r="AC804" t="str">
        <f>TRIM(PROPER(G:G))</f>
        <v>East</v>
      </c>
      <c r="AD804" t="str">
        <f>TRIM(PROPER(H:H))</f>
        <v>Assam</v>
      </c>
      <c r="AE804" t="str">
        <f>TRIM(PROPER(I:I))</f>
        <v>Guwahati</v>
      </c>
      <c r="AF804" t="str">
        <f t="shared" si="22"/>
        <v>Furniture</v>
      </c>
      <c r="AG804" t="str">
        <f t="shared" si="22"/>
        <v>Furnishings</v>
      </c>
      <c r="AH804" t="str">
        <f t="shared" si="22"/>
        <v>Pro Furnishings 909</v>
      </c>
      <c r="AI804" t="str">
        <f t="shared" si="22"/>
        <v>Second Class</v>
      </c>
      <c r="AJ804" s="3" t="str">
        <f t="shared" si="23"/>
        <v xml:space="preserve">  </v>
      </c>
      <c r="AK804">
        <f>IFERROR(Y804-X804, "invalid date")</f>
        <v>0</v>
      </c>
      <c r="AL804" s="10">
        <v>0</v>
      </c>
      <c r="AM804" s="11">
        <v>8651.4600000000009</v>
      </c>
      <c r="AN804" s="11">
        <v>3396.8400000000011</v>
      </c>
      <c r="AO804" s="10">
        <v>0.39263199506210522</v>
      </c>
      <c r="AP804" t="s">
        <v>4634</v>
      </c>
      <c r="AQ804" t="s">
        <v>4634</v>
      </c>
      <c r="AR804" t="s">
        <v>4129</v>
      </c>
      <c r="AS804" t="s">
        <v>4120</v>
      </c>
      <c r="AT804" t="s">
        <v>4115</v>
      </c>
      <c r="AU804">
        <v>0</v>
      </c>
      <c r="AV804" t="s">
        <v>4109</v>
      </c>
    </row>
    <row r="805" spans="1:48">
      <c r="A805" t="s">
        <v>3706</v>
      </c>
      <c r="B805" t="s">
        <v>3707</v>
      </c>
      <c r="C805" t="s">
        <v>743</v>
      </c>
      <c r="D805" t="s">
        <v>3708</v>
      </c>
      <c r="E805" t="s">
        <v>189</v>
      </c>
      <c r="F805" t="s">
        <v>35</v>
      </c>
      <c r="H805" t="s">
        <v>322</v>
      </c>
      <c r="I805" t="s">
        <v>323</v>
      </c>
      <c r="J805" t="s">
        <v>39</v>
      </c>
      <c r="K805" t="s">
        <v>118</v>
      </c>
      <c r="L805" t="s">
        <v>3709</v>
      </c>
      <c r="M805" t="s">
        <v>65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43</v>
      </c>
      <c r="U805" t="s">
        <v>44</v>
      </c>
      <c r="W805" t="s">
        <v>3706</v>
      </c>
      <c r="X805" t="str">
        <v>09-12-24</v>
      </c>
      <c r="Y805" t="str">
        <v>13-12-24</v>
      </c>
      <c r="Z805" t="s">
        <v>3708</v>
      </c>
      <c r="AA805" t="str">
        <v>Rohan Mehta</v>
      </c>
      <c r="AB805" t="str">
        <f>TRIM(PROPER(F:F))</f>
        <v>Consumer</v>
      </c>
      <c r="AC805" s="4" t="s">
        <v>282</v>
      </c>
      <c r="AD805" t="str">
        <f>TRIM(PROPER(H:H))</f>
        <v>Jharkhand</v>
      </c>
      <c r="AE805" t="str">
        <f>TRIM(PROPER(I:I))</f>
        <v>Ranchi</v>
      </c>
      <c r="AF805" t="str">
        <f t="shared" si="22"/>
        <v>Office Supplies</v>
      </c>
      <c r="AG805" t="str">
        <f t="shared" si="22"/>
        <v>Labels</v>
      </c>
      <c r="AH805" t="str">
        <f t="shared" si="22"/>
        <v>Basic Labels 359</v>
      </c>
      <c r="AI805" t="str">
        <f t="shared" si="22"/>
        <v>First Class</v>
      </c>
      <c r="AJ805" s="3" t="str">
        <f t="shared" si="23"/>
        <v>anomaly</v>
      </c>
      <c r="AK805">
        <f>IFERROR(Y805-X805, "invalid date")</f>
        <v>4</v>
      </c>
      <c r="AL805" s="10">
        <v>0</v>
      </c>
      <c r="AM805" s="11">
        <v>4306.6499999999996</v>
      </c>
      <c r="AN805" s="11">
        <v>1737.8299999999995</v>
      </c>
      <c r="AO805" s="10">
        <v>0.40352245945224235</v>
      </c>
      <c r="AP805" t="s">
        <v>4362</v>
      </c>
      <c r="AQ805" t="s">
        <v>4304</v>
      </c>
      <c r="AR805" t="s">
        <v>4139</v>
      </c>
      <c r="AS805" t="s">
        <v>4107</v>
      </c>
      <c r="AT805" t="s">
        <v>4115</v>
      </c>
      <c r="AU805">
        <v>4</v>
      </c>
      <c r="AV805" t="s">
        <v>4109</v>
      </c>
    </row>
    <row r="806" spans="1:48">
      <c r="A806" t="s">
        <v>3710</v>
      </c>
      <c r="B806" t="s">
        <v>999</v>
      </c>
      <c r="C806" t="s">
        <v>2205</v>
      </c>
      <c r="D806" t="s">
        <v>3711</v>
      </c>
      <c r="E806" t="s">
        <v>157</v>
      </c>
      <c r="F806" t="s">
        <v>124</v>
      </c>
      <c r="G806" t="s">
        <v>71</v>
      </c>
      <c r="H806" t="s">
        <v>72</v>
      </c>
      <c r="I806" t="s">
        <v>73</v>
      </c>
      <c r="J806" t="s">
        <v>54</v>
      </c>
      <c r="K806" t="s">
        <v>74</v>
      </c>
      <c r="L806" t="s">
        <v>3712</v>
      </c>
      <c r="M806" t="s">
        <v>76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43</v>
      </c>
      <c r="U806" t="s">
        <v>44</v>
      </c>
      <c r="W806" t="s">
        <v>3710</v>
      </c>
      <c r="X806" t="str">
        <v>10-09-25</v>
      </c>
      <c r="Y806" t="str">
        <v>18-09-25</v>
      </c>
      <c r="Z806" t="s">
        <v>3711</v>
      </c>
      <c r="AA806" t="str">
        <v>Rahul Verma</v>
      </c>
      <c r="AB806" t="str">
        <f>TRIM(PROPER(F:F))</f>
        <v>Home Office</v>
      </c>
      <c r="AC806" t="str">
        <f>TRIM(PROPER(G:G))</f>
        <v>South</v>
      </c>
      <c r="AD806" t="str">
        <f>TRIM(PROPER(H:H))</f>
        <v>Telangana</v>
      </c>
      <c r="AE806" t="str">
        <f>TRIM(PROPER(I:I))</f>
        <v>Hyderabad</v>
      </c>
      <c r="AF806" t="str">
        <f t="shared" si="22"/>
        <v>Furniture</v>
      </c>
      <c r="AG806" t="str">
        <f t="shared" si="22"/>
        <v>Furnishings</v>
      </c>
      <c r="AH806" t="str">
        <f t="shared" si="22"/>
        <v>Eco Furnishings 541</v>
      </c>
      <c r="AI806" t="str">
        <f t="shared" si="22"/>
        <v>Standard Class</v>
      </c>
      <c r="AJ806" s="3" t="str">
        <f t="shared" si="23"/>
        <v>anomaly</v>
      </c>
      <c r="AK806">
        <f>IFERROR(Y806-X806, "invalid date")</f>
        <v>8</v>
      </c>
      <c r="AL806" s="10">
        <v>0.05</v>
      </c>
      <c r="AM806" s="11">
        <v>1948.0889999999997</v>
      </c>
      <c r="AN806" s="11">
        <v>441.00899999999979</v>
      </c>
      <c r="AO806" s="10">
        <v>0.22638031424642296</v>
      </c>
      <c r="AP806" t="s">
        <v>4351</v>
      </c>
      <c r="AQ806" t="s">
        <v>4271</v>
      </c>
      <c r="AR806" t="s">
        <v>4134</v>
      </c>
      <c r="AS806" t="s">
        <v>4120</v>
      </c>
      <c r="AT806" t="s">
        <v>4115</v>
      </c>
      <c r="AU806">
        <v>8</v>
      </c>
      <c r="AV806" t="s">
        <v>4109</v>
      </c>
    </row>
    <row r="807" spans="1:48">
      <c r="A807" t="s">
        <v>3713</v>
      </c>
      <c r="B807" t="s">
        <v>1325</v>
      </c>
      <c r="C807" t="s">
        <v>1073</v>
      </c>
      <c r="D807" t="s">
        <v>3529</v>
      </c>
      <c r="E807" t="s">
        <v>151</v>
      </c>
      <c r="F807" t="s">
        <v>124</v>
      </c>
      <c r="G807" t="s">
        <v>51</v>
      </c>
      <c r="H807" t="s">
        <v>226</v>
      </c>
      <c r="I807" t="s">
        <v>227</v>
      </c>
      <c r="J807" t="s">
        <v>39</v>
      </c>
      <c r="K807" t="s">
        <v>208</v>
      </c>
      <c r="L807" t="s">
        <v>3714</v>
      </c>
      <c r="M807" t="s">
        <v>42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43</v>
      </c>
      <c r="U807" t="s">
        <v>44</v>
      </c>
      <c r="W807" t="s">
        <v>3713</v>
      </c>
      <c r="X807" t="str">
        <v>06-04-25</v>
      </c>
      <c r="Y807" t="str">
        <v>07-04-25</v>
      </c>
      <c r="Z807" t="s">
        <v>3529</v>
      </c>
      <c r="AA807" t="str">
        <v>Priya Menon</v>
      </c>
      <c r="AB807" t="str">
        <f>TRIM(PROPER(F:F))</f>
        <v>Home Office</v>
      </c>
      <c r="AC807" t="str">
        <f>TRIM(PROPER(G:G))</f>
        <v>East</v>
      </c>
      <c r="AD807" t="str">
        <f>TRIM(PROPER(H:H))</f>
        <v>Assam</v>
      </c>
      <c r="AE807" t="str">
        <f>TRIM(PROPER(I:I))</f>
        <v>Guwahati</v>
      </c>
      <c r="AF807" t="str">
        <f t="shared" si="22"/>
        <v>Office Supplies</v>
      </c>
      <c r="AG807" t="str">
        <f t="shared" si="22"/>
        <v>Binders</v>
      </c>
      <c r="AH807" t="str">
        <f t="shared" si="22"/>
        <v>Classic Binders 103</v>
      </c>
      <c r="AI807" t="str">
        <f t="shared" si="22"/>
        <v>Second Class</v>
      </c>
      <c r="AJ807" s="3" t="str">
        <f t="shared" si="23"/>
        <v>anomaly</v>
      </c>
      <c r="AK807">
        <f>IFERROR(Y807-X807, "invalid date")</f>
        <v>1</v>
      </c>
      <c r="AL807" s="10">
        <v>0.25</v>
      </c>
      <c r="AM807" s="11">
        <v>3045.09</v>
      </c>
      <c r="AN807" s="11">
        <v>444</v>
      </c>
      <c r="AO807" s="10">
        <v>0.14580849827098705</v>
      </c>
      <c r="AP807" t="s">
        <v>4417</v>
      </c>
      <c r="AQ807" t="s">
        <v>4368</v>
      </c>
      <c r="AR807" t="s">
        <v>4199</v>
      </c>
      <c r="AS807" t="s">
        <v>4120</v>
      </c>
      <c r="AT807" t="s">
        <v>4115</v>
      </c>
      <c r="AU807">
        <v>1</v>
      </c>
      <c r="AV807" t="s">
        <v>4109</v>
      </c>
    </row>
    <row r="808" spans="1:48">
      <c r="A808" t="s">
        <v>3715</v>
      </c>
      <c r="B808" t="s">
        <v>3716</v>
      </c>
      <c r="C808" t="s">
        <v>3717</v>
      </c>
      <c r="D808" t="s">
        <v>3718</v>
      </c>
      <c r="E808" t="s">
        <v>62</v>
      </c>
      <c r="F808" t="s">
        <v>124</v>
      </c>
      <c r="G808" t="s">
        <v>36</v>
      </c>
      <c r="H808" t="s">
        <v>37</v>
      </c>
      <c r="I808" t="s">
        <v>38</v>
      </c>
      <c r="J808" t="s">
        <v>95</v>
      </c>
      <c r="K808" t="s">
        <v>103</v>
      </c>
      <c r="L808" t="s">
        <v>3719</v>
      </c>
      <c r="M808" t="s">
        <v>76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210</v>
      </c>
      <c r="U808" t="s">
        <v>87</v>
      </c>
      <c r="W808" t="s">
        <v>3715</v>
      </c>
      <c r="X808" t="str">
        <v>09-11-24</v>
      </c>
      <c r="Y808" t="str">
        <v>15-11-24</v>
      </c>
      <c r="Z808" t="s">
        <v>3718</v>
      </c>
      <c r="AA808" t="str">
        <v>Isha Nair</v>
      </c>
      <c r="AB808" t="str">
        <f>TRIM(PROPER(F:F))</f>
        <v>Home Office</v>
      </c>
      <c r="AC808" t="str">
        <f>TRIM(PROPER(G:G))</f>
        <v>North</v>
      </c>
      <c r="AD808" t="str">
        <f>TRIM(PROPER(H:H))</f>
        <v>Rajasthan</v>
      </c>
      <c r="AE808" t="str">
        <f>TRIM(PROPER(I:I))</f>
        <v>Jaipur</v>
      </c>
      <c r="AF808" t="str">
        <f t="shared" si="22"/>
        <v>Technology</v>
      </c>
      <c r="AG808" t="str">
        <f t="shared" si="22"/>
        <v>Copiers</v>
      </c>
      <c r="AH808" t="str">
        <f t="shared" si="22"/>
        <v>Max Copiers 560</v>
      </c>
      <c r="AI808" t="str">
        <f t="shared" si="22"/>
        <v>Standard Class</v>
      </c>
      <c r="AJ808" s="3" t="str">
        <f t="shared" si="23"/>
        <v>anomaly</v>
      </c>
      <c r="AK808">
        <f>IFERROR(Y808-X808, "invalid date")</f>
        <v>6</v>
      </c>
      <c r="AL808" s="10">
        <v>0.2</v>
      </c>
      <c r="AM808" s="11">
        <v>2932.7759999999998</v>
      </c>
      <c r="AN808" s="11">
        <v>1032.4259999999999</v>
      </c>
      <c r="AO808" s="10">
        <v>0.35203029484692999</v>
      </c>
      <c r="AP808" t="s">
        <v>4331</v>
      </c>
      <c r="AQ808" t="s">
        <v>4696</v>
      </c>
      <c r="AR808" t="s">
        <v>4117</v>
      </c>
      <c r="AS808" t="s">
        <v>4107</v>
      </c>
      <c r="AT808" t="s">
        <v>4115</v>
      </c>
      <c r="AU808">
        <v>6</v>
      </c>
      <c r="AV808" t="s">
        <v>4109</v>
      </c>
    </row>
    <row r="809" spans="1:48">
      <c r="A809" t="s">
        <v>3720</v>
      </c>
      <c r="B809" t="s">
        <v>1285</v>
      </c>
      <c r="C809" t="s">
        <v>2279</v>
      </c>
      <c r="D809" t="s">
        <v>3721</v>
      </c>
      <c r="E809" t="s">
        <v>34</v>
      </c>
      <c r="F809" t="s">
        <v>50</v>
      </c>
      <c r="G809" t="s">
        <v>71</v>
      </c>
      <c r="H809" t="s">
        <v>72</v>
      </c>
      <c r="I809" t="s">
        <v>73</v>
      </c>
      <c r="J809" t="s">
        <v>39</v>
      </c>
      <c r="K809" t="s">
        <v>118</v>
      </c>
      <c r="L809" t="s">
        <v>3722</v>
      </c>
      <c r="M809" t="s">
        <v>3723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43</v>
      </c>
      <c r="U809" t="s">
        <v>44</v>
      </c>
      <c r="W809" t="s">
        <v>3720</v>
      </c>
      <c r="X809" t="str">
        <v>07-02-25</v>
      </c>
      <c r="Y809" t="str">
        <v>08-02-25</v>
      </c>
      <c r="Z809" t="s">
        <v>3721</v>
      </c>
      <c r="AA809" t="str">
        <v>Karan Malhotra</v>
      </c>
      <c r="AB809" t="str">
        <f>TRIM(PROPER(F:F))</f>
        <v>Small Business</v>
      </c>
      <c r="AC809" t="str">
        <f>TRIM(PROPER(G:G))</f>
        <v>South</v>
      </c>
      <c r="AD809" t="str">
        <f>TRIM(PROPER(H:H))</f>
        <v>Telangana</v>
      </c>
      <c r="AE809" t="str">
        <f>TRIM(PROPER(I:I))</f>
        <v>Hyderabad</v>
      </c>
      <c r="AF809" t="str">
        <f t="shared" si="22"/>
        <v>Office Supplies</v>
      </c>
      <c r="AG809" t="str">
        <f t="shared" si="22"/>
        <v>Labels</v>
      </c>
      <c r="AH809" t="str">
        <f t="shared" si="22"/>
        <v>Smart Labels 436</v>
      </c>
      <c r="AI809" t="str">
        <f t="shared" si="22"/>
        <v>Standard Class</v>
      </c>
      <c r="AJ809" s="3" t="str">
        <f t="shared" si="23"/>
        <v>anomaly</v>
      </c>
      <c r="AK809">
        <f>IFERROR(Y809-X809, "invalid date")</f>
        <v>1</v>
      </c>
      <c r="AL809" s="10">
        <v>0.1</v>
      </c>
      <c r="AM809" s="11">
        <v>4379.3640000000005</v>
      </c>
      <c r="AN809" s="11">
        <v>655.43400000000065</v>
      </c>
      <c r="AO809" s="10">
        <v>0.14966419781502532</v>
      </c>
      <c r="AP809" t="s">
        <v>4226</v>
      </c>
      <c r="AQ809" t="s">
        <v>4416</v>
      </c>
      <c r="AR809" t="s">
        <v>4129</v>
      </c>
      <c r="AS809" t="s">
        <v>4120</v>
      </c>
      <c r="AT809" t="s">
        <v>4115</v>
      </c>
      <c r="AU809">
        <v>1</v>
      </c>
      <c r="AV809" t="s">
        <v>4109</v>
      </c>
    </row>
    <row r="810" spans="1:48">
      <c r="A810" t="s">
        <v>3724</v>
      </c>
      <c r="B810" t="s">
        <v>3725</v>
      </c>
      <c r="C810" t="s">
        <v>2043</v>
      </c>
      <c r="D810" t="s">
        <v>3726</v>
      </c>
      <c r="E810" t="s">
        <v>171</v>
      </c>
      <c r="F810" t="s">
        <v>50</v>
      </c>
      <c r="G810" t="s">
        <v>71</v>
      </c>
      <c r="H810" t="s">
        <v>350</v>
      </c>
      <c r="I810" t="s">
        <v>351</v>
      </c>
      <c r="J810" t="s">
        <v>54</v>
      </c>
      <c r="K810" t="s">
        <v>74</v>
      </c>
      <c r="L810" t="s">
        <v>3727</v>
      </c>
      <c r="M810" t="s">
        <v>65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43</v>
      </c>
      <c r="U810" t="s">
        <v>44</v>
      </c>
      <c r="W810" t="s">
        <v>3724</v>
      </c>
      <c r="X810" t="str">
        <v>31-08-25</v>
      </c>
      <c r="Y810" t="str">
        <v>28-08-25</v>
      </c>
      <c r="Z810" t="s">
        <v>3726</v>
      </c>
      <c r="AA810" t="str">
        <v>Aarav Sharma</v>
      </c>
      <c r="AB810" t="str">
        <f>TRIM(PROPER(F:F))</f>
        <v>Small Business</v>
      </c>
      <c r="AC810" t="str">
        <f>TRIM(PROPER(G:G))</f>
        <v>South</v>
      </c>
      <c r="AD810" t="str">
        <f>TRIM(PROPER(H:H))</f>
        <v>Tamil Nadu</v>
      </c>
      <c r="AE810" t="str">
        <f>TRIM(PROPER(I:I))</f>
        <v>Chennai</v>
      </c>
      <c r="AF810" t="str">
        <f t="shared" si="22"/>
        <v>Furniture</v>
      </c>
      <c r="AG810" t="str">
        <f t="shared" si="22"/>
        <v>Furnishings</v>
      </c>
      <c r="AH810" t="str">
        <f t="shared" si="22"/>
        <v>Pro Furnishings 386</v>
      </c>
      <c r="AI810" t="str">
        <f t="shared" si="22"/>
        <v>First Class</v>
      </c>
      <c r="AJ810" s="3" t="str">
        <f t="shared" si="23"/>
        <v xml:space="preserve">  </v>
      </c>
      <c r="AK810">
        <f>IFERROR(Y810-X810, "invalid date")</f>
        <v>-3</v>
      </c>
      <c r="AL810" s="10">
        <v>0.2</v>
      </c>
      <c r="AM810" s="11">
        <v>5472.768</v>
      </c>
      <c r="AN810" s="11">
        <v>995.4380000000001</v>
      </c>
      <c r="AO810" s="10">
        <v>0.18188931085695575</v>
      </c>
      <c r="AP810" t="s">
        <v>4156</v>
      </c>
      <c r="AQ810" t="s">
        <v>4540</v>
      </c>
      <c r="AR810" t="s">
        <v>4114</v>
      </c>
      <c r="AS810" t="s">
        <v>4120</v>
      </c>
      <c r="AT810" t="s">
        <v>4121</v>
      </c>
      <c r="AU810">
        <v>-3</v>
      </c>
      <c r="AV810" t="s">
        <v>4109</v>
      </c>
    </row>
    <row r="811" spans="1:48">
      <c r="A811" t="s">
        <v>3728</v>
      </c>
      <c r="B811" t="s">
        <v>1525</v>
      </c>
      <c r="C811" t="s">
        <v>1525</v>
      </c>
      <c r="D811" t="s">
        <v>3729</v>
      </c>
      <c r="E811" t="s">
        <v>70</v>
      </c>
      <c r="F811" t="s">
        <v>50</v>
      </c>
      <c r="H811" t="s">
        <v>163</v>
      </c>
      <c r="I811" t="s">
        <v>164</v>
      </c>
      <c r="J811" t="s">
        <v>39</v>
      </c>
      <c r="K811" t="s">
        <v>208</v>
      </c>
      <c r="L811" t="s">
        <v>3730</v>
      </c>
      <c r="M811" t="s">
        <v>42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43</v>
      </c>
      <c r="U811" t="s">
        <v>44</v>
      </c>
      <c r="W811" t="s">
        <v>3728</v>
      </c>
      <c r="X811" t="str">
        <v>25-06-25</v>
      </c>
      <c r="Y811" t="str">
        <v>25-06-25</v>
      </c>
      <c r="Z811" t="s">
        <v>3729</v>
      </c>
      <c r="AA811" t="str">
        <v>Arjun Bose</v>
      </c>
      <c r="AB811" t="str">
        <f>TRIM(PROPER(F:F))</f>
        <v>Small Business</v>
      </c>
      <c r="AC811" s="4" t="s">
        <v>282</v>
      </c>
      <c r="AD811" t="str">
        <f>TRIM(PROPER(H:H))</f>
        <v>Punjab</v>
      </c>
      <c r="AE811" t="str">
        <f>TRIM(PROPER(I:I))</f>
        <v>Ludhiana</v>
      </c>
      <c r="AF811" t="str">
        <f t="shared" si="22"/>
        <v>Office Supplies</v>
      </c>
      <c r="AG811" t="str">
        <f t="shared" si="22"/>
        <v>Binders</v>
      </c>
      <c r="AH811" t="str">
        <f t="shared" si="22"/>
        <v>Eco Binders 601</v>
      </c>
      <c r="AI811" t="str">
        <f t="shared" si="22"/>
        <v>Second Class</v>
      </c>
      <c r="AJ811" s="3" t="str">
        <f t="shared" si="23"/>
        <v xml:space="preserve">  </v>
      </c>
      <c r="AK811">
        <f>IFERROR(Y811-X811, "invalid date")</f>
        <v>0</v>
      </c>
      <c r="AL811" s="10">
        <v>0.1</v>
      </c>
      <c r="AM811" s="11">
        <v>7377.1020000000008</v>
      </c>
      <c r="AN811" s="11">
        <v>2291.8920000000007</v>
      </c>
      <c r="AO811" s="10">
        <v>0.31067646888981615</v>
      </c>
      <c r="AP811" t="s">
        <v>4418</v>
      </c>
      <c r="AQ811" t="s">
        <v>4418</v>
      </c>
      <c r="AR811" t="s">
        <v>4170</v>
      </c>
      <c r="AS811" t="s">
        <v>4120</v>
      </c>
      <c r="AT811" t="s">
        <v>4115</v>
      </c>
      <c r="AU811">
        <v>0</v>
      </c>
      <c r="AV811" t="s">
        <v>4109</v>
      </c>
    </row>
    <row r="812" spans="1:48">
      <c r="A812" t="s">
        <v>3731</v>
      </c>
      <c r="B812" t="s">
        <v>3732</v>
      </c>
      <c r="C812" t="s">
        <v>3733</v>
      </c>
      <c r="D812" t="s">
        <v>2543</v>
      </c>
      <c r="E812" t="s">
        <v>377</v>
      </c>
      <c r="F812" t="s">
        <v>124</v>
      </c>
      <c r="G812" t="s">
        <v>82</v>
      </c>
      <c r="H812" t="s">
        <v>245</v>
      </c>
      <c r="I812" t="s">
        <v>246</v>
      </c>
      <c r="J812" t="s">
        <v>95</v>
      </c>
      <c r="K812" t="s">
        <v>103</v>
      </c>
      <c r="L812" t="s">
        <v>3734</v>
      </c>
      <c r="M812" t="s">
        <v>65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43</v>
      </c>
      <c r="U812" t="s">
        <v>44</v>
      </c>
      <c r="W812" t="s">
        <v>3731</v>
      </c>
      <c r="X812" t="str">
        <v>04-03-24</v>
      </c>
      <c r="Y812" t="str">
        <v>08-04-24</v>
      </c>
      <c r="Z812" t="s">
        <v>2543</v>
      </c>
      <c r="AA812" t="str">
        <v>Kabir Singh</v>
      </c>
      <c r="AB812" t="str">
        <f>TRIM(PROPER(F:F))</f>
        <v>Home Office</v>
      </c>
      <c r="AC812" t="str">
        <f>TRIM(PROPER(G:G))</f>
        <v>West</v>
      </c>
      <c r="AD812" t="str">
        <f>TRIM(PROPER(H:H))</f>
        <v>Gujarat</v>
      </c>
      <c r="AE812" t="str">
        <f>TRIM(PROPER(I:I))</f>
        <v>Ahmedabad</v>
      </c>
      <c r="AF812" t="str">
        <f t="shared" si="22"/>
        <v>Technology</v>
      </c>
      <c r="AG812" t="str">
        <f t="shared" si="22"/>
        <v>Copiers</v>
      </c>
      <c r="AH812" t="str">
        <f t="shared" si="22"/>
        <v>Pro Copiers 867</v>
      </c>
      <c r="AI812" t="str">
        <f t="shared" si="22"/>
        <v>First Class</v>
      </c>
      <c r="AJ812" s="3" t="str">
        <f t="shared" si="23"/>
        <v>anomaly</v>
      </c>
      <c r="AK812">
        <f>IFERROR(Y812-X812, "invalid date")</f>
        <v>35</v>
      </c>
      <c r="AL812" s="10">
        <v>0.25</v>
      </c>
      <c r="AM812" s="11">
        <v>2363.8874999999998</v>
      </c>
      <c r="AN812" s="11">
        <v>892.37749999999983</v>
      </c>
      <c r="AO812" s="10">
        <v>0.37750421710000998</v>
      </c>
      <c r="AP812" t="s">
        <v>4157</v>
      </c>
      <c r="AQ812" t="s">
        <v>4629</v>
      </c>
      <c r="AR812" t="s">
        <v>4159</v>
      </c>
      <c r="AS812" t="s">
        <v>4107</v>
      </c>
      <c r="AT812" t="s">
        <v>4115</v>
      </c>
      <c r="AU812">
        <v>35</v>
      </c>
      <c r="AV812" t="s">
        <v>4109</v>
      </c>
    </row>
    <row r="813" spans="1:48">
      <c r="A813" t="s">
        <v>3735</v>
      </c>
      <c r="B813" t="s">
        <v>3736</v>
      </c>
      <c r="C813" t="s">
        <v>3737</v>
      </c>
      <c r="D813" t="s">
        <v>3738</v>
      </c>
      <c r="E813" t="s">
        <v>189</v>
      </c>
      <c r="F813" t="s">
        <v>124</v>
      </c>
      <c r="G813" t="s">
        <v>36</v>
      </c>
      <c r="H813" t="s">
        <v>334</v>
      </c>
      <c r="I813" t="s">
        <v>335</v>
      </c>
      <c r="J813" t="s">
        <v>95</v>
      </c>
      <c r="K813" t="s">
        <v>96</v>
      </c>
      <c r="L813" t="s">
        <v>3739</v>
      </c>
      <c r="M813" t="s">
        <v>65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43</v>
      </c>
      <c r="U813" t="s">
        <v>44</v>
      </c>
      <c r="W813" t="s">
        <v>3735</v>
      </c>
      <c r="X813" t="str">
        <v>12-12-24</v>
      </c>
      <c r="Y813" t="str">
        <v>19-12-24</v>
      </c>
      <c r="Z813" t="s">
        <v>3738</v>
      </c>
      <c r="AA813" t="str">
        <v>Rohan Mehta</v>
      </c>
      <c r="AB813" t="str">
        <f>TRIM(PROPER(F:F))</f>
        <v>Home Office</v>
      </c>
      <c r="AC813" t="str">
        <f>TRIM(PROPER(G:G))</f>
        <v>North</v>
      </c>
      <c r="AD813" t="str">
        <f>TRIM(PROPER(H:H))</f>
        <v>Haryana</v>
      </c>
      <c r="AE813" t="str">
        <f>TRIM(PROPER(I:I))</f>
        <v>Gurugram</v>
      </c>
      <c r="AF813" t="str">
        <f t="shared" si="22"/>
        <v>Technology</v>
      </c>
      <c r="AG813" t="str">
        <f t="shared" si="22"/>
        <v>Accessories</v>
      </c>
      <c r="AH813" t="str">
        <f t="shared" si="22"/>
        <v>Eco Accessories 122</v>
      </c>
      <c r="AI813" t="str">
        <f t="shared" si="22"/>
        <v>First Class</v>
      </c>
      <c r="AJ813" s="3" t="str">
        <f t="shared" si="23"/>
        <v>anomaly</v>
      </c>
      <c r="AK813">
        <f>IFERROR(Y813-X813, "invalid date")</f>
        <v>7</v>
      </c>
      <c r="AL813" s="10">
        <v>0.2</v>
      </c>
      <c r="AM813" s="11">
        <v>2577.2000000000003</v>
      </c>
      <c r="AN813" s="11">
        <v>1101.3300000000004</v>
      </c>
      <c r="AO813" s="10">
        <v>0.42733586838429316</v>
      </c>
      <c r="AP813" t="s">
        <v>4630</v>
      </c>
      <c r="AQ813" t="s">
        <v>4697</v>
      </c>
      <c r="AR813" t="s">
        <v>4139</v>
      </c>
      <c r="AS813" t="s">
        <v>4107</v>
      </c>
      <c r="AT813" t="s">
        <v>4115</v>
      </c>
      <c r="AU813">
        <v>7</v>
      </c>
      <c r="AV813" t="s">
        <v>4109</v>
      </c>
    </row>
    <row r="814" spans="1:48">
      <c r="A814" t="s">
        <v>3740</v>
      </c>
      <c r="B814" t="s">
        <v>820</v>
      </c>
      <c r="C814" t="s">
        <v>3741</v>
      </c>
      <c r="D814" t="s">
        <v>3742</v>
      </c>
      <c r="E814" t="s">
        <v>177</v>
      </c>
      <c r="F814" t="s">
        <v>50</v>
      </c>
      <c r="G814" t="s">
        <v>51</v>
      </c>
      <c r="H814" t="s">
        <v>322</v>
      </c>
      <c r="I814" t="s">
        <v>323</v>
      </c>
      <c r="J814" t="s">
        <v>54</v>
      </c>
      <c r="K814" t="s">
        <v>55</v>
      </c>
      <c r="L814" t="s">
        <v>3743</v>
      </c>
      <c r="M814" t="s">
        <v>65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43</v>
      </c>
      <c r="U814" t="s">
        <v>44</v>
      </c>
      <c r="W814" t="s">
        <v>3740</v>
      </c>
      <c r="X814" t="str">
        <v>15-06-24</v>
      </c>
      <c r="Y814" t="str">
        <v>20-06-24</v>
      </c>
      <c r="Z814" t="s">
        <v>3742</v>
      </c>
      <c r="AA814" t="str">
        <v>Sneha Kapoor</v>
      </c>
      <c r="AB814" t="str">
        <f>TRIM(PROPER(F:F))</f>
        <v>Small Business</v>
      </c>
      <c r="AC814" t="str">
        <f>TRIM(PROPER(G:G))</f>
        <v>East</v>
      </c>
      <c r="AD814" t="str">
        <f>TRIM(PROPER(H:H))</f>
        <v>Jharkhand</v>
      </c>
      <c r="AE814" t="str">
        <f>TRIM(PROPER(I:I))</f>
        <v>Ranchi</v>
      </c>
      <c r="AF814" t="str">
        <f t="shared" si="22"/>
        <v>Furniture</v>
      </c>
      <c r="AG814" t="str">
        <f t="shared" si="22"/>
        <v>Tables</v>
      </c>
      <c r="AH814" t="str">
        <f t="shared" si="22"/>
        <v>Basic Tables 127</v>
      </c>
      <c r="AI814" t="str">
        <f t="shared" si="22"/>
        <v>First Class</v>
      </c>
      <c r="AJ814" s="3" t="str">
        <f t="shared" si="23"/>
        <v>anomaly</v>
      </c>
      <c r="AK814">
        <f>IFERROR(Y814-X814, "invalid date")</f>
        <v>5</v>
      </c>
      <c r="AL814" s="10">
        <v>0</v>
      </c>
      <c r="AM814" s="11">
        <v>17827.759999999998</v>
      </c>
      <c r="AN814" s="11">
        <v>3705.6299999999992</v>
      </c>
      <c r="AO814" s="10">
        <v>0.20785729671029896</v>
      </c>
      <c r="AP814" t="s">
        <v>4113</v>
      </c>
      <c r="AQ814" t="s">
        <v>4502</v>
      </c>
      <c r="AR814" t="s">
        <v>4170</v>
      </c>
      <c r="AS814" t="s">
        <v>4107</v>
      </c>
      <c r="AT814" t="s">
        <v>4115</v>
      </c>
      <c r="AU814">
        <v>5</v>
      </c>
      <c r="AV814" t="s">
        <v>4109</v>
      </c>
    </row>
    <row r="815" spans="1:48">
      <c r="A815" t="s">
        <v>3744</v>
      </c>
      <c r="B815" t="s">
        <v>3745</v>
      </c>
      <c r="C815" t="s">
        <v>3746</v>
      </c>
      <c r="D815" t="s">
        <v>3747</v>
      </c>
      <c r="E815" t="s">
        <v>189</v>
      </c>
      <c r="F815" t="s">
        <v>35</v>
      </c>
      <c r="G815" t="s">
        <v>51</v>
      </c>
      <c r="H815" t="s">
        <v>52</v>
      </c>
      <c r="I815" t="s">
        <v>53</v>
      </c>
      <c r="J815" t="s">
        <v>54</v>
      </c>
      <c r="K815" t="s">
        <v>214</v>
      </c>
      <c r="L815" t="s">
        <v>1726</v>
      </c>
      <c r="M815" t="s">
        <v>76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43</v>
      </c>
      <c r="U815" t="s">
        <v>44</v>
      </c>
      <c r="W815" t="s">
        <v>3744</v>
      </c>
      <c r="X815" t="str">
        <v>04-06-25</v>
      </c>
      <c r="Y815" t="str">
        <v>10-04-25</v>
      </c>
      <c r="Z815" t="s">
        <v>3747</v>
      </c>
      <c r="AA815" t="str">
        <v>Rohan Mehta</v>
      </c>
      <c r="AB815" t="str">
        <f>TRIM(PROPER(F:F))</f>
        <v>Consumer</v>
      </c>
      <c r="AC815" t="str">
        <f>TRIM(PROPER(G:G))</f>
        <v>East</v>
      </c>
      <c r="AD815" t="str">
        <f>TRIM(PROPER(H:H))</f>
        <v>Odisha</v>
      </c>
      <c r="AE815" t="str">
        <f>TRIM(PROPER(I:I))</f>
        <v>Bhubaneswar</v>
      </c>
      <c r="AF815" t="str">
        <f t="shared" si="22"/>
        <v>Furniture</v>
      </c>
      <c r="AG815" t="str">
        <f t="shared" si="22"/>
        <v>Bookcases</v>
      </c>
      <c r="AH815" t="str">
        <f t="shared" si="22"/>
        <v>Elite Bookcases 988</v>
      </c>
      <c r="AI815" t="str">
        <f t="shared" si="22"/>
        <v>Standard Class</v>
      </c>
      <c r="AJ815" s="3" t="str">
        <f t="shared" si="23"/>
        <v>anomaly</v>
      </c>
      <c r="AK815">
        <f>IFERROR(Y815-X815, "invalid date")</f>
        <v>-55</v>
      </c>
      <c r="AL815" s="10">
        <v>0</v>
      </c>
      <c r="AM815" s="11">
        <v>2675.34</v>
      </c>
      <c r="AN815" s="11">
        <v>1079.4700000000003</v>
      </c>
      <c r="AO815" s="10">
        <v>0.40348890234512258</v>
      </c>
      <c r="AP815" t="s">
        <v>4401</v>
      </c>
      <c r="AQ815" t="s">
        <v>4394</v>
      </c>
      <c r="AR815" t="s">
        <v>4170</v>
      </c>
      <c r="AS815" t="s">
        <v>4120</v>
      </c>
      <c r="AT815" t="s">
        <v>4115</v>
      </c>
      <c r="AU815">
        <v>-55</v>
      </c>
      <c r="AV815" t="s">
        <v>4109</v>
      </c>
    </row>
    <row r="816" spans="1:48">
      <c r="A816" t="s">
        <v>3748</v>
      </c>
      <c r="B816" t="s">
        <v>1380</v>
      </c>
      <c r="C816" t="s">
        <v>594</v>
      </c>
      <c r="D816" t="s">
        <v>3749</v>
      </c>
      <c r="E816" t="s">
        <v>70</v>
      </c>
      <c r="F816" t="s">
        <v>35</v>
      </c>
      <c r="G816" t="s">
        <v>82</v>
      </c>
      <c r="H816" t="s">
        <v>93</v>
      </c>
      <c r="I816" t="s">
        <v>94</v>
      </c>
      <c r="J816" t="s">
        <v>39</v>
      </c>
      <c r="K816" t="s">
        <v>118</v>
      </c>
      <c r="L816" t="s">
        <v>3750</v>
      </c>
      <c r="M816" t="s">
        <v>65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43</v>
      </c>
      <c r="U816" t="s">
        <v>44</v>
      </c>
      <c r="W816" t="s">
        <v>3748</v>
      </c>
      <c r="X816" t="str">
        <v>06-08-25</v>
      </c>
      <c r="Y816" t="str">
        <v>11-08-25</v>
      </c>
      <c r="Z816" t="s">
        <v>3749</v>
      </c>
      <c r="AA816" t="str">
        <v>Arjun Bose</v>
      </c>
      <c r="AB816" t="str">
        <f>TRIM(PROPER(F:F))</f>
        <v>Consumer</v>
      </c>
      <c r="AC816" t="str">
        <f>TRIM(PROPER(G:G))</f>
        <v>West</v>
      </c>
      <c r="AD816" t="str">
        <f>TRIM(PROPER(H:H))</f>
        <v>Madhya Pradesh</v>
      </c>
      <c r="AE816" t="str">
        <f>TRIM(PROPER(I:I))</f>
        <v>Indore</v>
      </c>
      <c r="AF816" t="str">
        <f t="shared" si="22"/>
        <v>Office Supplies</v>
      </c>
      <c r="AG816" t="str">
        <f t="shared" si="22"/>
        <v>Labels</v>
      </c>
      <c r="AH816" t="str">
        <f t="shared" si="22"/>
        <v>Smart Labels 126</v>
      </c>
      <c r="AI816" t="str">
        <f t="shared" si="22"/>
        <v>First Class</v>
      </c>
      <c r="AJ816" s="3" t="str">
        <f t="shared" si="23"/>
        <v>anomaly</v>
      </c>
      <c r="AK816">
        <f>IFERROR(Y816-X816, "invalid date")</f>
        <v>5</v>
      </c>
      <c r="AL816" s="10">
        <v>0.25</v>
      </c>
      <c r="AM816" s="11">
        <v>3563.91</v>
      </c>
      <c r="AN816" s="11">
        <v>924.21</v>
      </c>
      <c r="AO816" s="10">
        <v>0.25932473042248544</v>
      </c>
      <c r="AP816" t="s">
        <v>4428</v>
      </c>
      <c r="AQ816" t="s">
        <v>4266</v>
      </c>
      <c r="AR816" t="s">
        <v>4114</v>
      </c>
      <c r="AS816" t="s">
        <v>4120</v>
      </c>
      <c r="AT816" t="s">
        <v>4115</v>
      </c>
      <c r="AU816">
        <v>5</v>
      </c>
      <c r="AV816" t="s">
        <v>4109</v>
      </c>
    </row>
    <row r="817" spans="1:48">
      <c r="A817" t="s">
        <v>3751</v>
      </c>
      <c r="B817" t="s">
        <v>2451</v>
      </c>
      <c r="C817" t="s">
        <v>3752</v>
      </c>
      <c r="D817" t="s">
        <v>3753</v>
      </c>
      <c r="E817" t="s">
        <v>220</v>
      </c>
      <c r="F817" t="s">
        <v>35</v>
      </c>
      <c r="G817" t="s">
        <v>51</v>
      </c>
      <c r="H817" t="s">
        <v>52</v>
      </c>
      <c r="I817" t="s">
        <v>53</v>
      </c>
      <c r="J817" t="s">
        <v>95</v>
      </c>
      <c r="K817" t="s">
        <v>393</v>
      </c>
      <c r="L817" t="s">
        <v>3754</v>
      </c>
      <c r="M817" t="s">
        <v>76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146</v>
      </c>
      <c r="U817" t="s">
        <v>87</v>
      </c>
      <c r="W817" t="s">
        <v>3751</v>
      </c>
      <c r="X817" t="str">
        <v>04-01-24</v>
      </c>
      <c r="Y817" t="str">
        <v>08-04-24</v>
      </c>
      <c r="Z817" t="s">
        <v>3753</v>
      </c>
      <c r="AA817" t="str">
        <v>Diya Patel</v>
      </c>
      <c r="AB817" t="str">
        <f>TRIM(PROPER(F:F))</f>
        <v>Consumer</v>
      </c>
      <c r="AC817" t="str">
        <f>TRIM(PROPER(G:G))</f>
        <v>East</v>
      </c>
      <c r="AD817" t="str">
        <f>TRIM(PROPER(H:H))</f>
        <v>Odisha</v>
      </c>
      <c r="AE817" t="str">
        <f>TRIM(PROPER(I:I))</f>
        <v>Bhubaneswar</v>
      </c>
      <c r="AF817" t="str">
        <f t="shared" si="22"/>
        <v>Technology</v>
      </c>
      <c r="AG817" t="str">
        <f t="shared" si="22"/>
        <v>Machines</v>
      </c>
      <c r="AH817" t="str">
        <f t="shared" si="22"/>
        <v>Max Machines 569</v>
      </c>
      <c r="AI817" t="str">
        <f t="shared" si="22"/>
        <v>Standard Class</v>
      </c>
      <c r="AJ817" s="3" t="str">
        <f t="shared" si="23"/>
        <v>anomaly</v>
      </c>
      <c r="AK817">
        <f>IFERROR(Y817-X817, "invalid date")</f>
        <v>95</v>
      </c>
      <c r="AL817" s="10">
        <v>0.15</v>
      </c>
      <c r="AM817" s="11">
        <v>4259.0694999999996</v>
      </c>
      <c r="AN817" s="11">
        <v>1128.7494999999994</v>
      </c>
      <c r="AO817" s="10">
        <v>0.26502255950507486</v>
      </c>
      <c r="AP817" t="s">
        <v>4571</v>
      </c>
      <c r="AQ817" t="s">
        <v>4629</v>
      </c>
      <c r="AR817" t="s">
        <v>4153</v>
      </c>
      <c r="AS817" t="s">
        <v>4107</v>
      </c>
      <c r="AT817" t="s">
        <v>4115</v>
      </c>
      <c r="AU817">
        <v>95</v>
      </c>
      <c r="AV817" t="s">
        <v>4109</v>
      </c>
    </row>
    <row r="818" spans="1:48">
      <c r="A818" t="s">
        <v>3755</v>
      </c>
      <c r="B818" t="s">
        <v>3756</v>
      </c>
      <c r="C818" t="s">
        <v>3757</v>
      </c>
      <c r="D818" t="s">
        <v>3758</v>
      </c>
      <c r="E818" t="s">
        <v>157</v>
      </c>
      <c r="F818" t="s">
        <v>50</v>
      </c>
      <c r="G818" t="s">
        <v>51</v>
      </c>
      <c r="H818" t="s">
        <v>322</v>
      </c>
      <c r="I818" t="s">
        <v>323</v>
      </c>
      <c r="J818" t="s">
        <v>54</v>
      </c>
      <c r="K818" t="s">
        <v>74</v>
      </c>
      <c r="L818" t="s">
        <v>3759</v>
      </c>
      <c r="M818" t="s">
        <v>65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43</v>
      </c>
      <c r="U818" t="s">
        <v>44</v>
      </c>
      <c r="W818" t="s">
        <v>3755</v>
      </c>
      <c r="X818" t="str">
        <v>invalid date</v>
      </c>
      <c r="Y818" t="str">
        <v>30-11-24</v>
      </c>
      <c r="Z818" t="s">
        <v>3758</v>
      </c>
      <c r="AA818" t="str">
        <v>Rahul Verma</v>
      </c>
      <c r="AB818" t="str">
        <f>TRIM(PROPER(F:F))</f>
        <v>Small Business</v>
      </c>
      <c r="AC818" t="str">
        <f>TRIM(PROPER(G:G))</f>
        <v>East</v>
      </c>
      <c r="AD818" t="str">
        <f>TRIM(PROPER(H:H))</f>
        <v>Jharkhand</v>
      </c>
      <c r="AE818" t="str">
        <f>TRIM(PROPER(I:I))</f>
        <v>Ranchi</v>
      </c>
      <c r="AF818" t="str">
        <f t="shared" si="22"/>
        <v>Furniture</v>
      </c>
      <c r="AG818" t="str">
        <f t="shared" si="22"/>
        <v>Furnishings</v>
      </c>
      <c r="AH818" t="str">
        <f t="shared" si="22"/>
        <v>Basic Furnishings 306</v>
      </c>
      <c r="AI818" t="str">
        <f t="shared" si="22"/>
        <v>First Class</v>
      </c>
      <c r="AJ818" s="3" t="str">
        <f t="shared" si="23"/>
        <v>Invalid</v>
      </c>
      <c r="AK818" t="str">
        <f>IFERROR(Y818-X818, "invalid date")</f>
        <v>invalid date</v>
      </c>
      <c r="AL818" s="10">
        <v>0.1</v>
      </c>
      <c r="AM818" s="11">
        <v>786.87</v>
      </c>
      <c r="AN818" s="11">
        <v>288.37</v>
      </c>
      <c r="AO818" s="10">
        <v>0.36647730883119195</v>
      </c>
      <c r="AP818" t="s">
        <v>4105</v>
      </c>
      <c r="AQ818" t="s">
        <v>4597</v>
      </c>
      <c r="AR818" t="s">
        <v>4105</v>
      </c>
      <c r="AS818" t="s">
        <v>4105</v>
      </c>
      <c r="AT818" t="s">
        <v>4108</v>
      </c>
      <c r="AU818" t="s">
        <v>4105</v>
      </c>
      <c r="AV818" t="s">
        <v>4109</v>
      </c>
    </row>
    <row r="819" spans="1:48">
      <c r="A819" t="s">
        <v>3760</v>
      </c>
      <c r="B819" t="s">
        <v>3761</v>
      </c>
      <c r="C819" t="s">
        <v>3762</v>
      </c>
      <c r="D819" t="s">
        <v>3763</v>
      </c>
      <c r="E819" t="s">
        <v>177</v>
      </c>
      <c r="F819" t="s">
        <v>35</v>
      </c>
      <c r="G819" t="s">
        <v>51</v>
      </c>
      <c r="H819" t="s">
        <v>196</v>
      </c>
      <c r="I819" t="s">
        <v>197</v>
      </c>
      <c r="J819" t="s">
        <v>39</v>
      </c>
      <c r="K819" t="s">
        <v>208</v>
      </c>
      <c r="L819" t="s">
        <v>3764</v>
      </c>
      <c r="M819" t="s">
        <v>76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43</v>
      </c>
      <c r="U819" t="s">
        <v>44</v>
      </c>
      <c r="W819" t="s">
        <v>3760</v>
      </c>
      <c r="X819" t="str">
        <v>05-04-25</v>
      </c>
      <c r="Y819" t="str">
        <v>04-05-25</v>
      </c>
      <c r="Z819" t="s">
        <v>3763</v>
      </c>
      <c r="AA819" t="str">
        <v>Sneha Kapoor</v>
      </c>
      <c r="AB819" t="str">
        <f>TRIM(PROPER(F:F))</f>
        <v>Consumer</v>
      </c>
      <c r="AC819" t="str">
        <f>TRIM(PROPER(G:G))</f>
        <v>East</v>
      </c>
      <c r="AD819" t="str">
        <f>TRIM(PROPER(H:H))</f>
        <v>Bihar</v>
      </c>
      <c r="AE819" t="str">
        <f>TRIM(PROPER(I:I))</f>
        <v>Patna</v>
      </c>
      <c r="AF819" t="str">
        <f t="shared" si="22"/>
        <v>Office Supplies</v>
      </c>
      <c r="AG819" t="str">
        <f t="shared" si="22"/>
        <v>Binders</v>
      </c>
      <c r="AH819" t="str">
        <f t="shared" si="22"/>
        <v>Classic Binders 873</v>
      </c>
      <c r="AI819" t="str">
        <f t="shared" si="22"/>
        <v>Standard Class</v>
      </c>
      <c r="AJ819" s="3" t="str">
        <f t="shared" si="23"/>
        <v xml:space="preserve">  </v>
      </c>
      <c r="AK819">
        <f>IFERROR(Y819-X819, "invalid date")</f>
        <v>29</v>
      </c>
      <c r="AL819" s="10">
        <v>0.25</v>
      </c>
      <c r="AM819" s="11">
        <v>8233.6049999999996</v>
      </c>
      <c r="AN819" s="11">
        <v>3519.8149999999996</v>
      </c>
      <c r="AO819" s="10">
        <v>0.42749378917254349</v>
      </c>
      <c r="AP819" t="s">
        <v>4698</v>
      </c>
      <c r="AQ819" t="s">
        <v>4699</v>
      </c>
      <c r="AR819" t="s">
        <v>4199</v>
      </c>
      <c r="AS819" t="s">
        <v>4120</v>
      </c>
      <c r="AT819" t="s">
        <v>4121</v>
      </c>
      <c r="AU819">
        <v>29</v>
      </c>
      <c r="AV819" t="s">
        <v>4109</v>
      </c>
    </row>
    <row r="820" spans="1:48">
      <c r="A820" t="s">
        <v>3765</v>
      </c>
      <c r="B820" t="s">
        <v>3766</v>
      </c>
      <c r="C820" t="s">
        <v>3247</v>
      </c>
      <c r="D820" t="s">
        <v>3767</v>
      </c>
      <c r="E820" t="s">
        <v>151</v>
      </c>
      <c r="F820" t="s">
        <v>50</v>
      </c>
      <c r="G820" t="s">
        <v>82</v>
      </c>
      <c r="H820" t="s">
        <v>83</v>
      </c>
      <c r="I820" t="s">
        <v>84</v>
      </c>
      <c r="J820" t="s">
        <v>39</v>
      </c>
      <c r="K820" t="s">
        <v>118</v>
      </c>
      <c r="L820" t="s">
        <v>3768</v>
      </c>
      <c r="M820" t="s">
        <v>65</v>
      </c>
      <c r="N820">
        <v>8</v>
      </c>
      <c r="O820">
        <v>1981.04</v>
      </c>
      <c r="P820" s="4" t="s">
        <v>191</v>
      </c>
      <c r="Q820">
        <v>12678.66</v>
      </c>
      <c r="R820">
        <v>10088.65</v>
      </c>
      <c r="S820">
        <v>2590.0100000000002</v>
      </c>
      <c r="T820" t="s">
        <v>43</v>
      </c>
      <c r="U820" t="s">
        <v>44</v>
      </c>
      <c r="W820" t="s">
        <v>3765</v>
      </c>
      <c r="X820" t="str">
        <v>29-09-24</v>
      </c>
      <c r="Y820" t="str">
        <v>05-10-24</v>
      </c>
      <c r="Z820" t="s">
        <v>3767</v>
      </c>
      <c r="AA820" t="str">
        <v>Priya Menon</v>
      </c>
      <c r="AB820" t="str">
        <f>TRIM(PROPER(F:F))</f>
        <v>Small Business</v>
      </c>
      <c r="AC820" t="str">
        <f>TRIM(PROPER(G:G))</f>
        <v>West</v>
      </c>
      <c r="AD820" t="str">
        <f>TRIM(PROPER(H:H))</f>
        <v>Maharashtra</v>
      </c>
      <c r="AE820" t="str">
        <f>TRIM(PROPER(I:I))</f>
        <v>Mumbai</v>
      </c>
      <c r="AF820" t="str">
        <f t="shared" si="22"/>
        <v>Office Supplies</v>
      </c>
      <c r="AG820" t="str">
        <f t="shared" si="22"/>
        <v>Labels</v>
      </c>
      <c r="AH820" t="str">
        <f t="shared" si="22"/>
        <v>Pro Labels 611</v>
      </c>
      <c r="AI820" t="str">
        <f t="shared" si="22"/>
        <v>First Class</v>
      </c>
      <c r="AJ820" s="3" t="str">
        <f t="shared" si="23"/>
        <v xml:space="preserve">  </v>
      </c>
      <c r="AK820">
        <f>IFERROR(Y820-X820, "invalid date")</f>
        <v>6</v>
      </c>
      <c r="AL820" s="10" t="s">
        <v>191</v>
      </c>
      <c r="AM820" s="11" t="s">
        <v>4111</v>
      </c>
      <c r="AN820" s="11" t="s">
        <v>4111</v>
      </c>
      <c r="AO820" s="10" t="s">
        <v>4111</v>
      </c>
      <c r="AP820" t="s">
        <v>4700</v>
      </c>
      <c r="AQ820" t="s">
        <v>4588</v>
      </c>
      <c r="AR820" t="s">
        <v>4134</v>
      </c>
      <c r="AS820" t="s">
        <v>4107</v>
      </c>
      <c r="AT820" t="s">
        <v>4121</v>
      </c>
      <c r="AU820">
        <v>6</v>
      </c>
      <c r="AV820" t="s">
        <v>4109</v>
      </c>
    </row>
    <row r="821" spans="1:48">
      <c r="A821" t="s">
        <v>3769</v>
      </c>
      <c r="B821" t="s">
        <v>1603</v>
      </c>
      <c r="C821" t="s">
        <v>3770</v>
      </c>
      <c r="D821" t="s">
        <v>3771</v>
      </c>
      <c r="E821" t="s">
        <v>34</v>
      </c>
      <c r="F821" t="s">
        <v>124</v>
      </c>
      <c r="G821" t="s">
        <v>71</v>
      </c>
      <c r="H821" t="s">
        <v>252</v>
      </c>
      <c r="I821" t="s">
        <v>253</v>
      </c>
      <c r="J821" t="s">
        <v>95</v>
      </c>
      <c r="K821" t="s">
        <v>3772</v>
      </c>
      <c r="L821" t="s">
        <v>3773</v>
      </c>
      <c r="M821" t="s">
        <v>76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210</v>
      </c>
      <c r="U821" t="s">
        <v>87</v>
      </c>
      <c r="W821" t="s">
        <v>3769</v>
      </c>
      <c r="X821" t="str">
        <v>invalid date</v>
      </c>
      <c r="Y821" t="str">
        <v>31-07-24</v>
      </c>
      <c r="Z821" t="s">
        <v>3771</v>
      </c>
      <c r="AA821" t="str">
        <v>Karan Malhotra</v>
      </c>
      <c r="AB821" t="str">
        <f>TRIM(PROPER(F:F))</f>
        <v>Home Office</v>
      </c>
      <c r="AC821" t="str">
        <f>TRIM(PROPER(G:G))</f>
        <v>South</v>
      </c>
      <c r="AD821" t="str">
        <f>TRIM(PROPER(H:H))</f>
        <v>Kerala</v>
      </c>
      <c r="AE821" t="str">
        <f>TRIM(PROPER(I:I))</f>
        <v>Kochi</v>
      </c>
      <c r="AF821" t="str">
        <f t="shared" si="22"/>
        <v>Technology</v>
      </c>
      <c r="AG821" t="str">
        <f t="shared" si="22"/>
        <v>Machines</v>
      </c>
      <c r="AH821" t="str">
        <f t="shared" si="22"/>
        <v>Prime Machines 524</v>
      </c>
      <c r="AI821" t="str">
        <f t="shared" si="22"/>
        <v>Standard Class</v>
      </c>
      <c r="AJ821" s="3" t="str">
        <f t="shared" si="23"/>
        <v>Invalid</v>
      </c>
      <c r="AK821" t="str">
        <f>IFERROR(Y821-X821, "invalid date")</f>
        <v>invalid date</v>
      </c>
      <c r="AL821" s="10">
        <v>0</v>
      </c>
      <c r="AM821" s="11">
        <v>33968.080000000002</v>
      </c>
      <c r="AN821" s="11">
        <v>7065.6400000000031</v>
      </c>
      <c r="AO821" s="10">
        <v>0.20800822419165294</v>
      </c>
      <c r="AP821" t="s">
        <v>4105</v>
      </c>
      <c r="AQ821" t="s">
        <v>4150</v>
      </c>
      <c r="AR821" t="s">
        <v>4105</v>
      </c>
      <c r="AS821" t="s">
        <v>4105</v>
      </c>
      <c r="AT821" t="s">
        <v>4108</v>
      </c>
      <c r="AU821" t="s">
        <v>4105</v>
      </c>
      <c r="AV821" t="s">
        <v>4109</v>
      </c>
    </row>
    <row r="822" spans="1:48">
      <c r="A822" t="s">
        <v>3774</v>
      </c>
      <c r="B822" t="s">
        <v>3775</v>
      </c>
      <c r="C822" t="s">
        <v>3776</v>
      </c>
      <c r="D822" t="s">
        <v>3777</v>
      </c>
      <c r="E822" t="s">
        <v>81</v>
      </c>
      <c r="F822" t="s">
        <v>124</v>
      </c>
      <c r="G822" t="s">
        <v>36</v>
      </c>
      <c r="H822" t="s">
        <v>183</v>
      </c>
      <c r="I822" t="s">
        <v>184</v>
      </c>
      <c r="J822" t="s">
        <v>54</v>
      </c>
      <c r="K822" t="s">
        <v>214</v>
      </c>
      <c r="L822" t="s">
        <v>3778</v>
      </c>
      <c r="M822" t="s">
        <v>76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43</v>
      </c>
      <c r="U822" t="s">
        <v>44</v>
      </c>
      <c r="W822" t="s">
        <v>3774</v>
      </c>
      <c r="X822" t="str">
        <v>06-02-25</v>
      </c>
      <c r="Y822" t="str">
        <v>10-02-25</v>
      </c>
      <c r="Z822" t="s">
        <v>3777</v>
      </c>
      <c r="AA822" t="str">
        <v>Ananya Rao</v>
      </c>
      <c r="AB822" t="str">
        <f>TRIM(PROPER(F:F))</f>
        <v>Home Office</v>
      </c>
      <c r="AC822" t="str">
        <f>TRIM(PROPER(G:G))</f>
        <v>North</v>
      </c>
      <c r="AD822" t="str">
        <f>TRIM(PROPER(H:H))</f>
        <v>Uttar Pradesh</v>
      </c>
      <c r="AE822" t="str">
        <f>TRIM(PROPER(I:I))</f>
        <v>Noida</v>
      </c>
      <c r="AF822" t="str">
        <f t="shared" si="22"/>
        <v>Furniture</v>
      </c>
      <c r="AG822" t="str">
        <f t="shared" si="22"/>
        <v>Bookcases</v>
      </c>
      <c r="AH822" t="str">
        <f t="shared" si="22"/>
        <v>Classic Bookcases 882</v>
      </c>
      <c r="AI822" t="str">
        <f t="shared" si="22"/>
        <v>Standard Class</v>
      </c>
      <c r="AJ822" s="3" t="str">
        <f t="shared" si="23"/>
        <v>anomaly</v>
      </c>
      <c r="AK822">
        <f>IFERROR(Y822-X822, "invalid date")</f>
        <v>4</v>
      </c>
      <c r="AL822" s="10">
        <v>0.2</v>
      </c>
      <c r="AM822" s="11">
        <v>511.31200000000001</v>
      </c>
      <c r="AN822" s="11">
        <v>74.882000000000005</v>
      </c>
      <c r="AO822" s="10">
        <v>0.14645069937728825</v>
      </c>
      <c r="AP822" t="s">
        <v>4643</v>
      </c>
      <c r="AQ822" t="s">
        <v>4391</v>
      </c>
      <c r="AR822" t="s">
        <v>4129</v>
      </c>
      <c r="AS822" t="s">
        <v>4120</v>
      </c>
      <c r="AT822" t="s">
        <v>4115</v>
      </c>
      <c r="AU822">
        <v>4</v>
      </c>
      <c r="AV822" t="s">
        <v>4109</v>
      </c>
    </row>
    <row r="823" spans="1:48">
      <c r="A823" t="s">
        <v>3779</v>
      </c>
      <c r="B823" t="s">
        <v>3780</v>
      </c>
      <c r="C823" t="s">
        <v>3781</v>
      </c>
      <c r="D823" t="s">
        <v>3782</v>
      </c>
      <c r="E823" t="s">
        <v>171</v>
      </c>
      <c r="F823" t="s">
        <v>117</v>
      </c>
      <c r="G823" t="s">
        <v>71</v>
      </c>
      <c r="H823" t="s">
        <v>239</v>
      </c>
      <c r="I823" t="s">
        <v>240</v>
      </c>
      <c r="J823" t="s">
        <v>95</v>
      </c>
      <c r="K823" t="s">
        <v>96</v>
      </c>
      <c r="L823" t="s">
        <v>3783</v>
      </c>
      <c r="M823" t="s">
        <v>65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43</v>
      </c>
      <c r="U823" t="s">
        <v>44</v>
      </c>
      <c r="W823" t="s">
        <v>3779</v>
      </c>
      <c r="X823" t="str">
        <v>03-07-24</v>
      </c>
      <c r="Y823" t="str">
        <v>06-07-24</v>
      </c>
      <c r="Z823" t="s">
        <v>3782</v>
      </c>
      <c r="AA823" t="str">
        <v>Aarav Sharma</v>
      </c>
      <c r="AB823" t="str">
        <f>TRIM(PROPER(F:F))</f>
        <v>Corporate</v>
      </c>
      <c r="AC823" t="str">
        <f>TRIM(PROPER(G:G))</f>
        <v>South</v>
      </c>
      <c r="AD823" t="str">
        <f>TRIM(PROPER(H:H))</f>
        <v>Karnataka</v>
      </c>
      <c r="AE823" t="str">
        <f>TRIM(PROPER(I:I))</f>
        <v>Bengaluru</v>
      </c>
      <c r="AF823" t="str">
        <f t="shared" si="22"/>
        <v>Technology</v>
      </c>
      <c r="AG823" t="str">
        <f t="shared" si="22"/>
        <v>Accessories</v>
      </c>
      <c r="AH823" t="str">
        <f t="shared" si="22"/>
        <v>Classic Accessories 471</v>
      </c>
      <c r="AI823" t="str">
        <f t="shared" si="22"/>
        <v>First Class</v>
      </c>
      <c r="AJ823" s="3" t="str">
        <f t="shared" si="23"/>
        <v>anomaly</v>
      </c>
      <c r="AK823">
        <f>IFERROR(Y823-X823, "invalid date")</f>
        <v>3</v>
      </c>
      <c r="AL823" s="10">
        <v>0.2</v>
      </c>
      <c r="AM823" s="11">
        <v>10877.944000000001</v>
      </c>
      <c r="AN823" s="11">
        <v>1767.8040000000019</v>
      </c>
      <c r="AO823" s="10">
        <v>0.16251269541376584</v>
      </c>
      <c r="AP823" t="s">
        <v>4452</v>
      </c>
      <c r="AQ823" t="s">
        <v>4494</v>
      </c>
      <c r="AR823" t="s">
        <v>4106</v>
      </c>
      <c r="AS823" t="s">
        <v>4107</v>
      </c>
      <c r="AT823" t="s">
        <v>4115</v>
      </c>
      <c r="AU823">
        <v>3</v>
      </c>
      <c r="AV823" t="s">
        <v>4109</v>
      </c>
    </row>
    <row r="824" spans="1:48">
      <c r="A824" t="s">
        <v>3784</v>
      </c>
      <c r="B824" t="s">
        <v>3785</v>
      </c>
      <c r="C824" t="s">
        <v>3786</v>
      </c>
      <c r="D824" t="s">
        <v>3787</v>
      </c>
      <c r="E824" t="s">
        <v>49</v>
      </c>
      <c r="F824" t="s">
        <v>117</v>
      </c>
      <c r="G824" t="s">
        <v>51</v>
      </c>
      <c r="H824" t="s">
        <v>226</v>
      </c>
      <c r="I824" t="s">
        <v>227</v>
      </c>
      <c r="J824" t="s">
        <v>54</v>
      </c>
      <c r="K824" t="s">
        <v>74</v>
      </c>
      <c r="L824" t="s">
        <v>3788</v>
      </c>
      <c r="M824" t="s">
        <v>42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146</v>
      </c>
      <c r="U824" t="s">
        <v>134</v>
      </c>
      <c r="W824" t="s">
        <v>3784</v>
      </c>
      <c r="X824" t="str">
        <v>10-12-24</v>
      </c>
      <c r="Y824" t="str">
        <v>08-10-24</v>
      </c>
      <c r="Z824" t="s">
        <v>3787</v>
      </c>
      <c r="AA824" t="str">
        <v>Mira Das</v>
      </c>
      <c r="AB824" t="str">
        <f>TRIM(PROPER(F:F))</f>
        <v>Corporate</v>
      </c>
      <c r="AC824" t="str">
        <f>TRIM(PROPER(G:G))</f>
        <v>East</v>
      </c>
      <c r="AD824" t="str">
        <f>TRIM(PROPER(H:H))</f>
        <v>Assam</v>
      </c>
      <c r="AE824" t="str">
        <f>TRIM(PROPER(I:I))</f>
        <v>Guwahati</v>
      </c>
      <c r="AF824" t="str">
        <f t="shared" si="22"/>
        <v>Furniture</v>
      </c>
      <c r="AG824" t="str">
        <f t="shared" si="22"/>
        <v>Furnishings</v>
      </c>
      <c r="AH824" t="str">
        <f t="shared" si="22"/>
        <v>Smart Furnishings 175</v>
      </c>
      <c r="AI824" t="str">
        <f t="shared" si="22"/>
        <v>Second Class</v>
      </c>
      <c r="AJ824" s="3" t="str">
        <f t="shared" si="23"/>
        <v xml:space="preserve">  </v>
      </c>
      <c r="AK824">
        <f>IFERROR(Y824-X824, "invalid date")</f>
        <v>-63</v>
      </c>
      <c r="AL824" s="10">
        <v>0.2</v>
      </c>
      <c r="AM824" s="11">
        <v>10246.528</v>
      </c>
      <c r="AN824" s="11">
        <v>1612.1080000000002</v>
      </c>
      <c r="AO824" s="10">
        <v>0.15733212264681268</v>
      </c>
      <c r="AP824" t="s">
        <v>4662</v>
      </c>
      <c r="AQ824" t="s">
        <v>4616</v>
      </c>
      <c r="AR824" t="s">
        <v>4139</v>
      </c>
      <c r="AS824" t="s">
        <v>4107</v>
      </c>
      <c r="AT824" t="s">
        <v>4121</v>
      </c>
      <c r="AU824">
        <v>-63</v>
      </c>
      <c r="AV824" t="s">
        <v>4109</v>
      </c>
    </row>
    <row r="825" spans="1:48">
      <c r="A825" t="s">
        <v>3789</v>
      </c>
      <c r="B825" t="s">
        <v>3790</v>
      </c>
      <c r="C825" t="s">
        <v>2187</v>
      </c>
      <c r="D825" t="s">
        <v>3791</v>
      </c>
      <c r="E825" t="s">
        <v>49</v>
      </c>
      <c r="F825" t="s">
        <v>124</v>
      </c>
      <c r="G825" t="s">
        <v>82</v>
      </c>
      <c r="H825" t="s">
        <v>259</v>
      </c>
      <c r="I825" t="s">
        <v>260</v>
      </c>
      <c r="J825" t="s">
        <v>39</v>
      </c>
      <c r="K825" t="s">
        <v>40</v>
      </c>
      <c r="L825" t="s">
        <v>3792</v>
      </c>
      <c r="M825" t="s">
        <v>57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43</v>
      </c>
      <c r="U825" t="s">
        <v>44</v>
      </c>
      <c r="W825" t="s">
        <v>3789</v>
      </c>
      <c r="X825" t="str">
        <v>06-01-25</v>
      </c>
      <c r="Y825" t="str">
        <v>12-01-25</v>
      </c>
      <c r="Z825" t="s">
        <v>3791</v>
      </c>
      <c r="AA825" t="str">
        <v>Mira Das</v>
      </c>
      <c r="AB825" t="str">
        <f>TRIM(PROPER(F:F))</f>
        <v>Home Office</v>
      </c>
      <c r="AC825" t="str">
        <f>TRIM(PROPER(G:G))</f>
        <v>West</v>
      </c>
      <c r="AD825" t="str">
        <f>TRIM(PROPER(H:H))</f>
        <v>Goa</v>
      </c>
      <c r="AE825" t="str">
        <f>TRIM(PROPER(I:I))</f>
        <v>Panaji</v>
      </c>
      <c r="AF825" t="str">
        <f t="shared" si="22"/>
        <v>Office Supplies</v>
      </c>
      <c r="AG825" t="str">
        <f t="shared" si="22"/>
        <v>Paper</v>
      </c>
      <c r="AH825" t="str">
        <f t="shared" si="22"/>
        <v>Basic Paper 899</v>
      </c>
      <c r="AI825" t="str">
        <f t="shared" si="22"/>
        <v>Same Day</v>
      </c>
      <c r="AJ825" s="3" t="str">
        <f t="shared" si="23"/>
        <v>anomaly</v>
      </c>
      <c r="AK825">
        <f>IFERROR(Y825-X825, "invalid date")</f>
        <v>6</v>
      </c>
      <c r="AL825" s="10">
        <v>0.15</v>
      </c>
      <c r="AM825" s="11">
        <v>1704.2415000000001</v>
      </c>
      <c r="AN825" s="11">
        <v>746.69150000000013</v>
      </c>
      <c r="AO825" s="10">
        <v>0.43813714194848563</v>
      </c>
      <c r="AP825" t="s">
        <v>4211</v>
      </c>
      <c r="AQ825" t="s">
        <v>4389</v>
      </c>
      <c r="AR825" t="s">
        <v>4153</v>
      </c>
      <c r="AS825" t="s">
        <v>4120</v>
      </c>
      <c r="AT825" t="s">
        <v>4115</v>
      </c>
      <c r="AU825">
        <v>6</v>
      </c>
      <c r="AV825" t="s">
        <v>4109</v>
      </c>
    </row>
    <row r="826" spans="1:48">
      <c r="A826" t="s">
        <v>3793</v>
      </c>
      <c r="B826" t="s">
        <v>3794</v>
      </c>
      <c r="C826" t="s">
        <v>2124</v>
      </c>
      <c r="D826" t="s">
        <v>3795</v>
      </c>
      <c r="E826" t="s">
        <v>151</v>
      </c>
      <c r="F826" t="s">
        <v>35</v>
      </c>
      <c r="G826" t="s">
        <v>82</v>
      </c>
      <c r="H826" t="s">
        <v>259</v>
      </c>
      <c r="I826" t="s">
        <v>260</v>
      </c>
      <c r="J826" t="s">
        <v>39</v>
      </c>
      <c r="K826" t="s">
        <v>40</v>
      </c>
      <c r="L826" t="s">
        <v>3796</v>
      </c>
      <c r="M826" t="s">
        <v>65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43</v>
      </c>
      <c r="U826" t="s">
        <v>44</v>
      </c>
      <c r="W826" t="s">
        <v>3793</v>
      </c>
      <c r="X826" t="str">
        <v>21-03-25</v>
      </c>
      <c r="Y826" t="str">
        <v>22-03-25</v>
      </c>
      <c r="Z826" t="s">
        <v>3795</v>
      </c>
      <c r="AA826" t="str">
        <v>Priya Menon</v>
      </c>
      <c r="AB826" t="str">
        <f>TRIM(PROPER(F:F))</f>
        <v>Consumer</v>
      </c>
      <c r="AC826" t="str">
        <f>TRIM(PROPER(G:G))</f>
        <v>West</v>
      </c>
      <c r="AD826" t="str">
        <f>TRIM(PROPER(H:H))</f>
        <v>Goa</v>
      </c>
      <c r="AE826" t="str">
        <f>TRIM(PROPER(I:I))</f>
        <v>Panaji</v>
      </c>
      <c r="AF826" t="str">
        <f>TRIM(PROPER(J:J))</f>
        <v>Office Supplies</v>
      </c>
      <c r="AG826" t="str">
        <f>TRIM(PROPER(K:K))</f>
        <v>Paper</v>
      </c>
      <c r="AH826" t="str">
        <f t="shared" ref="AH826:AI889" si="24">TRIM(PROPER(L:L))</f>
        <v>Pro Paper 267</v>
      </c>
      <c r="AI826" t="str">
        <f t="shared" si="24"/>
        <v>First Class</v>
      </c>
      <c r="AJ826" s="3" t="str">
        <f t="shared" si="23"/>
        <v>anomaly</v>
      </c>
      <c r="AK826">
        <f>IFERROR(Y826-X826, "invalid date")</f>
        <v>1</v>
      </c>
      <c r="AL826" s="10">
        <v>0.05</v>
      </c>
      <c r="AM826" s="11">
        <v>33719.223999999995</v>
      </c>
      <c r="AN826" s="11">
        <v>4794.7939999999944</v>
      </c>
      <c r="AO826" s="10">
        <v>0.14219763776295669</v>
      </c>
      <c r="AP826" t="s">
        <v>4655</v>
      </c>
      <c r="AQ826" t="s">
        <v>4550</v>
      </c>
      <c r="AR826" t="s">
        <v>4159</v>
      </c>
      <c r="AS826" t="s">
        <v>4120</v>
      </c>
      <c r="AT826" t="s">
        <v>4115</v>
      </c>
      <c r="AU826">
        <v>1</v>
      </c>
      <c r="AV826" t="s">
        <v>4109</v>
      </c>
    </row>
    <row r="827" spans="1:48">
      <c r="A827" t="s">
        <v>3797</v>
      </c>
      <c r="B827" t="s">
        <v>3798</v>
      </c>
      <c r="C827" t="s">
        <v>3799</v>
      </c>
      <c r="D827" t="s">
        <v>3800</v>
      </c>
      <c r="E827" t="s">
        <v>92</v>
      </c>
      <c r="F827" t="s">
        <v>50</v>
      </c>
      <c r="G827" t="s">
        <v>36</v>
      </c>
      <c r="H827" t="s">
        <v>183</v>
      </c>
      <c r="I827" t="s">
        <v>184</v>
      </c>
      <c r="J827" t="s">
        <v>95</v>
      </c>
      <c r="K827" t="s">
        <v>393</v>
      </c>
      <c r="L827" t="s">
        <v>3801</v>
      </c>
      <c r="M827" t="s">
        <v>65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43</v>
      </c>
      <c r="U827" t="s">
        <v>44</v>
      </c>
      <c r="W827" t="s">
        <v>3797</v>
      </c>
      <c r="X827" t="str">
        <v>16-04-25</v>
      </c>
      <c r="Y827" t="str">
        <v>17-04-25</v>
      </c>
      <c r="Z827" t="s">
        <v>3800</v>
      </c>
      <c r="AA827" t="str">
        <v>Vikram Iyer</v>
      </c>
      <c r="AB827" t="str">
        <f>TRIM(PROPER(F:F))</f>
        <v>Small Business</v>
      </c>
      <c r="AC827" t="str">
        <f>TRIM(PROPER(G:G))</f>
        <v>North</v>
      </c>
      <c r="AD827" t="str">
        <f>TRIM(PROPER(H:H))</f>
        <v>Uttar Pradesh</v>
      </c>
      <c r="AE827" t="str">
        <f>TRIM(PROPER(I:I))</f>
        <v>Noida</v>
      </c>
      <c r="AF827" t="str">
        <f>TRIM(PROPER(J:J))</f>
        <v>Technology</v>
      </c>
      <c r="AG827" t="str">
        <f>TRIM(PROPER(K:K))</f>
        <v>Machines</v>
      </c>
      <c r="AH827" t="str">
        <f t="shared" si="24"/>
        <v>Basic Machines 832</v>
      </c>
      <c r="AI827" t="str">
        <f t="shared" si="24"/>
        <v>First Class</v>
      </c>
      <c r="AJ827" s="3" t="str">
        <f t="shared" si="23"/>
        <v>anomaly</v>
      </c>
      <c r="AK827">
        <f>IFERROR(Y827-X827, "invalid date")</f>
        <v>1</v>
      </c>
      <c r="AL827" s="10">
        <v>0</v>
      </c>
      <c r="AM827" s="11">
        <v>2720.17</v>
      </c>
      <c r="AN827" s="11">
        <v>885.94</v>
      </c>
      <c r="AO827" s="10">
        <v>0.3256928794891496</v>
      </c>
      <c r="AP827" t="s">
        <v>4645</v>
      </c>
      <c r="AQ827" t="s">
        <v>4605</v>
      </c>
      <c r="AR827" t="s">
        <v>4199</v>
      </c>
      <c r="AS827" t="s">
        <v>4120</v>
      </c>
      <c r="AT827" t="s">
        <v>4115</v>
      </c>
      <c r="AU827">
        <v>1</v>
      </c>
      <c r="AV827" t="s">
        <v>4109</v>
      </c>
    </row>
    <row r="828" spans="1:48">
      <c r="A828" t="s">
        <v>3802</v>
      </c>
      <c r="B828" t="s">
        <v>3112</v>
      </c>
      <c r="C828" t="s">
        <v>3803</v>
      </c>
      <c r="D828" t="s">
        <v>3804</v>
      </c>
      <c r="E828" t="s">
        <v>116</v>
      </c>
      <c r="F828" t="s">
        <v>35</v>
      </c>
      <c r="G828" t="s">
        <v>82</v>
      </c>
      <c r="H828" t="s">
        <v>37</v>
      </c>
      <c r="I828" t="s">
        <v>144</v>
      </c>
      <c r="J828" t="s">
        <v>95</v>
      </c>
      <c r="K828" t="s">
        <v>96</v>
      </c>
      <c r="L828" t="s">
        <v>3805</v>
      </c>
      <c r="M828" t="s">
        <v>76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43</v>
      </c>
      <c r="U828" t="s">
        <v>44</v>
      </c>
      <c r="W828" t="s">
        <v>3802</v>
      </c>
      <c r="X828" t="str">
        <v>10-08-25</v>
      </c>
      <c r="Y828" t="str">
        <v>14-08-25</v>
      </c>
      <c r="Z828" t="s">
        <v>3804</v>
      </c>
      <c r="AA828" t="str">
        <v>Aditi Sen</v>
      </c>
      <c r="AB828" t="str">
        <f>TRIM(PROPER(F:F))</f>
        <v>Consumer</v>
      </c>
      <c r="AC828" t="str">
        <f>TRIM(PROPER(G:G))</f>
        <v>West</v>
      </c>
      <c r="AD828" t="str">
        <f>TRIM(PROPER(H:H))</f>
        <v>Rajasthan</v>
      </c>
      <c r="AE828" t="str">
        <f>TRIM(PROPER(I:I))</f>
        <v>Udaipur</v>
      </c>
      <c r="AF828" t="str">
        <f>TRIM(PROPER(J:J))</f>
        <v>Technology</v>
      </c>
      <c r="AG828" t="str">
        <f>TRIM(PROPER(K:K))</f>
        <v>Accessories</v>
      </c>
      <c r="AH828" t="str">
        <f t="shared" si="24"/>
        <v>Elite Accessories 790</v>
      </c>
      <c r="AI828" t="str">
        <f t="shared" si="24"/>
        <v>Standard Class</v>
      </c>
      <c r="AJ828" s="3" t="str">
        <f t="shared" si="23"/>
        <v>anomaly</v>
      </c>
      <c r="AK828">
        <f>IFERROR(Y828-X828, "invalid date")</f>
        <v>4</v>
      </c>
      <c r="AL828" s="10">
        <v>0.25</v>
      </c>
      <c r="AM828" s="11">
        <v>8213.0249999999996</v>
      </c>
      <c r="AN828" s="11">
        <v>2643.7249999999995</v>
      </c>
      <c r="AO828" s="10">
        <v>0.32189418636860345</v>
      </c>
      <c r="AP828" t="s">
        <v>4343</v>
      </c>
      <c r="AQ828" t="s">
        <v>4612</v>
      </c>
      <c r="AR828" t="s">
        <v>4114</v>
      </c>
      <c r="AS828" t="s">
        <v>4120</v>
      </c>
      <c r="AT828" t="s">
        <v>4115</v>
      </c>
      <c r="AU828">
        <v>4</v>
      </c>
      <c r="AV828" t="s">
        <v>4109</v>
      </c>
    </row>
    <row r="829" spans="1:48">
      <c r="A829" t="s">
        <v>3806</v>
      </c>
      <c r="B829" t="s">
        <v>3807</v>
      </c>
      <c r="C829" t="s">
        <v>1759</v>
      </c>
      <c r="D829" t="s">
        <v>3808</v>
      </c>
      <c r="E829" t="s">
        <v>151</v>
      </c>
      <c r="F829" t="s">
        <v>124</v>
      </c>
      <c r="G829" t="s">
        <v>71</v>
      </c>
      <c r="H829" t="s">
        <v>350</v>
      </c>
      <c r="I829" t="s">
        <v>351</v>
      </c>
      <c r="J829" t="s">
        <v>39</v>
      </c>
      <c r="K829" t="s">
        <v>40</v>
      </c>
      <c r="L829" t="s">
        <v>3809</v>
      </c>
      <c r="M829" t="s">
        <v>57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43</v>
      </c>
      <c r="U829" t="s">
        <v>87</v>
      </c>
      <c r="W829" t="s">
        <v>3806</v>
      </c>
      <c r="X829" t="str">
        <v>24-11-24</v>
      </c>
      <c r="Y829" t="str">
        <v>01-12-24</v>
      </c>
      <c r="Z829" t="s">
        <v>3808</v>
      </c>
      <c r="AA829" t="str">
        <v>Priya Menon</v>
      </c>
      <c r="AB829" t="str">
        <f>TRIM(PROPER(F:F))</f>
        <v>Home Office</v>
      </c>
      <c r="AC829" t="str">
        <f>TRIM(PROPER(G:G))</f>
        <v>South</v>
      </c>
      <c r="AD829" t="str">
        <f>TRIM(PROPER(H:H))</f>
        <v>Tamil Nadu</v>
      </c>
      <c r="AE829" t="str">
        <f>TRIM(PROPER(I:I))</f>
        <v>Chennai</v>
      </c>
      <c r="AF829" t="str">
        <f>TRIM(PROPER(J:J))</f>
        <v>Office Supplies</v>
      </c>
      <c r="AG829" t="str">
        <f>TRIM(PROPER(K:K))</f>
        <v>Paper</v>
      </c>
      <c r="AH829" t="str">
        <f t="shared" si="24"/>
        <v>Basic Paper 707</v>
      </c>
      <c r="AI829" t="str">
        <f t="shared" si="24"/>
        <v>Same Day</v>
      </c>
      <c r="AJ829" s="3" t="str">
        <f t="shared" si="23"/>
        <v xml:space="preserve">  </v>
      </c>
      <c r="AK829">
        <f>IFERROR(Y829-X829, "invalid date")</f>
        <v>7</v>
      </c>
      <c r="AL829" s="10">
        <v>0.25</v>
      </c>
      <c r="AM829" s="11">
        <v>633.66750000000002</v>
      </c>
      <c r="AN829" s="11">
        <v>113.19749999999999</v>
      </c>
      <c r="AO829" s="10">
        <v>0.17863863934950111</v>
      </c>
      <c r="AP829" t="s">
        <v>4667</v>
      </c>
      <c r="AQ829" t="s">
        <v>4407</v>
      </c>
      <c r="AR829" t="s">
        <v>4117</v>
      </c>
      <c r="AS829" t="s">
        <v>4107</v>
      </c>
      <c r="AT829" t="s">
        <v>4121</v>
      </c>
      <c r="AU829">
        <v>7</v>
      </c>
      <c r="AV829" t="s">
        <v>4109</v>
      </c>
    </row>
    <row r="830" spans="1:48">
      <c r="A830" t="s">
        <v>3810</v>
      </c>
      <c r="B830" t="s">
        <v>3811</v>
      </c>
      <c r="C830" t="s">
        <v>3812</v>
      </c>
      <c r="D830" t="s">
        <v>3813</v>
      </c>
      <c r="E830" t="s">
        <v>34</v>
      </c>
      <c r="F830" t="s">
        <v>117</v>
      </c>
      <c r="G830" t="s">
        <v>51</v>
      </c>
      <c r="H830" t="s">
        <v>52</v>
      </c>
      <c r="I830" t="s">
        <v>53</v>
      </c>
      <c r="J830" t="s">
        <v>54</v>
      </c>
      <c r="K830" t="s">
        <v>85</v>
      </c>
      <c r="L830" t="s">
        <v>3814</v>
      </c>
      <c r="M830" t="s">
        <v>42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210</v>
      </c>
      <c r="U830" t="s">
        <v>87</v>
      </c>
      <c r="W830" t="s">
        <v>3810</v>
      </c>
      <c r="X830" t="str">
        <v>10-10-25</v>
      </c>
      <c r="Y830" t="str">
        <v>11-10-25</v>
      </c>
      <c r="Z830" t="s">
        <v>3813</v>
      </c>
      <c r="AA830" t="str">
        <v>Karan Malhotra</v>
      </c>
      <c r="AB830" t="str">
        <f>TRIM(PROPER(F:F))</f>
        <v>Corporate</v>
      </c>
      <c r="AC830" t="str">
        <f>TRIM(PROPER(G:G))</f>
        <v>East</v>
      </c>
      <c r="AD830" t="str">
        <f>TRIM(PROPER(H:H))</f>
        <v>Odisha</v>
      </c>
      <c r="AE830" t="str">
        <f>TRIM(PROPER(I:I))</f>
        <v>Bhubaneswar</v>
      </c>
      <c r="AF830" t="str">
        <f>TRIM(PROPER(J:J))</f>
        <v>Furniture</v>
      </c>
      <c r="AG830" t="str">
        <f>TRIM(PROPER(K:K))</f>
        <v>Chairs</v>
      </c>
      <c r="AH830" t="str">
        <f t="shared" si="24"/>
        <v>Elite Chairs 979</v>
      </c>
      <c r="AI830" t="str">
        <f t="shared" si="24"/>
        <v>Second Class</v>
      </c>
      <c r="AJ830" s="3" t="str">
        <f t="shared" si="23"/>
        <v>anomaly</v>
      </c>
      <c r="AK830">
        <f>IFERROR(Y830-X830, "invalid date")</f>
        <v>1</v>
      </c>
      <c r="AL830" s="10">
        <v>0.05</v>
      </c>
      <c r="AM830" s="11">
        <v>25216.534</v>
      </c>
      <c r="AN830" s="11">
        <v>10999.593999999999</v>
      </c>
      <c r="AO830" s="10">
        <v>0.4362056260388521</v>
      </c>
      <c r="AP830" t="s">
        <v>4188</v>
      </c>
      <c r="AQ830" t="s">
        <v>4701</v>
      </c>
      <c r="AR830" t="s">
        <v>4126</v>
      </c>
      <c r="AS830" t="s">
        <v>4120</v>
      </c>
      <c r="AT830" t="s">
        <v>4115</v>
      </c>
      <c r="AU830">
        <v>1</v>
      </c>
      <c r="AV830" t="s">
        <v>4109</v>
      </c>
    </row>
    <row r="831" spans="1:48">
      <c r="A831" t="s">
        <v>3815</v>
      </c>
      <c r="B831" t="s">
        <v>3816</v>
      </c>
      <c r="C831" t="s">
        <v>1483</v>
      </c>
      <c r="D831" t="s">
        <v>3817</v>
      </c>
      <c r="E831" t="s">
        <v>116</v>
      </c>
      <c r="F831" t="s">
        <v>50</v>
      </c>
      <c r="G831" t="s">
        <v>82</v>
      </c>
      <c r="H831" t="s">
        <v>259</v>
      </c>
      <c r="I831" t="s">
        <v>260</v>
      </c>
      <c r="J831" t="s">
        <v>54</v>
      </c>
      <c r="K831" t="s">
        <v>74</v>
      </c>
      <c r="L831" t="s">
        <v>3818</v>
      </c>
      <c r="M831" t="s">
        <v>42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43</v>
      </c>
      <c r="U831" t="s">
        <v>44</v>
      </c>
      <c r="W831" t="s">
        <v>3815</v>
      </c>
      <c r="X831" t="str">
        <v>invalid date</v>
      </c>
      <c r="Y831" t="str">
        <v>28-02-24</v>
      </c>
      <c r="Z831" t="s">
        <v>3817</v>
      </c>
      <c r="AA831" t="str">
        <v>Aditi Sen</v>
      </c>
      <c r="AB831" t="str">
        <f>TRIM(PROPER(F:F))</f>
        <v>Small Business</v>
      </c>
      <c r="AC831" t="str">
        <f>TRIM(PROPER(G:G))</f>
        <v>West</v>
      </c>
      <c r="AD831" t="str">
        <f>TRIM(PROPER(H:H))</f>
        <v>Goa</v>
      </c>
      <c r="AE831" t="str">
        <f>TRIM(PROPER(I:I))</f>
        <v>Panaji</v>
      </c>
      <c r="AF831" t="str">
        <f>TRIM(PROPER(J:J))</f>
        <v>Furniture</v>
      </c>
      <c r="AG831" t="str">
        <f>TRIM(PROPER(K:K))</f>
        <v>Furnishings</v>
      </c>
      <c r="AH831" t="str">
        <f t="shared" si="24"/>
        <v>Pro Furnishings 192</v>
      </c>
      <c r="AI831" t="str">
        <f t="shared" si="24"/>
        <v>Second Class</v>
      </c>
      <c r="AJ831" s="3" t="str">
        <f t="shared" si="23"/>
        <v>Invalid</v>
      </c>
      <c r="AK831" t="str">
        <f>IFERROR(Y831-X831, "invalid date")</f>
        <v>invalid date</v>
      </c>
      <c r="AL831" s="10">
        <v>0.1</v>
      </c>
      <c r="AM831" s="11">
        <v>6521.3820000000005</v>
      </c>
      <c r="AN831" s="11">
        <v>2010.2820000000002</v>
      </c>
      <c r="AO831" s="10">
        <v>0.30826012032418892</v>
      </c>
      <c r="AP831" t="s">
        <v>4105</v>
      </c>
      <c r="AQ831" t="s">
        <v>4278</v>
      </c>
      <c r="AR831" t="s">
        <v>4105</v>
      </c>
      <c r="AS831" t="s">
        <v>4105</v>
      </c>
      <c r="AT831" t="s">
        <v>4108</v>
      </c>
      <c r="AU831" t="s">
        <v>4105</v>
      </c>
      <c r="AV831" t="s">
        <v>4109</v>
      </c>
    </row>
    <row r="832" spans="1:48">
      <c r="A832" t="s">
        <v>3819</v>
      </c>
      <c r="B832" t="s">
        <v>2917</v>
      </c>
      <c r="C832" t="s">
        <v>730</v>
      </c>
      <c r="D832" t="s">
        <v>3820</v>
      </c>
      <c r="E832" t="s">
        <v>116</v>
      </c>
      <c r="F832" t="s">
        <v>50</v>
      </c>
      <c r="H832" t="s">
        <v>350</v>
      </c>
      <c r="I832" t="s">
        <v>351</v>
      </c>
      <c r="J832" t="s">
        <v>95</v>
      </c>
      <c r="K832" t="s">
        <v>393</v>
      </c>
      <c r="L832" t="s">
        <v>3821</v>
      </c>
      <c r="M832" t="s">
        <v>65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43</v>
      </c>
      <c r="U832" t="s">
        <v>44</v>
      </c>
      <c r="W832" t="s">
        <v>3819</v>
      </c>
      <c r="X832" t="str">
        <v>15-07-25</v>
      </c>
      <c r="Y832" t="str">
        <v>18-07-25</v>
      </c>
      <c r="Z832" t="s">
        <v>3820</v>
      </c>
      <c r="AA832" t="str">
        <v>Aditi Sen</v>
      </c>
      <c r="AB832" t="str">
        <f>TRIM(PROPER(F:F))</f>
        <v>Small Business</v>
      </c>
      <c r="AC832" s="4" t="s">
        <v>282</v>
      </c>
      <c r="AD832" t="str">
        <f>TRIM(PROPER(H:H))</f>
        <v>Tamil Nadu</v>
      </c>
      <c r="AE832" t="str">
        <f>TRIM(PROPER(I:I))</f>
        <v>Chennai</v>
      </c>
      <c r="AF832" t="str">
        <f>TRIM(PROPER(J:J))</f>
        <v>Technology</v>
      </c>
      <c r="AG832" t="str">
        <f>TRIM(PROPER(K:K))</f>
        <v>Machines</v>
      </c>
      <c r="AH832" t="str">
        <f t="shared" si="24"/>
        <v>Smart Machines 951</v>
      </c>
      <c r="AI832" t="str">
        <f t="shared" si="24"/>
        <v>First Class</v>
      </c>
      <c r="AJ832" s="3" t="str">
        <f t="shared" si="23"/>
        <v>anomaly</v>
      </c>
      <c r="AK832">
        <f>IFERROR(Y832-X832, "invalid date")</f>
        <v>3</v>
      </c>
      <c r="AL832" s="10">
        <v>0.1</v>
      </c>
      <c r="AM832" s="11">
        <v>12867.552000000001</v>
      </c>
      <c r="AN832" s="11">
        <v>2798.612000000001</v>
      </c>
      <c r="AO832" s="10">
        <v>0.21749373929089236</v>
      </c>
      <c r="AP832" t="s">
        <v>4639</v>
      </c>
      <c r="AQ832" t="s">
        <v>4300</v>
      </c>
      <c r="AR832" t="s">
        <v>4106</v>
      </c>
      <c r="AS832" t="s">
        <v>4120</v>
      </c>
      <c r="AT832" t="s">
        <v>4115</v>
      </c>
      <c r="AU832">
        <v>3</v>
      </c>
      <c r="AV832" t="s">
        <v>4109</v>
      </c>
    </row>
    <row r="833" spans="1:48">
      <c r="A833" t="s">
        <v>3822</v>
      </c>
      <c r="B833" t="s">
        <v>480</v>
      </c>
      <c r="C833" t="s">
        <v>3264</v>
      </c>
      <c r="D833" t="s">
        <v>3823</v>
      </c>
      <c r="E833" t="s">
        <v>220</v>
      </c>
      <c r="F833" t="s">
        <v>124</v>
      </c>
      <c r="H833" t="s">
        <v>334</v>
      </c>
      <c r="I833" t="s">
        <v>335</v>
      </c>
      <c r="J833" t="s">
        <v>54</v>
      </c>
      <c r="K833" t="s">
        <v>85</v>
      </c>
      <c r="L833" t="s">
        <v>3824</v>
      </c>
      <c r="M833" t="s">
        <v>65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210</v>
      </c>
      <c r="U833" t="s">
        <v>134</v>
      </c>
      <c r="W833" t="s">
        <v>3822</v>
      </c>
      <c r="X833" t="str">
        <v>04-03-25</v>
      </c>
      <c r="Y833" t="str">
        <v>03-04-25</v>
      </c>
      <c r="Z833" t="s">
        <v>3823</v>
      </c>
      <c r="AA833" t="str">
        <v>Diya Patel</v>
      </c>
      <c r="AB833" t="str">
        <f>TRIM(PROPER(F:F))</f>
        <v>Home Office</v>
      </c>
      <c r="AC833" s="4" t="s">
        <v>282</v>
      </c>
      <c r="AD833" t="str">
        <f>TRIM(PROPER(H:H))</f>
        <v>Haryana</v>
      </c>
      <c r="AE833" t="str">
        <f>TRIM(PROPER(I:I))</f>
        <v>Gurugram</v>
      </c>
      <c r="AF833" t="str">
        <f>TRIM(PROPER(J:J))</f>
        <v>Furniture</v>
      </c>
      <c r="AG833" t="str">
        <f>TRIM(PROPER(K:K))</f>
        <v>Chairs</v>
      </c>
      <c r="AH833" t="str">
        <f t="shared" si="24"/>
        <v>Smart Chairs 794</v>
      </c>
      <c r="AI833" t="str">
        <f t="shared" si="24"/>
        <v>First Class</v>
      </c>
      <c r="AJ833" s="3" t="str">
        <f t="shared" si="23"/>
        <v xml:space="preserve">  </v>
      </c>
      <c r="AK833">
        <f>IFERROR(Y833-X833, "invalid date")</f>
        <v>30</v>
      </c>
      <c r="AL833" s="10">
        <v>0.15</v>
      </c>
      <c r="AM833" s="11">
        <v>26489.654999999999</v>
      </c>
      <c r="AN833" s="11">
        <v>10671.195</v>
      </c>
      <c r="AO833" s="10">
        <v>0.40284386489744772</v>
      </c>
      <c r="AP833" t="s">
        <v>4234</v>
      </c>
      <c r="AQ833" t="s">
        <v>4671</v>
      </c>
      <c r="AR833" t="s">
        <v>4159</v>
      </c>
      <c r="AS833" t="s">
        <v>4120</v>
      </c>
      <c r="AT833" t="s">
        <v>4121</v>
      </c>
      <c r="AU833">
        <v>30</v>
      </c>
      <c r="AV833" t="s">
        <v>4109</v>
      </c>
    </row>
    <row r="834" spans="1:48">
      <c r="A834" t="s">
        <v>3825</v>
      </c>
      <c r="B834" t="s">
        <v>3826</v>
      </c>
      <c r="C834" t="s">
        <v>3827</v>
      </c>
      <c r="D834" t="s">
        <v>3828</v>
      </c>
      <c r="E834" t="s">
        <v>377</v>
      </c>
      <c r="F834" t="s">
        <v>50</v>
      </c>
      <c r="G834" t="s">
        <v>71</v>
      </c>
      <c r="H834" t="s">
        <v>109</v>
      </c>
      <c r="I834" t="s">
        <v>110</v>
      </c>
      <c r="J834" t="s">
        <v>95</v>
      </c>
      <c r="K834" t="s">
        <v>233</v>
      </c>
      <c r="L834" t="s">
        <v>3829</v>
      </c>
      <c r="M834" t="s">
        <v>42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43</v>
      </c>
      <c r="U834" t="s">
        <v>44</v>
      </c>
      <c r="W834" t="s">
        <v>3825</v>
      </c>
      <c r="X834" t="str">
        <v>26-05-25</v>
      </c>
      <c r="Y834" t="str">
        <v>28-05-25</v>
      </c>
      <c r="Z834" t="s">
        <v>3828</v>
      </c>
      <c r="AA834" t="str">
        <v>Kabir Singh</v>
      </c>
      <c r="AB834" t="str">
        <f>TRIM(PROPER(F:F))</f>
        <v>Small Business</v>
      </c>
      <c r="AC834" t="str">
        <f>TRIM(PROPER(G:G))</f>
        <v>South</v>
      </c>
      <c r="AD834" t="str">
        <f>TRIM(PROPER(H:H))</f>
        <v>Andhra Pradesh</v>
      </c>
      <c r="AE834" t="str">
        <f>TRIM(PROPER(I:I))</f>
        <v>Vijayawada</v>
      </c>
      <c r="AF834" t="str">
        <f>TRIM(PROPER(J:J))</f>
        <v>Technology</v>
      </c>
      <c r="AG834" t="str">
        <f>TRIM(PROPER(K:K))</f>
        <v>Phones</v>
      </c>
      <c r="AH834" t="str">
        <f t="shared" si="24"/>
        <v>Max Phones 919</v>
      </c>
      <c r="AI834" t="str">
        <f t="shared" si="24"/>
        <v>Second Class</v>
      </c>
      <c r="AJ834" s="3" t="str">
        <f t="shared" si="23"/>
        <v>anomaly</v>
      </c>
      <c r="AK834">
        <f>IFERROR(Y834-X834, "invalid date")</f>
        <v>2</v>
      </c>
      <c r="AL834" s="10">
        <v>0.05</v>
      </c>
      <c r="AM834" s="11">
        <v>36782.271000000008</v>
      </c>
      <c r="AN834" s="11">
        <v>10879.461000000007</v>
      </c>
      <c r="AO834" s="10">
        <v>0.29578002402298664</v>
      </c>
      <c r="AP834" t="s">
        <v>4426</v>
      </c>
      <c r="AQ834" t="s">
        <v>4358</v>
      </c>
      <c r="AR834" t="s">
        <v>4124</v>
      </c>
      <c r="AS834" t="s">
        <v>4120</v>
      </c>
      <c r="AT834" t="s">
        <v>4115</v>
      </c>
      <c r="AU834">
        <v>2</v>
      </c>
      <c r="AV834" t="s">
        <v>4109</v>
      </c>
    </row>
    <row r="835" spans="1:48">
      <c r="A835" t="s">
        <v>3830</v>
      </c>
      <c r="B835" t="s">
        <v>3831</v>
      </c>
      <c r="C835" t="s">
        <v>3832</v>
      </c>
      <c r="D835" t="s">
        <v>3833</v>
      </c>
      <c r="E835" t="s">
        <v>157</v>
      </c>
      <c r="F835" t="s">
        <v>124</v>
      </c>
      <c r="G835" t="s">
        <v>51</v>
      </c>
      <c r="H835" t="s">
        <v>130</v>
      </c>
      <c r="I835" t="s">
        <v>131</v>
      </c>
      <c r="J835" t="s">
        <v>54</v>
      </c>
      <c r="K835" t="s">
        <v>214</v>
      </c>
      <c r="L835" t="s">
        <v>3834</v>
      </c>
      <c r="M835" t="s">
        <v>65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43</v>
      </c>
      <c r="U835" t="s">
        <v>44</v>
      </c>
      <c r="W835" t="s">
        <v>3830</v>
      </c>
      <c r="X835" t="str">
        <v>04-06-24</v>
      </c>
      <c r="Y835" t="str">
        <v>06-04-24</v>
      </c>
      <c r="Z835" t="s">
        <v>3833</v>
      </c>
      <c r="AA835" t="str">
        <v>Rahul Verma</v>
      </c>
      <c r="AB835" t="str">
        <f>TRIM(PROPER(F:F))</f>
        <v>Home Office</v>
      </c>
      <c r="AC835" t="str">
        <f>TRIM(PROPER(G:G))</f>
        <v>East</v>
      </c>
      <c r="AD835" t="str">
        <f>TRIM(PROPER(H:H))</f>
        <v>West Bengal</v>
      </c>
      <c r="AE835" t="str">
        <f>TRIM(PROPER(I:I))</f>
        <v>Kolkata</v>
      </c>
      <c r="AF835" t="str">
        <f>TRIM(PROPER(J:J))</f>
        <v>Furniture</v>
      </c>
      <c r="AG835" t="str">
        <f>TRIM(PROPER(K:K))</f>
        <v>Bookcases</v>
      </c>
      <c r="AH835" t="str">
        <f t="shared" si="24"/>
        <v>Basic Bookcases 499</v>
      </c>
      <c r="AI835" t="str">
        <f t="shared" si="24"/>
        <v>First Class</v>
      </c>
      <c r="AJ835" s="3" t="str">
        <f t="shared" ref="AJ835:AJ898" si="25">IF(OR(X:X="Invalid Date",Y:Y="Invalid Date"),"Invalid",(IF(X:X&lt;Y:Y,"anomaly", "  ")))</f>
        <v>anomaly</v>
      </c>
      <c r="AK835">
        <f>IFERROR(Y835-X835, "invalid date")</f>
        <v>-59</v>
      </c>
      <c r="AL835" s="10">
        <v>0</v>
      </c>
      <c r="AM835" s="11">
        <v>23696.400000000001</v>
      </c>
      <c r="AN835" s="11">
        <v>5586.630000000001</v>
      </c>
      <c r="AO835" s="10">
        <v>0.23575859624246723</v>
      </c>
      <c r="AP835" t="s">
        <v>4702</v>
      </c>
      <c r="AQ835" t="s">
        <v>4197</v>
      </c>
      <c r="AR835" t="s">
        <v>4170</v>
      </c>
      <c r="AS835" t="s">
        <v>4107</v>
      </c>
      <c r="AT835" t="s">
        <v>4115</v>
      </c>
      <c r="AU835">
        <v>-59</v>
      </c>
      <c r="AV835" t="s">
        <v>4109</v>
      </c>
    </row>
    <row r="836" spans="1:48">
      <c r="A836" t="s">
        <v>3835</v>
      </c>
      <c r="B836" t="s">
        <v>243</v>
      </c>
      <c r="C836" t="s">
        <v>3836</v>
      </c>
      <c r="D836" t="s">
        <v>3837</v>
      </c>
      <c r="E836" t="s">
        <v>171</v>
      </c>
      <c r="F836" t="s">
        <v>124</v>
      </c>
      <c r="G836" t="s">
        <v>71</v>
      </c>
      <c r="H836" t="s">
        <v>72</v>
      </c>
      <c r="I836" t="s">
        <v>73</v>
      </c>
      <c r="J836" t="s">
        <v>39</v>
      </c>
      <c r="K836" t="s">
        <v>63</v>
      </c>
      <c r="L836" t="s">
        <v>3838</v>
      </c>
      <c r="M836" t="s">
        <v>65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43</v>
      </c>
      <c r="U836" t="s">
        <v>44</v>
      </c>
      <c r="W836" t="s">
        <v>3835</v>
      </c>
      <c r="X836" t="str">
        <v>18-10-24</v>
      </c>
      <c r="Y836" t="str">
        <v>22-10-24</v>
      </c>
      <c r="Z836" t="s">
        <v>3837</v>
      </c>
      <c r="AA836" t="str">
        <v>Aarav Sharma</v>
      </c>
      <c r="AB836" t="str">
        <f>TRIM(PROPER(F:F))</f>
        <v>Home Office</v>
      </c>
      <c r="AC836" t="str">
        <f>TRIM(PROPER(G:G))</f>
        <v>South</v>
      </c>
      <c r="AD836" t="str">
        <f>TRIM(PROPER(H:H))</f>
        <v>Telangana</v>
      </c>
      <c r="AE836" t="str">
        <f>TRIM(PROPER(I:I))</f>
        <v>Hyderabad</v>
      </c>
      <c r="AF836" t="str">
        <f>TRIM(PROPER(J:J))</f>
        <v>Office Supplies</v>
      </c>
      <c r="AG836" t="str">
        <f>TRIM(PROPER(K:K))</f>
        <v>Art</v>
      </c>
      <c r="AH836" t="str">
        <f t="shared" si="24"/>
        <v>Basic Art 143</v>
      </c>
      <c r="AI836" t="str">
        <f t="shared" si="24"/>
        <v>First Class</v>
      </c>
      <c r="AJ836" s="3" t="str">
        <f t="shared" si="25"/>
        <v>anomaly</v>
      </c>
      <c r="AK836">
        <f>IFERROR(Y836-X836, "invalid date")</f>
        <v>4</v>
      </c>
      <c r="AL836" s="10">
        <v>0</v>
      </c>
      <c r="AM836" s="11">
        <v>4047.66</v>
      </c>
      <c r="AN836" s="11">
        <v>968.73</v>
      </c>
      <c r="AO836" s="10">
        <v>0.23933087265234729</v>
      </c>
      <c r="AP836" t="s">
        <v>4164</v>
      </c>
      <c r="AQ836" t="s">
        <v>4682</v>
      </c>
      <c r="AR836" t="s">
        <v>4126</v>
      </c>
      <c r="AS836" t="s">
        <v>4107</v>
      </c>
      <c r="AT836" t="s">
        <v>4115</v>
      </c>
      <c r="AU836">
        <v>4</v>
      </c>
      <c r="AV836" t="s">
        <v>4109</v>
      </c>
    </row>
    <row r="837" spans="1:48">
      <c r="A837" t="s">
        <v>3839</v>
      </c>
      <c r="B837" t="s">
        <v>2759</v>
      </c>
      <c r="C837" t="s">
        <v>965</v>
      </c>
      <c r="D837" t="s">
        <v>3840</v>
      </c>
      <c r="E837" t="s">
        <v>151</v>
      </c>
      <c r="F837" t="s">
        <v>50</v>
      </c>
      <c r="G837" t="s">
        <v>51</v>
      </c>
      <c r="H837" t="s">
        <v>226</v>
      </c>
      <c r="I837" t="s">
        <v>227</v>
      </c>
      <c r="J837" t="s">
        <v>95</v>
      </c>
      <c r="K837" t="s">
        <v>233</v>
      </c>
      <c r="L837" t="s">
        <v>3841</v>
      </c>
      <c r="M837" t="s">
        <v>42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43</v>
      </c>
      <c r="U837" t="s">
        <v>44</v>
      </c>
      <c r="W837" t="s">
        <v>3839</v>
      </c>
      <c r="X837" t="str">
        <v>invalid date</v>
      </c>
      <c r="Y837" t="str">
        <v>04-10-25</v>
      </c>
      <c r="Z837" t="s">
        <v>3840</v>
      </c>
      <c r="AA837" t="str">
        <v>Priya Menon</v>
      </c>
      <c r="AB837" t="str">
        <f>TRIM(PROPER(F:F))</f>
        <v>Small Business</v>
      </c>
      <c r="AC837" t="str">
        <f>TRIM(PROPER(G:G))</f>
        <v>East</v>
      </c>
      <c r="AD837" t="str">
        <f>TRIM(PROPER(H:H))</f>
        <v>Assam</v>
      </c>
      <c r="AE837" t="str">
        <f>TRIM(PROPER(I:I))</f>
        <v>Guwahati</v>
      </c>
      <c r="AF837" t="str">
        <f>TRIM(PROPER(J:J))</f>
        <v>Technology</v>
      </c>
      <c r="AG837" t="str">
        <f>TRIM(PROPER(K:K))</f>
        <v>Phones</v>
      </c>
      <c r="AH837" t="str">
        <f t="shared" si="24"/>
        <v>Prime Phones 338</v>
      </c>
      <c r="AI837" t="str">
        <f t="shared" si="24"/>
        <v>Second Class</v>
      </c>
      <c r="AJ837" s="3" t="str">
        <f t="shared" si="25"/>
        <v>Invalid</v>
      </c>
      <c r="AK837" t="str">
        <f>IFERROR(Y837-X837, "invalid date")</f>
        <v>invalid date</v>
      </c>
      <c r="AL837" s="10">
        <v>0.05</v>
      </c>
      <c r="AM837" s="11">
        <v>10038.773499999999</v>
      </c>
      <c r="AN837" s="11">
        <v>4365.673499999999</v>
      </c>
      <c r="AO837" s="10">
        <v>0.43488116352062323</v>
      </c>
      <c r="AP837" t="s">
        <v>4105</v>
      </c>
      <c r="AQ837" t="s">
        <v>4125</v>
      </c>
      <c r="AR837" t="s">
        <v>4105</v>
      </c>
      <c r="AS837" t="s">
        <v>4105</v>
      </c>
      <c r="AT837" t="s">
        <v>4108</v>
      </c>
      <c r="AU837" t="s">
        <v>4105</v>
      </c>
      <c r="AV837" t="s">
        <v>4109</v>
      </c>
    </row>
    <row r="838" spans="1:48">
      <c r="A838" t="s">
        <v>3842</v>
      </c>
      <c r="B838" t="s">
        <v>2471</v>
      </c>
      <c r="C838" t="s">
        <v>3843</v>
      </c>
      <c r="D838" t="s">
        <v>3844</v>
      </c>
      <c r="E838" t="s">
        <v>62</v>
      </c>
      <c r="F838" t="s">
        <v>50</v>
      </c>
      <c r="G838" t="s">
        <v>36</v>
      </c>
      <c r="H838" t="s">
        <v>37</v>
      </c>
      <c r="I838" t="s">
        <v>38</v>
      </c>
      <c r="J838" t="s">
        <v>39</v>
      </c>
      <c r="K838" t="s">
        <v>118</v>
      </c>
      <c r="L838" t="s">
        <v>3845</v>
      </c>
      <c r="M838" t="s">
        <v>42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43</v>
      </c>
      <c r="U838" t="s">
        <v>44</v>
      </c>
      <c r="W838" t="s">
        <v>3842</v>
      </c>
      <c r="X838" t="str">
        <v>15-12-24</v>
      </c>
      <c r="Y838" t="str">
        <v>18-12-24</v>
      </c>
      <c r="Z838" t="s">
        <v>3844</v>
      </c>
      <c r="AA838" t="str">
        <v>Isha Nair</v>
      </c>
      <c r="AB838" t="str">
        <f>TRIM(PROPER(F:F))</f>
        <v>Small Business</v>
      </c>
      <c r="AC838" t="str">
        <f>TRIM(PROPER(G:G))</f>
        <v>North</v>
      </c>
      <c r="AD838" t="str">
        <f>TRIM(PROPER(H:H))</f>
        <v>Rajasthan</v>
      </c>
      <c r="AE838" t="str">
        <f>TRIM(PROPER(I:I))</f>
        <v>Jaipur</v>
      </c>
      <c r="AF838" t="str">
        <f>TRIM(PROPER(J:J))</f>
        <v>Office Supplies</v>
      </c>
      <c r="AG838" t="str">
        <f>TRIM(PROPER(K:K))</f>
        <v>Labels</v>
      </c>
      <c r="AH838" t="str">
        <f t="shared" si="24"/>
        <v>Smart Labels 814</v>
      </c>
      <c r="AI838" t="str">
        <f t="shared" si="24"/>
        <v>Second Class</v>
      </c>
      <c r="AJ838" s="3" t="str">
        <f t="shared" si="25"/>
        <v>anomaly</v>
      </c>
      <c r="AK838">
        <f>IFERROR(Y838-X838, "invalid date")</f>
        <v>3</v>
      </c>
      <c r="AL838" s="10">
        <v>0</v>
      </c>
      <c r="AM838" s="11">
        <v>1074.22</v>
      </c>
      <c r="AN838" s="11">
        <v>223.36</v>
      </c>
      <c r="AO838" s="10">
        <v>0.20792761259332354</v>
      </c>
      <c r="AP838" t="s">
        <v>4591</v>
      </c>
      <c r="AQ838" t="s">
        <v>4703</v>
      </c>
      <c r="AR838" t="s">
        <v>4139</v>
      </c>
      <c r="AS838" t="s">
        <v>4107</v>
      </c>
      <c r="AT838" t="s">
        <v>4115</v>
      </c>
      <c r="AU838">
        <v>3</v>
      </c>
      <c r="AV838" t="s">
        <v>4109</v>
      </c>
    </row>
    <row r="839" spans="1:48">
      <c r="A839" t="s">
        <v>3846</v>
      </c>
      <c r="B839" t="s">
        <v>509</v>
      </c>
      <c r="C839" t="s">
        <v>3847</v>
      </c>
      <c r="D839" t="s">
        <v>3848</v>
      </c>
      <c r="E839" t="s">
        <v>34</v>
      </c>
      <c r="F839" t="s">
        <v>124</v>
      </c>
      <c r="G839" t="s">
        <v>82</v>
      </c>
      <c r="H839" t="s">
        <v>83</v>
      </c>
      <c r="I839" t="s">
        <v>84</v>
      </c>
      <c r="J839" t="s">
        <v>39</v>
      </c>
      <c r="K839" t="s">
        <v>40</v>
      </c>
      <c r="L839" t="s">
        <v>3849</v>
      </c>
      <c r="M839" t="s">
        <v>65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43</v>
      </c>
      <c r="U839" t="s">
        <v>44</v>
      </c>
      <c r="W839" t="s">
        <v>3846</v>
      </c>
      <c r="X839" t="str">
        <v>27-09-25</v>
      </c>
      <c r="Y839" t="str">
        <v>invalid date</v>
      </c>
      <c r="Z839" t="s">
        <v>3848</v>
      </c>
      <c r="AA839" t="str">
        <v>Karan Malhotra</v>
      </c>
      <c r="AB839" t="str">
        <f>TRIM(PROPER(F:F))</f>
        <v>Home Office</v>
      </c>
      <c r="AC839" t="str">
        <f>TRIM(PROPER(G:G))</f>
        <v>West</v>
      </c>
      <c r="AD839" t="str">
        <f>TRIM(PROPER(H:H))</f>
        <v>Maharashtra</v>
      </c>
      <c r="AE839" t="str">
        <f>TRIM(PROPER(I:I))</f>
        <v>Mumbai</v>
      </c>
      <c r="AF839" t="str">
        <f>TRIM(PROPER(J:J))</f>
        <v>Office Supplies</v>
      </c>
      <c r="AG839" t="str">
        <f>TRIM(PROPER(K:K))</f>
        <v>Paper</v>
      </c>
      <c r="AH839" t="str">
        <f t="shared" si="24"/>
        <v>Prime Paper 812</v>
      </c>
      <c r="AI839" t="str">
        <f t="shared" si="24"/>
        <v>First Class</v>
      </c>
      <c r="AJ839" s="3" t="str">
        <f t="shared" si="25"/>
        <v>Invalid</v>
      </c>
      <c r="AK839" t="str">
        <f>IFERROR(Y839-X839, "invalid date")</f>
        <v>invalid date</v>
      </c>
      <c r="AL839" s="10">
        <v>0.25</v>
      </c>
      <c r="AM839" s="11">
        <v>9399.6674999999996</v>
      </c>
      <c r="AN839" s="11">
        <v>2859.2974999999997</v>
      </c>
      <c r="AO839" s="10">
        <v>0.30419134506619516</v>
      </c>
      <c r="AP839" t="s">
        <v>4241</v>
      </c>
      <c r="AQ839" t="s">
        <v>4105</v>
      </c>
      <c r="AR839" t="s">
        <v>4134</v>
      </c>
      <c r="AS839" t="s">
        <v>4120</v>
      </c>
      <c r="AT839" t="s">
        <v>4108</v>
      </c>
      <c r="AU839" t="s">
        <v>4105</v>
      </c>
      <c r="AV839" t="s">
        <v>4109</v>
      </c>
    </row>
    <row r="840" spans="1:48">
      <c r="A840" t="s">
        <v>3850</v>
      </c>
      <c r="B840" t="s">
        <v>480</v>
      </c>
      <c r="C840" t="s">
        <v>3851</v>
      </c>
      <c r="D840" t="s">
        <v>3852</v>
      </c>
      <c r="E840" t="s">
        <v>81</v>
      </c>
      <c r="F840" t="s">
        <v>50</v>
      </c>
      <c r="G840" t="s">
        <v>82</v>
      </c>
      <c r="H840" t="s">
        <v>259</v>
      </c>
      <c r="I840" t="s">
        <v>260</v>
      </c>
      <c r="J840" t="s">
        <v>39</v>
      </c>
      <c r="K840" t="s">
        <v>40</v>
      </c>
      <c r="L840" t="s">
        <v>3853</v>
      </c>
      <c r="M840" t="s">
        <v>57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43</v>
      </c>
      <c r="U840" t="s">
        <v>134</v>
      </c>
      <c r="W840" t="s">
        <v>3850</v>
      </c>
      <c r="X840" t="str">
        <v>04-03-25</v>
      </c>
      <c r="Y840" t="str">
        <v>07-04-25</v>
      </c>
      <c r="Z840" t="s">
        <v>3852</v>
      </c>
      <c r="AA840" t="str">
        <v>Ananya Rao</v>
      </c>
      <c r="AB840" t="str">
        <f>TRIM(PROPER(F:F))</f>
        <v>Small Business</v>
      </c>
      <c r="AC840" t="str">
        <f>TRIM(PROPER(G:G))</f>
        <v>West</v>
      </c>
      <c r="AD840" t="str">
        <f>TRIM(PROPER(H:H))</f>
        <v>Goa</v>
      </c>
      <c r="AE840" t="str">
        <f>TRIM(PROPER(I:I))</f>
        <v>Panaji</v>
      </c>
      <c r="AF840" t="str">
        <f>TRIM(PROPER(J:J))</f>
        <v>Office Supplies</v>
      </c>
      <c r="AG840" t="str">
        <f>TRIM(PROPER(K:K))</f>
        <v>Paper</v>
      </c>
      <c r="AH840" t="str">
        <f t="shared" si="24"/>
        <v>Pro Paper 355</v>
      </c>
      <c r="AI840" t="str">
        <f t="shared" si="24"/>
        <v>Same Day</v>
      </c>
      <c r="AJ840" s="3" t="str">
        <f t="shared" si="25"/>
        <v>anomaly</v>
      </c>
      <c r="AK840">
        <f>IFERROR(Y840-X840, "invalid date")</f>
        <v>34</v>
      </c>
      <c r="AL840" s="10">
        <v>0</v>
      </c>
      <c r="AM840" s="11">
        <v>1470.57</v>
      </c>
      <c r="AN840" s="11">
        <v>636.54999999999995</v>
      </c>
      <c r="AO840" s="10">
        <v>0.43285936745615644</v>
      </c>
      <c r="AP840" t="s">
        <v>4234</v>
      </c>
      <c r="AQ840" t="s">
        <v>4368</v>
      </c>
      <c r="AR840" t="s">
        <v>4159</v>
      </c>
      <c r="AS840" t="s">
        <v>4120</v>
      </c>
      <c r="AT840" t="s">
        <v>4115</v>
      </c>
      <c r="AU840">
        <v>34</v>
      </c>
      <c r="AV840" t="s">
        <v>4109</v>
      </c>
    </row>
    <row r="841" spans="1:48">
      <c r="A841" t="s">
        <v>3854</v>
      </c>
      <c r="B841" t="s">
        <v>3855</v>
      </c>
      <c r="C841" t="s">
        <v>3856</v>
      </c>
      <c r="D841" t="s">
        <v>3857</v>
      </c>
      <c r="E841" t="s">
        <v>189</v>
      </c>
      <c r="F841" t="s">
        <v>124</v>
      </c>
      <c r="G841" t="s">
        <v>51</v>
      </c>
      <c r="H841" t="s">
        <v>52</v>
      </c>
      <c r="I841" t="s">
        <v>53</v>
      </c>
      <c r="J841" t="s">
        <v>95</v>
      </c>
      <c r="K841" t="s">
        <v>233</v>
      </c>
      <c r="L841" t="s">
        <v>3858</v>
      </c>
      <c r="M841" t="s">
        <v>76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43</v>
      </c>
      <c r="U841" t="s">
        <v>44</v>
      </c>
      <c r="W841" t="s">
        <v>3854</v>
      </c>
      <c r="X841" t="str">
        <v>invalid date</v>
      </c>
      <c r="Y841" t="str">
        <v>22-09-24</v>
      </c>
      <c r="Z841" t="s">
        <v>3857</v>
      </c>
      <c r="AA841" t="str">
        <v>Rohan Mehta</v>
      </c>
      <c r="AB841" t="str">
        <f>TRIM(PROPER(F:F))</f>
        <v>Home Office</v>
      </c>
      <c r="AC841" t="str">
        <f>TRIM(PROPER(G:G))</f>
        <v>East</v>
      </c>
      <c r="AD841" t="str">
        <f>TRIM(PROPER(H:H))</f>
        <v>Odisha</v>
      </c>
      <c r="AE841" t="str">
        <f>TRIM(PROPER(I:I))</f>
        <v>Bhubaneswar</v>
      </c>
      <c r="AF841" t="str">
        <f>TRIM(PROPER(J:J))</f>
        <v>Technology</v>
      </c>
      <c r="AG841" t="str">
        <f>TRIM(PROPER(K:K))</f>
        <v>Phones</v>
      </c>
      <c r="AH841" t="str">
        <f t="shared" si="24"/>
        <v>Basic Phones 398</v>
      </c>
      <c r="AI841" t="str">
        <f t="shared" si="24"/>
        <v>Standard Class</v>
      </c>
      <c r="AJ841" s="3" t="str">
        <f t="shared" si="25"/>
        <v>Invalid</v>
      </c>
      <c r="AK841" t="str">
        <f>IFERROR(Y841-X841, "invalid date")</f>
        <v>invalid date</v>
      </c>
      <c r="AL841" s="10">
        <v>0.1</v>
      </c>
      <c r="AM841" s="11">
        <v>3826.2959999999998</v>
      </c>
      <c r="AN841" s="11">
        <v>1632.1759999999999</v>
      </c>
      <c r="AO841" s="10">
        <v>0.42656814841298218</v>
      </c>
      <c r="AP841" t="s">
        <v>4105</v>
      </c>
      <c r="AQ841" t="s">
        <v>4492</v>
      </c>
      <c r="AR841" t="s">
        <v>4105</v>
      </c>
      <c r="AS841" t="s">
        <v>4105</v>
      </c>
      <c r="AT841" t="s">
        <v>4108</v>
      </c>
      <c r="AU841" t="s">
        <v>4105</v>
      </c>
      <c r="AV841" t="s">
        <v>4109</v>
      </c>
    </row>
    <row r="842" spans="1:48">
      <c r="A842" t="s">
        <v>3859</v>
      </c>
      <c r="B842" t="s">
        <v>1907</v>
      </c>
      <c r="C842" t="s">
        <v>2206</v>
      </c>
      <c r="D842" t="s">
        <v>3860</v>
      </c>
      <c r="E842" t="s">
        <v>102</v>
      </c>
      <c r="F842" t="s">
        <v>124</v>
      </c>
      <c r="G842" t="s">
        <v>36</v>
      </c>
      <c r="H842" t="s">
        <v>517</v>
      </c>
      <c r="I842" t="s">
        <v>518</v>
      </c>
      <c r="J842" t="s">
        <v>54</v>
      </c>
      <c r="K842" t="s">
        <v>85</v>
      </c>
      <c r="L842" t="s">
        <v>3861</v>
      </c>
      <c r="M842" t="s">
        <v>57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43</v>
      </c>
      <c r="U842" t="s">
        <v>44</v>
      </c>
      <c r="W842" t="s">
        <v>3859</v>
      </c>
      <c r="X842" t="str">
        <v>19-09-25</v>
      </c>
      <c r="Y842" t="str">
        <v>19-09-25</v>
      </c>
      <c r="Z842" t="s">
        <v>3860</v>
      </c>
      <c r="AA842" t="str">
        <v>Neha Gupta</v>
      </c>
      <c r="AB842" t="str">
        <f>TRIM(PROPER(F:F))</f>
        <v>Home Office</v>
      </c>
      <c r="AC842" t="str">
        <f>TRIM(PROPER(G:G))</f>
        <v>North</v>
      </c>
      <c r="AD842" t="str">
        <f>TRIM(PROPER(H:H))</f>
        <v>Delhi</v>
      </c>
      <c r="AE842" t="str">
        <f>TRIM(PROPER(I:I))</f>
        <v>New Delhi</v>
      </c>
      <c r="AF842" t="str">
        <f>TRIM(PROPER(J:J))</f>
        <v>Furniture</v>
      </c>
      <c r="AG842" t="str">
        <f>TRIM(PROPER(K:K))</f>
        <v>Chairs</v>
      </c>
      <c r="AH842" t="str">
        <f t="shared" si="24"/>
        <v>Classic Chairs 204</v>
      </c>
      <c r="AI842" t="str">
        <f t="shared" si="24"/>
        <v>Same Day</v>
      </c>
      <c r="AJ842" s="3" t="str">
        <f t="shared" si="25"/>
        <v xml:space="preserve">  </v>
      </c>
      <c r="AK842">
        <f>IFERROR(Y842-X842, "invalid date")</f>
        <v>0</v>
      </c>
      <c r="AL842" s="10">
        <v>0</v>
      </c>
      <c r="AM842" s="11">
        <v>6336.44</v>
      </c>
      <c r="AN842" s="11">
        <v>1655.7599999999993</v>
      </c>
      <c r="AO842" s="10">
        <v>0.26130761121386764</v>
      </c>
      <c r="AP842" t="s">
        <v>4517</v>
      </c>
      <c r="AQ842" t="s">
        <v>4517</v>
      </c>
      <c r="AR842" t="s">
        <v>4134</v>
      </c>
      <c r="AS842" t="s">
        <v>4120</v>
      </c>
      <c r="AT842" t="s">
        <v>4115</v>
      </c>
      <c r="AU842">
        <v>0</v>
      </c>
      <c r="AV842" t="s">
        <v>4109</v>
      </c>
    </row>
    <row r="843" spans="1:48">
      <c r="A843" t="s">
        <v>3862</v>
      </c>
      <c r="B843" t="s">
        <v>3863</v>
      </c>
      <c r="C843" t="s">
        <v>3864</v>
      </c>
      <c r="D843" t="s">
        <v>3865</v>
      </c>
      <c r="E843" t="s">
        <v>81</v>
      </c>
      <c r="F843" t="s">
        <v>50</v>
      </c>
      <c r="G843" t="s">
        <v>51</v>
      </c>
      <c r="H843" t="s">
        <v>196</v>
      </c>
      <c r="I843" t="s">
        <v>197</v>
      </c>
      <c r="J843" t="s">
        <v>39</v>
      </c>
      <c r="K843" t="s">
        <v>63</v>
      </c>
      <c r="L843" t="s">
        <v>3866</v>
      </c>
      <c r="M843" t="s">
        <v>76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43</v>
      </c>
      <c r="U843" t="s">
        <v>44</v>
      </c>
      <c r="W843" t="s">
        <v>3862</v>
      </c>
      <c r="X843" t="str">
        <v>06-02-25</v>
      </c>
      <c r="Y843" t="str">
        <v>12-02-25</v>
      </c>
      <c r="Z843" t="s">
        <v>3865</v>
      </c>
      <c r="AA843" t="str">
        <v>Ananya Rao</v>
      </c>
      <c r="AB843" t="str">
        <f>TRIM(PROPER(F:F))</f>
        <v>Small Business</v>
      </c>
      <c r="AC843" t="str">
        <f>TRIM(PROPER(G:G))</f>
        <v>East</v>
      </c>
      <c r="AD843" t="str">
        <f>TRIM(PROPER(H:H))</f>
        <v>Bihar</v>
      </c>
      <c r="AE843" t="str">
        <f>TRIM(PROPER(I:I))</f>
        <v>Patna</v>
      </c>
      <c r="AF843" t="str">
        <f>TRIM(PROPER(J:J))</f>
        <v>Office Supplies</v>
      </c>
      <c r="AG843" t="str">
        <f>TRIM(PROPER(K:K))</f>
        <v>Art</v>
      </c>
      <c r="AH843" t="str">
        <f t="shared" si="24"/>
        <v>Max Art 339</v>
      </c>
      <c r="AI843" t="str">
        <f t="shared" si="24"/>
        <v>Standard Class</v>
      </c>
      <c r="AJ843" s="3" t="str">
        <f t="shared" si="25"/>
        <v>anomaly</v>
      </c>
      <c r="AK843">
        <f>IFERROR(Y843-X843, "invalid date")</f>
        <v>6</v>
      </c>
      <c r="AL843" s="10">
        <v>0.25</v>
      </c>
      <c r="AM843" s="11">
        <v>21850.829999999998</v>
      </c>
      <c r="AN843" s="11">
        <v>5250.6999999999971</v>
      </c>
      <c r="AO843" s="10">
        <v>0.2402975081495759</v>
      </c>
      <c r="AP843" t="s">
        <v>4643</v>
      </c>
      <c r="AQ843" t="s">
        <v>4589</v>
      </c>
      <c r="AR843" t="s">
        <v>4129</v>
      </c>
      <c r="AS843" t="s">
        <v>4120</v>
      </c>
      <c r="AT843" t="s">
        <v>4115</v>
      </c>
      <c r="AU843">
        <v>6</v>
      </c>
      <c r="AV843" t="s">
        <v>4109</v>
      </c>
    </row>
    <row r="844" spans="1:48">
      <c r="A844" t="s">
        <v>3867</v>
      </c>
      <c r="B844" t="s">
        <v>3868</v>
      </c>
      <c r="C844" t="s">
        <v>3869</v>
      </c>
      <c r="D844" t="s">
        <v>3870</v>
      </c>
      <c r="E844" t="s">
        <v>3871</v>
      </c>
      <c r="F844" t="s">
        <v>35</v>
      </c>
      <c r="G844" t="s">
        <v>36</v>
      </c>
      <c r="H844" t="s">
        <v>334</v>
      </c>
      <c r="I844" t="s">
        <v>335</v>
      </c>
      <c r="J844" t="s">
        <v>95</v>
      </c>
      <c r="K844" t="s">
        <v>393</v>
      </c>
      <c r="L844" t="s">
        <v>3872</v>
      </c>
      <c r="M844" t="s">
        <v>65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43</v>
      </c>
      <c r="U844" t="s">
        <v>134</v>
      </c>
      <c r="W844" t="s">
        <v>3867</v>
      </c>
      <c r="X844" t="str">
        <v>31-03-24</v>
      </c>
      <c r="Y844" t="str">
        <v>invalid date</v>
      </c>
      <c r="Z844" t="s">
        <v>3870</v>
      </c>
      <c r="AA844" t="str">
        <v>kabir singh</v>
      </c>
      <c r="AB844" t="str">
        <f>TRIM(PROPER(F:F))</f>
        <v>Consumer</v>
      </c>
      <c r="AC844" t="str">
        <f>TRIM(PROPER(G:G))</f>
        <v>North</v>
      </c>
      <c r="AD844" t="str">
        <f>TRIM(PROPER(H:H))</f>
        <v>Haryana</v>
      </c>
      <c r="AE844" t="str">
        <f>TRIM(PROPER(I:I))</f>
        <v>Gurugram</v>
      </c>
      <c r="AF844" t="str">
        <f>TRIM(PROPER(J:J))</f>
        <v>Technology</v>
      </c>
      <c r="AG844" t="str">
        <f>TRIM(PROPER(K:K))</f>
        <v>Machines</v>
      </c>
      <c r="AH844" t="str">
        <f t="shared" si="24"/>
        <v>Smart Machines 581</v>
      </c>
      <c r="AI844" t="str">
        <f t="shared" si="24"/>
        <v>First Class</v>
      </c>
      <c r="AJ844" s="3" t="str">
        <f t="shared" si="25"/>
        <v>Invalid</v>
      </c>
      <c r="AK844" t="str">
        <f>IFERROR(Y844-X844, "invalid date")</f>
        <v>invalid date</v>
      </c>
      <c r="AL844" s="10">
        <v>0.15</v>
      </c>
      <c r="AM844" s="11">
        <v>7453.0719999999992</v>
      </c>
      <c r="AN844" s="11">
        <v>2319.2919999999995</v>
      </c>
      <c r="AO844" s="10">
        <v>0.31118604516365866</v>
      </c>
      <c r="AP844" t="s">
        <v>4592</v>
      </c>
      <c r="AQ844" t="s">
        <v>4105</v>
      </c>
      <c r="AR844" t="s">
        <v>4159</v>
      </c>
      <c r="AS844" t="s">
        <v>4107</v>
      </c>
      <c r="AT844" t="s">
        <v>4108</v>
      </c>
      <c r="AU844" t="s">
        <v>4105</v>
      </c>
      <c r="AV844" t="s">
        <v>4109</v>
      </c>
    </row>
    <row r="845" spans="1:48">
      <c r="A845" t="s">
        <v>3873</v>
      </c>
      <c r="B845" t="s">
        <v>2709</v>
      </c>
      <c r="C845" t="s">
        <v>3874</v>
      </c>
      <c r="D845" t="s">
        <v>3875</v>
      </c>
      <c r="E845" t="s">
        <v>151</v>
      </c>
      <c r="F845" t="s">
        <v>50</v>
      </c>
      <c r="G845" t="s">
        <v>36</v>
      </c>
      <c r="H845" t="s">
        <v>183</v>
      </c>
      <c r="I845" t="s">
        <v>184</v>
      </c>
      <c r="J845" t="s">
        <v>95</v>
      </c>
      <c r="K845" t="s">
        <v>233</v>
      </c>
      <c r="L845" t="s">
        <v>3876</v>
      </c>
      <c r="M845" t="s">
        <v>65</v>
      </c>
      <c r="N845">
        <v>9</v>
      </c>
      <c r="O845">
        <v>3989.52</v>
      </c>
      <c r="P845" s="4" t="s">
        <v>191</v>
      </c>
      <c r="Q845">
        <v>35905.68</v>
      </c>
      <c r="R845">
        <v>23916.1</v>
      </c>
      <c r="S845">
        <v>11989.58</v>
      </c>
      <c r="T845" t="s">
        <v>43</v>
      </c>
      <c r="U845" t="s">
        <v>44</v>
      </c>
      <c r="W845" t="s">
        <v>3873</v>
      </c>
      <c r="X845" t="str">
        <v>18-07-25</v>
      </c>
      <c r="Y845" t="str">
        <v>25-07-25</v>
      </c>
      <c r="Z845" t="s">
        <v>3875</v>
      </c>
      <c r="AA845" t="str">
        <v>Priya Menon</v>
      </c>
      <c r="AB845" t="str">
        <f>TRIM(PROPER(F:F))</f>
        <v>Small Business</v>
      </c>
      <c r="AC845" t="str">
        <f>TRIM(PROPER(G:G))</f>
        <v>North</v>
      </c>
      <c r="AD845" t="str">
        <f>TRIM(PROPER(H:H))</f>
        <v>Uttar Pradesh</v>
      </c>
      <c r="AE845" t="str">
        <f>TRIM(PROPER(I:I))</f>
        <v>Noida</v>
      </c>
      <c r="AF845" t="str">
        <f>TRIM(PROPER(J:J))</f>
        <v>Technology</v>
      </c>
      <c r="AG845" t="str">
        <f>TRIM(PROPER(K:K))</f>
        <v>Phones</v>
      </c>
      <c r="AH845" t="str">
        <f t="shared" si="24"/>
        <v>Prime Phones 482</v>
      </c>
      <c r="AI845" t="str">
        <f t="shared" si="24"/>
        <v>First Class</v>
      </c>
      <c r="AJ845" s="3" t="str">
        <f t="shared" si="25"/>
        <v>anomaly</v>
      </c>
      <c r="AK845">
        <f>IFERROR(Y845-X845, "invalid date")</f>
        <v>7</v>
      </c>
      <c r="AL845" s="10" t="s">
        <v>191</v>
      </c>
      <c r="AM845" s="11" t="s">
        <v>4111</v>
      </c>
      <c r="AN845" s="11" t="s">
        <v>4111</v>
      </c>
      <c r="AO845" s="10" t="s">
        <v>4111</v>
      </c>
      <c r="AP845" t="s">
        <v>4300</v>
      </c>
      <c r="AQ845" t="s">
        <v>4443</v>
      </c>
      <c r="AR845" t="s">
        <v>4106</v>
      </c>
      <c r="AS845" t="s">
        <v>4120</v>
      </c>
      <c r="AT845" t="s">
        <v>4115</v>
      </c>
      <c r="AU845">
        <v>7</v>
      </c>
      <c r="AV845" t="s">
        <v>4109</v>
      </c>
    </row>
    <row r="846" spans="1:48">
      <c r="A846" t="s">
        <v>3877</v>
      </c>
      <c r="B846" t="s">
        <v>3878</v>
      </c>
      <c r="C846" t="s">
        <v>3879</v>
      </c>
      <c r="D846" t="s">
        <v>3880</v>
      </c>
      <c r="E846" t="s">
        <v>116</v>
      </c>
      <c r="F846" t="s">
        <v>124</v>
      </c>
      <c r="G846" t="s">
        <v>82</v>
      </c>
      <c r="H846" t="s">
        <v>259</v>
      </c>
      <c r="I846" t="s">
        <v>260</v>
      </c>
      <c r="J846" t="s">
        <v>39</v>
      </c>
      <c r="K846" t="s">
        <v>63</v>
      </c>
      <c r="L846" t="s">
        <v>3881</v>
      </c>
      <c r="M846" t="s">
        <v>65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43</v>
      </c>
      <c r="U846" t="s">
        <v>44</v>
      </c>
      <c r="W846" t="s">
        <v>3877</v>
      </c>
      <c r="X846" t="str">
        <v>20-01-25</v>
      </c>
      <c r="Y846" t="str">
        <v>25-01-25</v>
      </c>
      <c r="Z846" t="s">
        <v>3880</v>
      </c>
      <c r="AA846" t="str">
        <v>Aditi Sen</v>
      </c>
      <c r="AB846" t="str">
        <f>TRIM(PROPER(F:F))</f>
        <v>Home Office</v>
      </c>
      <c r="AC846" t="str">
        <f>TRIM(PROPER(G:G))</f>
        <v>West</v>
      </c>
      <c r="AD846" t="str">
        <f>TRIM(PROPER(H:H))</f>
        <v>Goa</v>
      </c>
      <c r="AE846" t="str">
        <f>TRIM(PROPER(I:I))</f>
        <v>Panaji</v>
      </c>
      <c r="AF846" t="str">
        <f>TRIM(PROPER(J:J))</f>
        <v>Office Supplies</v>
      </c>
      <c r="AG846" t="str">
        <f>TRIM(PROPER(K:K))</f>
        <v>Art</v>
      </c>
      <c r="AH846" t="str">
        <f t="shared" si="24"/>
        <v>Pro Art 588</v>
      </c>
      <c r="AI846" t="str">
        <f t="shared" si="24"/>
        <v>First Class</v>
      </c>
      <c r="AJ846" s="3" t="str">
        <f t="shared" si="25"/>
        <v>anomaly</v>
      </c>
      <c r="AK846">
        <f>IFERROR(Y846-X846, "invalid date")</f>
        <v>5</v>
      </c>
      <c r="AL846" s="10">
        <v>0</v>
      </c>
      <c r="AM846" s="11">
        <v>3515.15</v>
      </c>
      <c r="AN846" s="11">
        <v>1298.81</v>
      </c>
      <c r="AO846" s="10">
        <v>0.36948921098672882</v>
      </c>
      <c r="AP846" t="s">
        <v>4704</v>
      </c>
      <c r="AQ846" t="s">
        <v>4705</v>
      </c>
      <c r="AR846" t="s">
        <v>4153</v>
      </c>
      <c r="AS846" t="s">
        <v>4120</v>
      </c>
      <c r="AT846" t="s">
        <v>4115</v>
      </c>
      <c r="AU846">
        <v>5</v>
      </c>
      <c r="AV846" t="s">
        <v>4109</v>
      </c>
    </row>
    <row r="847" spans="1:48">
      <c r="A847" t="s">
        <v>3882</v>
      </c>
      <c r="B847" t="s">
        <v>2781</v>
      </c>
      <c r="C847" t="s">
        <v>3883</v>
      </c>
      <c r="D847" t="s">
        <v>903</v>
      </c>
      <c r="E847" t="s">
        <v>34</v>
      </c>
      <c r="F847" t="s">
        <v>35</v>
      </c>
      <c r="G847" t="s">
        <v>51</v>
      </c>
      <c r="H847" t="s">
        <v>52</v>
      </c>
      <c r="I847" t="s">
        <v>53</v>
      </c>
      <c r="J847" t="s">
        <v>54</v>
      </c>
      <c r="K847" t="s">
        <v>55</v>
      </c>
      <c r="L847" t="s">
        <v>3884</v>
      </c>
      <c r="M847" t="s">
        <v>65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146</v>
      </c>
      <c r="U847" t="s">
        <v>134</v>
      </c>
      <c r="W847" t="s">
        <v>3882</v>
      </c>
      <c r="X847" t="str">
        <v>23-02-24</v>
      </c>
      <c r="Y847" t="str">
        <v>27-02-24</v>
      </c>
      <c r="Z847" t="s">
        <v>903</v>
      </c>
      <c r="AA847" t="str">
        <v>Karan Malhotra</v>
      </c>
      <c r="AB847" t="str">
        <f>TRIM(PROPER(F:F))</f>
        <v>Consumer</v>
      </c>
      <c r="AC847" t="str">
        <f>TRIM(PROPER(G:G))</f>
        <v>East</v>
      </c>
      <c r="AD847" t="str">
        <f>TRIM(PROPER(H:H))</f>
        <v>Odisha</v>
      </c>
      <c r="AE847" t="str">
        <f>TRIM(PROPER(I:I))</f>
        <v>Bhubaneswar</v>
      </c>
      <c r="AF847" t="str">
        <f>TRIM(PROPER(J:J))</f>
        <v>Furniture</v>
      </c>
      <c r="AG847" t="str">
        <f>TRIM(PROPER(K:K))</f>
        <v>Tables</v>
      </c>
      <c r="AH847" t="str">
        <f t="shared" si="24"/>
        <v>Eco Tables 792</v>
      </c>
      <c r="AI847" t="str">
        <f t="shared" si="24"/>
        <v>First Class</v>
      </c>
      <c r="AJ847" s="3" t="str">
        <f t="shared" si="25"/>
        <v>anomaly</v>
      </c>
      <c r="AK847">
        <f>IFERROR(Y847-X847, "invalid date")</f>
        <v>4</v>
      </c>
      <c r="AL847" s="10">
        <v>0.25</v>
      </c>
      <c r="AM847" s="11">
        <v>24409.552499999998</v>
      </c>
      <c r="AN847" s="11">
        <v>7251.9724999999962</v>
      </c>
      <c r="AO847" s="10">
        <v>0.29709567596538267</v>
      </c>
      <c r="AP847" t="s">
        <v>4578</v>
      </c>
      <c r="AQ847" t="s">
        <v>4546</v>
      </c>
      <c r="AR847" t="s">
        <v>4129</v>
      </c>
      <c r="AS847" t="s">
        <v>4107</v>
      </c>
      <c r="AT847" t="s">
        <v>4115</v>
      </c>
      <c r="AU847">
        <v>4</v>
      </c>
      <c r="AV847" t="s">
        <v>4109</v>
      </c>
    </row>
    <row r="848" spans="1:48">
      <c r="A848" t="s">
        <v>3885</v>
      </c>
      <c r="B848" t="s">
        <v>3886</v>
      </c>
      <c r="C848" t="s">
        <v>3887</v>
      </c>
      <c r="D848" t="s">
        <v>3888</v>
      </c>
      <c r="E848" t="s">
        <v>151</v>
      </c>
      <c r="F848" t="s">
        <v>50</v>
      </c>
      <c r="G848" t="s">
        <v>82</v>
      </c>
      <c r="H848" t="s">
        <v>245</v>
      </c>
      <c r="I848" t="s">
        <v>246</v>
      </c>
      <c r="J848" t="s">
        <v>54</v>
      </c>
      <c r="K848" t="s">
        <v>214</v>
      </c>
      <c r="L848" t="s">
        <v>3889</v>
      </c>
      <c r="M848" t="s">
        <v>76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146</v>
      </c>
      <c r="U848" t="s">
        <v>134</v>
      </c>
      <c r="W848" t="s">
        <v>3885</v>
      </c>
      <c r="X848" t="str">
        <v>14-04-24</v>
      </c>
      <c r="Y848" t="str">
        <v>22-04-24</v>
      </c>
      <c r="Z848" t="s">
        <v>3888</v>
      </c>
      <c r="AA848" t="str">
        <v>Priya Menon</v>
      </c>
      <c r="AB848" t="str">
        <f>TRIM(PROPER(F:F))</f>
        <v>Small Business</v>
      </c>
      <c r="AC848" t="str">
        <f>TRIM(PROPER(G:G))</f>
        <v>West</v>
      </c>
      <c r="AD848" t="str">
        <f>TRIM(PROPER(H:H))</f>
        <v>Gujarat</v>
      </c>
      <c r="AE848" t="str">
        <f>TRIM(PROPER(I:I))</f>
        <v>Ahmedabad</v>
      </c>
      <c r="AF848" t="str">
        <f>TRIM(PROPER(J:J))</f>
        <v>Furniture</v>
      </c>
      <c r="AG848" t="str">
        <f>TRIM(PROPER(K:K))</f>
        <v>Bookcases</v>
      </c>
      <c r="AH848" t="str">
        <f t="shared" si="24"/>
        <v>Prime Bookcases 177</v>
      </c>
      <c r="AI848" t="str">
        <f t="shared" si="24"/>
        <v>Standard Class</v>
      </c>
      <c r="AJ848" s="3" t="str">
        <f t="shared" si="25"/>
        <v>anomaly</v>
      </c>
      <c r="AK848">
        <f>IFERROR(Y848-X848, "invalid date")</f>
        <v>8</v>
      </c>
      <c r="AL848" s="10">
        <v>0</v>
      </c>
      <c r="AM848" s="11">
        <v>7955.04</v>
      </c>
      <c r="AN848" s="11">
        <v>2374.3599999999997</v>
      </c>
      <c r="AO848" s="10">
        <v>0.29847241497214339</v>
      </c>
      <c r="AP848" t="s">
        <v>4437</v>
      </c>
      <c r="AQ848" t="s">
        <v>4223</v>
      </c>
      <c r="AR848" t="s">
        <v>4199</v>
      </c>
      <c r="AS848" t="s">
        <v>4107</v>
      </c>
      <c r="AT848" t="s">
        <v>4115</v>
      </c>
      <c r="AU848">
        <v>8</v>
      </c>
      <c r="AV848" t="s">
        <v>4109</v>
      </c>
    </row>
    <row r="849" spans="1:48">
      <c r="A849" t="s">
        <v>3890</v>
      </c>
      <c r="B849" t="s">
        <v>3891</v>
      </c>
      <c r="C849" t="s">
        <v>3892</v>
      </c>
      <c r="D849" t="s">
        <v>3893</v>
      </c>
      <c r="E849" t="s">
        <v>220</v>
      </c>
      <c r="F849" t="s">
        <v>124</v>
      </c>
      <c r="G849" t="s">
        <v>51</v>
      </c>
      <c r="H849" t="s">
        <v>52</v>
      </c>
      <c r="I849" t="s">
        <v>53</v>
      </c>
      <c r="J849" t="s">
        <v>54</v>
      </c>
      <c r="K849" t="s">
        <v>55</v>
      </c>
      <c r="L849" t="s">
        <v>3894</v>
      </c>
      <c r="M849" t="s">
        <v>42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43</v>
      </c>
      <c r="U849" t="s">
        <v>44</v>
      </c>
      <c r="W849" t="s">
        <v>3890</v>
      </c>
      <c r="X849" t="str">
        <v>20-05-25</v>
      </c>
      <c r="Y849" t="str">
        <v>invalid date</v>
      </c>
      <c r="Z849" t="s">
        <v>3893</v>
      </c>
      <c r="AA849" t="str">
        <v>Diya Patel</v>
      </c>
      <c r="AB849" t="str">
        <f>TRIM(PROPER(F:F))</f>
        <v>Home Office</v>
      </c>
      <c r="AC849" t="str">
        <f>TRIM(PROPER(G:G))</f>
        <v>East</v>
      </c>
      <c r="AD849" t="str">
        <f>TRIM(PROPER(H:H))</f>
        <v>Odisha</v>
      </c>
      <c r="AE849" t="str">
        <f>TRIM(PROPER(I:I))</f>
        <v>Bhubaneswar</v>
      </c>
      <c r="AF849" t="str">
        <f>TRIM(PROPER(J:J))</f>
        <v>Furniture</v>
      </c>
      <c r="AG849" t="str">
        <f>TRIM(PROPER(K:K))</f>
        <v>Tables</v>
      </c>
      <c r="AH849" t="str">
        <f t="shared" si="24"/>
        <v>Pro Tables 828</v>
      </c>
      <c r="AI849" t="str">
        <f t="shared" si="24"/>
        <v>Second Class</v>
      </c>
      <c r="AJ849" s="3" t="str">
        <f t="shared" si="25"/>
        <v>Invalid</v>
      </c>
      <c r="AK849" t="str">
        <f>IFERROR(Y849-X849, "invalid date")</f>
        <v>invalid date</v>
      </c>
      <c r="AL849" s="10">
        <v>0.2</v>
      </c>
      <c r="AM849" s="11">
        <v>336.12800000000004</v>
      </c>
      <c r="AN849" s="11">
        <v>93.938000000000045</v>
      </c>
      <c r="AO849" s="10">
        <v>0.27947091584158423</v>
      </c>
      <c r="AP849" t="s">
        <v>4135</v>
      </c>
      <c r="AQ849" t="s">
        <v>4105</v>
      </c>
      <c r="AR849" t="s">
        <v>4124</v>
      </c>
      <c r="AS849" t="s">
        <v>4120</v>
      </c>
      <c r="AT849" t="s">
        <v>4108</v>
      </c>
      <c r="AU849" t="s">
        <v>4105</v>
      </c>
      <c r="AV849" t="s">
        <v>4109</v>
      </c>
    </row>
    <row r="850" spans="1:48">
      <c r="A850" t="s">
        <v>3895</v>
      </c>
      <c r="B850" t="s">
        <v>3154</v>
      </c>
      <c r="C850" t="s">
        <v>3896</v>
      </c>
      <c r="D850" t="s">
        <v>3897</v>
      </c>
      <c r="E850" t="s">
        <v>157</v>
      </c>
      <c r="F850" t="s">
        <v>124</v>
      </c>
      <c r="G850" t="s">
        <v>71</v>
      </c>
      <c r="H850" t="s">
        <v>350</v>
      </c>
      <c r="I850" t="s">
        <v>351</v>
      </c>
      <c r="J850" t="s">
        <v>54</v>
      </c>
      <c r="K850" t="s">
        <v>74</v>
      </c>
      <c r="L850" t="s">
        <v>3898</v>
      </c>
      <c r="M850" t="s">
        <v>42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43</v>
      </c>
      <c r="U850" t="s">
        <v>44</v>
      </c>
      <c r="W850" t="s">
        <v>3895</v>
      </c>
      <c r="X850" t="str">
        <v>27-05-25</v>
      </c>
      <c r="Y850" t="str">
        <v>29-05-25</v>
      </c>
      <c r="Z850" t="s">
        <v>3897</v>
      </c>
      <c r="AA850" t="str">
        <v>Rahul Verma</v>
      </c>
      <c r="AB850" t="str">
        <f>TRIM(PROPER(F:F))</f>
        <v>Home Office</v>
      </c>
      <c r="AC850" t="str">
        <f>TRIM(PROPER(G:G))</f>
        <v>South</v>
      </c>
      <c r="AD850" t="str">
        <f>TRIM(PROPER(H:H))</f>
        <v>Tamil Nadu</v>
      </c>
      <c r="AE850" t="str">
        <f>TRIM(PROPER(I:I))</f>
        <v>Chennai</v>
      </c>
      <c r="AF850" t="str">
        <f>TRIM(PROPER(J:J))</f>
        <v>Furniture</v>
      </c>
      <c r="AG850" t="str">
        <f>TRIM(PROPER(K:K))</f>
        <v>Furnishings</v>
      </c>
      <c r="AH850" t="str">
        <f t="shared" si="24"/>
        <v>Elite Furnishings 480</v>
      </c>
      <c r="AI850" t="str">
        <f t="shared" si="24"/>
        <v>Second Class</v>
      </c>
      <c r="AJ850" s="3" t="str">
        <f t="shared" si="25"/>
        <v>anomaly</v>
      </c>
      <c r="AK850">
        <f>IFERROR(Y850-X850, "invalid date")</f>
        <v>2</v>
      </c>
      <c r="AL850" s="10">
        <v>0.25</v>
      </c>
      <c r="AM850" s="11">
        <v>1308.2624999999998</v>
      </c>
      <c r="AN850" s="11">
        <v>224.70249999999987</v>
      </c>
      <c r="AO850" s="10">
        <v>0.17175643267310645</v>
      </c>
      <c r="AP850" t="s">
        <v>4481</v>
      </c>
      <c r="AQ850" t="s">
        <v>4477</v>
      </c>
      <c r="AR850" t="s">
        <v>4124</v>
      </c>
      <c r="AS850" t="s">
        <v>4120</v>
      </c>
      <c r="AT850" t="s">
        <v>4115</v>
      </c>
      <c r="AU850">
        <v>2</v>
      </c>
      <c r="AV850" t="s">
        <v>4109</v>
      </c>
    </row>
    <row r="851" spans="1:48">
      <c r="A851" t="s">
        <v>3899</v>
      </c>
      <c r="B851" t="s">
        <v>3900</v>
      </c>
      <c r="C851" t="s">
        <v>1081</v>
      </c>
      <c r="D851" t="s">
        <v>3901</v>
      </c>
      <c r="E851" t="s">
        <v>62</v>
      </c>
      <c r="F851" t="s">
        <v>124</v>
      </c>
      <c r="G851" t="s">
        <v>82</v>
      </c>
      <c r="H851" t="s">
        <v>245</v>
      </c>
      <c r="I851" t="s">
        <v>246</v>
      </c>
      <c r="J851" t="s">
        <v>54</v>
      </c>
      <c r="K851" t="s">
        <v>214</v>
      </c>
      <c r="L851" t="s">
        <v>3902</v>
      </c>
      <c r="M851" t="s">
        <v>76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43</v>
      </c>
      <c r="U851" t="s">
        <v>44</v>
      </c>
      <c r="W851" t="s">
        <v>3899</v>
      </c>
      <c r="X851" t="str">
        <v>06-03-24</v>
      </c>
      <c r="Y851" t="str">
        <v>12-03-24</v>
      </c>
      <c r="Z851" t="s">
        <v>3901</v>
      </c>
      <c r="AA851" t="str">
        <v>Isha Nair</v>
      </c>
      <c r="AB851" t="str">
        <f>TRIM(PROPER(F:F))</f>
        <v>Home Office</v>
      </c>
      <c r="AC851" t="str">
        <f>TRIM(PROPER(G:G))</f>
        <v>West</v>
      </c>
      <c r="AD851" t="str">
        <f>TRIM(PROPER(H:H))</f>
        <v>Gujarat</v>
      </c>
      <c r="AE851" t="str">
        <f>TRIM(PROPER(I:I))</f>
        <v>Ahmedabad</v>
      </c>
      <c r="AF851" t="str">
        <f>TRIM(PROPER(J:J))</f>
        <v>Furniture</v>
      </c>
      <c r="AG851" t="str">
        <f>TRIM(PROPER(K:K))</f>
        <v>Bookcases</v>
      </c>
      <c r="AH851" t="str">
        <f t="shared" si="24"/>
        <v>Prime Bookcases 755</v>
      </c>
      <c r="AI851" t="str">
        <f t="shared" si="24"/>
        <v>Standard Class</v>
      </c>
      <c r="AJ851" s="3" t="str">
        <f t="shared" si="25"/>
        <v>anomaly</v>
      </c>
      <c r="AK851">
        <f>IFERROR(Y851-X851, "invalid date")</f>
        <v>6</v>
      </c>
      <c r="AL851" s="10">
        <v>0.2</v>
      </c>
      <c r="AM851" s="11">
        <v>1631.1120000000001</v>
      </c>
      <c r="AN851" s="11">
        <v>732.38200000000006</v>
      </c>
      <c r="AO851" s="10">
        <v>0.44900779345624336</v>
      </c>
      <c r="AP851" t="s">
        <v>4348</v>
      </c>
      <c r="AQ851" t="s">
        <v>4325</v>
      </c>
      <c r="AR851" t="s">
        <v>4159</v>
      </c>
      <c r="AS851" t="s">
        <v>4107</v>
      </c>
      <c r="AT851" t="s">
        <v>4115</v>
      </c>
      <c r="AU851">
        <v>6</v>
      </c>
      <c r="AV851" t="s">
        <v>4109</v>
      </c>
    </row>
    <row r="852" spans="1:48">
      <c r="A852" t="s">
        <v>3903</v>
      </c>
      <c r="B852" t="s">
        <v>2113</v>
      </c>
      <c r="C852" t="s">
        <v>3780</v>
      </c>
      <c r="D852" t="s">
        <v>3904</v>
      </c>
      <c r="E852" t="s">
        <v>151</v>
      </c>
      <c r="F852" t="s">
        <v>124</v>
      </c>
      <c r="G852" t="s">
        <v>51</v>
      </c>
      <c r="H852" t="s">
        <v>130</v>
      </c>
      <c r="I852" t="s">
        <v>131</v>
      </c>
      <c r="J852" t="s">
        <v>39</v>
      </c>
      <c r="K852" t="s">
        <v>40</v>
      </c>
      <c r="L852" t="s">
        <v>3905</v>
      </c>
      <c r="M852" t="s">
        <v>65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43</v>
      </c>
      <c r="U852" t="s">
        <v>44</v>
      </c>
      <c r="W852" t="s">
        <v>3903</v>
      </c>
      <c r="X852" t="str">
        <v>30-06-24</v>
      </c>
      <c r="Y852" t="str">
        <v>03-07-24</v>
      </c>
      <c r="Z852" t="s">
        <v>3904</v>
      </c>
      <c r="AA852" t="str">
        <v>Priya Menon</v>
      </c>
      <c r="AB852" t="str">
        <f>TRIM(PROPER(F:F))</f>
        <v>Home Office</v>
      </c>
      <c r="AC852" t="str">
        <f>TRIM(PROPER(G:G))</f>
        <v>East</v>
      </c>
      <c r="AD852" t="str">
        <f>TRIM(PROPER(H:H))</f>
        <v>West Bengal</v>
      </c>
      <c r="AE852" t="str">
        <f>TRIM(PROPER(I:I))</f>
        <v>Kolkata</v>
      </c>
      <c r="AF852" t="str">
        <f>TRIM(PROPER(J:J))</f>
        <v>Office Supplies</v>
      </c>
      <c r="AG852" t="str">
        <f>TRIM(PROPER(K:K))</f>
        <v>Paper</v>
      </c>
      <c r="AH852" t="str">
        <f t="shared" si="24"/>
        <v>Prime Paper 317</v>
      </c>
      <c r="AI852" t="str">
        <f t="shared" si="24"/>
        <v>First Class</v>
      </c>
      <c r="AJ852" s="3" t="str">
        <f t="shared" si="25"/>
        <v xml:space="preserve">  </v>
      </c>
      <c r="AK852">
        <f>IFERROR(Y852-X852, "invalid date")</f>
        <v>3</v>
      </c>
      <c r="AL852" s="10">
        <v>0</v>
      </c>
      <c r="AM852" s="11">
        <v>7266.0599999999995</v>
      </c>
      <c r="AN852" s="11">
        <v>1049.1699999999992</v>
      </c>
      <c r="AO852" s="10">
        <v>0.14439324750965438</v>
      </c>
      <c r="AP852" t="s">
        <v>4471</v>
      </c>
      <c r="AQ852" t="s">
        <v>4452</v>
      </c>
      <c r="AR852" t="s">
        <v>4170</v>
      </c>
      <c r="AS852" t="s">
        <v>4107</v>
      </c>
      <c r="AT852" t="s">
        <v>4121</v>
      </c>
      <c r="AU852">
        <v>3</v>
      </c>
      <c r="AV852" t="s">
        <v>4109</v>
      </c>
    </row>
    <row r="853" spans="1:48">
      <c r="A853" t="s">
        <v>3906</v>
      </c>
      <c r="B853" t="s">
        <v>816</v>
      </c>
      <c r="C853" t="s">
        <v>3163</v>
      </c>
      <c r="D853" t="s">
        <v>3907</v>
      </c>
      <c r="E853" t="s">
        <v>34</v>
      </c>
      <c r="F853" t="s">
        <v>50</v>
      </c>
      <c r="G853" t="s">
        <v>82</v>
      </c>
      <c r="H853" t="s">
        <v>245</v>
      </c>
      <c r="I853" t="s">
        <v>246</v>
      </c>
      <c r="J853" t="s">
        <v>95</v>
      </c>
      <c r="K853" t="s">
        <v>96</v>
      </c>
      <c r="L853" t="s">
        <v>3908</v>
      </c>
      <c r="M853" t="s">
        <v>65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43</v>
      </c>
      <c r="U853" t="s">
        <v>44</v>
      </c>
      <c r="W853" t="s">
        <v>3906</v>
      </c>
      <c r="X853" t="str">
        <v>26-03-24</v>
      </c>
      <c r="Y853" t="str">
        <v>01-04-24</v>
      </c>
      <c r="Z853" t="s">
        <v>3907</v>
      </c>
      <c r="AA853" t="str">
        <v>Karan Malhotra</v>
      </c>
      <c r="AB853" t="str">
        <f>TRIM(PROPER(F:F))</f>
        <v>Small Business</v>
      </c>
      <c r="AC853" t="str">
        <f>TRIM(PROPER(G:G))</f>
        <v>West</v>
      </c>
      <c r="AD853" t="str">
        <f>TRIM(PROPER(H:H))</f>
        <v>Gujarat</v>
      </c>
      <c r="AE853" t="str">
        <f>TRIM(PROPER(I:I))</f>
        <v>Ahmedabad</v>
      </c>
      <c r="AF853" t="str">
        <f>TRIM(PROPER(J:J))</f>
        <v>Technology</v>
      </c>
      <c r="AG853" t="str">
        <f>TRIM(PROPER(K:K))</f>
        <v>Accessories</v>
      </c>
      <c r="AH853" t="str">
        <f t="shared" si="24"/>
        <v>Classic Accessories 933</v>
      </c>
      <c r="AI853" t="str">
        <f t="shared" si="24"/>
        <v>First Class</v>
      </c>
      <c r="AJ853" s="3" t="str">
        <f t="shared" si="25"/>
        <v xml:space="preserve">  </v>
      </c>
      <c r="AK853">
        <f>IFERROR(Y853-X853, "invalid date")</f>
        <v>6</v>
      </c>
      <c r="AL853" s="10">
        <v>0.2</v>
      </c>
      <c r="AM853" s="11">
        <v>1858.08</v>
      </c>
      <c r="AN853" s="11">
        <v>267.32999999999993</v>
      </c>
      <c r="AO853" s="10">
        <v>0.14387432188065097</v>
      </c>
      <c r="AP853" t="s">
        <v>4318</v>
      </c>
      <c r="AQ853" t="s">
        <v>4664</v>
      </c>
      <c r="AR853" t="s">
        <v>4159</v>
      </c>
      <c r="AS853" t="s">
        <v>4107</v>
      </c>
      <c r="AT853" t="s">
        <v>4121</v>
      </c>
      <c r="AU853">
        <v>6</v>
      </c>
      <c r="AV853" t="s">
        <v>4109</v>
      </c>
    </row>
    <row r="854" spans="1:48">
      <c r="A854" t="s">
        <v>3909</v>
      </c>
      <c r="B854" t="s">
        <v>3910</v>
      </c>
      <c r="C854" t="s">
        <v>3733</v>
      </c>
      <c r="D854" t="s">
        <v>3911</v>
      </c>
      <c r="E854" t="s">
        <v>81</v>
      </c>
      <c r="F854" t="s">
        <v>35</v>
      </c>
      <c r="G854" t="s">
        <v>51</v>
      </c>
      <c r="H854" t="s">
        <v>226</v>
      </c>
      <c r="I854" t="s">
        <v>227</v>
      </c>
      <c r="J854" t="s">
        <v>54</v>
      </c>
      <c r="K854" t="s">
        <v>55</v>
      </c>
      <c r="L854" t="s">
        <v>3912</v>
      </c>
      <c r="M854" t="s">
        <v>42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146</v>
      </c>
      <c r="U854" t="s">
        <v>87</v>
      </c>
      <c r="W854" t="s">
        <v>3909</v>
      </c>
      <c r="X854" t="str">
        <v>01-04-24</v>
      </c>
      <c r="Y854" t="str">
        <v>08-04-24</v>
      </c>
      <c r="Z854" t="s">
        <v>3911</v>
      </c>
      <c r="AA854" t="str">
        <v>Ananya Rao</v>
      </c>
      <c r="AB854" t="str">
        <f>TRIM(PROPER(F:F))</f>
        <v>Consumer</v>
      </c>
      <c r="AC854" t="str">
        <f>TRIM(PROPER(G:G))</f>
        <v>East</v>
      </c>
      <c r="AD854" t="str">
        <f>TRIM(PROPER(H:H))</f>
        <v>Assam</v>
      </c>
      <c r="AE854" t="str">
        <f>TRIM(PROPER(I:I))</f>
        <v>Guwahati</v>
      </c>
      <c r="AF854" t="str">
        <f>TRIM(PROPER(J:J))</f>
        <v>Furniture</v>
      </c>
      <c r="AG854" t="str">
        <f>TRIM(PROPER(K:K))</f>
        <v>Tables</v>
      </c>
      <c r="AH854" t="str">
        <f t="shared" si="24"/>
        <v>Smart Tables 513</v>
      </c>
      <c r="AI854" t="str">
        <f t="shared" si="24"/>
        <v>Second Class</v>
      </c>
      <c r="AJ854" s="3" t="str">
        <f t="shared" si="25"/>
        <v>anomaly</v>
      </c>
      <c r="AK854">
        <f>IFERROR(Y854-X854, "invalid date")</f>
        <v>7</v>
      </c>
      <c r="AL854" s="10">
        <v>0.15</v>
      </c>
      <c r="AM854" s="11">
        <v>25021.832500000004</v>
      </c>
      <c r="AN854" s="11">
        <v>9477.3925000000036</v>
      </c>
      <c r="AO854" s="10">
        <v>0.37876492459135447</v>
      </c>
      <c r="AP854" t="s">
        <v>4664</v>
      </c>
      <c r="AQ854" t="s">
        <v>4629</v>
      </c>
      <c r="AR854" t="s">
        <v>4199</v>
      </c>
      <c r="AS854" t="s">
        <v>4107</v>
      </c>
      <c r="AT854" t="s">
        <v>4115</v>
      </c>
      <c r="AU854">
        <v>7</v>
      </c>
      <c r="AV854" t="s">
        <v>4109</v>
      </c>
    </row>
    <row r="855" spans="1:48">
      <c r="A855" t="s">
        <v>3913</v>
      </c>
      <c r="B855" t="s">
        <v>3914</v>
      </c>
      <c r="C855" t="s">
        <v>3892</v>
      </c>
      <c r="D855" t="s">
        <v>3915</v>
      </c>
      <c r="E855" t="s">
        <v>70</v>
      </c>
      <c r="F855" t="s">
        <v>117</v>
      </c>
      <c r="G855" t="s">
        <v>71</v>
      </c>
      <c r="H855" t="s">
        <v>350</v>
      </c>
      <c r="I855" t="s">
        <v>351</v>
      </c>
      <c r="J855" t="s">
        <v>95</v>
      </c>
      <c r="K855" t="s">
        <v>96</v>
      </c>
      <c r="L855" t="s">
        <v>3916</v>
      </c>
      <c r="M855" t="s">
        <v>57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43</v>
      </c>
      <c r="U855" t="s">
        <v>44</v>
      </c>
      <c r="W855" t="s">
        <v>3913</v>
      </c>
      <c r="X855" t="str">
        <v>16-05-25</v>
      </c>
      <c r="Y855" t="str">
        <v>invalid date</v>
      </c>
      <c r="Z855" t="s">
        <v>3915</v>
      </c>
      <c r="AA855" t="str">
        <v>Arjun Bose</v>
      </c>
      <c r="AB855" t="str">
        <f>TRIM(PROPER(F:F))</f>
        <v>Corporate</v>
      </c>
      <c r="AC855" t="str">
        <f>TRIM(PROPER(G:G))</f>
        <v>South</v>
      </c>
      <c r="AD855" t="str">
        <f>TRIM(PROPER(H:H))</f>
        <v>Tamil Nadu</v>
      </c>
      <c r="AE855" t="str">
        <f>TRIM(PROPER(I:I))</f>
        <v>Chennai</v>
      </c>
      <c r="AF855" t="str">
        <f>TRIM(PROPER(J:J))</f>
        <v>Technology</v>
      </c>
      <c r="AG855" t="str">
        <f>TRIM(PROPER(K:K))</f>
        <v>Accessories</v>
      </c>
      <c r="AH855" t="str">
        <f t="shared" si="24"/>
        <v>Elite Accessories 708</v>
      </c>
      <c r="AI855" t="str">
        <f t="shared" si="24"/>
        <v>Same Day</v>
      </c>
      <c r="AJ855" s="3" t="str">
        <f t="shared" si="25"/>
        <v>Invalid</v>
      </c>
      <c r="AK855" t="str">
        <f>IFERROR(Y855-X855, "invalid date")</f>
        <v>invalid date</v>
      </c>
      <c r="AL855" s="10">
        <v>0.2</v>
      </c>
      <c r="AM855" s="11">
        <v>3710.72</v>
      </c>
      <c r="AN855" s="11">
        <v>595.42999999999984</v>
      </c>
      <c r="AO855" s="10">
        <v>0.16046212055881334</v>
      </c>
      <c r="AP855" t="s">
        <v>4706</v>
      </c>
      <c r="AQ855" t="s">
        <v>4105</v>
      </c>
      <c r="AR855" t="s">
        <v>4124</v>
      </c>
      <c r="AS855" t="s">
        <v>4120</v>
      </c>
      <c r="AT855" t="s">
        <v>4108</v>
      </c>
      <c r="AU855" t="s">
        <v>4105</v>
      </c>
      <c r="AV855" t="s">
        <v>4109</v>
      </c>
    </row>
    <row r="856" spans="1:48">
      <c r="A856" t="s">
        <v>3917</v>
      </c>
      <c r="B856" t="s">
        <v>3918</v>
      </c>
      <c r="C856" t="s">
        <v>3919</v>
      </c>
      <c r="D856" t="s">
        <v>3920</v>
      </c>
      <c r="E856" t="s">
        <v>151</v>
      </c>
      <c r="F856" t="s">
        <v>35</v>
      </c>
      <c r="G856" t="s">
        <v>71</v>
      </c>
      <c r="H856" t="s">
        <v>239</v>
      </c>
      <c r="I856" t="s">
        <v>240</v>
      </c>
      <c r="J856" t="s">
        <v>54</v>
      </c>
      <c r="K856" t="s">
        <v>214</v>
      </c>
      <c r="L856" t="s">
        <v>3921</v>
      </c>
      <c r="M856" t="s">
        <v>42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43</v>
      </c>
      <c r="U856" t="s">
        <v>44</v>
      </c>
      <c r="W856" t="s">
        <v>3917</v>
      </c>
      <c r="X856" t="str">
        <v>invalid date</v>
      </c>
      <c r="Y856" t="str">
        <v>04-02-25</v>
      </c>
      <c r="Z856" t="s">
        <v>3920</v>
      </c>
      <c r="AA856" t="str">
        <v>Priya Menon</v>
      </c>
      <c r="AB856" t="str">
        <f>TRIM(PROPER(F:F))</f>
        <v>Consumer</v>
      </c>
      <c r="AC856" t="str">
        <f>TRIM(PROPER(G:G))</f>
        <v>South</v>
      </c>
      <c r="AD856" t="str">
        <f>TRIM(PROPER(H:H))</f>
        <v>Karnataka</v>
      </c>
      <c r="AE856" t="str">
        <f>TRIM(PROPER(I:I))</f>
        <v>Bengaluru</v>
      </c>
      <c r="AF856" t="str">
        <f>TRIM(PROPER(J:J))</f>
        <v>Furniture</v>
      </c>
      <c r="AG856" t="str">
        <f>TRIM(PROPER(K:K))</f>
        <v>Bookcases</v>
      </c>
      <c r="AH856" t="str">
        <f t="shared" si="24"/>
        <v>Max Bookcases 381</v>
      </c>
      <c r="AI856" t="str">
        <f t="shared" si="24"/>
        <v>Second Class</v>
      </c>
      <c r="AJ856" s="3" t="str">
        <f t="shared" si="25"/>
        <v>Invalid</v>
      </c>
      <c r="AK856" t="str">
        <f>IFERROR(Y856-X856, "invalid date")</f>
        <v>invalid date</v>
      </c>
      <c r="AL856" s="10">
        <v>0.05</v>
      </c>
      <c r="AM856" s="11">
        <v>8487.8319999999985</v>
      </c>
      <c r="AN856" s="11">
        <v>3242.1119999999983</v>
      </c>
      <c r="AO856" s="10">
        <v>0.38197174496384928</v>
      </c>
      <c r="AP856" t="s">
        <v>4105</v>
      </c>
      <c r="AQ856" t="s">
        <v>4332</v>
      </c>
      <c r="AR856" t="s">
        <v>4105</v>
      </c>
      <c r="AS856" t="s">
        <v>4105</v>
      </c>
      <c r="AT856" t="s">
        <v>4108</v>
      </c>
      <c r="AU856" t="s">
        <v>4105</v>
      </c>
      <c r="AV856" t="s">
        <v>4109</v>
      </c>
    </row>
    <row r="857" spans="1:48">
      <c r="A857" t="s">
        <v>3922</v>
      </c>
      <c r="B857" t="s">
        <v>748</v>
      </c>
      <c r="C857" t="s">
        <v>3923</v>
      </c>
      <c r="D857" t="s">
        <v>1725</v>
      </c>
      <c r="E857" t="s">
        <v>157</v>
      </c>
      <c r="F857" t="s">
        <v>35</v>
      </c>
      <c r="G857" t="s">
        <v>36</v>
      </c>
      <c r="H857" t="s">
        <v>37</v>
      </c>
      <c r="I857" t="s">
        <v>38</v>
      </c>
      <c r="J857" t="s">
        <v>39</v>
      </c>
      <c r="K857" t="s">
        <v>3924</v>
      </c>
      <c r="L857" t="s">
        <v>3925</v>
      </c>
      <c r="M857" t="s">
        <v>42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43</v>
      </c>
      <c r="U857" t="s">
        <v>44</v>
      </c>
      <c r="W857" t="s">
        <v>3922</v>
      </c>
      <c r="X857" t="str">
        <v>25-07-24</v>
      </c>
      <c r="Y857" t="str">
        <v>02-08-24</v>
      </c>
      <c r="Z857" t="s">
        <v>1725</v>
      </c>
      <c r="AA857" t="str">
        <v>Rahul Verma</v>
      </c>
      <c r="AB857" t="str">
        <f>TRIM(PROPER(F:F))</f>
        <v>Consumer</v>
      </c>
      <c r="AC857" t="str">
        <f>TRIM(PROPER(G:G))</f>
        <v>North</v>
      </c>
      <c r="AD857" t="str">
        <f>TRIM(PROPER(H:H))</f>
        <v>Rajasthan</v>
      </c>
      <c r="AE857" t="str">
        <f>TRIM(PROPER(I:I))</f>
        <v>Jaipur</v>
      </c>
      <c r="AF857" t="str">
        <f>TRIM(PROPER(J:J))</f>
        <v>Office Supplies</v>
      </c>
      <c r="AG857" t="str">
        <f>TRIM(PROPER(K:K))</f>
        <v>Labels</v>
      </c>
      <c r="AH857" t="str">
        <f t="shared" si="24"/>
        <v>Classic Labels 215</v>
      </c>
      <c r="AI857" t="str">
        <f t="shared" si="24"/>
        <v>Second Class</v>
      </c>
      <c r="AJ857" s="3" t="str">
        <f t="shared" si="25"/>
        <v xml:space="preserve">  </v>
      </c>
      <c r="AK857">
        <f>IFERROR(Y857-X857, "invalid date")</f>
        <v>8</v>
      </c>
      <c r="AL857" s="10">
        <v>0.25</v>
      </c>
      <c r="AM857" s="11">
        <v>3110.2950000000001</v>
      </c>
      <c r="AN857" s="11">
        <v>1009.2649999999999</v>
      </c>
      <c r="AO857" s="10">
        <v>0.32449172827657824</v>
      </c>
      <c r="AP857" t="s">
        <v>4216</v>
      </c>
      <c r="AQ857" t="s">
        <v>4254</v>
      </c>
      <c r="AR857" t="s">
        <v>4106</v>
      </c>
      <c r="AS857" t="s">
        <v>4107</v>
      </c>
      <c r="AT857" t="s">
        <v>4121</v>
      </c>
      <c r="AU857">
        <v>8</v>
      </c>
      <c r="AV857" t="s">
        <v>4109</v>
      </c>
    </row>
    <row r="858" spans="1:48">
      <c r="A858" t="s">
        <v>3926</v>
      </c>
      <c r="B858" t="s">
        <v>3927</v>
      </c>
      <c r="C858" t="s">
        <v>700</v>
      </c>
      <c r="D858" t="s">
        <v>1988</v>
      </c>
      <c r="E858" t="s">
        <v>189</v>
      </c>
      <c r="F858" t="s">
        <v>124</v>
      </c>
      <c r="G858" t="s">
        <v>71</v>
      </c>
      <c r="H858" t="s">
        <v>350</v>
      </c>
      <c r="I858" t="s">
        <v>351</v>
      </c>
      <c r="J858" t="s">
        <v>39</v>
      </c>
      <c r="K858" t="s">
        <v>165</v>
      </c>
      <c r="L858" t="s">
        <v>3928</v>
      </c>
      <c r="M858" t="s">
        <v>76</v>
      </c>
      <c r="N858">
        <v>4</v>
      </c>
      <c r="O858">
        <v>395.1</v>
      </c>
      <c r="P858" s="4" t="s">
        <v>191</v>
      </c>
      <c r="Q858">
        <v>1185.3</v>
      </c>
      <c r="R858">
        <v>966.55</v>
      </c>
      <c r="S858">
        <v>218.75</v>
      </c>
      <c r="T858" t="s">
        <v>210</v>
      </c>
      <c r="U858" t="s">
        <v>87</v>
      </c>
      <c r="W858" t="s">
        <v>3926</v>
      </c>
      <c r="X858" t="str">
        <v>12-06-24</v>
      </c>
      <c r="Y858" t="str">
        <v>19-06-24</v>
      </c>
      <c r="Z858" t="s">
        <v>1988</v>
      </c>
      <c r="AA858" t="str">
        <v>Rohan Mehta</v>
      </c>
      <c r="AB858" t="str">
        <f>TRIM(PROPER(F:F))</f>
        <v>Home Office</v>
      </c>
      <c r="AC858" t="str">
        <f>TRIM(PROPER(G:G))</f>
        <v>South</v>
      </c>
      <c r="AD858" t="str">
        <f>TRIM(PROPER(H:H))</f>
        <v>Tamil Nadu</v>
      </c>
      <c r="AE858" t="str">
        <f>TRIM(PROPER(I:I))</f>
        <v>Chennai</v>
      </c>
      <c r="AF858" t="str">
        <f>TRIM(PROPER(J:J))</f>
        <v>Office Supplies</v>
      </c>
      <c r="AG858" t="str">
        <f>TRIM(PROPER(K:K))</f>
        <v>Storage</v>
      </c>
      <c r="AH858" t="str">
        <f t="shared" si="24"/>
        <v>Classic Storage 918</v>
      </c>
      <c r="AI858" t="str">
        <f t="shared" si="24"/>
        <v>Standard Class</v>
      </c>
      <c r="AJ858" s="3" t="str">
        <f t="shared" si="25"/>
        <v>anomaly</v>
      </c>
      <c r="AK858">
        <f>IFERROR(Y858-X858, "invalid date")</f>
        <v>7</v>
      </c>
      <c r="AL858" s="10" t="s">
        <v>191</v>
      </c>
      <c r="AM858" s="11" t="s">
        <v>4111</v>
      </c>
      <c r="AN858" s="11" t="s">
        <v>4111</v>
      </c>
      <c r="AO858" s="10" t="s">
        <v>4111</v>
      </c>
      <c r="AP858" t="s">
        <v>4295</v>
      </c>
      <c r="AQ858" t="s">
        <v>4296</v>
      </c>
      <c r="AR858" t="s">
        <v>4170</v>
      </c>
      <c r="AS858" t="s">
        <v>4107</v>
      </c>
      <c r="AT858" t="s">
        <v>4115</v>
      </c>
      <c r="AU858">
        <v>7</v>
      </c>
      <c r="AV858" t="s">
        <v>4109</v>
      </c>
    </row>
    <row r="859" spans="1:48">
      <c r="A859" t="s">
        <v>3929</v>
      </c>
      <c r="B859" t="s">
        <v>3930</v>
      </c>
      <c r="C859" t="s">
        <v>3931</v>
      </c>
      <c r="D859" t="s">
        <v>3244</v>
      </c>
      <c r="E859" t="s">
        <v>177</v>
      </c>
      <c r="F859" t="s">
        <v>124</v>
      </c>
      <c r="G859" t="s">
        <v>71</v>
      </c>
      <c r="H859" t="s">
        <v>252</v>
      </c>
      <c r="I859" t="s">
        <v>253</v>
      </c>
      <c r="J859" t="s">
        <v>39</v>
      </c>
      <c r="K859" t="s">
        <v>165</v>
      </c>
      <c r="L859" t="s">
        <v>3932</v>
      </c>
      <c r="M859" t="s">
        <v>65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43</v>
      </c>
      <c r="U859" t="s">
        <v>44</v>
      </c>
      <c r="W859" t="s">
        <v>3929</v>
      </c>
      <c r="X859" t="str">
        <v>04-06-24</v>
      </c>
      <c r="Y859" t="str">
        <v>04-06-24</v>
      </c>
      <c r="Z859" t="s">
        <v>3244</v>
      </c>
      <c r="AA859" t="str">
        <v>Sneha Kapoor</v>
      </c>
      <c r="AB859" t="str">
        <f>TRIM(PROPER(F:F))</f>
        <v>Home Office</v>
      </c>
      <c r="AC859" t="str">
        <f>TRIM(PROPER(G:G))</f>
        <v>South</v>
      </c>
      <c r="AD859" t="str">
        <f>TRIM(PROPER(H:H))</f>
        <v>Kerala</v>
      </c>
      <c r="AE859" t="str">
        <f>TRIM(PROPER(I:I))</f>
        <v>Kochi</v>
      </c>
      <c r="AF859" t="str">
        <f>TRIM(PROPER(J:J))</f>
        <v>Office Supplies</v>
      </c>
      <c r="AG859" t="str">
        <f>TRIM(PROPER(K:K))</f>
        <v>Storage</v>
      </c>
      <c r="AH859" t="str">
        <f t="shared" si="24"/>
        <v>Max Storage 223</v>
      </c>
      <c r="AI859" t="str">
        <f t="shared" si="24"/>
        <v>First Class</v>
      </c>
      <c r="AJ859" s="3" t="str">
        <f t="shared" si="25"/>
        <v xml:space="preserve">  </v>
      </c>
      <c r="AK859">
        <f>IFERROR(Y859-X859, "invalid date")</f>
        <v>0</v>
      </c>
      <c r="AL859" s="10">
        <v>0.25</v>
      </c>
      <c r="AM859" s="11">
        <v>12190.365</v>
      </c>
      <c r="AN859" s="11">
        <v>2013.375</v>
      </c>
      <c r="AO859" s="10">
        <v>0.16516117441930575</v>
      </c>
      <c r="AP859" t="s">
        <v>4702</v>
      </c>
      <c r="AQ859" t="s">
        <v>4702</v>
      </c>
      <c r="AR859" t="s">
        <v>4170</v>
      </c>
      <c r="AS859" t="s">
        <v>4107</v>
      </c>
      <c r="AT859" t="s">
        <v>4115</v>
      </c>
      <c r="AU859">
        <v>0</v>
      </c>
      <c r="AV859" t="s">
        <v>4109</v>
      </c>
    </row>
    <row r="860" spans="1:48">
      <c r="A860" t="s">
        <v>3933</v>
      </c>
      <c r="B860" t="s">
        <v>1234</v>
      </c>
      <c r="C860" t="s">
        <v>1303</v>
      </c>
      <c r="D860" t="s">
        <v>3934</v>
      </c>
      <c r="E860" t="s">
        <v>70</v>
      </c>
      <c r="F860" t="s">
        <v>35</v>
      </c>
      <c r="G860" t="s">
        <v>51</v>
      </c>
      <c r="H860" t="s">
        <v>52</v>
      </c>
      <c r="I860" t="s">
        <v>53</v>
      </c>
      <c r="J860" t="s">
        <v>95</v>
      </c>
      <c r="K860" t="s">
        <v>96</v>
      </c>
      <c r="L860" t="s">
        <v>3935</v>
      </c>
      <c r="M860" t="s">
        <v>42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43</v>
      </c>
      <c r="U860" t="s">
        <v>44</v>
      </c>
      <c r="W860" t="s">
        <v>3933</v>
      </c>
      <c r="X860" t="str">
        <v>05-02-24</v>
      </c>
      <c r="Y860" t="str">
        <v>09-05-24</v>
      </c>
      <c r="Z860" t="s">
        <v>3934</v>
      </c>
      <c r="AA860" t="str">
        <v>Arjun Bose</v>
      </c>
      <c r="AB860" t="str">
        <f>TRIM(PROPER(F:F))</f>
        <v>Consumer</v>
      </c>
      <c r="AC860" t="str">
        <f>TRIM(PROPER(G:G))</f>
        <v>East</v>
      </c>
      <c r="AD860" t="str">
        <f>TRIM(PROPER(H:H))</f>
        <v>Odisha</v>
      </c>
      <c r="AE860" t="str">
        <f>TRIM(PROPER(I:I))</f>
        <v>Bhubaneswar</v>
      </c>
      <c r="AF860" t="str">
        <f>TRIM(PROPER(J:J))</f>
        <v>Technology</v>
      </c>
      <c r="AG860" t="str">
        <f>TRIM(PROPER(K:K))</f>
        <v>Accessories</v>
      </c>
      <c r="AH860" t="str">
        <f t="shared" si="24"/>
        <v>Basic Accessories 602</v>
      </c>
      <c r="AI860" t="str">
        <f t="shared" si="24"/>
        <v>Second Class</v>
      </c>
      <c r="AJ860" s="3" t="str">
        <f t="shared" si="25"/>
        <v>anomaly</v>
      </c>
      <c r="AK860">
        <f>IFERROR(Y860-X860, "invalid date")</f>
        <v>94</v>
      </c>
      <c r="AL860" s="10">
        <v>0</v>
      </c>
      <c r="AM860" s="11">
        <v>11619.44</v>
      </c>
      <c r="AN860" s="11">
        <v>4435.1200000000008</v>
      </c>
      <c r="AO860" s="10">
        <v>0.3816982574031107</v>
      </c>
      <c r="AP860" t="s">
        <v>4400</v>
      </c>
      <c r="AQ860" t="s">
        <v>4413</v>
      </c>
      <c r="AR860" t="s">
        <v>4129</v>
      </c>
      <c r="AS860" t="s">
        <v>4107</v>
      </c>
      <c r="AT860" t="s">
        <v>4115</v>
      </c>
      <c r="AU860">
        <v>94</v>
      </c>
      <c r="AV860" t="s">
        <v>4109</v>
      </c>
    </row>
    <row r="861" spans="1:48">
      <c r="A861" t="s">
        <v>3936</v>
      </c>
      <c r="B861" t="s">
        <v>3514</v>
      </c>
      <c r="C861" t="s">
        <v>3937</v>
      </c>
      <c r="D861" t="s">
        <v>3938</v>
      </c>
      <c r="E861" t="s">
        <v>116</v>
      </c>
      <c r="F861" t="s">
        <v>117</v>
      </c>
      <c r="G861" t="s">
        <v>71</v>
      </c>
      <c r="H861" t="s">
        <v>350</v>
      </c>
      <c r="I861" t="s">
        <v>351</v>
      </c>
      <c r="J861" t="s">
        <v>95</v>
      </c>
      <c r="K861" t="s">
        <v>233</v>
      </c>
      <c r="L861" t="s">
        <v>3939</v>
      </c>
      <c r="M861" t="s">
        <v>76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43</v>
      </c>
      <c r="U861" t="s">
        <v>44</v>
      </c>
      <c r="W861" t="s">
        <v>3936</v>
      </c>
      <c r="X861" t="str">
        <v>invalid date</v>
      </c>
      <c r="Y861" t="str">
        <v>01-11-24</v>
      </c>
      <c r="Z861" t="s">
        <v>3938</v>
      </c>
      <c r="AA861" t="str">
        <v>Aditi Sen</v>
      </c>
      <c r="AB861" t="str">
        <f>TRIM(PROPER(F:F))</f>
        <v>Corporate</v>
      </c>
      <c r="AC861" t="str">
        <f>TRIM(PROPER(G:G))</f>
        <v>South</v>
      </c>
      <c r="AD861" t="str">
        <f>TRIM(PROPER(H:H))</f>
        <v>Tamil Nadu</v>
      </c>
      <c r="AE861" t="str">
        <f>TRIM(PROPER(I:I))</f>
        <v>Chennai</v>
      </c>
      <c r="AF861" t="str">
        <f>TRIM(PROPER(J:J))</f>
        <v>Technology</v>
      </c>
      <c r="AG861" t="str">
        <f>TRIM(PROPER(K:K))</f>
        <v>Phones</v>
      </c>
      <c r="AH861" t="str">
        <f t="shared" si="24"/>
        <v>Elite Phones 394</v>
      </c>
      <c r="AI861" t="str">
        <f t="shared" si="24"/>
        <v>Standard Class</v>
      </c>
      <c r="AJ861" s="3" t="str">
        <f t="shared" si="25"/>
        <v>Invalid</v>
      </c>
      <c r="AK861" t="str">
        <f>IFERROR(Y861-X861, "invalid date")</f>
        <v>invalid date</v>
      </c>
      <c r="AL861" s="10">
        <v>0.05</v>
      </c>
      <c r="AM861" s="11">
        <v>25075.439999999995</v>
      </c>
      <c r="AN861" s="11">
        <v>8792.6999999999953</v>
      </c>
      <c r="AO861" s="10">
        <v>0.35064987892535471</v>
      </c>
      <c r="AP861" t="s">
        <v>4105</v>
      </c>
      <c r="AQ861" t="s">
        <v>4707</v>
      </c>
      <c r="AR861" t="s">
        <v>4105</v>
      </c>
      <c r="AS861" t="s">
        <v>4105</v>
      </c>
      <c r="AT861" t="s">
        <v>4108</v>
      </c>
      <c r="AU861" t="s">
        <v>4105</v>
      </c>
      <c r="AV861" t="s">
        <v>4109</v>
      </c>
    </row>
    <row r="862" spans="1:48">
      <c r="A862" t="s">
        <v>3940</v>
      </c>
      <c r="B862" t="s">
        <v>753</v>
      </c>
      <c r="C862" t="s">
        <v>3941</v>
      </c>
      <c r="D862" t="s">
        <v>3942</v>
      </c>
      <c r="E862" t="s">
        <v>92</v>
      </c>
      <c r="F862" t="s">
        <v>124</v>
      </c>
      <c r="G862" t="s">
        <v>36</v>
      </c>
      <c r="H862" t="s">
        <v>183</v>
      </c>
      <c r="I862" t="s">
        <v>184</v>
      </c>
      <c r="J862" t="s">
        <v>39</v>
      </c>
      <c r="K862" t="s">
        <v>165</v>
      </c>
      <c r="L862" t="s">
        <v>3943</v>
      </c>
      <c r="M862" t="s">
        <v>42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43</v>
      </c>
      <c r="U862" t="s">
        <v>44</v>
      </c>
      <c r="W862" t="s">
        <v>3940</v>
      </c>
      <c r="X862" t="str">
        <v>02-02-24</v>
      </c>
      <c r="Y862" t="str">
        <v>04-02-24</v>
      </c>
      <c r="Z862" t="s">
        <v>3942</v>
      </c>
      <c r="AA862" t="str">
        <v>Vikram Iyer</v>
      </c>
      <c r="AB862" t="str">
        <f>TRIM(PROPER(F:F))</f>
        <v>Home Office</v>
      </c>
      <c r="AC862" t="str">
        <f>TRIM(PROPER(G:G))</f>
        <v>North</v>
      </c>
      <c r="AD862" t="str">
        <f>TRIM(PROPER(H:H))</f>
        <v>Uttar Pradesh</v>
      </c>
      <c r="AE862" t="str">
        <f>TRIM(PROPER(I:I))</f>
        <v>Noida</v>
      </c>
      <c r="AF862" t="str">
        <f>TRIM(PROPER(J:J))</f>
        <v>Office Supplies</v>
      </c>
      <c r="AG862" t="str">
        <f>TRIM(PROPER(K:K))</f>
        <v>Storage</v>
      </c>
      <c r="AH862" t="str">
        <f t="shared" si="24"/>
        <v>Classic Storage 194</v>
      </c>
      <c r="AI862" t="str">
        <f t="shared" si="24"/>
        <v>Second Class</v>
      </c>
      <c r="AJ862" s="3" t="str">
        <f t="shared" si="25"/>
        <v>anomaly</v>
      </c>
      <c r="AK862">
        <f>IFERROR(Y862-X862, "invalid date")</f>
        <v>2</v>
      </c>
      <c r="AL862" s="10">
        <v>0.05</v>
      </c>
      <c r="AM862" s="11">
        <v>4177.4539999999997</v>
      </c>
      <c r="AN862" s="11">
        <v>1877.9539999999997</v>
      </c>
      <c r="AO862" s="10">
        <v>0.44954510570313877</v>
      </c>
      <c r="AP862" t="s">
        <v>4307</v>
      </c>
      <c r="AQ862" t="s">
        <v>4557</v>
      </c>
      <c r="AR862" t="s">
        <v>4129</v>
      </c>
      <c r="AS862" t="s">
        <v>4107</v>
      </c>
      <c r="AT862" t="s">
        <v>4115</v>
      </c>
      <c r="AU862">
        <v>2</v>
      </c>
      <c r="AV862" t="s">
        <v>4109</v>
      </c>
    </row>
    <row r="863" spans="1:48">
      <c r="A863" t="s">
        <v>3944</v>
      </c>
      <c r="B863" t="s">
        <v>3945</v>
      </c>
      <c r="C863" t="s">
        <v>3946</v>
      </c>
      <c r="D863" t="s">
        <v>3947</v>
      </c>
      <c r="E863" t="s">
        <v>151</v>
      </c>
      <c r="F863" t="s">
        <v>124</v>
      </c>
      <c r="G863" t="s">
        <v>36</v>
      </c>
      <c r="H863" t="s">
        <v>517</v>
      </c>
      <c r="I863" t="s">
        <v>518</v>
      </c>
      <c r="J863" t="s">
        <v>54</v>
      </c>
      <c r="K863" t="s">
        <v>74</v>
      </c>
      <c r="L863" t="s">
        <v>3948</v>
      </c>
      <c r="M863" t="s">
        <v>57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43</v>
      </c>
      <c r="U863" t="s">
        <v>44</v>
      </c>
      <c r="W863" t="s">
        <v>3944</v>
      </c>
      <c r="X863" t="str">
        <v>08-03-25</v>
      </c>
      <c r="Y863" t="str">
        <v>09-03-25</v>
      </c>
      <c r="Z863" t="s">
        <v>3947</v>
      </c>
      <c r="AA863" t="str">
        <v>Priya Menon</v>
      </c>
      <c r="AB863" t="str">
        <f>TRIM(PROPER(F:F))</f>
        <v>Home Office</v>
      </c>
      <c r="AC863" t="str">
        <f>TRIM(PROPER(G:G))</f>
        <v>North</v>
      </c>
      <c r="AD863" t="str">
        <f>TRIM(PROPER(H:H))</f>
        <v>Delhi</v>
      </c>
      <c r="AE863" t="str">
        <f>TRIM(PROPER(I:I))</f>
        <v>New Delhi</v>
      </c>
      <c r="AF863" t="str">
        <f>TRIM(PROPER(J:J))</f>
        <v>Furniture</v>
      </c>
      <c r="AG863" t="str">
        <f>TRIM(PROPER(K:K))</f>
        <v>Furnishings</v>
      </c>
      <c r="AH863" t="str">
        <f t="shared" si="24"/>
        <v>Smart Furnishings 892</v>
      </c>
      <c r="AI863" t="str">
        <f t="shared" si="24"/>
        <v>Same Day</v>
      </c>
      <c r="AJ863" s="3" t="str">
        <f t="shared" si="25"/>
        <v>anomaly</v>
      </c>
      <c r="AK863">
        <f>IFERROR(Y863-X863, "invalid date")</f>
        <v>1</v>
      </c>
      <c r="AL863" s="10">
        <v>0.2</v>
      </c>
      <c r="AM863" s="11">
        <v>10898.175999999999</v>
      </c>
      <c r="AN863" s="11">
        <v>4666.7659999999996</v>
      </c>
      <c r="AO863" s="10">
        <v>0.42821532704188298</v>
      </c>
      <c r="AP863" t="s">
        <v>4372</v>
      </c>
      <c r="AQ863" t="s">
        <v>4533</v>
      </c>
      <c r="AR863" t="s">
        <v>4159</v>
      </c>
      <c r="AS863" t="s">
        <v>4120</v>
      </c>
      <c r="AT863" t="s">
        <v>4115</v>
      </c>
      <c r="AU863">
        <v>1</v>
      </c>
      <c r="AV863" t="s">
        <v>4109</v>
      </c>
    </row>
    <row r="864" spans="1:48">
      <c r="A864" t="s">
        <v>3949</v>
      </c>
      <c r="B864" t="s">
        <v>3324</v>
      </c>
      <c r="C864" t="s">
        <v>3950</v>
      </c>
      <c r="D864" t="s">
        <v>3951</v>
      </c>
      <c r="E864" t="s">
        <v>151</v>
      </c>
      <c r="F864" t="s">
        <v>50</v>
      </c>
      <c r="G864" t="s">
        <v>51</v>
      </c>
      <c r="H864" t="s">
        <v>322</v>
      </c>
      <c r="I864" t="s">
        <v>323</v>
      </c>
      <c r="J864" t="s">
        <v>39</v>
      </c>
      <c r="K864" t="s">
        <v>208</v>
      </c>
      <c r="L864" t="s">
        <v>3952</v>
      </c>
      <c r="M864" t="s">
        <v>65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43</v>
      </c>
      <c r="U864" t="s">
        <v>87</v>
      </c>
      <c r="W864" t="s">
        <v>3949</v>
      </c>
      <c r="X864" t="str">
        <v>26-03-25</v>
      </c>
      <c r="Y864" t="str">
        <v>31-03-25</v>
      </c>
      <c r="Z864" t="s">
        <v>3951</v>
      </c>
      <c r="AA864" t="str">
        <v>Priya Menon</v>
      </c>
      <c r="AB864" t="str">
        <f>TRIM(PROPER(F:F))</f>
        <v>Small Business</v>
      </c>
      <c r="AC864" t="str">
        <f>TRIM(PROPER(G:G))</f>
        <v>East</v>
      </c>
      <c r="AD864" t="str">
        <f>TRIM(PROPER(H:H))</f>
        <v>Jharkhand</v>
      </c>
      <c r="AE864" t="str">
        <f>TRIM(PROPER(I:I))</f>
        <v>Ranchi</v>
      </c>
      <c r="AF864" t="str">
        <f>TRIM(PROPER(J:J))</f>
        <v>Office Supplies</v>
      </c>
      <c r="AG864" t="str">
        <f>TRIM(PROPER(K:K))</f>
        <v>Binders</v>
      </c>
      <c r="AH864" t="str">
        <f t="shared" si="24"/>
        <v>Pro Binders 488</v>
      </c>
      <c r="AI864" t="str">
        <f t="shared" si="24"/>
        <v>First Class</v>
      </c>
      <c r="AJ864" s="3" t="str">
        <f t="shared" si="25"/>
        <v>anomaly</v>
      </c>
      <c r="AK864">
        <f>IFERROR(Y864-X864, "invalid date")</f>
        <v>5</v>
      </c>
      <c r="AL864" s="10">
        <v>0</v>
      </c>
      <c r="AM864" s="11">
        <v>6975.7000000000007</v>
      </c>
      <c r="AN864" s="11">
        <v>2177.8200000000006</v>
      </c>
      <c r="AO864" s="10">
        <v>0.3122009260719355</v>
      </c>
      <c r="AP864" t="s">
        <v>4675</v>
      </c>
      <c r="AQ864" t="s">
        <v>4205</v>
      </c>
      <c r="AR864" t="s">
        <v>4159</v>
      </c>
      <c r="AS864" t="s">
        <v>4120</v>
      </c>
      <c r="AT864" t="s">
        <v>4115</v>
      </c>
      <c r="AU864">
        <v>5</v>
      </c>
      <c r="AV864" t="s">
        <v>4109</v>
      </c>
    </row>
    <row r="865" spans="1:48">
      <c r="A865" t="s">
        <v>3953</v>
      </c>
      <c r="B865" t="s">
        <v>3954</v>
      </c>
      <c r="C865" t="s">
        <v>2741</v>
      </c>
      <c r="D865" t="s">
        <v>3955</v>
      </c>
      <c r="E865" t="s">
        <v>171</v>
      </c>
      <c r="F865" t="s">
        <v>124</v>
      </c>
      <c r="G865" t="s">
        <v>82</v>
      </c>
      <c r="H865" t="s">
        <v>93</v>
      </c>
      <c r="I865" t="s">
        <v>94</v>
      </c>
      <c r="J865" t="s">
        <v>54</v>
      </c>
      <c r="K865" t="s">
        <v>74</v>
      </c>
      <c r="L865" t="s">
        <v>3956</v>
      </c>
      <c r="M865" t="s">
        <v>57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43</v>
      </c>
      <c r="U865" t="s">
        <v>44</v>
      </c>
      <c r="W865" t="s">
        <v>3953</v>
      </c>
      <c r="X865" t="str">
        <v>09-06-25</v>
      </c>
      <c r="Y865" t="str">
        <v>09-08-25</v>
      </c>
      <c r="Z865" t="s">
        <v>3955</v>
      </c>
      <c r="AA865" t="str">
        <v>Aarav Sharma</v>
      </c>
      <c r="AB865" t="str">
        <f>TRIM(PROPER(F:F))</f>
        <v>Home Office</v>
      </c>
      <c r="AC865" t="str">
        <f>TRIM(PROPER(G:G))</f>
        <v>West</v>
      </c>
      <c r="AD865" t="str">
        <f>TRIM(PROPER(H:H))</f>
        <v>Madhya Pradesh</v>
      </c>
      <c r="AE865" t="str">
        <f>TRIM(PROPER(I:I))</f>
        <v>Indore</v>
      </c>
      <c r="AF865" t="str">
        <f>TRIM(PROPER(J:J))</f>
        <v>Furniture</v>
      </c>
      <c r="AG865" t="str">
        <f>TRIM(PROPER(K:K))</f>
        <v>Furnishings</v>
      </c>
      <c r="AH865" t="str">
        <f t="shared" si="24"/>
        <v>Prime Furnishings 679</v>
      </c>
      <c r="AI865" t="str">
        <f t="shared" si="24"/>
        <v>Same Day</v>
      </c>
      <c r="AJ865" s="3" t="str">
        <f t="shared" si="25"/>
        <v>anomaly</v>
      </c>
      <c r="AK865">
        <f>IFERROR(Y865-X865, "invalid date")</f>
        <v>61</v>
      </c>
      <c r="AL865" s="10">
        <v>0</v>
      </c>
      <c r="AM865" s="11">
        <v>8811.69</v>
      </c>
      <c r="AN865" s="11">
        <v>2045.7800000000007</v>
      </c>
      <c r="AO865" s="10">
        <v>0.23216658779416893</v>
      </c>
      <c r="AP865" t="s">
        <v>4528</v>
      </c>
      <c r="AQ865" t="s">
        <v>4423</v>
      </c>
      <c r="AR865" t="s">
        <v>4170</v>
      </c>
      <c r="AS865" t="s">
        <v>4120</v>
      </c>
      <c r="AT865" t="s">
        <v>4115</v>
      </c>
      <c r="AU865">
        <v>61</v>
      </c>
      <c r="AV865" t="s">
        <v>4109</v>
      </c>
    </row>
    <row r="866" spans="1:48">
      <c r="A866" t="s">
        <v>3957</v>
      </c>
      <c r="B866" t="s">
        <v>3958</v>
      </c>
      <c r="C866" t="s">
        <v>583</v>
      </c>
      <c r="D866" t="s">
        <v>3959</v>
      </c>
      <c r="E866" t="s">
        <v>92</v>
      </c>
      <c r="F866" t="s">
        <v>35</v>
      </c>
      <c r="G866" t="s">
        <v>71</v>
      </c>
      <c r="H866" t="s">
        <v>350</v>
      </c>
      <c r="I866" t="s">
        <v>351</v>
      </c>
      <c r="J866" t="s">
        <v>95</v>
      </c>
      <c r="K866" t="s">
        <v>233</v>
      </c>
      <c r="L866" t="s">
        <v>3960</v>
      </c>
      <c r="M866" t="s">
        <v>65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43</v>
      </c>
      <c r="U866" t="s">
        <v>44</v>
      </c>
      <c r="W866" t="s">
        <v>3957</v>
      </c>
      <c r="X866" t="str">
        <v>02-09-25</v>
      </c>
      <c r="Y866" t="str">
        <v>05-09-25</v>
      </c>
      <c r="Z866" t="s">
        <v>3959</v>
      </c>
      <c r="AA866" t="str">
        <v>Vikram Iyer</v>
      </c>
      <c r="AB866" t="str">
        <f>TRIM(PROPER(F:F))</f>
        <v>Consumer</v>
      </c>
      <c r="AC866" t="str">
        <f>TRIM(PROPER(G:G))</f>
        <v>South</v>
      </c>
      <c r="AD866" t="str">
        <f>TRIM(PROPER(H:H))</f>
        <v>Tamil Nadu</v>
      </c>
      <c r="AE866" t="str">
        <f>TRIM(PROPER(I:I))</f>
        <v>Chennai</v>
      </c>
      <c r="AF866" t="str">
        <f>TRIM(PROPER(J:J))</f>
        <v>Technology</v>
      </c>
      <c r="AG866" t="str">
        <f>TRIM(PROPER(K:K))</f>
        <v>Phones</v>
      </c>
      <c r="AH866" t="str">
        <f t="shared" si="24"/>
        <v>Smart Phones 158</v>
      </c>
      <c r="AI866" t="str">
        <f t="shared" si="24"/>
        <v>First Class</v>
      </c>
      <c r="AJ866" s="3" t="str">
        <f t="shared" si="25"/>
        <v>anomaly</v>
      </c>
      <c r="AK866">
        <f>IFERROR(Y866-X866, "invalid date")</f>
        <v>3</v>
      </c>
      <c r="AL866" s="10">
        <v>0</v>
      </c>
      <c r="AM866" s="11">
        <v>17034.349999999999</v>
      </c>
      <c r="AN866" s="11">
        <v>2402.989999999998</v>
      </c>
      <c r="AO866" s="10">
        <v>0.14106731398615141</v>
      </c>
      <c r="AP866" t="s">
        <v>4708</v>
      </c>
      <c r="AQ866" t="s">
        <v>4261</v>
      </c>
      <c r="AR866" t="s">
        <v>4134</v>
      </c>
      <c r="AS866" t="s">
        <v>4120</v>
      </c>
      <c r="AT866" t="s">
        <v>4115</v>
      </c>
      <c r="AU866">
        <v>3</v>
      </c>
      <c r="AV866" t="s">
        <v>4109</v>
      </c>
    </row>
    <row r="867" spans="1:48">
      <c r="A867" t="s">
        <v>3961</v>
      </c>
      <c r="B867" t="s">
        <v>3775</v>
      </c>
      <c r="C867" t="s">
        <v>1929</v>
      </c>
      <c r="D867" t="s">
        <v>3962</v>
      </c>
      <c r="E867" t="s">
        <v>377</v>
      </c>
      <c r="F867" t="s">
        <v>35</v>
      </c>
      <c r="G867" t="s">
        <v>82</v>
      </c>
      <c r="H867" t="s">
        <v>83</v>
      </c>
      <c r="I867" t="s">
        <v>84</v>
      </c>
      <c r="J867" t="s">
        <v>39</v>
      </c>
      <c r="K867" t="s">
        <v>118</v>
      </c>
      <c r="L867" t="s">
        <v>3963</v>
      </c>
      <c r="M867" t="s">
        <v>42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43</v>
      </c>
      <c r="U867" t="s">
        <v>44</v>
      </c>
      <c r="W867" t="s">
        <v>3961</v>
      </c>
      <c r="X867" t="str">
        <v>06-02-25</v>
      </c>
      <c r="Y867" t="str">
        <v>14-02-25</v>
      </c>
      <c r="Z867" t="s">
        <v>3962</v>
      </c>
      <c r="AA867" t="str">
        <v>Kabir Singh</v>
      </c>
      <c r="AB867" t="str">
        <f>TRIM(PROPER(F:F))</f>
        <v>Consumer</v>
      </c>
      <c r="AC867" t="str">
        <f>TRIM(PROPER(G:G))</f>
        <v>West</v>
      </c>
      <c r="AD867" t="str">
        <f>TRIM(PROPER(H:H))</f>
        <v>Maharashtra</v>
      </c>
      <c r="AE867" t="str">
        <f>TRIM(PROPER(I:I))</f>
        <v>Mumbai</v>
      </c>
      <c r="AF867" t="str">
        <f>TRIM(PROPER(J:J))</f>
        <v>Office Supplies</v>
      </c>
      <c r="AG867" t="str">
        <f>TRIM(PROPER(K:K))</f>
        <v>Labels</v>
      </c>
      <c r="AH867" t="str">
        <f t="shared" si="24"/>
        <v>Classic Labels 218</v>
      </c>
      <c r="AI867" t="str">
        <f t="shared" si="24"/>
        <v>Second Class</v>
      </c>
      <c r="AJ867" s="3" t="str">
        <f t="shared" si="25"/>
        <v>anomaly</v>
      </c>
      <c r="AK867">
        <f>IFERROR(Y867-X867, "invalid date")</f>
        <v>8</v>
      </c>
      <c r="AL867" s="10">
        <v>0</v>
      </c>
      <c r="AM867" s="11">
        <v>7984.08</v>
      </c>
      <c r="AN867" s="11">
        <v>2326.0299999999997</v>
      </c>
      <c r="AO867" s="10">
        <v>0.29133350367230787</v>
      </c>
      <c r="AP867" t="s">
        <v>4643</v>
      </c>
      <c r="AQ867" t="s">
        <v>4519</v>
      </c>
      <c r="AR867" t="s">
        <v>4129</v>
      </c>
      <c r="AS867" t="s">
        <v>4120</v>
      </c>
      <c r="AT867" t="s">
        <v>4115</v>
      </c>
      <c r="AU867">
        <v>8</v>
      </c>
      <c r="AV867" t="s">
        <v>4109</v>
      </c>
    </row>
    <row r="868" spans="1:48">
      <c r="A868" t="s">
        <v>3964</v>
      </c>
      <c r="B868" t="s">
        <v>1195</v>
      </c>
      <c r="C868" t="s">
        <v>3965</v>
      </c>
      <c r="D868" t="s">
        <v>3966</v>
      </c>
      <c r="E868" t="s">
        <v>151</v>
      </c>
      <c r="F868" t="s">
        <v>35</v>
      </c>
      <c r="G868" t="s">
        <v>51</v>
      </c>
      <c r="H868" t="s">
        <v>196</v>
      </c>
      <c r="I868" t="s">
        <v>197</v>
      </c>
      <c r="J868" t="s">
        <v>54</v>
      </c>
      <c r="K868" t="s">
        <v>214</v>
      </c>
      <c r="L868" t="s">
        <v>3967</v>
      </c>
      <c r="M868" t="s">
        <v>65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146</v>
      </c>
      <c r="U868" t="s">
        <v>87</v>
      </c>
      <c r="W868" t="s">
        <v>3964</v>
      </c>
      <c r="X868" t="str">
        <v>invalid date</v>
      </c>
      <c r="Y868" t="str">
        <v>06-03-25</v>
      </c>
      <c r="Z868" t="s">
        <v>3966</v>
      </c>
      <c r="AA868" t="str">
        <v>Priya Menon</v>
      </c>
      <c r="AB868" t="str">
        <f>TRIM(PROPER(F:F))</f>
        <v>Consumer</v>
      </c>
      <c r="AC868" t="str">
        <f>TRIM(PROPER(G:G))</f>
        <v>East</v>
      </c>
      <c r="AD868" t="str">
        <f>TRIM(PROPER(H:H))</f>
        <v>Bihar</v>
      </c>
      <c r="AE868" t="str">
        <f>TRIM(PROPER(I:I))</f>
        <v>Patna</v>
      </c>
      <c r="AF868" t="str">
        <f>TRIM(PROPER(J:J))</f>
        <v>Furniture</v>
      </c>
      <c r="AG868" t="str">
        <f>TRIM(PROPER(K:K))</f>
        <v>Bookcases</v>
      </c>
      <c r="AH868" t="str">
        <f t="shared" si="24"/>
        <v>Smart Bookcases 552</v>
      </c>
      <c r="AI868" t="str">
        <f t="shared" si="24"/>
        <v>First Class</v>
      </c>
      <c r="AJ868" s="3" t="str">
        <f t="shared" si="25"/>
        <v>Invalid</v>
      </c>
      <c r="AK868" t="str">
        <f>IFERROR(Y868-X868, "invalid date")</f>
        <v>invalid date</v>
      </c>
      <c r="AL868" s="10">
        <v>0.2</v>
      </c>
      <c r="AM868" s="11">
        <v>21912.263999999999</v>
      </c>
      <c r="AN868" s="11">
        <v>5544.4839999999986</v>
      </c>
      <c r="AO868" s="10">
        <v>0.25303108797885965</v>
      </c>
      <c r="AP868" t="s">
        <v>4105</v>
      </c>
      <c r="AQ868" t="s">
        <v>4627</v>
      </c>
      <c r="AR868" t="s">
        <v>4105</v>
      </c>
      <c r="AS868" t="s">
        <v>4105</v>
      </c>
      <c r="AT868" t="s">
        <v>4108</v>
      </c>
      <c r="AU868" t="s">
        <v>4105</v>
      </c>
      <c r="AV868" t="s">
        <v>4109</v>
      </c>
    </row>
    <row r="869" spans="1:48">
      <c r="A869" t="s">
        <v>3968</v>
      </c>
      <c r="B869" t="s">
        <v>3969</v>
      </c>
      <c r="C869" t="s">
        <v>3970</v>
      </c>
      <c r="D869" t="s">
        <v>3971</v>
      </c>
      <c r="E869" t="s">
        <v>157</v>
      </c>
      <c r="F869" t="s">
        <v>124</v>
      </c>
      <c r="G869" t="s">
        <v>71</v>
      </c>
      <c r="H869" t="s">
        <v>109</v>
      </c>
      <c r="I869" t="s">
        <v>110</v>
      </c>
      <c r="J869" t="s">
        <v>95</v>
      </c>
      <c r="K869" t="s">
        <v>96</v>
      </c>
      <c r="L869" t="s">
        <v>3972</v>
      </c>
      <c r="M869" t="s">
        <v>57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210</v>
      </c>
      <c r="U869" t="s">
        <v>87</v>
      </c>
      <c r="W869" t="s">
        <v>3968</v>
      </c>
      <c r="X869" t="str">
        <v>21-11-24</v>
      </c>
      <c r="Y869" t="str">
        <v>22-11-24</v>
      </c>
      <c r="Z869" t="s">
        <v>3971</v>
      </c>
      <c r="AA869" t="str">
        <v>Rahul Verma</v>
      </c>
      <c r="AB869" t="str">
        <f>TRIM(PROPER(F:F))</f>
        <v>Home Office</v>
      </c>
      <c r="AC869" t="str">
        <f>TRIM(PROPER(G:G))</f>
        <v>South</v>
      </c>
      <c r="AD869" t="str">
        <f>TRIM(PROPER(H:H))</f>
        <v>Andhra Pradesh</v>
      </c>
      <c r="AE869" t="str">
        <f>TRIM(PROPER(I:I))</f>
        <v>Vijayawada</v>
      </c>
      <c r="AF869" t="str">
        <f>TRIM(PROPER(J:J))</f>
        <v>Technology</v>
      </c>
      <c r="AG869" t="str">
        <f t="shared" ref="AG869:AI932" si="26">TRIM(PROPER(K:K))</f>
        <v>Accessories</v>
      </c>
      <c r="AH869" t="str">
        <f t="shared" si="24"/>
        <v>Eco Accessories 389</v>
      </c>
      <c r="AI869" t="str">
        <f t="shared" si="24"/>
        <v>Same Day</v>
      </c>
      <c r="AJ869" s="3" t="str">
        <f t="shared" si="25"/>
        <v>anomaly</v>
      </c>
      <c r="AK869">
        <f>IFERROR(Y869-X869, "invalid date")</f>
        <v>1</v>
      </c>
      <c r="AL869" s="10">
        <v>0.25</v>
      </c>
      <c r="AM869" s="11">
        <v>4695.7049999999999</v>
      </c>
      <c r="AN869" s="11">
        <v>824.01499999999987</v>
      </c>
      <c r="AO869" s="10">
        <v>0.17548270174553127</v>
      </c>
      <c r="AP869" t="s">
        <v>4709</v>
      </c>
      <c r="AQ869" t="s">
        <v>4171</v>
      </c>
      <c r="AR869" t="s">
        <v>4117</v>
      </c>
      <c r="AS869" t="s">
        <v>4107</v>
      </c>
      <c r="AT869" t="s">
        <v>4115</v>
      </c>
      <c r="AU869">
        <v>1</v>
      </c>
      <c r="AV869" t="s">
        <v>4109</v>
      </c>
    </row>
    <row r="870" spans="1:48">
      <c r="A870" t="s">
        <v>3973</v>
      </c>
      <c r="B870" t="s">
        <v>824</v>
      </c>
      <c r="C870" t="s">
        <v>2152</v>
      </c>
      <c r="D870" t="s">
        <v>3974</v>
      </c>
      <c r="E870" t="s">
        <v>92</v>
      </c>
      <c r="F870" t="s">
        <v>124</v>
      </c>
      <c r="G870" t="s">
        <v>71</v>
      </c>
      <c r="H870" t="s">
        <v>239</v>
      </c>
      <c r="I870" t="s">
        <v>240</v>
      </c>
      <c r="J870" t="s">
        <v>39</v>
      </c>
      <c r="K870" t="s">
        <v>165</v>
      </c>
      <c r="L870" t="s">
        <v>3975</v>
      </c>
      <c r="M870" t="s">
        <v>57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43</v>
      </c>
      <c r="U870" t="s">
        <v>44</v>
      </c>
      <c r="W870" t="s">
        <v>3973</v>
      </c>
      <c r="X870" t="str">
        <v>11-04-25</v>
      </c>
      <c r="Y870" t="str">
        <v>15-04-25</v>
      </c>
      <c r="Z870" t="s">
        <v>3974</v>
      </c>
      <c r="AA870" t="str">
        <v>Vikram Iyer</v>
      </c>
      <c r="AB870" t="str">
        <f>TRIM(PROPER(F:F))</f>
        <v>Home Office</v>
      </c>
      <c r="AC870" t="str">
        <f>TRIM(PROPER(G:G))</f>
        <v>South</v>
      </c>
      <c r="AD870" t="str">
        <f>TRIM(PROPER(H:H))</f>
        <v>Karnataka</v>
      </c>
      <c r="AE870" t="str">
        <f>TRIM(PROPER(I:I))</f>
        <v>Bengaluru</v>
      </c>
      <c r="AF870" t="str">
        <f>TRIM(PROPER(J:J))</f>
        <v>Office Supplies</v>
      </c>
      <c r="AG870" t="str">
        <f t="shared" si="26"/>
        <v>Storage</v>
      </c>
      <c r="AH870" t="str">
        <f t="shared" si="24"/>
        <v>Elite Storage 187</v>
      </c>
      <c r="AI870" t="str">
        <f t="shared" si="24"/>
        <v>Same Day</v>
      </c>
      <c r="AJ870" s="3" t="str">
        <f t="shared" si="25"/>
        <v>anomaly</v>
      </c>
      <c r="AK870">
        <f>IFERROR(Y870-X870, "invalid date")</f>
        <v>4</v>
      </c>
      <c r="AL870" s="10">
        <v>0.05</v>
      </c>
      <c r="AM870" s="11">
        <v>1923.2369999999999</v>
      </c>
      <c r="AN870" s="11">
        <v>829.57699999999977</v>
      </c>
      <c r="AO870" s="10">
        <v>0.43134413491420964</v>
      </c>
      <c r="AP870" t="s">
        <v>4319</v>
      </c>
      <c r="AQ870" t="s">
        <v>4385</v>
      </c>
      <c r="AR870" t="s">
        <v>4199</v>
      </c>
      <c r="AS870" t="s">
        <v>4120</v>
      </c>
      <c r="AT870" t="s">
        <v>4115</v>
      </c>
      <c r="AU870">
        <v>4</v>
      </c>
      <c r="AV870" t="s">
        <v>4109</v>
      </c>
    </row>
    <row r="871" spans="1:48">
      <c r="A871" t="s">
        <v>3976</v>
      </c>
      <c r="B871" t="s">
        <v>3977</v>
      </c>
      <c r="C871" t="s">
        <v>797</v>
      </c>
      <c r="D871" t="s">
        <v>3978</v>
      </c>
      <c r="E871" t="s">
        <v>189</v>
      </c>
      <c r="F871" t="s">
        <v>124</v>
      </c>
      <c r="H871" t="s">
        <v>517</v>
      </c>
      <c r="I871" t="s">
        <v>518</v>
      </c>
      <c r="J871" t="s">
        <v>54</v>
      </c>
      <c r="K871" t="s">
        <v>85</v>
      </c>
      <c r="L871" t="s">
        <v>1761</v>
      </c>
      <c r="M871" t="s">
        <v>57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43</v>
      </c>
      <c r="U871" t="s">
        <v>44</v>
      </c>
      <c r="W871" t="s">
        <v>3976</v>
      </c>
      <c r="X871" t="str">
        <v>03-06-25</v>
      </c>
      <c r="Y871" t="str">
        <v>07-03-25</v>
      </c>
      <c r="Z871" t="s">
        <v>3978</v>
      </c>
      <c r="AA871" t="str">
        <v>Rohan Mehta</v>
      </c>
      <c r="AB871" t="str">
        <f>TRIM(PROPER(F:F))</f>
        <v>Home Office</v>
      </c>
      <c r="AC871" s="4" t="s">
        <v>282</v>
      </c>
      <c r="AD871" t="str">
        <f>TRIM(PROPER(H:H))</f>
        <v>Delhi</v>
      </c>
      <c r="AE871" t="str">
        <f>TRIM(PROPER(I:I))</f>
        <v>New Delhi</v>
      </c>
      <c r="AF871" t="str">
        <f>TRIM(PROPER(J:J))</f>
        <v>Furniture</v>
      </c>
      <c r="AG871" t="str">
        <f t="shared" si="26"/>
        <v>Chairs</v>
      </c>
      <c r="AH871" t="str">
        <f t="shared" si="24"/>
        <v>Max Chairs 487</v>
      </c>
      <c r="AI871" t="str">
        <f t="shared" si="24"/>
        <v>Same Day</v>
      </c>
      <c r="AJ871" s="3" t="str">
        <f t="shared" si="25"/>
        <v>anomaly</v>
      </c>
      <c r="AK871">
        <f>IFERROR(Y871-X871, "invalid date")</f>
        <v>-88</v>
      </c>
      <c r="AL871" s="10">
        <v>0.1</v>
      </c>
      <c r="AM871" s="11">
        <v>4301.91</v>
      </c>
      <c r="AN871" s="11">
        <v>1927.5099999999998</v>
      </c>
      <c r="AO871" s="10">
        <v>0.44805911792668834</v>
      </c>
      <c r="AP871" t="s">
        <v>4710</v>
      </c>
      <c r="AQ871" t="s">
        <v>4313</v>
      </c>
      <c r="AR871" t="s">
        <v>4170</v>
      </c>
      <c r="AS871" t="s">
        <v>4120</v>
      </c>
      <c r="AT871" t="s">
        <v>4115</v>
      </c>
      <c r="AU871">
        <v>-88</v>
      </c>
      <c r="AV871" t="s">
        <v>4109</v>
      </c>
    </row>
    <row r="872" spans="1:48">
      <c r="A872" t="s">
        <v>3979</v>
      </c>
      <c r="B872" t="s">
        <v>3980</v>
      </c>
      <c r="C872" t="s">
        <v>3981</v>
      </c>
      <c r="D872" t="s">
        <v>3982</v>
      </c>
      <c r="E872" t="s">
        <v>92</v>
      </c>
      <c r="F872" t="s">
        <v>117</v>
      </c>
      <c r="G872" t="s">
        <v>82</v>
      </c>
      <c r="H872" t="s">
        <v>259</v>
      </c>
      <c r="I872" t="s">
        <v>260</v>
      </c>
      <c r="J872" t="s">
        <v>54</v>
      </c>
      <c r="K872" t="s">
        <v>55</v>
      </c>
      <c r="L872" t="s">
        <v>3983</v>
      </c>
      <c r="M872" t="s">
        <v>76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43</v>
      </c>
      <c r="U872" t="s">
        <v>87</v>
      </c>
      <c r="W872" t="s">
        <v>3979</v>
      </c>
      <c r="X872" t="str">
        <v>06-06-25</v>
      </c>
      <c r="Y872" t="str">
        <v>07-06-25</v>
      </c>
      <c r="Z872" t="s">
        <v>3982</v>
      </c>
      <c r="AA872" t="str">
        <v>Vikram Iyer</v>
      </c>
      <c r="AB872" t="str">
        <f>TRIM(PROPER(F:F))</f>
        <v>Corporate</v>
      </c>
      <c r="AC872" t="str">
        <f>TRIM(PROPER(G:G))</f>
        <v>West</v>
      </c>
      <c r="AD872" t="str">
        <f>TRIM(PROPER(H:H))</f>
        <v>Goa</v>
      </c>
      <c r="AE872" t="str">
        <f>TRIM(PROPER(I:I))</f>
        <v>Panaji</v>
      </c>
      <c r="AF872" t="str">
        <f>TRIM(PROPER(J:J))</f>
        <v>Furniture</v>
      </c>
      <c r="AG872" t="str">
        <f t="shared" si="26"/>
        <v>Tables</v>
      </c>
      <c r="AH872" t="str">
        <f t="shared" si="24"/>
        <v>Max Tables 281</v>
      </c>
      <c r="AI872" t="str">
        <f t="shared" si="24"/>
        <v>Standard Class</v>
      </c>
      <c r="AJ872" s="3" t="str">
        <f t="shared" si="25"/>
        <v>anomaly</v>
      </c>
      <c r="AK872">
        <f>IFERROR(Y872-X872, "invalid date")</f>
        <v>1</v>
      </c>
      <c r="AL872" s="10">
        <v>0.15</v>
      </c>
      <c r="AM872" s="11">
        <v>22436.838</v>
      </c>
      <c r="AN872" s="11">
        <v>4982.1680000000015</v>
      </c>
      <c r="AO872" s="10">
        <v>0.22205303617203109</v>
      </c>
      <c r="AP872" t="s">
        <v>4531</v>
      </c>
      <c r="AQ872" t="s">
        <v>4409</v>
      </c>
      <c r="AR872" t="s">
        <v>4170</v>
      </c>
      <c r="AS872" t="s">
        <v>4120</v>
      </c>
      <c r="AT872" t="s">
        <v>4115</v>
      </c>
      <c r="AU872">
        <v>1</v>
      </c>
      <c r="AV872" t="s">
        <v>4109</v>
      </c>
    </row>
    <row r="873" spans="1:48">
      <c r="A873" t="s">
        <v>3984</v>
      </c>
      <c r="B873" t="s">
        <v>3985</v>
      </c>
      <c r="C873" t="s">
        <v>2839</v>
      </c>
      <c r="D873" t="s">
        <v>3804</v>
      </c>
      <c r="E873" t="s">
        <v>102</v>
      </c>
      <c r="F873" t="s">
        <v>50</v>
      </c>
      <c r="G873" t="s">
        <v>71</v>
      </c>
      <c r="H873" t="s">
        <v>72</v>
      </c>
      <c r="I873" t="s">
        <v>73</v>
      </c>
      <c r="J873" t="s">
        <v>95</v>
      </c>
      <c r="K873" t="s">
        <v>96</v>
      </c>
      <c r="L873" t="s">
        <v>3986</v>
      </c>
      <c r="M873" t="s">
        <v>65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133</v>
      </c>
      <c r="U873" t="s">
        <v>87</v>
      </c>
      <c r="W873" t="s">
        <v>3984</v>
      </c>
      <c r="X873" t="str">
        <v>invalid date</v>
      </c>
      <c r="Y873" t="str">
        <v>22-02-24</v>
      </c>
      <c r="Z873" t="s">
        <v>3804</v>
      </c>
      <c r="AA873" t="str">
        <v>Neha Gupta</v>
      </c>
      <c r="AB873" t="str">
        <f>TRIM(PROPER(F:F))</f>
        <v>Small Business</v>
      </c>
      <c r="AC873" t="str">
        <f>TRIM(PROPER(G:G))</f>
        <v>South</v>
      </c>
      <c r="AD873" t="str">
        <f>TRIM(PROPER(H:H))</f>
        <v>Telangana</v>
      </c>
      <c r="AE873" t="str">
        <f>TRIM(PROPER(I:I))</f>
        <v>Hyderabad</v>
      </c>
      <c r="AF873" t="str">
        <f>TRIM(PROPER(J:J))</f>
        <v>Technology</v>
      </c>
      <c r="AG873" t="str">
        <f t="shared" si="26"/>
        <v>Accessories</v>
      </c>
      <c r="AH873" t="str">
        <f t="shared" si="24"/>
        <v>Pro Accessories 325</v>
      </c>
      <c r="AI873" t="str">
        <f t="shared" si="24"/>
        <v>First Class</v>
      </c>
      <c r="AJ873" s="3" t="str">
        <f t="shared" si="25"/>
        <v>Invalid</v>
      </c>
      <c r="AK873" t="str">
        <f>IFERROR(Y873-X873, "invalid date")</f>
        <v>invalid date</v>
      </c>
      <c r="AL873" s="10">
        <v>0</v>
      </c>
      <c r="AM873" s="11">
        <v>19676.07</v>
      </c>
      <c r="AN873" s="11">
        <v>7217.4499999999989</v>
      </c>
      <c r="AO873" s="10">
        <v>0.36681359641432454</v>
      </c>
      <c r="AP873" t="s">
        <v>4105</v>
      </c>
      <c r="AQ873" t="s">
        <v>4523</v>
      </c>
      <c r="AR873" t="s">
        <v>4105</v>
      </c>
      <c r="AS873" t="s">
        <v>4105</v>
      </c>
      <c r="AT873" t="s">
        <v>4108</v>
      </c>
      <c r="AU873" t="s">
        <v>4105</v>
      </c>
      <c r="AV873" t="s">
        <v>4109</v>
      </c>
    </row>
    <row r="874" spans="1:48">
      <c r="A874" t="s">
        <v>3987</v>
      </c>
      <c r="B874" t="s">
        <v>3515</v>
      </c>
      <c r="C874" t="s">
        <v>3988</v>
      </c>
      <c r="D874" t="s">
        <v>2971</v>
      </c>
      <c r="E874" t="s">
        <v>34</v>
      </c>
      <c r="F874" t="s">
        <v>117</v>
      </c>
      <c r="G874" t="s">
        <v>51</v>
      </c>
      <c r="H874" t="s">
        <v>130</v>
      </c>
      <c r="I874" t="s">
        <v>131</v>
      </c>
      <c r="J874" t="s">
        <v>54</v>
      </c>
      <c r="K874" t="s">
        <v>74</v>
      </c>
      <c r="L874" t="s">
        <v>3989</v>
      </c>
      <c r="M874" t="s">
        <v>76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43</v>
      </c>
      <c r="U874" t="s">
        <v>44</v>
      </c>
      <c r="W874" t="s">
        <v>3987</v>
      </c>
      <c r="X874" t="str">
        <v>11-01-24</v>
      </c>
      <c r="Y874" t="str">
        <v>02-11-24</v>
      </c>
      <c r="Z874" t="s">
        <v>2971</v>
      </c>
      <c r="AA874" t="str">
        <v>Karan Malhotra</v>
      </c>
      <c r="AB874" t="str">
        <f>TRIM(PROPER(F:F))</f>
        <v>Corporate</v>
      </c>
      <c r="AC874" t="str">
        <f>TRIM(PROPER(G:G))</f>
        <v>East</v>
      </c>
      <c r="AD874" t="str">
        <f>TRIM(PROPER(H:H))</f>
        <v>West Bengal</v>
      </c>
      <c r="AE874" t="str">
        <f>TRIM(PROPER(I:I))</f>
        <v>Kolkata</v>
      </c>
      <c r="AF874" t="str">
        <f>TRIM(PROPER(J:J))</f>
        <v>Furniture</v>
      </c>
      <c r="AG874" t="str">
        <f t="shared" si="26"/>
        <v>Furnishings</v>
      </c>
      <c r="AH874" t="str">
        <f t="shared" si="24"/>
        <v>Prime Furnishings 178</v>
      </c>
      <c r="AI874" t="str">
        <f t="shared" si="24"/>
        <v>Standard Class</v>
      </c>
      <c r="AJ874" s="3" t="str">
        <f t="shared" si="25"/>
        <v xml:space="preserve">  </v>
      </c>
      <c r="AK874">
        <f>IFERROR(Y874-X874, "invalid date")</f>
        <v>296</v>
      </c>
      <c r="AL874" s="10">
        <v>0.2</v>
      </c>
      <c r="AM874" s="11">
        <v>8848.08</v>
      </c>
      <c r="AN874" s="11">
        <v>3156.5199999999995</v>
      </c>
      <c r="AO874" s="10">
        <v>0.35674632236598219</v>
      </c>
      <c r="AP874" t="s">
        <v>4685</v>
      </c>
      <c r="AQ874" t="s">
        <v>4219</v>
      </c>
      <c r="AR874" t="s">
        <v>4153</v>
      </c>
      <c r="AS874" t="s">
        <v>4107</v>
      </c>
      <c r="AT874" t="s">
        <v>4121</v>
      </c>
      <c r="AU874">
        <v>296</v>
      </c>
      <c r="AV874" t="s">
        <v>4109</v>
      </c>
    </row>
    <row r="875" spans="1:48">
      <c r="A875" t="s">
        <v>3990</v>
      </c>
      <c r="B875" t="s">
        <v>3991</v>
      </c>
      <c r="C875" t="s">
        <v>3992</v>
      </c>
      <c r="D875" t="s">
        <v>3993</v>
      </c>
      <c r="E875" t="s">
        <v>116</v>
      </c>
      <c r="F875" t="s">
        <v>124</v>
      </c>
      <c r="G875" t="s">
        <v>82</v>
      </c>
      <c r="H875" t="s">
        <v>245</v>
      </c>
      <c r="I875" t="s">
        <v>246</v>
      </c>
      <c r="J875" t="s">
        <v>39</v>
      </c>
      <c r="K875" t="s">
        <v>165</v>
      </c>
      <c r="L875" t="s">
        <v>3994</v>
      </c>
      <c r="M875" t="s">
        <v>42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43</v>
      </c>
      <c r="U875" t="s">
        <v>44</v>
      </c>
      <c r="W875" t="s">
        <v>3990</v>
      </c>
      <c r="X875" t="str">
        <v>01-02-25</v>
      </c>
      <c r="Y875" t="str">
        <v>08-02-25</v>
      </c>
      <c r="Z875" t="s">
        <v>3993</v>
      </c>
      <c r="AA875" t="str">
        <v>Aditi Sen</v>
      </c>
      <c r="AB875" t="str">
        <f>TRIM(PROPER(F:F))</f>
        <v>Home Office</v>
      </c>
      <c r="AC875" t="str">
        <f>TRIM(PROPER(G:G))</f>
        <v>West</v>
      </c>
      <c r="AD875" t="str">
        <f>TRIM(PROPER(H:H))</f>
        <v>Gujarat</v>
      </c>
      <c r="AE875" t="str">
        <f>TRIM(PROPER(I:I))</f>
        <v>Ahmedabad</v>
      </c>
      <c r="AF875" t="str">
        <f>TRIM(PROPER(J:J))</f>
        <v>Office Supplies</v>
      </c>
      <c r="AG875" t="str">
        <f t="shared" si="26"/>
        <v>Storage</v>
      </c>
      <c r="AH875" t="str">
        <f t="shared" si="24"/>
        <v>Elite Storage 144</v>
      </c>
      <c r="AI875" t="str">
        <f t="shared" si="24"/>
        <v>Second Class</v>
      </c>
      <c r="AJ875" s="3" t="str">
        <f t="shared" si="25"/>
        <v>anomaly</v>
      </c>
      <c r="AK875">
        <f>IFERROR(Y875-X875, "invalid date")</f>
        <v>7</v>
      </c>
      <c r="AL875" s="10">
        <v>0.1</v>
      </c>
      <c r="AM875" s="11">
        <v>4487.8319999999994</v>
      </c>
      <c r="AN875" s="11">
        <v>1854.0519999999992</v>
      </c>
      <c r="AO875" s="10">
        <v>0.41312865543986482</v>
      </c>
      <c r="AP875" t="s">
        <v>4274</v>
      </c>
      <c r="AQ875" t="s">
        <v>4416</v>
      </c>
      <c r="AR875" t="s">
        <v>4129</v>
      </c>
      <c r="AS875" t="s">
        <v>4120</v>
      </c>
      <c r="AT875" t="s">
        <v>4115</v>
      </c>
      <c r="AU875">
        <v>7</v>
      </c>
      <c r="AV875" t="s">
        <v>4109</v>
      </c>
    </row>
    <row r="876" spans="1:48">
      <c r="A876" t="s">
        <v>3995</v>
      </c>
      <c r="B876" t="s">
        <v>2917</v>
      </c>
      <c r="C876" t="s">
        <v>1520</v>
      </c>
      <c r="D876" t="s">
        <v>3996</v>
      </c>
      <c r="E876" t="s">
        <v>92</v>
      </c>
      <c r="F876" t="s">
        <v>50</v>
      </c>
      <c r="G876" t="s">
        <v>82</v>
      </c>
      <c r="H876" t="s">
        <v>83</v>
      </c>
      <c r="I876" t="s">
        <v>84</v>
      </c>
      <c r="J876" t="s">
        <v>39</v>
      </c>
      <c r="K876" t="s">
        <v>40</v>
      </c>
      <c r="L876" t="s">
        <v>3997</v>
      </c>
      <c r="M876" t="s">
        <v>76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43</v>
      </c>
      <c r="U876" t="s">
        <v>44</v>
      </c>
      <c r="W876" t="s">
        <v>3995</v>
      </c>
      <c r="X876" t="str">
        <v>15-07-25</v>
      </c>
      <c r="Y876" t="str">
        <v>16-07-25</v>
      </c>
      <c r="Z876" t="s">
        <v>3996</v>
      </c>
      <c r="AA876" t="str">
        <v>Vikram Iyer</v>
      </c>
      <c r="AB876" t="str">
        <f>TRIM(PROPER(F:F))</f>
        <v>Small Business</v>
      </c>
      <c r="AC876" t="str">
        <f>TRIM(PROPER(G:G))</f>
        <v>West</v>
      </c>
      <c r="AD876" t="str">
        <f>TRIM(PROPER(H:H))</f>
        <v>Maharashtra</v>
      </c>
      <c r="AE876" t="str">
        <f>TRIM(PROPER(I:I))</f>
        <v>Mumbai</v>
      </c>
      <c r="AF876" t="str">
        <f>TRIM(PROPER(J:J))</f>
        <v>Office Supplies</v>
      </c>
      <c r="AG876" t="str">
        <f t="shared" si="26"/>
        <v>Paper</v>
      </c>
      <c r="AH876" t="str">
        <f t="shared" si="24"/>
        <v>Elite Paper 309</v>
      </c>
      <c r="AI876" t="str">
        <f t="shared" si="24"/>
        <v>Standard Class</v>
      </c>
      <c r="AJ876" s="3" t="str">
        <f t="shared" si="25"/>
        <v>anomaly</v>
      </c>
      <c r="AK876">
        <f>IFERROR(Y876-X876, "invalid date")</f>
        <v>1</v>
      </c>
      <c r="AL876" s="10">
        <v>0.05</v>
      </c>
      <c r="AM876" s="11">
        <v>29829.088</v>
      </c>
      <c r="AN876" s="11">
        <v>9118.9079999999994</v>
      </c>
      <c r="AO876" s="10">
        <v>0.30570522303598419</v>
      </c>
      <c r="AP876" t="s">
        <v>4639</v>
      </c>
      <c r="AQ876" t="s">
        <v>4273</v>
      </c>
      <c r="AR876" t="s">
        <v>4106</v>
      </c>
      <c r="AS876" t="s">
        <v>4120</v>
      </c>
      <c r="AT876" t="s">
        <v>4115</v>
      </c>
      <c r="AU876">
        <v>1</v>
      </c>
      <c r="AV876" t="s">
        <v>4109</v>
      </c>
    </row>
    <row r="877" spans="1:48">
      <c r="A877" t="s">
        <v>3998</v>
      </c>
      <c r="B877" t="s">
        <v>3999</v>
      </c>
      <c r="C877" t="s">
        <v>4000</v>
      </c>
      <c r="D877" t="s">
        <v>4001</v>
      </c>
      <c r="E877" t="s">
        <v>49</v>
      </c>
      <c r="F877" t="s">
        <v>117</v>
      </c>
      <c r="G877" t="s">
        <v>82</v>
      </c>
      <c r="H877" t="s">
        <v>83</v>
      </c>
      <c r="I877" t="s">
        <v>84</v>
      </c>
      <c r="J877" t="s">
        <v>95</v>
      </c>
      <c r="K877" t="s">
        <v>103</v>
      </c>
      <c r="L877" t="s">
        <v>4002</v>
      </c>
      <c r="M877" t="s">
        <v>65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43</v>
      </c>
      <c r="U877" t="s">
        <v>44</v>
      </c>
      <c r="W877" t="s">
        <v>3998</v>
      </c>
      <c r="X877" t="str">
        <v>10-08-24</v>
      </c>
      <c r="Y877" t="str">
        <v>08-11-24</v>
      </c>
      <c r="Z877" t="s">
        <v>4001</v>
      </c>
      <c r="AA877" t="str">
        <v>Mira Das</v>
      </c>
      <c r="AB877" t="str">
        <f>TRIM(PROPER(F:F))</f>
        <v>Corporate</v>
      </c>
      <c r="AC877" t="str">
        <f>TRIM(PROPER(G:G))</f>
        <v>West</v>
      </c>
      <c r="AD877" t="str">
        <f>TRIM(PROPER(H:H))</f>
        <v>Maharashtra</v>
      </c>
      <c r="AE877" t="str">
        <f>TRIM(PROPER(I:I))</f>
        <v>Mumbai</v>
      </c>
      <c r="AF877" t="str">
        <f>TRIM(PROPER(J:J))</f>
        <v>Technology</v>
      </c>
      <c r="AG877" t="str">
        <f t="shared" si="26"/>
        <v>Copiers</v>
      </c>
      <c r="AH877" t="str">
        <f t="shared" si="24"/>
        <v>Elite Copiers 752</v>
      </c>
      <c r="AI877" t="str">
        <f t="shared" si="24"/>
        <v>First Class</v>
      </c>
      <c r="AJ877" s="3" t="str">
        <f t="shared" si="25"/>
        <v xml:space="preserve">  </v>
      </c>
      <c r="AK877">
        <f>IFERROR(Y877-X877, "invalid date")</f>
        <v>90</v>
      </c>
      <c r="AL877" s="10">
        <v>0.2</v>
      </c>
      <c r="AM877" s="11">
        <v>21574.672000000002</v>
      </c>
      <c r="AN877" s="11">
        <v>6901.8420000000024</v>
      </c>
      <c r="AO877" s="10">
        <v>0.31990484026825539</v>
      </c>
      <c r="AP877" t="s">
        <v>4243</v>
      </c>
      <c r="AQ877" t="s">
        <v>4711</v>
      </c>
      <c r="AR877" t="s">
        <v>4114</v>
      </c>
      <c r="AS877" t="s">
        <v>4107</v>
      </c>
      <c r="AT877" t="s">
        <v>4121</v>
      </c>
      <c r="AU877">
        <v>90</v>
      </c>
      <c r="AV877" t="s">
        <v>4109</v>
      </c>
    </row>
    <row r="878" spans="1:48">
      <c r="A878" t="s">
        <v>4003</v>
      </c>
      <c r="B878" t="s">
        <v>4004</v>
      </c>
      <c r="C878" t="s">
        <v>4005</v>
      </c>
      <c r="D878" t="s">
        <v>4006</v>
      </c>
      <c r="E878" t="s">
        <v>151</v>
      </c>
      <c r="F878" t="s">
        <v>35</v>
      </c>
      <c r="G878" t="s">
        <v>82</v>
      </c>
      <c r="H878" t="s">
        <v>37</v>
      </c>
      <c r="I878" t="s">
        <v>144</v>
      </c>
      <c r="J878" t="s">
        <v>54</v>
      </c>
      <c r="K878" t="s">
        <v>85</v>
      </c>
      <c r="L878" t="s">
        <v>1300</v>
      </c>
      <c r="M878" t="s">
        <v>65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43</v>
      </c>
      <c r="U878" t="s">
        <v>44</v>
      </c>
      <c r="W878" t="s">
        <v>4003</v>
      </c>
      <c r="X878" t="str">
        <v>invalid date</v>
      </c>
      <c r="Y878" t="str">
        <v>20-11-24</v>
      </c>
      <c r="Z878" t="s">
        <v>4006</v>
      </c>
      <c r="AA878" t="str">
        <v>Priya Menon</v>
      </c>
      <c r="AB878" t="str">
        <f>TRIM(PROPER(F:F))</f>
        <v>Consumer</v>
      </c>
      <c r="AC878" t="str">
        <f>TRIM(PROPER(G:G))</f>
        <v>West</v>
      </c>
      <c r="AD878" t="str">
        <f>TRIM(PROPER(H:H))</f>
        <v>Rajasthan</v>
      </c>
      <c r="AE878" t="str">
        <f>TRIM(PROPER(I:I))</f>
        <v>Udaipur</v>
      </c>
      <c r="AF878" t="str">
        <f>TRIM(PROPER(J:J))</f>
        <v>Furniture</v>
      </c>
      <c r="AG878" t="str">
        <f t="shared" si="26"/>
        <v>Chairs</v>
      </c>
      <c r="AH878" t="str">
        <f t="shared" si="24"/>
        <v>Pro Chairs 316</v>
      </c>
      <c r="AI878" t="str">
        <f t="shared" si="24"/>
        <v>First Class</v>
      </c>
      <c r="AJ878" s="3" t="str">
        <f t="shared" si="25"/>
        <v>Invalid</v>
      </c>
      <c r="AK878" t="str">
        <f>IFERROR(Y878-X878, "invalid date")</f>
        <v>invalid date</v>
      </c>
      <c r="AL878" s="10">
        <v>0</v>
      </c>
      <c r="AM878" s="11">
        <v>22741.32</v>
      </c>
      <c r="AN878" s="11">
        <v>6352.75</v>
      </c>
      <c r="AO878" s="10">
        <v>0.27934834037777928</v>
      </c>
      <c r="AP878" t="s">
        <v>4105</v>
      </c>
      <c r="AQ878" t="s">
        <v>4712</v>
      </c>
      <c r="AR878" t="s">
        <v>4105</v>
      </c>
      <c r="AS878" t="s">
        <v>4105</v>
      </c>
      <c r="AT878" t="s">
        <v>4108</v>
      </c>
      <c r="AU878" t="s">
        <v>4105</v>
      </c>
      <c r="AV878" t="s">
        <v>4109</v>
      </c>
    </row>
    <row r="879" spans="1:48">
      <c r="A879" t="s">
        <v>4007</v>
      </c>
      <c r="B879" t="s">
        <v>4008</v>
      </c>
      <c r="C879" t="s">
        <v>2776</v>
      </c>
      <c r="D879" t="s">
        <v>4009</v>
      </c>
      <c r="E879" t="s">
        <v>171</v>
      </c>
      <c r="F879" t="s">
        <v>35</v>
      </c>
      <c r="G879" t="s">
        <v>82</v>
      </c>
      <c r="H879" t="s">
        <v>37</v>
      </c>
      <c r="I879" t="s">
        <v>144</v>
      </c>
      <c r="J879" t="s">
        <v>39</v>
      </c>
      <c r="K879" t="s">
        <v>165</v>
      </c>
      <c r="L879" t="s">
        <v>4010</v>
      </c>
      <c r="M879" t="s">
        <v>42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43</v>
      </c>
      <c r="U879" t="s">
        <v>44</v>
      </c>
      <c r="W879" t="s">
        <v>4007</v>
      </c>
      <c r="X879" t="str">
        <v>26-08-25</v>
      </c>
      <c r="Y879" t="str">
        <v>03-09-25</v>
      </c>
      <c r="Z879" t="s">
        <v>4009</v>
      </c>
      <c r="AA879" t="str">
        <v>Aarav Sharma</v>
      </c>
      <c r="AB879" t="str">
        <f>TRIM(PROPER(F:F))</f>
        <v>Consumer</v>
      </c>
      <c r="AC879" t="str">
        <f>TRIM(PROPER(G:G))</f>
        <v>West</v>
      </c>
      <c r="AD879" t="str">
        <f>TRIM(PROPER(H:H))</f>
        <v>Rajasthan</v>
      </c>
      <c r="AE879" t="str">
        <f>TRIM(PROPER(I:I))</f>
        <v>Udaipur</v>
      </c>
      <c r="AF879" t="str">
        <f>TRIM(PROPER(J:J))</f>
        <v>Office Supplies</v>
      </c>
      <c r="AG879" t="str">
        <f t="shared" si="26"/>
        <v>Storage</v>
      </c>
      <c r="AH879" t="str">
        <f t="shared" si="24"/>
        <v>Max Storage 438</v>
      </c>
      <c r="AI879" t="str">
        <f t="shared" si="24"/>
        <v>Second Class</v>
      </c>
      <c r="AJ879" s="3" t="str">
        <f t="shared" si="25"/>
        <v xml:space="preserve">  </v>
      </c>
      <c r="AK879">
        <f>IFERROR(Y879-X879, "invalid date")</f>
        <v>8</v>
      </c>
      <c r="AL879" s="10">
        <v>0.1</v>
      </c>
      <c r="AM879" s="11">
        <v>3641.5439999999999</v>
      </c>
      <c r="AN879" s="11">
        <v>951.17399999999998</v>
      </c>
      <c r="AO879" s="10">
        <v>0.26120074342092253</v>
      </c>
      <c r="AP879" t="s">
        <v>4449</v>
      </c>
      <c r="AQ879" t="s">
        <v>4625</v>
      </c>
      <c r="AR879" t="s">
        <v>4114</v>
      </c>
      <c r="AS879" t="s">
        <v>4120</v>
      </c>
      <c r="AT879" t="s">
        <v>4121</v>
      </c>
      <c r="AU879">
        <v>8</v>
      </c>
      <c r="AV879" t="s">
        <v>4109</v>
      </c>
    </row>
    <row r="880" spans="1:48">
      <c r="A880" t="s">
        <v>4011</v>
      </c>
      <c r="B880" t="s">
        <v>2047</v>
      </c>
      <c r="C880" t="s">
        <v>2047</v>
      </c>
      <c r="D880" t="s">
        <v>4012</v>
      </c>
      <c r="E880" t="s">
        <v>34</v>
      </c>
      <c r="F880" t="s">
        <v>117</v>
      </c>
      <c r="G880" t="s">
        <v>51</v>
      </c>
      <c r="H880" t="s">
        <v>130</v>
      </c>
      <c r="I880" t="s">
        <v>131</v>
      </c>
      <c r="J880" t="s">
        <v>39</v>
      </c>
      <c r="K880" t="s">
        <v>40</v>
      </c>
      <c r="L880" t="s">
        <v>4013</v>
      </c>
      <c r="M880" t="s">
        <v>65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43</v>
      </c>
      <c r="U880" t="s">
        <v>44</v>
      </c>
      <c r="W880" t="s">
        <v>4011</v>
      </c>
      <c r="X880" t="str">
        <v>22-01-24</v>
      </c>
      <c r="Y880" t="str">
        <v>22-01-24</v>
      </c>
      <c r="Z880" t="s">
        <v>4012</v>
      </c>
      <c r="AA880" t="str">
        <v>Karan Malhotra</v>
      </c>
      <c r="AB880" t="str">
        <f>TRIM(PROPER(F:F))</f>
        <v>Corporate</v>
      </c>
      <c r="AC880" t="str">
        <f>TRIM(PROPER(G:G))</f>
        <v>East</v>
      </c>
      <c r="AD880" t="str">
        <f>TRIM(PROPER(H:H))</f>
        <v>West Bengal</v>
      </c>
      <c r="AE880" t="str">
        <f>TRIM(PROPER(I:I))</f>
        <v>Kolkata</v>
      </c>
      <c r="AF880" t="str">
        <f>TRIM(PROPER(J:J))</f>
        <v>Office Supplies</v>
      </c>
      <c r="AG880" t="str">
        <f t="shared" si="26"/>
        <v>Paper</v>
      </c>
      <c r="AH880" t="str">
        <f t="shared" si="24"/>
        <v>Basic Paper 904</v>
      </c>
      <c r="AI880" t="str">
        <f t="shared" si="24"/>
        <v>First Class</v>
      </c>
      <c r="AJ880" s="3" t="str">
        <f t="shared" si="25"/>
        <v xml:space="preserve">  </v>
      </c>
      <c r="AK880">
        <f>IFERROR(Y880-X880, "invalid date")</f>
        <v>0</v>
      </c>
      <c r="AL880" s="10">
        <v>0.05</v>
      </c>
      <c r="AM880" s="11">
        <v>11834.796</v>
      </c>
      <c r="AN880" s="11">
        <v>2512.4359999999997</v>
      </c>
      <c r="AO880" s="10">
        <v>0.21229229468763125</v>
      </c>
      <c r="AP880" t="s">
        <v>4367</v>
      </c>
      <c r="AQ880" t="s">
        <v>4367</v>
      </c>
      <c r="AR880" t="s">
        <v>4153</v>
      </c>
      <c r="AS880" t="s">
        <v>4107</v>
      </c>
      <c r="AT880" t="s">
        <v>4115</v>
      </c>
      <c r="AU880">
        <v>0</v>
      </c>
      <c r="AV880" t="s">
        <v>4109</v>
      </c>
    </row>
    <row r="881" spans="1:48">
      <c r="A881" t="s">
        <v>4014</v>
      </c>
      <c r="B881" t="s">
        <v>4015</v>
      </c>
      <c r="C881" t="s">
        <v>446</v>
      </c>
      <c r="D881" t="s">
        <v>4016</v>
      </c>
      <c r="E881" t="s">
        <v>81</v>
      </c>
      <c r="F881" t="s">
        <v>124</v>
      </c>
      <c r="G881" t="s">
        <v>36</v>
      </c>
      <c r="H881" t="s">
        <v>183</v>
      </c>
      <c r="I881" t="s">
        <v>184</v>
      </c>
      <c r="J881" t="s">
        <v>39</v>
      </c>
      <c r="K881" t="s">
        <v>63</v>
      </c>
      <c r="L881" t="s">
        <v>4017</v>
      </c>
      <c r="M881" t="s">
        <v>76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43</v>
      </c>
      <c r="U881" t="s">
        <v>44</v>
      </c>
      <c r="W881" t="s">
        <v>4014</v>
      </c>
      <c r="X881" t="str">
        <v>27-08-25</v>
      </c>
      <c r="Y881" t="str">
        <v>invalid date</v>
      </c>
      <c r="Z881" t="s">
        <v>4016</v>
      </c>
      <c r="AA881" t="str">
        <v>Ananya Rao</v>
      </c>
      <c r="AB881" t="str">
        <f>TRIM(PROPER(F:F))</f>
        <v>Home Office</v>
      </c>
      <c r="AC881" t="str">
        <f>TRIM(PROPER(G:G))</f>
        <v>North</v>
      </c>
      <c r="AD881" t="str">
        <f>TRIM(PROPER(H:H))</f>
        <v>Uttar Pradesh</v>
      </c>
      <c r="AE881" t="str">
        <f>TRIM(PROPER(I:I))</f>
        <v>Noida</v>
      </c>
      <c r="AF881" t="str">
        <f>TRIM(PROPER(J:J))</f>
        <v>Office Supplies</v>
      </c>
      <c r="AG881" t="str">
        <f t="shared" si="26"/>
        <v>Art</v>
      </c>
      <c r="AH881" t="str">
        <f t="shared" si="24"/>
        <v>Smart Art 990</v>
      </c>
      <c r="AI881" t="str">
        <f t="shared" si="24"/>
        <v>Standard Class</v>
      </c>
      <c r="AJ881" s="3" t="str">
        <f t="shared" si="25"/>
        <v>Invalid</v>
      </c>
      <c r="AK881" t="str">
        <f>IFERROR(Y881-X881, "invalid date")</f>
        <v>invalid date</v>
      </c>
      <c r="AL881" s="10">
        <v>0.15</v>
      </c>
      <c r="AM881" s="11">
        <v>6028.3530000000001</v>
      </c>
      <c r="AN881" s="11">
        <v>1594.723</v>
      </c>
      <c r="AO881" s="10">
        <v>0.26453709661660491</v>
      </c>
      <c r="AP881" t="s">
        <v>4230</v>
      </c>
      <c r="AQ881" t="s">
        <v>4105</v>
      </c>
      <c r="AR881" t="s">
        <v>4114</v>
      </c>
      <c r="AS881" t="s">
        <v>4120</v>
      </c>
      <c r="AT881" t="s">
        <v>4108</v>
      </c>
      <c r="AU881" t="s">
        <v>4105</v>
      </c>
      <c r="AV881" t="s">
        <v>4109</v>
      </c>
    </row>
    <row r="882" spans="1:48">
      <c r="A882" t="s">
        <v>4018</v>
      </c>
      <c r="B882" t="s">
        <v>4019</v>
      </c>
      <c r="C882" t="s">
        <v>1133</v>
      </c>
      <c r="D882" t="s">
        <v>4020</v>
      </c>
      <c r="E882" t="s">
        <v>171</v>
      </c>
      <c r="F882" t="s">
        <v>50</v>
      </c>
      <c r="H882" t="s">
        <v>163</v>
      </c>
      <c r="I882" t="s">
        <v>164</v>
      </c>
      <c r="J882" t="s">
        <v>54</v>
      </c>
      <c r="K882" t="s">
        <v>85</v>
      </c>
      <c r="L882" t="s">
        <v>4021</v>
      </c>
      <c r="M882" t="s">
        <v>65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43</v>
      </c>
      <c r="U882" t="s">
        <v>44</v>
      </c>
      <c r="W882" t="s">
        <v>4018</v>
      </c>
      <c r="X882" t="str">
        <v>08-03-24</v>
      </c>
      <c r="Y882" t="str">
        <v>invalid date</v>
      </c>
      <c r="Z882" t="s">
        <v>4020</v>
      </c>
      <c r="AA882" t="str">
        <v>Aarav Sharma</v>
      </c>
      <c r="AB882" t="str">
        <f>TRIM(PROPER(F:F))</f>
        <v>Small Business</v>
      </c>
      <c r="AC882" s="4" t="s">
        <v>282</v>
      </c>
      <c r="AD882" t="str">
        <f>TRIM(PROPER(H:H))</f>
        <v>Punjab</v>
      </c>
      <c r="AE882" t="str">
        <f>TRIM(PROPER(I:I))</f>
        <v>Ludhiana</v>
      </c>
      <c r="AF882" t="str">
        <f>TRIM(PROPER(J:J))</f>
        <v>Furniture</v>
      </c>
      <c r="AG882" t="str">
        <f t="shared" si="26"/>
        <v>Chairs</v>
      </c>
      <c r="AH882" t="str">
        <f t="shared" si="24"/>
        <v>Basic Chairs 327</v>
      </c>
      <c r="AI882" t="str">
        <f t="shared" si="24"/>
        <v>First Class</v>
      </c>
      <c r="AJ882" s="3" t="str">
        <f t="shared" si="25"/>
        <v>Invalid</v>
      </c>
      <c r="AK882" t="str">
        <f>IFERROR(Y882-X882, "invalid date")</f>
        <v>invalid date</v>
      </c>
      <c r="AL882" s="10">
        <v>0</v>
      </c>
      <c r="AM882" s="11">
        <v>16173.85</v>
      </c>
      <c r="AN882" s="11">
        <v>2537.5100000000002</v>
      </c>
      <c r="AO882" s="10">
        <v>0.15688967067210344</v>
      </c>
      <c r="AP882" t="s">
        <v>4713</v>
      </c>
      <c r="AQ882" t="s">
        <v>4105</v>
      </c>
      <c r="AR882" t="s">
        <v>4159</v>
      </c>
      <c r="AS882" t="s">
        <v>4107</v>
      </c>
      <c r="AT882" t="s">
        <v>4108</v>
      </c>
      <c r="AU882" t="s">
        <v>4105</v>
      </c>
      <c r="AV882" t="s">
        <v>4109</v>
      </c>
    </row>
    <row r="883" spans="1:48">
      <c r="A883" t="s">
        <v>4022</v>
      </c>
      <c r="B883" t="s">
        <v>2547</v>
      </c>
      <c r="C883" t="s">
        <v>4023</v>
      </c>
      <c r="D883" t="s">
        <v>4024</v>
      </c>
      <c r="E883" t="s">
        <v>81</v>
      </c>
      <c r="F883" t="s">
        <v>50</v>
      </c>
      <c r="G883" t="s">
        <v>71</v>
      </c>
      <c r="H883" t="s">
        <v>109</v>
      </c>
      <c r="I883" t="s">
        <v>110</v>
      </c>
      <c r="J883" t="s">
        <v>95</v>
      </c>
      <c r="K883" t="s">
        <v>103</v>
      </c>
      <c r="L883" t="s">
        <v>4025</v>
      </c>
      <c r="M883" t="s">
        <v>42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43</v>
      </c>
      <c r="U883" t="s">
        <v>44</v>
      </c>
      <c r="W883" t="s">
        <v>4022</v>
      </c>
      <c r="X883" t="str">
        <v>01-12-24</v>
      </c>
      <c r="Y883" t="str">
        <v>05-12-24</v>
      </c>
      <c r="Z883" t="s">
        <v>4024</v>
      </c>
      <c r="AA883" t="str">
        <v>Ananya Rao</v>
      </c>
      <c r="AB883" t="str">
        <f>TRIM(PROPER(F:F))</f>
        <v>Small Business</v>
      </c>
      <c r="AC883" t="str">
        <f>TRIM(PROPER(G:G))</f>
        <v>South</v>
      </c>
      <c r="AD883" t="str">
        <f>TRIM(PROPER(H:H))</f>
        <v>Andhra Pradesh</v>
      </c>
      <c r="AE883" t="str">
        <f>TRIM(PROPER(I:I))</f>
        <v>Vijayawada</v>
      </c>
      <c r="AF883" t="str">
        <f>TRIM(PROPER(J:J))</f>
        <v>Technology</v>
      </c>
      <c r="AG883" t="str">
        <f t="shared" si="26"/>
        <v>Copiers</v>
      </c>
      <c r="AH883" t="str">
        <f t="shared" si="24"/>
        <v>Eco Copiers 987</v>
      </c>
      <c r="AI883" t="str">
        <f t="shared" si="24"/>
        <v>Second Class</v>
      </c>
      <c r="AJ883" s="3" t="str">
        <f t="shared" si="25"/>
        <v>anomaly</v>
      </c>
      <c r="AK883">
        <f>IFERROR(Y883-X883, "invalid date")</f>
        <v>4</v>
      </c>
      <c r="AL883" s="10">
        <v>0.25</v>
      </c>
      <c r="AM883" s="11">
        <v>25155.5625</v>
      </c>
      <c r="AN883" s="11">
        <v>7562.8725000000013</v>
      </c>
      <c r="AO883" s="10">
        <v>0.30064414182747856</v>
      </c>
      <c r="AP883" t="s">
        <v>4407</v>
      </c>
      <c r="AQ883" t="s">
        <v>4714</v>
      </c>
      <c r="AR883" t="s">
        <v>4139</v>
      </c>
      <c r="AS883" t="s">
        <v>4107</v>
      </c>
      <c r="AT883" t="s">
        <v>4115</v>
      </c>
      <c r="AU883">
        <v>4</v>
      </c>
      <c r="AV883" t="s">
        <v>4109</v>
      </c>
    </row>
    <row r="884" spans="1:48">
      <c r="A884" t="s">
        <v>4026</v>
      </c>
      <c r="B884" t="s">
        <v>4027</v>
      </c>
      <c r="C884" t="s">
        <v>1344</v>
      </c>
      <c r="D884" t="s">
        <v>4028</v>
      </c>
      <c r="E884" t="s">
        <v>177</v>
      </c>
      <c r="F884" t="s">
        <v>117</v>
      </c>
      <c r="G884" t="s">
        <v>51</v>
      </c>
      <c r="H884" t="s">
        <v>196</v>
      </c>
      <c r="I884" t="s">
        <v>197</v>
      </c>
      <c r="J884" t="s">
        <v>95</v>
      </c>
      <c r="K884" t="s">
        <v>96</v>
      </c>
      <c r="L884" t="s">
        <v>4029</v>
      </c>
      <c r="M884" t="s">
        <v>76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146</v>
      </c>
      <c r="U884" t="s">
        <v>134</v>
      </c>
      <c r="W884" t="s">
        <v>4026</v>
      </c>
      <c r="X884" t="str">
        <v>02-02-25</v>
      </c>
      <c r="Y884" t="str">
        <v>02-10-25</v>
      </c>
      <c r="Z884" t="s">
        <v>4028</v>
      </c>
      <c r="AA884" t="str">
        <v>Sneha Kapoor</v>
      </c>
      <c r="AB884" t="str">
        <f>TRIM(PROPER(F:F))</f>
        <v>Corporate</v>
      </c>
      <c r="AC884" t="str">
        <f>TRIM(PROPER(G:G))</f>
        <v>East</v>
      </c>
      <c r="AD884" t="str">
        <f>TRIM(PROPER(H:H))</f>
        <v>Bihar</v>
      </c>
      <c r="AE884" t="str">
        <f>TRIM(PROPER(I:I))</f>
        <v>Patna</v>
      </c>
      <c r="AF884" t="str">
        <f>TRIM(PROPER(J:J))</f>
        <v>Technology</v>
      </c>
      <c r="AG884" t="str">
        <f t="shared" si="26"/>
        <v>Accessories</v>
      </c>
      <c r="AH884" t="str">
        <f t="shared" si="24"/>
        <v>Basic Accessories 607</v>
      </c>
      <c r="AI884" t="str">
        <f t="shared" si="24"/>
        <v>Standard Class</v>
      </c>
      <c r="AJ884" s="3" t="str">
        <f t="shared" si="25"/>
        <v>anomaly</v>
      </c>
      <c r="AK884">
        <f>IFERROR(Y884-X884, "invalid date")</f>
        <v>242</v>
      </c>
      <c r="AL884" s="10">
        <v>0</v>
      </c>
      <c r="AM884" s="11">
        <v>7649.8</v>
      </c>
      <c r="AN884" s="11">
        <v>2755.2700000000004</v>
      </c>
      <c r="AO884" s="10">
        <v>0.36017542942299152</v>
      </c>
      <c r="AP884" t="s">
        <v>4665</v>
      </c>
      <c r="AQ884" t="s">
        <v>4421</v>
      </c>
      <c r="AR884" t="s">
        <v>4129</v>
      </c>
      <c r="AS884" t="s">
        <v>4120</v>
      </c>
      <c r="AT884" t="s">
        <v>4115</v>
      </c>
      <c r="AU884">
        <v>242</v>
      </c>
      <c r="AV884" t="s">
        <v>4109</v>
      </c>
    </row>
    <row r="885" spans="1:48">
      <c r="A885" t="s">
        <v>4030</v>
      </c>
      <c r="B885" t="s">
        <v>4031</v>
      </c>
      <c r="C885" t="s">
        <v>4032</v>
      </c>
      <c r="D885" t="s">
        <v>4033</v>
      </c>
      <c r="E885" t="s">
        <v>171</v>
      </c>
      <c r="F885" t="s">
        <v>50</v>
      </c>
      <c r="G885" t="s">
        <v>82</v>
      </c>
      <c r="H885" t="s">
        <v>259</v>
      </c>
      <c r="I885" t="s">
        <v>260</v>
      </c>
      <c r="J885" t="s">
        <v>39</v>
      </c>
      <c r="K885" t="s">
        <v>165</v>
      </c>
      <c r="L885" t="s">
        <v>4034</v>
      </c>
      <c r="M885" t="s">
        <v>57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43</v>
      </c>
      <c r="U885" t="s">
        <v>44</v>
      </c>
      <c r="W885" t="s">
        <v>4030</v>
      </c>
      <c r="X885" t="str">
        <v>28-04-25</v>
      </c>
      <c r="Y885" t="str">
        <v>05-01-25</v>
      </c>
      <c r="Z885" t="s">
        <v>4033</v>
      </c>
      <c r="AA885" t="str">
        <v>Aarav Sharma</v>
      </c>
      <c r="AB885" t="str">
        <f>TRIM(PROPER(F:F))</f>
        <v>Small Business</v>
      </c>
      <c r="AC885" t="str">
        <f>TRIM(PROPER(G:G))</f>
        <v>West</v>
      </c>
      <c r="AD885" t="str">
        <f>TRIM(PROPER(H:H))</f>
        <v>Goa</v>
      </c>
      <c r="AE885" t="str">
        <f>TRIM(PROPER(I:I))</f>
        <v>Panaji</v>
      </c>
      <c r="AF885" t="str">
        <f>TRIM(PROPER(J:J))</f>
        <v>Office Supplies</v>
      </c>
      <c r="AG885" t="str">
        <f t="shared" si="26"/>
        <v>Storage</v>
      </c>
      <c r="AH885" t="str">
        <f t="shared" si="24"/>
        <v>Classic Storage 211</v>
      </c>
      <c r="AI885" t="str">
        <f t="shared" si="24"/>
        <v>Same Day</v>
      </c>
      <c r="AJ885" s="3" t="str">
        <f t="shared" si="25"/>
        <v xml:space="preserve">  </v>
      </c>
      <c r="AK885">
        <f>IFERROR(Y885-X885, "invalid date")</f>
        <v>-113</v>
      </c>
      <c r="AL885" s="10">
        <v>0</v>
      </c>
      <c r="AM885" s="11">
        <v>1620.87</v>
      </c>
      <c r="AN885" s="11">
        <v>517.26</v>
      </c>
      <c r="AO885" s="10">
        <v>0.31912491439782342</v>
      </c>
      <c r="AP885" t="s">
        <v>4617</v>
      </c>
      <c r="AQ885" t="s">
        <v>4210</v>
      </c>
      <c r="AR885" t="s">
        <v>4199</v>
      </c>
      <c r="AS885" t="s">
        <v>4120</v>
      </c>
      <c r="AT885" t="s">
        <v>4121</v>
      </c>
      <c r="AU885">
        <v>-113</v>
      </c>
      <c r="AV885" t="s">
        <v>4109</v>
      </c>
    </row>
    <row r="886" spans="1:48">
      <c r="A886" t="s">
        <v>4035</v>
      </c>
      <c r="B886" t="s">
        <v>4036</v>
      </c>
      <c r="C886" t="s">
        <v>4037</v>
      </c>
      <c r="D886" t="s">
        <v>4038</v>
      </c>
      <c r="E886" t="s">
        <v>102</v>
      </c>
      <c r="F886" t="s">
        <v>124</v>
      </c>
      <c r="G886" t="s">
        <v>71</v>
      </c>
      <c r="H886" t="s">
        <v>239</v>
      </c>
      <c r="I886" t="s">
        <v>240</v>
      </c>
      <c r="J886" t="s">
        <v>39</v>
      </c>
      <c r="K886" t="s">
        <v>165</v>
      </c>
      <c r="L886" t="s">
        <v>4039</v>
      </c>
      <c r="M886" t="s">
        <v>57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43</v>
      </c>
      <c r="U886" t="s">
        <v>44</v>
      </c>
      <c r="W886" t="s">
        <v>4035</v>
      </c>
      <c r="X886" t="str">
        <v>18-01-25</v>
      </c>
      <c r="Y886" t="str">
        <v>25-01-25</v>
      </c>
      <c r="Z886" t="s">
        <v>4038</v>
      </c>
      <c r="AA886" t="str">
        <v>Neha Gupta</v>
      </c>
      <c r="AB886" t="str">
        <f>TRIM(PROPER(F:F))</f>
        <v>Home Office</v>
      </c>
      <c r="AC886" t="str">
        <f>TRIM(PROPER(G:G))</f>
        <v>South</v>
      </c>
      <c r="AD886" t="str">
        <f>TRIM(PROPER(H:H))</f>
        <v>Karnataka</v>
      </c>
      <c r="AE886" t="str">
        <f>TRIM(PROPER(I:I))</f>
        <v>Bengaluru</v>
      </c>
      <c r="AF886" t="str">
        <f>TRIM(PROPER(J:J))</f>
        <v>Office Supplies</v>
      </c>
      <c r="AG886" t="str">
        <f t="shared" si="26"/>
        <v>Storage</v>
      </c>
      <c r="AH886" t="str">
        <f t="shared" si="24"/>
        <v>Eco Storage 783</v>
      </c>
      <c r="AI886" t="str">
        <f t="shared" si="24"/>
        <v>Same Day</v>
      </c>
      <c r="AJ886" s="3" t="str">
        <f t="shared" si="25"/>
        <v>anomaly</v>
      </c>
      <c r="AK886">
        <f>IFERROR(Y886-X886, "invalid date")</f>
        <v>7</v>
      </c>
      <c r="AL886" s="10">
        <v>0.15</v>
      </c>
      <c r="AM886" s="11">
        <v>3567.518</v>
      </c>
      <c r="AN886" s="11">
        <v>1155.7179999999998</v>
      </c>
      <c r="AO886" s="10">
        <v>0.32395575859743381</v>
      </c>
      <c r="AP886" t="s">
        <v>4715</v>
      </c>
      <c r="AQ886" t="s">
        <v>4705</v>
      </c>
      <c r="AR886" t="s">
        <v>4153</v>
      </c>
      <c r="AS886" t="s">
        <v>4120</v>
      </c>
      <c r="AT886" t="s">
        <v>4115</v>
      </c>
      <c r="AU886">
        <v>7</v>
      </c>
      <c r="AV886" t="s">
        <v>4109</v>
      </c>
    </row>
    <row r="887" spans="1:48">
      <c r="A887" t="s">
        <v>4040</v>
      </c>
      <c r="B887" t="s">
        <v>4041</v>
      </c>
      <c r="C887" t="s">
        <v>4041</v>
      </c>
      <c r="D887" t="s">
        <v>4042</v>
      </c>
      <c r="E887" t="s">
        <v>220</v>
      </c>
      <c r="F887" t="s">
        <v>35</v>
      </c>
      <c r="G887" t="s">
        <v>36</v>
      </c>
      <c r="H887" t="s">
        <v>37</v>
      </c>
      <c r="I887" t="s">
        <v>38</v>
      </c>
      <c r="J887" t="s">
        <v>54</v>
      </c>
      <c r="K887" t="s">
        <v>55</v>
      </c>
      <c r="L887" t="s">
        <v>4043</v>
      </c>
      <c r="M887" t="s">
        <v>76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43</v>
      </c>
      <c r="U887" t="s">
        <v>44</v>
      </c>
      <c r="W887" t="s">
        <v>4040</v>
      </c>
      <c r="X887" t="str">
        <v>05-01-24</v>
      </c>
      <c r="Y887" t="str">
        <v>05-01-24</v>
      </c>
      <c r="Z887" t="s">
        <v>4042</v>
      </c>
      <c r="AA887" t="str">
        <v>Diya Patel</v>
      </c>
      <c r="AB887" t="str">
        <f>TRIM(PROPER(F:F))</f>
        <v>Consumer</v>
      </c>
      <c r="AC887" t="str">
        <f>TRIM(PROPER(G:G))</f>
        <v>North</v>
      </c>
      <c r="AD887" t="str">
        <f>TRIM(PROPER(H:H))</f>
        <v>Rajasthan</v>
      </c>
      <c r="AE887" t="str">
        <f>TRIM(PROPER(I:I))</f>
        <v>Jaipur</v>
      </c>
      <c r="AF887" t="str">
        <f>TRIM(PROPER(J:J))</f>
        <v>Furniture</v>
      </c>
      <c r="AG887" t="str">
        <f t="shared" si="26"/>
        <v>Tables</v>
      </c>
      <c r="AH887" t="str">
        <f t="shared" si="24"/>
        <v>Pro Tables 866</v>
      </c>
      <c r="AI887" t="str">
        <f t="shared" si="24"/>
        <v>Standard Class</v>
      </c>
      <c r="AJ887" s="3" t="str">
        <f t="shared" si="25"/>
        <v xml:space="preserve">  </v>
      </c>
      <c r="AK887">
        <f>IFERROR(Y887-X887, "invalid date")</f>
        <v>0</v>
      </c>
      <c r="AL887" s="10">
        <v>0.25</v>
      </c>
      <c r="AM887" s="11">
        <v>1625.31</v>
      </c>
      <c r="AN887" s="11">
        <v>467.41999999999985</v>
      </c>
      <c r="AO887" s="10">
        <v>0.28758821394072509</v>
      </c>
      <c r="AP887" t="s">
        <v>4688</v>
      </c>
      <c r="AQ887" t="s">
        <v>4688</v>
      </c>
      <c r="AR887" t="s">
        <v>4153</v>
      </c>
      <c r="AS887" t="s">
        <v>4107</v>
      </c>
      <c r="AT887" t="s">
        <v>4115</v>
      </c>
      <c r="AU887">
        <v>0</v>
      </c>
      <c r="AV887" t="s">
        <v>4109</v>
      </c>
    </row>
    <row r="888" spans="1:48">
      <c r="A888" t="s">
        <v>4044</v>
      </c>
      <c r="B888" t="s">
        <v>4045</v>
      </c>
      <c r="C888" t="s">
        <v>4046</v>
      </c>
      <c r="D888" t="s">
        <v>4047</v>
      </c>
      <c r="E888" t="s">
        <v>70</v>
      </c>
      <c r="F888" t="s">
        <v>124</v>
      </c>
      <c r="G888" t="s">
        <v>71</v>
      </c>
      <c r="H888" t="s">
        <v>350</v>
      </c>
      <c r="I888" t="s">
        <v>351</v>
      </c>
      <c r="J888" t="s">
        <v>95</v>
      </c>
      <c r="K888" t="s">
        <v>96</v>
      </c>
      <c r="L888" t="s">
        <v>4048</v>
      </c>
      <c r="M888" t="s">
        <v>65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43</v>
      </c>
      <c r="U888" t="s">
        <v>87</v>
      </c>
      <c r="W888" t="s">
        <v>4044</v>
      </c>
      <c r="X888" t="str">
        <v>26-04-25</v>
      </c>
      <c r="Y888" t="str">
        <v>03-05-25</v>
      </c>
      <c r="Z888" t="s">
        <v>4047</v>
      </c>
      <c r="AA888" t="str">
        <v>Arjun Bose</v>
      </c>
      <c r="AB888" t="str">
        <f>TRIM(PROPER(F:F))</f>
        <v>Home Office</v>
      </c>
      <c r="AC888" t="str">
        <f>TRIM(PROPER(G:G))</f>
        <v>South</v>
      </c>
      <c r="AD888" t="str">
        <f>TRIM(PROPER(H:H))</f>
        <v>Tamil Nadu</v>
      </c>
      <c r="AE888" t="str">
        <f>TRIM(PROPER(I:I))</f>
        <v>Chennai</v>
      </c>
      <c r="AF888" t="str">
        <f>TRIM(PROPER(J:J))</f>
        <v>Technology</v>
      </c>
      <c r="AG888" t="str">
        <f t="shared" si="26"/>
        <v>Accessories</v>
      </c>
      <c r="AH888" t="str">
        <f t="shared" si="24"/>
        <v>Max Accessories 541</v>
      </c>
      <c r="AI888" t="str">
        <f t="shared" si="24"/>
        <v>First Class</v>
      </c>
      <c r="AJ888" s="3" t="str">
        <f t="shared" si="25"/>
        <v xml:space="preserve">  </v>
      </c>
      <c r="AK888">
        <f>IFERROR(Y888-X888, "invalid date")</f>
        <v>7</v>
      </c>
      <c r="AL888" s="10">
        <v>0.15</v>
      </c>
      <c r="AM888" s="11">
        <v>23739.904999999999</v>
      </c>
      <c r="AN888" s="11">
        <v>6023.3849999999984</v>
      </c>
      <c r="AO888" s="10">
        <v>0.25372405660427028</v>
      </c>
      <c r="AP888" t="s">
        <v>4595</v>
      </c>
      <c r="AQ888" t="s">
        <v>4431</v>
      </c>
      <c r="AR888" t="s">
        <v>4199</v>
      </c>
      <c r="AS888" t="s">
        <v>4120</v>
      </c>
      <c r="AT888" t="s">
        <v>4121</v>
      </c>
      <c r="AU888">
        <v>7</v>
      </c>
      <c r="AV888" t="s">
        <v>4109</v>
      </c>
    </row>
    <row r="889" spans="1:48">
      <c r="A889" t="s">
        <v>4049</v>
      </c>
      <c r="B889" t="s">
        <v>3927</v>
      </c>
      <c r="C889" t="s">
        <v>694</v>
      </c>
      <c r="D889" t="s">
        <v>4050</v>
      </c>
      <c r="E889" t="s">
        <v>171</v>
      </c>
      <c r="F889" t="s">
        <v>50</v>
      </c>
      <c r="G889" t="s">
        <v>71</v>
      </c>
      <c r="H889" t="s">
        <v>109</v>
      </c>
      <c r="I889" t="s">
        <v>110</v>
      </c>
      <c r="J889" t="s">
        <v>39</v>
      </c>
      <c r="K889" t="s">
        <v>63</v>
      </c>
      <c r="L889" t="s">
        <v>4051</v>
      </c>
      <c r="M889" t="s">
        <v>76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43</v>
      </c>
      <c r="U889" t="s">
        <v>44</v>
      </c>
      <c r="W889" t="s">
        <v>4049</v>
      </c>
      <c r="X889" t="str">
        <v>12-06-24</v>
      </c>
      <c r="Y889" t="str">
        <v>18-06-24</v>
      </c>
      <c r="Z889" t="s">
        <v>4050</v>
      </c>
      <c r="AA889" t="str">
        <v>Aarav Sharma</v>
      </c>
      <c r="AB889" t="str">
        <f>TRIM(PROPER(F:F))</f>
        <v>Small Business</v>
      </c>
      <c r="AC889" t="str">
        <f>TRIM(PROPER(G:G))</f>
        <v>South</v>
      </c>
      <c r="AD889" t="str">
        <f>TRIM(PROPER(H:H))</f>
        <v>Andhra Pradesh</v>
      </c>
      <c r="AE889" t="str">
        <f>TRIM(PROPER(I:I))</f>
        <v>Vijayawada</v>
      </c>
      <c r="AF889" t="str">
        <f>TRIM(PROPER(J:J))</f>
        <v>Office Supplies</v>
      </c>
      <c r="AG889" t="str">
        <f t="shared" si="26"/>
        <v>Art</v>
      </c>
      <c r="AH889" t="str">
        <f t="shared" si="24"/>
        <v>Prime Art 596</v>
      </c>
      <c r="AI889" t="str">
        <f t="shared" si="24"/>
        <v>Standard Class</v>
      </c>
      <c r="AJ889" s="3" t="str">
        <f t="shared" si="25"/>
        <v>anomaly</v>
      </c>
      <c r="AK889">
        <f>IFERROR(Y889-X889, "invalid date")</f>
        <v>6</v>
      </c>
      <c r="AL889" s="10">
        <v>0</v>
      </c>
      <c r="AM889" s="11">
        <v>16704.52</v>
      </c>
      <c r="AN889" s="11">
        <v>6546.24</v>
      </c>
      <c r="AO889" s="10">
        <v>0.39188435225914897</v>
      </c>
      <c r="AP889" t="s">
        <v>4295</v>
      </c>
      <c r="AQ889" t="s">
        <v>4294</v>
      </c>
      <c r="AR889" t="s">
        <v>4170</v>
      </c>
      <c r="AS889" t="s">
        <v>4107</v>
      </c>
      <c r="AT889" t="s">
        <v>4115</v>
      </c>
      <c r="AU889">
        <v>6</v>
      </c>
      <c r="AV889" t="s">
        <v>4109</v>
      </c>
    </row>
    <row r="890" spans="1:48">
      <c r="A890" t="s">
        <v>4052</v>
      </c>
      <c r="B890" t="s">
        <v>4053</v>
      </c>
      <c r="C890" t="s">
        <v>3587</v>
      </c>
      <c r="D890" t="s">
        <v>4054</v>
      </c>
      <c r="E890" t="s">
        <v>157</v>
      </c>
      <c r="F890" t="s">
        <v>50</v>
      </c>
      <c r="G890" t="s">
        <v>82</v>
      </c>
      <c r="H890" t="s">
        <v>83</v>
      </c>
      <c r="I890" t="s">
        <v>84</v>
      </c>
      <c r="J890" t="s">
        <v>39</v>
      </c>
      <c r="K890" t="s">
        <v>63</v>
      </c>
      <c r="L890" t="s">
        <v>4055</v>
      </c>
      <c r="M890" t="s">
        <v>76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133</v>
      </c>
      <c r="U890" t="s">
        <v>87</v>
      </c>
      <c r="W890" t="s">
        <v>4052</v>
      </c>
      <c r="X890" t="str">
        <v>06-08-25</v>
      </c>
      <c r="Y890" t="str">
        <v>07-08-25</v>
      </c>
      <c r="Z890" t="s">
        <v>4054</v>
      </c>
      <c r="AA890" t="str">
        <v>Rahul Verma</v>
      </c>
      <c r="AB890" t="str">
        <f>TRIM(PROPER(F:F))</f>
        <v>Small Business</v>
      </c>
      <c r="AC890" t="str">
        <f>TRIM(PROPER(G:G))</f>
        <v>West</v>
      </c>
      <c r="AD890" t="str">
        <f>TRIM(PROPER(H:H))</f>
        <v>Maharashtra</v>
      </c>
      <c r="AE890" t="str">
        <f>TRIM(PROPER(I:I))</f>
        <v>Mumbai</v>
      </c>
      <c r="AF890" t="str">
        <f>TRIM(PROPER(J:J))</f>
        <v>Office Supplies</v>
      </c>
      <c r="AG890" t="str">
        <f t="shared" si="26"/>
        <v>Art</v>
      </c>
      <c r="AH890" t="str">
        <f t="shared" si="26"/>
        <v>Pro Art 620</v>
      </c>
      <c r="AI890" t="str">
        <f t="shared" si="26"/>
        <v>Standard Class</v>
      </c>
      <c r="AJ890" s="3" t="str">
        <f t="shared" si="25"/>
        <v>anomaly</v>
      </c>
      <c r="AK890">
        <f>IFERROR(Y890-X890, "invalid date")</f>
        <v>1</v>
      </c>
      <c r="AL890" s="10">
        <v>0.1</v>
      </c>
      <c r="AM890" s="11">
        <v>12685.103999999999</v>
      </c>
      <c r="AN890" s="11">
        <v>1905.5439999999999</v>
      </c>
      <c r="AO890" s="10">
        <v>0.15021902855506741</v>
      </c>
      <c r="AP890" t="s">
        <v>4428</v>
      </c>
      <c r="AQ890" t="s">
        <v>4238</v>
      </c>
      <c r="AR890" t="s">
        <v>4114</v>
      </c>
      <c r="AS890" t="s">
        <v>4120</v>
      </c>
      <c r="AT890" t="s">
        <v>4115</v>
      </c>
      <c r="AU890">
        <v>1</v>
      </c>
      <c r="AV890" t="s">
        <v>4109</v>
      </c>
    </row>
    <row r="891" spans="1:48">
      <c r="A891" t="s">
        <v>4056</v>
      </c>
      <c r="B891" t="s">
        <v>4057</v>
      </c>
      <c r="C891" t="s">
        <v>4058</v>
      </c>
      <c r="D891" t="s">
        <v>1358</v>
      </c>
      <c r="E891" t="s">
        <v>116</v>
      </c>
      <c r="F891" t="s">
        <v>124</v>
      </c>
      <c r="G891" t="s">
        <v>82</v>
      </c>
      <c r="H891" t="s">
        <v>93</v>
      </c>
      <c r="I891" t="s">
        <v>94</v>
      </c>
      <c r="J891" t="s">
        <v>39</v>
      </c>
      <c r="K891" t="s">
        <v>165</v>
      </c>
      <c r="L891" t="s">
        <v>4059</v>
      </c>
      <c r="M891" t="s">
        <v>65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43</v>
      </c>
      <c r="U891" t="s">
        <v>134</v>
      </c>
      <c r="W891" t="s">
        <v>4056</v>
      </c>
      <c r="X891" t="str">
        <v>10-03-25</v>
      </c>
      <c r="Y891" t="str">
        <v>03-11-25</v>
      </c>
      <c r="Z891" t="s">
        <v>1358</v>
      </c>
      <c r="AA891" t="str">
        <v>Aditi Sen</v>
      </c>
      <c r="AB891" t="str">
        <f>TRIM(PROPER(F:F))</f>
        <v>Home Office</v>
      </c>
      <c r="AC891" t="str">
        <f>TRIM(PROPER(G:G))</f>
        <v>West</v>
      </c>
      <c r="AD891" t="str">
        <f>TRIM(PROPER(H:H))</f>
        <v>Madhya Pradesh</v>
      </c>
      <c r="AE891" t="str">
        <f>TRIM(PROPER(I:I))</f>
        <v>Indore</v>
      </c>
      <c r="AF891" t="str">
        <f>TRIM(PROPER(J:J))</f>
        <v>Office Supplies</v>
      </c>
      <c r="AG891" t="str">
        <f t="shared" si="26"/>
        <v>Storage</v>
      </c>
      <c r="AH891" t="str">
        <f t="shared" si="26"/>
        <v>Prime Storage 806</v>
      </c>
      <c r="AI891" t="str">
        <f t="shared" si="26"/>
        <v>First Class</v>
      </c>
      <c r="AJ891" s="3" t="str">
        <f t="shared" si="25"/>
        <v xml:space="preserve">  </v>
      </c>
      <c r="AK891">
        <f>IFERROR(Y891-X891, "invalid date")</f>
        <v>238</v>
      </c>
      <c r="AL891" s="10">
        <v>0.25</v>
      </c>
      <c r="AM891" s="11">
        <v>5883.12</v>
      </c>
      <c r="AN891" s="11">
        <v>1235.21</v>
      </c>
      <c r="AO891" s="10">
        <v>0.20995832143488491</v>
      </c>
      <c r="AP891" t="s">
        <v>4490</v>
      </c>
      <c r="AQ891" t="s">
        <v>4716</v>
      </c>
      <c r="AR891" t="s">
        <v>4159</v>
      </c>
      <c r="AS891" t="s">
        <v>4120</v>
      </c>
      <c r="AT891" t="s">
        <v>4121</v>
      </c>
      <c r="AU891">
        <v>238</v>
      </c>
      <c r="AV891" t="s">
        <v>4109</v>
      </c>
    </row>
    <row r="892" spans="1:48">
      <c r="A892" t="s">
        <v>4060</v>
      </c>
      <c r="B892" t="s">
        <v>169</v>
      </c>
      <c r="C892" t="s">
        <v>1150</v>
      </c>
      <c r="D892" t="s">
        <v>4061</v>
      </c>
      <c r="E892" t="s">
        <v>34</v>
      </c>
      <c r="F892" t="s">
        <v>35</v>
      </c>
      <c r="G892" t="s">
        <v>82</v>
      </c>
      <c r="H892" t="s">
        <v>259</v>
      </c>
      <c r="I892" t="s">
        <v>260</v>
      </c>
      <c r="J892" t="s">
        <v>39</v>
      </c>
      <c r="K892" t="s">
        <v>165</v>
      </c>
      <c r="L892" t="s">
        <v>4062</v>
      </c>
      <c r="M892" t="s">
        <v>76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43</v>
      </c>
      <c r="U892" t="s">
        <v>44</v>
      </c>
      <c r="W892" t="s">
        <v>4060</v>
      </c>
      <c r="X892" t="str">
        <v>15-05-24</v>
      </c>
      <c r="Y892" t="str">
        <v>21-05-24</v>
      </c>
      <c r="Z892" t="s">
        <v>4061</v>
      </c>
      <c r="AA892" t="str">
        <v>Karan Malhotra</v>
      </c>
      <c r="AB892" t="str">
        <f>TRIM(PROPER(F:F))</f>
        <v>Consumer</v>
      </c>
      <c r="AC892" t="str">
        <f>TRIM(PROPER(G:G))</f>
        <v>West</v>
      </c>
      <c r="AD892" t="str">
        <f>TRIM(PROPER(H:H))</f>
        <v>Goa</v>
      </c>
      <c r="AE892" t="str">
        <f>TRIM(PROPER(I:I))</f>
        <v>Panaji</v>
      </c>
      <c r="AF892" t="str">
        <f>TRIM(PROPER(J:J))</f>
        <v>Office Supplies</v>
      </c>
      <c r="AG892" t="str">
        <f t="shared" si="26"/>
        <v>Storage</v>
      </c>
      <c r="AH892" t="str">
        <f t="shared" si="26"/>
        <v>Smart Storage 288</v>
      </c>
      <c r="AI892" t="str">
        <f t="shared" si="26"/>
        <v>Standard Class</v>
      </c>
      <c r="AJ892" s="3" t="str">
        <f t="shared" si="25"/>
        <v>anomaly</v>
      </c>
      <c r="AK892">
        <f>IFERROR(Y892-X892, "invalid date")</f>
        <v>6</v>
      </c>
      <c r="AL892" s="10">
        <v>0.2</v>
      </c>
      <c r="AM892" s="11">
        <v>13965.888000000001</v>
      </c>
      <c r="AN892" s="11">
        <v>2319.768</v>
      </c>
      <c r="AO892" s="10">
        <v>0.16610243473239938</v>
      </c>
      <c r="AP892" t="s">
        <v>4146</v>
      </c>
      <c r="AQ892" t="s">
        <v>4382</v>
      </c>
      <c r="AR892" t="s">
        <v>4124</v>
      </c>
      <c r="AS892" t="s">
        <v>4107</v>
      </c>
      <c r="AT892" t="s">
        <v>4115</v>
      </c>
      <c r="AU892">
        <v>6</v>
      </c>
      <c r="AV892" t="s">
        <v>4109</v>
      </c>
    </row>
    <row r="893" spans="1:48">
      <c r="A893" t="s">
        <v>4063</v>
      </c>
      <c r="B893" t="s">
        <v>3786</v>
      </c>
      <c r="C893" t="s">
        <v>2567</v>
      </c>
      <c r="D893" t="s">
        <v>4064</v>
      </c>
      <c r="E893" t="s">
        <v>377</v>
      </c>
      <c r="F893" t="s">
        <v>117</v>
      </c>
      <c r="G893" t="s">
        <v>71</v>
      </c>
      <c r="H893" t="s">
        <v>350</v>
      </c>
      <c r="I893" t="s">
        <v>351</v>
      </c>
      <c r="J893" t="s">
        <v>95</v>
      </c>
      <c r="K893" t="s">
        <v>393</v>
      </c>
      <c r="L893" t="s">
        <v>4065</v>
      </c>
      <c r="M893" t="s">
        <v>57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210</v>
      </c>
      <c r="U893" t="s">
        <v>87</v>
      </c>
      <c r="W893" t="s">
        <v>4063</v>
      </c>
      <c r="X893" t="str">
        <v>08-10-24</v>
      </c>
      <c r="Y893" t="str">
        <v>09-10-24</v>
      </c>
      <c r="Z893" t="s">
        <v>4064</v>
      </c>
      <c r="AA893" t="str">
        <v>Kabir Singh</v>
      </c>
      <c r="AB893" t="str">
        <f>TRIM(PROPER(F:F))</f>
        <v>Corporate</v>
      </c>
      <c r="AC893" t="str">
        <f>TRIM(PROPER(G:G))</f>
        <v>South</v>
      </c>
      <c r="AD893" t="str">
        <f>TRIM(PROPER(H:H))</f>
        <v>Tamil Nadu</v>
      </c>
      <c r="AE893" t="str">
        <f>TRIM(PROPER(I:I))</f>
        <v>Chennai</v>
      </c>
      <c r="AF893" t="str">
        <f>TRIM(PROPER(J:J))</f>
        <v>Technology</v>
      </c>
      <c r="AG893" t="str">
        <f t="shared" si="26"/>
        <v>Machines</v>
      </c>
      <c r="AH893" t="str">
        <f t="shared" si="26"/>
        <v>Elite Machines 281</v>
      </c>
      <c r="AI893" t="str">
        <f t="shared" si="26"/>
        <v>Same Day</v>
      </c>
      <c r="AJ893" s="3" t="str">
        <f t="shared" si="25"/>
        <v>anomaly</v>
      </c>
      <c r="AK893">
        <f>IFERROR(Y893-X893, "invalid date")</f>
        <v>1</v>
      </c>
      <c r="AL893" s="10">
        <v>0.1</v>
      </c>
      <c r="AM893" s="11">
        <v>10835.865</v>
      </c>
      <c r="AN893" s="11">
        <v>4415.9449999999997</v>
      </c>
      <c r="AO893" s="10">
        <v>0.40753045557507406</v>
      </c>
      <c r="AP893" t="s">
        <v>4616</v>
      </c>
      <c r="AQ893" t="s">
        <v>4601</v>
      </c>
      <c r="AR893" t="s">
        <v>4126</v>
      </c>
      <c r="AS893" t="s">
        <v>4107</v>
      </c>
      <c r="AT893" t="s">
        <v>4115</v>
      </c>
      <c r="AU893">
        <v>1</v>
      </c>
      <c r="AV893" t="s">
        <v>4109</v>
      </c>
    </row>
    <row r="894" spans="1:48">
      <c r="A894" t="s">
        <v>4066</v>
      </c>
      <c r="B894" t="s">
        <v>4067</v>
      </c>
      <c r="C894" t="s">
        <v>3009</v>
      </c>
      <c r="D894" t="s">
        <v>4068</v>
      </c>
      <c r="E894" t="s">
        <v>62</v>
      </c>
      <c r="F894" t="s">
        <v>50</v>
      </c>
      <c r="G894" t="s">
        <v>51</v>
      </c>
      <c r="H894" t="s">
        <v>322</v>
      </c>
      <c r="I894" t="s">
        <v>323</v>
      </c>
      <c r="J894" t="s">
        <v>95</v>
      </c>
      <c r="K894" t="s">
        <v>103</v>
      </c>
      <c r="L894" t="s">
        <v>4069</v>
      </c>
      <c r="M894" t="s">
        <v>57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43</v>
      </c>
      <c r="U894" t="s">
        <v>44</v>
      </c>
      <c r="W894" t="s">
        <v>4066</v>
      </c>
      <c r="X894" t="str">
        <v>04-12-25</v>
      </c>
      <c r="Y894" t="str">
        <v>invalid date</v>
      </c>
      <c r="Z894" t="s">
        <v>4068</v>
      </c>
      <c r="AA894" t="str">
        <v>Isha Nair</v>
      </c>
      <c r="AB894" t="str">
        <f>TRIM(PROPER(F:F))</f>
        <v>Small Business</v>
      </c>
      <c r="AC894" t="str">
        <f>TRIM(PROPER(G:G))</f>
        <v>East</v>
      </c>
      <c r="AD894" t="str">
        <f>TRIM(PROPER(H:H))</f>
        <v>Jharkhand</v>
      </c>
      <c r="AE894" t="str">
        <f>TRIM(PROPER(I:I))</f>
        <v>Ranchi</v>
      </c>
      <c r="AF894" t="str">
        <f>TRIM(PROPER(J:J))</f>
        <v>Technology</v>
      </c>
      <c r="AG894" t="str">
        <f t="shared" si="26"/>
        <v>Copiers</v>
      </c>
      <c r="AH894" t="str">
        <f t="shared" si="26"/>
        <v>Elite Copiers 221</v>
      </c>
      <c r="AI894" t="str">
        <f t="shared" si="26"/>
        <v>Same Day</v>
      </c>
      <c r="AJ894" s="3" t="str">
        <f t="shared" si="25"/>
        <v>Invalid</v>
      </c>
      <c r="AK894" t="str">
        <f>IFERROR(Y894-X894, "invalid date")</f>
        <v>invalid date</v>
      </c>
      <c r="AL894" s="10">
        <v>0.2</v>
      </c>
      <c r="AM894" s="11">
        <v>581.51200000000006</v>
      </c>
      <c r="AN894" s="11">
        <v>157.65200000000004</v>
      </c>
      <c r="AO894" s="10">
        <v>0.27110704508247468</v>
      </c>
      <c r="AP894" t="s">
        <v>4717</v>
      </c>
      <c r="AQ894" t="s">
        <v>4105</v>
      </c>
      <c r="AR894" t="s">
        <v>4139</v>
      </c>
      <c r="AS894" t="s">
        <v>4120</v>
      </c>
      <c r="AT894" t="s">
        <v>4108</v>
      </c>
      <c r="AU894" t="s">
        <v>4105</v>
      </c>
      <c r="AV894" t="s">
        <v>4109</v>
      </c>
    </row>
    <row r="895" spans="1:48">
      <c r="A895" t="s">
        <v>4070</v>
      </c>
      <c r="B895" t="s">
        <v>4071</v>
      </c>
      <c r="C895" t="s">
        <v>4072</v>
      </c>
      <c r="D895" t="s">
        <v>4073</v>
      </c>
      <c r="E895" t="s">
        <v>171</v>
      </c>
      <c r="F895" t="s">
        <v>117</v>
      </c>
      <c r="G895" t="s">
        <v>71</v>
      </c>
      <c r="H895" t="s">
        <v>239</v>
      </c>
      <c r="I895" t="s">
        <v>240</v>
      </c>
      <c r="J895" t="s">
        <v>54</v>
      </c>
      <c r="K895" t="s">
        <v>55</v>
      </c>
      <c r="L895" t="s">
        <v>4074</v>
      </c>
      <c r="M895" t="s">
        <v>42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43</v>
      </c>
      <c r="U895" t="s">
        <v>134</v>
      </c>
      <c r="W895" t="s">
        <v>4070</v>
      </c>
      <c r="X895" t="str">
        <v>06-06-24</v>
      </c>
      <c r="Y895" t="str">
        <v>08-06-24</v>
      </c>
      <c r="Z895" t="s">
        <v>4073</v>
      </c>
      <c r="AA895" t="str">
        <v>Aarav Sharma</v>
      </c>
      <c r="AB895" t="str">
        <f>TRIM(PROPER(F:F))</f>
        <v>Corporate</v>
      </c>
      <c r="AC895" t="str">
        <f>TRIM(PROPER(G:G))</f>
        <v>South</v>
      </c>
      <c r="AD895" t="str">
        <f>TRIM(PROPER(H:H))</f>
        <v>Karnataka</v>
      </c>
      <c r="AE895" t="str">
        <f>TRIM(PROPER(I:I))</f>
        <v>Bengaluru</v>
      </c>
      <c r="AF895" t="str">
        <f>TRIM(PROPER(J:J))</f>
        <v>Furniture</v>
      </c>
      <c r="AG895" t="str">
        <f t="shared" si="26"/>
        <v>Tables</v>
      </c>
      <c r="AH895" t="str">
        <f t="shared" si="26"/>
        <v>Max Tables 291</v>
      </c>
      <c r="AI895" t="str">
        <f t="shared" si="26"/>
        <v>Second Class</v>
      </c>
      <c r="AJ895" s="3" t="str">
        <f t="shared" si="25"/>
        <v>anomaly</v>
      </c>
      <c r="AK895">
        <f>IFERROR(Y895-X895, "invalid date")</f>
        <v>2</v>
      </c>
      <c r="AL895" s="10">
        <v>0.05</v>
      </c>
      <c r="AM895" s="11">
        <v>1127.1465000000001</v>
      </c>
      <c r="AN895" s="11">
        <v>281.52650000000006</v>
      </c>
      <c r="AO895" s="10">
        <v>0.24976921810962466</v>
      </c>
      <c r="AP895" t="s">
        <v>4369</v>
      </c>
      <c r="AQ895" t="s">
        <v>4718</v>
      </c>
      <c r="AR895" t="s">
        <v>4170</v>
      </c>
      <c r="AS895" t="s">
        <v>4107</v>
      </c>
      <c r="AT895" t="s">
        <v>4115</v>
      </c>
      <c r="AU895">
        <v>2</v>
      </c>
      <c r="AV895" t="s">
        <v>4109</v>
      </c>
    </row>
    <row r="896" spans="1:48">
      <c r="A896" t="s">
        <v>4075</v>
      </c>
      <c r="B896" t="s">
        <v>1954</v>
      </c>
      <c r="C896" t="s">
        <v>4076</v>
      </c>
      <c r="D896" t="s">
        <v>4077</v>
      </c>
      <c r="E896" t="s">
        <v>62</v>
      </c>
      <c r="F896" t="s">
        <v>124</v>
      </c>
      <c r="G896" t="s">
        <v>71</v>
      </c>
      <c r="H896" t="s">
        <v>72</v>
      </c>
      <c r="I896" t="s">
        <v>73</v>
      </c>
      <c r="J896" t="s">
        <v>54</v>
      </c>
      <c r="K896" t="s">
        <v>55</v>
      </c>
      <c r="L896" t="s">
        <v>4078</v>
      </c>
      <c r="M896" t="s">
        <v>65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43</v>
      </c>
      <c r="U896" t="s">
        <v>44</v>
      </c>
      <c r="W896" t="s">
        <v>4075</v>
      </c>
      <c r="X896" t="str">
        <v>22-02-24</v>
      </c>
      <c r="Y896" t="str">
        <v>invalid date</v>
      </c>
      <c r="Z896" t="s">
        <v>4077</v>
      </c>
      <c r="AA896" t="str">
        <v>Isha Nair</v>
      </c>
      <c r="AB896" t="str">
        <f>TRIM(PROPER(F:F))</f>
        <v>Home Office</v>
      </c>
      <c r="AC896" t="str">
        <f>TRIM(PROPER(G:G))</f>
        <v>South</v>
      </c>
      <c r="AD896" t="str">
        <f>TRIM(PROPER(H:H))</f>
        <v>Telangana</v>
      </c>
      <c r="AE896" t="str">
        <f>TRIM(PROPER(I:I))</f>
        <v>Hyderabad</v>
      </c>
      <c r="AF896" t="str">
        <f>TRIM(PROPER(J:J))</f>
        <v>Furniture</v>
      </c>
      <c r="AG896" t="str">
        <f t="shared" si="26"/>
        <v>Tables</v>
      </c>
      <c r="AH896" t="str">
        <f t="shared" si="26"/>
        <v>Classic Tables 638</v>
      </c>
      <c r="AI896" t="str">
        <f t="shared" si="26"/>
        <v>First Class</v>
      </c>
      <c r="AJ896" s="3" t="str">
        <f t="shared" si="25"/>
        <v>Invalid</v>
      </c>
      <c r="AK896" t="str">
        <f>IFERROR(Y896-X896, "invalid date")</f>
        <v>invalid date</v>
      </c>
      <c r="AL896" s="10">
        <v>0</v>
      </c>
      <c r="AM896" s="11">
        <v>25524.300000000003</v>
      </c>
      <c r="AN896" s="11">
        <v>8812.3700000000026</v>
      </c>
      <c r="AO896" s="10">
        <v>0.34525413037771857</v>
      </c>
      <c r="AP896" t="s">
        <v>4523</v>
      </c>
      <c r="AQ896" t="s">
        <v>4105</v>
      </c>
      <c r="AR896" t="s">
        <v>4129</v>
      </c>
      <c r="AS896" t="s">
        <v>4107</v>
      </c>
      <c r="AT896" t="s">
        <v>4108</v>
      </c>
      <c r="AU896" t="s">
        <v>4105</v>
      </c>
      <c r="AV896" t="s">
        <v>4109</v>
      </c>
    </row>
    <row r="897" spans="1:48">
      <c r="A897" t="s">
        <v>4079</v>
      </c>
      <c r="B897" t="s">
        <v>4080</v>
      </c>
      <c r="C897" t="s">
        <v>114</v>
      </c>
      <c r="D897" t="s">
        <v>4081</v>
      </c>
      <c r="E897" t="s">
        <v>70</v>
      </c>
      <c r="F897" t="s">
        <v>35</v>
      </c>
      <c r="G897" t="s">
        <v>71</v>
      </c>
      <c r="H897" t="s">
        <v>252</v>
      </c>
      <c r="I897" t="s">
        <v>253</v>
      </c>
      <c r="J897" t="s">
        <v>54</v>
      </c>
      <c r="K897" t="s">
        <v>85</v>
      </c>
      <c r="L897" t="s">
        <v>4082</v>
      </c>
      <c r="M897" t="s">
        <v>57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146</v>
      </c>
      <c r="U897" t="s">
        <v>134</v>
      </c>
      <c r="W897" t="s">
        <v>4079</v>
      </c>
      <c r="X897" t="str">
        <v>05-11-24</v>
      </c>
      <c r="Y897" t="str">
        <v>11-10-24</v>
      </c>
      <c r="Z897" t="s">
        <v>4081</v>
      </c>
      <c r="AA897" t="str">
        <v>Arjun Bose</v>
      </c>
      <c r="AB897" t="str">
        <f>TRIM(PROPER(F:F))</f>
        <v>Consumer</v>
      </c>
      <c r="AC897" t="str">
        <f>TRIM(PROPER(G:G))</f>
        <v>South</v>
      </c>
      <c r="AD897" t="str">
        <f>TRIM(PROPER(H:H))</f>
        <v>Kerala</v>
      </c>
      <c r="AE897" t="str">
        <f>TRIM(PROPER(I:I))</f>
        <v>Kochi</v>
      </c>
      <c r="AF897" t="str">
        <f>TRIM(PROPER(J:J))</f>
        <v>Furniture</v>
      </c>
      <c r="AG897" t="str">
        <f t="shared" si="26"/>
        <v>Chairs</v>
      </c>
      <c r="AH897" t="str">
        <f t="shared" si="26"/>
        <v>Basic Chairs 212</v>
      </c>
      <c r="AI897" t="str">
        <f t="shared" si="26"/>
        <v>Same Day</v>
      </c>
      <c r="AJ897" s="3" t="str">
        <f t="shared" si="25"/>
        <v>anomaly</v>
      </c>
      <c r="AK897">
        <f>IFERROR(Y897-X897, "invalid date")</f>
        <v>-25</v>
      </c>
      <c r="AL897" s="10">
        <v>0.15</v>
      </c>
      <c r="AM897" s="11">
        <v>2418.0119999999997</v>
      </c>
      <c r="AN897" s="11">
        <v>976.12199999999962</v>
      </c>
      <c r="AO897" s="10">
        <v>0.40368782288921634</v>
      </c>
      <c r="AP897" t="s">
        <v>4422</v>
      </c>
      <c r="AQ897" t="s">
        <v>4131</v>
      </c>
      <c r="AR897" t="s">
        <v>4117</v>
      </c>
      <c r="AS897" t="s">
        <v>4107</v>
      </c>
      <c r="AT897" t="s">
        <v>4115</v>
      </c>
      <c r="AU897">
        <v>-25</v>
      </c>
      <c r="AV897" t="s">
        <v>4109</v>
      </c>
    </row>
    <row r="898" spans="1:48">
      <c r="A898" t="s">
        <v>4083</v>
      </c>
      <c r="B898" t="s">
        <v>4084</v>
      </c>
      <c r="C898" t="s">
        <v>2367</v>
      </c>
      <c r="D898" t="s">
        <v>4085</v>
      </c>
      <c r="E898" t="s">
        <v>81</v>
      </c>
      <c r="F898" t="s">
        <v>50</v>
      </c>
      <c r="G898" t="s">
        <v>71</v>
      </c>
      <c r="H898" t="s">
        <v>350</v>
      </c>
      <c r="I898" t="s">
        <v>351</v>
      </c>
      <c r="J898" t="s">
        <v>95</v>
      </c>
      <c r="K898" t="s">
        <v>103</v>
      </c>
      <c r="L898" t="s">
        <v>4086</v>
      </c>
      <c r="M898" t="s">
        <v>42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210</v>
      </c>
      <c r="U898" t="s">
        <v>134</v>
      </c>
      <c r="W898" t="s">
        <v>4083</v>
      </c>
      <c r="X898" t="str">
        <v>invalid date</v>
      </c>
      <c r="Y898" t="str">
        <v>25-12-24</v>
      </c>
      <c r="Z898" t="s">
        <v>4085</v>
      </c>
      <c r="AA898" t="str">
        <v>Ananya Rao</v>
      </c>
      <c r="AB898" t="str">
        <f>TRIM(PROPER(F:F))</f>
        <v>Small Business</v>
      </c>
      <c r="AC898" t="str">
        <f>TRIM(PROPER(G:G))</f>
        <v>South</v>
      </c>
      <c r="AD898" t="str">
        <f>TRIM(PROPER(H:H))</f>
        <v>Tamil Nadu</v>
      </c>
      <c r="AE898" t="str">
        <f>TRIM(PROPER(I:I))</f>
        <v>Chennai</v>
      </c>
      <c r="AF898" t="str">
        <f>TRIM(PROPER(J:J))</f>
        <v>Technology</v>
      </c>
      <c r="AG898" t="str">
        <f t="shared" si="26"/>
        <v>Copiers</v>
      </c>
      <c r="AH898" t="str">
        <f t="shared" si="26"/>
        <v>Max Copiers 121</v>
      </c>
      <c r="AI898" t="str">
        <f t="shared" si="26"/>
        <v>Second Class</v>
      </c>
      <c r="AJ898" s="3" t="str">
        <f t="shared" si="25"/>
        <v>Invalid</v>
      </c>
      <c r="AK898" t="str">
        <f>IFERROR(Y898-X898, "invalid date")</f>
        <v>invalid date</v>
      </c>
      <c r="AL898" s="10">
        <v>0.05</v>
      </c>
      <c r="AM898" s="11">
        <v>3508.3784999999998</v>
      </c>
      <c r="AN898" s="11">
        <v>680.31849999999986</v>
      </c>
      <c r="AO898" s="10">
        <v>0.19391251542557336</v>
      </c>
      <c r="AP898" t="s">
        <v>4105</v>
      </c>
      <c r="AQ898" t="s">
        <v>4435</v>
      </c>
      <c r="AR898" t="s">
        <v>4105</v>
      </c>
      <c r="AS898" t="s">
        <v>4105</v>
      </c>
      <c r="AT898" t="s">
        <v>4108</v>
      </c>
      <c r="AU898" t="s">
        <v>4105</v>
      </c>
      <c r="AV898" t="s">
        <v>4109</v>
      </c>
    </row>
    <row r="899" spans="1:48">
      <c r="A899" t="s">
        <v>4087</v>
      </c>
      <c r="B899" t="s">
        <v>1190</v>
      </c>
      <c r="C899" t="s">
        <v>4088</v>
      </c>
      <c r="D899" t="s">
        <v>3209</v>
      </c>
      <c r="E899" t="s">
        <v>189</v>
      </c>
      <c r="F899" t="s">
        <v>117</v>
      </c>
      <c r="G899" t="s">
        <v>36</v>
      </c>
      <c r="H899" t="s">
        <v>334</v>
      </c>
      <c r="I899" t="s">
        <v>335</v>
      </c>
      <c r="J899" t="s">
        <v>39</v>
      </c>
      <c r="K899" t="s">
        <v>40</v>
      </c>
      <c r="L899" t="s">
        <v>4089</v>
      </c>
      <c r="M899" t="s">
        <v>65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43</v>
      </c>
      <c r="U899" t="s">
        <v>44</v>
      </c>
      <c r="W899" t="s">
        <v>4087</v>
      </c>
      <c r="X899" t="str">
        <v>invalid date</v>
      </c>
      <c r="Y899" t="str">
        <v>03-05-25</v>
      </c>
      <c r="Z899" t="s">
        <v>3209</v>
      </c>
      <c r="AA899" t="str">
        <v>Rohan Mehta</v>
      </c>
      <c r="AB899" t="str">
        <f>TRIM(PROPER(F:F))</f>
        <v>Corporate</v>
      </c>
      <c r="AC899" t="str">
        <f>TRIM(PROPER(G:G))</f>
        <v>North</v>
      </c>
      <c r="AD899" t="str">
        <f>TRIM(PROPER(H:H))</f>
        <v>Haryana</v>
      </c>
      <c r="AE899" t="str">
        <f>TRIM(PROPER(I:I))</f>
        <v>Gurugram</v>
      </c>
      <c r="AF899" t="str">
        <f>TRIM(PROPER(J:J))</f>
        <v>Office Supplies</v>
      </c>
      <c r="AG899" t="str">
        <f t="shared" si="26"/>
        <v>Paper</v>
      </c>
      <c r="AH899" t="str">
        <f t="shared" si="26"/>
        <v>Eco Paper 747</v>
      </c>
      <c r="AI899" t="str">
        <f t="shared" si="26"/>
        <v>First Class</v>
      </c>
      <c r="AJ899" s="3" t="str">
        <f t="shared" ref="AJ899:AJ933" si="27">IF(OR(X:X="Invalid Date",Y:Y="Invalid Date"),"Invalid",(IF(X:X&lt;Y:Y,"anomaly", "  ")))</f>
        <v>Invalid</v>
      </c>
      <c r="AK899" t="str">
        <f t="shared" ref="AK899:AK933" si="28">IFERROR(Y899-X899, "invalid date")</f>
        <v>invalid date</v>
      </c>
      <c r="AL899" s="10">
        <v>0.05</v>
      </c>
      <c r="AM899" s="11">
        <v>6789.27</v>
      </c>
      <c r="AN899" s="11">
        <v>1162.8400000000001</v>
      </c>
      <c r="AO899" s="10">
        <v>0.17127614603631908</v>
      </c>
      <c r="AP899" t="s">
        <v>4105</v>
      </c>
      <c r="AQ899" t="s">
        <v>4431</v>
      </c>
      <c r="AR899" t="s">
        <v>4105</v>
      </c>
      <c r="AS899" t="s">
        <v>4105</v>
      </c>
      <c r="AT899" t="s">
        <v>4108</v>
      </c>
      <c r="AU899" t="s">
        <v>4105</v>
      </c>
      <c r="AV899" t="s">
        <v>4109</v>
      </c>
    </row>
    <row r="900" spans="1:48">
      <c r="A900" t="s">
        <v>4090</v>
      </c>
      <c r="B900" t="s">
        <v>3653</v>
      </c>
      <c r="C900" t="s">
        <v>59</v>
      </c>
      <c r="D900" t="s">
        <v>4091</v>
      </c>
      <c r="E900" t="s">
        <v>92</v>
      </c>
      <c r="F900" t="s">
        <v>35</v>
      </c>
      <c r="G900" t="s">
        <v>36</v>
      </c>
      <c r="H900" t="s">
        <v>517</v>
      </c>
      <c r="I900" t="s">
        <v>518</v>
      </c>
      <c r="J900" t="s">
        <v>54</v>
      </c>
      <c r="K900" t="s">
        <v>55</v>
      </c>
      <c r="L900" t="s">
        <v>4092</v>
      </c>
      <c r="M900" t="s">
        <v>65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43</v>
      </c>
      <c r="U900" t="s">
        <v>44</v>
      </c>
      <c r="W900" t="s">
        <v>4090</v>
      </c>
      <c r="X900" t="str">
        <v>02-06-24</v>
      </c>
      <c r="Y900" t="str">
        <v>06-08-24</v>
      </c>
      <c r="Z900" t="s">
        <v>4091</v>
      </c>
      <c r="AA900" t="str">
        <v>Vikram Iyer</v>
      </c>
      <c r="AB900" t="str">
        <f>TRIM(PROPER(F:F))</f>
        <v>Consumer</v>
      </c>
      <c r="AC900" t="str">
        <f>TRIM(PROPER(G:G))</f>
        <v>North</v>
      </c>
      <c r="AD900" t="str">
        <f>TRIM(PROPER(H:H))</f>
        <v>Delhi</v>
      </c>
      <c r="AE900" t="str">
        <f>TRIM(PROPER(I:I))</f>
        <v>New Delhi</v>
      </c>
      <c r="AF900" t="str">
        <f>TRIM(PROPER(J:J))</f>
        <v>Furniture</v>
      </c>
      <c r="AG900" t="str">
        <f t="shared" si="26"/>
        <v>Tables</v>
      </c>
      <c r="AH900" t="str">
        <f t="shared" si="26"/>
        <v>Classic Tables 535</v>
      </c>
      <c r="AI900" t="str">
        <f t="shared" si="26"/>
        <v>First Class</v>
      </c>
      <c r="AJ900" s="3" t="str">
        <f t="shared" si="27"/>
        <v>anomaly</v>
      </c>
      <c r="AK900">
        <f t="shared" si="28"/>
        <v>65</v>
      </c>
      <c r="AL900" s="10">
        <v>0.2</v>
      </c>
      <c r="AM900" s="11">
        <v>4917.4400000000005</v>
      </c>
      <c r="AN900" s="11">
        <v>1070.6700000000005</v>
      </c>
      <c r="AO900" s="10">
        <v>0.21772914361944434</v>
      </c>
      <c r="AP900" t="s">
        <v>4692</v>
      </c>
      <c r="AQ900" t="s">
        <v>4112</v>
      </c>
      <c r="AR900" t="s">
        <v>4170</v>
      </c>
      <c r="AS900" t="s">
        <v>4107</v>
      </c>
      <c r="AT900" t="s">
        <v>4115</v>
      </c>
      <c r="AU900">
        <v>65</v>
      </c>
      <c r="AV900" t="s">
        <v>4109</v>
      </c>
    </row>
    <row r="901" spans="1:48">
      <c r="A901" t="s">
        <v>4093</v>
      </c>
      <c r="B901" t="s">
        <v>1691</v>
      </c>
      <c r="C901" t="s">
        <v>4094</v>
      </c>
      <c r="D901" t="s">
        <v>4095</v>
      </c>
      <c r="E901" t="s">
        <v>34</v>
      </c>
      <c r="F901" t="s">
        <v>35</v>
      </c>
      <c r="G901" t="s">
        <v>36</v>
      </c>
      <c r="H901" t="s">
        <v>163</v>
      </c>
      <c r="I901" t="s">
        <v>164</v>
      </c>
      <c r="J901" t="s">
        <v>54</v>
      </c>
      <c r="K901" t="s">
        <v>85</v>
      </c>
      <c r="L901" t="s">
        <v>4096</v>
      </c>
      <c r="M901" t="s">
        <v>65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210</v>
      </c>
      <c r="U901" t="s">
        <v>87</v>
      </c>
      <c r="W901" t="s">
        <v>4093</v>
      </c>
      <c r="X901" t="str">
        <v>27-05-25</v>
      </c>
      <c r="Y901" t="str">
        <v>06-03-25</v>
      </c>
      <c r="Z901" t="s">
        <v>4095</v>
      </c>
      <c r="AA901" t="str">
        <v>Karan Malhotra</v>
      </c>
      <c r="AB901" t="str">
        <f>TRIM(PROPER(F:F))</f>
        <v>Consumer</v>
      </c>
      <c r="AC901" t="str">
        <f>TRIM(PROPER(G:G))</f>
        <v>North</v>
      </c>
      <c r="AD901" t="str">
        <f>TRIM(PROPER(H:H))</f>
        <v>Punjab</v>
      </c>
      <c r="AE901" t="str">
        <f>TRIM(PROPER(I:I))</f>
        <v>Ludhiana</v>
      </c>
      <c r="AF901" t="str">
        <f>TRIM(PROPER(J:J))</f>
        <v>Furniture</v>
      </c>
      <c r="AG901" t="str">
        <f t="shared" si="26"/>
        <v>Chairs</v>
      </c>
      <c r="AH901" t="str">
        <f t="shared" si="26"/>
        <v>Elite Chairs 971</v>
      </c>
      <c r="AI901" t="str">
        <f t="shared" si="26"/>
        <v>First Class</v>
      </c>
      <c r="AJ901" s="3" t="str">
        <f t="shared" si="27"/>
        <v xml:space="preserve">  </v>
      </c>
      <c r="AK901">
        <f t="shared" si="28"/>
        <v>-82</v>
      </c>
      <c r="AL901" s="10">
        <v>0.25</v>
      </c>
      <c r="AM901" s="11">
        <v>3304.05</v>
      </c>
      <c r="AN901" s="11">
        <v>1024.6400000000003</v>
      </c>
      <c r="AO901" s="10">
        <v>0.31011637233092726</v>
      </c>
      <c r="AP901" t="s">
        <v>4481</v>
      </c>
      <c r="AQ901" t="s">
        <v>4627</v>
      </c>
      <c r="AR901" t="s">
        <v>4124</v>
      </c>
      <c r="AS901" t="s">
        <v>4120</v>
      </c>
      <c r="AT901" t="s">
        <v>4121</v>
      </c>
      <c r="AU901">
        <v>-82</v>
      </c>
      <c r="AV901" t="s">
        <v>4109</v>
      </c>
    </row>
    <row r="902" spans="1:48">
      <c r="A902" t="s">
        <v>2450</v>
      </c>
      <c r="B902" t="s">
        <v>2451</v>
      </c>
      <c r="C902" t="s">
        <v>2452</v>
      </c>
      <c r="D902" t="s">
        <v>2453</v>
      </c>
      <c r="E902" t="s">
        <v>151</v>
      </c>
      <c r="F902" t="s">
        <v>50</v>
      </c>
      <c r="G902" t="s">
        <v>51</v>
      </c>
      <c r="H902" t="s">
        <v>52</v>
      </c>
      <c r="I902" t="s">
        <v>53</v>
      </c>
      <c r="J902" t="s">
        <v>95</v>
      </c>
      <c r="K902" t="s">
        <v>103</v>
      </c>
      <c r="L902" t="s">
        <v>2454</v>
      </c>
      <c r="M902" t="s">
        <v>42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43</v>
      </c>
      <c r="U902" t="s">
        <v>44</v>
      </c>
      <c r="W902" t="s">
        <v>2450</v>
      </c>
      <c r="X902" t="str">
        <v>04-01-24</v>
      </c>
      <c r="Y902" t="str">
        <v>09-04-24</v>
      </c>
      <c r="Z902" t="s">
        <v>2453</v>
      </c>
      <c r="AA902" t="str">
        <v>Priya Menon</v>
      </c>
      <c r="AB902" t="str">
        <f>TRIM(PROPER(F:F))</f>
        <v>Small Business</v>
      </c>
      <c r="AC902" t="str">
        <f>TRIM(PROPER(G:G))</f>
        <v>East</v>
      </c>
      <c r="AD902" t="str">
        <f>TRIM(PROPER(H:H))</f>
        <v>Odisha</v>
      </c>
      <c r="AE902" t="str">
        <f>TRIM(PROPER(I:I))</f>
        <v>Bhubaneswar</v>
      </c>
      <c r="AF902" t="str">
        <f>TRIM(PROPER(J:J))</f>
        <v>Technology</v>
      </c>
      <c r="AG902" t="str">
        <f t="shared" si="26"/>
        <v>Copiers</v>
      </c>
      <c r="AH902" t="str">
        <f t="shared" si="26"/>
        <v>Prime Copiers 557</v>
      </c>
      <c r="AI902" t="str">
        <f t="shared" si="26"/>
        <v>Second Class</v>
      </c>
      <c r="AJ902" s="3" t="str">
        <f t="shared" si="27"/>
        <v>anomaly</v>
      </c>
      <c r="AK902">
        <f t="shared" si="28"/>
        <v>96</v>
      </c>
      <c r="AL902" s="13"/>
    </row>
    <row r="903" spans="1:48">
      <c r="A903" t="s">
        <v>2865</v>
      </c>
      <c r="B903" t="s">
        <v>2448</v>
      </c>
      <c r="C903" t="s">
        <v>2866</v>
      </c>
      <c r="D903" t="s">
        <v>2867</v>
      </c>
      <c r="E903" t="s">
        <v>81</v>
      </c>
      <c r="F903" t="s">
        <v>117</v>
      </c>
      <c r="G903" t="s">
        <v>51</v>
      </c>
      <c r="H903" t="s">
        <v>130</v>
      </c>
      <c r="I903" t="s">
        <v>131</v>
      </c>
      <c r="J903" t="s">
        <v>95</v>
      </c>
      <c r="K903" t="s">
        <v>103</v>
      </c>
      <c r="L903" t="s">
        <v>2868</v>
      </c>
      <c r="M903" t="s">
        <v>57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43</v>
      </c>
      <c r="U903" t="s">
        <v>44</v>
      </c>
      <c r="W903" t="s">
        <v>2865</v>
      </c>
      <c r="X903" t="str">
        <v>invalid date</v>
      </c>
      <c r="Y903" t="str">
        <v>invalid date</v>
      </c>
      <c r="Z903" t="s">
        <v>2867</v>
      </c>
      <c r="AA903" t="str">
        <v>Ananya Rao</v>
      </c>
      <c r="AB903" t="str">
        <f>TRIM(PROPER(F:F))</f>
        <v>Corporate</v>
      </c>
      <c r="AC903" t="str">
        <f>TRIM(PROPER(G:G))</f>
        <v>East</v>
      </c>
      <c r="AD903" t="str">
        <f>TRIM(PROPER(H:H))</f>
        <v>West Bengal</v>
      </c>
      <c r="AE903" t="str">
        <f>TRIM(PROPER(I:I))</f>
        <v>Kolkata</v>
      </c>
      <c r="AF903" t="str">
        <f>TRIM(PROPER(J:J))</f>
        <v>Technology</v>
      </c>
      <c r="AG903" t="str">
        <f t="shared" si="26"/>
        <v>Copiers</v>
      </c>
      <c r="AH903" t="str">
        <f t="shared" si="26"/>
        <v>Eco Copiers 268</v>
      </c>
      <c r="AI903" t="str">
        <f t="shared" si="26"/>
        <v>Same Day</v>
      </c>
      <c r="AJ903" s="3" t="str">
        <f t="shared" si="27"/>
        <v>Invalid</v>
      </c>
      <c r="AK903" t="str">
        <f t="shared" si="28"/>
        <v>invalid date</v>
      </c>
    </row>
    <row r="904" spans="1:48">
      <c r="A904" t="s">
        <v>3267</v>
      </c>
      <c r="B904" t="s">
        <v>1739</v>
      </c>
      <c r="C904" t="s">
        <v>3088</v>
      </c>
      <c r="D904" t="s">
        <v>1747</v>
      </c>
      <c r="E904" t="s">
        <v>62</v>
      </c>
      <c r="F904" t="s">
        <v>35</v>
      </c>
      <c r="G904" t="s">
        <v>71</v>
      </c>
      <c r="H904" t="s">
        <v>109</v>
      </c>
      <c r="I904" t="s">
        <v>110</v>
      </c>
      <c r="J904" t="s">
        <v>39</v>
      </c>
      <c r="K904" t="s">
        <v>165</v>
      </c>
      <c r="L904" t="s">
        <v>3268</v>
      </c>
      <c r="M904" t="s">
        <v>65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43</v>
      </c>
      <c r="U904" t="s">
        <v>44</v>
      </c>
      <c r="W904" t="s">
        <v>3267</v>
      </c>
      <c r="X904" t="str">
        <v>01-08-25</v>
      </c>
      <c r="Y904" t="str">
        <v>09-08-25</v>
      </c>
      <c r="Z904" t="s">
        <v>1747</v>
      </c>
      <c r="AA904" t="str">
        <v>Isha Nair</v>
      </c>
      <c r="AB904" t="str">
        <f>TRIM(PROPER(F:F))</f>
        <v>Consumer</v>
      </c>
      <c r="AC904" t="str">
        <f>TRIM(PROPER(G:G))</f>
        <v>South</v>
      </c>
      <c r="AD904" t="str">
        <f>TRIM(PROPER(H:H))</f>
        <v>Andhra Pradesh</v>
      </c>
      <c r="AE904" t="str">
        <f>TRIM(PROPER(I:I))</f>
        <v>Vijayawada</v>
      </c>
      <c r="AF904" t="str">
        <f>TRIM(PROPER(J:J))</f>
        <v>Office Supplies</v>
      </c>
      <c r="AG904" t="str">
        <f t="shared" si="26"/>
        <v>Storage</v>
      </c>
      <c r="AH904" t="str">
        <f t="shared" si="26"/>
        <v>Classic Storage 291</v>
      </c>
      <c r="AI904" t="str">
        <f t="shared" si="26"/>
        <v>First Class</v>
      </c>
      <c r="AJ904" s="3" t="str">
        <f t="shared" si="27"/>
        <v>anomaly</v>
      </c>
      <c r="AK904">
        <f t="shared" si="28"/>
        <v>8</v>
      </c>
    </row>
    <row r="905" spans="1:48">
      <c r="A905" t="s">
        <v>3305</v>
      </c>
      <c r="B905" t="s">
        <v>1567</v>
      </c>
      <c r="C905" t="s">
        <v>3306</v>
      </c>
      <c r="D905" t="s">
        <v>3307</v>
      </c>
      <c r="E905" t="s">
        <v>151</v>
      </c>
      <c r="F905" t="s">
        <v>124</v>
      </c>
      <c r="G905" t="s">
        <v>71</v>
      </c>
      <c r="H905" t="s">
        <v>350</v>
      </c>
      <c r="I905" t="s">
        <v>351</v>
      </c>
      <c r="J905" t="s">
        <v>54</v>
      </c>
      <c r="K905" t="s">
        <v>214</v>
      </c>
      <c r="L905" t="s">
        <v>3308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43</v>
      </c>
      <c r="U905" t="s">
        <v>44</v>
      </c>
      <c r="W905" t="s">
        <v>3305</v>
      </c>
      <c r="X905" t="str">
        <v>13-03-24</v>
      </c>
      <c r="Y905" t="str">
        <v>invalid date</v>
      </c>
      <c r="Z905" t="s">
        <v>3307</v>
      </c>
      <c r="AA905" t="str">
        <v>Priya Menon</v>
      </c>
      <c r="AB905" t="str">
        <f>TRIM(PROPER(F:F))</f>
        <v>Home Office</v>
      </c>
      <c r="AC905" t="str">
        <f>TRIM(PROPER(G:G))</f>
        <v>South</v>
      </c>
      <c r="AD905" t="str">
        <f>TRIM(PROPER(H:H))</f>
        <v>Tamil Nadu</v>
      </c>
      <c r="AE905" t="str">
        <f>TRIM(PROPER(I:I))</f>
        <v>Chennai</v>
      </c>
      <c r="AF905" t="str">
        <f>TRIM(PROPER(J:J))</f>
        <v>Furniture</v>
      </c>
      <c r="AG905" t="str">
        <f t="shared" si="26"/>
        <v>Bookcases</v>
      </c>
      <c r="AH905" t="str">
        <f t="shared" si="26"/>
        <v>Max Bookcases 738</v>
      </c>
      <c r="AI905" s="4" t="s">
        <v>282</v>
      </c>
      <c r="AJ905" s="3" t="str">
        <f t="shared" si="27"/>
        <v>Invalid</v>
      </c>
      <c r="AK905" t="str">
        <f t="shared" si="28"/>
        <v>invalid date</v>
      </c>
    </row>
    <row r="906" spans="1:48">
      <c r="A906" t="s">
        <v>1436</v>
      </c>
      <c r="B906" t="s">
        <v>1068</v>
      </c>
      <c r="C906" t="s">
        <v>1437</v>
      </c>
      <c r="D906" t="s">
        <v>1438</v>
      </c>
      <c r="E906" t="s">
        <v>171</v>
      </c>
      <c r="F906" t="s">
        <v>50</v>
      </c>
      <c r="H906" t="s">
        <v>226</v>
      </c>
      <c r="I906" t="s">
        <v>227</v>
      </c>
      <c r="J906" t="s">
        <v>54</v>
      </c>
      <c r="K906" t="s">
        <v>85</v>
      </c>
      <c r="L906" t="s">
        <v>1439</v>
      </c>
      <c r="M906" t="s">
        <v>42</v>
      </c>
      <c r="N906">
        <v>6</v>
      </c>
      <c r="O906">
        <v>3391.53</v>
      </c>
      <c r="P906" s="4" t="s">
        <v>191</v>
      </c>
      <c r="Q906">
        <v>15261.89</v>
      </c>
      <c r="R906">
        <v>8413.5300000000007</v>
      </c>
      <c r="S906">
        <v>6848.36</v>
      </c>
      <c r="T906" t="s">
        <v>43</v>
      </c>
      <c r="U906" t="s">
        <v>44</v>
      </c>
      <c r="W906" t="s">
        <v>1436</v>
      </c>
      <c r="X906" t="str">
        <v>22-01-24</v>
      </c>
      <c r="Y906" t="str">
        <v>23-01-24</v>
      </c>
      <c r="Z906" t="s">
        <v>1438</v>
      </c>
      <c r="AA906" t="str">
        <v>Aarav Sharma</v>
      </c>
      <c r="AB906" t="str">
        <f>TRIM(PROPER(F:F))</f>
        <v>Small Business</v>
      </c>
      <c r="AC906" s="4" t="s">
        <v>282</v>
      </c>
      <c r="AD906" t="str">
        <f>TRIM(PROPER(H:H))</f>
        <v>Assam</v>
      </c>
      <c r="AE906" t="str">
        <f>TRIM(PROPER(I:I))</f>
        <v>Guwahati</v>
      </c>
      <c r="AF906" t="str">
        <f>TRIM(PROPER(J:J))</f>
        <v>Furniture</v>
      </c>
      <c r="AG906" t="str">
        <f t="shared" si="26"/>
        <v>Chairs</v>
      </c>
      <c r="AH906" t="str">
        <f t="shared" si="26"/>
        <v>Basic Chairs 141</v>
      </c>
      <c r="AI906" t="str">
        <f t="shared" si="26"/>
        <v>Second Class</v>
      </c>
      <c r="AJ906" s="3" t="str">
        <f t="shared" si="27"/>
        <v>anomaly</v>
      </c>
      <c r="AK906">
        <f t="shared" si="28"/>
        <v>1</v>
      </c>
    </row>
    <row r="907" spans="1:48">
      <c r="A907" t="s">
        <v>3003</v>
      </c>
      <c r="B907" t="s">
        <v>3004</v>
      </c>
      <c r="C907" t="s">
        <v>3005</v>
      </c>
      <c r="D907" t="s">
        <v>3006</v>
      </c>
      <c r="E907" t="s">
        <v>177</v>
      </c>
      <c r="F907" t="s">
        <v>50</v>
      </c>
      <c r="G907" t="s">
        <v>71</v>
      </c>
      <c r="H907" t="s">
        <v>239</v>
      </c>
      <c r="I907" t="s">
        <v>240</v>
      </c>
      <c r="J907" t="s">
        <v>54</v>
      </c>
      <c r="K907" t="s">
        <v>74</v>
      </c>
      <c r="L907" t="s">
        <v>3007</v>
      </c>
      <c r="M907" t="s">
        <v>65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43</v>
      </c>
      <c r="U907" t="s">
        <v>44</v>
      </c>
      <c r="W907" t="s">
        <v>3003</v>
      </c>
      <c r="X907" t="str">
        <v>15-04-25</v>
      </c>
      <c r="Y907" t="str">
        <v>16-04-25</v>
      </c>
      <c r="Z907" t="s">
        <v>3006</v>
      </c>
      <c r="AA907" t="str">
        <v>Sneha Kapoor</v>
      </c>
      <c r="AB907" t="str">
        <f>TRIM(PROPER(F:F))</f>
        <v>Small Business</v>
      </c>
      <c r="AC907" t="str">
        <f>TRIM(PROPER(G:G))</f>
        <v>South</v>
      </c>
      <c r="AD907" t="str">
        <f>TRIM(PROPER(H:H))</f>
        <v>Karnataka</v>
      </c>
      <c r="AE907" t="str">
        <f>TRIM(PROPER(I:I))</f>
        <v>Bengaluru</v>
      </c>
      <c r="AF907" t="str">
        <f>TRIM(PROPER(J:J))</f>
        <v>Furniture</v>
      </c>
      <c r="AG907" t="str">
        <f t="shared" si="26"/>
        <v>Furnishings</v>
      </c>
      <c r="AH907" t="str">
        <f t="shared" si="26"/>
        <v>Smart Furnishings 721</v>
      </c>
      <c r="AI907" t="str">
        <f t="shared" si="26"/>
        <v>First Class</v>
      </c>
      <c r="AJ907" s="3" t="str">
        <f t="shared" si="27"/>
        <v>anomaly</v>
      </c>
      <c r="AK907">
        <f t="shared" si="28"/>
        <v>1</v>
      </c>
    </row>
    <row r="908" spans="1:48">
      <c r="A908" t="s">
        <v>3402</v>
      </c>
      <c r="B908" t="s">
        <v>3403</v>
      </c>
      <c r="C908" t="s">
        <v>3404</v>
      </c>
      <c r="D908" t="s">
        <v>3405</v>
      </c>
      <c r="E908" t="s">
        <v>81</v>
      </c>
      <c r="F908" t="s">
        <v>117</v>
      </c>
      <c r="G908" t="s">
        <v>71</v>
      </c>
      <c r="H908" t="s">
        <v>350</v>
      </c>
      <c r="I908" t="s">
        <v>351</v>
      </c>
      <c r="J908" t="s">
        <v>95</v>
      </c>
      <c r="K908" t="s">
        <v>393</v>
      </c>
      <c r="L908" t="s">
        <v>3406</v>
      </c>
      <c r="M908" t="s">
        <v>57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43</v>
      </c>
      <c r="U908" t="s">
        <v>44</v>
      </c>
      <c r="W908" t="s">
        <v>3402</v>
      </c>
      <c r="X908" t="str">
        <v>17-05-25</v>
      </c>
      <c r="Y908" t="str">
        <v>25-05-25</v>
      </c>
      <c r="Z908" t="s">
        <v>3405</v>
      </c>
      <c r="AA908" t="str">
        <v>Ananya Rao</v>
      </c>
      <c r="AB908" t="str">
        <f>TRIM(PROPER(F:F))</f>
        <v>Corporate</v>
      </c>
      <c r="AC908" t="str">
        <f>TRIM(PROPER(G:G))</f>
        <v>South</v>
      </c>
      <c r="AD908" t="str">
        <f>TRIM(PROPER(H:H))</f>
        <v>Tamil Nadu</v>
      </c>
      <c r="AE908" t="str">
        <f>TRIM(PROPER(I:I))</f>
        <v>Chennai</v>
      </c>
      <c r="AF908" t="str">
        <f>TRIM(PROPER(J:J))</f>
        <v>Technology</v>
      </c>
      <c r="AG908" t="str">
        <f t="shared" si="26"/>
        <v>Machines</v>
      </c>
      <c r="AH908" t="str">
        <f t="shared" si="26"/>
        <v>Pro Machines 563</v>
      </c>
      <c r="AI908" t="str">
        <f t="shared" si="26"/>
        <v>Same Day</v>
      </c>
      <c r="AJ908" s="3" t="str">
        <f t="shared" si="27"/>
        <v>anomaly</v>
      </c>
      <c r="AK908">
        <f t="shared" si="28"/>
        <v>8</v>
      </c>
    </row>
    <row r="909" spans="1:48">
      <c r="A909" t="s">
        <v>765</v>
      </c>
      <c r="B909" t="s">
        <v>766</v>
      </c>
      <c r="C909" t="s">
        <v>767</v>
      </c>
      <c r="D909" t="s">
        <v>768</v>
      </c>
      <c r="E909" t="s">
        <v>34</v>
      </c>
      <c r="F909" t="s">
        <v>35</v>
      </c>
      <c r="G909" t="s">
        <v>82</v>
      </c>
      <c r="H909" t="s">
        <v>259</v>
      </c>
      <c r="I909" t="s">
        <v>260</v>
      </c>
      <c r="J909" t="s">
        <v>95</v>
      </c>
      <c r="K909" t="s">
        <v>233</v>
      </c>
      <c r="L909" t="s">
        <v>769</v>
      </c>
      <c r="M909" t="s">
        <v>42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43</v>
      </c>
      <c r="U909" t="s">
        <v>44</v>
      </c>
      <c r="W909" t="s">
        <v>765</v>
      </c>
      <c r="X909" t="str">
        <v>13-12-24</v>
      </c>
      <c r="Y909" t="str">
        <v>invalid date</v>
      </c>
      <c r="Z909" t="s">
        <v>768</v>
      </c>
      <c r="AA909" t="str">
        <v>Karan Malhotra</v>
      </c>
      <c r="AB909" t="str">
        <f>TRIM(PROPER(F:F))</f>
        <v>Consumer</v>
      </c>
      <c r="AC909" t="str">
        <f>TRIM(PROPER(G:G))</f>
        <v>West</v>
      </c>
      <c r="AD909" t="str">
        <f>TRIM(PROPER(H:H))</f>
        <v>Goa</v>
      </c>
      <c r="AE909" t="str">
        <f>TRIM(PROPER(I:I))</f>
        <v>Panaji</v>
      </c>
      <c r="AF909" t="str">
        <f>TRIM(PROPER(J:J))</f>
        <v>Technology</v>
      </c>
      <c r="AG909" t="str">
        <f t="shared" si="26"/>
        <v>Phones</v>
      </c>
      <c r="AH909" t="str">
        <f t="shared" si="26"/>
        <v>Prime Phones 419</v>
      </c>
      <c r="AI909" t="str">
        <f t="shared" si="26"/>
        <v>Second Class</v>
      </c>
      <c r="AJ909" s="3" t="str">
        <f t="shared" si="27"/>
        <v>Invalid</v>
      </c>
      <c r="AK909" t="str">
        <f t="shared" si="28"/>
        <v>invalid date</v>
      </c>
    </row>
    <row r="910" spans="1:48">
      <c r="A910" t="s">
        <v>3364</v>
      </c>
      <c r="B910" t="s">
        <v>1733</v>
      </c>
      <c r="C910" t="s">
        <v>1734</v>
      </c>
      <c r="D910" t="s">
        <v>195</v>
      </c>
      <c r="E910" t="s">
        <v>377</v>
      </c>
      <c r="F910" t="s">
        <v>117</v>
      </c>
      <c r="G910" t="s">
        <v>82</v>
      </c>
      <c r="H910" t="s">
        <v>245</v>
      </c>
      <c r="I910" t="s">
        <v>246</v>
      </c>
      <c r="J910" t="s">
        <v>39</v>
      </c>
      <c r="K910" t="s">
        <v>63</v>
      </c>
      <c r="L910" t="s">
        <v>3365</v>
      </c>
      <c r="M910" t="s">
        <v>57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43</v>
      </c>
      <c r="U910" t="s">
        <v>44</v>
      </c>
      <c r="W910" t="s">
        <v>3364</v>
      </c>
      <c r="X910" t="str">
        <v>08-09-25</v>
      </c>
      <c r="Y910" t="str">
        <v>09-09-25</v>
      </c>
      <c r="Z910" t="s">
        <v>195</v>
      </c>
      <c r="AA910" t="str">
        <v>Kabir Singh</v>
      </c>
      <c r="AB910" t="str">
        <f>TRIM(PROPER(F:F))</f>
        <v>Corporate</v>
      </c>
      <c r="AC910" t="str">
        <f>TRIM(PROPER(G:G))</f>
        <v>West</v>
      </c>
      <c r="AD910" t="str">
        <f>TRIM(PROPER(H:H))</f>
        <v>Gujarat</v>
      </c>
      <c r="AE910" t="str">
        <f>TRIM(PROPER(I:I))</f>
        <v>Ahmedabad</v>
      </c>
      <c r="AF910" t="str">
        <f>TRIM(PROPER(J:J))</f>
        <v>Office Supplies</v>
      </c>
      <c r="AG910" t="str">
        <f t="shared" si="26"/>
        <v>Art</v>
      </c>
      <c r="AH910" t="str">
        <f t="shared" si="26"/>
        <v>Pro Art 447</v>
      </c>
      <c r="AI910" t="str">
        <f t="shared" si="26"/>
        <v>Same Day</v>
      </c>
      <c r="AJ910" s="3" t="str">
        <f t="shared" si="27"/>
        <v>anomaly</v>
      </c>
      <c r="AK910">
        <f t="shared" si="28"/>
        <v>1</v>
      </c>
    </row>
    <row r="911" spans="1:48">
      <c r="A911" t="s">
        <v>1985</v>
      </c>
      <c r="B911" t="s">
        <v>1986</v>
      </c>
      <c r="C911" t="s">
        <v>1987</v>
      </c>
      <c r="D911" t="s">
        <v>1988</v>
      </c>
      <c r="E911" t="s">
        <v>220</v>
      </c>
      <c r="F911" t="s">
        <v>50</v>
      </c>
      <c r="G911" t="s">
        <v>71</v>
      </c>
      <c r="H911" t="s">
        <v>109</v>
      </c>
      <c r="I911" t="s">
        <v>110</v>
      </c>
      <c r="J911" t="s">
        <v>39</v>
      </c>
      <c r="K911" t="s">
        <v>40</v>
      </c>
      <c r="L911" t="s">
        <v>1989</v>
      </c>
      <c r="M911" t="s">
        <v>57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43</v>
      </c>
      <c r="U911" t="s">
        <v>44</v>
      </c>
      <c r="W911" t="s">
        <v>1985</v>
      </c>
      <c r="X911" t="str">
        <v>invalid date</v>
      </c>
      <c r="Y911" t="str">
        <v>29-04-25</v>
      </c>
      <c r="Z911" t="s">
        <v>1988</v>
      </c>
      <c r="AA911" t="str">
        <v>Diya Patel</v>
      </c>
      <c r="AB911" t="str">
        <f>TRIM(PROPER(F:F))</f>
        <v>Small Business</v>
      </c>
      <c r="AC911" t="str">
        <f>TRIM(PROPER(G:G))</f>
        <v>South</v>
      </c>
      <c r="AD911" t="str">
        <f>TRIM(PROPER(H:H))</f>
        <v>Andhra Pradesh</v>
      </c>
      <c r="AE911" t="str">
        <f>TRIM(PROPER(I:I))</f>
        <v>Vijayawada</v>
      </c>
      <c r="AF911" t="str">
        <f>TRIM(PROPER(J:J))</f>
        <v>Office Supplies</v>
      </c>
      <c r="AG911" t="str">
        <f t="shared" si="26"/>
        <v>Paper</v>
      </c>
      <c r="AH911" t="str">
        <f t="shared" si="26"/>
        <v>Elite Paper 308</v>
      </c>
      <c r="AI911" t="str">
        <f t="shared" si="26"/>
        <v>Same Day</v>
      </c>
      <c r="AJ911" s="3" t="str">
        <f t="shared" si="27"/>
        <v>Invalid</v>
      </c>
      <c r="AK911" t="str">
        <f t="shared" si="28"/>
        <v>invalid date</v>
      </c>
    </row>
    <row r="912" spans="1:48">
      <c r="A912" t="s">
        <v>718</v>
      </c>
      <c r="B912" t="s">
        <v>719</v>
      </c>
      <c r="C912" t="s">
        <v>720</v>
      </c>
      <c r="D912" t="s">
        <v>721</v>
      </c>
      <c r="E912" t="s">
        <v>177</v>
      </c>
      <c r="F912" t="s">
        <v>50</v>
      </c>
      <c r="G912" t="s">
        <v>722</v>
      </c>
      <c r="H912" t="s">
        <v>163</v>
      </c>
      <c r="I912" t="s">
        <v>164</v>
      </c>
      <c r="J912" t="s">
        <v>95</v>
      </c>
      <c r="K912" t="s">
        <v>103</v>
      </c>
      <c r="L912" t="s">
        <v>723</v>
      </c>
      <c r="M912" t="s">
        <v>57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133</v>
      </c>
      <c r="U912" t="s">
        <v>87</v>
      </c>
      <c r="W912" t="s">
        <v>718</v>
      </c>
      <c r="X912" t="str">
        <v>invalid date</v>
      </c>
      <c r="Y912" t="str">
        <v>25-05-24</v>
      </c>
      <c r="Z912" t="s">
        <v>721</v>
      </c>
      <c r="AA912" t="str">
        <v>Sneha Kapoor</v>
      </c>
      <c r="AB912" t="str">
        <f>TRIM(PROPER(F:F))</f>
        <v>Small Business</v>
      </c>
      <c r="AC912" t="str">
        <f>TRIM(PROPER(G:G))</f>
        <v>North</v>
      </c>
      <c r="AD912" t="str">
        <f>TRIM(PROPER(H:H))</f>
        <v>Punjab</v>
      </c>
      <c r="AE912" t="str">
        <f>TRIM(PROPER(I:I))</f>
        <v>Ludhiana</v>
      </c>
      <c r="AF912" t="str">
        <f>TRIM(PROPER(J:J))</f>
        <v>Technology</v>
      </c>
      <c r="AG912" t="str">
        <f t="shared" si="26"/>
        <v>Copiers</v>
      </c>
      <c r="AH912" t="str">
        <f t="shared" si="26"/>
        <v>Max Copiers 970</v>
      </c>
      <c r="AI912" t="str">
        <f t="shared" si="26"/>
        <v>Same Day</v>
      </c>
      <c r="AJ912" s="3" t="str">
        <f t="shared" si="27"/>
        <v>Invalid</v>
      </c>
      <c r="AK912" t="str">
        <f t="shared" si="28"/>
        <v>invalid date</v>
      </c>
    </row>
    <row r="913" spans="1:37">
      <c r="A913" t="s">
        <v>1319</v>
      </c>
      <c r="B913" t="s">
        <v>1320</v>
      </c>
      <c r="C913" t="s">
        <v>1321</v>
      </c>
      <c r="D913" t="s">
        <v>1322</v>
      </c>
      <c r="E913" t="s">
        <v>70</v>
      </c>
      <c r="F913" t="s">
        <v>50</v>
      </c>
      <c r="G913" t="s">
        <v>51</v>
      </c>
      <c r="H913" t="s">
        <v>130</v>
      </c>
      <c r="I913" t="s">
        <v>131</v>
      </c>
      <c r="J913" t="s">
        <v>54</v>
      </c>
      <c r="K913" t="s">
        <v>74</v>
      </c>
      <c r="L913" t="s">
        <v>1323</v>
      </c>
      <c r="M913" t="s">
        <v>76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146</v>
      </c>
      <c r="U913" t="s">
        <v>134</v>
      </c>
      <c r="W913" t="s">
        <v>1319</v>
      </c>
      <c r="X913" t="str">
        <v>invalid date</v>
      </c>
      <c r="Y913" t="str">
        <v>invalid date</v>
      </c>
      <c r="Z913" t="s">
        <v>1322</v>
      </c>
      <c r="AA913" t="str">
        <v>Arjun Bose</v>
      </c>
      <c r="AB913" t="str">
        <f>TRIM(PROPER(F:F))</f>
        <v>Small Business</v>
      </c>
      <c r="AC913" t="str">
        <f>TRIM(PROPER(G:G))</f>
        <v>East</v>
      </c>
      <c r="AD913" t="str">
        <f>TRIM(PROPER(H:H))</f>
        <v>West Bengal</v>
      </c>
      <c r="AE913" t="str">
        <f>TRIM(PROPER(I:I))</f>
        <v>Kolkata</v>
      </c>
      <c r="AF913" t="str">
        <f>TRIM(PROPER(J:J))</f>
        <v>Furniture</v>
      </c>
      <c r="AG913" t="str">
        <f t="shared" si="26"/>
        <v>Furnishings</v>
      </c>
      <c r="AH913" t="str">
        <f t="shared" si="26"/>
        <v>Prime Furnishings 781</v>
      </c>
      <c r="AI913" t="str">
        <f t="shared" si="26"/>
        <v>Standard Class</v>
      </c>
      <c r="AJ913" s="3" t="str">
        <f t="shared" si="27"/>
        <v>Invalid</v>
      </c>
      <c r="AK913" t="str">
        <f t="shared" si="28"/>
        <v>invalid date</v>
      </c>
    </row>
    <row r="914" spans="1:37">
      <c r="A914" t="s">
        <v>1888</v>
      </c>
      <c r="B914" t="s">
        <v>1530</v>
      </c>
      <c r="C914" t="s">
        <v>1889</v>
      </c>
      <c r="D914" t="s">
        <v>1890</v>
      </c>
      <c r="E914" t="s">
        <v>377</v>
      </c>
      <c r="F914" t="s">
        <v>50</v>
      </c>
      <c r="G914" t="s">
        <v>51</v>
      </c>
      <c r="H914" t="s">
        <v>52</v>
      </c>
      <c r="I914" t="s">
        <v>53</v>
      </c>
      <c r="J914" t="s">
        <v>39</v>
      </c>
      <c r="K914" t="s">
        <v>1891</v>
      </c>
      <c r="L914" t="s">
        <v>1892</v>
      </c>
      <c r="M914" t="s">
        <v>57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43</v>
      </c>
      <c r="U914" t="s">
        <v>44</v>
      </c>
      <c r="W914" t="s">
        <v>1888</v>
      </c>
      <c r="X914" t="str">
        <v>24-05-25</v>
      </c>
      <c r="Y914" t="str">
        <v>30-05-25</v>
      </c>
      <c r="Z914" t="s">
        <v>1890</v>
      </c>
      <c r="AA914" t="str">
        <v>Kabir Singh</v>
      </c>
      <c r="AB914" t="str">
        <f>TRIM(PROPER(F:F))</f>
        <v>Small Business</v>
      </c>
      <c r="AC914" t="str">
        <f>TRIM(PROPER(G:G))</f>
        <v>East</v>
      </c>
      <c r="AD914" t="str">
        <f>TRIM(PROPER(H:H))</f>
        <v>Odisha</v>
      </c>
      <c r="AE914" t="str">
        <f>TRIM(PROPER(I:I))</f>
        <v>Bhubaneswar</v>
      </c>
      <c r="AF914" t="str">
        <f>TRIM(PROPER(J:J))</f>
        <v>Office Supplies</v>
      </c>
      <c r="AG914" t="str">
        <f t="shared" si="26"/>
        <v>Storage</v>
      </c>
      <c r="AH914" t="str">
        <f t="shared" si="26"/>
        <v>Basic Storage 360</v>
      </c>
      <c r="AI914" t="str">
        <f t="shared" si="26"/>
        <v>Same Day</v>
      </c>
      <c r="AJ914" s="3" t="str">
        <f t="shared" si="27"/>
        <v>anomaly</v>
      </c>
      <c r="AK914">
        <f t="shared" si="28"/>
        <v>6</v>
      </c>
    </row>
    <row r="915" spans="1:37">
      <c r="A915" t="s">
        <v>1452</v>
      </c>
      <c r="B915" t="s">
        <v>1453</v>
      </c>
      <c r="C915" t="s">
        <v>1454</v>
      </c>
      <c r="D915" t="s">
        <v>1455</v>
      </c>
      <c r="E915" t="s">
        <v>116</v>
      </c>
      <c r="F915" t="s">
        <v>35</v>
      </c>
      <c r="G915" t="s">
        <v>71</v>
      </c>
      <c r="H915" t="s">
        <v>239</v>
      </c>
      <c r="I915" t="s">
        <v>240</v>
      </c>
      <c r="J915" t="s">
        <v>95</v>
      </c>
      <c r="K915" t="s">
        <v>103</v>
      </c>
      <c r="L915" t="s">
        <v>1456</v>
      </c>
      <c r="M915" t="s">
        <v>76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43</v>
      </c>
      <c r="U915" t="s">
        <v>44</v>
      </c>
      <c r="W915" t="s">
        <v>1452</v>
      </c>
      <c r="X915" t="str">
        <v>invalid date</v>
      </c>
      <c r="Y915" t="str">
        <v>26-12-24</v>
      </c>
      <c r="Z915" t="s">
        <v>1455</v>
      </c>
      <c r="AA915" t="str">
        <v>Aditi Sen</v>
      </c>
      <c r="AB915" t="str">
        <f>TRIM(PROPER(F:F))</f>
        <v>Consumer</v>
      </c>
      <c r="AC915" t="str">
        <f>TRIM(PROPER(G:G))</f>
        <v>South</v>
      </c>
      <c r="AD915" t="str">
        <f>TRIM(PROPER(H:H))</f>
        <v>Karnataka</v>
      </c>
      <c r="AE915" t="str">
        <f>TRIM(PROPER(I:I))</f>
        <v>Bengaluru</v>
      </c>
      <c r="AF915" t="str">
        <f>TRIM(PROPER(J:J))</f>
        <v>Technology</v>
      </c>
      <c r="AG915" t="str">
        <f t="shared" si="26"/>
        <v>Copiers</v>
      </c>
      <c r="AH915" t="str">
        <f t="shared" si="26"/>
        <v>Prime Copiers 961</v>
      </c>
      <c r="AI915" t="str">
        <f t="shared" si="26"/>
        <v>Standard Class</v>
      </c>
      <c r="AJ915" s="3" t="str">
        <f t="shared" si="27"/>
        <v>Invalid</v>
      </c>
      <c r="AK915" t="str">
        <f t="shared" si="28"/>
        <v>invalid date</v>
      </c>
    </row>
    <row r="916" spans="1:37">
      <c r="A916" t="s">
        <v>3339</v>
      </c>
      <c r="B916" t="s">
        <v>2138</v>
      </c>
      <c r="C916" t="s">
        <v>3340</v>
      </c>
      <c r="D916" t="s">
        <v>3341</v>
      </c>
      <c r="E916" t="s">
        <v>62</v>
      </c>
      <c r="F916" t="s">
        <v>124</v>
      </c>
      <c r="G916" t="s">
        <v>82</v>
      </c>
      <c r="H916" t="s">
        <v>93</v>
      </c>
      <c r="I916" t="s">
        <v>94</v>
      </c>
      <c r="J916" t="s">
        <v>54</v>
      </c>
      <c r="K916" t="s">
        <v>85</v>
      </c>
      <c r="L916" t="s">
        <v>3342</v>
      </c>
      <c r="M916" t="s">
        <v>65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43</v>
      </c>
      <c r="U916" t="s">
        <v>44</v>
      </c>
      <c r="W916" t="s">
        <v>3339</v>
      </c>
      <c r="X916" t="str">
        <v>10-02-24</v>
      </c>
      <c r="Y916" t="str">
        <v>18-02-24</v>
      </c>
      <c r="Z916" t="s">
        <v>3341</v>
      </c>
      <c r="AA916" t="str">
        <v>Isha Nair</v>
      </c>
      <c r="AB916" t="str">
        <f>TRIM(PROPER(F:F))</f>
        <v>Home Office</v>
      </c>
      <c r="AC916" t="str">
        <f>TRIM(PROPER(G:G))</f>
        <v>West</v>
      </c>
      <c r="AD916" t="str">
        <f>TRIM(PROPER(H:H))</f>
        <v>Madhya Pradesh</v>
      </c>
      <c r="AE916" t="str">
        <f>TRIM(PROPER(I:I))</f>
        <v>Indore</v>
      </c>
      <c r="AF916" t="str">
        <f>TRIM(PROPER(J:J))</f>
        <v>Furniture</v>
      </c>
      <c r="AG916" t="str">
        <f t="shared" si="26"/>
        <v>Chairs</v>
      </c>
      <c r="AH916" t="str">
        <f t="shared" si="26"/>
        <v>Smart Chairs 259</v>
      </c>
      <c r="AI916" t="str">
        <f t="shared" si="26"/>
        <v>First Class</v>
      </c>
      <c r="AJ916" s="3" t="str">
        <f t="shared" si="27"/>
        <v>anomaly</v>
      </c>
      <c r="AK916">
        <f t="shared" si="28"/>
        <v>8</v>
      </c>
    </row>
    <row r="917" spans="1:37">
      <c r="A917" t="s">
        <v>2657</v>
      </c>
      <c r="B917" t="s">
        <v>2658</v>
      </c>
      <c r="C917" t="s">
        <v>2659</v>
      </c>
      <c r="D917" t="s">
        <v>2660</v>
      </c>
      <c r="E917" t="s">
        <v>49</v>
      </c>
      <c r="F917" t="s">
        <v>117</v>
      </c>
      <c r="G917" t="s">
        <v>71</v>
      </c>
      <c r="H917" t="s">
        <v>72</v>
      </c>
      <c r="I917" t="s">
        <v>73</v>
      </c>
      <c r="J917" t="s">
        <v>39</v>
      </c>
      <c r="K917" t="s">
        <v>63</v>
      </c>
      <c r="L917" t="s">
        <v>2661</v>
      </c>
      <c r="M917" t="s">
        <v>42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43</v>
      </c>
      <c r="U917" t="s">
        <v>44</v>
      </c>
      <c r="W917" t="s">
        <v>2657</v>
      </c>
      <c r="X917" t="str">
        <v>10-11-25</v>
      </c>
      <c r="Y917" t="str">
        <v>13-10-25</v>
      </c>
      <c r="Z917" t="s">
        <v>2660</v>
      </c>
      <c r="AA917" t="str">
        <v>Mira Das</v>
      </c>
      <c r="AB917" t="str">
        <f>TRIM(PROPER(F:F))</f>
        <v>Corporate</v>
      </c>
      <c r="AC917" t="str">
        <f>TRIM(PROPER(G:G))</f>
        <v>South</v>
      </c>
      <c r="AD917" t="str">
        <f>TRIM(PROPER(H:H))</f>
        <v>Telangana</v>
      </c>
      <c r="AE917" t="str">
        <f>TRIM(PROPER(I:I))</f>
        <v>Hyderabad</v>
      </c>
      <c r="AF917" t="str">
        <f>TRIM(PROPER(J:J))</f>
        <v>Office Supplies</v>
      </c>
      <c r="AG917" t="str">
        <f t="shared" si="26"/>
        <v>Art</v>
      </c>
      <c r="AH917" t="str">
        <f t="shared" si="26"/>
        <v>Pro Art 287</v>
      </c>
      <c r="AI917" t="str">
        <f t="shared" si="26"/>
        <v>Second Class</v>
      </c>
      <c r="AJ917" s="3" t="str">
        <f t="shared" si="27"/>
        <v>anomaly</v>
      </c>
      <c r="AK917">
        <f t="shared" si="28"/>
        <v>-28</v>
      </c>
    </row>
    <row r="918" spans="1:37">
      <c r="A918" t="s">
        <v>3899</v>
      </c>
      <c r="B918" t="s">
        <v>3900</v>
      </c>
      <c r="C918" t="s">
        <v>1081</v>
      </c>
      <c r="D918" t="s">
        <v>3901</v>
      </c>
      <c r="E918" t="s">
        <v>62</v>
      </c>
      <c r="F918" t="s">
        <v>124</v>
      </c>
      <c r="G918" t="s">
        <v>82</v>
      </c>
      <c r="H918" t="s">
        <v>245</v>
      </c>
      <c r="I918" t="s">
        <v>246</v>
      </c>
      <c r="J918" t="s">
        <v>54</v>
      </c>
      <c r="K918" t="s">
        <v>214</v>
      </c>
      <c r="L918" t="s">
        <v>3902</v>
      </c>
      <c r="M918" t="s">
        <v>76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43</v>
      </c>
      <c r="U918" t="s">
        <v>44</v>
      </c>
      <c r="W918" t="s">
        <v>3899</v>
      </c>
      <c r="X918" t="str">
        <v>06-03-24</v>
      </c>
      <c r="Y918" t="str">
        <v>12-03-24</v>
      </c>
      <c r="Z918" t="s">
        <v>3901</v>
      </c>
      <c r="AA918" t="str">
        <v>Isha Nair</v>
      </c>
      <c r="AB918" t="str">
        <f>TRIM(PROPER(F:F))</f>
        <v>Home Office</v>
      </c>
      <c r="AC918" t="str">
        <f>TRIM(PROPER(G:G))</f>
        <v>West</v>
      </c>
      <c r="AD918" t="str">
        <f>TRIM(PROPER(H:H))</f>
        <v>Gujarat</v>
      </c>
      <c r="AE918" t="str">
        <f>TRIM(PROPER(I:I))</f>
        <v>Ahmedabad</v>
      </c>
      <c r="AF918" t="str">
        <f>TRIM(PROPER(J:J))</f>
        <v>Furniture</v>
      </c>
      <c r="AG918" t="str">
        <f t="shared" si="26"/>
        <v>Bookcases</v>
      </c>
      <c r="AH918" t="str">
        <f t="shared" si="26"/>
        <v>Prime Bookcases 755</v>
      </c>
      <c r="AI918" t="str">
        <f t="shared" si="26"/>
        <v>Standard Class</v>
      </c>
      <c r="AJ918" s="3" t="str">
        <f t="shared" si="27"/>
        <v>anomaly</v>
      </c>
      <c r="AK918">
        <f t="shared" si="28"/>
        <v>6</v>
      </c>
    </row>
    <row r="919" spans="1:37">
      <c r="A919" t="s">
        <v>738</v>
      </c>
      <c r="B919" t="s">
        <v>201</v>
      </c>
      <c r="C919" t="s">
        <v>739</v>
      </c>
      <c r="D919" t="s">
        <v>740</v>
      </c>
      <c r="E919" t="s">
        <v>151</v>
      </c>
      <c r="F919" t="s">
        <v>117</v>
      </c>
      <c r="G919" t="s">
        <v>82</v>
      </c>
      <c r="H919" t="s">
        <v>93</v>
      </c>
      <c r="I919" t="s">
        <v>94</v>
      </c>
      <c r="J919" t="s">
        <v>39</v>
      </c>
      <c r="K919" t="s">
        <v>165</v>
      </c>
      <c r="L919" t="s">
        <v>741</v>
      </c>
      <c r="M919" t="s">
        <v>42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43</v>
      </c>
      <c r="U919" t="s">
        <v>44</v>
      </c>
      <c r="W919" t="s">
        <v>738</v>
      </c>
      <c r="X919" t="str">
        <v>invalid date</v>
      </c>
      <c r="Y919" t="str">
        <v>26-01-25</v>
      </c>
      <c r="Z919" t="s">
        <v>740</v>
      </c>
      <c r="AA919" t="str">
        <v>Priya Menon</v>
      </c>
      <c r="AB919" t="str">
        <f>TRIM(PROPER(F:F))</f>
        <v>Corporate</v>
      </c>
      <c r="AC919" t="str">
        <f>TRIM(PROPER(G:G))</f>
        <v>West</v>
      </c>
      <c r="AD919" t="str">
        <f>TRIM(PROPER(H:H))</f>
        <v>Madhya Pradesh</v>
      </c>
      <c r="AE919" t="str">
        <f>TRIM(PROPER(I:I))</f>
        <v>Indore</v>
      </c>
      <c r="AF919" t="str">
        <f>TRIM(PROPER(J:J))</f>
        <v>Office Supplies</v>
      </c>
      <c r="AG919" t="str">
        <f t="shared" si="26"/>
        <v>Storage</v>
      </c>
      <c r="AH919" t="str">
        <f t="shared" si="26"/>
        <v>Basic Storage 321</v>
      </c>
      <c r="AI919" t="str">
        <f t="shared" si="26"/>
        <v>Second Class</v>
      </c>
      <c r="AJ919" s="3" t="str">
        <f t="shared" si="27"/>
        <v>Invalid</v>
      </c>
      <c r="AK919" t="str">
        <f t="shared" si="28"/>
        <v>invalid date</v>
      </c>
    </row>
    <row r="920" spans="1:37">
      <c r="A920" t="s">
        <v>3193</v>
      </c>
      <c r="B920" t="s">
        <v>3194</v>
      </c>
      <c r="C920" t="s">
        <v>3195</v>
      </c>
      <c r="D920" t="s">
        <v>3196</v>
      </c>
      <c r="E920" t="s">
        <v>157</v>
      </c>
      <c r="F920" t="s">
        <v>50</v>
      </c>
      <c r="G920" t="s">
        <v>36</v>
      </c>
      <c r="H920" t="s">
        <v>517</v>
      </c>
      <c r="I920" t="s">
        <v>518</v>
      </c>
      <c r="J920" t="s">
        <v>95</v>
      </c>
      <c r="K920" t="s">
        <v>233</v>
      </c>
      <c r="L920" t="s">
        <v>3197</v>
      </c>
      <c r="M920" t="s">
        <v>57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43</v>
      </c>
      <c r="U920" t="s">
        <v>44</v>
      </c>
      <c r="W920" t="s">
        <v>3193</v>
      </c>
      <c r="X920" t="str">
        <v>09-11-25</v>
      </c>
      <c r="Y920" t="str">
        <v>invalid date</v>
      </c>
      <c r="Z920" t="s">
        <v>3196</v>
      </c>
      <c r="AA920" t="str">
        <v>Rahul Verma</v>
      </c>
      <c r="AB920" t="str">
        <f>TRIM(PROPER(F:F))</f>
        <v>Small Business</v>
      </c>
      <c r="AC920" t="str">
        <f>TRIM(PROPER(G:G))</f>
        <v>North</v>
      </c>
      <c r="AD920" t="str">
        <f>TRIM(PROPER(H:H))</f>
        <v>Delhi</v>
      </c>
      <c r="AE920" t="str">
        <f>TRIM(PROPER(I:I))</f>
        <v>New Delhi</v>
      </c>
      <c r="AF920" t="str">
        <f>TRIM(PROPER(J:J))</f>
        <v>Technology</v>
      </c>
      <c r="AG920" t="str">
        <f t="shared" si="26"/>
        <v>Phones</v>
      </c>
      <c r="AH920" t="str">
        <f t="shared" si="26"/>
        <v>Smart Phones 967</v>
      </c>
      <c r="AI920" t="str">
        <f t="shared" si="26"/>
        <v>Same Day</v>
      </c>
      <c r="AJ920" s="3" t="str">
        <f t="shared" si="27"/>
        <v>Invalid</v>
      </c>
      <c r="AK920" t="str">
        <f t="shared" si="28"/>
        <v>invalid date</v>
      </c>
    </row>
    <row r="921" spans="1:37">
      <c r="A921" t="s">
        <v>98</v>
      </c>
      <c r="B921" t="s">
        <v>99</v>
      </c>
      <c r="C921" t="s">
        <v>100</v>
      </c>
      <c r="D921" t="s">
        <v>101</v>
      </c>
      <c r="E921" t="s">
        <v>102</v>
      </c>
      <c r="F921" t="s">
        <v>35</v>
      </c>
      <c r="G921" t="s">
        <v>51</v>
      </c>
      <c r="H921" t="s">
        <v>52</v>
      </c>
      <c r="I921" t="s">
        <v>53</v>
      </c>
      <c r="J921" t="s">
        <v>95</v>
      </c>
      <c r="K921" t="s">
        <v>103</v>
      </c>
      <c r="L921" t="s">
        <v>104</v>
      </c>
      <c r="M921" t="s">
        <v>76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43</v>
      </c>
      <c r="U921" t="s">
        <v>44</v>
      </c>
      <c r="W921" t="s">
        <v>98</v>
      </c>
      <c r="X921" t="str">
        <v>04-10-25</v>
      </c>
      <c r="Y921" t="str">
        <v>invalid date</v>
      </c>
      <c r="Z921" t="s">
        <v>101</v>
      </c>
      <c r="AA921" t="str">
        <v>Neha Gupta</v>
      </c>
      <c r="AB921" t="str">
        <f>TRIM(PROPER(F:F))</f>
        <v>Consumer</v>
      </c>
      <c r="AC921" t="str">
        <f>TRIM(PROPER(G:G))</f>
        <v>East</v>
      </c>
      <c r="AD921" t="str">
        <f>TRIM(PROPER(H:H))</f>
        <v>Odisha</v>
      </c>
      <c r="AE921" t="str">
        <f>TRIM(PROPER(I:I))</f>
        <v>Bhubaneswar</v>
      </c>
      <c r="AF921" t="str">
        <f>TRIM(PROPER(J:J))</f>
        <v>Technology</v>
      </c>
      <c r="AG921" t="str">
        <f t="shared" si="26"/>
        <v>Copiers</v>
      </c>
      <c r="AH921" t="str">
        <f t="shared" si="26"/>
        <v>Eco Copiers 790</v>
      </c>
      <c r="AI921" t="str">
        <f t="shared" si="26"/>
        <v>Standard Class</v>
      </c>
      <c r="AJ921" s="3" t="str">
        <f t="shared" si="27"/>
        <v>Invalid</v>
      </c>
      <c r="AK921" t="str">
        <f t="shared" si="28"/>
        <v>invalid date</v>
      </c>
    </row>
    <row r="922" spans="1:37">
      <c r="A922" t="s">
        <v>1686</v>
      </c>
      <c r="B922" t="s">
        <v>715</v>
      </c>
      <c r="C922" t="s">
        <v>1687</v>
      </c>
      <c r="D922" t="s">
        <v>1688</v>
      </c>
      <c r="E922" t="s">
        <v>177</v>
      </c>
      <c r="F922" t="s">
        <v>124</v>
      </c>
      <c r="G922" t="s">
        <v>51</v>
      </c>
      <c r="H922" t="s">
        <v>52</v>
      </c>
      <c r="I922" t="s">
        <v>53</v>
      </c>
      <c r="J922" t="s">
        <v>39</v>
      </c>
      <c r="K922" t="s">
        <v>208</v>
      </c>
      <c r="L922" t="s">
        <v>1689</v>
      </c>
      <c r="M922" t="s">
        <v>42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43</v>
      </c>
      <c r="U922" t="s">
        <v>44</v>
      </c>
      <c r="W922" t="s">
        <v>1686</v>
      </c>
      <c r="X922" t="str">
        <v>04-12-24</v>
      </c>
      <c r="Y922" t="str">
        <v>06-12-24</v>
      </c>
      <c r="Z922" t="s">
        <v>1688</v>
      </c>
      <c r="AA922" t="str">
        <v>Sneha Kapoor</v>
      </c>
      <c r="AB922" t="str">
        <f>TRIM(PROPER(F:F))</f>
        <v>Home Office</v>
      </c>
      <c r="AC922" t="str">
        <f>TRIM(PROPER(G:G))</f>
        <v>East</v>
      </c>
      <c r="AD922" t="str">
        <f>TRIM(PROPER(H:H))</f>
        <v>Odisha</v>
      </c>
      <c r="AE922" t="str">
        <f>TRIM(PROPER(I:I))</f>
        <v>Bhubaneswar</v>
      </c>
      <c r="AF922" t="str">
        <f>TRIM(PROPER(J:J))</f>
        <v>Office Supplies</v>
      </c>
      <c r="AG922" t="str">
        <f t="shared" si="26"/>
        <v>Binders</v>
      </c>
      <c r="AH922" t="str">
        <f t="shared" si="26"/>
        <v>Smart Binders 939</v>
      </c>
      <c r="AI922" t="str">
        <f t="shared" si="26"/>
        <v>Second Class</v>
      </c>
      <c r="AJ922" s="3" t="str">
        <f t="shared" si="27"/>
        <v>anomaly</v>
      </c>
      <c r="AK922">
        <f t="shared" si="28"/>
        <v>2</v>
      </c>
    </row>
    <row r="923" spans="1:37">
      <c r="A923" t="s">
        <v>560</v>
      </c>
      <c r="B923" t="s">
        <v>561</v>
      </c>
      <c r="C923" t="s">
        <v>78</v>
      </c>
      <c r="D923" t="s">
        <v>562</v>
      </c>
      <c r="E923" t="s">
        <v>171</v>
      </c>
      <c r="F923" t="s">
        <v>50</v>
      </c>
      <c r="G923" t="s">
        <v>51</v>
      </c>
      <c r="H923" t="s">
        <v>196</v>
      </c>
      <c r="I923" t="s">
        <v>197</v>
      </c>
      <c r="J923" t="s">
        <v>95</v>
      </c>
      <c r="K923" t="s">
        <v>103</v>
      </c>
      <c r="L923" t="s">
        <v>563</v>
      </c>
      <c r="M923" t="s">
        <v>65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43</v>
      </c>
      <c r="U923" t="s">
        <v>134</v>
      </c>
      <c r="W923" t="s">
        <v>560</v>
      </c>
      <c r="X923" t="str">
        <v>invalid date</v>
      </c>
      <c r="Y923" t="str">
        <v>29-08-25</v>
      </c>
      <c r="Z923" t="s">
        <v>562</v>
      </c>
      <c r="AA923" t="str">
        <v>Aarav Sharma</v>
      </c>
      <c r="AB923" t="str">
        <f>TRIM(PROPER(F:F))</f>
        <v>Small Business</v>
      </c>
      <c r="AC923" t="str">
        <f>TRIM(PROPER(G:G))</f>
        <v>East</v>
      </c>
      <c r="AD923" t="str">
        <f>TRIM(PROPER(H:H))</f>
        <v>Bihar</v>
      </c>
      <c r="AE923" t="str">
        <f>TRIM(PROPER(I:I))</f>
        <v>Patna</v>
      </c>
      <c r="AF923" t="str">
        <f>TRIM(PROPER(J:J))</f>
        <v>Technology</v>
      </c>
      <c r="AG923" t="str">
        <f t="shared" si="26"/>
        <v>Copiers</v>
      </c>
      <c r="AH923" t="str">
        <f t="shared" si="26"/>
        <v>Smart Copiers 556</v>
      </c>
      <c r="AI923" t="str">
        <f t="shared" si="26"/>
        <v>First Class</v>
      </c>
      <c r="AJ923" s="3" t="str">
        <f t="shared" si="27"/>
        <v>Invalid</v>
      </c>
      <c r="AK923" t="str">
        <f t="shared" si="28"/>
        <v>invalid date</v>
      </c>
    </row>
    <row r="924" spans="1:37">
      <c r="A924" t="s">
        <v>1870</v>
      </c>
      <c r="B924" t="s">
        <v>1871</v>
      </c>
      <c r="C924" t="s">
        <v>1871</v>
      </c>
      <c r="D924" t="s">
        <v>1872</v>
      </c>
      <c r="E924" t="s">
        <v>177</v>
      </c>
      <c r="F924" t="s">
        <v>50</v>
      </c>
      <c r="G924" t="s">
        <v>36</v>
      </c>
      <c r="H924" t="s">
        <v>183</v>
      </c>
      <c r="I924" t="s">
        <v>184</v>
      </c>
      <c r="J924" t="s">
        <v>39</v>
      </c>
      <c r="K924" t="s">
        <v>165</v>
      </c>
      <c r="L924" t="s">
        <v>1873</v>
      </c>
      <c r="M924" t="s">
        <v>42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43</v>
      </c>
      <c r="U924" t="s">
        <v>134</v>
      </c>
      <c r="W924" t="s">
        <v>1870</v>
      </c>
      <c r="X924" t="str">
        <v>13-04-25</v>
      </c>
      <c r="Y924" t="str">
        <v>13-04-25</v>
      </c>
      <c r="Z924" t="s">
        <v>1872</v>
      </c>
      <c r="AA924" t="str">
        <v>Sneha Kapoor</v>
      </c>
      <c r="AB924" t="str">
        <f>TRIM(PROPER(F:F))</f>
        <v>Small Business</v>
      </c>
      <c r="AC924" t="str">
        <f>TRIM(PROPER(G:G))</f>
        <v>North</v>
      </c>
      <c r="AD924" t="str">
        <f>TRIM(PROPER(H:H))</f>
        <v>Uttar Pradesh</v>
      </c>
      <c r="AE924" t="str">
        <f>TRIM(PROPER(I:I))</f>
        <v>Noida</v>
      </c>
      <c r="AF924" t="str">
        <f>TRIM(PROPER(J:J))</f>
        <v>Office Supplies</v>
      </c>
      <c r="AG924" t="str">
        <f t="shared" si="26"/>
        <v>Storage</v>
      </c>
      <c r="AH924" t="str">
        <f t="shared" si="26"/>
        <v>Prime Storage 951</v>
      </c>
      <c r="AI924" t="str">
        <f t="shared" si="26"/>
        <v>Second Class</v>
      </c>
      <c r="AJ924" s="3" t="str">
        <f t="shared" si="27"/>
        <v xml:space="preserve">  </v>
      </c>
      <c r="AK924">
        <f t="shared" si="28"/>
        <v>0</v>
      </c>
    </row>
    <row r="925" spans="1:37">
      <c r="A925" t="s">
        <v>1198</v>
      </c>
      <c r="B925" t="s">
        <v>1199</v>
      </c>
      <c r="C925" t="s">
        <v>1200</v>
      </c>
      <c r="D925" t="s">
        <v>1201</v>
      </c>
      <c r="E925" t="s">
        <v>62</v>
      </c>
      <c r="F925" t="s">
        <v>50</v>
      </c>
      <c r="G925" t="s">
        <v>36</v>
      </c>
      <c r="H925" t="s">
        <v>163</v>
      </c>
      <c r="I925" t="s">
        <v>164</v>
      </c>
      <c r="J925" t="s">
        <v>54</v>
      </c>
      <c r="K925" t="s">
        <v>74</v>
      </c>
      <c r="L925" t="s">
        <v>1202</v>
      </c>
      <c r="M925" t="s">
        <v>76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43</v>
      </c>
      <c r="U925" t="s">
        <v>134</v>
      </c>
      <c r="W925" t="s">
        <v>1198</v>
      </c>
      <c r="X925" t="str">
        <v>10-02-25</v>
      </c>
      <c r="Y925" t="str">
        <v>08-10-25</v>
      </c>
      <c r="Z925" t="s">
        <v>1201</v>
      </c>
      <c r="AA925" t="str">
        <v>Isha Nair</v>
      </c>
      <c r="AB925" t="str">
        <f>TRIM(PROPER(F:F))</f>
        <v>Small Business</v>
      </c>
      <c r="AC925" t="str">
        <f>TRIM(PROPER(G:G))</f>
        <v>North</v>
      </c>
      <c r="AD925" t="str">
        <f>TRIM(PROPER(H:H))</f>
        <v>Punjab</v>
      </c>
      <c r="AE925" t="str">
        <f>TRIM(PROPER(I:I))</f>
        <v>Ludhiana</v>
      </c>
      <c r="AF925" t="str">
        <f>TRIM(PROPER(J:J))</f>
        <v>Furniture</v>
      </c>
      <c r="AG925" t="str">
        <f t="shared" si="26"/>
        <v>Furnishings</v>
      </c>
      <c r="AH925" t="str">
        <f t="shared" si="26"/>
        <v>Classic Furnishings 109</v>
      </c>
      <c r="AI925" t="str">
        <f t="shared" si="26"/>
        <v>Standard Class</v>
      </c>
      <c r="AJ925" s="3" t="str">
        <f t="shared" si="27"/>
        <v xml:space="preserve">  </v>
      </c>
      <c r="AK925">
        <f t="shared" si="28"/>
        <v>240</v>
      </c>
    </row>
    <row r="926" spans="1:37">
      <c r="A926" t="s">
        <v>1611</v>
      </c>
      <c r="B926" t="s">
        <v>1114</v>
      </c>
      <c r="C926" t="s">
        <v>127</v>
      </c>
      <c r="D926" t="s">
        <v>1612</v>
      </c>
      <c r="E926" t="s">
        <v>62</v>
      </c>
      <c r="F926" t="s">
        <v>117</v>
      </c>
      <c r="G926" t="s">
        <v>82</v>
      </c>
      <c r="H926" t="s">
        <v>93</v>
      </c>
      <c r="I926" t="s">
        <v>94</v>
      </c>
      <c r="J926" t="s">
        <v>39</v>
      </c>
      <c r="K926" t="s">
        <v>118</v>
      </c>
      <c r="L926" t="s">
        <v>1613</v>
      </c>
      <c r="M926" t="s">
        <v>76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210</v>
      </c>
      <c r="U926" t="s">
        <v>44</v>
      </c>
      <c r="W926" t="s">
        <v>1611</v>
      </c>
      <c r="X926" t="str">
        <v>invalid date</v>
      </c>
      <c r="Y926" t="str">
        <v>20-05-25</v>
      </c>
      <c r="Z926" t="s">
        <v>1612</v>
      </c>
      <c r="AA926" t="str">
        <v>Isha Nair</v>
      </c>
      <c r="AB926" t="str">
        <f>TRIM(PROPER(F:F))</f>
        <v>Corporate</v>
      </c>
      <c r="AC926" t="str">
        <f>TRIM(PROPER(G:G))</f>
        <v>West</v>
      </c>
      <c r="AD926" t="str">
        <f>TRIM(PROPER(H:H))</f>
        <v>Madhya Pradesh</v>
      </c>
      <c r="AE926" t="str">
        <f>TRIM(PROPER(I:I))</f>
        <v>Indore</v>
      </c>
      <c r="AF926" t="str">
        <f>TRIM(PROPER(J:J))</f>
        <v>Office Supplies</v>
      </c>
      <c r="AG926" t="str">
        <f t="shared" si="26"/>
        <v>Labels</v>
      </c>
      <c r="AH926" t="str">
        <f t="shared" si="26"/>
        <v>Elite Labels 544</v>
      </c>
      <c r="AI926" t="str">
        <f t="shared" si="26"/>
        <v>Standard Class</v>
      </c>
      <c r="AJ926" s="3" t="str">
        <f t="shared" si="27"/>
        <v>Invalid</v>
      </c>
      <c r="AK926" t="str">
        <f t="shared" si="28"/>
        <v>invalid date</v>
      </c>
    </row>
    <row r="927" spans="1:37">
      <c r="A927" t="s">
        <v>944</v>
      </c>
      <c r="B927" t="s">
        <v>121</v>
      </c>
      <c r="C927" t="s">
        <v>945</v>
      </c>
      <c r="D927" t="s">
        <v>946</v>
      </c>
      <c r="E927" t="s">
        <v>189</v>
      </c>
      <c r="F927" t="s">
        <v>117</v>
      </c>
      <c r="G927" t="s">
        <v>51</v>
      </c>
      <c r="H927" t="s">
        <v>196</v>
      </c>
      <c r="I927" t="s">
        <v>197</v>
      </c>
      <c r="J927" t="s">
        <v>95</v>
      </c>
      <c r="K927" t="s">
        <v>103</v>
      </c>
      <c r="L927" t="s">
        <v>947</v>
      </c>
      <c r="M927" t="s">
        <v>76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43</v>
      </c>
      <c r="U927" t="s">
        <v>134</v>
      </c>
      <c r="W927" t="s">
        <v>944</v>
      </c>
      <c r="X927" t="str">
        <v>07-09-25</v>
      </c>
      <c r="Y927" t="str">
        <v>invalid date</v>
      </c>
      <c r="Z927" t="s">
        <v>946</v>
      </c>
      <c r="AA927" t="str">
        <v>Rohan Mehta</v>
      </c>
      <c r="AB927" t="str">
        <f>TRIM(PROPER(F:F))</f>
        <v>Corporate</v>
      </c>
      <c r="AC927" t="str">
        <f>TRIM(PROPER(G:G))</f>
        <v>East</v>
      </c>
      <c r="AD927" t="str">
        <f>TRIM(PROPER(H:H))</f>
        <v>Bihar</v>
      </c>
      <c r="AE927" t="str">
        <f>TRIM(PROPER(I:I))</f>
        <v>Patna</v>
      </c>
      <c r="AF927" t="str">
        <f>TRIM(PROPER(J:J))</f>
        <v>Technology</v>
      </c>
      <c r="AG927" t="str">
        <f t="shared" si="26"/>
        <v>Copiers</v>
      </c>
      <c r="AH927" t="str">
        <f t="shared" si="26"/>
        <v>Eco Copiers 102</v>
      </c>
      <c r="AI927" t="str">
        <f t="shared" si="26"/>
        <v>Standard Class</v>
      </c>
      <c r="AJ927" s="3" t="str">
        <f t="shared" si="27"/>
        <v>Invalid</v>
      </c>
      <c r="AK927" t="str">
        <f t="shared" si="28"/>
        <v>invalid date</v>
      </c>
    </row>
    <row r="928" spans="1:37">
      <c r="A928" t="s">
        <v>2096</v>
      </c>
      <c r="B928" t="s">
        <v>2097</v>
      </c>
      <c r="C928" t="s">
        <v>2098</v>
      </c>
      <c r="D928" t="s">
        <v>2099</v>
      </c>
      <c r="E928" t="s">
        <v>220</v>
      </c>
      <c r="F928" t="s">
        <v>35</v>
      </c>
      <c r="G928" t="s">
        <v>71</v>
      </c>
      <c r="H928" t="s">
        <v>252</v>
      </c>
      <c r="I928" t="s">
        <v>253</v>
      </c>
      <c r="J928" t="s">
        <v>95</v>
      </c>
      <c r="K928" t="s">
        <v>96</v>
      </c>
      <c r="L928" t="s">
        <v>2100</v>
      </c>
      <c r="M928" t="s">
        <v>2101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43</v>
      </c>
      <c r="U928" t="s">
        <v>134</v>
      </c>
      <c r="W928" t="s">
        <v>2096</v>
      </c>
      <c r="X928" t="str">
        <v>20-02-24</v>
      </c>
      <c r="Y928" t="str">
        <v>27-02-24</v>
      </c>
      <c r="Z928" t="s">
        <v>2099</v>
      </c>
      <c r="AA928" t="str">
        <v>Diya Patel</v>
      </c>
      <c r="AB928" t="str">
        <f>TRIM(PROPER(F:F))</f>
        <v>Consumer</v>
      </c>
      <c r="AC928" t="str">
        <f>TRIM(PROPER(G:G))</f>
        <v>South</v>
      </c>
      <c r="AD928" t="str">
        <f>TRIM(PROPER(H:H))</f>
        <v>Kerala</v>
      </c>
      <c r="AE928" t="str">
        <f>TRIM(PROPER(I:I))</f>
        <v>Kochi</v>
      </c>
      <c r="AF928" t="str">
        <f>TRIM(PROPER(J:J))</f>
        <v>Technology</v>
      </c>
      <c r="AG928" t="str">
        <f t="shared" si="26"/>
        <v>Accessories</v>
      </c>
      <c r="AH928" t="str">
        <f t="shared" si="26"/>
        <v>Prime Accessories 236</v>
      </c>
      <c r="AI928" t="str">
        <f t="shared" si="26"/>
        <v>First Class</v>
      </c>
      <c r="AJ928" s="3" t="str">
        <f t="shared" si="27"/>
        <v>anomaly</v>
      </c>
      <c r="AK928">
        <f t="shared" si="28"/>
        <v>7</v>
      </c>
    </row>
    <row r="929" spans="1:37">
      <c r="A929" t="s">
        <v>2748</v>
      </c>
      <c r="B929" t="s">
        <v>2684</v>
      </c>
      <c r="C929" t="s">
        <v>2749</v>
      </c>
      <c r="D929" t="s">
        <v>2750</v>
      </c>
      <c r="E929" t="s">
        <v>151</v>
      </c>
      <c r="F929" t="s">
        <v>50</v>
      </c>
      <c r="G929" t="s">
        <v>36</v>
      </c>
      <c r="H929" t="s">
        <v>183</v>
      </c>
      <c r="I929" t="s">
        <v>184</v>
      </c>
      <c r="J929" t="s">
        <v>95</v>
      </c>
      <c r="K929" t="s">
        <v>233</v>
      </c>
      <c r="L929" t="s">
        <v>2751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210</v>
      </c>
      <c r="U929" t="s">
        <v>44</v>
      </c>
      <c r="W929" t="s">
        <v>2748</v>
      </c>
      <c r="X929" t="str">
        <v>10-02-25</v>
      </c>
      <c r="Y929" t="str">
        <v>14-02-25</v>
      </c>
      <c r="Z929" t="s">
        <v>2750</v>
      </c>
      <c r="AA929" t="str">
        <v>Priya Menon</v>
      </c>
      <c r="AB929" t="str">
        <f>TRIM(PROPER(F:F))</f>
        <v>Small Business</v>
      </c>
      <c r="AC929" t="str">
        <f>TRIM(PROPER(G:G))</f>
        <v>North</v>
      </c>
      <c r="AD929" t="str">
        <f>TRIM(PROPER(H:H))</f>
        <v>Uttar Pradesh</v>
      </c>
      <c r="AE929" t="str">
        <f>TRIM(PROPER(I:I))</f>
        <v>Noida</v>
      </c>
      <c r="AF929" t="str">
        <f>TRIM(PROPER(J:J))</f>
        <v>Technology</v>
      </c>
      <c r="AG929" t="str">
        <f t="shared" si="26"/>
        <v>Phones</v>
      </c>
      <c r="AH929" t="str">
        <f t="shared" si="26"/>
        <v>Prime Phones 895</v>
      </c>
      <c r="AI929" s="4" t="s">
        <v>282</v>
      </c>
      <c r="AJ929" s="3" t="str">
        <f t="shared" si="27"/>
        <v>anomaly</v>
      </c>
      <c r="AK929">
        <f t="shared" si="28"/>
        <v>4</v>
      </c>
    </row>
    <row r="930" spans="1:37">
      <c r="A930" t="s">
        <v>810</v>
      </c>
      <c r="B930" t="s">
        <v>811</v>
      </c>
      <c r="C930" t="s">
        <v>812</v>
      </c>
      <c r="D930" t="s">
        <v>813</v>
      </c>
      <c r="E930" t="s">
        <v>116</v>
      </c>
      <c r="F930" t="s">
        <v>124</v>
      </c>
      <c r="G930" t="s">
        <v>36</v>
      </c>
      <c r="H930" t="s">
        <v>37</v>
      </c>
      <c r="I930" t="s">
        <v>38</v>
      </c>
      <c r="J930" t="s">
        <v>95</v>
      </c>
      <c r="K930" t="s">
        <v>233</v>
      </c>
      <c r="L930" t="s">
        <v>814</v>
      </c>
      <c r="M930" t="s">
        <v>42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43</v>
      </c>
      <c r="U930" t="s">
        <v>134</v>
      </c>
      <c r="W930" t="s">
        <v>810</v>
      </c>
      <c r="X930" t="str">
        <v>30-03-24</v>
      </c>
      <c r="Y930" t="str">
        <v>26-03-24</v>
      </c>
      <c r="Z930" t="s">
        <v>813</v>
      </c>
      <c r="AA930" t="str">
        <v>Aditi Sen</v>
      </c>
      <c r="AB930" t="str">
        <f>TRIM(PROPER(F:F))</f>
        <v>Home Office</v>
      </c>
      <c r="AC930" t="str">
        <f>TRIM(PROPER(G:G))</f>
        <v>North</v>
      </c>
      <c r="AD930" t="str">
        <f>TRIM(PROPER(H:H))</f>
        <v>Rajasthan</v>
      </c>
      <c r="AE930" t="str">
        <f>TRIM(PROPER(I:I))</f>
        <v>Jaipur</v>
      </c>
      <c r="AF930" t="str">
        <f>TRIM(PROPER(J:J))</f>
        <v>Technology</v>
      </c>
      <c r="AG930" t="str">
        <f t="shared" si="26"/>
        <v>Phones</v>
      </c>
      <c r="AH930" t="str">
        <f t="shared" si="26"/>
        <v>Classic Phones 142</v>
      </c>
      <c r="AI930" t="str">
        <f t="shared" si="26"/>
        <v>Second Class</v>
      </c>
      <c r="AJ930" s="3" t="str">
        <f t="shared" si="27"/>
        <v xml:space="preserve">  </v>
      </c>
      <c r="AK930">
        <f t="shared" si="28"/>
        <v>-4</v>
      </c>
    </row>
    <row r="931" spans="1:37">
      <c r="A931" t="s">
        <v>1417</v>
      </c>
      <c r="B931" t="s">
        <v>1418</v>
      </c>
      <c r="C931" t="s">
        <v>1419</v>
      </c>
      <c r="D931" t="s">
        <v>1420</v>
      </c>
      <c r="E931" t="s">
        <v>70</v>
      </c>
      <c r="F931" t="s">
        <v>35</v>
      </c>
      <c r="G931" t="s">
        <v>71</v>
      </c>
      <c r="H931" t="s">
        <v>109</v>
      </c>
      <c r="I931" t="s">
        <v>110</v>
      </c>
      <c r="J931" t="s">
        <v>54</v>
      </c>
      <c r="K931" t="s">
        <v>85</v>
      </c>
      <c r="L931" t="s">
        <v>1421</v>
      </c>
      <c r="M931" t="s">
        <v>65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43</v>
      </c>
      <c r="U931" t="s">
        <v>134</v>
      </c>
      <c r="W931" t="s">
        <v>1417</v>
      </c>
      <c r="X931" t="str">
        <v>invalid date</v>
      </c>
      <c r="Y931" t="str">
        <v>24-08-24</v>
      </c>
      <c r="Z931" t="s">
        <v>1420</v>
      </c>
      <c r="AA931" t="str">
        <v>Arjun Bose</v>
      </c>
      <c r="AB931" t="str">
        <f>TRIM(PROPER(F:F))</f>
        <v>Consumer</v>
      </c>
      <c r="AC931" t="str">
        <f>TRIM(PROPER(G:G))</f>
        <v>South</v>
      </c>
      <c r="AD931" t="str">
        <f>TRIM(PROPER(H:H))</f>
        <v>Andhra Pradesh</v>
      </c>
      <c r="AE931" t="str">
        <f>TRIM(PROPER(I:I))</f>
        <v>Vijayawada</v>
      </c>
      <c r="AF931" t="str">
        <f>TRIM(PROPER(J:J))</f>
        <v>Furniture</v>
      </c>
      <c r="AG931" t="str">
        <f t="shared" si="26"/>
        <v>Chairs</v>
      </c>
      <c r="AH931" t="str">
        <f t="shared" si="26"/>
        <v>Eco Chairs 314</v>
      </c>
      <c r="AI931" t="str">
        <f t="shared" si="26"/>
        <v>First Class</v>
      </c>
      <c r="AJ931" s="3" t="str">
        <f t="shared" si="27"/>
        <v>Invalid</v>
      </c>
      <c r="AK931" t="str">
        <f t="shared" si="28"/>
        <v>invalid date</v>
      </c>
    </row>
    <row r="932" spans="1:37">
      <c r="A932" t="s">
        <v>718</v>
      </c>
      <c r="B932" t="s">
        <v>719</v>
      </c>
      <c r="C932" t="s">
        <v>720</v>
      </c>
      <c r="D932" t="s">
        <v>721</v>
      </c>
      <c r="E932" t="s">
        <v>177</v>
      </c>
      <c r="F932" t="s">
        <v>50</v>
      </c>
      <c r="G932" t="s">
        <v>722</v>
      </c>
      <c r="H932" t="s">
        <v>163</v>
      </c>
      <c r="I932" t="s">
        <v>164</v>
      </c>
      <c r="J932" t="s">
        <v>95</v>
      </c>
      <c r="K932" t="s">
        <v>103</v>
      </c>
      <c r="L932" t="s">
        <v>723</v>
      </c>
      <c r="M932" t="s">
        <v>57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133</v>
      </c>
      <c r="U932" t="s">
        <v>134</v>
      </c>
      <c r="W932" t="s">
        <v>718</v>
      </c>
      <c r="X932" t="str">
        <v>invalid date</v>
      </c>
      <c r="Y932" t="str">
        <v>25-05-24</v>
      </c>
      <c r="Z932" t="s">
        <v>721</v>
      </c>
      <c r="AA932" t="str">
        <v>Sneha Kapoor</v>
      </c>
      <c r="AB932" t="str">
        <f>TRIM(PROPER(F:F))</f>
        <v>Small Business</v>
      </c>
      <c r="AC932" t="str">
        <f>TRIM(PROPER(G:G))</f>
        <v>North</v>
      </c>
      <c r="AD932" t="str">
        <f>TRIM(PROPER(H:H))</f>
        <v>Punjab</v>
      </c>
      <c r="AE932" t="str">
        <f>TRIM(PROPER(I:I))</f>
        <v>Ludhiana</v>
      </c>
      <c r="AF932" t="str">
        <f>TRIM(PROPER(J:J))</f>
        <v>Technology</v>
      </c>
      <c r="AG932" t="str">
        <f t="shared" si="26"/>
        <v>Copiers</v>
      </c>
      <c r="AH932" t="str">
        <f t="shared" si="26"/>
        <v>Max Copiers 970</v>
      </c>
      <c r="AI932" t="str">
        <f t="shared" si="26"/>
        <v>Same Day</v>
      </c>
      <c r="AJ932" s="3" t="str">
        <f t="shared" si="27"/>
        <v>Invalid</v>
      </c>
      <c r="AK932" t="str">
        <f t="shared" si="28"/>
        <v>invalid date</v>
      </c>
    </row>
    <row r="933" spans="1:37">
      <c r="A933" t="s">
        <v>1706</v>
      </c>
      <c r="B933" t="s">
        <v>1707</v>
      </c>
      <c r="C933" t="s">
        <v>1708</v>
      </c>
      <c r="D933" t="s">
        <v>1709</v>
      </c>
      <c r="E933" t="s">
        <v>157</v>
      </c>
      <c r="F933" t="s">
        <v>124</v>
      </c>
      <c r="G933" t="s">
        <v>82</v>
      </c>
      <c r="H933" t="s">
        <v>93</v>
      </c>
      <c r="I933" t="s">
        <v>94</v>
      </c>
      <c r="J933" t="s">
        <v>39</v>
      </c>
      <c r="K933" t="s">
        <v>40</v>
      </c>
      <c r="L933" t="s">
        <v>1710</v>
      </c>
      <c r="M933" t="s">
        <v>65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43</v>
      </c>
      <c r="U933" t="s">
        <v>134</v>
      </c>
      <c r="W933" t="s">
        <v>1706</v>
      </c>
      <c r="X933" t="str">
        <v>invalid date</v>
      </c>
      <c r="Y933" t="str">
        <v>18-06-25</v>
      </c>
      <c r="Z933" t="s">
        <v>1709</v>
      </c>
      <c r="AA933" t="str">
        <v>Rahul Verma</v>
      </c>
      <c r="AB933" t="str">
        <f>TRIM(PROPER(F:F))</f>
        <v>Home Office</v>
      </c>
      <c r="AC933" t="str">
        <f>TRIM(PROPER(G:G))</f>
        <v>West</v>
      </c>
      <c r="AD933" t="str">
        <f>TRIM(PROPER(H:H))</f>
        <v>Madhya Pradesh</v>
      </c>
      <c r="AE933" t="str">
        <f>TRIM(PROPER(I:I))</f>
        <v>Indore</v>
      </c>
      <c r="AF933" t="str">
        <f>TRIM(PROPER(J:J))</f>
        <v>Office Supplies</v>
      </c>
      <c r="AG933" t="str">
        <f>TRIM(PROPER(K:K))</f>
        <v>Paper</v>
      </c>
      <c r="AH933" t="str">
        <f>TRIM(PROPER(L:L))</f>
        <v>Prime Paper 559</v>
      </c>
      <c r="AI933" t="str">
        <f>TRIM(PROPER(M:M))</f>
        <v>First Class</v>
      </c>
      <c r="AJ933" s="3" t="str">
        <f t="shared" si="27"/>
        <v>Invalid</v>
      </c>
      <c r="AK933" t="str">
        <f t="shared" si="28"/>
        <v>invalid date</v>
      </c>
    </row>
  </sheetData>
  <conditionalFormatting sqref="W2:W933">
    <cfRule type="duplicateValues" dxfId="3" priority="3"/>
  </conditionalFormatting>
  <conditionalFormatting sqref="X2:Y933">
    <cfRule type="containsText" dxfId="2" priority="4" operator="containsText" text="invalid date">
      <formula>NOT(ISERROR(SEARCH("invalid date",X2)))</formula>
    </cfRule>
  </conditionalFormatting>
  <conditionalFormatting sqref="AK1:AK1048576">
    <cfRule type="containsText" dxfId="1" priority="2" operator="containsText" text="invalid date">
      <formula>NOT(ISERROR(SEARCH("invalid date",AK1)))</formula>
    </cfRule>
  </conditionalFormatting>
  <conditionalFormatting sqref="AP2:AQ901">
    <cfRule type="containsText" dxfId="0" priority="1" operator="containsText" text="invalid date">
      <formula>NOT(ISERROR(SEARCH("invalid date",AP2)))</formula>
    </cfRule>
  </conditionalFormatting>
  <pageMargins left="0.7" right="0.7" top="0.75" bottom="0.75" header="0.3" footer="0.3"/>
  <ignoredErrors>
    <ignoredError sqref="AP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Cleaned_orders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Barkha Srivastava</dc:creator>
  <cp:lastModifiedBy>Barkha Srivastava</cp:lastModifiedBy>
  <dcterms:created xsi:type="dcterms:W3CDTF">2026-06-27T11:04:39Z</dcterms:created>
  <dcterms:modified xsi:type="dcterms:W3CDTF">2026-06-27T12:33:55Z</dcterms:modified>
</cp:coreProperties>
</file>