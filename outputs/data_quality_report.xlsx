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riva\Downloads\Capstone project\"/>
    </mc:Choice>
  </mc:AlternateContent>
  <xr:revisionPtr revIDLastSave="0" documentId="13_ncr:1_{E638DEF6-E9D6-43E8-AC1E-B4574F23F760}" xr6:coauthVersionLast="47" xr6:coauthVersionMax="47" xr10:uidLastSave="{00000000-0000-0000-0000-000000000000}"/>
  <bookViews>
    <workbookView xWindow="-108" yWindow="-108" windowWidth="23256" windowHeight="12456" xr2:uid="{5FD6464A-D631-4E85-BAF7-3EBC7E47A6D0}"/>
  </bookViews>
  <sheets>
    <sheet name="pivot_summary" sheetId="5" r:id="rId1"/>
    <sheet name="data_quality_report" sheetId="1" r:id="rId2"/>
  </sheets>
  <definedNames>
    <definedName name="_xlnm._FilterDatabase" localSheetId="1" hidden="1">data_quality_report!$Z$1:$AI$901</definedName>
  </definedNames>
  <calcPr calcId="191029"/>
  <pivotCaches>
    <pivotCache cacheId="20" r:id="rId3"/>
    <pivotCache cacheId="2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2" i="1" l="1" a="1"/>
  <c r="AO2" i="1" s="1"/>
  <c r="AN2" i="1" a="1"/>
  <c r="AJ14" i="1"/>
  <c r="AK14" i="1" s="1"/>
  <c r="AL14" i="1" s="1"/>
  <c r="AM14" i="1" s="1"/>
  <c r="AJ15" i="1"/>
  <c r="AK15" i="1" s="1"/>
  <c r="AL15" i="1" s="1"/>
  <c r="AM15" i="1" s="1"/>
  <c r="AJ16" i="1"/>
  <c r="AK16" i="1" s="1"/>
  <c r="AL16" i="1" s="1"/>
  <c r="AM16" i="1" s="1"/>
  <c r="AJ17" i="1"/>
  <c r="AK17" i="1" s="1"/>
  <c r="AL17" i="1" s="1"/>
  <c r="AM17" i="1" s="1"/>
  <c r="AJ18" i="1"/>
  <c r="AK18" i="1" s="1"/>
  <c r="AL18" i="1" s="1"/>
  <c r="AM18" i="1" s="1"/>
  <c r="AJ19" i="1"/>
  <c r="AK19" i="1" s="1"/>
  <c r="AL19" i="1" s="1"/>
  <c r="AM19" i="1" s="1"/>
  <c r="AJ20" i="1"/>
  <c r="AK20" i="1" s="1"/>
  <c r="AL20" i="1" s="1"/>
  <c r="AM20" i="1" s="1"/>
  <c r="AJ21" i="1"/>
  <c r="AK21" i="1" s="1"/>
  <c r="AL21" i="1" s="1"/>
  <c r="AM21" i="1" s="1"/>
  <c r="AJ22" i="1"/>
  <c r="AK22" i="1" s="1"/>
  <c r="AL22" i="1" s="1"/>
  <c r="AM22" i="1" s="1"/>
  <c r="AJ23" i="1"/>
  <c r="AK23" i="1" s="1"/>
  <c r="AL23" i="1" s="1"/>
  <c r="AM23" i="1" s="1"/>
  <c r="AJ24" i="1"/>
  <c r="AK24" i="1" s="1"/>
  <c r="AL24" i="1" s="1"/>
  <c r="AM24" i="1" s="1"/>
  <c r="AJ25" i="1"/>
  <c r="AK25" i="1" s="1"/>
  <c r="AL25" i="1" s="1"/>
  <c r="AM25" i="1" s="1"/>
  <c r="AJ26" i="1"/>
  <c r="AK26" i="1" s="1"/>
  <c r="AL26" i="1" s="1"/>
  <c r="AM26" i="1" s="1"/>
  <c r="AJ27" i="1"/>
  <c r="AK27" i="1" s="1"/>
  <c r="AL27" i="1" s="1"/>
  <c r="AM27" i="1" s="1"/>
  <c r="AJ28" i="1"/>
  <c r="AK28" i="1" s="1"/>
  <c r="AL28" i="1" s="1"/>
  <c r="AM28" i="1" s="1"/>
  <c r="AJ29" i="1"/>
  <c r="AK29" i="1" s="1"/>
  <c r="AL29" i="1" s="1"/>
  <c r="AM29" i="1" s="1"/>
  <c r="AJ30" i="1"/>
  <c r="AK30" i="1" s="1"/>
  <c r="AL30" i="1" s="1"/>
  <c r="AM30" i="1" s="1"/>
  <c r="AJ31" i="1"/>
  <c r="AK31" i="1" s="1"/>
  <c r="AL31" i="1" s="1"/>
  <c r="AM31" i="1" s="1"/>
  <c r="AJ32" i="1"/>
  <c r="AK32" i="1" s="1"/>
  <c r="AL32" i="1" s="1"/>
  <c r="AM32" i="1" s="1"/>
  <c r="AJ33" i="1"/>
  <c r="AK33" i="1" s="1"/>
  <c r="AL33" i="1" s="1"/>
  <c r="AM33" i="1" s="1"/>
  <c r="AJ34" i="1"/>
  <c r="AK34" i="1" s="1"/>
  <c r="AL34" i="1" s="1"/>
  <c r="AM34" i="1" s="1"/>
  <c r="AJ35" i="1"/>
  <c r="AK35" i="1" s="1"/>
  <c r="AL35" i="1" s="1"/>
  <c r="AM35" i="1" s="1"/>
  <c r="AJ36" i="1"/>
  <c r="AK36" i="1" s="1"/>
  <c r="AL36" i="1" s="1"/>
  <c r="AM36" i="1" s="1"/>
  <c r="AJ37" i="1"/>
  <c r="AK37" i="1" s="1"/>
  <c r="AL37" i="1" s="1"/>
  <c r="AM37" i="1" s="1"/>
  <c r="AJ38" i="1"/>
  <c r="AK38" i="1" s="1"/>
  <c r="AL38" i="1" s="1"/>
  <c r="AM38" i="1" s="1"/>
  <c r="AJ39" i="1"/>
  <c r="AK39" i="1" s="1"/>
  <c r="AL39" i="1" s="1"/>
  <c r="AM39" i="1" s="1"/>
  <c r="AJ40" i="1"/>
  <c r="AK40" i="1" s="1"/>
  <c r="AL40" i="1" s="1"/>
  <c r="AM40" i="1" s="1"/>
  <c r="AJ41" i="1"/>
  <c r="AK41" i="1" s="1"/>
  <c r="AL41" i="1" s="1"/>
  <c r="AM41" i="1" s="1"/>
  <c r="AJ42" i="1"/>
  <c r="AK42" i="1" s="1"/>
  <c r="AL42" i="1" s="1"/>
  <c r="AM42" i="1" s="1"/>
  <c r="AJ43" i="1"/>
  <c r="AK43" i="1" s="1"/>
  <c r="AL43" i="1" s="1"/>
  <c r="AM43" i="1" s="1"/>
  <c r="AJ44" i="1"/>
  <c r="AK44" i="1" s="1"/>
  <c r="AL44" i="1" s="1"/>
  <c r="AM44" i="1" s="1"/>
  <c r="AJ45" i="1"/>
  <c r="AK45" i="1" s="1"/>
  <c r="AL45" i="1" s="1"/>
  <c r="AM45" i="1" s="1"/>
  <c r="AJ46" i="1"/>
  <c r="AK46" i="1" s="1"/>
  <c r="AL46" i="1" s="1"/>
  <c r="AM46" i="1" s="1"/>
  <c r="AJ47" i="1"/>
  <c r="AK47" i="1" s="1"/>
  <c r="AL47" i="1" s="1"/>
  <c r="AM47" i="1" s="1"/>
  <c r="AJ48" i="1"/>
  <c r="AK48" i="1" s="1"/>
  <c r="AL48" i="1" s="1"/>
  <c r="AM48" i="1" s="1"/>
  <c r="AJ49" i="1"/>
  <c r="AK49" i="1" s="1"/>
  <c r="AL49" i="1" s="1"/>
  <c r="AM49" i="1" s="1"/>
  <c r="AJ50" i="1"/>
  <c r="AK50" i="1" s="1"/>
  <c r="AL50" i="1" s="1"/>
  <c r="AM50" i="1" s="1"/>
  <c r="AJ51" i="1"/>
  <c r="AK51" i="1" s="1"/>
  <c r="AL51" i="1" s="1"/>
  <c r="AM51" i="1" s="1"/>
  <c r="AJ52" i="1"/>
  <c r="AK52" i="1" s="1"/>
  <c r="AL52" i="1" s="1"/>
  <c r="AM52" i="1" s="1"/>
  <c r="AJ53" i="1"/>
  <c r="AK53" i="1" s="1"/>
  <c r="AL53" i="1" s="1"/>
  <c r="AM53" i="1" s="1"/>
  <c r="AJ54" i="1"/>
  <c r="AK54" i="1" s="1"/>
  <c r="AL54" i="1" s="1"/>
  <c r="AM54" i="1" s="1"/>
  <c r="AJ55" i="1"/>
  <c r="AK55" i="1" s="1"/>
  <c r="AL55" i="1" s="1"/>
  <c r="AM55" i="1" s="1"/>
  <c r="AJ56" i="1"/>
  <c r="AK56" i="1" s="1"/>
  <c r="AL56" i="1" s="1"/>
  <c r="AM56" i="1" s="1"/>
  <c r="AJ57" i="1"/>
  <c r="AK57" i="1" s="1"/>
  <c r="AL57" i="1" s="1"/>
  <c r="AM57" i="1" s="1"/>
  <c r="AJ58" i="1"/>
  <c r="AK58" i="1" s="1"/>
  <c r="AL58" i="1" s="1"/>
  <c r="AM58" i="1" s="1"/>
  <c r="AJ59" i="1"/>
  <c r="AK59" i="1" s="1"/>
  <c r="AL59" i="1" s="1"/>
  <c r="AM59" i="1" s="1"/>
  <c r="AJ60" i="1"/>
  <c r="AK60" i="1" s="1"/>
  <c r="AL60" i="1" s="1"/>
  <c r="AM60" i="1" s="1"/>
  <c r="AJ61" i="1"/>
  <c r="AK61" i="1" s="1"/>
  <c r="AL61" i="1" s="1"/>
  <c r="AM61" i="1" s="1"/>
  <c r="AJ62" i="1"/>
  <c r="AK62" i="1" s="1"/>
  <c r="AL62" i="1" s="1"/>
  <c r="AM62" i="1" s="1"/>
  <c r="AJ63" i="1"/>
  <c r="AK63" i="1" s="1"/>
  <c r="AL63" i="1" s="1"/>
  <c r="AM63" i="1" s="1"/>
  <c r="AJ64" i="1"/>
  <c r="AK64" i="1" s="1"/>
  <c r="AL64" i="1" s="1"/>
  <c r="AM64" i="1" s="1"/>
  <c r="AJ65" i="1"/>
  <c r="AK65" i="1" s="1"/>
  <c r="AL65" i="1" s="1"/>
  <c r="AM65" i="1" s="1"/>
  <c r="AJ66" i="1"/>
  <c r="AK66" i="1" s="1"/>
  <c r="AL66" i="1" s="1"/>
  <c r="AM66" i="1" s="1"/>
  <c r="AJ67" i="1"/>
  <c r="AK67" i="1" s="1"/>
  <c r="AL67" i="1" s="1"/>
  <c r="AM67" i="1" s="1"/>
  <c r="AJ68" i="1"/>
  <c r="AK68" i="1" s="1"/>
  <c r="AL68" i="1" s="1"/>
  <c r="AM68" i="1" s="1"/>
  <c r="AJ69" i="1"/>
  <c r="AK69" i="1" s="1"/>
  <c r="AL69" i="1" s="1"/>
  <c r="AM69" i="1" s="1"/>
  <c r="AJ70" i="1"/>
  <c r="AK70" i="1" s="1"/>
  <c r="AL70" i="1" s="1"/>
  <c r="AM70" i="1" s="1"/>
  <c r="AJ71" i="1"/>
  <c r="AK71" i="1" s="1"/>
  <c r="AL71" i="1" s="1"/>
  <c r="AM71" i="1" s="1"/>
  <c r="AJ72" i="1"/>
  <c r="AK72" i="1" s="1"/>
  <c r="AL72" i="1" s="1"/>
  <c r="AM72" i="1" s="1"/>
  <c r="AJ73" i="1"/>
  <c r="AK73" i="1" s="1"/>
  <c r="AL73" i="1" s="1"/>
  <c r="AM73" i="1" s="1"/>
  <c r="AJ74" i="1"/>
  <c r="AK74" i="1" s="1"/>
  <c r="AL74" i="1" s="1"/>
  <c r="AM74" i="1" s="1"/>
  <c r="AJ75" i="1"/>
  <c r="AK75" i="1" s="1"/>
  <c r="AL75" i="1" s="1"/>
  <c r="AM75" i="1" s="1"/>
  <c r="AJ76" i="1"/>
  <c r="AK76" i="1" s="1"/>
  <c r="AL76" i="1" s="1"/>
  <c r="AM76" i="1" s="1"/>
  <c r="AJ77" i="1"/>
  <c r="AK77" i="1" s="1"/>
  <c r="AL77" i="1" s="1"/>
  <c r="AM77" i="1" s="1"/>
  <c r="AJ78" i="1"/>
  <c r="AK78" i="1" s="1"/>
  <c r="AL78" i="1" s="1"/>
  <c r="AM78" i="1" s="1"/>
  <c r="AJ79" i="1"/>
  <c r="AK79" i="1" s="1"/>
  <c r="AL79" i="1" s="1"/>
  <c r="AM79" i="1" s="1"/>
  <c r="AJ80" i="1"/>
  <c r="AK80" i="1" s="1"/>
  <c r="AL80" i="1" s="1"/>
  <c r="AM80" i="1" s="1"/>
  <c r="AJ81" i="1"/>
  <c r="AK81" i="1" s="1"/>
  <c r="AL81" i="1" s="1"/>
  <c r="AM81" i="1" s="1"/>
  <c r="AJ82" i="1"/>
  <c r="AK82" i="1" s="1"/>
  <c r="AL82" i="1" s="1"/>
  <c r="AM82" i="1" s="1"/>
  <c r="AJ83" i="1"/>
  <c r="AK83" i="1" s="1"/>
  <c r="AL83" i="1" s="1"/>
  <c r="AM83" i="1" s="1"/>
  <c r="AJ84" i="1"/>
  <c r="AK84" i="1" s="1"/>
  <c r="AL84" i="1" s="1"/>
  <c r="AM84" i="1" s="1"/>
  <c r="AJ85" i="1"/>
  <c r="AK85" i="1" s="1"/>
  <c r="AL85" i="1" s="1"/>
  <c r="AM85" i="1" s="1"/>
  <c r="AJ86" i="1"/>
  <c r="AK86" i="1" s="1"/>
  <c r="AL86" i="1" s="1"/>
  <c r="AM86" i="1" s="1"/>
  <c r="AJ87" i="1"/>
  <c r="AK87" i="1" s="1"/>
  <c r="AL87" i="1" s="1"/>
  <c r="AM87" i="1" s="1"/>
  <c r="AJ88" i="1"/>
  <c r="AK88" i="1" s="1"/>
  <c r="AL88" i="1" s="1"/>
  <c r="AM88" i="1" s="1"/>
  <c r="AJ89" i="1"/>
  <c r="AK89" i="1" s="1"/>
  <c r="AL89" i="1" s="1"/>
  <c r="AM89" i="1" s="1"/>
  <c r="AJ90" i="1"/>
  <c r="AK90" i="1" s="1"/>
  <c r="AL90" i="1" s="1"/>
  <c r="AM90" i="1" s="1"/>
  <c r="AJ91" i="1"/>
  <c r="AK91" i="1" s="1"/>
  <c r="AL91" i="1" s="1"/>
  <c r="AM91" i="1" s="1"/>
  <c r="AJ92" i="1"/>
  <c r="AK92" i="1" s="1"/>
  <c r="AL92" i="1" s="1"/>
  <c r="AM92" i="1" s="1"/>
  <c r="AJ93" i="1"/>
  <c r="AK93" i="1" s="1"/>
  <c r="AL93" i="1" s="1"/>
  <c r="AM93" i="1" s="1"/>
  <c r="AJ94" i="1"/>
  <c r="AK94" i="1" s="1"/>
  <c r="AL94" i="1" s="1"/>
  <c r="AM94" i="1" s="1"/>
  <c r="AJ95" i="1"/>
  <c r="AK95" i="1" s="1"/>
  <c r="AL95" i="1" s="1"/>
  <c r="AM95" i="1" s="1"/>
  <c r="AJ96" i="1"/>
  <c r="AK96" i="1" s="1"/>
  <c r="AL96" i="1" s="1"/>
  <c r="AM96" i="1" s="1"/>
  <c r="AJ97" i="1"/>
  <c r="AK97" i="1" s="1"/>
  <c r="AL97" i="1" s="1"/>
  <c r="AM97" i="1" s="1"/>
  <c r="AJ98" i="1"/>
  <c r="AK98" i="1" s="1"/>
  <c r="AL98" i="1" s="1"/>
  <c r="AM98" i="1" s="1"/>
  <c r="AJ99" i="1"/>
  <c r="AK99" i="1" s="1"/>
  <c r="AL99" i="1" s="1"/>
  <c r="AM99" i="1" s="1"/>
  <c r="AJ100" i="1"/>
  <c r="AK100" i="1" s="1"/>
  <c r="AL100" i="1" s="1"/>
  <c r="AM100" i="1" s="1"/>
  <c r="AJ101" i="1"/>
  <c r="AK101" i="1" s="1"/>
  <c r="AL101" i="1" s="1"/>
  <c r="AM101" i="1" s="1"/>
  <c r="AJ102" i="1"/>
  <c r="AK102" i="1" s="1"/>
  <c r="AL102" i="1" s="1"/>
  <c r="AM102" i="1" s="1"/>
  <c r="AJ103" i="1"/>
  <c r="AK103" i="1" s="1"/>
  <c r="AL103" i="1" s="1"/>
  <c r="AM103" i="1" s="1"/>
  <c r="AJ104" i="1"/>
  <c r="AK104" i="1" s="1"/>
  <c r="AL104" i="1" s="1"/>
  <c r="AM104" i="1" s="1"/>
  <c r="AJ105" i="1"/>
  <c r="AK105" i="1" s="1"/>
  <c r="AL105" i="1" s="1"/>
  <c r="AM105" i="1" s="1"/>
  <c r="AJ106" i="1"/>
  <c r="AK106" i="1" s="1"/>
  <c r="AL106" i="1" s="1"/>
  <c r="AM106" i="1" s="1"/>
  <c r="AJ107" i="1"/>
  <c r="AK107" i="1" s="1"/>
  <c r="AL107" i="1" s="1"/>
  <c r="AM107" i="1" s="1"/>
  <c r="AJ108" i="1"/>
  <c r="AK108" i="1" s="1"/>
  <c r="AL108" i="1" s="1"/>
  <c r="AM108" i="1" s="1"/>
  <c r="AJ109" i="1"/>
  <c r="AK109" i="1" s="1"/>
  <c r="AL109" i="1" s="1"/>
  <c r="AM109" i="1" s="1"/>
  <c r="AJ110" i="1"/>
  <c r="AK110" i="1" s="1"/>
  <c r="AL110" i="1" s="1"/>
  <c r="AM110" i="1" s="1"/>
  <c r="AJ111" i="1"/>
  <c r="AK111" i="1" s="1"/>
  <c r="AL111" i="1" s="1"/>
  <c r="AM111" i="1" s="1"/>
  <c r="AJ112" i="1"/>
  <c r="AK112" i="1" s="1"/>
  <c r="AL112" i="1" s="1"/>
  <c r="AM112" i="1" s="1"/>
  <c r="AJ113" i="1"/>
  <c r="AK113" i="1" s="1"/>
  <c r="AL113" i="1" s="1"/>
  <c r="AM113" i="1" s="1"/>
  <c r="AJ114" i="1"/>
  <c r="AK114" i="1" s="1"/>
  <c r="AL114" i="1" s="1"/>
  <c r="AM114" i="1" s="1"/>
  <c r="AJ115" i="1"/>
  <c r="AK115" i="1" s="1"/>
  <c r="AL115" i="1" s="1"/>
  <c r="AM115" i="1" s="1"/>
  <c r="AJ116" i="1"/>
  <c r="AK116" i="1" s="1"/>
  <c r="AL116" i="1" s="1"/>
  <c r="AM116" i="1" s="1"/>
  <c r="AJ117" i="1"/>
  <c r="AK117" i="1" s="1"/>
  <c r="AL117" i="1" s="1"/>
  <c r="AM117" i="1" s="1"/>
  <c r="AJ118" i="1"/>
  <c r="AK118" i="1" s="1"/>
  <c r="AL118" i="1" s="1"/>
  <c r="AM118" i="1" s="1"/>
  <c r="AJ119" i="1"/>
  <c r="AK119" i="1" s="1"/>
  <c r="AL119" i="1" s="1"/>
  <c r="AM119" i="1" s="1"/>
  <c r="AJ120" i="1"/>
  <c r="AK120" i="1" s="1"/>
  <c r="AL120" i="1" s="1"/>
  <c r="AM120" i="1" s="1"/>
  <c r="AJ121" i="1"/>
  <c r="AK121" i="1" s="1"/>
  <c r="AL121" i="1" s="1"/>
  <c r="AM121" i="1" s="1"/>
  <c r="AJ122" i="1"/>
  <c r="AK122" i="1" s="1"/>
  <c r="AL122" i="1" s="1"/>
  <c r="AM122" i="1" s="1"/>
  <c r="AJ123" i="1"/>
  <c r="AK123" i="1" s="1"/>
  <c r="AL123" i="1" s="1"/>
  <c r="AM123" i="1" s="1"/>
  <c r="AJ124" i="1"/>
  <c r="AK124" i="1" s="1"/>
  <c r="AL124" i="1" s="1"/>
  <c r="AM124" i="1" s="1"/>
  <c r="AJ125" i="1"/>
  <c r="AK125" i="1" s="1"/>
  <c r="AL125" i="1" s="1"/>
  <c r="AM125" i="1" s="1"/>
  <c r="AJ126" i="1"/>
  <c r="AK126" i="1" s="1"/>
  <c r="AL126" i="1" s="1"/>
  <c r="AM126" i="1" s="1"/>
  <c r="AJ127" i="1"/>
  <c r="AK127" i="1" s="1"/>
  <c r="AL127" i="1" s="1"/>
  <c r="AM127" i="1" s="1"/>
  <c r="AJ128" i="1"/>
  <c r="AK128" i="1" s="1"/>
  <c r="AL128" i="1" s="1"/>
  <c r="AM128" i="1" s="1"/>
  <c r="AJ129" i="1"/>
  <c r="AK129" i="1" s="1"/>
  <c r="AL129" i="1" s="1"/>
  <c r="AM129" i="1" s="1"/>
  <c r="AJ130" i="1"/>
  <c r="AK130" i="1" s="1"/>
  <c r="AL130" i="1" s="1"/>
  <c r="AM130" i="1" s="1"/>
  <c r="AJ131" i="1"/>
  <c r="AK131" i="1" s="1"/>
  <c r="AL131" i="1" s="1"/>
  <c r="AM131" i="1" s="1"/>
  <c r="AJ132" i="1"/>
  <c r="AK132" i="1" s="1"/>
  <c r="AL132" i="1" s="1"/>
  <c r="AM132" i="1" s="1"/>
  <c r="AJ133" i="1"/>
  <c r="AK133" i="1" s="1"/>
  <c r="AL133" i="1" s="1"/>
  <c r="AM133" i="1" s="1"/>
  <c r="AJ134" i="1"/>
  <c r="AK134" i="1" s="1"/>
  <c r="AL134" i="1" s="1"/>
  <c r="AM134" i="1" s="1"/>
  <c r="AJ135" i="1"/>
  <c r="AK135" i="1" s="1"/>
  <c r="AL135" i="1" s="1"/>
  <c r="AM135" i="1" s="1"/>
  <c r="AJ136" i="1"/>
  <c r="AK136" i="1" s="1"/>
  <c r="AL136" i="1" s="1"/>
  <c r="AM136" i="1" s="1"/>
  <c r="AJ137" i="1"/>
  <c r="AK137" i="1" s="1"/>
  <c r="AL137" i="1" s="1"/>
  <c r="AM137" i="1" s="1"/>
  <c r="AJ138" i="1"/>
  <c r="AK138" i="1" s="1"/>
  <c r="AL138" i="1" s="1"/>
  <c r="AM138" i="1" s="1"/>
  <c r="AJ139" i="1"/>
  <c r="AK139" i="1" s="1"/>
  <c r="AL139" i="1" s="1"/>
  <c r="AM139" i="1" s="1"/>
  <c r="AJ140" i="1"/>
  <c r="AK140" i="1" s="1"/>
  <c r="AL140" i="1" s="1"/>
  <c r="AM140" i="1" s="1"/>
  <c r="AJ141" i="1"/>
  <c r="AK141" i="1" s="1"/>
  <c r="AL141" i="1" s="1"/>
  <c r="AM141" i="1" s="1"/>
  <c r="AJ142" i="1"/>
  <c r="AK142" i="1" s="1"/>
  <c r="AL142" i="1" s="1"/>
  <c r="AM142" i="1" s="1"/>
  <c r="AJ143" i="1"/>
  <c r="AK143" i="1" s="1"/>
  <c r="AL143" i="1" s="1"/>
  <c r="AM143" i="1" s="1"/>
  <c r="AJ144" i="1"/>
  <c r="AK144" i="1" s="1"/>
  <c r="AL144" i="1" s="1"/>
  <c r="AM144" i="1" s="1"/>
  <c r="AJ145" i="1"/>
  <c r="AK145" i="1" s="1"/>
  <c r="AL145" i="1" s="1"/>
  <c r="AM145" i="1" s="1"/>
  <c r="AJ146" i="1"/>
  <c r="AK146" i="1" s="1"/>
  <c r="AL146" i="1" s="1"/>
  <c r="AM146" i="1" s="1"/>
  <c r="AJ147" i="1"/>
  <c r="AK147" i="1" s="1"/>
  <c r="AL147" i="1" s="1"/>
  <c r="AM147" i="1" s="1"/>
  <c r="AJ148" i="1"/>
  <c r="AK148" i="1" s="1"/>
  <c r="AL148" i="1" s="1"/>
  <c r="AM148" i="1" s="1"/>
  <c r="AJ149" i="1"/>
  <c r="AK149" i="1" s="1"/>
  <c r="AL149" i="1" s="1"/>
  <c r="AM149" i="1" s="1"/>
  <c r="AJ150" i="1"/>
  <c r="AK150" i="1" s="1"/>
  <c r="AL150" i="1" s="1"/>
  <c r="AM150" i="1" s="1"/>
  <c r="AJ151" i="1"/>
  <c r="AK151" i="1" s="1"/>
  <c r="AL151" i="1" s="1"/>
  <c r="AM151" i="1" s="1"/>
  <c r="AJ152" i="1"/>
  <c r="AK152" i="1" s="1"/>
  <c r="AL152" i="1" s="1"/>
  <c r="AM152" i="1" s="1"/>
  <c r="AJ153" i="1"/>
  <c r="AK153" i="1" s="1"/>
  <c r="AL153" i="1" s="1"/>
  <c r="AM153" i="1" s="1"/>
  <c r="AJ154" i="1"/>
  <c r="AK154" i="1" s="1"/>
  <c r="AL154" i="1" s="1"/>
  <c r="AM154" i="1" s="1"/>
  <c r="AJ155" i="1"/>
  <c r="AK155" i="1" s="1"/>
  <c r="AL155" i="1" s="1"/>
  <c r="AM155" i="1" s="1"/>
  <c r="AJ156" i="1"/>
  <c r="AK156" i="1" s="1"/>
  <c r="AL156" i="1" s="1"/>
  <c r="AM156" i="1" s="1"/>
  <c r="AJ157" i="1"/>
  <c r="AK157" i="1" s="1"/>
  <c r="AL157" i="1" s="1"/>
  <c r="AM157" i="1" s="1"/>
  <c r="AJ158" i="1"/>
  <c r="AK158" i="1" s="1"/>
  <c r="AL158" i="1" s="1"/>
  <c r="AM158" i="1" s="1"/>
  <c r="AJ159" i="1"/>
  <c r="AK159" i="1" s="1"/>
  <c r="AL159" i="1" s="1"/>
  <c r="AM159" i="1" s="1"/>
  <c r="AJ160" i="1"/>
  <c r="AK160" i="1" s="1"/>
  <c r="AL160" i="1" s="1"/>
  <c r="AM160" i="1" s="1"/>
  <c r="AJ161" i="1"/>
  <c r="AK161" i="1" s="1"/>
  <c r="AL161" i="1" s="1"/>
  <c r="AM161" i="1" s="1"/>
  <c r="AJ162" i="1"/>
  <c r="AK162" i="1" s="1"/>
  <c r="AL162" i="1" s="1"/>
  <c r="AM162" i="1" s="1"/>
  <c r="AJ163" i="1"/>
  <c r="AK163" i="1" s="1"/>
  <c r="AL163" i="1" s="1"/>
  <c r="AM163" i="1" s="1"/>
  <c r="AJ164" i="1"/>
  <c r="AK164" i="1" s="1"/>
  <c r="AL164" i="1" s="1"/>
  <c r="AM164" i="1" s="1"/>
  <c r="AJ165" i="1"/>
  <c r="AK165" i="1" s="1"/>
  <c r="AL165" i="1" s="1"/>
  <c r="AM165" i="1" s="1"/>
  <c r="AJ166" i="1"/>
  <c r="AK166" i="1" s="1"/>
  <c r="AL166" i="1" s="1"/>
  <c r="AM166" i="1" s="1"/>
  <c r="AJ167" i="1"/>
  <c r="AK167" i="1" s="1"/>
  <c r="AL167" i="1" s="1"/>
  <c r="AM167" i="1" s="1"/>
  <c r="AJ168" i="1"/>
  <c r="AK168" i="1" s="1"/>
  <c r="AL168" i="1" s="1"/>
  <c r="AM168" i="1" s="1"/>
  <c r="AJ169" i="1"/>
  <c r="AK169" i="1" s="1"/>
  <c r="AL169" i="1" s="1"/>
  <c r="AM169" i="1" s="1"/>
  <c r="AJ170" i="1"/>
  <c r="AK170" i="1" s="1"/>
  <c r="AL170" i="1" s="1"/>
  <c r="AM170" i="1" s="1"/>
  <c r="AJ171" i="1"/>
  <c r="AK171" i="1" s="1"/>
  <c r="AL171" i="1" s="1"/>
  <c r="AM171" i="1" s="1"/>
  <c r="AJ172" i="1"/>
  <c r="AK172" i="1" s="1"/>
  <c r="AL172" i="1" s="1"/>
  <c r="AM172" i="1" s="1"/>
  <c r="AJ173" i="1"/>
  <c r="AK173" i="1" s="1"/>
  <c r="AL173" i="1" s="1"/>
  <c r="AM173" i="1" s="1"/>
  <c r="AJ174" i="1"/>
  <c r="AK174" i="1" s="1"/>
  <c r="AL174" i="1" s="1"/>
  <c r="AM174" i="1" s="1"/>
  <c r="AJ175" i="1"/>
  <c r="AK175" i="1" s="1"/>
  <c r="AL175" i="1" s="1"/>
  <c r="AM175" i="1" s="1"/>
  <c r="AJ176" i="1"/>
  <c r="AK176" i="1" s="1"/>
  <c r="AL176" i="1" s="1"/>
  <c r="AM176" i="1" s="1"/>
  <c r="AJ177" i="1"/>
  <c r="AK177" i="1" s="1"/>
  <c r="AL177" i="1" s="1"/>
  <c r="AM177" i="1" s="1"/>
  <c r="AJ178" i="1"/>
  <c r="AK178" i="1" s="1"/>
  <c r="AL178" i="1" s="1"/>
  <c r="AM178" i="1" s="1"/>
  <c r="AJ179" i="1"/>
  <c r="AK179" i="1" s="1"/>
  <c r="AL179" i="1" s="1"/>
  <c r="AM179" i="1" s="1"/>
  <c r="AJ180" i="1"/>
  <c r="AK180" i="1" s="1"/>
  <c r="AL180" i="1" s="1"/>
  <c r="AM180" i="1" s="1"/>
  <c r="AJ181" i="1"/>
  <c r="AK181" i="1" s="1"/>
  <c r="AL181" i="1" s="1"/>
  <c r="AM181" i="1" s="1"/>
  <c r="AJ182" i="1"/>
  <c r="AK182" i="1" s="1"/>
  <c r="AL182" i="1" s="1"/>
  <c r="AM182" i="1" s="1"/>
  <c r="AJ183" i="1"/>
  <c r="AK183" i="1" s="1"/>
  <c r="AL183" i="1" s="1"/>
  <c r="AM183" i="1" s="1"/>
  <c r="AJ184" i="1"/>
  <c r="AK184" i="1" s="1"/>
  <c r="AL184" i="1" s="1"/>
  <c r="AM184" i="1" s="1"/>
  <c r="AJ185" i="1"/>
  <c r="AK185" i="1" s="1"/>
  <c r="AL185" i="1" s="1"/>
  <c r="AM185" i="1" s="1"/>
  <c r="AJ186" i="1"/>
  <c r="AK186" i="1" s="1"/>
  <c r="AL186" i="1" s="1"/>
  <c r="AM186" i="1" s="1"/>
  <c r="AJ187" i="1"/>
  <c r="AK187" i="1" s="1"/>
  <c r="AL187" i="1" s="1"/>
  <c r="AM187" i="1" s="1"/>
  <c r="AJ188" i="1"/>
  <c r="AK188" i="1" s="1"/>
  <c r="AL188" i="1" s="1"/>
  <c r="AM188" i="1" s="1"/>
  <c r="AJ189" i="1"/>
  <c r="AK189" i="1" s="1"/>
  <c r="AL189" i="1" s="1"/>
  <c r="AM189" i="1" s="1"/>
  <c r="AJ190" i="1"/>
  <c r="AK190" i="1" s="1"/>
  <c r="AL190" i="1" s="1"/>
  <c r="AM190" i="1" s="1"/>
  <c r="AJ191" i="1"/>
  <c r="AK191" i="1" s="1"/>
  <c r="AL191" i="1" s="1"/>
  <c r="AM191" i="1" s="1"/>
  <c r="AJ192" i="1"/>
  <c r="AK192" i="1" s="1"/>
  <c r="AL192" i="1" s="1"/>
  <c r="AM192" i="1" s="1"/>
  <c r="AJ193" i="1"/>
  <c r="AK193" i="1" s="1"/>
  <c r="AL193" i="1" s="1"/>
  <c r="AM193" i="1" s="1"/>
  <c r="AJ194" i="1"/>
  <c r="AK194" i="1" s="1"/>
  <c r="AL194" i="1" s="1"/>
  <c r="AM194" i="1" s="1"/>
  <c r="AJ195" i="1"/>
  <c r="AK195" i="1" s="1"/>
  <c r="AL195" i="1" s="1"/>
  <c r="AM195" i="1" s="1"/>
  <c r="AJ196" i="1"/>
  <c r="AK196" i="1" s="1"/>
  <c r="AL196" i="1" s="1"/>
  <c r="AM196" i="1" s="1"/>
  <c r="AJ197" i="1"/>
  <c r="AK197" i="1" s="1"/>
  <c r="AL197" i="1" s="1"/>
  <c r="AM197" i="1" s="1"/>
  <c r="AJ198" i="1"/>
  <c r="AK198" i="1" s="1"/>
  <c r="AL198" i="1" s="1"/>
  <c r="AM198" i="1" s="1"/>
  <c r="AJ199" i="1"/>
  <c r="AK199" i="1" s="1"/>
  <c r="AL199" i="1" s="1"/>
  <c r="AM199" i="1" s="1"/>
  <c r="AJ200" i="1"/>
  <c r="AK200" i="1" s="1"/>
  <c r="AL200" i="1" s="1"/>
  <c r="AM200" i="1" s="1"/>
  <c r="AJ201" i="1"/>
  <c r="AK201" i="1" s="1"/>
  <c r="AL201" i="1" s="1"/>
  <c r="AM201" i="1" s="1"/>
  <c r="AJ202" i="1"/>
  <c r="AK202" i="1" s="1"/>
  <c r="AL202" i="1" s="1"/>
  <c r="AM202" i="1" s="1"/>
  <c r="AJ203" i="1"/>
  <c r="AK203" i="1" s="1"/>
  <c r="AL203" i="1" s="1"/>
  <c r="AM203" i="1" s="1"/>
  <c r="AJ204" i="1"/>
  <c r="AK204" i="1" s="1"/>
  <c r="AL204" i="1" s="1"/>
  <c r="AM204" i="1" s="1"/>
  <c r="AJ205" i="1"/>
  <c r="AK205" i="1" s="1"/>
  <c r="AL205" i="1" s="1"/>
  <c r="AM205" i="1" s="1"/>
  <c r="AJ206" i="1"/>
  <c r="AK206" i="1" s="1"/>
  <c r="AL206" i="1" s="1"/>
  <c r="AM206" i="1" s="1"/>
  <c r="AJ207" i="1"/>
  <c r="AK207" i="1" s="1"/>
  <c r="AL207" i="1" s="1"/>
  <c r="AM207" i="1" s="1"/>
  <c r="AJ208" i="1"/>
  <c r="AK208" i="1" s="1"/>
  <c r="AL208" i="1" s="1"/>
  <c r="AM208" i="1" s="1"/>
  <c r="AJ209" i="1"/>
  <c r="AK209" i="1" s="1"/>
  <c r="AL209" i="1" s="1"/>
  <c r="AM209" i="1" s="1"/>
  <c r="AJ210" i="1"/>
  <c r="AK210" i="1" s="1"/>
  <c r="AL210" i="1" s="1"/>
  <c r="AM210" i="1" s="1"/>
  <c r="AJ211" i="1"/>
  <c r="AK211" i="1" s="1"/>
  <c r="AL211" i="1" s="1"/>
  <c r="AM211" i="1" s="1"/>
  <c r="AJ212" i="1"/>
  <c r="AK212" i="1" s="1"/>
  <c r="AL212" i="1" s="1"/>
  <c r="AM212" i="1" s="1"/>
  <c r="AJ213" i="1"/>
  <c r="AK213" i="1" s="1"/>
  <c r="AL213" i="1" s="1"/>
  <c r="AM213" i="1" s="1"/>
  <c r="AJ214" i="1"/>
  <c r="AK214" i="1" s="1"/>
  <c r="AL214" i="1" s="1"/>
  <c r="AM214" i="1" s="1"/>
  <c r="AJ215" i="1"/>
  <c r="AK215" i="1" s="1"/>
  <c r="AL215" i="1" s="1"/>
  <c r="AM215" i="1" s="1"/>
  <c r="AJ216" i="1"/>
  <c r="AK216" i="1" s="1"/>
  <c r="AL216" i="1" s="1"/>
  <c r="AM216" i="1" s="1"/>
  <c r="AJ217" i="1"/>
  <c r="AK217" i="1" s="1"/>
  <c r="AL217" i="1" s="1"/>
  <c r="AM217" i="1" s="1"/>
  <c r="AJ218" i="1"/>
  <c r="AK218" i="1" s="1"/>
  <c r="AL218" i="1" s="1"/>
  <c r="AM218" i="1" s="1"/>
  <c r="AJ219" i="1"/>
  <c r="AK219" i="1" s="1"/>
  <c r="AL219" i="1" s="1"/>
  <c r="AM219" i="1" s="1"/>
  <c r="AJ220" i="1"/>
  <c r="AK220" i="1" s="1"/>
  <c r="AL220" i="1" s="1"/>
  <c r="AM220" i="1" s="1"/>
  <c r="AJ221" i="1"/>
  <c r="AK221" i="1" s="1"/>
  <c r="AL221" i="1" s="1"/>
  <c r="AM221" i="1" s="1"/>
  <c r="AJ222" i="1"/>
  <c r="AK222" i="1" s="1"/>
  <c r="AL222" i="1" s="1"/>
  <c r="AM222" i="1" s="1"/>
  <c r="AJ223" i="1"/>
  <c r="AK223" i="1" s="1"/>
  <c r="AL223" i="1" s="1"/>
  <c r="AM223" i="1" s="1"/>
  <c r="AJ224" i="1"/>
  <c r="AK224" i="1" s="1"/>
  <c r="AL224" i="1" s="1"/>
  <c r="AM224" i="1" s="1"/>
  <c r="AJ225" i="1"/>
  <c r="AK225" i="1" s="1"/>
  <c r="AL225" i="1" s="1"/>
  <c r="AM225" i="1" s="1"/>
  <c r="AJ226" i="1"/>
  <c r="AK226" i="1" s="1"/>
  <c r="AL226" i="1" s="1"/>
  <c r="AM226" i="1" s="1"/>
  <c r="AJ227" i="1"/>
  <c r="AK227" i="1" s="1"/>
  <c r="AL227" i="1" s="1"/>
  <c r="AM227" i="1" s="1"/>
  <c r="AJ228" i="1"/>
  <c r="AK228" i="1" s="1"/>
  <c r="AL228" i="1" s="1"/>
  <c r="AM228" i="1" s="1"/>
  <c r="AJ229" i="1"/>
  <c r="AK229" i="1" s="1"/>
  <c r="AL229" i="1" s="1"/>
  <c r="AM229" i="1" s="1"/>
  <c r="AJ230" i="1"/>
  <c r="AK230" i="1" s="1"/>
  <c r="AL230" i="1" s="1"/>
  <c r="AM230" i="1" s="1"/>
  <c r="AJ231" i="1"/>
  <c r="AK231" i="1" s="1"/>
  <c r="AL231" i="1" s="1"/>
  <c r="AM231" i="1" s="1"/>
  <c r="AJ232" i="1"/>
  <c r="AK232" i="1" s="1"/>
  <c r="AL232" i="1" s="1"/>
  <c r="AM232" i="1" s="1"/>
  <c r="AJ233" i="1"/>
  <c r="AK233" i="1" s="1"/>
  <c r="AL233" i="1" s="1"/>
  <c r="AM233" i="1" s="1"/>
  <c r="AJ234" i="1"/>
  <c r="AK234" i="1" s="1"/>
  <c r="AL234" i="1" s="1"/>
  <c r="AM234" i="1" s="1"/>
  <c r="AJ235" i="1"/>
  <c r="AK235" i="1" s="1"/>
  <c r="AL235" i="1" s="1"/>
  <c r="AM235" i="1" s="1"/>
  <c r="AJ236" i="1"/>
  <c r="AK236" i="1" s="1"/>
  <c r="AL236" i="1" s="1"/>
  <c r="AM236" i="1" s="1"/>
  <c r="AJ237" i="1"/>
  <c r="AK237" i="1" s="1"/>
  <c r="AL237" i="1" s="1"/>
  <c r="AM237" i="1" s="1"/>
  <c r="AJ238" i="1"/>
  <c r="AK238" i="1" s="1"/>
  <c r="AL238" i="1" s="1"/>
  <c r="AM238" i="1" s="1"/>
  <c r="AJ239" i="1"/>
  <c r="AK239" i="1" s="1"/>
  <c r="AL239" i="1" s="1"/>
  <c r="AM239" i="1" s="1"/>
  <c r="AJ240" i="1"/>
  <c r="AK240" i="1" s="1"/>
  <c r="AL240" i="1" s="1"/>
  <c r="AM240" i="1" s="1"/>
  <c r="AJ241" i="1"/>
  <c r="AK241" i="1" s="1"/>
  <c r="AL241" i="1" s="1"/>
  <c r="AM241" i="1" s="1"/>
  <c r="AJ242" i="1"/>
  <c r="AK242" i="1" s="1"/>
  <c r="AL242" i="1" s="1"/>
  <c r="AM242" i="1" s="1"/>
  <c r="AJ243" i="1"/>
  <c r="AK243" i="1" s="1"/>
  <c r="AL243" i="1" s="1"/>
  <c r="AM243" i="1" s="1"/>
  <c r="AJ244" i="1"/>
  <c r="AK244" i="1" s="1"/>
  <c r="AL244" i="1" s="1"/>
  <c r="AM244" i="1" s="1"/>
  <c r="AJ245" i="1"/>
  <c r="AK245" i="1" s="1"/>
  <c r="AL245" i="1" s="1"/>
  <c r="AM245" i="1" s="1"/>
  <c r="AJ246" i="1"/>
  <c r="AK246" i="1" s="1"/>
  <c r="AL246" i="1" s="1"/>
  <c r="AM246" i="1" s="1"/>
  <c r="AJ247" i="1"/>
  <c r="AK247" i="1" s="1"/>
  <c r="AL247" i="1" s="1"/>
  <c r="AM247" i="1" s="1"/>
  <c r="AJ248" i="1"/>
  <c r="AK248" i="1" s="1"/>
  <c r="AL248" i="1" s="1"/>
  <c r="AM248" i="1" s="1"/>
  <c r="AJ249" i="1"/>
  <c r="AK249" i="1" s="1"/>
  <c r="AL249" i="1" s="1"/>
  <c r="AM249" i="1" s="1"/>
  <c r="AJ250" i="1"/>
  <c r="AK250" i="1" s="1"/>
  <c r="AL250" i="1" s="1"/>
  <c r="AM250" i="1" s="1"/>
  <c r="AJ251" i="1"/>
  <c r="AK251" i="1" s="1"/>
  <c r="AL251" i="1" s="1"/>
  <c r="AM251" i="1" s="1"/>
  <c r="AJ252" i="1"/>
  <c r="AK252" i="1" s="1"/>
  <c r="AL252" i="1" s="1"/>
  <c r="AM252" i="1" s="1"/>
  <c r="AJ253" i="1"/>
  <c r="AK253" i="1" s="1"/>
  <c r="AL253" i="1" s="1"/>
  <c r="AM253" i="1" s="1"/>
  <c r="AJ254" i="1"/>
  <c r="AK254" i="1" s="1"/>
  <c r="AL254" i="1" s="1"/>
  <c r="AM254" i="1" s="1"/>
  <c r="AJ255" i="1"/>
  <c r="AK255" i="1" s="1"/>
  <c r="AL255" i="1" s="1"/>
  <c r="AM255" i="1" s="1"/>
  <c r="AJ256" i="1"/>
  <c r="AK256" i="1" s="1"/>
  <c r="AL256" i="1" s="1"/>
  <c r="AM256" i="1" s="1"/>
  <c r="AJ257" i="1"/>
  <c r="AK257" i="1" s="1"/>
  <c r="AL257" i="1" s="1"/>
  <c r="AM257" i="1" s="1"/>
  <c r="AJ258" i="1"/>
  <c r="AK258" i="1" s="1"/>
  <c r="AL258" i="1" s="1"/>
  <c r="AM258" i="1" s="1"/>
  <c r="AJ259" i="1"/>
  <c r="AK259" i="1" s="1"/>
  <c r="AL259" i="1" s="1"/>
  <c r="AM259" i="1" s="1"/>
  <c r="AJ260" i="1"/>
  <c r="AK260" i="1" s="1"/>
  <c r="AL260" i="1" s="1"/>
  <c r="AM260" i="1" s="1"/>
  <c r="AJ261" i="1"/>
  <c r="AK261" i="1" s="1"/>
  <c r="AL261" i="1" s="1"/>
  <c r="AM261" i="1" s="1"/>
  <c r="AJ262" i="1"/>
  <c r="AK262" i="1" s="1"/>
  <c r="AL262" i="1" s="1"/>
  <c r="AM262" i="1" s="1"/>
  <c r="AJ263" i="1"/>
  <c r="AK263" i="1" s="1"/>
  <c r="AL263" i="1" s="1"/>
  <c r="AM263" i="1" s="1"/>
  <c r="AJ264" i="1"/>
  <c r="AK264" i="1" s="1"/>
  <c r="AL264" i="1" s="1"/>
  <c r="AM264" i="1" s="1"/>
  <c r="AJ265" i="1"/>
  <c r="AK265" i="1" s="1"/>
  <c r="AL265" i="1" s="1"/>
  <c r="AM265" i="1" s="1"/>
  <c r="AJ266" i="1"/>
  <c r="AK266" i="1" s="1"/>
  <c r="AL266" i="1" s="1"/>
  <c r="AM266" i="1" s="1"/>
  <c r="AJ267" i="1"/>
  <c r="AK267" i="1" s="1"/>
  <c r="AL267" i="1" s="1"/>
  <c r="AM267" i="1" s="1"/>
  <c r="AJ268" i="1"/>
  <c r="AK268" i="1" s="1"/>
  <c r="AL268" i="1" s="1"/>
  <c r="AM268" i="1" s="1"/>
  <c r="AJ269" i="1"/>
  <c r="AK269" i="1" s="1"/>
  <c r="AL269" i="1" s="1"/>
  <c r="AM269" i="1" s="1"/>
  <c r="AJ270" i="1"/>
  <c r="AK270" i="1" s="1"/>
  <c r="AL270" i="1" s="1"/>
  <c r="AM270" i="1" s="1"/>
  <c r="AJ271" i="1"/>
  <c r="AK271" i="1" s="1"/>
  <c r="AL271" i="1" s="1"/>
  <c r="AM271" i="1" s="1"/>
  <c r="AJ272" i="1"/>
  <c r="AK272" i="1" s="1"/>
  <c r="AL272" i="1" s="1"/>
  <c r="AM272" i="1" s="1"/>
  <c r="AJ273" i="1"/>
  <c r="AK273" i="1" s="1"/>
  <c r="AL273" i="1" s="1"/>
  <c r="AM273" i="1" s="1"/>
  <c r="AJ274" i="1"/>
  <c r="AK274" i="1" s="1"/>
  <c r="AL274" i="1" s="1"/>
  <c r="AM274" i="1" s="1"/>
  <c r="AJ275" i="1"/>
  <c r="AK275" i="1" s="1"/>
  <c r="AL275" i="1" s="1"/>
  <c r="AM275" i="1" s="1"/>
  <c r="AJ276" i="1"/>
  <c r="AK276" i="1" s="1"/>
  <c r="AL276" i="1" s="1"/>
  <c r="AM276" i="1" s="1"/>
  <c r="AJ277" i="1"/>
  <c r="AK277" i="1" s="1"/>
  <c r="AL277" i="1" s="1"/>
  <c r="AM277" i="1" s="1"/>
  <c r="AJ278" i="1"/>
  <c r="AK278" i="1" s="1"/>
  <c r="AL278" i="1" s="1"/>
  <c r="AM278" i="1" s="1"/>
  <c r="AJ279" i="1"/>
  <c r="AK279" i="1" s="1"/>
  <c r="AL279" i="1" s="1"/>
  <c r="AM279" i="1" s="1"/>
  <c r="AJ280" i="1"/>
  <c r="AK280" i="1" s="1"/>
  <c r="AL280" i="1" s="1"/>
  <c r="AM280" i="1" s="1"/>
  <c r="AJ281" i="1"/>
  <c r="AK281" i="1" s="1"/>
  <c r="AL281" i="1" s="1"/>
  <c r="AM281" i="1" s="1"/>
  <c r="AJ282" i="1"/>
  <c r="AK282" i="1" s="1"/>
  <c r="AL282" i="1" s="1"/>
  <c r="AM282" i="1" s="1"/>
  <c r="AJ283" i="1"/>
  <c r="AK283" i="1" s="1"/>
  <c r="AL283" i="1" s="1"/>
  <c r="AM283" i="1" s="1"/>
  <c r="AJ284" i="1"/>
  <c r="AK284" i="1" s="1"/>
  <c r="AL284" i="1" s="1"/>
  <c r="AM284" i="1" s="1"/>
  <c r="AJ285" i="1"/>
  <c r="AK285" i="1" s="1"/>
  <c r="AL285" i="1" s="1"/>
  <c r="AM285" i="1" s="1"/>
  <c r="AJ286" i="1"/>
  <c r="AK286" i="1" s="1"/>
  <c r="AL286" i="1" s="1"/>
  <c r="AM286" i="1" s="1"/>
  <c r="AJ287" i="1"/>
  <c r="AK287" i="1" s="1"/>
  <c r="AL287" i="1" s="1"/>
  <c r="AM287" i="1" s="1"/>
  <c r="AJ288" i="1"/>
  <c r="AK288" i="1" s="1"/>
  <c r="AL288" i="1" s="1"/>
  <c r="AM288" i="1" s="1"/>
  <c r="AJ289" i="1"/>
  <c r="AK289" i="1" s="1"/>
  <c r="AL289" i="1" s="1"/>
  <c r="AM289" i="1" s="1"/>
  <c r="AJ290" i="1"/>
  <c r="AK290" i="1" s="1"/>
  <c r="AL290" i="1" s="1"/>
  <c r="AM290" i="1" s="1"/>
  <c r="AJ291" i="1"/>
  <c r="AK291" i="1" s="1"/>
  <c r="AL291" i="1" s="1"/>
  <c r="AM291" i="1" s="1"/>
  <c r="AJ292" i="1"/>
  <c r="AK292" i="1" s="1"/>
  <c r="AL292" i="1" s="1"/>
  <c r="AM292" i="1" s="1"/>
  <c r="AJ293" i="1"/>
  <c r="AK293" i="1" s="1"/>
  <c r="AL293" i="1" s="1"/>
  <c r="AM293" i="1" s="1"/>
  <c r="AJ294" i="1"/>
  <c r="AK294" i="1" s="1"/>
  <c r="AL294" i="1" s="1"/>
  <c r="AM294" i="1" s="1"/>
  <c r="AJ295" i="1"/>
  <c r="AK295" i="1" s="1"/>
  <c r="AL295" i="1" s="1"/>
  <c r="AM295" i="1" s="1"/>
  <c r="AJ296" i="1"/>
  <c r="AK296" i="1" s="1"/>
  <c r="AL296" i="1" s="1"/>
  <c r="AM296" i="1" s="1"/>
  <c r="AJ297" i="1"/>
  <c r="AK297" i="1" s="1"/>
  <c r="AL297" i="1" s="1"/>
  <c r="AM297" i="1" s="1"/>
  <c r="AJ298" i="1"/>
  <c r="AK298" i="1" s="1"/>
  <c r="AL298" i="1" s="1"/>
  <c r="AM298" i="1" s="1"/>
  <c r="AJ299" i="1"/>
  <c r="AK299" i="1" s="1"/>
  <c r="AL299" i="1" s="1"/>
  <c r="AM299" i="1" s="1"/>
  <c r="AJ300" i="1"/>
  <c r="AK300" i="1" s="1"/>
  <c r="AL300" i="1" s="1"/>
  <c r="AM300" i="1" s="1"/>
  <c r="AJ301" i="1"/>
  <c r="AK301" i="1" s="1"/>
  <c r="AL301" i="1" s="1"/>
  <c r="AM301" i="1" s="1"/>
  <c r="AJ302" i="1"/>
  <c r="AK302" i="1" s="1"/>
  <c r="AL302" i="1" s="1"/>
  <c r="AM302" i="1" s="1"/>
  <c r="AJ303" i="1"/>
  <c r="AK303" i="1" s="1"/>
  <c r="AL303" i="1" s="1"/>
  <c r="AM303" i="1" s="1"/>
  <c r="AJ304" i="1"/>
  <c r="AK304" i="1" s="1"/>
  <c r="AL304" i="1" s="1"/>
  <c r="AM304" i="1" s="1"/>
  <c r="AJ305" i="1"/>
  <c r="AK305" i="1" s="1"/>
  <c r="AL305" i="1" s="1"/>
  <c r="AM305" i="1" s="1"/>
  <c r="AJ306" i="1"/>
  <c r="AK306" i="1" s="1"/>
  <c r="AL306" i="1" s="1"/>
  <c r="AM306" i="1" s="1"/>
  <c r="AJ307" i="1"/>
  <c r="AK307" i="1" s="1"/>
  <c r="AL307" i="1" s="1"/>
  <c r="AM307" i="1" s="1"/>
  <c r="AJ308" i="1"/>
  <c r="AK308" i="1" s="1"/>
  <c r="AL308" i="1" s="1"/>
  <c r="AM308" i="1" s="1"/>
  <c r="AJ309" i="1"/>
  <c r="AK309" i="1" s="1"/>
  <c r="AL309" i="1" s="1"/>
  <c r="AM309" i="1" s="1"/>
  <c r="AJ310" i="1"/>
  <c r="AK310" i="1" s="1"/>
  <c r="AL310" i="1" s="1"/>
  <c r="AM310" i="1" s="1"/>
  <c r="AJ311" i="1"/>
  <c r="AK311" i="1" s="1"/>
  <c r="AL311" i="1" s="1"/>
  <c r="AM311" i="1" s="1"/>
  <c r="AJ312" i="1"/>
  <c r="AK312" i="1" s="1"/>
  <c r="AL312" i="1" s="1"/>
  <c r="AM312" i="1" s="1"/>
  <c r="AJ313" i="1"/>
  <c r="AK313" i="1" s="1"/>
  <c r="AL313" i="1" s="1"/>
  <c r="AM313" i="1" s="1"/>
  <c r="AJ314" i="1"/>
  <c r="AK314" i="1" s="1"/>
  <c r="AL314" i="1" s="1"/>
  <c r="AM314" i="1" s="1"/>
  <c r="AJ315" i="1"/>
  <c r="AK315" i="1" s="1"/>
  <c r="AL315" i="1" s="1"/>
  <c r="AM315" i="1" s="1"/>
  <c r="AJ316" i="1"/>
  <c r="AK316" i="1" s="1"/>
  <c r="AL316" i="1" s="1"/>
  <c r="AM316" i="1" s="1"/>
  <c r="AJ317" i="1"/>
  <c r="AK317" i="1" s="1"/>
  <c r="AL317" i="1" s="1"/>
  <c r="AM317" i="1" s="1"/>
  <c r="AJ318" i="1"/>
  <c r="AK318" i="1" s="1"/>
  <c r="AL318" i="1" s="1"/>
  <c r="AM318" i="1" s="1"/>
  <c r="AJ319" i="1"/>
  <c r="AK319" i="1" s="1"/>
  <c r="AL319" i="1" s="1"/>
  <c r="AM319" i="1" s="1"/>
  <c r="AJ320" i="1"/>
  <c r="AK320" i="1" s="1"/>
  <c r="AL320" i="1" s="1"/>
  <c r="AM320" i="1" s="1"/>
  <c r="AJ321" i="1"/>
  <c r="AK321" i="1" s="1"/>
  <c r="AL321" i="1" s="1"/>
  <c r="AM321" i="1" s="1"/>
  <c r="AJ322" i="1"/>
  <c r="AK322" i="1" s="1"/>
  <c r="AL322" i="1" s="1"/>
  <c r="AM322" i="1" s="1"/>
  <c r="AJ323" i="1"/>
  <c r="AK323" i="1" s="1"/>
  <c r="AL323" i="1" s="1"/>
  <c r="AM323" i="1" s="1"/>
  <c r="AJ324" i="1"/>
  <c r="AK324" i="1" s="1"/>
  <c r="AL324" i="1" s="1"/>
  <c r="AM324" i="1" s="1"/>
  <c r="AJ325" i="1"/>
  <c r="AK325" i="1" s="1"/>
  <c r="AL325" i="1" s="1"/>
  <c r="AM325" i="1" s="1"/>
  <c r="AJ326" i="1"/>
  <c r="AK326" i="1" s="1"/>
  <c r="AL326" i="1" s="1"/>
  <c r="AM326" i="1" s="1"/>
  <c r="AJ327" i="1"/>
  <c r="AK327" i="1" s="1"/>
  <c r="AL327" i="1" s="1"/>
  <c r="AM327" i="1" s="1"/>
  <c r="AJ328" i="1"/>
  <c r="AK328" i="1" s="1"/>
  <c r="AL328" i="1" s="1"/>
  <c r="AM328" i="1" s="1"/>
  <c r="AJ329" i="1"/>
  <c r="AK329" i="1" s="1"/>
  <c r="AL329" i="1" s="1"/>
  <c r="AM329" i="1" s="1"/>
  <c r="AJ330" i="1"/>
  <c r="AK330" i="1" s="1"/>
  <c r="AL330" i="1" s="1"/>
  <c r="AM330" i="1" s="1"/>
  <c r="AJ331" i="1"/>
  <c r="AK331" i="1" s="1"/>
  <c r="AL331" i="1" s="1"/>
  <c r="AM331" i="1" s="1"/>
  <c r="AJ332" i="1"/>
  <c r="AK332" i="1" s="1"/>
  <c r="AL332" i="1" s="1"/>
  <c r="AM332" i="1" s="1"/>
  <c r="AJ333" i="1"/>
  <c r="AK333" i="1" s="1"/>
  <c r="AL333" i="1" s="1"/>
  <c r="AM333" i="1" s="1"/>
  <c r="AJ334" i="1"/>
  <c r="AK334" i="1" s="1"/>
  <c r="AL334" i="1" s="1"/>
  <c r="AM334" i="1" s="1"/>
  <c r="AJ335" i="1"/>
  <c r="AK335" i="1" s="1"/>
  <c r="AL335" i="1" s="1"/>
  <c r="AM335" i="1" s="1"/>
  <c r="AJ336" i="1"/>
  <c r="AK336" i="1" s="1"/>
  <c r="AL336" i="1" s="1"/>
  <c r="AM336" i="1" s="1"/>
  <c r="AJ337" i="1"/>
  <c r="AK337" i="1" s="1"/>
  <c r="AL337" i="1" s="1"/>
  <c r="AM337" i="1" s="1"/>
  <c r="AJ338" i="1"/>
  <c r="AK338" i="1" s="1"/>
  <c r="AL338" i="1" s="1"/>
  <c r="AM338" i="1" s="1"/>
  <c r="AJ339" i="1"/>
  <c r="AK339" i="1" s="1"/>
  <c r="AL339" i="1" s="1"/>
  <c r="AM339" i="1" s="1"/>
  <c r="AJ340" i="1"/>
  <c r="AK340" i="1" s="1"/>
  <c r="AL340" i="1" s="1"/>
  <c r="AM340" i="1" s="1"/>
  <c r="AJ341" i="1"/>
  <c r="AK341" i="1" s="1"/>
  <c r="AL341" i="1" s="1"/>
  <c r="AM341" i="1" s="1"/>
  <c r="AJ342" i="1"/>
  <c r="AK342" i="1" s="1"/>
  <c r="AL342" i="1" s="1"/>
  <c r="AM342" i="1" s="1"/>
  <c r="AJ343" i="1"/>
  <c r="AK343" i="1" s="1"/>
  <c r="AL343" i="1" s="1"/>
  <c r="AM343" i="1" s="1"/>
  <c r="AJ344" i="1"/>
  <c r="AK344" i="1" s="1"/>
  <c r="AL344" i="1" s="1"/>
  <c r="AM344" i="1" s="1"/>
  <c r="AJ345" i="1"/>
  <c r="AK345" i="1" s="1"/>
  <c r="AL345" i="1" s="1"/>
  <c r="AM345" i="1" s="1"/>
  <c r="AJ346" i="1"/>
  <c r="AK346" i="1" s="1"/>
  <c r="AL346" i="1" s="1"/>
  <c r="AM346" i="1" s="1"/>
  <c r="AJ347" i="1"/>
  <c r="AK347" i="1" s="1"/>
  <c r="AL347" i="1" s="1"/>
  <c r="AM347" i="1" s="1"/>
  <c r="AJ348" i="1"/>
  <c r="AK348" i="1" s="1"/>
  <c r="AL348" i="1" s="1"/>
  <c r="AM348" i="1" s="1"/>
  <c r="AJ349" i="1"/>
  <c r="AK349" i="1" s="1"/>
  <c r="AL349" i="1" s="1"/>
  <c r="AM349" i="1" s="1"/>
  <c r="AJ350" i="1"/>
  <c r="AK350" i="1" s="1"/>
  <c r="AL350" i="1" s="1"/>
  <c r="AM350" i="1" s="1"/>
  <c r="AJ351" i="1"/>
  <c r="AK351" i="1" s="1"/>
  <c r="AL351" i="1" s="1"/>
  <c r="AM351" i="1" s="1"/>
  <c r="AJ352" i="1"/>
  <c r="AK352" i="1" s="1"/>
  <c r="AL352" i="1" s="1"/>
  <c r="AM352" i="1" s="1"/>
  <c r="AJ353" i="1"/>
  <c r="AK353" i="1" s="1"/>
  <c r="AL353" i="1" s="1"/>
  <c r="AM353" i="1" s="1"/>
  <c r="AJ354" i="1"/>
  <c r="AK354" i="1" s="1"/>
  <c r="AL354" i="1" s="1"/>
  <c r="AM354" i="1" s="1"/>
  <c r="AJ355" i="1"/>
  <c r="AK355" i="1" s="1"/>
  <c r="AL355" i="1" s="1"/>
  <c r="AM355" i="1" s="1"/>
  <c r="AJ356" i="1"/>
  <c r="AK356" i="1" s="1"/>
  <c r="AL356" i="1" s="1"/>
  <c r="AM356" i="1" s="1"/>
  <c r="AJ357" i="1"/>
  <c r="AK357" i="1" s="1"/>
  <c r="AL357" i="1" s="1"/>
  <c r="AM357" i="1" s="1"/>
  <c r="AJ358" i="1"/>
  <c r="AK358" i="1" s="1"/>
  <c r="AL358" i="1" s="1"/>
  <c r="AM358" i="1" s="1"/>
  <c r="AJ359" i="1"/>
  <c r="AK359" i="1" s="1"/>
  <c r="AL359" i="1" s="1"/>
  <c r="AM359" i="1" s="1"/>
  <c r="AJ360" i="1"/>
  <c r="AK360" i="1" s="1"/>
  <c r="AL360" i="1" s="1"/>
  <c r="AM360" i="1" s="1"/>
  <c r="AJ361" i="1"/>
  <c r="AK361" i="1" s="1"/>
  <c r="AL361" i="1" s="1"/>
  <c r="AM361" i="1" s="1"/>
  <c r="AJ362" i="1"/>
  <c r="AK362" i="1" s="1"/>
  <c r="AL362" i="1" s="1"/>
  <c r="AM362" i="1" s="1"/>
  <c r="AJ363" i="1"/>
  <c r="AK363" i="1" s="1"/>
  <c r="AL363" i="1" s="1"/>
  <c r="AM363" i="1" s="1"/>
  <c r="AJ364" i="1"/>
  <c r="AK364" i="1" s="1"/>
  <c r="AL364" i="1" s="1"/>
  <c r="AM364" i="1" s="1"/>
  <c r="AJ365" i="1"/>
  <c r="AK365" i="1" s="1"/>
  <c r="AL365" i="1" s="1"/>
  <c r="AM365" i="1" s="1"/>
  <c r="AJ366" i="1"/>
  <c r="AK366" i="1" s="1"/>
  <c r="AL366" i="1" s="1"/>
  <c r="AM366" i="1" s="1"/>
  <c r="AJ367" i="1"/>
  <c r="AK367" i="1" s="1"/>
  <c r="AL367" i="1" s="1"/>
  <c r="AM367" i="1" s="1"/>
  <c r="AJ368" i="1"/>
  <c r="AK368" i="1" s="1"/>
  <c r="AL368" i="1" s="1"/>
  <c r="AM368" i="1" s="1"/>
  <c r="AJ369" i="1"/>
  <c r="AK369" i="1" s="1"/>
  <c r="AL369" i="1" s="1"/>
  <c r="AM369" i="1" s="1"/>
  <c r="AJ370" i="1"/>
  <c r="AK370" i="1" s="1"/>
  <c r="AL370" i="1" s="1"/>
  <c r="AM370" i="1" s="1"/>
  <c r="AJ371" i="1"/>
  <c r="AK371" i="1" s="1"/>
  <c r="AL371" i="1" s="1"/>
  <c r="AM371" i="1" s="1"/>
  <c r="AJ372" i="1"/>
  <c r="AK372" i="1" s="1"/>
  <c r="AL372" i="1" s="1"/>
  <c r="AM372" i="1" s="1"/>
  <c r="AJ373" i="1"/>
  <c r="AK373" i="1" s="1"/>
  <c r="AL373" i="1" s="1"/>
  <c r="AM373" i="1" s="1"/>
  <c r="AJ374" i="1"/>
  <c r="AK374" i="1" s="1"/>
  <c r="AL374" i="1" s="1"/>
  <c r="AM374" i="1" s="1"/>
  <c r="AJ375" i="1"/>
  <c r="AK375" i="1" s="1"/>
  <c r="AL375" i="1" s="1"/>
  <c r="AM375" i="1" s="1"/>
  <c r="AJ376" i="1"/>
  <c r="AK376" i="1" s="1"/>
  <c r="AL376" i="1" s="1"/>
  <c r="AM376" i="1" s="1"/>
  <c r="AJ377" i="1"/>
  <c r="AK377" i="1" s="1"/>
  <c r="AL377" i="1" s="1"/>
  <c r="AM377" i="1" s="1"/>
  <c r="AJ378" i="1"/>
  <c r="AK378" i="1" s="1"/>
  <c r="AL378" i="1" s="1"/>
  <c r="AM378" i="1" s="1"/>
  <c r="AJ379" i="1"/>
  <c r="AK379" i="1" s="1"/>
  <c r="AL379" i="1" s="1"/>
  <c r="AM379" i="1" s="1"/>
  <c r="AJ380" i="1"/>
  <c r="AK380" i="1" s="1"/>
  <c r="AL380" i="1" s="1"/>
  <c r="AM380" i="1" s="1"/>
  <c r="AJ381" i="1"/>
  <c r="AK381" i="1" s="1"/>
  <c r="AL381" i="1" s="1"/>
  <c r="AM381" i="1" s="1"/>
  <c r="AJ382" i="1"/>
  <c r="AK382" i="1" s="1"/>
  <c r="AL382" i="1" s="1"/>
  <c r="AM382" i="1" s="1"/>
  <c r="AJ383" i="1"/>
  <c r="AK383" i="1" s="1"/>
  <c r="AL383" i="1" s="1"/>
  <c r="AM383" i="1" s="1"/>
  <c r="AJ384" i="1"/>
  <c r="AK384" i="1" s="1"/>
  <c r="AL384" i="1" s="1"/>
  <c r="AM384" i="1" s="1"/>
  <c r="AJ385" i="1"/>
  <c r="AK385" i="1" s="1"/>
  <c r="AL385" i="1" s="1"/>
  <c r="AM385" i="1" s="1"/>
  <c r="AJ386" i="1"/>
  <c r="AK386" i="1" s="1"/>
  <c r="AL386" i="1" s="1"/>
  <c r="AM386" i="1" s="1"/>
  <c r="AJ387" i="1"/>
  <c r="AK387" i="1" s="1"/>
  <c r="AL387" i="1" s="1"/>
  <c r="AM387" i="1" s="1"/>
  <c r="AJ388" i="1"/>
  <c r="AK388" i="1" s="1"/>
  <c r="AL388" i="1" s="1"/>
  <c r="AM388" i="1" s="1"/>
  <c r="AJ389" i="1"/>
  <c r="AK389" i="1" s="1"/>
  <c r="AL389" i="1" s="1"/>
  <c r="AM389" i="1" s="1"/>
  <c r="AJ390" i="1"/>
  <c r="AK390" i="1" s="1"/>
  <c r="AL390" i="1" s="1"/>
  <c r="AM390" i="1" s="1"/>
  <c r="AJ391" i="1"/>
  <c r="AK391" i="1" s="1"/>
  <c r="AL391" i="1" s="1"/>
  <c r="AM391" i="1" s="1"/>
  <c r="AJ392" i="1"/>
  <c r="AK392" i="1" s="1"/>
  <c r="AL392" i="1" s="1"/>
  <c r="AM392" i="1" s="1"/>
  <c r="AJ393" i="1"/>
  <c r="AK393" i="1" s="1"/>
  <c r="AL393" i="1" s="1"/>
  <c r="AM393" i="1" s="1"/>
  <c r="AJ394" i="1"/>
  <c r="AK394" i="1" s="1"/>
  <c r="AL394" i="1" s="1"/>
  <c r="AM394" i="1" s="1"/>
  <c r="AJ395" i="1"/>
  <c r="AK395" i="1" s="1"/>
  <c r="AL395" i="1" s="1"/>
  <c r="AM395" i="1" s="1"/>
  <c r="AJ396" i="1"/>
  <c r="AK396" i="1" s="1"/>
  <c r="AL396" i="1" s="1"/>
  <c r="AM396" i="1" s="1"/>
  <c r="AJ397" i="1"/>
  <c r="AK397" i="1" s="1"/>
  <c r="AL397" i="1" s="1"/>
  <c r="AM397" i="1" s="1"/>
  <c r="AJ398" i="1"/>
  <c r="AK398" i="1" s="1"/>
  <c r="AL398" i="1" s="1"/>
  <c r="AM398" i="1" s="1"/>
  <c r="AJ399" i="1"/>
  <c r="AK399" i="1" s="1"/>
  <c r="AL399" i="1" s="1"/>
  <c r="AM399" i="1" s="1"/>
  <c r="AJ400" i="1"/>
  <c r="AK400" i="1" s="1"/>
  <c r="AL400" i="1" s="1"/>
  <c r="AM400" i="1" s="1"/>
  <c r="AJ401" i="1"/>
  <c r="AK401" i="1" s="1"/>
  <c r="AL401" i="1" s="1"/>
  <c r="AM401" i="1" s="1"/>
  <c r="AJ402" i="1"/>
  <c r="AK402" i="1" s="1"/>
  <c r="AL402" i="1" s="1"/>
  <c r="AM402" i="1" s="1"/>
  <c r="AJ403" i="1"/>
  <c r="AK403" i="1" s="1"/>
  <c r="AL403" i="1" s="1"/>
  <c r="AM403" i="1" s="1"/>
  <c r="AJ404" i="1"/>
  <c r="AK404" i="1" s="1"/>
  <c r="AL404" i="1" s="1"/>
  <c r="AM404" i="1" s="1"/>
  <c r="AJ405" i="1"/>
  <c r="AK405" i="1" s="1"/>
  <c r="AL405" i="1" s="1"/>
  <c r="AM405" i="1" s="1"/>
  <c r="AJ406" i="1"/>
  <c r="AK406" i="1" s="1"/>
  <c r="AL406" i="1" s="1"/>
  <c r="AM406" i="1" s="1"/>
  <c r="AJ407" i="1"/>
  <c r="AK407" i="1" s="1"/>
  <c r="AL407" i="1" s="1"/>
  <c r="AM407" i="1" s="1"/>
  <c r="AJ408" i="1"/>
  <c r="AK408" i="1" s="1"/>
  <c r="AL408" i="1" s="1"/>
  <c r="AM408" i="1" s="1"/>
  <c r="AJ409" i="1"/>
  <c r="AK409" i="1" s="1"/>
  <c r="AL409" i="1" s="1"/>
  <c r="AM409" i="1" s="1"/>
  <c r="AJ410" i="1"/>
  <c r="AK410" i="1" s="1"/>
  <c r="AL410" i="1" s="1"/>
  <c r="AM410" i="1" s="1"/>
  <c r="AJ411" i="1"/>
  <c r="AK411" i="1" s="1"/>
  <c r="AL411" i="1" s="1"/>
  <c r="AM411" i="1" s="1"/>
  <c r="AJ412" i="1"/>
  <c r="AK412" i="1" s="1"/>
  <c r="AL412" i="1" s="1"/>
  <c r="AM412" i="1" s="1"/>
  <c r="AJ413" i="1"/>
  <c r="AK413" i="1" s="1"/>
  <c r="AL413" i="1" s="1"/>
  <c r="AM413" i="1" s="1"/>
  <c r="AJ414" i="1"/>
  <c r="AK414" i="1" s="1"/>
  <c r="AL414" i="1" s="1"/>
  <c r="AM414" i="1" s="1"/>
  <c r="AJ415" i="1"/>
  <c r="AK415" i="1" s="1"/>
  <c r="AL415" i="1" s="1"/>
  <c r="AM415" i="1" s="1"/>
  <c r="AJ416" i="1"/>
  <c r="AK416" i="1" s="1"/>
  <c r="AL416" i="1" s="1"/>
  <c r="AM416" i="1" s="1"/>
  <c r="AJ417" i="1"/>
  <c r="AK417" i="1" s="1"/>
  <c r="AL417" i="1" s="1"/>
  <c r="AM417" i="1" s="1"/>
  <c r="AJ418" i="1"/>
  <c r="AK418" i="1" s="1"/>
  <c r="AL418" i="1" s="1"/>
  <c r="AM418" i="1" s="1"/>
  <c r="AJ419" i="1"/>
  <c r="AK419" i="1" s="1"/>
  <c r="AL419" i="1" s="1"/>
  <c r="AM419" i="1" s="1"/>
  <c r="AJ420" i="1"/>
  <c r="AK420" i="1" s="1"/>
  <c r="AL420" i="1" s="1"/>
  <c r="AM420" i="1" s="1"/>
  <c r="AJ421" i="1"/>
  <c r="AK421" i="1" s="1"/>
  <c r="AL421" i="1" s="1"/>
  <c r="AM421" i="1" s="1"/>
  <c r="AJ422" i="1"/>
  <c r="AK422" i="1" s="1"/>
  <c r="AL422" i="1" s="1"/>
  <c r="AM422" i="1" s="1"/>
  <c r="AJ423" i="1"/>
  <c r="AK423" i="1" s="1"/>
  <c r="AL423" i="1" s="1"/>
  <c r="AM423" i="1" s="1"/>
  <c r="AJ424" i="1"/>
  <c r="AK424" i="1" s="1"/>
  <c r="AL424" i="1" s="1"/>
  <c r="AM424" i="1" s="1"/>
  <c r="AJ425" i="1"/>
  <c r="AK425" i="1" s="1"/>
  <c r="AL425" i="1" s="1"/>
  <c r="AM425" i="1" s="1"/>
  <c r="AJ426" i="1"/>
  <c r="AK426" i="1" s="1"/>
  <c r="AL426" i="1" s="1"/>
  <c r="AM426" i="1" s="1"/>
  <c r="AJ427" i="1"/>
  <c r="AK427" i="1" s="1"/>
  <c r="AL427" i="1" s="1"/>
  <c r="AM427" i="1" s="1"/>
  <c r="AJ428" i="1"/>
  <c r="AK428" i="1" s="1"/>
  <c r="AL428" i="1" s="1"/>
  <c r="AM428" i="1" s="1"/>
  <c r="AJ429" i="1"/>
  <c r="AK429" i="1" s="1"/>
  <c r="AL429" i="1" s="1"/>
  <c r="AM429" i="1" s="1"/>
  <c r="AJ430" i="1"/>
  <c r="AK430" i="1" s="1"/>
  <c r="AL430" i="1" s="1"/>
  <c r="AM430" i="1" s="1"/>
  <c r="AJ431" i="1"/>
  <c r="AK431" i="1" s="1"/>
  <c r="AL431" i="1" s="1"/>
  <c r="AM431" i="1" s="1"/>
  <c r="AJ432" i="1"/>
  <c r="AK432" i="1" s="1"/>
  <c r="AL432" i="1" s="1"/>
  <c r="AM432" i="1" s="1"/>
  <c r="AJ433" i="1"/>
  <c r="AK433" i="1" s="1"/>
  <c r="AL433" i="1" s="1"/>
  <c r="AM433" i="1" s="1"/>
  <c r="AJ434" i="1"/>
  <c r="AK434" i="1" s="1"/>
  <c r="AL434" i="1" s="1"/>
  <c r="AM434" i="1" s="1"/>
  <c r="AJ435" i="1"/>
  <c r="AK435" i="1" s="1"/>
  <c r="AL435" i="1" s="1"/>
  <c r="AM435" i="1" s="1"/>
  <c r="AJ436" i="1"/>
  <c r="AK436" i="1" s="1"/>
  <c r="AL436" i="1" s="1"/>
  <c r="AM436" i="1" s="1"/>
  <c r="AJ437" i="1"/>
  <c r="AK437" i="1" s="1"/>
  <c r="AL437" i="1" s="1"/>
  <c r="AM437" i="1" s="1"/>
  <c r="AJ438" i="1"/>
  <c r="AK438" i="1" s="1"/>
  <c r="AL438" i="1" s="1"/>
  <c r="AM438" i="1" s="1"/>
  <c r="AJ439" i="1"/>
  <c r="AK439" i="1" s="1"/>
  <c r="AL439" i="1" s="1"/>
  <c r="AM439" i="1" s="1"/>
  <c r="AJ440" i="1"/>
  <c r="AK440" i="1" s="1"/>
  <c r="AL440" i="1" s="1"/>
  <c r="AM440" i="1" s="1"/>
  <c r="AJ441" i="1"/>
  <c r="AK441" i="1" s="1"/>
  <c r="AL441" i="1" s="1"/>
  <c r="AM441" i="1" s="1"/>
  <c r="AJ442" i="1"/>
  <c r="AK442" i="1" s="1"/>
  <c r="AL442" i="1" s="1"/>
  <c r="AM442" i="1" s="1"/>
  <c r="AJ443" i="1"/>
  <c r="AK443" i="1" s="1"/>
  <c r="AL443" i="1" s="1"/>
  <c r="AM443" i="1" s="1"/>
  <c r="AJ444" i="1"/>
  <c r="AK444" i="1" s="1"/>
  <c r="AL444" i="1" s="1"/>
  <c r="AM444" i="1" s="1"/>
  <c r="AJ445" i="1"/>
  <c r="AK445" i="1" s="1"/>
  <c r="AL445" i="1" s="1"/>
  <c r="AM445" i="1" s="1"/>
  <c r="AJ446" i="1"/>
  <c r="AK446" i="1" s="1"/>
  <c r="AL446" i="1" s="1"/>
  <c r="AM446" i="1" s="1"/>
  <c r="AJ447" i="1"/>
  <c r="AK447" i="1" s="1"/>
  <c r="AL447" i="1" s="1"/>
  <c r="AM447" i="1" s="1"/>
  <c r="AJ448" i="1"/>
  <c r="AK448" i="1" s="1"/>
  <c r="AL448" i="1" s="1"/>
  <c r="AM448" i="1" s="1"/>
  <c r="AJ449" i="1"/>
  <c r="AK449" i="1" s="1"/>
  <c r="AL449" i="1" s="1"/>
  <c r="AM449" i="1" s="1"/>
  <c r="AJ450" i="1"/>
  <c r="AK450" i="1" s="1"/>
  <c r="AL450" i="1" s="1"/>
  <c r="AM450" i="1" s="1"/>
  <c r="AJ451" i="1"/>
  <c r="AK451" i="1" s="1"/>
  <c r="AL451" i="1" s="1"/>
  <c r="AM451" i="1" s="1"/>
  <c r="AJ452" i="1"/>
  <c r="AK452" i="1" s="1"/>
  <c r="AL452" i="1" s="1"/>
  <c r="AM452" i="1" s="1"/>
  <c r="AJ453" i="1"/>
  <c r="AK453" i="1" s="1"/>
  <c r="AL453" i="1" s="1"/>
  <c r="AM453" i="1" s="1"/>
  <c r="AJ454" i="1"/>
  <c r="AK454" i="1" s="1"/>
  <c r="AL454" i="1" s="1"/>
  <c r="AM454" i="1" s="1"/>
  <c r="AJ455" i="1"/>
  <c r="AK455" i="1" s="1"/>
  <c r="AL455" i="1" s="1"/>
  <c r="AM455" i="1" s="1"/>
  <c r="AJ456" i="1"/>
  <c r="AK456" i="1" s="1"/>
  <c r="AL456" i="1" s="1"/>
  <c r="AM456" i="1" s="1"/>
  <c r="AJ457" i="1"/>
  <c r="AK457" i="1" s="1"/>
  <c r="AL457" i="1" s="1"/>
  <c r="AM457" i="1" s="1"/>
  <c r="AJ458" i="1"/>
  <c r="AK458" i="1" s="1"/>
  <c r="AL458" i="1" s="1"/>
  <c r="AM458" i="1" s="1"/>
  <c r="AJ459" i="1"/>
  <c r="AK459" i="1" s="1"/>
  <c r="AL459" i="1" s="1"/>
  <c r="AM459" i="1" s="1"/>
  <c r="AJ460" i="1"/>
  <c r="AK460" i="1" s="1"/>
  <c r="AL460" i="1" s="1"/>
  <c r="AM460" i="1" s="1"/>
  <c r="AJ461" i="1"/>
  <c r="AK461" i="1" s="1"/>
  <c r="AL461" i="1" s="1"/>
  <c r="AM461" i="1" s="1"/>
  <c r="AJ462" i="1"/>
  <c r="AK462" i="1" s="1"/>
  <c r="AL462" i="1" s="1"/>
  <c r="AM462" i="1" s="1"/>
  <c r="AJ463" i="1"/>
  <c r="AK463" i="1" s="1"/>
  <c r="AL463" i="1" s="1"/>
  <c r="AM463" i="1" s="1"/>
  <c r="AJ464" i="1"/>
  <c r="AK464" i="1" s="1"/>
  <c r="AL464" i="1" s="1"/>
  <c r="AM464" i="1" s="1"/>
  <c r="AJ465" i="1"/>
  <c r="AK465" i="1" s="1"/>
  <c r="AL465" i="1" s="1"/>
  <c r="AM465" i="1" s="1"/>
  <c r="AJ466" i="1"/>
  <c r="AK466" i="1" s="1"/>
  <c r="AL466" i="1" s="1"/>
  <c r="AM466" i="1" s="1"/>
  <c r="AJ467" i="1"/>
  <c r="AK467" i="1" s="1"/>
  <c r="AL467" i="1" s="1"/>
  <c r="AM467" i="1" s="1"/>
  <c r="AJ468" i="1"/>
  <c r="AK468" i="1" s="1"/>
  <c r="AL468" i="1" s="1"/>
  <c r="AM468" i="1" s="1"/>
  <c r="AJ469" i="1"/>
  <c r="AK469" i="1" s="1"/>
  <c r="AL469" i="1" s="1"/>
  <c r="AM469" i="1" s="1"/>
  <c r="AJ470" i="1"/>
  <c r="AK470" i="1" s="1"/>
  <c r="AL470" i="1" s="1"/>
  <c r="AM470" i="1" s="1"/>
  <c r="AJ471" i="1"/>
  <c r="AK471" i="1" s="1"/>
  <c r="AL471" i="1" s="1"/>
  <c r="AM471" i="1" s="1"/>
  <c r="AJ472" i="1"/>
  <c r="AK472" i="1" s="1"/>
  <c r="AL472" i="1" s="1"/>
  <c r="AM472" i="1" s="1"/>
  <c r="AJ473" i="1"/>
  <c r="AK473" i="1" s="1"/>
  <c r="AL473" i="1" s="1"/>
  <c r="AM473" i="1" s="1"/>
  <c r="AJ474" i="1"/>
  <c r="AK474" i="1" s="1"/>
  <c r="AL474" i="1" s="1"/>
  <c r="AM474" i="1" s="1"/>
  <c r="AJ475" i="1"/>
  <c r="AK475" i="1" s="1"/>
  <c r="AL475" i="1" s="1"/>
  <c r="AM475" i="1" s="1"/>
  <c r="AJ476" i="1"/>
  <c r="AK476" i="1" s="1"/>
  <c r="AL476" i="1" s="1"/>
  <c r="AM476" i="1" s="1"/>
  <c r="AJ477" i="1"/>
  <c r="AK477" i="1" s="1"/>
  <c r="AL477" i="1" s="1"/>
  <c r="AM477" i="1" s="1"/>
  <c r="AJ478" i="1"/>
  <c r="AK478" i="1" s="1"/>
  <c r="AL478" i="1" s="1"/>
  <c r="AM478" i="1" s="1"/>
  <c r="AJ479" i="1"/>
  <c r="AK479" i="1" s="1"/>
  <c r="AL479" i="1" s="1"/>
  <c r="AM479" i="1" s="1"/>
  <c r="AJ480" i="1"/>
  <c r="AK480" i="1" s="1"/>
  <c r="AL480" i="1" s="1"/>
  <c r="AM480" i="1" s="1"/>
  <c r="AJ481" i="1"/>
  <c r="AK481" i="1" s="1"/>
  <c r="AL481" i="1" s="1"/>
  <c r="AM481" i="1" s="1"/>
  <c r="AJ482" i="1"/>
  <c r="AK482" i="1" s="1"/>
  <c r="AL482" i="1" s="1"/>
  <c r="AM482" i="1" s="1"/>
  <c r="AJ483" i="1"/>
  <c r="AK483" i="1" s="1"/>
  <c r="AL483" i="1" s="1"/>
  <c r="AM483" i="1" s="1"/>
  <c r="AJ484" i="1"/>
  <c r="AK484" i="1" s="1"/>
  <c r="AL484" i="1" s="1"/>
  <c r="AM484" i="1" s="1"/>
  <c r="AJ485" i="1"/>
  <c r="AK485" i="1" s="1"/>
  <c r="AL485" i="1" s="1"/>
  <c r="AM485" i="1" s="1"/>
  <c r="AJ486" i="1"/>
  <c r="AK486" i="1" s="1"/>
  <c r="AL486" i="1" s="1"/>
  <c r="AM486" i="1" s="1"/>
  <c r="AJ487" i="1"/>
  <c r="AK487" i="1" s="1"/>
  <c r="AL487" i="1" s="1"/>
  <c r="AM487" i="1" s="1"/>
  <c r="AJ488" i="1"/>
  <c r="AK488" i="1" s="1"/>
  <c r="AL488" i="1" s="1"/>
  <c r="AM488" i="1" s="1"/>
  <c r="AJ489" i="1"/>
  <c r="AK489" i="1" s="1"/>
  <c r="AL489" i="1" s="1"/>
  <c r="AM489" i="1" s="1"/>
  <c r="AJ490" i="1"/>
  <c r="AK490" i="1" s="1"/>
  <c r="AL490" i="1" s="1"/>
  <c r="AM490" i="1" s="1"/>
  <c r="AJ491" i="1"/>
  <c r="AK491" i="1" s="1"/>
  <c r="AL491" i="1" s="1"/>
  <c r="AM491" i="1" s="1"/>
  <c r="AJ492" i="1"/>
  <c r="AK492" i="1" s="1"/>
  <c r="AL492" i="1" s="1"/>
  <c r="AM492" i="1" s="1"/>
  <c r="AJ493" i="1"/>
  <c r="AK493" i="1" s="1"/>
  <c r="AL493" i="1" s="1"/>
  <c r="AM493" i="1" s="1"/>
  <c r="AJ494" i="1"/>
  <c r="AK494" i="1" s="1"/>
  <c r="AL494" i="1" s="1"/>
  <c r="AM494" i="1" s="1"/>
  <c r="AJ495" i="1"/>
  <c r="AK495" i="1" s="1"/>
  <c r="AL495" i="1" s="1"/>
  <c r="AM495" i="1" s="1"/>
  <c r="AJ496" i="1"/>
  <c r="AK496" i="1" s="1"/>
  <c r="AL496" i="1" s="1"/>
  <c r="AM496" i="1" s="1"/>
  <c r="AJ497" i="1"/>
  <c r="AK497" i="1" s="1"/>
  <c r="AL497" i="1" s="1"/>
  <c r="AM497" i="1" s="1"/>
  <c r="AJ498" i="1"/>
  <c r="AK498" i="1" s="1"/>
  <c r="AL498" i="1" s="1"/>
  <c r="AM498" i="1" s="1"/>
  <c r="AJ499" i="1"/>
  <c r="AK499" i="1" s="1"/>
  <c r="AL499" i="1" s="1"/>
  <c r="AM499" i="1" s="1"/>
  <c r="AJ500" i="1"/>
  <c r="AK500" i="1" s="1"/>
  <c r="AL500" i="1" s="1"/>
  <c r="AM500" i="1" s="1"/>
  <c r="AJ501" i="1"/>
  <c r="AK501" i="1" s="1"/>
  <c r="AL501" i="1" s="1"/>
  <c r="AM501" i="1" s="1"/>
  <c r="AJ502" i="1"/>
  <c r="AK502" i="1" s="1"/>
  <c r="AL502" i="1" s="1"/>
  <c r="AM502" i="1" s="1"/>
  <c r="AJ503" i="1"/>
  <c r="AK503" i="1" s="1"/>
  <c r="AL503" i="1" s="1"/>
  <c r="AM503" i="1" s="1"/>
  <c r="AJ504" i="1"/>
  <c r="AK504" i="1" s="1"/>
  <c r="AL504" i="1" s="1"/>
  <c r="AM504" i="1" s="1"/>
  <c r="AJ505" i="1"/>
  <c r="AK505" i="1" s="1"/>
  <c r="AL505" i="1" s="1"/>
  <c r="AM505" i="1" s="1"/>
  <c r="AJ506" i="1"/>
  <c r="AK506" i="1" s="1"/>
  <c r="AL506" i="1" s="1"/>
  <c r="AM506" i="1" s="1"/>
  <c r="AJ507" i="1"/>
  <c r="AK507" i="1" s="1"/>
  <c r="AL507" i="1" s="1"/>
  <c r="AM507" i="1" s="1"/>
  <c r="AJ508" i="1"/>
  <c r="AK508" i="1" s="1"/>
  <c r="AL508" i="1" s="1"/>
  <c r="AM508" i="1" s="1"/>
  <c r="AJ509" i="1"/>
  <c r="AK509" i="1" s="1"/>
  <c r="AL509" i="1" s="1"/>
  <c r="AM509" i="1" s="1"/>
  <c r="AJ510" i="1"/>
  <c r="AK510" i="1" s="1"/>
  <c r="AL510" i="1" s="1"/>
  <c r="AM510" i="1" s="1"/>
  <c r="AJ511" i="1"/>
  <c r="AK511" i="1" s="1"/>
  <c r="AL511" i="1" s="1"/>
  <c r="AM511" i="1" s="1"/>
  <c r="AJ512" i="1"/>
  <c r="AK512" i="1" s="1"/>
  <c r="AL512" i="1" s="1"/>
  <c r="AM512" i="1" s="1"/>
  <c r="AJ513" i="1"/>
  <c r="AK513" i="1" s="1"/>
  <c r="AL513" i="1" s="1"/>
  <c r="AM513" i="1" s="1"/>
  <c r="AJ514" i="1"/>
  <c r="AK514" i="1" s="1"/>
  <c r="AL514" i="1" s="1"/>
  <c r="AM514" i="1" s="1"/>
  <c r="AJ515" i="1"/>
  <c r="AK515" i="1" s="1"/>
  <c r="AL515" i="1" s="1"/>
  <c r="AM515" i="1" s="1"/>
  <c r="AJ516" i="1"/>
  <c r="AK516" i="1" s="1"/>
  <c r="AL516" i="1" s="1"/>
  <c r="AM516" i="1" s="1"/>
  <c r="AJ517" i="1"/>
  <c r="AK517" i="1" s="1"/>
  <c r="AL517" i="1" s="1"/>
  <c r="AM517" i="1" s="1"/>
  <c r="AJ518" i="1"/>
  <c r="AK518" i="1" s="1"/>
  <c r="AL518" i="1" s="1"/>
  <c r="AM518" i="1" s="1"/>
  <c r="AJ519" i="1"/>
  <c r="AK519" i="1" s="1"/>
  <c r="AL519" i="1" s="1"/>
  <c r="AM519" i="1" s="1"/>
  <c r="AJ520" i="1"/>
  <c r="AK520" i="1" s="1"/>
  <c r="AL520" i="1" s="1"/>
  <c r="AM520" i="1" s="1"/>
  <c r="AJ521" i="1"/>
  <c r="AK521" i="1" s="1"/>
  <c r="AL521" i="1" s="1"/>
  <c r="AM521" i="1" s="1"/>
  <c r="AJ522" i="1"/>
  <c r="AK522" i="1" s="1"/>
  <c r="AL522" i="1" s="1"/>
  <c r="AM522" i="1" s="1"/>
  <c r="AJ523" i="1"/>
  <c r="AK523" i="1" s="1"/>
  <c r="AL523" i="1" s="1"/>
  <c r="AM523" i="1" s="1"/>
  <c r="AJ524" i="1"/>
  <c r="AK524" i="1" s="1"/>
  <c r="AL524" i="1" s="1"/>
  <c r="AM524" i="1" s="1"/>
  <c r="AJ525" i="1"/>
  <c r="AK525" i="1" s="1"/>
  <c r="AL525" i="1" s="1"/>
  <c r="AM525" i="1" s="1"/>
  <c r="AJ526" i="1"/>
  <c r="AK526" i="1" s="1"/>
  <c r="AL526" i="1" s="1"/>
  <c r="AM526" i="1" s="1"/>
  <c r="AJ527" i="1"/>
  <c r="AK527" i="1" s="1"/>
  <c r="AL527" i="1" s="1"/>
  <c r="AM527" i="1" s="1"/>
  <c r="AJ528" i="1"/>
  <c r="AK528" i="1" s="1"/>
  <c r="AL528" i="1" s="1"/>
  <c r="AM528" i="1" s="1"/>
  <c r="AJ529" i="1"/>
  <c r="AK529" i="1" s="1"/>
  <c r="AL529" i="1" s="1"/>
  <c r="AM529" i="1" s="1"/>
  <c r="AJ530" i="1"/>
  <c r="AK530" i="1" s="1"/>
  <c r="AL530" i="1" s="1"/>
  <c r="AM530" i="1" s="1"/>
  <c r="AJ531" i="1"/>
  <c r="AK531" i="1" s="1"/>
  <c r="AL531" i="1" s="1"/>
  <c r="AM531" i="1" s="1"/>
  <c r="AJ532" i="1"/>
  <c r="AK532" i="1" s="1"/>
  <c r="AL532" i="1" s="1"/>
  <c r="AM532" i="1" s="1"/>
  <c r="AJ533" i="1"/>
  <c r="AK533" i="1" s="1"/>
  <c r="AL533" i="1" s="1"/>
  <c r="AM533" i="1" s="1"/>
  <c r="AJ534" i="1"/>
  <c r="AK534" i="1" s="1"/>
  <c r="AL534" i="1" s="1"/>
  <c r="AM534" i="1" s="1"/>
  <c r="AJ535" i="1"/>
  <c r="AK535" i="1" s="1"/>
  <c r="AL535" i="1" s="1"/>
  <c r="AM535" i="1" s="1"/>
  <c r="AJ536" i="1"/>
  <c r="AK536" i="1" s="1"/>
  <c r="AL536" i="1" s="1"/>
  <c r="AM536" i="1" s="1"/>
  <c r="AJ537" i="1"/>
  <c r="AK537" i="1" s="1"/>
  <c r="AL537" i="1" s="1"/>
  <c r="AM537" i="1" s="1"/>
  <c r="AJ538" i="1"/>
  <c r="AK538" i="1" s="1"/>
  <c r="AL538" i="1" s="1"/>
  <c r="AM538" i="1" s="1"/>
  <c r="AJ539" i="1"/>
  <c r="AK539" i="1" s="1"/>
  <c r="AL539" i="1" s="1"/>
  <c r="AM539" i="1" s="1"/>
  <c r="AJ540" i="1"/>
  <c r="AK540" i="1" s="1"/>
  <c r="AL540" i="1" s="1"/>
  <c r="AM540" i="1" s="1"/>
  <c r="AJ541" i="1"/>
  <c r="AK541" i="1" s="1"/>
  <c r="AL541" i="1" s="1"/>
  <c r="AM541" i="1" s="1"/>
  <c r="AJ542" i="1"/>
  <c r="AK542" i="1" s="1"/>
  <c r="AL542" i="1" s="1"/>
  <c r="AM542" i="1" s="1"/>
  <c r="AJ543" i="1"/>
  <c r="AK543" i="1" s="1"/>
  <c r="AL543" i="1" s="1"/>
  <c r="AM543" i="1" s="1"/>
  <c r="AJ544" i="1"/>
  <c r="AK544" i="1" s="1"/>
  <c r="AL544" i="1" s="1"/>
  <c r="AM544" i="1" s="1"/>
  <c r="AJ545" i="1"/>
  <c r="AK545" i="1" s="1"/>
  <c r="AL545" i="1" s="1"/>
  <c r="AM545" i="1" s="1"/>
  <c r="AJ546" i="1"/>
  <c r="AK546" i="1" s="1"/>
  <c r="AL546" i="1" s="1"/>
  <c r="AM546" i="1" s="1"/>
  <c r="AJ547" i="1"/>
  <c r="AK547" i="1" s="1"/>
  <c r="AL547" i="1" s="1"/>
  <c r="AM547" i="1" s="1"/>
  <c r="AJ548" i="1"/>
  <c r="AK548" i="1" s="1"/>
  <c r="AL548" i="1" s="1"/>
  <c r="AM548" i="1" s="1"/>
  <c r="AJ549" i="1"/>
  <c r="AK549" i="1" s="1"/>
  <c r="AL549" i="1" s="1"/>
  <c r="AM549" i="1" s="1"/>
  <c r="AJ550" i="1"/>
  <c r="AK550" i="1" s="1"/>
  <c r="AL550" i="1" s="1"/>
  <c r="AM550" i="1" s="1"/>
  <c r="AJ551" i="1"/>
  <c r="AK551" i="1" s="1"/>
  <c r="AL551" i="1" s="1"/>
  <c r="AM551" i="1" s="1"/>
  <c r="AJ552" i="1"/>
  <c r="AK552" i="1" s="1"/>
  <c r="AL552" i="1" s="1"/>
  <c r="AM552" i="1" s="1"/>
  <c r="AJ553" i="1"/>
  <c r="AK553" i="1" s="1"/>
  <c r="AL553" i="1" s="1"/>
  <c r="AM553" i="1" s="1"/>
  <c r="AJ554" i="1"/>
  <c r="AK554" i="1" s="1"/>
  <c r="AL554" i="1" s="1"/>
  <c r="AM554" i="1" s="1"/>
  <c r="AJ555" i="1"/>
  <c r="AK555" i="1" s="1"/>
  <c r="AL555" i="1" s="1"/>
  <c r="AM555" i="1" s="1"/>
  <c r="AJ556" i="1"/>
  <c r="AK556" i="1" s="1"/>
  <c r="AL556" i="1" s="1"/>
  <c r="AM556" i="1" s="1"/>
  <c r="AJ557" i="1"/>
  <c r="AK557" i="1" s="1"/>
  <c r="AL557" i="1" s="1"/>
  <c r="AM557" i="1" s="1"/>
  <c r="AJ558" i="1"/>
  <c r="AK558" i="1" s="1"/>
  <c r="AL558" i="1" s="1"/>
  <c r="AM558" i="1" s="1"/>
  <c r="AJ559" i="1"/>
  <c r="AK559" i="1" s="1"/>
  <c r="AL559" i="1" s="1"/>
  <c r="AM559" i="1" s="1"/>
  <c r="AJ560" i="1"/>
  <c r="AK560" i="1" s="1"/>
  <c r="AL560" i="1" s="1"/>
  <c r="AM560" i="1" s="1"/>
  <c r="AJ561" i="1"/>
  <c r="AK561" i="1" s="1"/>
  <c r="AL561" i="1" s="1"/>
  <c r="AM561" i="1" s="1"/>
  <c r="AJ562" i="1"/>
  <c r="AK562" i="1" s="1"/>
  <c r="AL562" i="1" s="1"/>
  <c r="AM562" i="1" s="1"/>
  <c r="AJ563" i="1"/>
  <c r="AK563" i="1" s="1"/>
  <c r="AL563" i="1" s="1"/>
  <c r="AM563" i="1" s="1"/>
  <c r="AJ564" i="1"/>
  <c r="AK564" i="1" s="1"/>
  <c r="AL564" i="1" s="1"/>
  <c r="AM564" i="1" s="1"/>
  <c r="AJ565" i="1"/>
  <c r="AK565" i="1" s="1"/>
  <c r="AL565" i="1" s="1"/>
  <c r="AM565" i="1" s="1"/>
  <c r="AJ566" i="1"/>
  <c r="AK566" i="1" s="1"/>
  <c r="AL566" i="1" s="1"/>
  <c r="AM566" i="1" s="1"/>
  <c r="AJ567" i="1"/>
  <c r="AK567" i="1" s="1"/>
  <c r="AL567" i="1" s="1"/>
  <c r="AM567" i="1" s="1"/>
  <c r="AJ568" i="1"/>
  <c r="AK568" i="1" s="1"/>
  <c r="AL568" i="1" s="1"/>
  <c r="AM568" i="1" s="1"/>
  <c r="AJ569" i="1"/>
  <c r="AK569" i="1" s="1"/>
  <c r="AL569" i="1" s="1"/>
  <c r="AM569" i="1" s="1"/>
  <c r="AJ570" i="1"/>
  <c r="AK570" i="1" s="1"/>
  <c r="AL570" i="1" s="1"/>
  <c r="AM570" i="1" s="1"/>
  <c r="AJ571" i="1"/>
  <c r="AK571" i="1" s="1"/>
  <c r="AL571" i="1" s="1"/>
  <c r="AM571" i="1" s="1"/>
  <c r="AJ572" i="1"/>
  <c r="AK572" i="1" s="1"/>
  <c r="AL572" i="1" s="1"/>
  <c r="AM572" i="1" s="1"/>
  <c r="AJ573" i="1"/>
  <c r="AK573" i="1" s="1"/>
  <c r="AL573" i="1" s="1"/>
  <c r="AM573" i="1" s="1"/>
  <c r="AJ574" i="1"/>
  <c r="AK574" i="1" s="1"/>
  <c r="AL574" i="1" s="1"/>
  <c r="AM574" i="1" s="1"/>
  <c r="AJ575" i="1"/>
  <c r="AK575" i="1" s="1"/>
  <c r="AL575" i="1" s="1"/>
  <c r="AM575" i="1" s="1"/>
  <c r="AJ576" i="1"/>
  <c r="AK576" i="1" s="1"/>
  <c r="AL576" i="1" s="1"/>
  <c r="AM576" i="1" s="1"/>
  <c r="AJ577" i="1"/>
  <c r="AK577" i="1" s="1"/>
  <c r="AL577" i="1" s="1"/>
  <c r="AM577" i="1" s="1"/>
  <c r="AJ578" i="1"/>
  <c r="AK578" i="1" s="1"/>
  <c r="AL578" i="1" s="1"/>
  <c r="AM578" i="1" s="1"/>
  <c r="AJ579" i="1"/>
  <c r="AK579" i="1" s="1"/>
  <c r="AL579" i="1" s="1"/>
  <c r="AM579" i="1" s="1"/>
  <c r="AJ580" i="1"/>
  <c r="AK580" i="1" s="1"/>
  <c r="AL580" i="1" s="1"/>
  <c r="AM580" i="1" s="1"/>
  <c r="AJ581" i="1"/>
  <c r="AK581" i="1" s="1"/>
  <c r="AL581" i="1" s="1"/>
  <c r="AM581" i="1" s="1"/>
  <c r="AJ582" i="1"/>
  <c r="AK582" i="1" s="1"/>
  <c r="AL582" i="1" s="1"/>
  <c r="AM582" i="1" s="1"/>
  <c r="AJ583" i="1"/>
  <c r="AK583" i="1" s="1"/>
  <c r="AL583" i="1" s="1"/>
  <c r="AM583" i="1" s="1"/>
  <c r="AJ584" i="1"/>
  <c r="AK584" i="1" s="1"/>
  <c r="AL584" i="1" s="1"/>
  <c r="AM584" i="1" s="1"/>
  <c r="AJ585" i="1"/>
  <c r="AK585" i="1" s="1"/>
  <c r="AL585" i="1" s="1"/>
  <c r="AM585" i="1" s="1"/>
  <c r="AJ586" i="1"/>
  <c r="AK586" i="1" s="1"/>
  <c r="AL586" i="1" s="1"/>
  <c r="AM586" i="1" s="1"/>
  <c r="AJ587" i="1"/>
  <c r="AK587" i="1" s="1"/>
  <c r="AL587" i="1" s="1"/>
  <c r="AM587" i="1" s="1"/>
  <c r="AJ588" i="1"/>
  <c r="AK588" i="1" s="1"/>
  <c r="AL588" i="1" s="1"/>
  <c r="AM588" i="1" s="1"/>
  <c r="AJ589" i="1"/>
  <c r="AK589" i="1" s="1"/>
  <c r="AL589" i="1" s="1"/>
  <c r="AM589" i="1" s="1"/>
  <c r="AJ590" i="1"/>
  <c r="AK590" i="1" s="1"/>
  <c r="AL590" i="1" s="1"/>
  <c r="AM590" i="1" s="1"/>
  <c r="AJ591" i="1"/>
  <c r="AK591" i="1" s="1"/>
  <c r="AL591" i="1" s="1"/>
  <c r="AM591" i="1" s="1"/>
  <c r="AJ592" i="1"/>
  <c r="AK592" i="1" s="1"/>
  <c r="AL592" i="1" s="1"/>
  <c r="AM592" i="1" s="1"/>
  <c r="AJ593" i="1"/>
  <c r="AK593" i="1" s="1"/>
  <c r="AL593" i="1" s="1"/>
  <c r="AM593" i="1" s="1"/>
  <c r="AJ594" i="1"/>
  <c r="AK594" i="1" s="1"/>
  <c r="AL594" i="1" s="1"/>
  <c r="AM594" i="1" s="1"/>
  <c r="AJ595" i="1"/>
  <c r="AK595" i="1" s="1"/>
  <c r="AL595" i="1" s="1"/>
  <c r="AM595" i="1" s="1"/>
  <c r="AJ596" i="1"/>
  <c r="AK596" i="1" s="1"/>
  <c r="AL596" i="1" s="1"/>
  <c r="AM596" i="1" s="1"/>
  <c r="AJ597" i="1"/>
  <c r="AK597" i="1" s="1"/>
  <c r="AL597" i="1" s="1"/>
  <c r="AM597" i="1" s="1"/>
  <c r="AJ598" i="1"/>
  <c r="AK598" i="1" s="1"/>
  <c r="AL598" i="1" s="1"/>
  <c r="AM598" i="1" s="1"/>
  <c r="AJ599" i="1"/>
  <c r="AK599" i="1" s="1"/>
  <c r="AL599" i="1" s="1"/>
  <c r="AM599" i="1" s="1"/>
  <c r="AJ600" i="1"/>
  <c r="AK600" i="1" s="1"/>
  <c r="AL600" i="1" s="1"/>
  <c r="AM600" i="1" s="1"/>
  <c r="AJ601" i="1"/>
  <c r="AK601" i="1" s="1"/>
  <c r="AL601" i="1" s="1"/>
  <c r="AM601" i="1" s="1"/>
  <c r="AJ602" i="1"/>
  <c r="AK602" i="1" s="1"/>
  <c r="AL602" i="1" s="1"/>
  <c r="AM602" i="1" s="1"/>
  <c r="AJ603" i="1"/>
  <c r="AK603" i="1" s="1"/>
  <c r="AL603" i="1" s="1"/>
  <c r="AM603" i="1" s="1"/>
  <c r="AJ604" i="1"/>
  <c r="AK604" i="1" s="1"/>
  <c r="AL604" i="1" s="1"/>
  <c r="AM604" i="1" s="1"/>
  <c r="AJ605" i="1"/>
  <c r="AK605" i="1" s="1"/>
  <c r="AL605" i="1" s="1"/>
  <c r="AM605" i="1" s="1"/>
  <c r="AJ606" i="1"/>
  <c r="AK606" i="1" s="1"/>
  <c r="AL606" i="1" s="1"/>
  <c r="AM606" i="1" s="1"/>
  <c r="AJ607" i="1"/>
  <c r="AK607" i="1" s="1"/>
  <c r="AL607" i="1" s="1"/>
  <c r="AM607" i="1" s="1"/>
  <c r="AJ608" i="1"/>
  <c r="AK608" i="1" s="1"/>
  <c r="AL608" i="1" s="1"/>
  <c r="AM608" i="1" s="1"/>
  <c r="AJ609" i="1"/>
  <c r="AK609" i="1" s="1"/>
  <c r="AL609" i="1" s="1"/>
  <c r="AM609" i="1" s="1"/>
  <c r="AJ610" i="1"/>
  <c r="AK610" i="1" s="1"/>
  <c r="AL610" i="1" s="1"/>
  <c r="AM610" i="1" s="1"/>
  <c r="AJ611" i="1"/>
  <c r="AK611" i="1" s="1"/>
  <c r="AL611" i="1" s="1"/>
  <c r="AM611" i="1" s="1"/>
  <c r="AJ612" i="1"/>
  <c r="AK612" i="1" s="1"/>
  <c r="AL612" i="1" s="1"/>
  <c r="AM612" i="1" s="1"/>
  <c r="AJ613" i="1"/>
  <c r="AK613" i="1" s="1"/>
  <c r="AL613" i="1" s="1"/>
  <c r="AM613" i="1" s="1"/>
  <c r="AJ614" i="1"/>
  <c r="AK614" i="1" s="1"/>
  <c r="AL614" i="1" s="1"/>
  <c r="AM614" i="1" s="1"/>
  <c r="AJ615" i="1"/>
  <c r="AK615" i="1" s="1"/>
  <c r="AL615" i="1" s="1"/>
  <c r="AM615" i="1" s="1"/>
  <c r="AJ616" i="1"/>
  <c r="AK616" i="1" s="1"/>
  <c r="AL616" i="1" s="1"/>
  <c r="AM616" i="1" s="1"/>
  <c r="AJ617" i="1"/>
  <c r="AK617" i="1" s="1"/>
  <c r="AL617" i="1" s="1"/>
  <c r="AM617" i="1" s="1"/>
  <c r="AJ618" i="1"/>
  <c r="AK618" i="1" s="1"/>
  <c r="AL618" i="1" s="1"/>
  <c r="AM618" i="1" s="1"/>
  <c r="AJ619" i="1"/>
  <c r="AK619" i="1" s="1"/>
  <c r="AL619" i="1" s="1"/>
  <c r="AM619" i="1" s="1"/>
  <c r="AJ620" i="1"/>
  <c r="AK620" i="1" s="1"/>
  <c r="AL620" i="1" s="1"/>
  <c r="AM620" i="1" s="1"/>
  <c r="AJ621" i="1"/>
  <c r="AK621" i="1" s="1"/>
  <c r="AL621" i="1" s="1"/>
  <c r="AM621" i="1" s="1"/>
  <c r="AJ622" i="1"/>
  <c r="AK622" i="1" s="1"/>
  <c r="AL622" i="1" s="1"/>
  <c r="AM622" i="1" s="1"/>
  <c r="AJ623" i="1"/>
  <c r="AK623" i="1" s="1"/>
  <c r="AL623" i="1" s="1"/>
  <c r="AM623" i="1" s="1"/>
  <c r="AJ624" i="1"/>
  <c r="AK624" i="1" s="1"/>
  <c r="AL624" i="1" s="1"/>
  <c r="AM624" i="1" s="1"/>
  <c r="AJ625" i="1"/>
  <c r="AK625" i="1" s="1"/>
  <c r="AL625" i="1" s="1"/>
  <c r="AM625" i="1" s="1"/>
  <c r="AJ626" i="1"/>
  <c r="AK626" i="1" s="1"/>
  <c r="AL626" i="1" s="1"/>
  <c r="AM626" i="1" s="1"/>
  <c r="AJ627" i="1"/>
  <c r="AK627" i="1" s="1"/>
  <c r="AL627" i="1" s="1"/>
  <c r="AM627" i="1" s="1"/>
  <c r="AJ628" i="1"/>
  <c r="AK628" i="1" s="1"/>
  <c r="AL628" i="1" s="1"/>
  <c r="AM628" i="1" s="1"/>
  <c r="AJ629" i="1"/>
  <c r="AK629" i="1" s="1"/>
  <c r="AL629" i="1" s="1"/>
  <c r="AM629" i="1" s="1"/>
  <c r="AJ630" i="1"/>
  <c r="AK630" i="1" s="1"/>
  <c r="AL630" i="1" s="1"/>
  <c r="AM630" i="1" s="1"/>
  <c r="AJ631" i="1"/>
  <c r="AK631" i="1" s="1"/>
  <c r="AL631" i="1" s="1"/>
  <c r="AM631" i="1" s="1"/>
  <c r="AJ632" i="1"/>
  <c r="AK632" i="1" s="1"/>
  <c r="AL632" i="1" s="1"/>
  <c r="AM632" i="1" s="1"/>
  <c r="AJ633" i="1"/>
  <c r="AK633" i="1" s="1"/>
  <c r="AL633" i="1" s="1"/>
  <c r="AM633" i="1" s="1"/>
  <c r="AJ634" i="1"/>
  <c r="AK634" i="1" s="1"/>
  <c r="AL634" i="1" s="1"/>
  <c r="AM634" i="1" s="1"/>
  <c r="AJ635" i="1"/>
  <c r="AK635" i="1" s="1"/>
  <c r="AL635" i="1" s="1"/>
  <c r="AM635" i="1" s="1"/>
  <c r="AJ636" i="1"/>
  <c r="AK636" i="1" s="1"/>
  <c r="AL636" i="1" s="1"/>
  <c r="AM636" i="1" s="1"/>
  <c r="AJ637" i="1"/>
  <c r="AK637" i="1" s="1"/>
  <c r="AL637" i="1" s="1"/>
  <c r="AM637" i="1" s="1"/>
  <c r="AJ638" i="1"/>
  <c r="AK638" i="1" s="1"/>
  <c r="AL638" i="1" s="1"/>
  <c r="AM638" i="1" s="1"/>
  <c r="AJ639" i="1"/>
  <c r="AK639" i="1" s="1"/>
  <c r="AL639" i="1" s="1"/>
  <c r="AM639" i="1" s="1"/>
  <c r="AJ640" i="1"/>
  <c r="AK640" i="1" s="1"/>
  <c r="AL640" i="1" s="1"/>
  <c r="AM640" i="1" s="1"/>
  <c r="AJ641" i="1"/>
  <c r="AK641" i="1" s="1"/>
  <c r="AL641" i="1" s="1"/>
  <c r="AM641" i="1" s="1"/>
  <c r="AJ642" i="1"/>
  <c r="AK642" i="1" s="1"/>
  <c r="AL642" i="1" s="1"/>
  <c r="AM642" i="1" s="1"/>
  <c r="AJ643" i="1"/>
  <c r="AK643" i="1" s="1"/>
  <c r="AL643" i="1" s="1"/>
  <c r="AM643" i="1" s="1"/>
  <c r="AJ644" i="1"/>
  <c r="AK644" i="1" s="1"/>
  <c r="AL644" i="1" s="1"/>
  <c r="AM644" i="1" s="1"/>
  <c r="AJ645" i="1"/>
  <c r="AK645" i="1" s="1"/>
  <c r="AL645" i="1" s="1"/>
  <c r="AM645" i="1" s="1"/>
  <c r="AJ646" i="1"/>
  <c r="AK646" i="1" s="1"/>
  <c r="AL646" i="1" s="1"/>
  <c r="AM646" i="1" s="1"/>
  <c r="AJ647" i="1"/>
  <c r="AK647" i="1" s="1"/>
  <c r="AL647" i="1" s="1"/>
  <c r="AM647" i="1" s="1"/>
  <c r="AJ648" i="1"/>
  <c r="AK648" i="1" s="1"/>
  <c r="AL648" i="1" s="1"/>
  <c r="AM648" i="1" s="1"/>
  <c r="AJ649" i="1"/>
  <c r="AK649" i="1" s="1"/>
  <c r="AL649" i="1" s="1"/>
  <c r="AM649" i="1" s="1"/>
  <c r="AJ650" i="1"/>
  <c r="AK650" i="1" s="1"/>
  <c r="AL650" i="1" s="1"/>
  <c r="AM650" i="1" s="1"/>
  <c r="AJ651" i="1"/>
  <c r="AK651" i="1" s="1"/>
  <c r="AL651" i="1" s="1"/>
  <c r="AM651" i="1" s="1"/>
  <c r="AJ652" i="1"/>
  <c r="AK652" i="1" s="1"/>
  <c r="AL652" i="1" s="1"/>
  <c r="AM652" i="1" s="1"/>
  <c r="AJ653" i="1"/>
  <c r="AK653" i="1" s="1"/>
  <c r="AL653" i="1" s="1"/>
  <c r="AM653" i="1" s="1"/>
  <c r="AJ654" i="1"/>
  <c r="AK654" i="1" s="1"/>
  <c r="AL654" i="1" s="1"/>
  <c r="AM654" i="1" s="1"/>
  <c r="AJ655" i="1"/>
  <c r="AK655" i="1" s="1"/>
  <c r="AL655" i="1" s="1"/>
  <c r="AM655" i="1" s="1"/>
  <c r="AJ656" i="1"/>
  <c r="AK656" i="1" s="1"/>
  <c r="AL656" i="1" s="1"/>
  <c r="AM656" i="1" s="1"/>
  <c r="AJ657" i="1"/>
  <c r="AK657" i="1" s="1"/>
  <c r="AL657" i="1" s="1"/>
  <c r="AM657" i="1" s="1"/>
  <c r="AJ658" i="1"/>
  <c r="AK658" i="1" s="1"/>
  <c r="AL658" i="1" s="1"/>
  <c r="AM658" i="1" s="1"/>
  <c r="AJ659" i="1"/>
  <c r="AK659" i="1" s="1"/>
  <c r="AL659" i="1" s="1"/>
  <c r="AM659" i="1" s="1"/>
  <c r="AJ660" i="1"/>
  <c r="AK660" i="1" s="1"/>
  <c r="AL660" i="1" s="1"/>
  <c r="AM660" i="1" s="1"/>
  <c r="AJ661" i="1"/>
  <c r="AK661" i="1" s="1"/>
  <c r="AL661" i="1" s="1"/>
  <c r="AM661" i="1" s="1"/>
  <c r="AJ662" i="1"/>
  <c r="AK662" i="1" s="1"/>
  <c r="AL662" i="1" s="1"/>
  <c r="AM662" i="1" s="1"/>
  <c r="AJ663" i="1"/>
  <c r="AK663" i="1" s="1"/>
  <c r="AL663" i="1" s="1"/>
  <c r="AM663" i="1" s="1"/>
  <c r="AJ664" i="1"/>
  <c r="AK664" i="1" s="1"/>
  <c r="AL664" i="1" s="1"/>
  <c r="AM664" i="1" s="1"/>
  <c r="AJ665" i="1"/>
  <c r="AK665" i="1" s="1"/>
  <c r="AL665" i="1" s="1"/>
  <c r="AM665" i="1" s="1"/>
  <c r="AJ666" i="1"/>
  <c r="AK666" i="1" s="1"/>
  <c r="AL666" i="1" s="1"/>
  <c r="AM666" i="1" s="1"/>
  <c r="AJ667" i="1"/>
  <c r="AK667" i="1" s="1"/>
  <c r="AL667" i="1" s="1"/>
  <c r="AM667" i="1" s="1"/>
  <c r="AJ668" i="1"/>
  <c r="AK668" i="1" s="1"/>
  <c r="AL668" i="1" s="1"/>
  <c r="AM668" i="1" s="1"/>
  <c r="AJ669" i="1"/>
  <c r="AK669" i="1" s="1"/>
  <c r="AL669" i="1" s="1"/>
  <c r="AM669" i="1" s="1"/>
  <c r="AJ670" i="1"/>
  <c r="AK670" i="1" s="1"/>
  <c r="AL670" i="1" s="1"/>
  <c r="AM670" i="1" s="1"/>
  <c r="AJ671" i="1"/>
  <c r="AK671" i="1" s="1"/>
  <c r="AL671" i="1" s="1"/>
  <c r="AM671" i="1" s="1"/>
  <c r="AJ672" i="1"/>
  <c r="AK672" i="1" s="1"/>
  <c r="AL672" i="1" s="1"/>
  <c r="AM672" i="1" s="1"/>
  <c r="AJ673" i="1"/>
  <c r="AK673" i="1" s="1"/>
  <c r="AL673" i="1" s="1"/>
  <c r="AM673" i="1" s="1"/>
  <c r="AJ674" i="1"/>
  <c r="AK674" i="1" s="1"/>
  <c r="AL674" i="1" s="1"/>
  <c r="AM674" i="1" s="1"/>
  <c r="AJ675" i="1"/>
  <c r="AK675" i="1" s="1"/>
  <c r="AL675" i="1" s="1"/>
  <c r="AM675" i="1" s="1"/>
  <c r="AJ676" i="1"/>
  <c r="AK676" i="1" s="1"/>
  <c r="AL676" i="1" s="1"/>
  <c r="AM676" i="1" s="1"/>
  <c r="AJ677" i="1"/>
  <c r="AK677" i="1" s="1"/>
  <c r="AL677" i="1" s="1"/>
  <c r="AM677" i="1" s="1"/>
  <c r="AJ678" i="1"/>
  <c r="AK678" i="1" s="1"/>
  <c r="AL678" i="1" s="1"/>
  <c r="AM678" i="1" s="1"/>
  <c r="AJ679" i="1"/>
  <c r="AK679" i="1" s="1"/>
  <c r="AL679" i="1" s="1"/>
  <c r="AM679" i="1" s="1"/>
  <c r="AJ680" i="1"/>
  <c r="AK680" i="1" s="1"/>
  <c r="AL680" i="1" s="1"/>
  <c r="AM680" i="1" s="1"/>
  <c r="AJ681" i="1"/>
  <c r="AK681" i="1" s="1"/>
  <c r="AL681" i="1" s="1"/>
  <c r="AM681" i="1" s="1"/>
  <c r="AJ682" i="1"/>
  <c r="AK682" i="1" s="1"/>
  <c r="AL682" i="1" s="1"/>
  <c r="AM682" i="1" s="1"/>
  <c r="AJ683" i="1"/>
  <c r="AK683" i="1" s="1"/>
  <c r="AL683" i="1" s="1"/>
  <c r="AM683" i="1" s="1"/>
  <c r="AJ684" i="1"/>
  <c r="AK684" i="1" s="1"/>
  <c r="AL684" i="1" s="1"/>
  <c r="AM684" i="1" s="1"/>
  <c r="AJ685" i="1"/>
  <c r="AK685" i="1" s="1"/>
  <c r="AL685" i="1" s="1"/>
  <c r="AM685" i="1" s="1"/>
  <c r="AJ686" i="1"/>
  <c r="AK686" i="1" s="1"/>
  <c r="AL686" i="1" s="1"/>
  <c r="AM686" i="1" s="1"/>
  <c r="AJ687" i="1"/>
  <c r="AK687" i="1" s="1"/>
  <c r="AL687" i="1" s="1"/>
  <c r="AM687" i="1" s="1"/>
  <c r="AJ688" i="1"/>
  <c r="AK688" i="1" s="1"/>
  <c r="AL688" i="1" s="1"/>
  <c r="AM688" i="1" s="1"/>
  <c r="AJ689" i="1"/>
  <c r="AK689" i="1" s="1"/>
  <c r="AL689" i="1" s="1"/>
  <c r="AM689" i="1" s="1"/>
  <c r="AJ690" i="1"/>
  <c r="AK690" i="1" s="1"/>
  <c r="AL690" i="1" s="1"/>
  <c r="AM690" i="1" s="1"/>
  <c r="AJ691" i="1"/>
  <c r="AK691" i="1" s="1"/>
  <c r="AL691" i="1" s="1"/>
  <c r="AM691" i="1" s="1"/>
  <c r="AJ692" i="1"/>
  <c r="AK692" i="1" s="1"/>
  <c r="AL692" i="1" s="1"/>
  <c r="AM692" i="1" s="1"/>
  <c r="AJ693" i="1"/>
  <c r="AK693" i="1" s="1"/>
  <c r="AL693" i="1" s="1"/>
  <c r="AM693" i="1" s="1"/>
  <c r="AJ694" i="1"/>
  <c r="AK694" i="1" s="1"/>
  <c r="AL694" i="1" s="1"/>
  <c r="AM694" i="1" s="1"/>
  <c r="AJ695" i="1"/>
  <c r="AK695" i="1" s="1"/>
  <c r="AL695" i="1" s="1"/>
  <c r="AM695" i="1" s="1"/>
  <c r="AJ696" i="1"/>
  <c r="AK696" i="1" s="1"/>
  <c r="AL696" i="1" s="1"/>
  <c r="AM696" i="1" s="1"/>
  <c r="AJ697" i="1"/>
  <c r="AK697" i="1" s="1"/>
  <c r="AL697" i="1" s="1"/>
  <c r="AM697" i="1" s="1"/>
  <c r="AJ698" i="1"/>
  <c r="AK698" i="1" s="1"/>
  <c r="AL698" i="1" s="1"/>
  <c r="AM698" i="1" s="1"/>
  <c r="AJ699" i="1"/>
  <c r="AK699" i="1" s="1"/>
  <c r="AL699" i="1" s="1"/>
  <c r="AM699" i="1" s="1"/>
  <c r="AJ700" i="1"/>
  <c r="AK700" i="1" s="1"/>
  <c r="AL700" i="1" s="1"/>
  <c r="AM700" i="1" s="1"/>
  <c r="AJ701" i="1"/>
  <c r="AK701" i="1" s="1"/>
  <c r="AL701" i="1" s="1"/>
  <c r="AM701" i="1" s="1"/>
  <c r="AJ702" i="1"/>
  <c r="AK702" i="1" s="1"/>
  <c r="AL702" i="1" s="1"/>
  <c r="AM702" i="1" s="1"/>
  <c r="AJ703" i="1"/>
  <c r="AK703" i="1" s="1"/>
  <c r="AL703" i="1" s="1"/>
  <c r="AM703" i="1" s="1"/>
  <c r="AJ704" i="1"/>
  <c r="AK704" i="1" s="1"/>
  <c r="AL704" i="1" s="1"/>
  <c r="AM704" i="1" s="1"/>
  <c r="AJ705" i="1"/>
  <c r="AK705" i="1" s="1"/>
  <c r="AL705" i="1" s="1"/>
  <c r="AM705" i="1" s="1"/>
  <c r="AJ706" i="1"/>
  <c r="AK706" i="1" s="1"/>
  <c r="AL706" i="1" s="1"/>
  <c r="AM706" i="1" s="1"/>
  <c r="AJ707" i="1"/>
  <c r="AK707" i="1" s="1"/>
  <c r="AL707" i="1" s="1"/>
  <c r="AM707" i="1" s="1"/>
  <c r="AJ708" i="1"/>
  <c r="AK708" i="1" s="1"/>
  <c r="AL708" i="1" s="1"/>
  <c r="AM708" i="1" s="1"/>
  <c r="AJ709" i="1"/>
  <c r="AK709" i="1" s="1"/>
  <c r="AL709" i="1" s="1"/>
  <c r="AM709" i="1" s="1"/>
  <c r="AJ710" i="1"/>
  <c r="AK710" i="1" s="1"/>
  <c r="AL710" i="1" s="1"/>
  <c r="AM710" i="1" s="1"/>
  <c r="AJ711" i="1"/>
  <c r="AK711" i="1" s="1"/>
  <c r="AL711" i="1" s="1"/>
  <c r="AM711" i="1" s="1"/>
  <c r="AJ712" i="1"/>
  <c r="AK712" i="1" s="1"/>
  <c r="AL712" i="1" s="1"/>
  <c r="AM712" i="1" s="1"/>
  <c r="AJ713" i="1"/>
  <c r="AK713" i="1" s="1"/>
  <c r="AL713" i="1" s="1"/>
  <c r="AM713" i="1" s="1"/>
  <c r="AJ714" i="1"/>
  <c r="AK714" i="1" s="1"/>
  <c r="AL714" i="1" s="1"/>
  <c r="AM714" i="1" s="1"/>
  <c r="AJ715" i="1"/>
  <c r="AK715" i="1" s="1"/>
  <c r="AL715" i="1" s="1"/>
  <c r="AM715" i="1" s="1"/>
  <c r="AJ716" i="1"/>
  <c r="AK716" i="1" s="1"/>
  <c r="AL716" i="1" s="1"/>
  <c r="AM716" i="1" s="1"/>
  <c r="AJ717" i="1"/>
  <c r="AK717" i="1" s="1"/>
  <c r="AL717" i="1" s="1"/>
  <c r="AM717" i="1" s="1"/>
  <c r="AJ718" i="1"/>
  <c r="AK718" i="1" s="1"/>
  <c r="AL718" i="1" s="1"/>
  <c r="AM718" i="1" s="1"/>
  <c r="AJ719" i="1"/>
  <c r="AK719" i="1" s="1"/>
  <c r="AL719" i="1" s="1"/>
  <c r="AM719" i="1" s="1"/>
  <c r="AJ720" i="1"/>
  <c r="AK720" i="1" s="1"/>
  <c r="AL720" i="1" s="1"/>
  <c r="AM720" i="1" s="1"/>
  <c r="AJ721" i="1"/>
  <c r="AK721" i="1" s="1"/>
  <c r="AL721" i="1" s="1"/>
  <c r="AM721" i="1" s="1"/>
  <c r="AJ722" i="1"/>
  <c r="AK722" i="1" s="1"/>
  <c r="AL722" i="1" s="1"/>
  <c r="AM722" i="1" s="1"/>
  <c r="AJ723" i="1"/>
  <c r="AK723" i="1" s="1"/>
  <c r="AL723" i="1" s="1"/>
  <c r="AM723" i="1" s="1"/>
  <c r="AJ724" i="1"/>
  <c r="AK724" i="1" s="1"/>
  <c r="AL724" i="1" s="1"/>
  <c r="AM724" i="1" s="1"/>
  <c r="AJ725" i="1"/>
  <c r="AK725" i="1" s="1"/>
  <c r="AL725" i="1" s="1"/>
  <c r="AM725" i="1" s="1"/>
  <c r="AJ726" i="1"/>
  <c r="AK726" i="1" s="1"/>
  <c r="AL726" i="1" s="1"/>
  <c r="AM726" i="1" s="1"/>
  <c r="AJ727" i="1"/>
  <c r="AK727" i="1" s="1"/>
  <c r="AL727" i="1" s="1"/>
  <c r="AM727" i="1" s="1"/>
  <c r="AJ728" i="1"/>
  <c r="AK728" i="1" s="1"/>
  <c r="AL728" i="1" s="1"/>
  <c r="AM728" i="1" s="1"/>
  <c r="AJ729" i="1"/>
  <c r="AK729" i="1" s="1"/>
  <c r="AL729" i="1" s="1"/>
  <c r="AM729" i="1" s="1"/>
  <c r="AJ730" i="1"/>
  <c r="AK730" i="1" s="1"/>
  <c r="AL730" i="1" s="1"/>
  <c r="AM730" i="1" s="1"/>
  <c r="AJ731" i="1"/>
  <c r="AK731" i="1" s="1"/>
  <c r="AL731" i="1" s="1"/>
  <c r="AM731" i="1" s="1"/>
  <c r="AJ732" i="1"/>
  <c r="AK732" i="1" s="1"/>
  <c r="AL732" i="1" s="1"/>
  <c r="AM732" i="1" s="1"/>
  <c r="AJ733" i="1"/>
  <c r="AK733" i="1" s="1"/>
  <c r="AL733" i="1" s="1"/>
  <c r="AM733" i="1" s="1"/>
  <c r="AJ734" i="1"/>
  <c r="AK734" i="1" s="1"/>
  <c r="AL734" i="1" s="1"/>
  <c r="AM734" i="1" s="1"/>
  <c r="AJ735" i="1"/>
  <c r="AK735" i="1" s="1"/>
  <c r="AL735" i="1" s="1"/>
  <c r="AM735" i="1" s="1"/>
  <c r="AJ736" i="1"/>
  <c r="AK736" i="1" s="1"/>
  <c r="AL736" i="1" s="1"/>
  <c r="AM736" i="1" s="1"/>
  <c r="AJ737" i="1"/>
  <c r="AK737" i="1" s="1"/>
  <c r="AL737" i="1" s="1"/>
  <c r="AM737" i="1" s="1"/>
  <c r="AJ738" i="1"/>
  <c r="AK738" i="1" s="1"/>
  <c r="AL738" i="1" s="1"/>
  <c r="AM738" i="1" s="1"/>
  <c r="AJ739" i="1"/>
  <c r="AK739" i="1" s="1"/>
  <c r="AL739" i="1" s="1"/>
  <c r="AM739" i="1" s="1"/>
  <c r="AJ740" i="1"/>
  <c r="AK740" i="1" s="1"/>
  <c r="AL740" i="1" s="1"/>
  <c r="AM740" i="1" s="1"/>
  <c r="AJ741" i="1"/>
  <c r="AK741" i="1" s="1"/>
  <c r="AL741" i="1" s="1"/>
  <c r="AM741" i="1" s="1"/>
  <c r="AJ742" i="1"/>
  <c r="AK742" i="1" s="1"/>
  <c r="AL742" i="1" s="1"/>
  <c r="AM742" i="1" s="1"/>
  <c r="AJ743" i="1"/>
  <c r="AK743" i="1" s="1"/>
  <c r="AL743" i="1" s="1"/>
  <c r="AM743" i="1" s="1"/>
  <c r="AJ744" i="1"/>
  <c r="AK744" i="1" s="1"/>
  <c r="AL744" i="1" s="1"/>
  <c r="AM744" i="1" s="1"/>
  <c r="AJ745" i="1"/>
  <c r="AK745" i="1" s="1"/>
  <c r="AL745" i="1" s="1"/>
  <c r="AM745" i="1" s="1"/>
  <c r="AJ746" i="1"/>
  <c r="AK746" i="1" s="1"/>
  <c r="AL746" i="1" s="1"/>
  <c r="AM746" i="1" s="1"/>
  <c r="AJ747" i="1"/>
  <c r="AK747" i="1" s="1"/>
  <c r="AL747" i="1" s="1"/>
  <c r="AM747" i="1" s="1"/>
  <c r="AJ748" i="1"/>
  <c r="AK748" i="1" s="1"/>
  <c r="AL748" i="1" s="1"/>
  <c r="AM748" i="1" s="1"/>
  <c r="AJ749" i="1"/>
  <c r="AK749" i="1" s="1"/>
  <c r="AL749" i="1" s="1"/>
  <c r="AM749" i="1" s="1"/>
  <c r="AJ750" i="1"/>
  <c r="AK750" i="1" s="1"/>
  <c r="AL750" i="1" s="1"/>
  <c r="AM750" i="1" s="1"/>
  <c r="AJ751" i="1"/>
  <c r="AK751" i="1" s="1"/>
  <c r="AL751" i="1" s="1"/>
  <c r="AM751" i="1" s="1"/>
  <c r="AJ752" i="1"/>
  <c r="AK752" i="1" s="1"/>
  <c r="AL752" i="1" s="1"/>
  <c r="AM752" i="1" s="1"/>
  <c r="AJ753" i="1"/>
  <c r="AK753" i="1" s="1"/>
  <c r="AL753" i="1" s="1"/>
  <c r="AM753" i="1" s="1"/>
  <c r="AJ754" i="1"/>
  <c r="AK754" i="1" s="1"/>
  <c r="AL754" i="1" s="1"/>
  <c r="AM754" i="1" s="1"/>
  <c r="AJ755" i="1"/>
  <c r="AK755" i="1" s="1"/>
  <c r="AL755" i="1" s="1"/>
  <c r="AM755" i="1" s="1"/>
  <c r="AJ756" i="1"/>
  <c r="AK756" i="1" s="1"/>
  <c r="AL756" i="1" s="1"/>
  <c r="AM756" i="1" s="1"/>
  <c r="AJ757" i="1"/>
  <c r="AK757" i="1" s="1"/>
  <c r="AL757" i="1" s="1"/>
  <c r="AM757" i="1" s="1"/>
  <c r="AJ758" i="1"/>
  <c r="AK758" i="1" s="1"/>
  <c r="AL758" i="1" s="1"/>
  <c r="AM758" i="1" s="1"/>
  <c r="AJ759" i="1"/>
  <c r="AK759" i="1" s="1"/>
  <c r="AL759" i="1" s="1"/>
  <c r="AM759" i="1" s="1"/>
  <c r="AJ760" i="1"/>
  <c r="AK760" i="1" s="1"/>
  <c r="AL760" i="1" s="1"/>
  <c r="AM760" i="1" s="1"/>
  <c r="AJ761" i="1"/>
  <c r="AK761" i="1" s="1"/>
  <c r="AL761" i="1" s="1"/>
  <c r="AM761" i="1" s="1"/>
  <c r="AJ762" i="1"/>
  <c r="AK762" i="1" s="1"/>
  <c r="AL762" i="1" s="1"/>
  <c r="AM762" i="1" s="1"/>
  <c r="AJ763" i="1"/>
  <c r="AK763" i="1" s="1"/>
  <c r="AL763" i="1" s="1"/>
  <c r="AM763" i="1" s="1"/>
  <c r="AJ764" i="1"/>
  <c r="AK764" i="1" s="1"/>
  <c r="AL764" i="1" s="1"/>
  <c r="AM764" i="1" s="1"/>
  <c r="AJ765" i="1"/>
  <c r="AK765" i="1" s="1"/>
  <c r="AL765" i="1" s="1"/>
  <c r="AM765" i="1" s="1"/>
  <c r="AJ766" i="1"/>
  <c r="AK766" i="1" s="1"/>
  <c r="AL766" i="1" s="1"/>
  <c r="AM766" i="1" s="1"/>
  <c r="AJ767" i="1"/>
  <c r="AK767" i="1" s="1"/>
  <c r="AL767" i="1" s="1"/>
  <c r="AM767" i="1" s="1"/>
  <c r="AJ768" i="1"/>
  <c r="AK768" i="1" s="1"/>
  <c r="AL768" i="1" s="1"/>
  <c r="AM768" i="1" s="1"/>
  <c r="AJ769" i="1"/>
  <c r="AK769" i="1" s="1"/>
  <c r="AL769" i="1" s="1"/>
  <c r="AM769" i="1" s="1"/>
  <c r="AJ770" i="1"/>
  <c r="AK770" i="1" s="1"/>
  <c r="AL770" i="1" s="1"/>
  <c r="AM770" i="1" s="1"/>
  <c r="AJ771" i="1"/>
  <c r="AK771" i="1" s="1"/>
  <c r="AL771" i="1" s="1"/>
  <c r="AM771" i="1" s="1"/>
  <c r="AJ772" i="1"/>
  <c r="AK772" i="1" s="1"/>
  <c r="AL772" i="1" s="1"/>
  <c r="AM772" i="1" s="1"/>
  <c r="AJ773" i="1"/>
  <c r="AK773" i="1" s="1"/>
  <c r="AL773" i="1" s="1"/>
  <c r="AM773" i="1" s="1"/>
  <c r="AJ774" i="1"/>
  <c r="AK774" i="1" s="1"/>
  <c r="AL774" i="1" s="1"/>
  <c r="AM774" i="1" s="1"/>
  <c r="AJ775" i="1"/>
  <c r="AK775" i="1" s="1"/>
  <c r="AL775" i="1" s="1"/>
  <c r="AM775" i="1" s="1"/>
  <c r="AJ776" i="1"/>
  <c r="AK776" i="1" s="1"/>
  <c r="AL776" i="1" s="1"/>
  <c r="AM776" i="1" s="1"/>
  <c r="AJ777" i="1"/>
  <c r="AK777" i="1" s="1"/>
  <c r="AL777" i="1" s="1"/>
  <c r="AM777" i="1" s="1"/>
  <c r="AJ778" i="1"/>
  <c r="AK778" i="1" s="1"/>
  <c r="AL778" i="1" s="1"/>
  <c r="AM778" i="1" s="1"/>
  <c r="AJ779" i="1"/>
  <c r="AK779" i="1" s="1"/>
  <c r="AL779" i="1" s="1"/>
  <c r="AM779" i="1" s="1"/>
  <c r="AJ780" i="1"/>
  <c r="AK780" i="1" s="1"/>
  <c r="AL780" i="1" s="1"/>
  <c r="AM780" i="1" s="1"/>
  <c r="AJ781" i="1"/>
  <c r="AK781" i="1" s="1"/>
  <c r="AL781" i="1" s="1"/>
  <c r="AM781" i="1" s="1"/>
  <c r="AJ782" i="1"/>
  <c r="AK782" i="1" s="1"/>
  <c r="AL782" i="1" s="1"/>
  <c r="AM782" i="1" s="1"/>
  <c r="AJ783" i="1"/>
  <c r="AK783" i="1" s="1"/>
  <c r="AL783" i="1" s="1"/>
  <c r="AM783" i="1" s="1"/>
  <c r="AJ784" i="1"/>
  <c r="AK784" i="1" s="1"/>
  <c r="AL784" i="1" s="1"/>
  <c r="AM784" i="1" s="1"/>
  <c r="AJ785" i="1"/>
  <c r="AK785" i="1" s="1"/>
  <c r="AL785" i="1" s="1"/>
  <c r="AM785" i="1" s="1"/>
  <c r="AJ786" i="1"/>
  <c r="AK786" i="1" s="1"/>
  <c r="AL786" i="1" s="1"/>
  <c r="AM786" i="1" s="1"/>
  <c r="AJ787" i="1"/>
  <c r="AK787" i="1" s="1"/>
  <c r="AL787" i="1" s="1"/>
  <c r="AM787" i="1" s="1"/>
  <c r="AJ788" i="1"/>
  <c r="AK788" i="1" s="1"/>
  <c r="AL788" i="1" s="1"/>
  <c r="AM788" i="1" s="1"/>
  <c r="AJ789" i="1"/>
  <c r="AK789" i="1" s="1"/>
  <c r="AL789" i="1" s="1"/>
  <c r="AM789" i="1" s="1"/>
  <c r="AJ790" i="1"/>
  <c r="AK790" i="1" s="1"/>
  <c r="AL790" i="1" s="1"/>
  <c r="AM790" i="1" s="1"/>
  <c r="AJ791" i="1"/>
  <c r="AK791" i="1" s="1"/>
  <c r="AL791" i="1" s="1"/>
  <c r="AM791" i="1" s="1"/>
  <c r="AJ792" i="1"/>
  <c r="AK792" i="1" s="1"/>
  <c r="AL792" i="1" s="1"/>
  <c r="AM792" i="1" s="1"/>
  <c r="AJ793" i="1"/>
  <c r="AK793" i="1" s="1"/>
  <c r="AL793" i="1" s="1"/>
  <c r="AM793" i="1" s="1"/>
  <c r="AJ794" i="1"/>
  <c r="AK794" i="1" s="1"/>
  <c r="AL794" i="1" s="1"/>
  <c r="AM794" i="1" s="1"/>
  <c r="AJ795" i="1"/>
  <c r="AK795" i="1" s="1"/>
  <c r="AL795" i="1" s="1"/>
  <c r="AM795" i="1" s="1"/>
  <c r="AJ796" i="1"/>
  <c r="AK796" i="1" s="1"/>
  <c r="AL796" i="1" s="1"/>
  <c r="AM796" i="1" s="1"/>
  <c r="AJ797" i="1"/>
  <c r="AK797" i="1" s="1"/>
  <c r="AL797" i="1" s="1"/>
  <c r="AM797" i="1" s="1"/>
  <c r="AJ798" i="1"/>
  <c r="AK798" i="1" s="1"/>
  <c r="AL798" i="1" s="1"/>
  <c r="AM798" i="1" s="1"/>
  <c r="AJ799" i="1"/>
  <c r="AK799" i="1" s="1"/>
  <c r="AL799" i="1" s="1"/>
  <c r="AM799" i="1" s="1"/>
  <c r="AJ800" i="1"/>
  <c r="AK800" i="1" s="1"/>
  <c r="AL800" i="1" s="1"/>
  <c r="AM800" i="1" s="1"/>
  <c r="AJ801" i="1"/>
  <c r="AK801" i="1" s="1"/>
  <c r="AL801" i="1" s="1"/>
  <c r="AM801" i="1" s="1"/>
  <c r="AJ802" i="1"/>
  <c r="AK802" i="1" s="1"/>
  <c r="AL802" i="1" s="1"/>
  <c r="AM802" i="1" s="1"/>
  <c r="AJ803" i="1"/>
  <c r="AK803" i="1" s="1"/>
  <c r="AL803" i="1" s="1"/>
  <c r="AM803" i="1" s="1"/>
  <c r="AJ804" i="1"/>
  <c r="AK804" i="1" s="1"/>
  <c r="AL804" i="1" s="1"/>
  <c r="AM804" i="1" s="1"/>
  <c r="AJ805" i="1"/>
  <c r="AK805" i="1" s="1"/>
  <c r="AL805" i="1" s="1"/>
  <c r="AM805" i="1" s="1"/>
  <c r="AJ806" i="1"/>
  <c r="AK806" i="1" s="1"/>
  <c r="AL806" i="1" s="1"/>
  <c r="AM806" i="1" s="1"/>
  <c r="AJ807" i="1"/>
  <c r="AK807" i="1" s="1"/>
  <c r="AL807" i="1" s="1"/>
  <c r="AM807" i="1" s="1"/>
  <c r="AJ808" i="1"/>
  <c r="AK808" i="1" s="1"/>
  <c r="AL808" i="1" s="1"/>
  <c r="AM808" i="1" s="1"/>
  <c r="AJ809" i="1"/>
  <c r="AK809" i="1" s="1"/>
  <c r="AL809" i="1" s="1"/>
  <c r="AM809" i="1" s="1"/>
  <c r="AJ810" i="1"/>
  <c r="AK810" i="1" s="1"/>
  <c r="AL810" i="1" s="1"/>
  <c r="AM810" i="1" s="1"/>
  <c r="AJ811" i="1"/>
  <c r="AK811" i="1" s="1"/>
  <c r="AL811" i="1" s="1"/>
  <c r="AM811" i="1" s="1"/>
  <c r="AJ812" i="1"/>
  <c r="AK812" i="1" s="1"/>
  <c r="AL812" i="1" s="1"/>
  <c r="AM812" i="1" s="1"/>
  <c r="AJ813" i="1"/>
  <c r="AK813" i="1" s="1"/>
  <c r="AL813" i="1" s="1"/>
  <c r="AM813" i="1" s="1"/>
  <c r="AJ814" i="1"/>
  <c r="AK814" i="1" s="1"/>
  <c r="AL814" i="1" s="1"/>
  <c r="AM814" i="1" s="1"/>
  <c r="AJ815" i="1"/>
  <c r="AK815" i="1" s="1"/>
  <c r="AL815" i="1" s="1"/>
  <c r="AM815" i="1" s="1"/>
  <c r="AJ816" i="1"/>
  <c r="AK816" i="1" s="1"/>
  <c r="AL816" i="1" s="1"/>
  <c r="AM816" i="1" s="1"/>
  <c r="AJ817" i="1"/>
  <c r="AK817" i="1" s="1"/>
  <c r="AL817" i="1" s="1"/>
  <c r="AM817" i="1" s="1"/>
  <c r="AJ818" i="1"/>
  <c r="AK818" i="1" s="1"/>
  <c r="AL818" i="1" s="1"/>
  <c r="AM818" i="1" s="1"/>
  <c r="AJ819" i="1"/>
  <c r="AK819" i="1" s="1"/>
  <c r="AL819" i="1" s="1"/>
  <c r="AM819" i="1" s="1"/>
  <c r="AJ820" i="1"/>
  <c r="AK820" i="1" s="1"/>
  <c r="AL820" i="1" s="1"/>
  <c r="AM820" i="1" s="1"/>
  <c r="AJ821" i="1"/>
  <c r="AK821" i="1" s="1"/>
  <c r="AL821" i="1" s="1"/>
  <c r="AM821" i="1" s="1"/>
  <c r="AJ822" i="1"/>
  <c r="AK822" i="1" s="1"/>
  <c r="AL822" i="1" s="1"/>
  <c r="AM822" i="1" s="1"/>
  <c r="AJ823" i="1"/>
  <c r="AK823" i="1" s="1"/>
  <c r="AL823" i="1" s="1"/>
  <c r="AM823" i="1" s="1"/>
  <c r="AJ824" i="1"/>
  <c r="AK824" i="1" s="1"/>
  <c r="AL824" i="1" s="1"/>
  <c r="AM824" i="1" s="1"/>
  <c r="AJ825" i="1"/>
  <c r="AK825" i="1" s="1"/>
  <c r="AL825" i="1" s="1"/>
  <c r="AM825" i="1" s="1"/>
  <c r="AJ826" i="1"/>
  <c r="AK826" i="1" s="1"/>
  <c r="AL826" i="1" s="1"/>
  <c r="AM826" i="1" s="1"/>
  <c r="AJ827" i="1"/>
  <c r="AK827" i="1" s="1"/>
  <c r="AL827" i="1" s="1"/>
  <c r="AM827" i="1" s="1"/>
  <c r="AJ828" i="1"/>
  <c r="AK828" i="1" s="1"/>
  <c r="AL828" i="1" s="1"/>
  <c r="AM828" i="1" s="1"/>
  <c r="AJ829" i="1"/>
  <c r="AK829" i="1" s="1"/>
  <c r="AL829" i="1" s="1"/>
  <c r="AM829" i="1" s="1"/>
  <c r="AJ830" i="1"/>
  <c r="AK830" i="1" s="1"/>
  <c r="AL830" i="1" s="1"/>
  <c r="AM830" i="1" s="1"/>
  <c r="AJ831" i="1"/>
  <c r="AK831" i="1" s="1"/>
  <c r="AL831" i="1" s="1"/>
  <c r="AM831" i="1" s="1"/>
  <c r="AJ832" i="1"/>
  <c r="AK832" i="1" s="1"/>
  <c r="AL832" i="1" s="1"/>
  <c r="AM832" i="1" s="1"/>
  <c r="AJ833" i="1"/>
  <c r="AK833" i="1" s="1"/>
  <c r="AL833" i="1" s="1"/>
  <c r="AM833" i="1" s="1"/>
  <c r="AJ834" i="1"/>
  <c r="AK834" i="1" s="1"/>
  <c r="AL834" i="1" s="1"/>
  <c r="AM834" i="1" s="1"/>
  <c r="AJ835" i="1"/>
  <c r="AK835" i="1" s="1"/>
  <c r="AL835" i="1" s="1"/>
  <c r="AM835" i="1" s="1"/>
  <c r="AJ836" i="1"/>
  <c r="AK836" i="1" s="1"/>
  <c r="AL836" i="1" s="1"/>
  <c r="AM836" i="1" s="1"/>
  <c r="AJ837" i="1"/>
  <c r="AK837" i="1" s="1"/>
  <c r="AL837" i="1" s="1"/>
  <c r="AM837" i="1" s="1"/>
  <c r="AJ838" i="1"/>
  <c r="AK838" i="1" s="1"/>
  <c r="AL838" i="1" s="1"/>
  <c r="AM838" i="1" s="1"/>
  <c r="AJ839" i="1"/>
  <c r="AK839" i="1" s="1"/>
  <c r="AL839" i="1" s="1"/>
  <c r="AM839" i="1" s="1"/>
  <c r="AJ840" i="1"/>
  <c r="AK840" i="1" s="1"/>
  <c r="AL840" i="1" s="1"/>
  <c r="AM840" i="1" s="1"/>
  <c r="AJ841" i="1"/>
  <c r="AK841" i="1" s="1"/>
  <c r="AL841" i="1" s="1"/>
  <c r="AM841" i="1" s="1"/>
  <c r="AJ842" i="1"/>
  <c r="AK842" i="1" s="1"/>
  <c r="AL842" i="1" s="1"/>
  <c r="AM842" i="1" s="1"/>
  <c r="AJ843" i="1"/>
  <c r="AK843" i="1" s="1"/>
  <c r="AL843" i="1" s="1"/>
  <c r="AM843" i="1" s="1"/>
  <c r="AJ844" i="1"/>
  <c r="AK844" i="1" s="1"/>
  <c r="AL844" i="1" s="1"/>
  <c r="AM844" i="1" s="1"/>
  <c r="AJ845" i="1"/>
  <c r="AK845" i="1" s="1"/>
  <c r="AL845" i="1" s="1"/>
  <c r="AM845" i="1" s="1"/>
  <c r="AJ846" i="1"/>
  <c r="AK846" i="1" s="1"/>
  <c r="AL846" i="1" s="1"/>
  <c r="AM846" i="1" s="1"/>
  <c r="AJ847" i="1"/>
  <c r="AK847" i="1" s="1"/>
  <c r="AL847" i="1" s="1"/>
  <c r="AM847" i="1" s="1"/>
  <c r="AJ848" i="1"/>
  <c r="AK848" i="1" s="1"/>
  <c r="AL848" i="1" s="1"/>
  <c r="AM848" i="1" s="1"/>
  <c r="AJ849" i="1"/>
  <c r="AK849" i="1" s="1"/>
  <c r="AL849" i="1" s="1"/>
  <c r="AM849" i="1" s="1"/>
  <c r="AJ850" i="1"/>
  <c r="AK850" i="1" s="1"/>
  <c r="AL850" i="1" s="1"/>
  <c r="AM850" i="1" s="1"/>
  <c r="AJ851" i="1"/>
  <c r="AK851" i="1" s="1"/>
  <c r="AL851" i="1" s="1"/>
  <c r="AM851" i="1" s="1"/>
  <c r="AJ852" i="1"/>
  <c r="AK852" i="1" s="1"/>
  <c r="AL852" i="1" s="1"/>
  <c r="AM852" i="1" s="1"/>
  <c r="AJ853" i="1"/>
  <c r="AK853" i="1" s="1"/>
  <c r="AL853" i="1" s="1"/>
  <c r="AM853" i="1" s="1"/>
  <c r="AJ854" i="1"/>
  <c r="AK854" i="1" s="1"/>
  <c r="AL854" i="1" s="1"/>
  <c r="AM854" i="1" s="1"/>
  <c r="AJ855" i="1"/>
  <c r="AK855" i="1" s="1"/>
  <c r="AL855" i="1" s="1"/>
  <c r="AM855" i="1" s="1"/>
  <c r="AJ856" i="1"/>
  <c r="AK856" i="1" s="1"/>
  <c r="AL856" i="1" s="1"/>
  <c r="AM856" i="1" s="1"/>
  <c r="AJ857" i="1"/>
  <c r="AK857" i="1" s="1"/>
  <c r="AL857" i="1" s="1"/>
  <c r="AM857" i="1" s="1"/>
  <c r="AJ858" i="1"/>
  <c r="AK858" i="1" s="1"/>
  <c r="AL858" i="1" s="1"/>
  <c r="AM858" i="1" s="1"/>
  <c r="AJ859" i="1"/>
  <c r="AK859" i="1" s="1"/>
  <c r="AL859" i="1" s="1"/>
  <c r="AM859" i="1" s="1"/>
  <c r="AJ860" i="1"/>
  <c r="AK860" i="1" s="1"/>
  <c r="AL860" i="1" s="1"/>
  <c r="AM860" i="1" s="1"/>
  <c r="AJ861" i="1"/>
  <c r="AK861" i="1" s="1"/>
  <c r="AL861" i="1" s="1"/>
  <c r="AM861" i="1" s="1"/>
  <c r="AJ862" i="1"/>
  <c r="AK862" i="1" s="1"/>
  <c r="AL862" i="1" s="1"/>
  <c r="AM862" i="1" s="1"/>
  <c r="AJ863" i="1"/>
  <c r="AK863" i="1" s="1"/>
  <c r="AL863" i="1" s="1"/>
  <c r="AM863" i="1" s="1"/>
  <c r="AJ864" i="1"/>
  <c r="AK864" i="1" s="1"/>
  <c r="AL864" i="1" s="1"/>
  <c r="AM864" i="1" s="1"/>
  <c r="AJ865" i="1"/>
  <c r="AK865" i="1" s="1"/>
  <c r="AL865" i="1" s="1"/>
  <c r="AM865" i="1" s="1"/>
  <c r="AJ866" i="1"/>
  <c r="AK866" i="1" s="1"/>
  <c r="AL866" i="1" s="1"/>
  <c r="AM866" i="1" s="1"/>
  <c r="AJ867" i="1"/>
  <c r="AK867" i="1" s="1"/>
  <c r="AL867" i="1" s="1"/>
  <c r="AM867" i="1" s="1"/>
  <c r="AJ868" i="1"/>
  <c r="AK868" i="1" s="1"/>
  <c r="AL868" i="1" s="1"/>
  <c r="AM868" i="1" s="1"/>
  <c r="AJ869" i="1"/>
  <c r="AK869" i="1" s="1"/>
  <c r="AL869" i="1" s="1"/>
  <c r="AM869" i="1" s="1"/>
  <c r="AJ870" i="1"/>
  <c r="AK870" i="1" s="1"/>
  <c r="AL870" i="1" s="1"/>
  <c r="AM870" i="1" s="1"/>
  <c r="AJ871" i="1"/>
  <c r="AK871" i="1" s="1"/>
  <c r="AL871" i="1" s="1"/>
  <c r="AM871" i="1" s="1"/>
  <c r="AJ872" i="1"/>
  <c r="AK872" i="1" s="1"/>
  <c r="AL872" i="1" s="1"/>
  <c r="AM872" i="1" s="1"/>
  <c r="AJ873" i="1"/>
  <c r="AK873" i="1" s="1"/>
  <c r="AL873" i="1" s="1"/>
  <c r="AM873" i="1" s="1"/>
  <c r="AJ874" i="1"/>
  <c r="AK874" i="1" s="1"/>
  <c r="AL874" i="1" s="1"/>
  <c r="AM874" i="1" s="1"/>
  <c r="AJ875" i="1"/>
  <c r="AK875" i="1" s="1"/>
  <c r="AL875" i="1" s="1"/>
  <c r="AM875" i="1" s="1"/>
  <c r="AJ876" i="1"/>
  <c r="AK876" i="1" s="1"/>
  <c r="AL876" i="1" s="1"/>
  <c r="AM876" i="1" s="1"/>
  <c r="AJ877" i="1"/>
  <c r="AK877" i="1" s="1"/>
  <c r="AL877" i="1" s="1"/>
  <c r="AM877" i="1" s="1"/>
  <c r="AJ878" i="1"/>
  <c r="AK878" i="1" s="1"/>
  <c r="AL878" i="1" s="1"/>
  <c r="AM878" i="1" s="1"/>
  <c r="AJ879" i="1"/>
  <c r="AK879" i="1" s="1"/>
  <c r="AL879" i="1" s="1"/>
  <c r="AM879" i="1" s="1"/>
  <c r="AJ880" i="1"/>
  <c r="AK880" i="1" s="1"/>
  <c r="AL880" i="1" s="1"/>
  <c r="AM880" i="1" s="1"/>
  <c r="AJ881" i="1"/>
  <c r="AK881" i="1" s="1"/>
  <c r="AL881" i="1" s="1"/>
  <c r="AM881" i="1" s="1"/>
  <c r="AJ882" i="1"/>
  <c r="AK882" i="1" s="1"/>
  <c r="AL882" i="1" s="1"/>
  <c r="AM882" i="1" s="1"/>
  <c r="AJ883" i="1"/>
  <c r="AK883" i="1" s="1"/>
  <c r="AL883" i="1" s="1"/>
  <c r="AM883" i="1" s="1"/>
  <c r="AJ884" i="1"/>
  <c r="AK884" i="1" s="1"/>
  <c r="AL884" i="1" s="1"/>
  <c r="AM884" i="1" s="1"/>
  <c r="AJ885" i="1"/>
  <c r="AK885" i="1" s="1"/>
  <c r="AL885" i="1" s="1"/>
  <c r="AM885" i="1" s="1"/>
  <c r="AJ886" i="1"/>
  <c r="AK886" i="1" s="1"/>
  <c r="AL886" i="1" s="1"/>
  <c r="AM886" i="1" s="1"/>
  <c r="AJ887" i="1"/>
  <c r="AK887" i="1" s="1"/>
  <c r="AL887" i="1" s="1"/>
  <c r="AM887" i="1" s="1"/>
  <c r="AJ888" i="1"/>
  <c r="AK888" i="1" s="1"/>
  <c r="AL888" i="1" s="1"/>
  <c r="AM888" i="1" s="1"/>
  <c r="AJ889" i="1"/>
  <c r="AK889" i="1" s="1"/>
  <c r="AL889" i="1" s="1"/>
  <c r="AM889" i="1" s="1"/>
  <c r="AJ890" i="1"/>
  <c r="AK890" i="1" s="1"/>
  <c r="AL890" i="1" s="1"/>
  <c r="AM890" i="1" s="1"/>
  <c r="AJ891" i="1"/>
  <c r="AK891" i="1" s="1"/>
  <c r="AL891" i="1" s="1"/>
  <c r="AM891" i="1" s="1"/>
  <c r="AJ892" i="1"/>
  <c r="AK892" i="1" s="1"/>
  <c r="AL892" i="1" s="1"/>
  <c r="AM892" i="1" s="1"/>
  <c r="AJ893" i="1"/>
  <c r="AK893" i="1" s="1"/>
  <c r="AL893" i="1" s="1"/>
  <c r="AM893" i="1" s="1"/>
  <c r="AJ894" i="1"/>
  <c r="AK894" i="1" s="1"/>
  <c r="AL894" i="1" s="1"/>
  <c r="AM894" i="1" s="1"/>
  <c r="AJ895" i="1"/>
  <c r="AK895" i="1" s="1"/>
  <c r="AL895" i="1" s="1"/>
  <c r="AM895" i="1" s="1"/>
  <c r="AJ896" i="1"/>
  <c r="AK896" i="1" s="1"/>
  <c r="AL896" i="1" s="1"/>
  <c r="AM896" i="1" s="1"/>
  <c r="AJ897" i="1"/>
  <c r="AK897" i="1" s="1"/>
  <c r="AL897" i="1" s="1"/>
  <c r="AM897" i="1" s="1"/>
  <c r="AJ898" i="1"/>
  <c r="AK898" i="1" s="1"/>
  <c r="AL898" i="1" s="1"/>
  <c r="AM898" i="1" s="1"/>
  <c r="AJ899" i="1"/>
  <c r="AK899" i="1" s="1"/>
  <c r="AL899" i="1" s="1"/>
  <c r="AM899" i="1" s="1"/>
  <c r="AJ900" i="1"/>
  <c r="AK900" i="1" s="1"/>
  <c r="AL900" i="1" s="1"/>
  <c r="AM900" i="1" s="1"/>
  <c r="AJ901" i="1"/>
  <c r="AK901" i="1" s="1"/>
  <c r="AL901" i="1" s="1"/>
  <c r="AM901" i="1" s="1"/>
  <c r="AJ3" i="1"/>
  <c r="AK3" i="1" s="1"/>
  <c r="AL3" i="1" s="1"/>
  <c r="AM3" i="1" s="1"/>
  <c r="AJ4" i="1"/>
  <c r="AK4" i="1" s="1"/>
  <c r="AL4" i="1" s="1"/>
  <c r="AM4" i="1" s="1"/>
  <c r="AJ5" i="1"/>
  <c r="AK5" i="1" s="1"/>
  <c r="AL5" i="1" s="1"/>
  <c r="AM5" i="1" s="1"/>
  <c r="AJ6" i="1"/>
  <c r="AK6" i="1" s="1"/>
  <c r="AL6" i="1" s="1"/>
  <c r="AM6" i="1" s="1"/>
  <c r="AJ7" i="1"/>
  <c r="AK7" i="1" s="1"/>
  <c r="AL7" i="1" s="1"/>
  <c r="AM7" i="1" s="1"/>
  <c r="AJ8" i="1"/>
  <c r="AK8" i="1" s="1"/>
  <c r="AL8" i="1" s="1"/>
  <c r="AM8" i="1" s="1"/>
  <c r="AJ9" i="1"/>
  <c r="AK9" i="1" s="1"/>
  <c r="AL9" i="1" s="1"/>
  <c r="AM9" i="1" s="1"/>
  <c r="AJ10" i="1"/>
  <c r="AK10" i="1" s="1"/>
  <c r="AL10" i="1" s="1"/>
  <c r="AM10" i="1" s="1"/>
  <c r="AJ11" i="1"/>
  <c r="AK11" i="1" s="1"/>
  <c r="AL11" i="1" s="1"/>
  <c r="AM11" i="1" s="1"/>
  <c r="AJ12" i="1"/>
  <c r="AK12" i="1" s="1"/>
  <c r="AL12" i="1" s="1"/>
  <c r="AM12" i="1" s="1"/>
  <c r="AJ13" i="1"/>
  <c r="AK13" i="1" s="1"/>
  <c r="AL13" i="1" s="1"/>
  <c r="AM13" i="1" s="1"/>
  <c r="AJ2" i="1"/>
  <c r="AK2" i="1" s="1"/>
  <c r="AL2" i="1" s="1"/>
  <c r="AM2" i="1" s="1"/>
  <c r="AI901" i="1"/>
  <c r="AH901" i="1"/>
  <c r="AG901" i="1"/>
  <c r="AF901" i="1"/>
  <c r="AE901" i="1"/>
  <c r="AD901" i="1"/>
  <c r="AC901" i="1"/>
  <c r="AB901" i="1"/>
  <c r="AI900" i="1"/>
  <c r="AH900" i="1"/>
  <c r="AG900" i="1"/>
  <c r="AF900" i="1"/>
  <c r="AE900" i="1"/>
  <c r="AD900" i="1"/>
  <c r="AC900" i="1"/>
  <c r="AB900" i="1"/>
  <c r="AI899" i="1"/>
  <c r="AH899" i="1"/>
  <c r="AG899" i="1"/>
  <c r="AF899" i="1"/>
  <c r="AE899" i="1"/>
  <c r="AD899" i="1"/>
  <c r="AC899" i="1"/>
  <c r="AB899" i="1"/>
  <c r="AI898" i="1"/>
  <c r="AH898" i="1"/>
  <c r="AG898" i="1"/>
  <c r="AF898" i="1"/>
  <c r="AE898" i="1"/>
  <c r="AD898" i="1"/>
  <c r="AC898" i="1"/>
  <c r="AB898" i="1"/>
  <c r="AI897" i="1"/>
  <c r="AH897" i="1"/>
  <c r="AG897" i="1"/>
  <c r="AF897" i="1"/>
  <c r="AE897" i="1"/>
  <c r="AD897" i="1"/>
  <c r="AC897" i="1"/>
  <c r="AB897" i="1"/>
  <c r="AI896" i="1"/>
  <c r="AH896" i="1"/>
  <c r="AG896" i="1"/>
  <c r="AF896" i="1"/>
  <c r="AE896" i="1"/>
  <c r="AD896" i="1"/>
  <c r="AC896" i="1"/>
  <c r="AB896" i="1"/>
  <c r="AI895" i="1"/>
  <c r="AH895" i="1"/>
  <c r="AG895" i="1"/>
  <c r="AF895" i="1"/>
  <c r="AE895" i="1"/>
  <c r="AD895" i="1"/>
  <c r="AC895" i="1"/>
  <c r="AB895" i="1"/>
  <c r="AI894" i="1"/>
  <c r="AH894" i="1"/>
  <c r="AG894" i="1"/>
  <c r="AF894" i="1"/>
  <c r="AE894" i="1"/>
  <c r="AD894" i="1"/>
  <c r="AC894" i="1"/>
  <c r="AB894" i="1"/>
  <c r="AI893" i="1"/>
  <c r="AH893" i="1"/>
  <c r="AG893" i="1"/>
  <c r="AF893" i="1"/>
  <c r="AE893" i="1"/>
  <c r="AD893" i="1"/>
  <c r="AC893" i="1"/>
  <c r="AB893" i="1"/>
  <c r="AI892" i="1"/>
  <c r="AH892" i="1"/>
  <c r="AG892" i="1"/>
  <c r="AF892" i="1"/>
  <c r="AE892" i="1"/>
  <c r="AD892" i="1"/>
  <c r="AC892" i="1"/>
  <c r="AB892" i="1"/>
  <c r="AI891" i="1"/>
  <c r="AH891" i="1"/>
  <c r="AG891" i="1"/>
  <c r="AF891" i="1"/>
  <c r="AE891" i="1"/>
  <c r="AD891" i="1"/>
  <c r="AC891" i="1"/>
  <c r="AB891" i="1"/>
  <c r="AI890" i="1"/>
  <c r="AH890" i="1"/>
  <c r="AG890" i="1"/>
  <c r="AF890" i="1"/>
  <c r="AE890" i="1"/>
  <c r="AD890" i="1"/>
  <c r="AC890" i="1"/>
  <c r="AB890" i="1"/>
  <c r="AI889" i="1"/>
  <c r="AH889" i="1"/>
  <c r="AG889" i="1"/>
  <c r="AF889" i="1"/>
  <c r="AE889" i="1"/>
  <c r="AD889" i="1"/>
  <c r="AC889" i="1"/>
  <c r="AB889" i="1"/>
  <c r="AI888" i="1"/>
  <c r="AH888" i="1"/>
  <c r="AG888" i="1"/>
  <c r="AF888" i="1"/>
  <c r="AE888" i="1"/>
  <c r="AD888" i="1"/>
  <c r="AC888" i="1"/>
  <c r="AB888" i="1"/>
  <c r="AI887" i="1"/>
  <c r="AH887" i="1"/>
  <c r="AG887" i="1"/>
  <c r="AF887" i="1"/>
  <c r="AE887" i="1"/>
  <c r="AD887" i="1"/>
  <c r="AC887" i="1"/>
  <c r="AB887" i="1"/>
  <c r="AI886" i="1"/>
  <c r="AH886" i="1"/>
  <c r="AG886" i="1"/>
  <c r="AF886" i="1"/>
  <c r="AE886" i="1"/>
  <c r="AD886" i="1"/>
  <c r="AC886" i="1"/>
  <c r="AB886" i="1"/>
  <c r="AI885" i="1"/>
  <c r="AH885" i="1"/>
  <c r="AG885" i="1"/>
  <c r="AF885" i="1"/>
  <c r="AE885" i="1"/>
  <c r="AD885" i="1"/>
  <c r="AC885" i="1"/>
  <c r="AB885" i="1"/>
  <c r="AI884" i="1"/>
  <c r="AH884" i="1"/>
  <c r="AG884" i="1"/>
  <c r="AF884" i="1"/>
  <c r="AE884" i="1"/>
  <c r="AD884" i="1"/>
  <c r="AC884" i="1"/>
  <c r="AB884" i="1"/>
  <c r="AI883" i="1"/>
  <c r="AH883" i="1"/>
  <c r="AG883" i="1"/>
  <c r="AF883" i="1"/>
  <c r="AE883" i="1"/>
  <c r="AD883" i="1"/>
  <c r="AC883" i="1"/>
  <c r="AB883" i="1"/>
  <c r="AI882" i="1"/>
  <c r="AH882" i="1"/>
  <c r="AG882" i="1"/>
  <c r="AF882" i="1"/>
  <c r="AE882" i="1"/>
  <c r="AD882" i="1"/>
  <c r="AB882" i="1"/>
  <c r="AI881" i="1"/>
  <c r="AH881" i="1"/>
  <c r="AG881" i="1"/>
  <c r="AF881" i="1"/>
  <c r="AE881" i="1"/>
  <c r="AD881" i="1"/>
  <c r="AC881" i="1"/>
  <c r="AB881" i="1"/>
  <c r="AI880" i="1"/>
  <c r="AH880" i="1"/>
  <c r="AG880" i="1"/>
  <c r="AF880" i="1"/>
  <c r="AE880" i="1"/>
  <c r="AD880" i="1"/>
  <c r="AC880" i="1"/>
  <c r="AB880" i="1"/>
  <c r="AI879" i="1"/>
  <c r="AH879" i="1"/>
  <c r="AG879" i="1"/>
  <c r="AF879" i="1"/>
  <c r="AE879" i="1"/>
  <c r="AD879" i="1"/>
  <c r="AC879" i="1"/>
  <c r="AB879" i="1"/>
  <c r="AI878" i="1"/>
  <c r="AH878" i="1"/>
  <c r="AG878" i="1"/>
  <c r="AF878" i="1"/>
  <c r="AE878" i="1"/>
  <c r="AD878" i="1"/>
  <c r="AC878" i="1"/>
  <c r="AB878" i="1"/>
  <c r="AI877" i="1"/>
  <c r="AH877" i="1"/>
  <c r="AG877" i="1"/>
  <c r="AF877" i="1"/>
  <c r="AE877" i="1"/>
  <c r="AD877" i="1"/>
  <c r="AC877" i="1"/>
  <c r="AB877" i="1"/>
  <c r="AI876" i="1"/>
  <c r="AH876" i="1"/>
  <c r="AG876" i="1"/>
  <c r="AF876" i="1"/>
  <c r="AE876" i="1"/>
  <c r="AD876" i="1"/>
  <c r="AC876" i="1"/>
  <c r="AB876" i="1"/>
  <c r="AI875" i="1"/>
  <c r="AH875" i="1"/>
  <c r="AG875" i="1"/>
  <c r="AF875" i="1"/>
  <c r="AE875" i="1"/>
  <c r="AD875" i="1"/>
  <c r="AC875" i="1"/>
  <c r="AB875" i="1"/>
  <c r="AI874" i="1"/>
  <c r="AH874" i="1"/>
  <c r="AG874" i="1"/>
  <c r="AF874" i="1"/>
  <c r="AE874" i="1"/>
  <c r="AD874" i="1"/>
  <c r="AC874" i="1"/>
  <c r="AB874" i="1"/>
  <c r="AI873" i="1"/>
  <c r="AH873" i="1"/>
  <c r="AG873" i="1"/>
  <c r="AF873" i="1"/>
  <c r="AE873" i="1"/>
  <c r="AD873" i="1"/>
  <c r="AC873" i="1"/>
  <c r="AB873" i="1"/>
  <c r="AI872" i="1"/>
  <c r="AH872" i="1"/>
  <c r="AG872" i="1"/>
  <c r="AF872" i="1"/>
  <c r="AE872" i="1"/>
  <c r="AD872" i="1"/>
  <c r="AC872" i="1"/>
  <c r="AB872" i="1"/>
  <c r="AI871" i="1"/>
  <c r="AH871" i="1"/>
  <c r="AG871" i="1"/>
  <c r="AF871" i="1"/>
  <c r="AE871" i="1"/>
  <c r="AD871" i="1"/>
  <c r="AB871" i="1"/>
  <c r="AI870" i="1"/>
  <c r="AH870" i="1"/>
  <c r="AG870" i="1"/>
  <c r="AF870" i="1"/>
  <c r="AE870" i="1"/>
  <c r="AD870" i="1"/>
  <c r="AC870" i="1"/>
  <c r="AB870" i="1"/>
  <c r="AI869" i="1"/>
  <c r="AH869" i="1"/>
  <c r="AG869" i="1"/>
  <c r="AF869" i="1"/>
  <c r="AE869" i="1"/>
  <c r="AD869" i="1"/>
  <c r="AC869" i="1"/>
  <c r="AB869" i="1"/>
  <c r="AI868" i="1"/>
  <c r="AH868" i="1"/>
  <c r="AG868" i="1"/>
  <c r="AF868" i="1"/>
  <c r="AE868" i="1"/>
  <c r="AD868" i="1"/>
  <c r="AC868" i="1"/>
  <c r="AB868" i="1"/>
  <c r="AI867" i="1"/>
  <c r="AH867" i="1"/>
  <c r="AG867" i="1"/>
  <c r="AF867" i="1"/>
  <c r="AE867" i="1"/>
  <c r="AD867" i="1"/>
  <c r="AC867" i="1"/>
  <c r="AB867" i="1"/>
  <c r="AI866" i="1"/>
  <c r="AH866" i="1"/>
  <c r="AG866" i="1"/>
  <c r="AF866" i="1"/>
  <c r="AE866" i="1"/>
  <c r="AD866" i="1"/>
  <c r="AC866" i="1"/>
  <c r="AB866" i="1"/>
  <c r="AI865" i="1"/>
  <c r="AH865" i="1"/>
  <c r="AG865" i="1"/>
  <c r="AF865" i="1"/>
  <c r="AE865" i="1"/>
  <c r="AD865" i="1"/>
  <c r="AC865" i="1"/>
  <c r="AB865" i="1"/>
  <c r="AI864" i="1"/>
  <c r="AH864" i="1"/>
  <c r="AG864" i="1"/>
  <c r="AF864" i="1"/>
  <c r="AE864" i="1"/>
  <c r="AD864" i="1"/>
  <c r="AC864" i="1"/>
  <c r="AB864" i="1"/>
  <c r="AI863" i="1"/>
  <c r="AH863" i="1"/>
  <c r="AG863" i="1"/>
  <c r="AF863" i="1"/>
  <c r="AE863" i="1"/>
  <c r="AD863" i="1"/>
  <c r="AC863" i="1"/>
  <c r="AB863" i="1"/>
  <c r="AI862" i="1"/>
  <c r="AH862" i="1"/>
  <c r="AG862" i="1"/>
  <c r="AF862" i="1"/>
  <c r="AE862" i="1"/>
  <c r="AD862" i="1"/>
  <c r="AC862" i="1"/>
  <c r="AB862" i="1"/>
  <c r="AI861" i="1"/>
  <c r="AH861" i="1"/>
  <c r="AG861" i="1"/>
  <c r="AF861" i="1"/>
  <c r="AE861" i="1"/>
  <c r="AD861" i="1"/>
  <c r="AC861" i="1"/>
  <c r="AB861" i="1"/>
  <c r="AI860" i="1"/>
  <c r="AH860" i="1"/>
  <c r="AG860" i="1"/>
  <c r="AF860" i="1"/>
  <c r="AE860" i="1"/>
  <c r="AD860" i="1"/>
  <c r="AC860" i="1"/>
  <c r="AB860" i="1"/>
  <c r="AI859" i="1"/>
  <c r="AH859" i="1"/>
  <c r="AG859" i="1"/>
  <c r="AF859" i="1"/>
  <c r="AE859" i="1"/>
  <c r="AD859" i="1"/>
  <c r="AC859" i="1"/>
  <c r="AB859" i="1"/>
  <c r="AI858" i="1"/>
  <c r="AH858" i="1"/>
  <c r="AG858" i="1"/>
  <c r="AF858" i="1"/>
  <c r="AE858" i="1"/>
  <c r="AD858" i="1"/>
  <c r="AC858" i="1"/>
  <c r="AB858" i="1"/>
  <c r="AI857" i="1"/>
  <c r="AH857" i="1"/>
  <c r="AG857" i="1"/>
  <c r="AF857" i="1"/>
  <c r="AE857" i="1"/>
  <c r="AD857" i="1"/>
  <c r="AC857" i="1"/>
  <c r="AB857" i="1"/>
  <c r="AI856" i="1"/>
  <c r="AH856" i="1"/>
  <c r="AG856" i="1"/>
  <c r="AF856" i="1"/>
  <c r="AE856" i="1"/>
  <c r="AD856" i="1"/>
  <c r="AC856" i="1"/>
  <c r="AB856" i="1"/>
  <c r="AI855" i="1"/>
  <c r="AH855" i="1"/>
  <c r="AG855" i="1"/>
  <c r="AF855" i="1"/>
  <c r="AE855" i="1"/>
  <c r="AD855" i="1"/>
  <c r="AC855" i="1"/>
  <c r="AB855" i="1"/>
  <c r="AI854" i="1"/>
  <c r="AH854" i="1"/>
  <c r="AG854" i="1"/>
  <c r="AF854" i="1"/>
  <c r="AE854" i="1"/>
  <c r="AD854" i="1"/>
  <c r="AC854" i="1"/>
  <c r="AB854" i="1"/>
  <c r="AI853" i="1"/>
  <c r="AH853" i="1"/>
  <c r="AG853" i="1"/>
  <c r="AF853" i="1"/>
  <c r="AE853" i="1"/>
  <c r="AD853" i="1"/>
  <c r="AC853" i="1"/>
  <c r="AB853" i="1"/>
  <c r="AI852" i="1"/>
  <c r="AH852" i="1"/>
  <c r="AG852" i="1"/>
  <c r="AF852" i="1"/>
  <c r="AE852" i="1"/>
  <c r="AD852" i="1"/>
  <c r="AC852" i="1"/>
  <c r="AB852" i="1"/>
  <c r="AI851" i="1"/>
  <c r="AH851" i="1"/>
  <c r="AG851" i="1"/>
  <c r="AF851" i="1"/>
  <c r="AE851" i="1"/>
  <c r="AD851" i="1"/>
  <c r="AC851" i="1"/>
  <c r="AB851" i="1"/>
  <c r="AI850" i="1"/>
  <c r="AH850" i="1"/>
  <c r="AG850" i="1"/>
  <c r="AF850" i="1"/>
  <c r="AE850" i="1"/>
  <c r="AD850" i="1"/>
  <c r="AC850" i="1"/>
  <c r="AB850" i="1"/>
  <c r="AI849" i="1"/>
  <c r="AH849" i="1"/>
  <c r="AG849" i="1"/>
  <c r="AF849" i="1"/>
  <c r="AE849" i="1"/>
  <c r="AD849" i="1"/>
  <c r="AC849" i="1"/>
  <c r="AB849" i="1"/>
  <c r="AI848" i="1"/>
  <c r="AH848" i="1"/>
  <c r="AG848" i="1"/>
  <c r="AF848" i="1"/>
  <c r="AE848" i="1"/>
  <c r="AD848" i="1"/>
  <c r="AC848" i="1"/>
  <c r="AB848" i="1"/>
  <c r="AI847" i="1"/>
  <c r="AH847" i="1"/>
  <c r="AG847" i="1"/>
  <c r="AF847" i="1"/>
  <c r="AE847" i="1"/>
  <c r="AD847" i="1"/>
  <c r="AC847" i="1"/>
  <c r="AB847" i="1"/>
  <c r="AI846" i="1"/>
  <c r="AH846" i="1"/>
  <c r="AG846" i="1"/>
  <c r="AF846" i="1"/>
  <c r="AE846" i="1"/>
  <c r="AD846" i="1"/>
  <c r="AC846" i="1"/>
  <c r="AB846" i="1"/>
  <c r="AI845" i="1"/>
  <c r="AH845" i="1"/>
  <c r="AG845" i="1"/>
  <c r="AF845" i="1"/>
  <c r="AE845" i="1"/>
  <c r="AD845" i="1"/>
  <c r="AC845" i="1"/>
  <c r="AB845" i="1"/>
  <c r="AI844" i="1"/>
  <c r="AH844" i="1"/>
  <c r="AG844" i="1"/>
  <c r="AF844" i="1"/>
  <c r="AE844" i="1"/>
  <c r="AD844" i="1"/>
  <c r="AC844" i="1"/>
  <c r="AB844" i="1"/>
  <c r="AI843" i="1"/>
  <c r="AH843" i="1"/>
  <c r="AG843" i="1"/>
  <c r="AF843" i="1"/>
  <c r="AE843" i="1"/>
  <c r="AD843" i="1"/>
  <c r="AC843" i="1"/>
  <c r="AB843" i="1"/>
  <c r="AI842" i="1"/>
  <c r="AH842" i="1"/>
  <c r="AG842" i="1"/>
  <c r="AF842" i="1"/>
  <c r="AE842" i="1"/>
  <c r="AD842" i="1"/>
  <c r="AC842" i="1"/>
  <c r="AB842" i="1"/>
  <c r="AI841" i="1"/>
  <c r="AH841" i="1"/>
  <c r="AG841" i="1"/>
  <c r="AF841" i="1"/>
  <c r="AE841" i="1"/>
  <c r="AD841" i="1"/>
  <c r="AC841" i="1"/>
  <c r="AB841" i="1"/>
  <c r="AI840" i="1"/>
  <c r="AH840" i="1"/>
  <c r="AG840" i="1"/>
  <c r="AF840" i="1"/>
  <c r="AE840" i="1"/>
  <c r="AD840" i="1"/>
  <c r="AC840" i="1"/>
  <c r="AB840" i="1"/>
  <c r="AI839" i="1"/>
  <c r="AH839" i="1"/>
  <c r="AG839" i="1"/>
  <c r="AF839" i="1"/>
  <c r="AE839" i="1"/>
  <c r="AD839" i="1"/>
  <c r="AC839" i="1"/>
  <c r="AB839" i="1"/>
  <c r="AI838" i="1"/>
  <c r="AH838" i="1"/>
  <c r="AG838" i="1"/>
  <c r="AF838" i="1"/>
  <c r="AE838" i="1"/>
  <c r="AD838" i="1"/>
  <c r="AC838" i="1"/>
  <c r="AB838" i="1"/>
  <c r="AI837" i="1"/>
  <c r="AH837" i="1"/>
  <c r="AG837" i="1"/>
  <c r="AF837" i="1"/>
  <c r="AE837" i="1"/>
  <c r="AD837" i="1"/>
  <c r="AC837" i="1"/>
  <c r="AB837" i="1"/>
  <c r="AI836" i="1"/>
  <c r="AH836" i="1"/>
  <c r="AG836" i="1"/>
  <c r="AF836" i="1"/>
  <c r="AE836" i="1"/>
  <c r="AD836" i="1"/>
  <c r="AC836" i="1"/>
  <c r="AB836" i="1"/>
  <c r="AI835" i="1"/>
  <c r="AH835" i="1"/>
  <c r="AG835" i="1"/>
  <c r="AF835" i="1"/>
  <c r="AE835" i="1"/>
  <c r="AD835" i="1"/>
  <c r="AC835" i="1"/>
  <c r="AB835" i="1"/>
  <c r="AI834" i="1"/>
  <c r="AH834" i="1"/>
  <c r="AG834" i="1"/>
  <c r="AF834" i="1"/>
  <c r="AE834" i="1"/>
  <c r="AD834" i="1"/>
  <c r="AC834" i="1"/>
  <c r="AB834" i="1"/>
  <c r="AI833" i="1"/>
  <c r="AH833" i="1"/>
  <c r="AG833" i="1"/>
  <c r="AF833" i="1"/>
  <c r="AE833" i="1"/>
  <c r="AD833" i="1"/>
  <c r="AB833" i="1"/>
  <c r="AI832" i="1"/>
  <c r="AH832" i="1"/>
  <c r="AG832" i="1"/>
  <c r="AF832" i="1"/>
  <c r="AE832" i="1"/>
  <c r="AD832" i="1"/>
  <c r="AB832" i="1"/>
  <c r="AI831" i="1"/>
  <c r="AH831" i="1"/>
  <c r="AG831" i="1"/>
  <c r="AF831" i="1"/>
  <c r="AE831" i="1"/>
  <c r="AD831" i="1"/>
  <c r="AC831" i="1"/>
  <c r="AB831" i="1"/>
  <c r="AI830" i="1"/>
  <c r="AH830" i="1"/>
  <c r="AG830" i="1"/>
  <c r="AF830" i="1"/>
  <c r="AE830" i="1"/>
  <c r="AD830" i="1"/>
  <c r="AC830" i="1"/>
  <c r="AB830" i="1"/>
  <c r="AI829" i="1"/>
  <c r="AH829" i="1"/>
  <c r="AG829" i="1"/>
  <c r="AF829" i="1"/>
  <c r="AE829" i="1"/>
  <c r="AD829" i="1"/>
  <c r="AC829" i="1"/>
  <c r="AB829" i="1"/>
  <c r="AI828" i="1"/>
  <c r="AH828" i="1"/>
  <c r="AG828" i="1"/>
  <c r="AF828" i="1"/>
  <c r="AE828" i="1"/>
  <c r="AD828" i="1"/>
  <c r="AC828" i="1"/>
  <c r="AB828" i="1"/>
  <c r="AI827" i="1"/>
  <c r="AH827" i="1"/>
  <c r="AG827" i="1"/>
  <c r="AF827" i="1"/>
  <c r="AE827" i="1"/>
  <c r="AD827" i="1"/>
  <c r="AC827" i="1"/>
  <c r="AB827" i="1"/>
  <c r="AI826" i="1"/>
  <c r="AH826" i="1"/>
  <c r="AG826" i="1"/>
  <c r="AF826" i="1"/>
  <c r="AE826" i="1"/>
  <c r="AD826" i="1"/>
  <c r="AC826" i="1"/>
  <c r="AB826" i="1"/>
  <c r="AI825" i="1"/>
  <c r="AH825" i="1"/>
  <c r="AG825" i="1"/>
  <c r="AF825" i="1"/>
  <c r="AE825" i="1"/>
  <c r="AD825" i="1"/>
  <c r="AC825" i="1"/>
  <c r="AB825" i="1"/>
  <c r="AI824" i="1"/>
  <c r="AH824" i="1"/>
  <c r="AG824" i="1"/>
  <c r="AF824" i="1"/>
  <c r="AE824" i="1"/>
  <c r="AD824" i="1"/>
  <c r="AC824" i="1"/>
  <c r="AB824" i="1"/>
  <c r="AI823" i="1"/>
  <c r="AH823" i="1"/>
  <c r="AG823" i="1"/>
  <c r="AF823" i="1"/>
  <c r="AE823" i="1"/>
  <c r="AD823" i="1"/>
  <c r="AC823" i="1"/>
  <c r="AB823" i="1"/>
  <c r="AI822" i="1"/>
  <c r="AH822" i="1"/>
  <c r="AG822" i="1"/>
  <c r="AF822" i="1"/>
  <c r="AE822" i="1"/>
  <c r="AD822" i="1"/>
  <c r="AC822" i="1"/>
  <c r="AB822" i="1"/>
  <c r="AI821" i="1"/>
  <c r="AH821" i="1"/>
  <c r="AG821" i="1"/>
  <c r="AF821" i="1"/>
  <c r="AE821" i="1"/>
  <c r="AD821" i="1"/>
  <c r="AC821" i="1"/>
  <c r="AB821" i="1"/>
  <c r="AI820" i="1"/>
  <c r="AH820" i="1"/>
  <c r="AG820" i="1"/>
  <c r="AF820" i="1"/>
  <c r="AE820" i="1"/>
  <c r="AD820" i="1"/>
  <c r="AC820" i="1"/>
  <c r="AB820" i="1"/>
  <c r="AI819" i="1"/>
  <c r="AH819" i="1"/>
  <c r="AG819" i="1"/>
  <c r="AF819" i="1"/>
  <c r="AE819" i="1"/>
  <c r="AD819" i="1"/>
  <c r="AC819" i="1"/>
  <c r="AB819" i="1"/>
  <c r="AI818" i="1"/>
  <c r="AH818" i="1"/>
  <c r="AG818" i="1"/>
  <c r="AF818" i="1"/>
  <c r="AE818" i="1"/>
  <c r="AD818" i="1"/>
  <c r="AC818" i="1"/>
  <c r="AB818" i="1"/>
  <c r="AI817" i="1"/>
  <c r="AH817" i="1"/>
  <c r="AG817" i="1"/>
  <c r="AF817" i="1"/>
  <c r="AE817" i="1"/>
  <c r="AD817" i="1"/>
  <c r="AC817" i="1"/>
  <c r="AB817" i="1"/>
  <c r="AI816" i="1"/>
  <c r="AH816" i="1"/>
  <c r="AG816" i="1"/>
  <c r="AF816" i="1"/>
  <c r="AE816" i="1"/>
  <c r="AD816" i="1"/>
  <c r="AC816" i="1"/>
  <c r="AB816" i="1"/>
  <c r="AI815" i="1"/>
  <c r="AH815" i="1"/>
  <c r="AG815" i="1"/>
  <c r="AF815" i="1"/>
  <c r="AE815" i="1"/>
  <c r="AD815" i="1"/>
  <c r="AC815" i="1"/>
  <c r="AB815" i="1"/>
  <c r="AI814" i="1"/>
  <c r="AH814" i="1"/>
  <c r="AG814" i="1"/>
  <c r="AF814" i="1"/>
  <c r="AE814" i="1"/>
  <c r="AD814" i="1"/>
  <c r="AC814" i="1"/>
  <c r="AB814" i="1"/>
  <c r="AI813" i="1"/>
  <c r="AH813" i="1"/>
  <c r="AG813" i="1"/>
  <c r="AF813" i="1"/>
  <c r="AE813" i="1"/>
  <c r="AD813" i="1"/>
  <c r="AC813" i="1"/>
  <c r="AB813" i="1"/>
  <c r="AI812" i="1"/>
  <c r="AH812" i="1"/>
  <c r="AG812" i="1"/>
  <c r="AF812" i="1"/>
  <c r="AE812" i="1"/>
  <c r="AD812" i="1"/>
  <c r="AC812" i="1"/>
  <c r="AB812" i="1"/>
  <c r="AI811" i="1"/>
  <c r="AH811" i="1"/>
  <c r="AG811" i="1"/>
  <c r="AF811" i="1"/>
  <c r="AE811" i="1"/>
  <c r="AD811" i="1"/>
  <c r="AB811" i="1"/>
  <c r="AI810" i="1"/>
  <c r="AH810" i="1"/>
  <c r="AG810" i="1"/>
  <c r="AF810" i="1"/>
  <c r="AE810" i="1"/>
  <c r="AD810" i="1"/>
  <c r="AC810" i="1"/>
  <c r="AB810" i="1"/>
  <c r="AI809" i="1"/>
  <c r="AH809" i="1"/>
  <c r="AG809" i="1"/>
  <c r="AF809" i="1"/>
  <c r="AE809" i="1"/>
  <c r="AD809" i="1"/>
  <c r="AC809" i="1"/>
  <c r="AB809" i="1"/>
  <c r="AI808" i="1"/>
  <c r="AH808" i="1"/>
  <c r="AG808" i="1"/>
  <c r="AF808" i="1"/>
  <c r="AE808" i="1"/>
  <c r="AD808" i="1"/>
  <c r="AC808" i="1"/>
  <c r="AB808" i="1"/>
  <c r="AI807" i="1"/>
  <c r="AH807" i="1"/>
  <c r="AG807" i="1"/>
  <c r="AF807" i="1"/>
  <c r="AE807" i="1"/>
  <c r="AD807" i="1"/>
  <c r="AC807" i="1"/>
  <c r="AB807" i="1"/>
  <c r="AI806" i="1"/>
  <c r="AH806" i="1"/>
  <c r="AG806" i="1"/>
  <c r="AF806" i="1"/>
  <c r="AE806" i="1"/>
  <c r="AD806" i="1"/>
  <c r="AC806" i="1"/>
  <c r="AB806" i="1"/>
  <c r="AI805" i="1"/>
  <c r="AH805" i="1"/>
  <c r="AG805" i="1"/>
  <c r="AF805" i="1"/>
  <c r="AE805" i="1"/>
  <c r="AD805" i="1"/>
  <c r="AB805" i="1"/>
  <c r="AI804" i="1"/>
  <c r="AH804" i="1"/>
  <c r="AG804" i="1"/>
  <c r="AF804" i="1"/>
  <c r="AE804" i="1"/>
  <c r="AD804" i="1"/>
  <c r="AC804" i="1"/>
  <c r="AB804" i="1"/>
  <c r="AI803" i="1"/>
  <c r="AH803" i="1"/>
  <c r="AG803" i="1"/>
  <c r="AF803" i="1"/>
  <c r="AE803" i="1"/>
  <c r="AD803" i="1"/>
  <c r="AC803" i="1"/>
  <c r="AB803" i="1"/>
  <c r="AI802" i="1"/>
  <c r="AH802" i="1"/>
  <c r="AG802" i="1"/>
  <c r="AF802" i="1"/>
  <c r="AE802" i="1"/>
  <c r="AD802" i="1"/>
  <c r="AC802" i="1"/>
  <c r="AB802" i="1"/>
  <c r="AH801" i="1"/>
  <c r="AG801" i="1"/>
  <c r="AF801" i="1"/>
  <c r="AE801" i="1"/>
  <c r="AD801" i="1"/>
  <c r="AC801" i="1"/>
  <c r="AB801" i="1"/>
  <c r="AI800" i="1"/>
  <c r="AH800" i="1"/>
  <c r="AG800" i="1"/>
  <c r="AF800" i="1"/>
  <c r="AE800" i="1"/>
  <c r="AD800" i="1"/>
  <c r="AC800" i="1"/>
  <c r="AB800" i="1"/>
  <c r="AI799" i="1"/>
  <c r="AH799" i="1"/>
  <c r="AG799" i="1"/>
  <c r="AF799" i="1"/>
  <c r="AE799" i="1"/>
  <c r="AD799" i="1"/>
  <c r="AC799" i="1"/>
  <c r="AB799" i="1"/>
  <c r="AI798" i="1"/>
  <c r="AH798" i="1"/>
  <c r="AG798" i="1"/>
  <c r="AF798" i="1"/>
  <c r="AE798" i="1"/>
  <c r="AD798" i="1"/>
  <c r="AC798" i="1"/>
  <c r="AB798" i="1"/>
  <c r="AI797" i="1"/>
  <c r="AH797" i="1"/>
  <c r="AG797" i="1"/>
  <c r="AF797" i="1"/>
  <c r="AE797" i="1"/>
  <c r="AD797" i="1"/>
  <c r="AC797" i="1"/>
  <c r="AB797" i="1"/>
  <c r="AI796" i="1"/>
  <c r="AH796" i="1"/>
  <c r="AG796" i="1"/>
  <c r="AF796" i="1"/>
  <c r="AE796" i="1"/>
  <c r="AD796" i="1"/>
  <c r="AC796" i="1"/>
  <c r="AB796" i="1"/>
  <c r="AI795" i="1"/>
  <c r="AH795" i="1"/>
  <c r="AG795" i="1"/>
  <c r="AF795" i="1"/>
  <c r="AE795" i="1"/>
  <c r="AD795" i="1"/>
  <c r="AC795" i="1"/>
  <c r="AB795" i="1"/>
  <c r="AI794" i="1"/>
  <c r="AH794" i="1"/>
  <c r="AG794" i="1"/>
  <c r="AF794" i="1"/>
  <c r="AE794" i="1"/>
  <c r="AD794" i="1"/>
  <c r="AC794" i="1"/>
  <c r="AB794" i="1"/>
  <c r="AI793" i="1"/>
  <c r="AH793" i="1"/>
  <c r="AG793" i="1"/>
  <c r="AF793" i="1"/>
  <c r="AE793" i="1"/>
  <c r="AD793" i="1"/>
  <c r="AC793" i="1"/>
  <c r="AB793" i="1"/>
  <c r="AI792" i="1"/>
  <c r="AH792" i="1"/>
  <c r="AG792" i="1"/>
  <c r="AF792" i="1"/>
  <c r="AE792" i="1"/>
  <c r="AD792" i="1"/>
  <c r="AC792" i="1"/>
  <c r="AB792" i="1"/>
  <c r="AI791" i="1"/>
  <c r="AH791" i="1"/>
  <c r="AG791" i="1"/>
  <c r="AF791" i="1"/>
  <c r="AE791" i="1"/>
  <c r="AD791" i="1"/>
  <c r="AB791" i="1"/>
  <c r="AI790" i="1"/>
  <c r="AH790" i="1"/>
  <c r="AG790" i="1"/>
  <c r="AF790" i="1"/>
  <c r="AE790" i="1"/>
  <c r="AD790" i="1"/>
  <c r="AC790" i="1"/>
  <c r="AB790" i="1"/>
  <c r="AI789" i="1"/>
  <c r="AH789" i="1"/>
  <c r="AG789" i="1"/>
  <c r="AF789" i="1"/>
  <c r="AE789" i="1"/>
  <c r="AD789" i="1"/>
  <c r="AC789" i="1"/>
  <c r="AB789" i="1"/>
  <c r="AH788" i="1"/>
  <c r="AG788" i="1"/>
  <c r="AF788" i="1"/>
  <c r="AE788" i="1"/>
  <c r="AD788" i="1"/>
  <c r="AC788" i="1"/>
  <c r="AB788" i="1"/>
  <c r="AI787" i="1"/>
  <c r="AH787" i="1"/>
  <c r="AG787" i="1"/>
  <c r="AF787" i="1"/>
  <c r="AE787" i="1"/>
  <c r="AD787" i="1"/>
  <c r="AC787" i="1"/>
  <c r="AB787" i="1"/>
  <c r="AI786" i="1"/>
  <c r="AH786" i="1"/>
  <c r="AG786" i="1"/>
  <c r="AF786" i="1"/>
  <c r="AE786" i="1"/>
  <c r="AD786" i="1"/>
  <c r="AC786" i="1"/>
  <c r="AB786" i="1"/>
  <c r="AI785" i="1"/>
  <c r="AH785" i="1"/>
  <c r="AG785" i="1"/>
  <c r="AF785" i="1"/>
  <c r="AE785" i="1"/>
  <c r="AD785" i="1"/>
  <c r="AC785" i="1"/>
  <c r="AB785" i="1"/>
  <c r="AI784" i="1"/>
  <c r="AH784" i="1"/>
  <c r="AG784" i="1"/>
  <c r="AF784" i="1"/>
  <c r="AE784" i="1"/>
  <c r="AD784" i="1"/>
  <c r="AC784" i="1"/>
  <c r="AB784" i="1"/>
  <c r="AI783" i="1"/>
  <c r="AH783" i="1"/>
  <c r="AG783" i="1"/>
  <c r="AF783" i="1"/>
  <c r="AE783" i="1"/>
  <c r="AD783" i="1"/>
  <c r="AC783" i="1"/>
  <c r="AB783" i="1"/>
  <c r="AI782" i="1"/>
  <c r="AH782" i="1"/>
  <c r="AG782" i="1"/>
  <c r="AF782" i="1"/>
  <c r="AE782" i="1"/>
  <c r="AD782" i="1"/>
  <c r="AC782" i="1"/>
  <c r="AB782" i="1"/>
  <c r="AI781" i="1"/>
  <c r="AH781" i="1"/>
  <c r="AG781" i="1"/>
  <c r="AF781" i="1"/>
  <c r="AE781" i="1"/>
  <c r="AD781" i="1"/>
  <c r="AC781" i="1"/>
  <c r="AB781" i="1"/>
  <c r="AI780" i="1"/>
  <c r="AH780" i="1"/>
  <c r="AG780" i="1"/>
  <c r="AF780" i="1"/>
  <c r="AE780" i="1"/>
  <c r="AD780" i="1"/>
  <c r="AC780" i="1"/>
  <c r="AB780" i="1"/>
  <c r="AI779" i="1"/>
  <c r="AH779" i="1"/>
  <c r="AG779" i="1"/>
  <c r="AF779" i="1"/>
  <c r="AE779" i="1"/>
  <c r="AD779" i="1"/>
  <c r="AC779" i="1"/>
  <c r="AB779" i="1"/>
  <c r="AI778" i="1"/>
  <c r="AH778" i="1"/>
  <c r="AG778" i="1"/>
  <c r="AF778" i="1"/>
  <c r="AE778" i="1"/>
  <c r="AD778" i="1"/>
  <c r="AC778" i="1"/>
  <c r="AB778" i="1"/>
  <c r="AI777" i="1"/>
  <c r="AH777" i="1"/>
  <c r="AG777" i="1"/>
  <c r="AF777" i="1"/>
  <c r="AE777" i="1"/>
  <c r="AD777" i="1"/>
  <c r="AC777" i="1"/>
  <c r="AB777" i="1"/>
  <c r="AH776" i="1"/>
  <c r="AG776" i="1"/>
  <c r="AF776" i="1"/>
  <c r="AE776" i="1"/>
  <c r="AD776" i="1"/>
  <c r="AC776" i="1"/>
  <c r="AB776" i="1"/>
  <c r="AH775" i="1"/>
  <c r="AG775" i="1"/>
  <c r="AF775" i="1"/>
  <c r="AE775" i="1"/>
  <c r="AD775" i="1"/>
  <c r="AC775" i="1"/>
  <c r="AB775" i="1"/>
  <c r="AI774" i="1"/>
  <c r="AH774" i="1"/>
  <c r="AG774" i="1"/>
  <c r="AF774" i="1"/>
  <c r="AE774" i="1"/>
  <c r="AD774" i="1"/>
  <c r="AC774" i="1"/>
  <c r="AB774" i="1"/>
  <c r="AI773" i="1"/>
  <c r="AH773" i="1"/>
  <c r="AG773" i="1"/>
  <c r="AF773" i="1"/>
  <c r="AE773" i="1"/>
  <c r="AD773" i="1"/>
  <c r="AC773" i="1"/>
  <c r="AB773" i="1"/>
  <c r="AI772" i="1"/>
  <c r="AH772" i="1"/>
  <c r="AG772" i="1"/>
  <c r="AF772" i="1"/>
  <c r="AE772" i="1"/>
  <c r="AD772" i="1"/>
  <c r="AC772" i="1"/>
  <c r="AB772" i="1"/>
  <c r="AI771" i="1"/>
  <c r="AH771" i="1"/>
  <c r="AG771" i="1"/>
  <c r="AF771" i="1"/>
  <c r="AE771" i="1"/>
  <c r="AD771" i="1"/>
  <c r="AC771" i="1"/>
  <c r="AB771" i="1"/>
  <c r="AI770" i="1"/>
  <c r="AH770" i="1"/>
  <c r="AG770" i="1"/>
  <c r="AF770" i="1"/>
  <c r="AE770" i="1"/>
  <c r="AD770" i="1"/>
  <c r="AC770" i="1"/>
  <c r="AB770" i="1"/>
  <c r="AI769" i="1"/>
  <c r="AH769" i="1"/>
  <c r="AG769" i="1"/>
  <c r="AF769" i="1"/>
  <c r="AE769" i="1"/>
  <c r="AD769" i="1"/>
  <c r="AC769" i="1"/>
  <c r="AB769" i="1"/>
  <c r="AI768" i="1"/>
  <c r="AH768" i="1"/>
  <c r="AG768" i="1"/>
  <c r="AF768" i="1"/>
  <c r="AE768" i="1"/>
  <c r="AD768" i="1"/>
  <c r="AC768" i="1"/>
  <c r="AB768" i="1"/>
  <c r="AI767" i="1"/>
  <c r="AH767" i="1"/>
  <c r="AG767" i="1"/>
  <c r="AF767" i="1"/>
  <c r="AE767" i="1"/>
  <c r="AD767" i="1"/>
  <c r="AC767" i="1"/>
  <c r="AB767" i="1"/>
  <c r="AI766" i="1"/>
  <c r="AH766" i="1"/>
  <c r="AG766" i="1"/>
  <c r="AF766" i="1"/>
  <c r="AE766" i="1"/>
  <c r="AD766" i="1"/>
  <c r="AC766" i="1"/>
  <c r="AB766" i="1"/>
  <c r="AI765" i="1"/>
  <c r="AH765" i="1"/>
  <c r="AG765" i="1"/>
  <c r="AF765" i="1"/>
  <c r="AE765" i="1"/>
  <c r="AD765" i="1"/>
  <c r="AC765" i="1"/>
  <c r="AB765" i="1"/>
  <c r="AI764" i="1"/>
  <c r="AH764" i="1"/>
  <c r="AG764" i="1"/>
  <c r="AF764" i="1"/>
  <c r="AE764" i="1"/>
  <c r="AD764" i="1"/>
  <c r="AC764" i="1"/>
  <c r="AB764" i="1"/>
  <c r="AI763" i="1"/>
  <c r="AH763" i="1"/>
  <c r="AG763" i="1"/>
  <c r="AF763" i="1"/>
  <c r="AE763" i="1"/>
  <c r="AD763" i="1"/>
  <c r="AC763" i="1"/>
  <c r="AB763" i="1"/>
  <c r="AI762" i="1"/>
  <c r="AH762" i="1"/>
  <c r="AG762" i="1"/>
  <c r="AF762" i="1"/>
  <c r="AE762" i="1"/>
  <c r="AD762" i="1"/>
  <c r="AC762" i="1"/>
  <c r="AB762" i="1"/>
  <c r="AI761" i="1"/>
  <c r="AH761" i="1"/>
  <c r="AG761" i="1"/>
  <c r="AF761" i="1"/>
  <c r="AE761" i="1"/>
  <c r="AD761" i="1"/>
  <c r="AC761" i="1"/>
  <c r="AB761" i="1"/>
  <c r="AI760" i="1"/>
  <c r="AH760" i="1"/>
  <c r="AG760" i="1"/>
  <c r="AF760" i="1"/>
  <c r="AE760" i="1"/>
  <c r="AD760" i="1"/>
  <c r="AC760" i="1"/>
  <c r="AB760" i="1"/>
  <c r="AI759" i="1"/>
  <c r="AH759" i="1"/>
  <c r="AG759" i="1"/>
  <c r="AF759" i="1"/>
  <c r="AE759" i="1"/>
  <c r="AD759" i="1"/>
  <c r="AC759" i="1"/>
  <c r="AB759" i="1"/>
  <c r="AI758" i="1"/>
  <c r="AH758" i="1"/>
  <c r="AG758" i="1"/>
  <c r="AF758" i="1"/>
  <c r="AE758" i="1"/>
  <c r="AD758" i="1"/>
  <c r="AC758" i="1"/>
  <c r="AB758" i="1"/>
  <c r="AI757" i="1"/>
  <c r="AH757" i="1"/>
  <c r="AG757" i="1"/>
  <c r="AF757" i="1"/>
  <c r="AE757" i="1"/>
  <c r="AD757" i="1"/>
  <c r="AC757" i="1"/>
  <c r="AB757" i="1"/>
  <c r="AI756" i="1"/>
  <c r="AH756" i="1"/>
  <c r="AG756" i="1"/>
  <c r="AF756" i="1"/>
  <c r="AE756" i="1"/>
  <c r="AD756" i="1"/>
  <c r="AC756" i="1"/>
  <c r="AB756" i="1"/>
  <c r="AI755" i="1"/>
  <c r="AH755" i="1"/>
  <c r="AG755" i="1"/>
  <c r="AF755" i="1"/>
  <c r="AE755" i="1"/>
  <c r="AD755" i="1"/>
  <c r="AC755" i="1"/>
  <c r="AB755" i="1"/>
  <c r="AI754" i="1"/>
  <c r="AH754" i="1"/>
  <c r="AG754" i="1"/>
  <c r="AF754" i="1"/>
  <c r="AE754" i="1"/>
  <c r="AD754" i="1"/>
  <c r="AC754" i="1"/>
  <c r="AB754" i="1"/>
  <c r="AH753" i="1"/>
  <c r="AG753" i="1"/>
  <c r="AF753" i="1"/>
  <c r="AE753" i="1"/>
  <c r="AD753" i="1"/>
  <c r="AB753" i="1"/>
  <c r="AI752" i="1"/>
  <c r="AH752" i="1"/>
  <c r="AG752" i="1"/>
  <c r="AF752" i="1"/>
  <c r="AE752" i="1"/>
  <c r="AD752" i="1"/>
  <c r="AC752" i="1"/>
  <c r="AB752" i="1"/>
  <c r="AI751" i="1"/>
  <c r="AH751" i="1"/>
  <c r="AG751" i="1"/>
  <c r="AF751" i="1"/>
  <c r="AE751" i="1"/>
  <c r="AD751" i="1"/>
  <c r="AC751" i="1"/>
  <c r="AB751" i="1"/>
  <c r="AI750" i="1"/>
  <c r="AH750" i="1"/>
  <c r="AG750" i="1"/>
  <c r="AF750" i="1"/>
  <c r="AE750" i="1"/>
  <c r="AD750" i="1"/>
  <c r="AC750" i="1"/>
  <c r="AB750" i="1"/>
  <c r="AI749" i="1"/>
  <c r="AH749" i="1"/>
  <c r="AG749" i="1"/>
  <c r="AF749" i="1"/>
  <c r="AE749" i="1"/>
  <c r="AD749" i="1"/>
  <c r="AC749" i="1"/>
  <c r="AB749" i="1"/>
  <c r="AI748" i="1"/>
  <c r="AH748" i="1"/>
  <c r="AG748" i="1"/>
  <c r="AF748" i="1"/>
  <c r="AE748" i="1"/>
  <c r="AD748" i="1"/>
  <c r="AC748" i="1"/>
  <c r="AB748" i="1"/>
  <c r="AI747" i="1"/>
  <c r="AH747" i="1"/>
  <c r="AG747" i="1"/>
  <c r="AF747" i="1"/>
  <c r="AE747" i="1"/>
  <c r="AD747" i="1"/>
  <c r="AC747" i="1"/>
  <c r="AB747" i="1"/>
  <c r="AI746" i="1"/>
  <c r="AH746" i="1"/>
  <c r="AG746" i="1"/>
  <c r="AF746" i="1"/>
  <c r="AE746" i="1"/>
  <c r="AD746" i="1"/>
  <c r="AC746" i="1"/>
  <c r="AB746" i="1"/>
  <c r="AI745" i="1"/>
  <c r="AH745" i="1"/>
  <c r="AG745" i="1"/>
  <c r="AF745" i="1"/>
  <c r="AE745" i="1"/>
  <c r="AD745" i="1"/>
  <c r="AC745" i="1"/>
  <c r="AB745" i="1"/>
  <c r="AI744" i="1"/>
  <c r="AH744" i="1"/>
  <c r="AG744" i="1"/>
  <c r="AF744" i="1"/>
  <c r="AE744" i="1"/>
  <c r="AD744" i="1"/>
  <c r="AC744" i="1"/>
  <c r="AB744" i="1"/>
  <c r="AI743" i="1"/>
  <c r="AH743" i="1"/>
  <c r="AG743" i="1"/>
  <c r="AF743" i="1"/>
  <c r="AE743" i="1"/>
  <c r="AD743" i="1"/>
  <c r="AC743" i="1"/>
  <c r="AB743" i="1"/>
  <c r="AI742" i="1"/>
  <c r="AH742" i="1"/>
  <c r="AG742" i="1"/>
  <c r="AF742" i="1"/>
  <c r="AE742" i="1"/>
  <c r="AD742" i="1"/>
  <c r="AC742" i="1"/>
  <c r="AB742" i="1"/>
  <c r="AI741" i="1"/>
  <c r="AH741" i="1"/>
  <c r="AG741" i="1"/>
  <c r="AF741" i="1"/>
  <c r="AE741" i="1"/>
  <c r="AD741" i="1"/>
  <c r="AC741" i="1"/>
  <c r="AB741" i="1"/>
  <c r="AI740" i="1"/>
  <c r="AH740" i="1"/>
  <c r="AG740" i="1"/>
  <c r="AF740" i="1"/>
  <c r="AE740" i="1"/>
  <c r="AD740" i="1"/>
  <c r="AC740" i="1"/>
  <c r="AB740" i="1"/>
  <c r="AI739" i="1"/>
  <c r="AH739" i="1"/>
  <c r="AG739" i="1"/>
  <c r="AF739" i="1"/>
  <c r="AE739" i="1"/>
  <c r="AD739" i="1"/>
  <c r="AC739" i="1"/>
  <c r="AB739" i="1"/>
  <c r="AI738" i="1"/>
  <c r="AH738" i="1"/>
  <c r="AG738" i="1"/>
  <c r="AF738" i="1"/>
  <c r="AE738" i="1"/>
  <c r="AD738" i="1"/>
  <c r="AC738" i="1"/>
  <c r="AB738" i="1"/>
  <c r="AI737" i="1"/>
  <c r="AH737" i="1"/>
  <c r="AG737" i="1"/>
  <c r="AF737" i="1"/>
  <c r="AE737" i="1"/>
  <c r="AD737" i="1"/>
  <c r="AC737" i="1"/>
  <c r="AB737" i="1"/>
  <c r="AI736" i="1"/>
  <c r="AH736" i="1"/>
  <c r="AG736" i="1"/>
  <c r="AF736" i="1"/>
  <c r="AE736" i="1"/>
  <c r="AD736" i="1"/>
  <c r="AC736" i="1"/>
  <c r="AB736" i="1"/>
  <c r="AI735" i="1"/>
  <c r="AH735" i="1"/>
  <c r="AG735" i="1"/>
  <c r="AF735" i="1"/>
  <c r="AE735" i="1"/>
  <c r="AD735" i="1"/>
  <c r="AC735" i="1"/>
  <c r="AB735" i="1"/>
  <c r="AI734" i="1"/>
  <c r="AH734" i="1"/>
  <c r="AG734" i="1"/>
  <c r="AF734" i="1"/>
  <c r="AE734" i="1"/>
  <c r="AD734" i="1"/>
  <c r="AC734" i="1"/>
  <c r="AB734" i="1"/>
  <c r="AI733" i="1"/>
  <c r="AH733" i="1"/>
  <c r="AG733" i="1"/>
  <c r="AF733" i="1"/>
  <c r="AE733" i="1"/>
  <c r="AD733" i="1"/>
  <c r="AC733" i="1"/>
  <c r="AB733" i="1"/>
  <c r="AI732" i="1"/>
  <c r="AH732" i="1"/>
  <c r="AG732" i="1"/>
  <c r="AF732" i="1"/>
  <c r="AE732" i="1"/>
  <c r="AD732" i="1"/>
  <c r="AC732" i="1"/>
  <c r="AB732" i="1"/>
  <c r="AI731" i="1"/>
  <c r="AH731" i="1"/>
  <c r="AG731" i="1"/>
  <c r="AF731" i="1"/>
  <c r="AE731" i="1"/>
  <c r="AD731" i="1"/>
  <c r="AC731" i="1"/>
  <c r="AB731" i="1"/>
  <c r="AI730" i="1"/>
  <c r="AH730" i="1"/>
  <c r="AG730" i="1"/>
  <c r="AF730" i="1"/>
  <c r="AE730" i="1"/>
  <c r="AD730" i="1"/>
  <c r="AC730" i="1"/>
  <c r="AB730" i="1"/>
  <c r="AI729" i="1"/>
  <c r="AH729" i="1"/>
  <c r="AG729" i="1"/>
  <c r="AF729" i="1"/>
  <c r="AE729" i="1"/>
  <c r="AD729" i="1"/>
  <c r="AC729" i="1"/>
  <c r="AB729" i="1"/>
  <c r="AI728" i="1"/>
  <c r="AH728" i="1"/>
  <c r="AG728" i="1"/>
  <c r="AF728" i="1"/>
  <c r="AE728" i="1"/>
  <c r="AD728" i="1"/>
  <c r="AC728" i="1"/>
  <c r="AB728" i="1"/>
  <c r="AI727" i="1"/>
  <c r="AH727" i="1"/>
  <c r="AG727" i="1"/>
  <c r="AF727" i="1"/>
  <c r="AE727" i="1"/>
  <c r="AD727" i="1"/>
  <c r="AC727" i="1"/>
  <c r="AB727" i="1"/>
  <c r="AI726" i="1"/>
  <c r="AH726" i="1"/>
  <c r="AG726" i="1"/>
  <c r="AF726" i="1"/>
  <c r="AE726" i="1"/>
  <c r="AD726" i="1"/>
  <c r="AC726" i="1"/>
  <c r="AB726" i="1"/>
  <c r="AI725" i="1"/>
  <c r="AH725" i="1"/>
  <c r="AG725" i="1"/>
  <c r="AF725" i="1"/>
  <c r="AE725" i="1"/>
  <c r="AD725" i="1"/>
  <c r="AC725" i="1"/>
  <c r="AB725" i="1"/>
  <c r="AI724" i="1"/>
  <c r="AH724" i="1"/>
  <c r="AG724" i="1"/>
  <c r="AF724" i="1"/>
  <c r="AE724" i="1"/>
  <c r="AD724" i="1"/>
  <c r="AC724" i="1"/>
  <c r="AB724" i="1"/>
  <c r="AI723" i="1"/>
  <c r="AH723" i="1"/>
  <c r="AG723" i="1"/>
  <c r="AF723" i="1"/>
  <c r="AE723" i="1"/>
  <c r="AD723" i="1"/>
  <c r="AC723" i="1"/>
  <c r="AB723" i="1"/>
  <c r="AI722" i="1"/>
  <c r="AH722" i="1"/>
  <c r="AG722" i="1"/>
  <c r="AF722" i="1"/>
  <c r="AE722" i="1"/>
  <c r="AD722" i="1"/>
  <c r="AC722" i="1"/>
  <c r="AB722" i="1"/>
  <c r="AI721" i="1"/>
  <c r="AH721" i="1"/>
  <c r="AG721" i="1"/>
  <c r="AF721" i="1"/>
  <c r="AE721" i="1"/>
  <c r="AD721" i="1"/>
  <c r="AC721" i="1"/>
  <c r="AB721" i="1"/>
  <c r="AI720" i="1"/>
  <c r="AH720" i="1"/>
  <c r="AG720" i="1"/>
  <c r="AF720" i="1"/>
  <c r="AE720" i="1"/>
  <c r="AD720" i="1"/>
  <c r="AC720" i="1"/>
  <c r="AB720" i="1"/>
  <c r="AI719" i="1"/>
  <c r="AH719" i="1"/>
  <c r="AG719" i="1"/>
  <c r="AF719" i="1"/>
  <c r="AE719" i="1"/>
  <c r="AD719" i="1"/>
  <c r="AC719" i="1"/>
  <c r="AB719" i="1"/>
  <c r="AI718" i="1"/>
  <c r="AH718" i="1"/>
  <c r="AG718" i="1"/>
  <c r="AF718" i="1"/>
  <c r="AE718" i="1"/>
  <c r="AD718" i="1"/>
  <c r="AC718" i="1"/>
  <c r="AB718" i="1"/>
  <c r="AI717" i="1"/>
  <c r="AH717" i="1"/>
  <c r="AG717" i="1"/>
  <c r="AF717" i="1"/>
  <c r="AE717" i="1"/>
  <c r="AD717" i="1"/>
  <c r="AC717" i="1"/>
  <c r="AB717" i="1"/>
  <c r="AI716" i="1"/>
  <c r="AH716" i="1"/>
  <c r="AG716" i="1"/>
  <c r="AF716" i="1"/>
  <c r="AE716" i="1"/>
  <c r="AD716" i="1"/>
  <c r="AC716" i="1"/>
  <c r="AB716" i="1"/>
  <c r="AI715" i="1"/>
  <c r="AH715" i="1"/>
  <c r="AG715" i="1"/>
  <c r="AF715" i="1"/>
  <c r="AE715" i="1"/>
  <c r="AD715" i="1"/>
  <c r="AC715" i="1"/>
  <c r="AB715" i="1"/>
  <c r="AI714" i="1"/>
  <c r="AH714" i="1"/>
  <c r="AG714" i="1"/>
  <c r="AF714" i="1"/>
  <c r="AE714" i="1"/>
  <c r="AD714" i="1"/>
  <c r="AC714" i="1"/>
  <c r="AB714" i="1"/>
  <c r="AI713" i="1"/>
  <c r="AH713" i="1"/>
  <c r="AG713" i="1"/>
  <c r="AF713" i="1"/>
  <c r="AE713" i="1"/>
  <c r="AD713" i="1"/>
  <c r="AC713" i="1"/>
  <c r="AB713" i="1"/>
  <c r="AI712" i="1"/>
  <c r="AH712" i="1"/>
  <c r="AG712" i="1"/>
  <c r="AF712" i="1"/>
  <c r="AE712" i="1"/>
  <c r="AD712" i="1"/>
  <c r="AC712" i="1"/>
  <c r="AB712" i="1"/>
  <c r="AI711" i="1"/>
  <c r="AH711" i="1"/>
  <c r="AG711" i="1"/>
  <c r="AF711" i="1"/>
  <c r="AE711" i="1"/>
  <c r="AD711" i="1"/>
  <c r="AC711" i="1"/>
  <c r="AB711" i="1"/>
  <c r="AI710" i="1"/>
  <c r="AH710" i="1"/>
  <c r="AG710" i="1"/>
  <c r="AF710" i="1"/>
  <c r="AE710" i="1"/>
  <c r="AD710" i="1"/>
  <c r="AC710" i="1"/>
  <c r="AB710" i="1"/>
  <c r="AI709" i="1"/>
  <c r="AH709" i="1"/>
  <c r="AG709" i="1"/>
  <c r="AF709" i="1"/>
  <c r="AE709" i="1"/>
  <c r="AD709" i="1"/>
  <c r="AC709" i="1"/>
  <c r="AB709" i="1"/>
  <c r="AI708" i="1"/>
  <c r="AH708" i="1"/>
  <c r="AG708" i="1"/>
  <c r="AF708" i="1"/>
  <c r="AE708" i="1"/>
  <c r="AD708" i="1"/>
  <c r="AC708" i="1"/>
  <c r="AB708" i="1"/>
  <c r="AI707" i="1"/>
  <c r="AH707" i="1"/>
  <c r="AG707" i="1"/>
  <c r="AF707" i="1"/>
  <c r="AE707" i="1"/>
  <c r="AD707" i="1"/>
  <c r="AC707" i="1"/>
  <c r="AB707" i="1"/>
  <c r="AH706" i="1"/>
  <c r="AG706" i="1"/>
  <c r="AF706" i="1"/>
  <c r="AE706" i="1"/>
  <c r="AD706" i="1"/>
  <c r="AC706" i="1"/>
  <c r="AB706" i="1"/>
  <c r="AI705" i="1"/>
  <c r="AH705" i="1"/>
  <c r="AG705" i="1"/>
  <c r="AF705" i="1"/>
  <c r="AE705" i="1"/>
  <c r="AD705" i="1"/>
  <c r="AC705" i="1"/>
  <c r="AB705" i="1"/>
  <c r="AI704" i="1"/>
  <c r="AH704" i="1"/>
  <c r="AG704" i="1"/>
  <c r="AF704" i="1"/>
  <c r="AE704" i="1"/>
  <c r="AD704" i="1"/>
  <c r="AC704" i="1"/>
  <c r="AB704" i="1"/>
  <c r="AI703" i="1"/>
  <c r="AH703" i="1"/>
  <c r="AG703" i="1"/>
  <c r="AF703" i="1"/>
  <c r="AE703" i="1"/>
  <c r="AD703" i="1"/>
  <c r="AC703" i="1"/>
  <c r="AB703" i="1"/>
  <c r="AI702" i="1"/>
  <c r="AH702" i="1"/>
  <c r="AG702" i="1"/>
  <c r="AF702" i="1"/>
  <c r="AE702" i="1"/>
  <c r="AD702" i="1"/>
  <c r="AC702" i="1"/>
  <c r="AB702" i="1"/>
  <c r="AI701" i="1"/>
  <c r="AH701" i="1"/>
  <c r="AG701" i="1"/>
  <c r="AF701" i="1"/>
  <c r="AE701" i="1"/>
  <c r="AD701" i="1"/>
  <c r="AC701" i="1"/>
  <c r="AB701" i="1"/>
  <c r="AI700" i="1"/>
  <c r="AH700" i="1"/>
  <c r="AG700" i="1"/>
  <c r="AF700" i="1"/>
  <c r="AE700" i="1"/>
  <c r="AD700" i="1"/>
  <c r="AC700" i="1"/>
  <c r="AB700" i="1"/>
  <c r="AI699" i="1"/>
  <c r="AH699" i="1"/>
  <c r="AG699" i="1"/>
  <c r="AF699" i="1"/>
  <c r="AE699" i="1"/>
  <c r="AD699" i="1"/>
  <c r="AC699" i="1"/>
  <c r="AB699" i="1"/>
  <c r="AH698" i="1"/>
  <c r="AG698" i="1"/>
  <c r="AF698" i="1"/>
  <c r="AE698" i="1"/>
  <c r="AD698" i="1"/>
  <c r="AC698" i="1"/>
  <c r="AB698" i="1"/>
  <c r="AI697" i="1"/>
  <c r="AH697" i="1"/>
  <c r="AG697" i="1"/>
  <c r="AF697" i="1"/>
  <c r="AE697" i="1"/>
  <c r="AD697" i="1"/>
  <c r="AC697" i="1"/>
  <c r="AB697" i="1"/>
  <c r="AI696" i="1"/>
  <c r="AH696" i="1"/>
  <c r="AG696" i="1"/>
  <c r="AF696" i="1"/>
  <c r="AE696" i="1"/>
  <c r="AD696" i="1"/>
  <c r="AC696" i="1"/>
  <c r="AB696" i="1"/>
  <c r="AI695" i="1"/>
  <c r="AH695" i="1"/>
  <c r="AG695" i="1"/>
  <c r="AF695" i="1"/>
  <c r="AE695" i="1"/>
  <c r="AD695" i="1"/>
  <c r="AC695" i="1"/>
  <c r="AB695" i="1"/>
  <c r="AI694" i="1"/>
  <c r="AH694" i="1"/>
  <c r="AG694" i="1"/>
  <c r="AF694" i="1"/>
  <c r="AE694" i="1"/>
  <c r="AD694" i="1"/>
  <c r="AC694" i="1"/>
  <c r="AB694" i="1"/>
  <c r="AI693" i="1"/>
  <c r="AH693" i="1"/>
  <c r="AG693" i="1"/>
  <c r="AF693" i="1"/>
  <c r="AE693" i="1"/>
  <c r="AD693" i="1"/>
  <c r="AC693" i="1"/>
  <c r="AB693" i="1"/>
  <c r="AI692" i="1"/>
  <c r="AH692" i="1"/>
  <c r="AG692" i="1"/>
  <c r="AF692" i="1"/>
  <c r="AE692" i="1"/>
  <c r="AD692" i="1"/>
  <c r="AC692" i="1"/>
  <c r="AB692" i="1"/>
  <c r="AI691" i="1"/>
  <c r="AH691" i="1"/>
  <c r="AG691" i="1"/>
  <c r="AF691" i="1"/>
  <c r="AE691" i="1"/>
  <c r="AD691" i="1"/>
  <c r="AC691" i="1"/>
  <c r="AB691" i="1"/>
  <c r="AI690" i="1"/>
  <c r="AH690" i="1"/>
  <c r="AG690" i="1"/>
  <c r="AF690" i="1"/>
  <c r="AE690" i="1"/>
  <c r="AD690" i="1"/>
  <c r="AC690" i="1"/>
  <c r="AB690" i="1"/>
  <c r="AI689" i="1"/>
  <c r="AH689" i="1"/>
  <c r="AG689" i="1"/>
  <c r="AF689" i="1"/>
  <c r="AE689" i="1"/>
  <c r="AD689" i="1"/>
  <c r="AC689" i="1"/>
  <c r="AB689" i="1"/>
  <c r="AI688" i="1"/>
  <c r="AH688" i="1"/>
  <c r="AG688" i="1"/>
  <c r="AF688" i="1"/>
  <c r="AE688" i="1"/>
  <c r="AD688" i="1"/>
  <c r="AC688" i="1"/>
  <c r="AB688" i="1"/>
  <c r="AI687" i="1"/>
  <c r="AH687" i="1"/>
  <c r="AG687" i="1"/>
  <c r="AF687" i="1"/>
  <c r="AE687" i="1"/>
  <c r="AD687" i="1"/>
  <c r="AC687" i="1"/>
  <c r="AB687" i="1"/>
  <c r="AI686" i="1"/>
  <c r="AH686" i="1"/>
  <c r="AG686" i="1"/>
  <c r="AF686" i="1"/>
  <c r="AE686" i="1"/>
  <c r="AD686" i="1"/>
  <c r="AC686" i="1"/>
  <c r="AB686" i="1"/>
  <c r="AI685" i="1"/>
  <c r="AH685" i="1"/>
  <c r="AG685" i="1"/>
  <c r="AF685" i="1"/>
  <c r="AE685" i="1"/>
  <c r="AD685" i="1"/>
  <c r="AC685" i="1"/>
  <c r="AB685" i="1"/>
  <c r="AI684" i="1"/>
  <c r="AH684" i="1"/>
  <c r="AG684" i="1"/>
  <c r="AF684" i="1"/>
  <c r="AE684" i="1"/>
  <c r="AD684" i="1"/>
  <c r="AC684" i="1"/>
  <c r="AB684" i="1"/>
  <c r="AI683" i="1"/>
  <c r="AH683" i="1"/>
  <c r="AG683" i="1"/>
  <c r="AF683" i="1"/>
  <c r="AE683" i="1"/>
  <c r="AD683" i="1"/>
  <c r="AC683" i="1"/>
  <c r="AB683" i="1"/>
  <c r="AI682" i="1"/>
  <c r="AH682" i="1"/>
  <c r="AG682" i="1"/>
  <c r="AF682" i="1"/>
  <c r="AE682" i="1"/>
  <c r="AD682" i="1"/>
  <c r="AC682" i="1"/>
  <c r="AB682" i="1"/>
  <c r="AI681" i="1"/>
  <c r="AH681" i="1"/>
  <c r="AG681" i="1"/>
  <c r="AF681" i="1"/>
  <c r="AE681" i="1"/>
  <c r="AD681" i="1"/>
  <c r="AC681" i="1"/>
  <c r="AB681" i="1"/>
  <c r="AI680" i="1"/>
  <c r="AH680" i="1"/>
  <c r="AG680" i="1"/>
  <c r="AF680" i="1"/>
  <c r="AE680" i="1"/>
  <c r="AD680" i="1"/>
  <c r="AC680" i="1"/>
  <c r="AB680" i="1"/>
  <c r="AI679" i="1"/>
  <c r="AH679" i="1"/>
  <c r="AG679" i="1"/>
  <c r="AF679" i="1"/>
  <c r="AE679" i="1"/>
  <c r="AD679" i="1"/>
  <c r="AC679" i="1"/>
  <c r="AB679" i="1"/>
  <c r="AI678" i="1"/>
  <c r="AH678" i="1"/>
  <c r="AG678" i="1"/>
  <c r="AF678" i="1"/>
  <c r="AE678" i="1"/>
  <c r="AD678" i="1"/>
  <c r="AC678" i="1"/>
  <c r="AB678" i="1"/>
  <c r="AI677" i="1"/>
  <c r="AH677" i="1"/>
  <c r="AG677" i="1"/>
  <c r="AF677" i="1"/>
  <c r="AE677" i="1"/>
  <c r="AD677" i="1"/>
  <c r="AC677" i="1"/>
  <c r="AB677" i="1"/>
  <c r="AI676" i="1"/>
  <c r="AH676" i="1"/>
  <c r="AG676" i="1"/>
  <c r="AF676" i="1"/>
  <c r="AE676" i="1"/>
  <c r="AD676" i="1"/>
  <c r="AC676" i="1"/>
  <c r="AB676" i="1"/>
  <c r="AI675" i="1"/>
  <c r="AH675" i="1"/>
  <c r="AG675" i="1"/>
  <c r="AF675" i="1"/>
  <c r="AE675" i="1"/>
  <c r="AD675" i="1"/>
  <c r="AC675" i="1"/>
  <c r="AB675" i="1"/>
  <c r="AI674" i="1"/>
  <c r="AH674" i="1"/>
  <c r="AG674" i="1"/>
  <c r="AF674" i="1"/>
  <c r="AE674" i="1"/>
  <c r="AD674" i="1"/>
  <c r="AC674" i="1"/>
  <c r="AB674" i="1"/>
  <c r="AI673" i="1"/>
  <c r="AH673" i="1"/>
  <c r="AG673" i="1"/>
  <c r="AF673" i="1"/>
  <c r="AE673" i="1"/>
  <c r="AD673" i="1"/>
  <c r="AC673" i="1"/>
  <c r="AB673" i="1"/>
  <c r="AI672" i="1"/>
  <c r="AH672" i="1"/>
  <c r="AG672" i="1"/>
  <c r="AF672" i="1"/>
  <c r="AE672" i="1"/>
  <c r="AD672" i="1"/>
  <c r="AC672" i="1"/>
  <c r="AB672" i="1"/>
  <c r="AI671" i="1"/>
  <c r="AH671" i="1"/>
  <c r="AG671" i="1"/>
  <c r="AF671" i="1"/>
  <c r="AE671" i="1"/>
  <c r="AD671" i="1"/>
  <c r="AC671" i="1"/>
  <c r="AB671" i="1"/>
  <c r="AI670" i="1"/>
  <c r="AH670" i="1"/>
  <c r="AG670" i="1"/>
  <c r="AF670" i="1"/>
  <c r="AE670" i="1"/>
  <c r="AD670" i="1"/>
  <c r="AC670" i="1"/>
  <c r="AB670" i="1"/>
  <c r="AI669" i="1"/>
  <c r="AH669" i="1"/>
  <c r="AG669" i="1"/>
  <c r="AF669" i="1"/>
  <c r="AE669" i="1"/>
  <c r="AD669" i="1"/>
  <c r="AC669" i="1"/>
  <c r="AB669" i="1"/>
  <c r="AI668" i="1"/>
  <c r="AH668" i="1"/>
  <c r="AG668" i="1"/>
  <c r="AF668" i="1"/>
  <c r="AE668" i="1"/>
  <c r="AD668" i="1"/>
  <c r="AC668" i="1"/>
  <c r="AB668" i="1"/>
  <c r="AI667" i="1"/>
  <c r="AH667" i="1"/>
  <c r="AG667" i="1"/>
  <c r="AF667" i="1"/>
  <c r="AE667" i="1"/>
  <c r="AD667" i="1"/>
  <c r="AC667" i="1"/>
  <c r="AB667" i="1"/>
  <c r="AI666" i="1"/>
  <c r="AH666" i="1"/>
  <c r="AG666" i="1"/>
  <c r="AF666" i="1"/>
  <c r="AE666" i="1"/>
  <c r="AD666" i="1"/>
  <c r="AC666" i="1"/>
  <c r="AB666" i="1"/>
  <c r="AI665" i="1"/>
  <c r="AH665" i="1"/>
  <c r="AG665" i="1"/>
  <c r="AF665" i="1"/>
  <c r="AE665" i="1"/>
  <c r="AD665" i="1"/>
  <c r="AC665" i="1"/>
  <c r="AB665" i="1"/>
  <c r="AI664" i="1"/>
  <c r="AH664" i="1"/>
  <c r="AG664" i="1"/>
  <c r="AF664" i="1"/>
  <c r="AE664" i="1"/>
  <c r="AD664" i="1"/>
  <c r="AC664" i="1"/>
  <c r="AB664" i="1"/>
  <c r="AI663" i="1"/>
  <c r="AH663" i="1"/>
  <c r="AG663" i="1"/>
  <c r="AF663" i="1"/>
  <c r="AE663" i="1"/>
  <c r="AD663" i="1"/>
  <c r="AC663" i="1"/>
  <c r="AB663" i="1"/>
  <c r="AI662" i="1"/>
  <c r="AH662" i="1"/>
  <c r="AG662" i="1"/>
  <c r="AF662" i="1"/>
  <c r="AE662" i="1"/>
  <c r="AD662" i="1"/>
  <c r="AC662" i="1"/>
  <c r="AB662" i="1"/>
  <c r="AI661" i="1"/>
  <c r="AH661" i="1"/>
  <c r="AG661" i="1"/>
  <c r="AF661" i="1"/>
  <c r="AE661" i="1"/>
  <c r="AD661" i="1"/>
  <c r="AC661" i="1"/>
  <c r="AB661" i="1"/>
  <c r="AI660" i="1"/>
  <c r="AH660" i="1"/>
  <c r="AG660" i="1"/>
  <c r="AF660" i="1"/>
  <c r="AE660" i="1"/>
  <c r="AD660" i="1"/>
  <c r="AB660" i="1"/>
  <c r="AI659" i="1"/>
  <c r="AH659" i="1"/>
  <c r="AG659" i="1"/>
  <c r="AF659" i="1"/>
  <c r="AE659" i="1"/>
  <c r="AD659" i="1"/>
  <c r="AC659" i="1"/>
  <c r="AB659" i="1"/>
  <c r="AI658" i="1"/>
  <c r="AH658" i="1"/>
  <c r="AG658" i="1"/>
  <c r="AF658" i="1"/>
  <c r="AE658" i="1"/>
  <c r="AD658" i="1"/>
  <c r="AC658" i="1"/>
  <c r="AB658" i="1"/>
  <c r="AI657" i="1"/>
  <c r="AH657" i="1"/>
  <c r="AG657" i="1"/>
  <c r="AF657" i="1"/>
  <c r="AE657" i="1"/>
  <c r="AD657" i="1"/>
  <c r="AC657" i="1"/>
  <c r="AB657" i="1"/>
  <c r="AI656" i="1"/>
  <c r="AH656" i="1"/>
  <c r="AG656" i="1"/>
  <c r="AF656" i="1"/>
  <c r="AE656" i="1"/>
  <c r="AD656" i="1"/>
  <c r="AC656" i="1"/>
  <c r="AB656" i="1"/>
  <c r="AI655" i="1"/>
  <c r="AH655" i="1"/>
  <c r="AG655" i="1"/>
  <c r="AF655" i="1"/>
  <c r="AE655" i="1"/>
  <c r="AD655" i="1"/>
  <c r="AC655" i="1"/>
  <c r="AB655" i="1"/>
  <c r="AI654" i="1"/>
  <c r="AH654" i="1"/>
  <c r="AG654" i="1"/>
  <c r="AF654" i="1"/>
  <c r="AE654" i="1"/>
  <c r="AD654" i="1"/>
  <c r="AC654" i="1"/>
  <c r="AB654" i="1"/>
  <c r="AI653" i="1"/>
  <c r="AH653" i="1"/>
  <c r="AG653" i="1"/>
  <c r="AF653" i="1"/>
  <c r="AE653" i="1"/>
  <c r="AD653" i="1"/>
  <c r="AC653" i="1"/>
  <c r="AB653" i="1"/>
  <c r="AI652" i="1"/>
  <c r="AH652" i="1"/>
  <c r="AG652" i="1"/>
  <c r="AF652" i="1"/>
  <c r="AE652" i="1"/>
  <c r="AD652" i="1"/>
  <c r="AC652" i="1"/>
  <c r="AB652" i="1"/>
  <c r="AI651" i="1"/>
  <c r="AH651" i="1"/>
  <c r="AG651" i="1"/>
  <c r="AF651" i="1"/>
  <c r="AE651" i="1"/>
  <c r="AD651" i="1"/>
  <c r="AC651" i="1"/>
  <c r="AB651" i="1"/>
  <c r="AI650" i="1"/>
  <c r="AH650" i="1"/>
  <c r="AG650" i="1"/>
  <c r="AF650" i="1"/>
  <c r="AE650" i="1"/>
  <c r="AD650" i="1"/>
  <c r="AC650" i="1"/>
  <c r="AB650" i="1"/>
  <c r="AI649" i="1"/>
  <c r="AH649" i="1"/>
  <c r="AG649" i="1"/>
  <c r="AF649" i="1"/>
  <c r="AE649" i="1"/>
  <c r="AD649" i="1"/>
  <c r="AC649" i="1"/>
  <c r="AB649" i="1"/>
  <c r="AI648" i="1"/>
  <c r="AH648" i="1"/>
  <c r="AG648" i="1"/>
  <c r="AF648" i="1"/>
  <c r="AE648" i="1"/>
  <c r="AD648" i="1"/>
  <c r="AC648" i="1"/>
  <c r="AB648" i="1"/>
  <c r="AI647" i="1"/>
  <c r="AH647" i="1"/>
  <c r="AG647" i="1"/>
  <c r="AF647" i="1"/>
  <c r="AE647" i="1"/>
  <c r="AD647" i="1"/>
  <c r="AC647" i="1"/>
  <c r="AB647" i="1"/>
  <c r="AI646" i="1"/>
  <c r="AH646" i="1"/>
  <c r="AG646" i="1"/>
  <c r="AF646" i="1"/>
  <c r="AE646" i="1"/>
  <c r="AD646" i="1"/>
  <c r="AC646" i="1"/>
  <c r="AB646" i="1"/>
  <c r="AI645" i="1"/>
  <c r="AH645" i="1"/>
  <c r="AG645" i="1"/>
  <c r="AF645" i="1"/>
  <c r="AE645" i="1"/>
  <c r="AD645" i="1"/>
  <c r="AC645" i="1"/>
  <c r="AB645" i="1"/>
  <c r="AI644" i="1"/>
  <c r="AH644" i="1"/>
  <c r="AG644" i="1"/>
  <c r="AF644" i="1"/>
  <c r="AE644" i="1"/>
  <c r="AD644" i="1"/>
  <c r="AC644" i="1"/>
  <c r="AB644" i="1"/>
  <c r="AI643" i="1"/>
  <c r="AH643" i="1"/>
  <c r="AG643" i="1"/>
  <c r="AF643" i="1"/>
  <c r="AE643" i="1"/>
  <c r="AD643" i="1"/>
  <c r="AC643" i="1"/>
  <c r="AB643" i="1"/>
  <c r="AI642" i="1"/>
  <c r="AH642" i="1"/>
  <c r="AG642" i="1"/>
  <c r="AF642" i="1"/>
  <c r="AE642" i="1"/>
  <c r="AD642" i="1"/>
  <c r="AC642" i="1"/>
  <c r="AB642" i="1"/>
  <c r="AI641" i="1"/>
  <c r="AH641" i="1"/>
  <c r="AG641" i="1"/>
  <c r="AF641" i="1"/>
  <c r="AE641" i="1"/>
  <c r="AD641" i="1"/>
  <c r="AC641" i="1"/>
  <c r="AB641" i="1"/>
  <c r="AI640" i="1"/>
  <c r="AH640" i="1"/>
  <c r="AG640" i="1"/>
  <c r="AF640" i="1"/>
  <c r="AE640" i="1"/>
  <c r="AD640" i="1"/>
  <c r="AC640" i="1"/>
  <c r="AB640" i="1"/>
  <c r="AI639" i="1"/>
  <c r="AH639" i="1"/>
  <c r="AG639" i="1"/>
  <c r="AF639" i="1"/>
  <c r="AE639" i="1"/>
  <c r="AD639" i="1"/>
  <c r="AC639" i="1"/>
  <c r="AB639" i="1"/>
  <c r="AI638" i="1"/>
  <c r="AH638" i="1"/>
  <c r="AG638" i="1"/>
  <c r="AF638" i="1"/>
  <c r="AE638" i="1"/>
  <c r="AD638" i="1"/>
  <c r="AC638" i="1"/>
  <c r="AB638" i="1"/>
  <c r="AI637" i="1"/>
  <c r="AH637" i="1"/>
  <c r="AG637" i="1"/>
  <c r="AF637" i="1"/>
  <c r="AE637" i="1"/>
  <c r="AD637" i="1"/>
  <c r="AC637" i="1"/>
  <c r="AB637" i="1"/>
  <c r="AI636" i="1"/>
  <c r="AH636" i="1"/>
  <c r="AG636" i="1"/>
  <c r="AF636" i="1"/>
  <c r="AE636" i="1"/>
  <c r="AD636" i="1"/>
  <c r="AC636" i="1"/>
  <c r="AB636" i="1"/>
  <c r="AI635" i="1"/>
  <c r="AH635" i="1"/>
  <c r="AG635" i="1"/>
  <c r="AF635" i="1"/>
  <c r="AE635" i="1"/>
  <c r="AD635" i="1"/>
  <c r="AC635" i="1"/>
  <c r="AB635" i="1"/>
  <c r="AI634" i="1"/>
  <c r="AH634" i="1"/>
  <c r="AG634" i="1"/>
  <c r="AF634" i="1"/>
  <c r="AE634" i="1"/>
  <c r="AD634" i="1"/>
  <c r="AC634" i="1"/>
  <c r="AB634" i="1"/>
  <c r="AI633" i="1"/>
  <c r="AH633" i="1"/>
  <c r="AG633" i="1"/>
  <c r="AF633" i="1"/>
  <c r="AE633" i="1"/>
  <c r="AD633" i="1"/>
  <c r="AC633" i="1"/>
  <c r="AB633" i="1"/>
  <c r="AI632" i="1"/>
  <c r="AH632" i="1"/>
  <c r="AG632" i="1"/>
  <c r="AF632" i="1"/>
  <c r="AE632" i="1"/>
  <c r="AD632" i="1"/>
  <c r="AC632" i="1"/>
  <c r="AB632" i="1"/>
  <c r="AI631" i="1"/>
  <c r="AH631" i="1"/>
  <c r="AG631" i="1"/>
  <c r="AF631" i="1"/>
  <c r="AE631" i="1"/>
  <c r="AD631" i="1"/>
  <c r="AC631" i="1"/>
  <c r="AB631" i="1"/>
  <c r="AI630" i="1"/>
  <c r="AH630" i="1"/>
  <c r="AG630" i="1"/>
  <c r="AF630" i="1"/>
  <c r="AE630" i="1"/>
  <c r="AD630" i="1"/>
  <c r="AC630" i="1"/>
  <c r="AB630" i="1"/>
  <c r="AI629" i="1"/>
  <c r="AH629" i="1"/>
  <c r="AG629" i="1"/>
  <c r="AF629" i="1"/>
  <c r="AE629" i="1"/>
  <c r="AD629" i="1"/>
  <c r="AC629" i="1"/>
  <c r="AB629" i="1"/>
  <c r="AI628" i="1"/>
  <c r="AH628" i="1"/>
  <c r="AG628" i="1"/>
  <c r="AF628" i="1"/>
  <c r="AE628" i="1"/>
  <c r="AD628" i="1"/>
  <c r="AC628" i="1"/>
  <c r="AB628" i="1"/>
  <c r="AI627" i="1"/>
  <c r="AH627" i="1"/>
  <c r="AG627" i="1"/>
  <c r="AF627" i="1"/>
  <c r="AE627" i="1"/>
  <c r="AD627" i="1"/>
  <c r="AC627" i="1"/>
  <c r="AB627" i="1"/>
  <c r="AI626" i="1"/>
  <c r="AH626" i="1"/>
  <c r="AG626" i="1"/>
  <c r="AF626" i="1"/>
  <c r="AE626" i="1"/>
  <c r="AD626" i="1"/>
  <c r="AC626" i="1"/>
  <c r="AB626" i="1"/>
  <c r="AI625" i="1"/>
  <c r="AH625" i="1"/>
  <c r="AG625" i="1"/>
  <c r="AF625" i="1"/>
  <c r="AE625" i="1"/>
  <c r="AD625" i="1"/>
  <c r="AC625" i="1"/>
  <c r="AB625" i="1"/>
  <c r="AI624" i="1"/>
  <c r="AH624" i="1"/>
  <c r="AG624" i="1"/>
  <c r="AF624" i="1"/>
  <c r="AE624" i="1"/>
  <c r="AD624" i="1"/>
  <c r="AC624" i="1"/>
  <c r="AB624" i="1"/>
  <c r="AI623" i="1"/>
  <c r="AH623" i="1"/>
  <c r="AG623" i="1"/>
  <c r="AF623" i="1"/>
  <c r="AE623" i="1"/>
  <c r="AD623" i="1"/>
  <c r="AC623" i="1"/>
  <c r="AB623" i="1"/>
  <c r="AI622" i="1"/>
  <c r="AH622" i="1"/>
  <c r="AG622" i="1"/>
  <c r="AF622" i="1"/>
  <c r="AE622" i="1"/>
  <c r="AD622" i="1"/>
  <c r="AC622" i="1"/>
  <c r="AB622" i="1"/>
  <c r="AI621" i="1"/>
  <c r="AH621" i="1"/>
  <c r="AG621" i="1"/>
  <c r="AF621" i="1"/>
  <c r="AE621" i="1"/>
  <c r="AD621" i="1"/>
  <c r="AC621" i="1"/>
  <c r="AB621" i="1"/>
  <c r="AI620" i="1"/>
  <c r="AH620" i="1"/>
  <c r="AG620" i="1"/>
  <c r="AF620" i="1"/>
  <c r="AE620" i="1"/>
  <c r="AD620" i="1"/>
  <c r="AC620" i="1"/>
  <c r="AB620" i="1"/>
  <c r="AI619" i="1"/>
  <c r="AH619" i="1"/>
  <c r="AG619" i="1"/>
  <c r="AF619" i="1"/>
  <c r="AE619" i="1"/>
  <c r="AD619" i="1"/>
  <c r="AC619" i="1"/>
  <c r="AB619" i="1"/>
  <c r="AI618" i="1"/>
  <c r="AH618" i="1"/>
  <c r="AG618" i="1"/>
  <c r="AF618" i="1"/>
  <c r="AE618" i="1"/>
  <c r="AD618" i="1"/>
  <c r="AC618" i="1"/>
  <c r="AB618" i="1"/>
  <c r="AI617" i="1"/>
  <c r="AH617" i="1"/>
  <c r="AG617" i="1"/>
  <c r="AF617" i="1"/>
  <c r="AE617" i="1"/>
  <c r="AD617" i="1"/>
  <c r="AC617" i="1"/>
  <c r="AB617" i="1"/>
  <c r="AI616" i="1"/>
  <c r="AH616" i="1"/>
  <c r="AG616" i="1"/>
  <c r="AF616" i="1"/>
  <c r="AE616" i="1"/>
  <c r="AD616" i="1"/>
  <c r="AC616" i="1"/>
  <c r="AB616" i="1"/>
  <c r="AI615" i="1"/>
  <c r="AH615" i="1"/>
  <c r="AG615" i="1"/>
  <c r="AF615" i="1"/>
  <c r="AE615" i="1"/>
  <c r="AD615" i="1"/>
  <c r="AC615" i="1"/>
  <c r="AB615" i="1"/>
  <c r="AI614" i="1"/>
  <c r="AH614" i="1"/>
  <c r="AG614" i="1"/>
  <c r="AF614" i="1"/>
  <c r="AE614" i="1"/>
  <c r="AD614" i="1"/>
  <c r="AB614" i="1"/>
  <c r="AI613" i="1"/>
  <c r="AH613" i="1"/>
  <c r="AG613" i="1"/>
  <c r="AF613" i="1"/>
  <c r="AE613" i="1"/>
  <c r="AD613" i="1"/>
  <c r="AC613" i="1"/>
  <c r="AB613" i="1"/>
  <c r="AI612" i="1"/>
  <c r="AH612" i="1"/>
  <c r="AG612" i="1"/>
  <c r="AF612" i="1"/>
  <c r="AE612" i="1"/>
  <c r="AD612" i="1"/>
  <c r="AC612" i="1"/>
  <c r="AB612" i="1"/>
  <c r="AI611" i="1"/>
  <c r="AH611" i="1"/>
  <c r="AG611" i="1"/>
  <c r="AF611" i="1"/>
  <c r="AE611" i="1"/>
  <c r="AD611" i="1"/>
  <c r="AC611" i="1"/>
  <c r="AB611" i="1"/>
  <c r="AI610" i="1"/>
  <c r="AH610" i="1"/>
  <c r="AG610" i="1"/>
  <c r="AF610" i="1"/>
  <c r="AE610" i="1"/>
  <c r="AD610" i="1"/>
  <c r="AC610" i="1"/>
  <c r="AB610" i="1"/>
  <c r="AI609" i="1"/>
  <c r="AH609" i="1"/>
  <c r="AG609" i="1"/>
  <c r="AF609" i="1"/>
  <c r="AE609" i="1"/>
  <c r="AD609" i="1"/>
  <c r="AC609" i="1"/>
  <c r="AB609" i="1"/>
  <c r="AI608" i="1"/>
  <c r="AH608" i="1"/>
  <c r="AG608" i="1"/>
  <c r="AF608" i="1"/>
  <c r="AE608" i="1"/>
  <c r="AD608" i="1"/>
  <c r="AC608" i="1"/>
  <c r="AB608" i="1"/>
  <c r="AI607" i="1"/>
  <c r="AH607" i="1"/>
  <c r="AG607" i="1"/>
  <c r="AF607" i="1"/>
  <c r="AE607" i="1"/>
  <c r="AD607" i="1"/>
  <c r="AC607" i="1"/>
  <c r="AB607" i="1"/>
  <c r="AI606" i="1"/>
  <c r="AH606" i="1"/>
  <c r="AG606" i="1"/>
  <c r="AF606" i="1"/>
  <c r="AE606" i="1"/>
  <c r="AD606" i="1"/>
  <c r="AC606" i="1"/>
  <c r="AB606" i="1"/>
  <c r="AI605" i="1"/>
  <c r="AH605" i="1"/>
  <c r="AG605" i="1"/>
  <c r="AF605" i="1"/>
  <c r="AE605" i="1"/>
  <c r="AD605" i="1"/>
  <c r="AC605" i="1"/>
  <c r="AB605" i="1"/>
  <c r="AI604" i="1"/>
  <c r="AH604" i="1"/>
  <c r="AG604" i="1"/>
  <c r="AF604" i="1"/>
  <c r="AE604" i="1"/>
  <c r="AD604" i="1"/>
  <c r="AC604" i="1"/>
  <c r="AB604" i="1"/>
  <c r="AI603" i="1"/>
  <c r="AH603" i="1"/>
  <c r="AG603" i="1"/>
  <c r="AF603" i="1"/>
  <c r="AE603" i="1"/>
  <c r="AD603" i="1"/>
  <c r="AC603" i="1"/>
  <c r="AB603" i="1"/>
  <c r="AI602" i="1"/>
  <c r="AH602" i="1"/>
  <c r="AG602" i="1"/>
  <c r="AF602" i="1"/>
  <c r="AE602" i="1"/>
  <c r="AD602" i="1"/>
  <c r="AC602" i="1"/>
  <c r="AB602" i="1"/>
  <c r="AI601" i="1"/>
  <c r="AH601" i="1"/>
  <c r="AG601" i="1"/>
  <c r="AF601" i="1"/>
  <c r="AE601" i="1"/>
  <c r="AD601" i="1"/>
  <c r="AC601" i="1"/>
  <c r="AB601" i="1"/>
  <c r="AI600" i="1"/>
  <c r="AH600" i="1"/>
  <c r="AG600" i="1"/>
  <c r="AF600" i="1"/>
  <c r="AE600" i="1"/>
  <c r="AD600" i="1"/>
  <c r="AC600" i="1"/>
  <c r="AB600" i="1"/>
  <c r="AI599" i="1"/>
  <c r="AH599" i="1"/>
  <c r="AG599" i="1"/>
  <c r="AF599" i="1"/>
  <c r="AE599" i="1"/>
  <c r="AD599" i="1"/>
  <c r="AC599" i="1"/>
  <c r="AB599" i="1"/>
  <c r="AI598" i="1"/>
  <c r="AH598" i="1"/>
  <c r="AG598" i="1"/>
  <c r="AF598" i="1"/>
  <c r="AE598" i="1"/>
  <c r="AD598" i="1"/>
  <c r="AC598" i="1"/>
  <c r="AB598" i="1"/>
  <c r="AI597" i="1"/>
  <c r="AH597" i="1"/>
  <c r="AG597" i="1"/>
  <c r="AF597" i="1"/>
  <c r="AE597" i="1"/>
  <c r="AD597" i="1"/>
  <c r="AC597" i="1"/>
  <c r="AB597" i="1"/>
  <c r="AI596" i="1"/>
  <c r="AH596" i="1"/>
  <c r="AG596" i="1"/>
  <c r="AF596" i="1"/>
  <c r="AE596" i="1"/>
  <c r="AD596" i="1"/>
  <c r="AC596" i="1"/>
  <c r="AB596" i="1"/>
  <c r="AI595" i="1"/>
  <c r="AH595" i="1"/>
  <c r="AG595" i="1"/>
  <c r="AF595" i="1"/>
  <c r="AE595" i="1"/>
  <c r="AD595" i="1"/>
  <c r="AC595" i="1"/>
  <c r="AB595" i="1"/>
  <c r="AI594" i="1"/>
  <c r="AH594" i="1"/>
  <c r="AG594" i="1"/>
  <c r="AF594" i="1"/>
  <c r="AE594" i="1"/>
  <c r="AD594" i="1"/>
  <c r="AC594" i="1"/>
  <c r="AB594" i="1"/>
  <c r="AI593" i="1"/>
  <c r="AH593" i="1"/>
  <c r="AG593" i="1"/>
  <c r="AF593" i="1"/>
  <c r="AE593" i="1"/>
  <c r="AD593" i="1"/>
  <c r="AC593" i="1"/>
  <c r="AB593" i="1"/>
  <c r="AI592" i="1"/>
  <c r="AH592" i="1"/>
  <c r="AG592" i="1"/>
  <c r="AF592" i="1"/>
  <c r="AE592" i="1"/>
  <c r="AD592" i="1"/>
  <c r="AC592" i="1"/>
  <c r="AB592" i="1"/>
  <c r="AI591" i="1"/>
  <c r="AH591" i="1"/>
  <c r="AG591" i="1"/>
  <c r="AF591" i="1"/>
  <c r="AE591" i="1"/>
  <c r="AD591" i="1"/>
  <c r="AC591" i="1"/>
  <c r="AB591" i="1"/>
  <c r="AI590" i="1"/>
  <c r="AH590" i="1"/>
  <c r="AG590" i="1"/>
  <c r="AF590" i="1"/>
  <c r="AE590" i="1"/>
  <c r="AD590" i="1"/>
  <c r="AC590" i="1"/>
  <c r="AB590" i="1"/>
  <c r="AI589" i="1"/>
  <c r="AH589" i="1"/>
  <c r="AG589" i="1"/>
  <c r="AF589" i="1"/>
  <c r="AE589" i="1"/>
  <c r="AD589" i="1"/>
  <c r="AC589" i="1"/>
  <c r="AB589" i="1"/>
  <c r="AI588" i="1"/>
  <c r="AH588" i="1"/>
  <c r="AG588" i="1"/>
  <c r="AF588" i="1"/>
  <c r="AE588" i="1"/>
  <c r="AD588" i="1"/>
  <c r="AC588" i="1"/>
  <c r="AB588" i="1"/>
  <c r="AI587" i="1"/>
  <c r="AH587" i="1"/>
  <c r="AG587" i="1"/>
  <c r="AF587" i="1"/>
  <c r="AE587" i="1"/>
  <c r="AD587" i="1"/>
  <c r="AC587" i="1"/>
  <c r="AB587" i="1"/>
  <c r="AI586" i="1"/>
  <c r="AH586" i="1"/>
  <c r="AG586" i="1"/>
  <c r="AF586" i="1"/>
  <c r="AE586" i="1"/>
  <c r="AD586" i="1"/>
  <c r="AC586" i="1"/>
  <c r="AB586" i="1"/>
  <c r="AI585" i="1"/>
  <c r="AH585" i="1"/>
  <c r="AG585" i="1"/>
  <c r="AF585" i="1"/>
  <c r="AE585" i="1"/>
  <c r="AD585" i="1"/>
  <c r="AC585" i="1"/>
  <c r="AB585" i="1"/>
  <c r="AI584" i="1"/>
  <c r="AH584" i="1"/>
  <c r="AG584" i="1"/>
  <c r="AF584" i="1"/>
  <c r="AE584" i="1"/>
  <c r="AD584" i="1"/>
  <c r="AC584" i="1"/>
  <c r="AB584" i="1"/>
  <c r="AI583" i="1"/>
  <c r="AH583" i="1"/>
  <c r="AG583" i="1"/>
  <c r="AF583" i="1"/>
  <c r="AE583" i="1"/>
  <c r="AD583" i="1"/>
  <c r="AC583" i="1"/>
  <c r="AB583" i="1"/>
  <c r="AI582" i="1"/>
  <c r="AH582" i="1"/>
  <c r="AG582" i="1"/>
  <c r="AF582" i="1"/>
  <c r="AE582" i="1"/>
  <c r="AD582" i="1"/>
  <c r="AC582" i="1"/>
  <c r="AB582" i="1"/>
  <c r="AI581" i="1"/>
  <c r="AH581" i="1"/>
  <c r="AG581" i="1"/>
  <c r="AF581" i="1"/>
  <c r="AE581" i="1"/>
  <c r="AD581" i="1"/>
  <c r="AC581" i="1"/>
  <c r="AB581" i="1"/>
  <c r="AI580" i="1"/>
  <c r="AH580" i="1"/>
  <c r="AG580" i="1"/>
  <c r="AF580" i="1"/>
  <c r="AE580" i="1"/>
  <c r="AD580" i="1"/>
  <c r="AC580" i="1"/>
  <c r="AB580" i="1"/>
  <c r="AI579" i="1"/>
  <c r="AH579" i="1"/>
  <c r="AG579" i="1"/>
  <c r="AF579" i="1"/>
  <c r="AE579" i="1"/>
  <c r="AD579" i="1"/>
  <c r="AC579" i="1"/>
  <c r="AB579" i="1"/>
  <c r="AI578" i="1"/>
  <c r="AH578" i="1"/>
  <c r="AG578" i="1"/>
  <c r="AF578" i="1"/>
  <c r="AE578" i="1"/>
  <c r="AD578" i="1"/>
  <c r="AB578" i="1"/>
  <c r="AI577" i="1"/>
  <c r="AH577" i="1"/>
  <c r="AG577" i="1"/>
  <c r="AF577" i="1"/>
  <c r="AE577" i="1"/>
  <c r="AD577" i="1"/>
  <c r="AC577" i="1"/>
  <c r="AB577" i="1"/>
  <c r="AI576" i="1"/>
  <c r="AH576" i="1"/>
  <c r="AG576" i="1"/>
  <c r="AF576" i="1"/>
  <c r="AE576" i="1"/>
  <c r="AD576" i="1"/>
  <c r="AC576" i="1"/>
  <c r="AB576" i="1"/>
  <c r="AI575" i="1"/>
  <c r="AH575" i="1"/>
  <c r="AG575" i="1"/>
  <c r="AF575" i="1"/>
  <c r="AE575" i="1"/>
  <c r="AD575" i="1"/>
  <c r="AC575" i="1"/>
  <c r="AB575" i="1"/>
  <c r="AI574" i="1"/>
  <c r="AH574" i="1"/>
  <c r="AG574" i="1"/>
  <c r="AF574" i="1"/>
  <c r="AE574" i="1"/>
  <c r="AD574" i="1"/>
  <c r="AC574" i="1"/>
  <c r="AB574" i="1"/>
  <c r="AH573" i="1"/>
  <c r="AG573" i="1"/>
  <c r="AF573" i="1"/>
  <c r="AE573" i="1"/>
  <c r="AD573" i="1"/>
  <c r="AC573" i="1"/>
  <c r="AB573" i="1"/>
  <c r="AI572" i="1"/>
  <c r="AH572" i="1"/>
  <c r="AG572" i="1"/>
  <c r="AF572" i="1"/>
  <c r="AE572" i="1"/>
  <c r="AD572" i="1"/>
  <c r="AC572" i="1"/>
  <c r="AB572" i="1"/>
  <c r="AI571" i="1"/>
  <c r="AH571" i="1"/>
  <c r="AG571" i="1"/>
  <c r="AF571" i="1"/>
  <c r="AE571" i="1"/>
  <c r="AD571" i="1"/>
  <c r="AC571" i="1"/>
  <c r="AB571" i="1"/>
  <c r="AI570" i="1"/>
  <c r="AH570" i="1"/>
  <c r="AG570" i="1"/>
  <c r="AF570" i="1"/>
  <c r="AE570" i="1"/>
  <c r="AD570" i="1"/>
  <c r="AC570" i="1"/>
  <c r="AB570" i="1"/>
  <c r="AI569" i="1"/>
  <c r="AH569" i="1"/>
  <c r="AG569" i="1"/>
  <c r="AF569" i="1"/>
  <c r="AE569" i="1"/>
  <c r="AD569" i="1"/>
  <c r="AC569" i="1"/>
  <c r="AB569" i="1"/>
  <c r="AI568" i="1"/>
  <c r="AH568" i="1"/>
  <c r="AG568" i="1"/>
  <c r="AF568" i="1"/>
  <c r="AE568" i="1"/>
  <c r="AD568" i="1"/>
  <c r="AC568" i="1"/>
  <c r="AB568" i="1"/>
  <c r="AI567" i="1"/>
  <c r="AH567" i="1"/>
  <c r="AG567" i="1"/>
  <c r="AF567" i="1"/>
  <c r="AE567" i="1"/>
  <c r="AD567" i="1"/>
  <c r="AC567" i="1"/>
  <c r="AB567" i="1"/>
  <c r="AI566" i="1"/>
  <c r="AH566" i="1"/>
  <c r="AG566" i="1"/>
  <c r="AF566" i="1"/>
  <c r="AE566" i="1"/>
  <c r="AD566" i="1"/>
  <c r="AC566" i="1"/>
  <c r="AB566" i="1"/>
  <c r="AI565" i="1"/>
  <c r="AH565" i="1"/>
  <c r="AG565" i="1"/>
  <c r="AF565" i="1"/>
  <c r="AE565" i="1"/>
  <c r="AD565" i="1"/>
  <c r="AC565" i="1"/>
  <c r="AB565" i="1"/>
  <c r="AI564" i="1"/>
  <c r="AH564" i="1"/>
  <c r="AG564" i="1"/>
  <c r="AF564" i="1"/>
  <c r="AE564" i="1"/>
  <c r="AD564" i="1"/>
  <c r="AC564" i="1"/>
  <c r="AB564" i="1"/>
  <c r="AI563" i="1"/>
  <c r="AH563" i="1"/>
  <c r="AG563" i="1"/>
  <c r="AF563" i="1"/>
  <c r="AE563" i="1"/>
  <c r="AD563" i="1"/>
  <c r="AC563" i="1"/>
  <c r="AB563" i="1"/>
  <c r="AI562" i="1"/>
  <c r="AH562" i="1"/>
  <c r="AG562" i="1"/>
  <c r="AF562" i="1"/>
  <c r="AE562" i="1"/>
  <c r="AD562" i="1"/>
  <c r="AC562" i="1"/>
  <c r="AB562" i="1"/>
  <c r="AI561" i="1"/>
  <c r="AH561" i="1"/>
  <c r="AG561" i="1"/>
  <c r="AF561" i="1"/>
  <c r="AE561" i="1"/>
  <c r="AD561" i="1"/>
  <c r="AC561" i="1"/>
  <c r="AB561" i="1"/>
  <c r="AI560" i="1"/>
  <c r="AH560" i="1"/>
  <c r="AG560" i="1"/>
  <c r="AF560" i="1"/>
  <c r="AE560" i="1"/>
  <c r="AD560" i="1"/>
  <c r="AC560" i="1"/>
  <c r="AB560" i="1"/>
  <c r="AI559" i="1"/>
  <c r="AH559" i="1"/>
  <c r="AG559" i="1"/>
  <c r="AF559" i="1"/>
  <c r="AE559" i="1"/>
  <c r="AD559" i="1"/>
  <c r="AC559" i="1"/>
  <c r="AB559" i="1"/>
  <c r="AI558" i="1"/>
  <c r="AH558" i="1"/>
  <c r="AG558" i="1"/>
  <c r="AF558" i="1"/>
  <c r="AE558" i="1"/>
  <c r="AD558" i="1"/>
  <c r="AC558" i="1"/>
  <c r="AB558" i="1"/>
  <c r="AI557" i="1"/>
  <c r="AH557" i="1"/>
  <c r="AG557" i="1"/>
  <c r="AF557" i="1"/>
  <c r="AE557" i="1"/>
  <c r="AD557" i="1"/>
  <c r="AC557" i="1"/>
  <c r="AB557" i="1"/>
  <c r="AI556" i="1"/>
  <c r="AH556" i="1"/>
  <c r="AG556" i="1"/>
  <c r="AF556" i="1"/>
  <c r="AE556" i="1"/>
  <c r="AD556" i="1"/>
  <c r="AB556" i="1"/>
  <c r="AI555" i="1"/>
  <c r="AH555" i="1"/>
  <c r="AG555" i="1"/>
  <c r="AF555" i="1"/>
  <c r="AE555" i="1"/>
  <c r="AD555" i="1"/>
  <c r="AC555" i="1"/>
  <c r="AB555" i="1"/>
  <c r="AI554" i="1"/>
  <c r="AH554" i="1"/>
  <c r="AG554" i="1"/>
  <c r="AF554" i="1"/>
  <c r="AE554" i="1"/>
  <c r="AD554" i="1"/>
  <c r="AC554" i="1"/>
  <c r="AB554" i="1"/>
  <c r="AI553" i="1"/>
  <c r="AH553" i="1"/>
  <c r="AG553" i="1"/>
  <c r="AF553" i="1"/>
  <c r="AE553" i="1"/>
  <c r="AD553" i="1"/>
  <c r="AC553" i="1"/>
  <c r="AB553" i="1"/>
  <c r="AI552" i="1"/>
  <c r="AH552" i="1"/>
  <c r="AG552" i="1"/>
  <c r="AF552" i="1"/>
  <c r="AE552" i="1"/>
  <c r="AD552" i="1"/>
  <c r="AC552" i="1"/>
  <c r="AB552" i="1"/>
  <c r="AI551" i="1"/>
  <c r="AH551" i="1"/>
  <c r="AG551" i="1"/>
  <c r="AF551" i="1"/>
  <c r="AE551" i="1"/>
  <c r="AD551" i="1"/>
  <c r="AC551" i="1"/>
  <c r="AB551" i="1"/>
  <c r="AI550" i="1"/>
  <c r="AH550" i="1"/>
  <c r="AG550" i="1"/>
  <c r="AF550" i="1"/>
  <c r="AE550" i="1"/>
  <c r="AD550" i="1"/>
  <c r="AC550" i="1"/>
  <c r="AB550" i="1"/>
  <c r="AI549" i="1"/>
  <c r="AH549" i="1"/>
  <c r="AG549" i="1"/>
  <c r="AF549" i="1"/>
  <c r="AE549" i="1"/>
  <c r="AD549" i="1"/>
  <c r="AC549" i="1"/>
  <c r="AB549" i="1"/>
  <c r="AI548" i="1"/>
  <c r="AH548" i="1"/>
  <c r="AG548" i="1"/>
  <c r="AF548" i="1"/>
  <c r="AE548" i="1"/>
  <c r="AD548" i="1"/>
  <c r="AC548" i="1"/>
  <c r="AB548" i="1"/>
  <c r="AI547" i="1"/>
  <c r="AH547" i="1"/>
  <c r="AG547" i="1"/>
  <c r="AF547" i="1"/>
  <c r="AE547" i="1"/>
  <c r="AD547" i="1"/>
  <c r="AC547" i="1"/>
  <c r="AB547" i="1"/>
  <c r="AI546" i="1"/>
  <c r="AH546" i="1"/>
  <c r="AG546" i="1"/>
  <c r="AF546" i="1"/>
  <c r="AE546" i="1"/>
  <c r="AD546" i="1"/>
  <c r="AC546" i="1"/>
  <c r="AB546" i="1"/>
  <c r="AI545" i="1"/>
  <c r="AH545" i="1"/>
  <c r="AG545" i="1"/>
  <c r="AF545" i="1"/>
  <c r="AE545" i="1"/>
  <c r="AD545" i="1"/>
  <c r="AC545" i="1"/>
  <c r="AB545" i="1"/>
  <c r="AI544" i="1"/>
  <c r="AH544" i="1"/>
  <c r="AG544" i="1"/>
  <c r="AF544" i="1"/>
  <c r="AE544" i="1"/>
  <c r="AD544" i="1"/>
  <c r="AC544" i="1"/>
  <c r="AB544" i="1"/>
  <c r="AI543" i="1"/>
  <c r="AH543" i="1"/>
  <c r="AG543" i="1"/>
  <c r="AF543" i="1"/>
  <c r="AE543" i="1"/>
  <c r="AD543" i="1"/>
  <c r="AC543" i="1"/>
  <c r="AB543" i="1"/>
  <c r="AI542" i="1"/>
  <c r="AH542" i="1"/>
  <c r="AG542" i="1"/>
  <c r="AF542" i="1"/>
  <c r="AE542" i="1"/>
  <c r="AD542" i="1"/>
  <c r="AC542" i="1"/>
  <c r="AB542" i="1"/>
  <c r="AI541" i="1"/>
  <c r="AH541" i="1"/>
  <c r="AG541" i="1"/>
  <c r="AF541" i="1"/>
  <c r="AE541" i="1"/>
  <c r="AD541" i="1"/>
  <c r="AC541" i="1"/>
  <c r="AB541" i="1"/>
  <c r="AI540" i="1"/>
  <c r="AH540" i="1"/>
  <c r="AG540" i="1"/>
  <c r="AF540" i="1"/>
  <c r="AE540" i="1"/>
  <c r="AD540" i="1"/>
  <c r="AC540" i="1"/>
  <c r="AB540" i="1"/>
  <c r="AI539" i="1"/>
  <c r="AH539" i="1"/>
  <c r="AG539" i="1"/>
  <c r="AF539" i="1"/>
  <c r="AE539" i="1"/>
  <c r="AD539" i="1"/>
  <c r="AC539" i="1"/>
  <c r="AB539" i="1"/>
  <c r="AI538" i="1"/>
  <c r="AH538" i="1"/>
  <c r="AG538" i="1"/>
  <c r="AF538" i="1"/>
  <c r="AE538" i="1"/>
  <c r="AD538" i="1"/>
  <c r="AC538" i="1"/>
  <c r="AB538" i="1"/>
  <c r="AI537" i="1"/>
  <c r="AH537" i="1"/>
  <c r="AG537" i="1"/>
  <c r="AF537" i="1"/>
  <c r="AE537" i="1"/>
  <c r="AD537" i="1"/>
  <c r="AC537" i="1"/>
  <c r="AB537" i="1"/>
  <c r="AI536" i="1"/>
  <c r="AH536" i="1"/>
  <c r="AG536" i="1"/>
  <c r="AF536" i="1"/>
  <c r="AE536" i="1"/>
  <c r="AD536" i="1"/>
  <c r="AC536" i="1"/>
  <c r="AB536" i="1"/>
  <c r="AI535" i="1"/>
  <c r="AH535" i="1"/>
  <c r="AG535" i="1"/>
  <c r="AF535" i="1"/>
  <c r="AE535" i="1"/>
  <c r="AD535" i="1"/>
  <c r="AC535" i="1"/>
  <c r="AB535" i="1"/>
  <c r="AI534" i="1"/>
  <c r="AH534" i="1"/>
  <c r="AG534" i="1"/>
  <c r="AF534" i="1"/>
  <c r="AE534" i="1"/>
  <c r="AD534" i="1"/>
  <c r="AC534" i="1"/>
  <c r="AB534" i="1"/>
  <c r="AH533" i="1"/>
  <c r="AG533" i="1"/>
  <c r="AF533" i="1"/>
  <c r="AE533" i="1"/>
  <c r="AD533" i="1"/>
  <c r="AC533" i="1"/>
  <c r="AB533" i="1"/>
  <c r="AI532" i="1"/>
  <c r="AH532" i="1"/>
  <c r="AG532" i="1"/>
  <c r="AF532" i="1"/>
  <c r="AE532" i="1"/>
  <c r="AD532" i="1"/>
  <c r="AC532" i="1"/>
  <c r="AB532" i="1"/>
  <c r="AI531" i="1"/>
  <c r="AH531" i="1"/>
  <c r="AG531" i="1"/>
  <c r="AF531" i="1"/>
  <c r="AE531" i="1"/>
  <c r="AD531" i="1"/>
  <c r="AC531" i="1"/>
  <c r="AB531" i="1"/>
  <c r="AI530" i="1"/>
  <c r="AH530" i="1"/>
  <c r="AG530" i="1"/>
  <c r="AF530" i="1"/>
  <c r="AE530" i="1"/>
  <c r="AD530" i="1"/>
  <c r="AC530" i="1"/>
  <c r="AB530" i="1"/>
  <c r="AI529" i="1"/>
  <c r="AH529" i="1"/>
  <c r="AG529" i="1"/>
  <c r="AF529" i="1"/>
  <c r="AE529" i="1"/>
  <c r="AD529" i="1"/>
  <c r="AC529" i="1"/>
  <c r="AB529" i="1"/>
  <c r="AI528" i="1"/>
  <c r="AH528" i="1"/>
  <c r="AG528" i="1"/>
  <c r="AF528" i="1"/>
  <c r="AE528" i="1"/>
  <c r="AD528" i="1"/>
  <c r="AC528" i="1"/>
  <c r="AB528" i="1"/>
  <c r="AI527" i="1"/>
  <c r="AH527" i="1"/>
  <c r="AG527" i="1"/>
  <c r="AF527" i="1"/>
  <c r="AE527" i="1"/>
  <c r="AD527" i="1"/>
  <c r="AC527" i="1"/>
  <c r="AB527" i="1"/>
  <c r="AI526" i="1"/>
  <c r="AH526" i="1"/>
  <c r="AG526" i="1"/>
  <c r="AF526" i="1"/>
  <c r="AE526" i="1"/>
  <c r="AD526" i="1"/>
  <c r="AC526" i="1"/>
  <c r="AB526" i="1"/>
  <c r="AI525" i="1"/>
  <c r="AH525" i="1"/>
  <c r="AG525" i="1"/>
  <c r="AF525" i="1"/>
  <c r="AE525" i="1"/>
  <c r="AD525" i="1"/>
  <c r="AC525" i="1"/>
  <c r="AB525" i="1"/>
  <c r="AI524" i="1"/>
  <c r="AH524" i="1"/>
  <c r="AG524" i="1"/>
  <c r="AF524" i="1"/>
  <c r="AE524" i="1"/>
  <c r="AD524" i="1"/>
  <c r="AC524" i="1"/>
  <c r="AB524" i="1"/>
  <c r="AI523" i="1"/>
  <c r="AH523" i="1"/>
  <c r="AG523" i="1"/>
  <c r="AF523" i="1"/>
  <c r="AE523" i="1"/>
  <c r="AD523" i="1"/>
  <c r="AC523" i="1"/>
  <c r="AB523" i="1"/>
  <c r="AI522" i="1"/>
  <c r="AH522" i="1"/>
  <c r="AG522" i="1"/>
  <c r="AF522" i="1"/>
  <c r="AE522" i="1"/>
  <c r="AD522" i="1"/>
  <c r="AC522" i="1"/>
  <c r="AB522" i="1"/>
  <c r="AI521" i="1"/>
  <c r="AH521" i="1"/>
  <c r="AG521" i="1"/>
  <c r="AF521" i="1"/>
  <c r="AE521" i="1"/>
  <c r="AD521" i="1"/>
  <c r="AC521" i="1"/>
  <c r="AB521" i="1"/>
  <c r="AI520" i="1"/>
  <c r="AH520" i="1"/>
  <c r="AG520" i="1"/>
  <c r="AF520" i="1"/>
  <c r="AE520" i="1"/>
  <c r="AD520" i="1"/>
  <c r="AC520" i="1"/>
  <c r="AB520" i="1"/>
  <c r="AI519" i="1"/>
  <c r="AH519" i="1"/>
  <c r="AG519" i="1"/>
  <c r="AF519" i="1"/>
  <c r="AE519" i="1"/>
  <c r="AD519" i="1"/>
  <c r="AC519" i="1"/>
  <c r="AB519" i="1"/>
  <c r="AI518" i="1"/>
  <c r="AH518" i="1"/>
  <c r="AG518" i="1"/>
  <c r="AF518" i="1"/>
  <c r="AE518" i="1"/>
  <c r="AD518" i="1"/>
  <c r="AC518" i="1"/>
  <c r="AB518" i="1"/>
  <c r="AI517" i="1"/>
  <c r="AH517" i="1"/>
  <c r="AG517" i="1"/>
  <c r="AF517" i="1"/>
  <c r="AE517" i="1"/>
  <c r="AD517" i="1"/>
  <c r="AC517" i="1"/>
  <c r="AB517" i="1"/>
  <c r="AI516" i="1"/>
  <c r="AH516" i="1"/>
  <c r="AG516" i="1"/>
  <c r="AF516" i="1"/>
  <c r="AE516" i="1"/>
  <c r="AD516" i="1"/>
  <c r="AC516" i="1"/>
  <c r="AB516" i="1"/>
  <c r="AI515" i="1"/>
  <c r="AH515" i="1"/>
  <c r="AG515" i="1"/>
  <c r="AF515" i="1"/>
  <c r="AE515" i="1"/>
  <c r="AD515" i="1"/>
  <c r="AC515" i="1"/>
  <c r="AB515" i="1"/>
  <c r="AI514" i="1"/>
  <c r="AH514" i="1"/>
  <c r="AG514" i="1"/>
  <c r="AF514" i="1"/>
  <c r="AE514" i="1"/>
  <c r="AD514" i="1"/>
  <c r="AC514" i="1"/>
  <c r="AB514" i="1"/>
  <c r="AI513" i="1"/>
  <c r="AH513" i="1"/>
  <c r="AG513" i="1"/>
  <c r="AF513" i="1"/>
  <c r="AE513" i="1"/>
  <c r="AD513" i="1"/>
  <c r="AC513" i="1"/>
  <c r="AB513" i="1"/>
  <c r="AI512" i="1"/>
  <c r="AH512" i="1"/>
  <c r="AG512" i="1"/>
  <c r="AF512" i="1"/>
  <c r="AE512" i="1"/>
  <c r="AD512" i="1"/>
  <c r="AC512" i="1"/>
  <c r="AB512" i="1"/>
  <c r="AI511" i="1"/>
  <c r="AH511" i="1"/>
  <c r="AG511" i="1"/>
  <c r="AF511" i="1"/>
  <c r="AE511" i="1"/>
  <c r="AD511" i="1"/>
  <c r="AC511" i="1"/>
  <c r="AB511" i="1"/>
  <c r="AI510" i="1"/>
  <c r="AH510" i="1"/>
  <c r="AG510" i="1"/>
  <c r="AF510" i="1"/>
  <c r="AE510" i="1"/>
  <c r="AD510" i="1"/>
  <c r="AC510" i="1"/>
  <c r="AB510" i="1"/>
  <c r="AI509" i="1"/>
  <c r="AH509" i="1"/>
  <c r="AG509" i="1"/>
  <c r="AF509" i="1"/>
  <c r="AE509" i="1"/>
  <c r="AD509" i="1"/>
  <c r="AC509" i="1"/>
  <c r="AB509" i="1"/>
  <c r="AI508" i="1"/>
  <c r="AH508" i="1"/>
  <c r="AG508" i="1"/>
  <c r="AF508" i="1"/>
  <c r="AE508" i="1"/>
  <c r="AD508" i="1"/>
  <c r="AC508" i="1"/>
  <c r="AB508" i="1"/>
  <c r="AI507" i="1"/>
  <c r="AH507" i="1"/>
  <c r="AG507" i="1"/>
  <c r="AF507" i="1"/>
  <c r="AE507" i="1"/>
  <c r="AD507" i="1"/>
  <c r="AC507" i="1"/>
  <c r="AB507" i="1"/>
  <c r="AI506" i="1"/>
  <c r="AH506" i="1"/>
  <c r="AG506" i="1"/>
  <c r="AF506" i="1"/>
  <c r="AE506" i="1"/>
  <c r="AD506" i="1"/>
  <c r="AC506" i="1"/>
  <c r="AB506" i="1"/>
  <c r="AI505" i="1"/>
  <c r="AH505" i="1"/>
  <c r="AG505" i="1"/>
  <c r="AF505" i="1"/>
  <c r="AE505" i="1"/>
  <c r="AD505" i="1"/>
  <c r="AC505" i="1"/>
  <c r="AB505" i="1"/>
  <c r="AI504" i="1"/>
  <c r="AH504" i="1"/>
  <c r="AG504" i="1"/>
  <c r="AF504" i="1"/>
  <c r="AE504" i="1"/>
  <c r="AD504" i="1"/>
  <c r="AC504" i="1"/>
  <c r="AB504" i="1"/>
  <c r="AI503" i="1"/>
  <c r="AH503" i="1"/>
  <c r="AG503" i="1"/>
  <c r="AF503" i="1"/>
  <c r="AE503" i="1"/>
  <c r="AD503" i="1"/>
  <c r="AC503" i="1"/>
  <c r="AB503" i="1"/>
  <c r="AI502" i="1"/>
  <c r="AH502" i="1"/>
  <c r="AG502" i="1"/>
  <c r="AF502" i="1"/>
  <c r="AE502" i="1"/>
  <c r="AD502" i="1"/>
  <c r="AC502" i="1"/>
  <c r="AB502" i="1"/>
  <c r="AI501" i="1"/>
  <c r="AH501" i="1"/>
  <c r="AG501" i="1"/>
  <c r="AF501" i="1"/>
  <c r="AE501" i="1"/>
  <c r="AD501" i="1"/>
  <c r="AC501" i="1"/>
  <c r="AB501" i="1"/>
  <c r="AI500" i="1"/>
  <c r="AH500" i="1"/>
  <c r="AG500" i="1"/>
  <c r="AF500" i="1"/>
  <c r="AE500" i="1"/>
  <c r="AD500" i="1"/>
  <c r="AC500" i="1"/>
  <c r="AB500" i="1"/>
  <c r="AI499" i="1"/>
  <c r="AH499" i="1"/>
  <c r="AG499" i="1"/>
  <c r="AF499" i="1"/>
  <c r="AE499" i="1"/>
  <c r="AD499" i="1"/>
  <c r="AC499" i="1"/>
  <c r="AB499" i="1"/>
  <c r="AI498" i="1"/>
  <c r="AH498" i="1"/>
  <c r="AG498" i="1"/>
  <c r="AF498" i="1"/>
  <c r="AE498" i="1"/>
  <c r="AD498" i="1"/>
  <c r="AC498" i="1"/>
  <c r="AB498" i="1"/>
  <c r="AI497" i="1"/>
  <c r="AH497" i="1"/>
  <c r="AG497" i="1"/>
  <c r="AF497" i="1"/>
  <c r="AE497" i="1"/>
  <c r="AD497" i="1"/>
  <c r="AC497" i="1"/>
  <c r="AB497" i="1"/>
  <c r="AI496" i="1"/>
  <c r="AH496" i="1"/>
  <c r="AG496" i="1"/>
  <c r="AF496" i="1"/>
  <c r="AE496" i="1"/>
  <c r="AD496" i="1"/>
  <c r="AC496" i="1"/>
  <c r="AB496" i="1"/>
  <c r="AI495" i="1"/>
  <c r="AH495" i="1"/>
  <c r="AG495" i="1"/>
  <c r="AF495" i="1"/>
  <c r="AE495" i="1"/>
  <c r="AD495" i="1"/>
  <c r="AC495" i="1"/>
  <c r="AB495" i="1"/>
  <c r="AI494" i="1"/>
  <c r="AH494" i="1"/>
  <c r="AG494" i="1"/>
  <c r="AF494" i="1"/>
  <c r="AE494" i="1"/>
  <c r="AD494" i="1"/>
  <c r="AC494" i="1"/>
  <c r="AB494" i="1"/>
  <c r="AI493" i="1"/>
  <c r="AH493" i="1"/>
  <c r="AG493" i="1"/>
  <c r="AF493" i="1"/>
  <c r="AE493" i="1"/>
  <c r="AD493" i="1"/>
  <c r="AC493" i="1"/>
  <c r="AB493" i="1"/>
  <c r="AI492" i="1"/>
  <c r="AH492" i="1"/>
  <c r="AG492" i="1"/>
  <c r="AF492" i="1"/>
  <c r="AE492" i="1"/>
  <c r="AD492" i="1"/>
  <c r="AC492" i="1"/>
  <c r="AB492" i="1"/>
  <c r="AI491" i="1"/>
  <c r="AH491" i="1"/>
  <c r="AG491" i="1"/>
  <c r="AF491" i="1"/>
  <c r="AE491" i="1"/>
  <c r="AD491" i="1"/>
  <c r="AC491" i="1"/>
  <c r="AB491" i="1"/>
  <c r="AI490" i="1"/>
  <c r="AH490" i="1"/>
  <c r="AG490" i="1"/>
  <c r="AF490" i="1"/>
  <c r="AE490" i="1"/>
  <c r="AD490" i="1"/>
  <c r="AC490" i="1"/>
  <c r="AB490" i="1"/>
  <c r="AI489" i="1"/>
  <c r="AH489" i="1"/>
  <c r="AG489" i="1"/>
  <c r="AF489" i="1"/>
  <c r="AE489" i="1"/>
  <c r="AD489" i="1"/>
  <c r="AC489" i="1"/>
  <c r="AB489" i="1"/>
  <c r="AI488" i="1"/>
  <c r="AH488" i="1"/>
  <c r="AG488" i="1"/>
  <c r="AF488" i="1"/>
  <c r="AE488" i="1"/>
  <c r="AD488" i="1"/>
  <c r="AC488" i="1"/>
  <c r="AB488" i="1"/>
  <c r="AI487" i="1"/>
  <c r="AH487" i="1"/>
  <c r="AG487" i="1"/>
  <c r="AF487" i="1"/>
  <c r="AE487" i="1"/>
  <c r="AD487" i="1"/>
  <c r="AC487" i="1"/>
  <c r="AB487" i="1"/>
  <c r="AI486" i="1"/>
  <c r="AH486" i="1"/>
  <c r="AG486" i="1"/>
  <c r="AF486" i="1"/>
  <c r="AE486" i="1"/>
  <c r="AD486" i="1"/>
  <c r="AC486" i="1"/>
  <c r="AB486" i="1"/>
  <c r="AI485" i="1"/>
  <c r="AH485" i="1"/>
  <c r="AG485" i="1"/>
  <c r="AF485" i="1"/>
  <c r="AE485" i="1"/>
  <c r="AD485" i="1"/>
  <c r="AC485" i="1"/>
  <c r="AB485" i="1"/>
  <c r="AI484" i="1"/>
  <c r="AH484" i="1"/>
  <c r="AG484" i="1"/>
  <c r="AF484" i="1"/>
  <c r="AE484" i="1"/>
  <c r="AD484" i="1"/>
  <c r="AC484" i="1"/>
  <c r="AB484" i="1"/>
  <c r="AI483" i="1"/>
  <c r="AH483" i="1"/>
  <c r="AG483" i="1"/>
  <c r="AF483" i="1"/>
  <c r="AE483" i="1"/>
  <c r="AD483" i="1"/>
  <c r="AC483" i="1"/>
  <c r="AB483" i="1"/>
  <c r="AH482" i="1"/>
  <c r="AG482" i="1"/>
  <c r="AF482" i="1"/>
  <c r="AE482" i="1"/>
  <c r="AD482" i="1"/>
  <c r="AC482" i="1"/>
  <c r="AB482" i="1"/>
  <c r="AI481" i="1"/>
  <c r="AH481" i="1"/>
  <c r="AG481" i="1"/>
  <c r="AF481" i="1"/>
  <c r="AE481" i="1"/>
  <c r="AD481" i="1"/>
  <c r="AC481" i="1"/>
  <c r="AB481" i="1"/>
  <c r="AI480" i="1"/>
  <c r="AH480" i="1"/>
  <c r="AG480" i="1"/>
  <c r="AF480" i="1"/>
  <c r="AE480" i="1"/>
  <c r="AD480" i="1"/>
  <c r="AB480" i="1"/>
  <c r="AI479" i="1"/>
  <c r="AH479" i="1"/>
  <c r="AG479" i="1"/>
  <c r="AF479" i="1"/>
  <c r="AE479" i="1"/>
  <c r="AD479" i="1"/>
  <c r="AC479" i="1"/>
  <c r="AB479" i="1"/>
  <c r="AI478" i="1"/>
  <c r="AH478" i="1"/>
  <c r="AG478" i="1"/>
  <c r="AF478" i="1"/>
  <c r="AE478" i="1"/>
  <c r="AD478" i="1"/>
  <c r="AC478" i="1"/>
  <c r="AB478" i="1"/>
  <c r="AI477" i="1"/>
  <c r="AH477" i="1"/>
  <c r="AG477" i="1"/>
  <c r="AF477" i="1"/>
  <c r="AE477" i="1"/>
  <c r="AD477" i="1"/>
  <c r="AC477" i="1"/>
  <c r="AB477" i="1"/>
  <c r="AI476" i="1"/>
  <c r="AH476" i="1"/>
  <c r="AG476" i="1"/>
  <c r="AF476" i="1"/>
  <c r="AE476" i="1"/>
  <c r="AD476" i="1"/>
  <c r="AC476" i="1"/>
  <c r="AB476" i="1"/>
  <c r="AI475" i="1"/>
  <c r="AH475" i="1"/>
  <c r="AG475" i="1"/>
  <c r="AF475" i="1"/>
  <c r="AE475" i="1"/>
  <c r="AD475" i="1"/>
  <c r="AC475" i="1"/>
  <c r="AB475" i="1"/>
  <c r="AI474" i="1"/>
  <c r="AH474" i="1"/>
  <c r="AG474" i="1"/>
  <c r="AF474" i="1"/>
  <c r="AE474" i="1"/>
  <c r="AD474" i="1"/>
  <c r="AC474" i="1"/>
  <c r="AB474" i="1"/>
  <c r="AI473" i="1"/>
  <c r="AH473" i="1"/>
  <c r="AG473" i="1"/>
  <c r="AF473" i="1"/>
  <c r="AE473" i="1"/>
  <c r="AD473" i="1"/>
  <c r="AC473" i="1"/>
  <c r="AB473" i="1"/>
  <c r="AI472" i="1"/>
  <c r="AH472" i="1"/>
  <c r="AG472" i="1"/>
  <c r="AF472" i="1"/>
  <c r="AE472" i="1"/>
  <c r="AD472" i="1"/>
  <c r="AC472" i="1"/>
  <c r="AB472" i="1"/>
  <c r="AI471" i="1"/>
  <c r="AH471" i="1"/>
  <c r="AG471" i="1"/>
  <c r="AF471" i="1"/>
  <c r="AE471" i="1"/>
  <c r="AD471" i="1"/>
  <c r="AC471" i="1"/>
  <c r="AB471" i="1"/>
  <c r="AI470" i="1"/>
  <c r="AH470" i="1"/>
  <c r="AG470" i="1"/>
  <c r="AF470" i="1"/>
  <c r="AE470" i="1"/>
  <c r="AD470" i="1"/>
  <c r="AC470" i="1"/>
  <c r="AB470" i="1"/>
  <c r="AI469" i="1"/>
  <c r="AH469" i="1"/>
  <c r="AG469" i="1"/>
  <c r="AF469" i="1"/>
  <c r="AE469" i="1"/>
  <c r="AD469" i="1"/>
  <c r="AC469" i="1"/>
  <c r="AB469" i="1"/>
  <c r="AI468" i="1"/>
  <c r="AH468" i="1"/>
  <c r="AG468" i="1"/>
  <c r="AF468" i="1"/>
  <c r="AE468" i="1"/>
  <c r="AD468" i="1"/>
  <c r="AC468" i="1"/>
  <c r="AB468" i="1"/>
  <c r="AI467" i="1"/>
  <c r="AH467" i="1"/>
  <c r="AG467" i="1"/>
  <c r="AF467" i="1"/>
  <c r="AE467" i="1"/>
  <c r="AD467" i="1"/>
  <c r="AC467" i="1"/>
  <c r="AB467" i="1"/>
  <c r="AI466" i="1"/>
  <c r="AH466" i="1"/>
  <c r="AG466" i="1"/>
  <c r="AF466" i="1"/>
  <c r="AE466" i="1"/>
  <c r="AD466" i="1"/>
  <c r="AC466" i="1"/>
  <c r="AB466" i="1"/>
  <c r="AI465" i="1"/>
  <c r="AH465" i="1"/>
  <c r="AG465" i="1"/>
  <c r="AF465" i="1"/>
  <c r="AE465" i="1"/>
  <c r="AD465" i="1"/>
  <c r="AC465" i="1"/>
  <c r="AB465" i="1"/>
  <c r="AI464" i="1"/>
  <c r="AH464" i="1"/>
  <c r="AG464" i="1"/>
  <c r="AF464" i="1"/>
  <c r="AE464" i="1"/>
  <c r="AD464" i="1"/>
  <c r="AC464" i="1"/>
  <c r="AB464" i="1"/>
  <c r="AI463" i="1"/>
  <c r="AH463" i="1"/>
  <c r="AG463" i="1"/>
  <c r="AF463" i="1"/>
  <c r="AE463" i="1"/>
  <c r="AD463" i="1"/>
  <c r="AC463" i="1"/>
  <c r="AB463" i="1"/>
  <c r="AI462" i="1"/>
  <c r="AH462" i="1"/>
  <c r="AG462" i="1"/>
  <c r="AF462" i="1"/>
  <c r="AE462" i="1"/>
  <c r="AD462" i="1"/>
  <c r="AB462" i="1"/>
  <c r="AI461" i="1"/>
  <c r="AH461" i="1"/>
  <c r="AG461" i="1"/>
  <c r="AF461" i="1"/>
  <c r="AE461" i="1"/>
  <c r="AD461" i="1"/>
  <c r="AC461" i="1"/>
  <c r="AB461" i="1"/>
  <c r="AI460" i="1"/>
  <c r="AH460" i="1"/>
  <c r="AG460" i="1"/>
  <c r="AF460" i="1"/>
  <c r="AE460" i="1"/>
  <c r="AD460" i="1"/>
  <c r="AC460" i="1"/>
  <c r="AB460" i="1"/>
  <c r="AI459" i="1"/>
  <c r="AH459" i="1"/>
  <c r="AG459" i="1"/>
  <c r="AF459" i="1"/>
  <c r="AE459" i="1"/>
  <c r="AD459" i="1"/>
  <c r="AC459" i="1"/>
  <c r="AB459" i="1"/>
  <c r="AI458" i="1"/>
  <c r="AH458" i="1"/>
  <c r="AG458" i="1"/>
  <c r="AF458" i="1"/>
  <c r="AE458" i="1"/>
  <c r="AD458" i="1"/>
  <c r="AC458" i="1"/>
  <c r="AB458" i="1"/>
  <c r="AI457" i="1"/>
  <c r="AH457" i="1"/>
  <c r="AG457" i="1"/>
  <c r="AF457" i="1"/>
  <c r="AE457" i="1"/>
  <c r="AD457" i="1"/>
  <c r="AC457" i="1"/>
  <c r="AB457" i="1"/>
  <c r="AI456" i="1"/>
  <c r="AH456" i="1"/>
  <c r="AG456" i="1"/>
  <c r="AF456" i="1"/>
  <c r="AE456" i="1"/>
  <c r="AD456" i="1"/>
  <c r="AC456" i="1"/>
  <c r="AB456" i="1"/>
  <c r="AI455" i="1"/>
  <c r="AH455" i="1"/>
  <c r="AG455" i="1"/>
  <c r="AF455" i="1"/>
  <c r="AE455" i="1"/>
  <c r="AD455" i="1"/>
  <c r="AC455" i="1"/>
  <c r="AB455" i="1"/>
  <c r="AI454" i="1"/>
  <c r="AH454" i="1"/>
  <c r="AG454" i="1"/>
  <c r="AF454" i="1"/>
  <c r="AE454" i="1"/>
  <c r="AD454" i="1"/>
  <c r="AC454" i="1"/>
  <c r="AB454" i="1"/>
  <c r="AI453" i="1"/>
  <c r="AH453" i="1"/>
  <c r="AG453" i="1"/>
  <c r="AF453" i="1"/>
  <c r="AE453" i="1"/>
  <c r="AD453" i="1"/>
  <c r="AC453" i="1"/>
  <c r="AB453" i="1"/>
  <c r="AI452" i="1"/>
  <c r="AH452" i="1"/>
  <c r="AG452" i="1"/>
  <c r="AF452" i="1"/>
  <c r="AE452" i="1"/>
  <c r="AD452" i="1"/>
  <c r="AC452" i="1"/>
  <c r="AB452" i="1"/>
  <c r="AI451" i="1"/>
  <c r="AH451" i="1"/>
  <c r="AG451" i="1"/>
  <c r="AF451" i="1"/>
  <c r="AE451" i="1"/>
  <c r="AD451" i="1"/>
  <c r="AC451" i="1"/>
  <c r="AB451" i="1"/>
  <c r="AI450" i="1"/>
  <c r="AH450" i="1"/>
  <c r="AG450" i="1"/>
  <c r="AF450" i="1"/>
  <c r="AE450" i="1"/>
  <c r="AD450" i="1"/>
  <c r="AC450" i="1"/>
  <c r="AB450" i="1"/>
  <c r="AI449" i="1"/>
  <c r="AH449" i="1"/>
  <c r="AG449" i="1"/>
  <c r="AF449" i="1"/>
  <c r="AE449" i="1"/>
  <c r="AD449" i="1"/>
  <c r="AC449" i="1"/>
  <c r="AB449" i="1"/>
  <c r="AI448" i="1"/>
  <c r="AH448" i="1"/>
  <c r="AG448" i="1"/>
  <c r="AF448" i="1"/>
  <c r="AE448" i="1"/>
  <c r="AD448" i="1"/>
  <c r="AC448" i="1"/>
  <c r="AB448" i="1"/>
  <c r="AI447" i="1"/>
  <c r="AH447" i="1"/>
  <c r="AG447" i="1"/>
  <c r="AF447" i="1"/>
  <c r="AE447" i="1"/>
  <c r="AD447" i="1"/>
  <c r="AC447" i="1"/>
  <c r="AB447" i="1"/>
  <c r="AI446" i="1"/>
  <c r="AH446" i="1"/>
  <c r="AG446" i="1"/>
  <c r="AF446" i="1"/>
  <c r="AE446" i="1"/>
  <c r="AD446" i="1"/>
  <c r="AC446" i="1"/>
  <c r="AB446" i="1"/>
  <c r="AI445" i="1"/>
  <c r="AH445" i="1"/>
  <c r="AG445" i="1"/>
  <c r="AF445" i="1"/>
  <c r="AE445" i="1"/>
  <c r="AD445" i="1"/>
  <c r="AC445" i="1"/>
  <c r="AB445" i="1"/>
  <c r="AI444" i="1"/>
  <c r="AH444" i="1"/>
  <c r="AG444" i="1"/>
  <c r="AF444" i="1"/>
  <c r="AE444" i="1"/>
  <c r="AD444" i="1"/>
  <c r="AC444" i="1"/>
  <c r="AB444" i="1"/>
  <c r="AI443" i="1"/>
  <c r="AH443" i="1"/>
  <c r="AG443" i="1"/>
  <c r="AF443" i="1"/>
  <c r="AE443" i="1"/>
  <c r="AD443" i="1"/>
  <c r="AC443" i="1"/>
  <c r="AB443" i="1"/>
  <c r="AI442" i="1"/>
  <c r="AH442" i="1"/>
  <c r="AG442" i="1"/>
  <c r="AF442" i="1"/>
  <c r="AE442" i="1"/>
  <c r="AD442" i="1"/>
  <c r="AC442" i="1"/>
  <c r="AB442" i="1"/>
  <c r="AI441" i="1"/>
  <c r="AH441" i="1"/>
  <c r="AG441" i="1"/>
  <c r="AF441" i="1"/>
  <c r="AE441" i="1"/>
  <c r="AD441" i="1"/>
  <c r="AC441" i="1"/>
  <c r="AB441" i="1"/>
  <c r="AI440" i="1"/>
  <c r="AH440" i="1"/>
  <c r="AG440" i="1"/>
  <c r="AF440" i="1"/>
  <c r="AE440" i="1"/>
  <c r="AD440" i="1"/>
  <c r="AC440" i="1"/>
  <c r="AB440" i="1"/>
  <c r="AI439" i="1"/>
  <c r="AH439" i="1"/>
  <c r="AG439" i="1"/>
  <c r="AF439" i="1"/>
  <c r="AE439" i="1"/>
  <c r="AD439" i="1"/>
  <c r="AC439" i="1"/>
  <c r="AB439" i="1"/>
  <c r="AI438" i="1"/>
  <c r="AH438" i="1"/>
  <c r="AG438" i="1"/>
  <c r="AF438" i="1"/>
  <c r="AE438" i="1"/>
  <c r="AD438" i="1"/>
  <c r="AC438" i="1"/>
  <c r="AB438" i="1"/>
  <c r="AI437" i="1"/>
  <c r="AH437" i="1"/>
  <c r="AG437" i="1"/>
  <c r="AF437" i="1"/>
  <c r="AE437" i="1"/>
  <c r="AD437" i="1"/>
  <c r="AC437" i="1"/>
  <c r="AB437" i="1"/>
  <c r="AI436" i="1"/>
  <c r="AH436" i="1"/>
  <c r="AG436" i="1"/>
  <c r="AF436" i="1"/>
  <c r="AE436" i="1"/>
  <c r="AD436" i="1"/>
  <c r="AC436" i="1"/>
  <c r="AB436" i="1"/>
  <c r="AI435" i="1"/>
  <c r="AH435" i="1"/>
  <c r="AG435" i="1"/>
  <c r="AF435" i="1"/>
  <c r="AE435" i="1"/>
  <c r="AD435" i="1"/>
  <c r="AC435" i="1"/>
  <c r="AB435" i="1"/>
  <c r="AI434" i="1"/>
  <c r="AH434" i="1"/>
  <c r="AG434" i="1"/>
  <c r="AF434" i="1"/>
  <c r="AE434" i="1"/>
  <c r="AD434" i="1"/>
  <c r="AC434" i="1"/>
  <c r="AB434" i="1"/>
  <c r="AI433" i="1"/>
  <c r="AH433" i="1"/>
  <c r="AG433" i="1"/>
  <c r="AF433" i="1"/>
  <c r="AE433" i="1"/>
  <c r="AD433" i="1"/>
  <c r="AC433" i="1"/>
  <c r="AB433" i="1"/>
  <c r="AI432" i="1"/>
  <c r="AH432" i="1"/>
  <c r="AG432" i="1"/>
  <c r="AF432" i="1"/>
  <c r="AE432" i="1"/>
  <c r="AD432" i="1"/>
  <c r="AC432" i="1"/>
  <c r="AB432" i="1"/>
  <c r="AI431" i="1"/>
  <c r="AH431" i="1"/>
  <c r="AG431" i="1"/>
  <c r="AF431" i="1"/>
  <c r="AE431" i="1"/>
  <c r="AD431" i="1"/>
  <c r="AC431" i="1"/>
  <c r="AB431" i="1"/>
  <c r="AI430" i="1"/>
  <c r="AH430" i="1"/>
  <c r="AG430" i="1"/>
  <c r="AF430" i="1"/>
  <c r="AE430" i="1"/>
  <c r="AD430" i="1"/>
  <c r="AC430" i="1"/>
  <c r="AB430" i="1"/>
  <c r="AI429" i="1"/>
  <c r="AH429" i="1"/>
  <c r="AG429" i="1"/>
  <c r="AF429" i="1"/>
  <c r="AE429" i="1"/>
  <c r="AD429" i="1"/>
  <c r="AB429" i="1"/>
  <c r="AI428" i="1"/>
  <c r="AH428" i="1"/>
  <c r="AG428" i="1"/>
  <c r="AF428" i="1"/>
  <c r="AE428" i="1"/>
  <c r="AD428" i="1"/>
  <c r="AC428" i="1"/>
  <c r="AB428" i="1"/>
  <c r="AI427" i="1"/>
  <c r="AH427" i="1"/>
  <c r="AG427" i="1"/>
  <c r="AF427" i="1"/>
  <c r="AE427" i="1"/>
  <c r="AD427" i="1"/>
  <c r="AC427" i="1"/>
  <c r="AB427" i="1"/>
  <c r="AI426" i="1"/>
  <c r="AH426" i="1"/>
  <c r="AG426" i="1"/>
  <c r="AF426" i="1"/>
  <c r="AE426" i="1"/>
  <c r="AD426" i="1"/>
  <c r="AC426" i="1"/>
  <c r="AB426" i="1"/>
  <c r="AI425" i="1"/>
  <c r="AH425" i="1"/>
  <c r="AG425" i="1"/>
  <c r="AF425" i="1"/>
  <c r="AE425" i="1"/>
  <c r="AD425" i="1"/>
  <c r="AC425" i="1"/>
  <c r="AB425" i="1"/>
  <c r="AI424" i="1"/>
  <c r="AH424" i="1"/>
  <c r="AG424" i="1"/>
  <c r="AF424" i="1"/>
  <c r="AE424" i="1"/>
  <c r="AD424" i="1"/>
  <c r="AC424" i="1"/>
  <c r="AB424" i="1"/>
  <c r="AI423" i="1"/>
  <c r="AH423" i="1"/>
  <c r="AG423" i="1"/>
  <c r="AF423" i="1"/>
  <c r="AE423" i="1"/>
  <c r="AD423" i="1"/>
  <c r="AC423" i="1"/>
  <c r="AB423" i="1"/>
  <c r="AI422" i="1"/>
  <c r="AH422" i="1"/>
  <c r="AG422" i="1"/>
  <c r="AF422" i="1"/>
  <c r="AE422" i="1"/>
  <c r="AD422" i="1"/>
  <c r="AC422" i="1"/>
  <c r="AB422" i="1"/>
  <c r="AI421" i="1"/>
  <c r="AH421" i="1"/>
  <c r="AG421" i="1"/>
  <c r="AF421" i="1"/>
  <c r="AE421" i="1"/>
  <c r="AD421" i="1"/>
  <c r="AC421" i="1"/>
  <c r="AB421" i="1"/>
  <c r="AI420" i="1"/>
  <c r="AH420" i="1"/>
  <c r="AG420" i="1"/>
  <c r="AF420" i="1"/>
  <c r="AE420" i="1"/>
  <c r="AD420" i="1"/>
  <c r="AC420" i="1"/>
  <c r="AB420" i="1"/>
  <c r="AI419" i="1"/>
  <c r="AH419" i="1"/>
  <c r="AG419" i="1"/>
  <c r="AF419" i="1"/>
  <c r="AE419" i="1"/>
  <c r="AD419" i="1"/>
  <c r="AC419" i="1"/>
  <c r="AB419" i="1"/>
  <c r="AI418" i="1"/>
  <c r="AH418" i="1"/>
  <c r="AG418" i="1"/>
  <c r="AF418" i="1"/>
  <c r="AE418" i="1"/>
  <c r="AD418" i="1"/>
  <c r="AC418" i="1"/>
  <c r="AB418" i="1"/>
  <c r="AI417" i="1"/>
  <c r="AH417" i="1"/>
  <c r="AG417" i="1"/>
  <c r="AF417" i="1"/>
  <c r="AE417" i="1"/>
  <c r="AD417" i="1"/>
  <c r="AC417" i="1"/>
  <c r="AB417" i="1"/>
  <c r="AI416" i="1"/>
  <c r="AH416" i="1"/>
  <c r="AG416" i="1"/>
  <c r="AF416" i="1"/>
  <c r="AE416" i="1"/>
  <c r="AD416" i="1"/>
  <c r="AC416" i="1"/>
  <c r="AB416" i="1"/>
  <c r="AI415" i="1"/>
  <c r="AH415" i="1"/>
  <c r="AG415" i="1"/>
  <c r="AF415" i="1"/>
  <c r="AE415" i="1"/>
  <c r="AD415" i="1"/>
  <c r="AC415" i="1"/>
  <c r="AB415" i="1"/>
  <c r="AI414" i="1"/>
  <c r="AH414" i="1"/>
  <c r="AG414" i="1"/>
  <c r="AF414" i="1"/>
  <c r="AE414" i="1"/>
  <c r="AD414" i="1"/>
  <c r="AC414" i="1"/>
  <c r="AB414" i="1"/>
  <c r="AI413" i="1"/>
  <c r="AH413" i="1"/>
  <c r="AG413" i="1"/>
  <c r="AF413" i="1"/>
  <c r="AE413" i="1"/>
  <c r="AD413" i="1"/>
  <c r="AC413" i="1"/>
  <c r="AB413" i="1"/>
  <c r="AI412" i="1"/>
  <c r="AH412" i="1"/>
  <c r="AG412" i="1"/>
  <c r="AF412" i="1"/>
  <c r="AE412" i="1"/>
  <c r="AD412" i="1"/>
  <c r="AC412" i="1"/>
  <c r="AB412" i="1"/>
  <c r="AI411" i="1"/>
  <c r="AH411" i="1"/>
  <c r="AG411" i="1"/>
  <c r="AF411" i="1"/>
  <c r="AE411" i="1"/>
  <c r="AD411" i="1"/>
  <c r="AC411" i="1"/>
  <c r="AB411" i="1"/>
  <c r="AI410" i="1"/>
  <c r="AH410" i="1"/>
  <c r="AG410" i="1"/>
  <c r="AF410" i="1"/>
  <c r="AE410" i="1"/>
  <c r="AD410" i="1"/>
  <c r="AC410" i="1"/>
  <c r="AB410" i="1"/>
  <c r="AI409" i="1"/>
  <c r="AH409" i="1"/>
  <c r="AG409" i="1"/>
  <c r="AF409" i="1"/>
  <c r="AE409" i="1"/>
  <c r="AD409" i="1"/>
  <c r="AC409" i="1"/>
  <c r="AB409" i="1"/>
  <c r="AI408" i="1"/>
  <c r="AH408" i="1"/>
  <c r="AG408" i="1"/>
  <c r="AF408" i="1"/>
  <c r="AE408" i="1"/>
  <c r="AD408" i="1"/>
  <c r="AC408" i="1"/>
  <c r="AB408" i="1"/>
  <c r="AH407" i="1"/>
  <c r="AG407" i="1"/>
  <c r="AF407" i="1"/>
  <c r="AE407" i="1"/>
  <c r="AD407" i="1"/>
  <c r="AC407" i="1"/>
  <c r="AB407" i="1"/>
  <c r="AI406" i="1"/>
  <c r="AH406" i="1"/>
  <c r="AG406" i="1"/>
  <c r="AF406" i="1"/>
  <c r="AE406" i="1"/>
  <c r="AD406" i="1"/>
  <c r="AC406" i="1"/>
  <c r="AB406" i="1"/>
  <c r="AI405" i="1"/>
  <c r="AH405" i="1"/>
  <c r="AG405" i="1"/>
  <c r="AF405" i="1"/>
  <c r="AE405" i="1"/>
  <c r="AD405" i="1"/>
  <c r="AC405" i="1"/>
  <c r="AB405" i="1"/>
  <c r="AH404" i="1"/>
  <c r="AG404" i="1"/>
  <c r="AF404" i="1"/>
  <c r="AE404" i="1"/>
  <c r="AD404" i="1"/>
  <c r="AC404" i="1"/>
  <c r="AB404" i="1"/>
  <c r="AI403" i="1"/>
  <c r="AH403" i="1"/>
  <c r="AG403" i="1"/>
  <c r="AF403" i="1"/>
  <c r="AE403" i="1"/>
  <c r="AD403" i="1"/>
  <c r="AC403" i="1"/>
  <c r="AB403" i="1"/>
  <c r="AI402" i="1"/>
  <c r="AH402" i="1"/>
  <c r="AG402" i="1"/>
  <c r="AF402" i="1"/>
  <c r="AE402" i="1"/>
  <c r="AD402" i="1"/>
  <c r="AC402" i="1"/>
  <c r="AB402" i="1"/>
  <c r="AI401" i="1"/>
  <c r="AH401" i="1"/>
  <c r="AG401" i="1"/>
  <c r="AF401" i="1"/>
  <c r="AE401" i="1"/>
  <c r="AD401" i="1"/>
  <c r="AC401" i="1"/>
  <c r="AB401" i="1"/>
  <c r="AI400" i="1"/>
  <c r="AH400" i="1"/>
  <c r="AG400" i="1"/>
  <c r="AF400" i="1"/>
  <c r="AE400" i="1"/>
  <c r="AD400" i="1"/>
  <c r="AC400" i="1"/>
  <c r="AB400" i="1"/>
  <c r="AI399" i="1"/>
  <c r="AH399" i="1"/>
  <c r="AG399" i="1"/>
  <c r="AF399" i="1"/>
  <c r="AE399" i="1"/>
  <c r="AD399" i="1"/>
  <c r="AC399" i="1"/>
  <c r="AB399" i="1"/>
  <c r="AI398" i="1"/>
  <c r="AH398" i="1"/>
  <c r="AG398" i="1"/>
  <c r="AF398" i="1"/>
  <c r="AE398" i="1"/>
  <c r="AD398" i="1"/>
  <c r="AC398" i="1"/>
  <c r="AB398" i="1"/>
  <c r="AI397" i="1"/>
  <c r="AH397" i="1"/>
  <c r="AG397" i="1"/>
  <c r="AF397" i="1"/>
  <c r="AE397" i="1"/>
  <c r="AD397" i="1"/>
  <c r="AC397" i="1"/>
  <c r="AB397" i="1"/>
  <c r="AI396" i="1"/>
  <c r="AH396" i="1"/>
  <c r="AG396" i="1"/>
  <c r="AF396" i="1"/>
  <c r="AE396" i="1"/>
  <c r="AD396" i="1"/>
  <c r="AC396" i="1"/>
  <c r="AB396" i="1"/>
  <c r="AI395" i="1"/>
  <c r="AH395" i="1"/>
  <c r="AG395" i="1"/>
  <c r="AF395" i="1"/>
  <c r="AE395" i="1"/>
  <c r="AD395" i="1"/>
  <c r="AC395" i="1"/>
  <c r="AB395" i="1"/>
  <c r="AI394" i="1"/>
  <c r="AH394" i="1"/>
  <c r="AG394" i="1"/>
  <c r="AF394" i="1"/>
  <c r="AE394" i="1"/>
  <c r="AD394" i="1"/>
  <c r="AC394" i="1"/>
  <c r="AB394" i="1"/>
  <c r="AI393" i="1"/>
  <c r="AH393" i="1"/>
  <c r="AG393" i="1"/>
  <c r="AF393" i="1"/>
  <c r="AE393" i="1"/>
  <c r="AD393" i="1"/>
  <c r="AC393" i="1"/>
  <c r="AB393" i="1"/>
  <c r="AI392" i="1"/>
  <c r="AH392" i="1"/>
  <c r="AG392" i="1"/>
  <c r="AF392" i="1"/>
  <c r="AE392" i="1"/>
  <c r="AD392" i="1"/>
  <c r="AC392" i="1"/>
  <c r="AB392" i="1"/>
  <c r="AI391" i="1"/>
  <c r="AH391" i="1"/>
  <c r="AG391" i="1"/>
  <c r="AF391" i="1"/>
  <c r="AE391" i="1"/>
  <c r="AD391" i="1"/>
  <c r="AC391" i="1"/>
  <c r="AB391" i="1"/>
  <c r="AI390" i="1"/>
  <c r="AH390" i="1"/>
  <c r="AG390" i="1"/>
  <c r="AF390" i="1"/>
  <c r="AE390" i="1"/>
  <c r="AD390" i="1"/>
  <c r="AC390" i="1"/>
  <c r="AB390" i="1"/>
  <c r="AI389" i="1"/>
  <c r="AH389" i="1"/>
  <c r="AG389" i="1"/>
  <c r="AF389" i="1"/>
  <c r="AE389" i="1"/>
  <c r="AD389" i="1"/>
  <c r="AC389" i="1"/>
  <c r="AB389" i="1"/>
  <c r="AI388" i="1"/>
  <c r="AH388" i="1"/>
  <c r="AG388" i="1"/>
  <c r="AF388" i="1"/>
  <c r="AE388" i="1"/>
  <c r="AD388" i="1"/>
  <c r="AC388" i="1"/>
  <c r="AB388" i="1"/>
  <c r="AI387" i="1"/>
  <c r="AH387" i="1"/>
  <c r="AG387" i="1"/>
  <c r="AF387" i="1"/>
  <c r="AE387" i="1"/>
  <c r="AD387" i="1"/>
  <c r="AC387" i="1"/>
  <c r="AB387" i="1"/>
  <c r="AI386" i="1"/>
  <c r="AH386" i="1"/>
  <c r="AG386" i="1"/>
  <c r="AF386" i="1"/>
  <c r="AE386" i="1"/>
  <c r="AD386" i="1"/>
  <c r="AC386" i="1"/>
  <c r="AB386" i="1"/>
  <c r="AI385" i="1"/>
  <c r="AH385" i="1"/>
  <c r="AG385" i="1"/>
  <c r="AF385" i="1"/>
  <c r="AE385" i="1"/>
  <c r="AD385" i="1"/>
  <c r="AC385" i="1"/>
  <c r="AB385" i="1"/>
  <c r="AI384" i="1"/>
  <c r="AH384" i="1"/>
  <c r="AG384" i="1"/>
  <c r="AF384" i="1"/>
  <c r="AE384" i="1"/>
  <c r="AD384" i="1"/>
  <c r="AC384" i="1"/>
  <c r="AB384" i="1"/>
  <c r="AI383" i="1"/>
  <c r="AH383" i="1"/>
  <c r="AG383" i="1"/>
  <c r="AF383" i="1"/>
  <c r="AE383" i="1"/>
  <c r="AD383" i="1"/>
  <c r="AC383" i="1"/>
  <c r="AB383" i="1"/>
  <c r="AI382" i="1"/>
  <c r="AH382" i="1"/>
  <c r="AG382" i="1"/>
  <c r="AF382" i="1"/>
  <c r="AE382" i="1"/>
  <c r="AD382" i="1"/>
  <c r="AC382" i="1"/>
  <c r="AB382" i="1"/>
  <c r="AI381" i="1"/>
  <c r="AH381" i="1"/>
  <c r="AG381" i="1"/>
  <c r="AF381" i="1"/>
  <c r="AE381" i="1"/>
  <c r="AD381" i="1"/>
  <c r="AC381" i="1"/>
  <c r="AB381" i="1"/>
  <c r="AI380" i="1"/>
  <c r="AH380" i="1"/>
  <c r="AG380" i="1"/>
  <c r="AF380" i="1"/>
  <c r="AE380" i="1"/>
  <c r="AD380" i="1"/>
  <c r="AC380" i="1"/>
  <c r="AB380" i="1"/>
  <c r="AI379" i="1"/>
  <c r="AH379" i="1"/>
  <c r="AG379" i="1"/>
  <c r="AF379" i="1"/>
  <c r="AE379" i="1"/>
  <c r="AD379" i="1"/>
  <c r="AC379" i="1"/>
  <c r="AB379" i="1"/>
  <c r="AI378" i="1"/>
  <c r="AH378" i="1"/>
  <c r="AG378" i="1"/>
  <c r="AF378" i="1"/>
  <c r="AE378" i="1"/>
  <c r="AD378" i="1"/>
  <c r="AC378" i="1"/>
  <c r="AB378" i="1"/>
  <c r="AI377" i="1"/>
  <c r="AH377" i="1"/>
  <c r="AG377" i="1"/>
  <c r="AF377" i="1"/>
  <c r="AE377" i="1"/>
  <c r="AD377" i="1"/>
  <c r="AC377" i="1"/>
  <c r="AB377" i="1"/>
  <c r="AI376" i="1"/>
  <c r="AH376" i="1"/>
  <c r="AG376" i="1"/>
  <c r="AF376" i="1"/>
  <c r="AE376" i="1"/>
  <c r="AD376" i="1"/>
  <c r="AC376" i="1"/>
  <c r="AB376" i="1"/>
  <c r="AI375" i="1"/>
  <c r="AH375" i="1"/>
  <c r="AG375" i="1"/>
  <c r="AF375" i="1"/>
  <c r="AE375" i="1"/>
  <c r="AD375" i="1"/>
  <c r="AC375" i="1"/>
  <c r="AB375" i="1"/>
  <c r="AI374" i="1"/>
  <c r="AH374" i="1"/>
  <c r="AG374" i="1"/>
  <c r="AF374" i="1"/>
  <c r="AE374" i="1"/>
  <c r="AD374" i="1"/>
  <c r="AC374" i="1"/>
  <c r="AB374" i="1"/>
  <c r="AI373" i="1"/>
  <c r="AH373" i="1"/>
  <c r="AG373" i="1"/>
  <c r="AF373" i="1"/>
  <c r="AE373" i="1"/>
  <c r="AD373" i="1"/>
  <c r="AC373" i="1"/>
  <c r="AB373" i="1"/>
  <c r="AI372" i="1"/>
  <c r="AH372" i="1"/>
  <c r="AG372" i="1"/>
  <c r="AF372" i="1"/>
  <c r="AE372" i="1"/>
  <c r="AD372" i="1"/>
  <c r="AC372" i="1"/>
  <c r="AB372" i="1"/>
  <c r="AI371" i="1"/>
  <c r="AH371" i="1"/>
  <c r="AG371" i="1"/>
  <c r="AF371" i="1"/>
  <c r="AE371" i="1"/>
  <c r="AD371" i="1"/>
  <c r="AC371" i="1"/>
  <c r="AB371" i="1"/>
  <c r="AI370" i="1"/>
  <c r="AH370" i="1"/>
  <c r="AG370" i="1"/>
  <c r="AF370" i="1"/>
  <c r="AE370" i="1"/>
  <c r="AD370" i="1"/>
  <c r="AC370" i="1"/>
  <c r="AB370" i="1"/>
  <c r="AI369" i="1"/>
  <c r="AH369" i="1"/>
  <c r="AG369" i="1"/>
  <c r="AF369" i="1"/>
  <c r="AE369" i="1"/>
  <c r="AD369" i="1"/>
  <c r="AC369" i="1"/>
  <c r="AB369" i="1"/>
  <c r="AI368" i="1"/>
  <c r="AH368" i="1"/>
  <c r="AG368" i="1"/>
  <c r="AF368" i="1"/>
  <c r="AE368" i="1"/>
  <c r="AD368" i="1"/>
  <c r="AC368" i="1"/>
  <c r="AB368" i="1"/>
  <c r="AI367" i="1"/>
  <c r="AH367" i="1"/>
  <c r="AG367" i="1"/>
  <c r="AF367" i="1"/>
  <c r="AE367" i="1"/>
  <c r="AD367" i="1"/>
  <c r="AC367" i="1"/>
  <c r="AB367" i="1"/>
  <c r="AI366" i="1"/>
  <c r="AH366" i="1"/>
  <c r="AG366" i="1"/>
  <c r="AF366" i="1"/>
  <c r="AE366" i="1"/>
  <c r="AD366" i="1"/>
  <c r="AC366" i="1"/>
  <c r="AB366" i="1"/>
  <c r="AI365" i="1"/>
  <c r="AH365" i="1"/>
  <c r="AG365" i="1"/>
  <c r="AF365" i="1"/>
  <c r="AE365" i="1"/>
  <c r="AD365" i="1"/>
  <c r="AC365" i="1"/>
  <c r="AB365" i="1"/>
  <c r="AI364" i="1"/>
  <c r="AH364" i="1"/>
  <c r="AG364" i="1"/>
  <c r="AF364" i="1"/>
  <c r="AE364" i="1"/>
  <c r="AD364" i="1"/>
  <c r="AC364" i="1"/>
  <c r="AB364" i="1"/>
  <c r="AI363" i="1"/>
  <c r="AH363" i="1"/>
  <c r="AG363" i="1"/>
  <c r="AF363" i="1"/>
  <c r="AE363" i="1"/>
  <c r="AD363" i="1"/>
  <c r="AC363" i="1"/>
  <c r="AB363" i="1"/>
  <c r="AI362" i="1"/>
  <c r="AH362" i="1"/>
  <c r="AG362" i="1"/>
  <c r="AF362" i="1"/>
  <c r="AE362" i="1"/>
  <c r="AD362" i="1"/>
  <c r="AC362" i="1"/>
  <c r="AB362" i="1"/>
  <c r="AI361" i="1"/>
  <c r="AH361" i="1"/>
  <c r="AG361" i="1"/>
  <c r="AF361" i="1"/>
  <c r="AE361" i="1"/>
  <c r="AD361" i="1"/>
  <c r="AC361" i="1"/>
  <c r="AB361" i="1"/>
  <c r="AI360" i="1"/>
  <c r="AH360" i="1"/>
  <c r="AG360" i="1"/>
  <c r="AF360" i="1"/>
  <c r="AE360" i="1"/>
  <c r="AD360" i="1"/>
  <c r="AC360" i="1"/>
  <c r="AB360" i="1"/>
  <c r="AI359" i="1"/>
  <c r="AH359" i="1"/>
  <c r="AG359" i="1"/>
  <c r="AF359" i="1"/>
  <c r="AE359" i="1"/>
  <c r="AD359" i="1"/>
  <c r="AC359" i="1"/>
  <c r="AB359" i="1"/>
  <c r="AI358" i="1"/>
  <c r="AH358" i="1"/>
  <c r="AG358" i="1"/>
  <c r="AF358" i="1"/>
  <c r="AE358" i="1"/>
  <c r="AD358" i="1"/>
  <c r="AC358" i="1"/>
  <c r="AB358" i="1"/>
  <c r="AI357" i="1"/>
  <c r="AH357" i="1"/>
  <c r="AG357" i="1"/>
  <c r="AF357" i="1"/>
  <c r="AE357" i="1"/>
  <c r="AD357" i="1"/>
  <c r="AC357" i="1"/>
  <c r="AB357" i="1"/>
  <c r="AI356" i="1"/>
  <c r="AH356" i="1"/>
  <c r="AG356" i="1"/>
  <c r="AF356" i="1"/>
  <c r="AE356" i="1"/>
  <c r="AD356" i="1"/>
  <c r="AC356" i="1"/>
  <c r="AB356" i="1"/>
  <c r="AI355" i="1"/>
  <c r="AH355" i="1"/>
  <c r="AG355" i="1"/>
  <c r="AF355" i="1"/>
  <c r="AE355" i="1"/>
  <c r="AD355" i="1"/>
  <c r="AC355" i="1"/>
  <c r="AB355" i="1"/>
  <c r="AI354" i="1"/>
  <c r="AH354" i="1"/>
  <c r="AG354" i="1"/>
  <c r="AF354" i="1"/>
  <c r="AE354" i="1"/>
  <c r="AD354" i="1"/>
  <c r="AC354" i="1"/>
  <c r="AB354" i="1"/>
  <c r="AI353" i="1"/>
  <c r="AH353" i="1"/>
  <c r="AG353" i="1"/>
  <c r="AF353" i="1"/>
  <c r="AE353" i="1"/>
  <c r="AD353" i="1"/>
  <c r="AC353" i="1"/>
  <c r="AB353" i="1"/>
  <c r="AI352" i="1"/>
  <c r="AH352" i="1"/>
  <c r="AG352" i="1"/>
  <c r="AF352" i="1"/>
  <c r="AE352" i="1"/>
  <c r="AD352" i="1"/>
  <c r="AC352" i="1"/>
  <c r="AB352" i="1"/>
  <c r="AI351" i="1"/>
  <c r="AH351" i="1"/>
  <c r="AG351" i="1"/>
  <c r="AF351" i="1"/>
  <c r="AE351" i="1"/>
  <c r="AD351" i="1"/>
  <c r="AC351" i="1"/>
  <c r="AB351" i="1"/>
  <c r="AI350" i="1"/>
  <c r="AH350" i="1"/>
  <c r="AG350" i="1"/>
  <c r="AF350" i="1"/>
  <c r="AE350" i="1"/>
  <c r="AD350" i="1"/>
  <c r="AC350" i="1"/>
  <c r="AB350" i="1"/>
  <c r="AI349" i="1"/>
  <c r="AH349" i="1"/>
  <c r="AG349" i="1"/>
  <c r="AF349" i="1"/>
  <c r="AE349" i="1"/>
  <c r="AD349" i="1"/>
  <c r="AC349" i="1"/>
  <c r="AB349" i="1"/>
  <c r="AI348" i="1"/>
  <c r="AH348" i="1"/>
  <c r="AG348" i="1"/>
  <c r="AF348" i="1"/>
  <c r="AE348" i="1"/>
  <c r="AD348" i="1"/>
  <c r="AC348" i="1"/>
  <c r="AB348" i="1"/>
  <c r="AI347" i="1"/>
  <c r="AH347" i="1"/>
  <c r="AG347" i="1"/>
  <c r="AF347" i="1"/>
  <c r="AE347" i="1"/>
  <c r="AD347" i="1"/>
  <c r="AC347" i="1"/>
  <c r="AB347" i="1"/>
  <c r="AI346" i="1"/>
  <c r="AH346" i="1"/>
  <c r="AG346" i="1"/>
  <c r="AF346" i="1"/>
  <c r="AE346" i="1"/>
  <c r="AD346" i="1"/>
  <c r="AC346" i="1"/>
  <c r="AB346" i="1"/>
  <c r="AI345" i="1"/>
  <c r="AH345" i="1"/>
  <c r="AG345" i="1"/>
  <c r="AF345" i="1"/>
  <c r="AE345" i="1"/>
  <c r="AD345" i="1"/>
  <c r="AC345" i="1"/>
  <c r="AB345" i="1"/>
  <c r="AI344" i="1"/>
  <c r="AH344" i="1"/>
  <c r="AG344" i="1"/>
  <c r="AF344" i="1"/>
  <c r="AE344" i="1"/>
  <c r="AD344" i="1"/>
  <c r="AC344" i="1"/>
  <c r="AB344" i="1"/>
  <c r="AI343" i="1"/>
  <c r="AH343" i="1"/>
  <c r="AG343" i="1"/>
  <c r="AF343" i="1"/>
  <c r="AE343" i="1"/>
  <c r="AD343" i="1"/>
  <c r="AC343" i="1"/>
  <c r="AB343" i="1"/>
  <c r="AI342" i="1"/>
  <c r="AH342" i="1"/>
  <c r="AG342" i="1"/>
  <c r="AF342" i="1"/>
  <c r="AE342" i="1"/>
  <c r="AD342" i="1"/>
  <c r="AC342" i="1"/>
  <c r="AB342" i="1"/>
  <c r="AI341" i="1"/>
  <c r="AH341" i="1"/>
  <c r="AG341" i="1"/>
  <c r="AF341" i="1"/>
  <c r="AE341" i="1"/>
  <c r="AD341" i="1"/>
  <c r="AC341" i="1"/>
  <c r="AB341" i="1"/>
  <c r="AI340" i="1"/>
  <c r="AH340" i="1"/>
  <c r="AG340" i="1"/>
  <c r="AF340" i="1"/>
  <c r="AE340" i="1"/>
  <c r="AD340" i="1"/>
  <c r="AC340" i="1"/>
  <c r="AB340" i="1"/>
  <c r="AI339" i="1"/>
  <c r="AH339" i="1"/>
  <c r="AG339" i="1"/>
  <c r="AF339" i="1"/>
  <c r="AE339" i="1"/>
  <c r="AD339" i="1"/>
  <c r="AC339" i="1"/>
  <c r="AB339" i="1"/>
  <c r="AI338" i="1"/>
  <c r="AH338" i="1"/>
  <c r="AG338" i="1"/>
  <c r="AF338" i="1"/>
  <c r="AE338" i="1"/>
  <c r="AD338" i="1"/>
  <c r="AC338" i="1"/>
  <c r="AB338" i="1"/>
  <c r="AI337" i="1"/>
  <c r="AH337" i="1"/>
  <c r="AG337" i="1"/>
  <c r="AF337" i="1"/>
  <c r="AE337" i="1"/>
  <c r="AD337" i="1"/>
  <c r="AC337" i="1"/>
  <c r="AB337" i="1"/>
  <c r="AI336" i="1"/>
  <c r="AH336" i="1"/>
  <c r="AG336" i="1"/>
  <c r="AF336" i="1"/>
  <c r="AE336" i="1"/>
  <c r="AD336" i="1"/>
  <c r="AC336" i="1"/>
  <c r="AB336" i="1"/>
  <c r="AI335" i="1"/>
  <c r="AH335" i="1"/>
  <c r="AG335" i="1"/>
  <c r="AF335" i="1"/>
  <c r="AE335" i="1"/>
  <c r="AD335" i="1"/>
  <c r="AB335" i="1"/>
  <c r="AI334" i="1"/>
  <c r="AH334" i="1"/>
  <c r="AG334" i="1"/>
  <c r="AF334" i="1"/>
  <c r="AE334" i="1"/>
  <c r="AD334" i="1"/>
  <c r="AC334" i="1"/>
  <c r="AB334" i="1"/>
  <c r="AI333" i="1"/>
  <c r="AH333" i="1"/>
  <c r="AG333" i="1"/>
  <c r="AF333" i="1"/>
  <c r="AE333" i="1"/>
  <c r="AD333" i="1"/>
  <c r="AC333" i="1"/>
  <c r="AB333" i="1"/>
  <c r="AI332" i="1"/>
  <c r="AH332" i="1"/>
  <c r="AG332" i="1"/>
  <c r="AF332" i="1"/>
  <c r="AE332" i="1"/>
  <c r="AD332" i="1"/>
  <c r="AC332" i="1"/>
  <c r="AB332" i="1"/>
  <c r="AI331" i="1"/>
  <c r="AH331" i="1"/>
  <c r="AG331" i="1"/>
  <c r="AF331" i="1"/>
  <c r="AE331" i="1"/>
  <c r="AD331" i="1"/>
  <c r="AC331" i="1"/>
  <c r="AB331" i="1"/>
  <c r="AI330" i="1"/>
  <c r="AH330" i="1"/>
  <c r="AG330" i="1"/>
  <c r="AF330" i="1"/>
  <c r="AE330" i="1"/>
  <c r="AD330" i="1"/>
  <c r="AC330" i="1"/>
  <c r="AB330" i="1"/>
  <c r="AI329" i="1"/>
  <c r="AH329" i="1"/>
  <c r="AG329" i="1"/>
  <c r="AF329" i="1"/>
  <c r="AE329" i="1"/>
  <c r="AD329" i="1"/>
  <c r="AC329" i="1"/>
  <c r="AB329" i="1"/>
  <c r="AI328" i="1"/>
  <c r="AH328" i="1"/>
  <c r="AG328" i="1"/>
  <c r="AF328" i="1"/>
  <c r="AE328" i="1"/>
  <c r="AD328" i="1"/>
  <c r="AC328" i="1"/>
  <c r="AB328" i="1"/>
  <c r="AI327" i="1"/>
  <c r="AH327" i="1"/>
  <c r="AG327" i="1"/>
  <c r="AF327" i="1"/>
  <c r="AE327" i="1"/>
  <c r="AD327" i="1"/>
  <c r="AC327" i="1"/>
  <c r="AB327" i="1"/>
  <c r="AI326" i="1"/>
  <c r="AH326" i="1"/>
  <c r="AG326" i="1"/>
  <c r="AF326" i="1"/>
  <c r="AE326" i="1"/>
  <c r="AD326" i="1"/>
  <c r="AC326" i="1"/>
  <c r="AB326" i="1"/>
  <c r="AI325" i="1"/>
  <c r="AH325" i="1"/>
  <c r="AG325" i="1"/>
  <c r="AF325" i="1"/>
  <c r="AE325" i="1"/>
  <c r="AD325" i="1"/>
  <c r="AC325" i="1"/>
  <c r="AB325" i="1"/>
  <c r="AI324" i="1"/>
  <c r="AH324" i="1"/>
  <c r="AG324" i="1"/>
  <c r="AF324" i="1"/>
  <c r="AE324" i="1"/>
  <c r="AD324" i="1"/>
  <c r="AC324" i="1"/>
  <c r="AB324" i="1"/>
  <c r="AI323" i="1"/>
  <c r="AH323" i="1"/>
  <c r="AG323" i="1"/>
  <c r="AF323" i="1"/>
  <c r="AE323" i="1"/>
  <c r="AD323" i="1"/>
  <c r="AC323" i="1"/>
  <c r="AB323" i="1"/>
  <c r="AI322" i="1"/>
  <c r="AH322" i="1"/>
  <c r="AG322" i="1"/>
  <c r="AF322" i="1"/>
  <c r="AE322" i="1"/>
  <c r="AD322" i="1"/>
  <c r="AC322" i="1"/>
  <c r="AB322" i="1"/>
  <c r="AI321" i="1"/>
  <c r="AH321" i="1"/>
  <c r="AG321" i="1"/>
  <c r="AF321" i="1"/>
  <c r="AE321" i="1"/>
  <c r="AD321" i="1"/>
  <c r="AC321" i="1"/>
  <c r="AB321" i="1"/>
  <c r="AI320" i="1"/>
  <c r="AH320" i="1"/>
  <c r="AG320" i="1"/>
  <c r="AF320" i="1"/>
  <c r="AE320" i="1"/>
  <c r="AD320" i="1"/>
  <c r="AC320" i="1"/>
  <c r="AB320" i="1"/>
  <c r="AI319" i="1"/>
  <c r="AH319" i="1"/>
  <c r="AG319" i="1"/>
  <c r="AF319" i="1"/>
  <c r="AE319" i="1"/>
  <c r="AD319" i="1"/>
  <c r="AC319" i="1"/>
  <c r="AB319" i="1"/>
  <c r="AI318" i="1"/>
  <c r="AH318" i="1"/>
  <c r="AG318" i="1"/>
  <c r="AF318" i="1"/>
  <c r="AE318" i="1"/>
  <c r="AD318" i="1"/>
  <c r="AC318" i="1"/>
  <c r="AB318" i="1"/>
  <c r="AI317" i="1"/>
  <c r="AH317" i="1"/>
  <c r="AG317" i="1"/>
  <c r="AF317" i="1"/>
  <c r="AE317" i="1"/>
  <c r="AD317" i="1"/>
  <c r="AC317" i="1"/>
  <c r="AB317" i="1"/>
  <c r="AI316" i="1"/>
  <c r="AH316" i="1"/>
  <c r="AG316" i="1"/>
  <c r="AF316" i="1"/>
  <c r="AE316" i="1"/>
  <c r="AD316" i="1"/>
  <c r="AC316" i="1"/>
  <c r="AB316" i="1"/>
  <c r="AI315" i="1"/>
  <c r="AH315" i="1"/>
  <c r="AG315" i="1"/>
  <c r="AF315" i="1"/>
  <c r="AE315" i="1"/>
  <c r="AD315" i="1"/>
  <c r="AC315" i="1"/>
  <c r="AB315" i="1"/>
  <c r="AI314" i="1"/>
  <c r="AH314" i="1"/>
  <c r="AG314" i="1"/>
  <c r="AF314" i="1"/>
  <c r="AE314" i="1"/>
  <c r="AD314" i="1"/>
  <c r="AC314" i="1"/>
  <c r="AB314" i="1"/>
  <c r="AI313" i="1"/>
  <c r="AH313" i="1"/>
  <c r="AG313" i="1"/>
  <c r="AF313" i="1"/>
  <c r="AE313" i="1"/>
  <c r="AD313" i="1"/>
  <c r="AC313" i="1"/>
  <c r="AB313" i="1"/>
  <c r="AI312" i="1"/>
  <c r="AH312" i="1"/>
  <c r="AG312" i="1"/>
  <c r="AF312" i="1"/>
  <c r="AE312" i="1"/>
  <c r="AD312" i="1"/>
  <c r="AC312" i="1"/>
  <c r="AB312" i="1"/>
  <c r="AI311" i="1"/>
  <c r="AH311" i="1"/>
  <c r="AG311" i="1"/>
  <c r="AF311" i="1"/>
  <c r="AE311" i="1"/>
  <c r="AD311" i="1"/>
  <c r="AC311" i="1"/>
  <c r="AB311" i="1"/>
  <c r="AI310" i="1"/>
  <c r="AH310" i="1"/>
  <c r="AG310" i="1"/>
  <c r="AF310" i="1"/>
  <c r="AE310" i="1"/>
  <c r="AD310" i="1"/>
  <c r="AC310" i="1"/>
  <c r="AB310" i="1"/>
  <c r="AI309" i="1"/>
  <c r="AH309" i="1"/>
  <c r="AG309" i="1"/>
  <c r="AF309" i="1"/>
  <c r="AE309" i="1"/>
  <c r="AD309" i="1"/>
  <c r="AC309" i="1"/>
  <c r="AB309" i="1"/>
  <c r="AI308" i="1"/>
  <c r="AH308" i="1"/>
  <c r="AG308" i="1"/>
  <c r="AF308" i="1"/>
  <c r="AE308" i="1"/>
  <c r="AD308" i="1"/>
  <c r="AC308" i="1"/>
  <c r="AB308" i="1"/>
  <c r="AI307" i="1"/>
  <c r="AH307" i="1"/>
  <c r="AG307" i="1"/>
  <c r="AF307" i="1"/>
  <c r="AE307" i="1"/>
  <c r="AD307" i="1"/>
  <c r="AC307" i="1"/>
  <c r="AB307" i="1"/>
  <c r="AI306" i="1"/>
  <c r="AH306" i="1"/>
  <c r="AG306" i="1"/>
  <c r="AF306" i="1"/>
  <c r="AE306" i="1"/>
  <c r="AD306" i="1"/>
  <c r="AC306" i="1"/>
  <c r="AB306" i="1"/>
  <c r="AI305" i="1"/>
  <c r="AH305" i="1"/>
  <c r="AG305" i="1"/>
  <c r="AF305" i="1"/>
  <c r="AE305" i="1"/>
  <c r="AD305" i="1"/>
  <c r="AC305" i="1"/>
  <c r="AB305" i="1"/>
  <c r="AI304" i="1"/>
  <c r="AH304" i="1"/>
  <c r="AG304" i="1"/>
  <c r="AF304" i="1"/>
  <c r="AE304" i="1"/>
  <c r="AD304" i="1"/>
  <c r="AC304" i="1"/>
  <c r="AB304" i="1"/>
  <c r="AI303" i="1"/>
  <c r="AH303" i="1"/>
  <c r="AG303" i="1"/>
  <c r="AF303" i="1"/>
  <c r="AE303" i="1"/>
  <c r="AD303" i="1"/>
  <c r="AC303" i="1"/>
  <c r="AB303" i="1"/>
  <c r="AI302" i="1"/>
  <c r="AH302" i="1"/>
  <c r="AG302" i="1"/>
  <c r="AF302" i="1"/>
  <c r="AE302" i="1"/>
  <c r="AD302" i="1"/>
  <c r="AC302" i="1"/>
  <c r="AB302" i="1"/>
  <c r="AI301" i="1"/>
  <c r="AH301" i="1"/>
  <c r="AG301" i="1"/>
  <c r="AF301" i="1"/>
  <c r="AE301" i="1"/>
  <c r="AD301" i="1"/>
  <c r="AC301" i="1"/>
  <c r="AB301" i="1"/>
  <c r="AI300" i="1"/>
  <c r="AH300" i="1"/>
  <c r="AG300" i="1"/>
  <c r="AF300" i="1"/>
  <c r="AE300" i="1"/>
  <c r="AD300" i="1"/>
  <c r="AC300" i="1"/>
  <c r="AB300" i="1"/>
  <c r="AI299" i="1"/>
  <c r="AH299" i="1"/>
  <c r="AG299" i="1"/>
  <c r="AF299" i="1"/>
  <c r="AE299" i="1"/>
  <c r="AD299" i="1"/>
  <c r="AC299" i="1"/>
  <c r="AB299" i="1"/>
  <c r="AI298" i="1"/>
  <c r="AH298" i="1"/>
  <c r="AG298" i="1"/>
  <c r="AF298" i="1"/>
  <c r="AE298" i="1"/>
  <c r="AD298" i="1"/>
  <c r="AC298" i="1"/>
  <c r="AB298" i="1"/>
  <c r="AI297" i="1"/>
  <c r="AH297" i="1"/>
  <c r="AG297" i="1"/>
  <c r="AF297" i="1"/>
  <c r="AE297" i="1"/>
  <c r="AD297" i="1"/>
  <c r="AC297" i="1"/>
  <c r="AB297" i="1"/>
  <c r="AI296" i="1"/>
  <c r="AH296" i="1"/>
  <c r="AG296" i="1"/>
  <c r="AF296" i="1"/>
  <c r="AE296" i="1"/>
  <c r="AD296" i="1"/>
  <c r="AC296" i="1"/>
  <c r="AB296" i="1"/>
  <c r="AI295" i="1"/>
  <c r="AH295" i="1"/>
  <c r="AG295" i="1"/>
  <c r="AF295" i="1"/>
  <c r="AE295" i="1"/>
  <c r="AD295" i="1"/>
  <c r="AC295" i="1"/>
  <c r="AB295" i="1"/>
  <c r="AI294" i="1"/>
  <c r="AH294" i="1"/>
  <c r="AG294" i="1"/>
  <c r="AF294" i="1"/>
  <c r="AE294" i="1"/>
  <c r="AD294" i="1"/>
  <c r="AC294" i="1"/>
  <c r="AB294" i="1"/>
  <c r="AI293" i="1"/>
  <c r="AH293" i="1"/>
  <c r="AG293" i="1"/>
  <c r="AF293" i="1"/>
  <c r="AE293" i="1"/>
  <c r="AD293" i="1"/>
  <c r="AC293" i="1"/>
  <c r="AB293" i="1"/>
  <c r="AI292" i="1"/>
  <c r="AH292" i="1"/>
  <c r="AG292" i="1"/>
  <c r="AF292" i="1"/>
  <c r="AE292" i="1"/>
  <c r="AD292" i="1"/>
  <c r="AC292" i="1"/>
  <c r="AB292" i="1"/>
  <c r="AI291" i="1"/>
  <c r="AH291" i="1"/>
  <c r="AG291" i="1"/>
  <c r="AF291" i="1"/>
  <c r="AE291" i="1"/>
  <c r="AD291" i="1"/>
  <c r="AC291" i="1"/>
  <c r="AB291" i="1"/>
  <c r="AI290" i="1"/>
  <c r="AH290" i="1"/>
  <c r="AG290" i="1"/>
  <c r="AF290" i="1"/>
  <c r="AE290" i="1"/>
  <c r="AD290" i="1"/>
  <c r="AC290" i="1"/>
  <c r="AB290" i="1"/>
  <c r="AI289" i="1"/>
  <c r="AH289" i="1"/>
  <c r="AG289" i="1"/>
  <c r="AF289" i="1"/>
  <c r="AE289" i="1"/>
  <c r="AD289" i="1"/>
  <c r="AC289" i="1"/>
  <c r="AB289" i="1"/>
  <c r="AI288" i="1"/>
  <c r="AH288" i="1"/>
  <c r="AG288" i="1"/>
  <c r="AF288" i="1"/>
  <c r="AE288" i="1"/>
  <c r="AD288" i="1"/>
  <c r="AC288" i="1"/>
  <c r="AB288" i="1"/>
  <c r="AI287" i="1"/>
  <c r="AH287" i="1"/>
  <c r="AG287" i="1"/>
  <c r="AF287" i="1"/>
  <c r="AE287" i="1"/>
  <c r="AD287" i="1"/>
  <c r="AC287" i="1"/>
  <c r="AB287" i="1"/>
  <c r="AI286" i="1"/>
  <c r="AH286" i="1"/>
  <c r="AG286" i="1"/>
  <c r="AF286" i="1"/>
  <c r="AE286" i="1"/>
  <c r="AD286" i="1"/>
  <c r="AC286" i="1"/>
  <c r="AB286" i="1"/>
  <c r="AI285" i="1"/>
  <c r="AH285" i="1"/>
  <c r="AG285" i="1"/>
  <c r="AF285" i="1"/>
  <c r="AE285" i="1"/>
  <c r="AD285" i="1"/>
  <c r="AC285" i="1"/>
  <c r="AB285" i="1"/>
  <c r="AI284" i="1"/>
  <c r="AH284" i="1"/>
  <c r="AG284" i="1"/>
  <c r="AF284" i="1"/>
  <c r="AE284" i="1"/>
  <c r="AD284" i="1"/>
  <c r="AC284" i="1"/>
  <c r="AB284" i="1"/>
  <c r="AI283" i="1"/>
  <c r="AH283" i="1"/>
  <c r="AG283" i="1"/>
  <c r="AF283" i="1"/>
  <c r="AE283" i="1"/>
  <c r="AD283" i="1"/>
  <c r="AC283" i="1"/>
  <c r="AB283" i="1"/>
  <c r="AI282" i="1"/>
  <c r="AH282" i="1"/>
  <c r="AG282" i="1"/>
  <c r="AF282" i="1"/>
  <c r="AE282" i="1"/>
  <c r="AD282" i="1"/>
  <c r="AC282" i="1"/>
  <c r="AB282" i="1"/>
  <c r="AI281" i="1"/>
  <c r="AH281" i="1"/>
  <c r="AG281" i="1"/>
  <c r="AF281" i="1"/>
  <c r="AE281" i="1"/>
  <c r="AD281" i="1"/>
  <c r="AC281" i="1"/>
  <c r="AB281" i="1"/>
  <c r="AI280" i="1"/>
  <c r="AH280" i="1"/>
  <c r="AG280" i="1"/>
  <c r="AF280" i="1"/>
  <c r="AE280" i="1"/>
  <c r="AD280" i="1"/>
  <c r="AC280" i="1"/>
  <c r="AB280" i="1"/>
  <c r="AI279" i="1"/>
  <c r="AH279" i="1"/>
  <c r="AG279" i="1"/>
  <c r="AF279" i="1"/>
  <c r="AE279" i="1"/>
  <c r="AD279" i="1"/>
  <c r="AC279" i="1"/>
  <c r="AB279" i="1"/>
  <c r="AI278" i="1"/>
  <c r="AH278" i="1"/>
  <c r="AG278" i="1"/>
  <c r="AF278" i="1"/>
  <c r="AE278" i="1"/>
  <c r="AD278" i="1"/>
  <c r="AB278" i="1"/>
  <c r="AI277" i="1"/>
  <c r="AH277" i="1"/>
  <c r="AG277" i="1"/>
  <c r="AF277" i="1"/>
  <c r="AE277" i="1"/>
  <c r="AD277" i="1"/>
  <c r="AC277" i="1"/>
  <c r="AB277" i="1"/>
  <c r="AI276" i="1"/>
  <c r="AH276" i="1"/>
  <c r="AG276" i="1"/>
  <c r="AF276" i="1"/>
  <c r="AE276" i="1"/>
  <c r="AD276" i="1"/>
  <c r="AC276" i="1"/>
  <c r="AB276" i="1"/>
  <c r="AI275" i="1"/>
  <c r="AH275" i="1"/>
  <c r="AG275" i="1"/>
  <c r="AF275" i="1"/>
  <c r="AE275" i="1"/>
  <c r="AD275" i="1"/>
  <c r="AC275" i="1"/>
  <c r="AB275" i="1"/>
  <c r="AI274" i="1"/>
  <c r="AH274" i="1"/>
  <c r="AG274" i="1"/>
  <c r="AF274" i="1"/>
  <c r="AE274" i="1"/>
  <c r="AD274" i="1"/>
  <c r="AC274" i="1"/>
  <c r="AB274" i="1"/>
  <c r="AI273" i="1"/>
  <c r="AH273" i="1"/>
  <c r="AG273" i="1"/>
  <c r="AF273" i="1"/>
  <c r="AE273" i="1"/>
  <c r="AD273" i="1"/>
  <c r="AC273" i="1"/>
  <c r="AB273" i="1"/>
  <c r="AI272" i="1"/>
  <c r="AH272" i="1"/>
  <c r="AG272" i="1"/>
  <c r="AF272" i="1"/>
  <c r="AE272" i="1"/>
  <c r="AD272" i="1"/>
  <c r="AC272" i="1"/>
  <c r="AB272" i="1"/>
  <c r="AI271" i="1"/>
  <c r="AH271" i="1"/>
  <c r="AG271" i="1"/>
  <c r="AF271" i="1"/>
  <c r="AE271" i="1"/>
  <c r="AD271" i="1"/>
  <c r="AC271" i="1"/>
  <c r="AB271" i="1"/>
  <c r="AI270" i="1"/>
  <c r="AH270" i="1"/>
  <c r="AG270" i="1"/>
  <c r="AF270" i="1"/>
  <c r="AE270" i="1"/>
  <c r="AD270" i="1"/>
  <c r="AC270" i="1"/>
  <c r="AB270" i="1"/>
  <c r="AI269" i="1"/>
  <c r="AH269" i="1"/>
  <c r="AG269" i="1"/>
  <c r="AF269" i="1"/>
  <c r="AE269" i="1"/>
  <c r="AD269" i="1"/>
  <c r="AC269" i="1"/>
  <c r="AB269" i="1"/>
  <c r="AI268" i="1"/>
  <c r="AH268" i="1"/>
  <c r="AG268" i="1"/>
  <c r="AF268" i="1"/>
  <c r="AE268" i="1"/>
  <c r="AD268" i="1"/>
  <c r="AC268" i="1"/>
  <c r="AB268" i="1"/>
  <c r="AI267" i="1"/>
  <c r="AH267" i="1"/>
  <c r="AG267" i="1"/>
  <c r="AF267" i="1"/>
  <c r="AE267" i="1"/>
  <c r="AD267" i="1"/>
  <c r="AC267" i="1"/>
  <c r="AB267" i="1"/>
  <c r="AI266" i="1"/>
  <c r="AH266" i="1"/>
  <c r="AG266" i="1"/>
  <c r="AF266" i="1"/>
  <c r="AE266" i="1"/>
  <c r="AD266" i="1"/>
  <c r="AC266" i="1"/>
  <c r="AB266" i="1"/>
  <c r="AI265" i="1"/>
  <c r="AH265" i="1"/>
  <c r="AG265" i="1"/>
  <c r="AF265" i="1"/>
  <c r="AE265" i="1"/>
  <c r="AD265" i="1"/>
  <c r="AC265" i="1"/>
  <c r="AB265" i="1"/>
  <c r="AI264" i="1"/>
  <c r="AH264" i="1"/>
  <c r="AG264" i="1"/>
  <c r="AF264" i="1"/>
  <c r="AE264" i="1"/>
  <c r="AD264" i="1"/>
  <c r="AC264" i="1"/>
  <c r="AB264" i="1"/>
  <c r="AI263" i="1"/>
  <c r="AH263" i="1"/>
  <c r="AG263" i="1"/>
  <c r="AF263" i="1"/>
  <c r="AE263" i="1"/>
  <c r="AD263" i="1"/>
  <c r="AC263" i="1"/>
  <c r="AB263" i="1"/>
  <c r="AI262" i="1"/>
  <c r="AH262" i="1"/>
  <c r="AG262" i="1"/>
  <c r="AF262" i="1"/>
  <c r="AE262" i="1"/>
  <c r="AD262" i="1"/>
  <c r="AC262" i="1"/>
  <c r="AB262" i="1"/>
  <c r="AI261" i="1"/>
  <c r="AH261" i="1"/>
  <c r="AG261" i="1"/>
  <c r="AF261" i="1"/>
  <c r="AE261" i="1"/>
  <c r="AD261" i="1"/>
  <c r="AC261" i="1"/>
  <c r="AB261" i="1"/>
  <c r="AI260" i="1"/>
  <c r="AH260" i="1"/>
  <c r="AG260" i="1"/>
  <c r="AF260" i="1"/>
  <c r="AE260" i="1"/>
  <c r="AD260" i="1"/>
  <c r="AC260" i="1"/>
  <c r="AB260" i="1"/>
  <c r="AI259" i="1"/>
  <c r="AH259" i="1"/>
  <c r="AG259" i="1"/>
  <c r="AF259" i="1"/>
  <c r="AE259" i="1"/>
  <c r="AD259" i="1"/>
  <c r="AC259" i="1"/>
  <c r="AB259" i="1"/>
  <c r="AI258" i="1"/>
  <c r="AH258" i="1"/>
  <c r="AG258" i="1"/>
  <c r="AF258" i="1"/>
  <c r="AE258" i="1"/>
  <c r="AD258" i="1"/>
  <c r="AC258" i="1"/>
  <c r="AB258" i="1"/>
  <c r="AI257" i="1"/>
  <c r="AH257" i="1"/>
  <c r="AG257" i="1"/>
  <c r="AF257" i="1"/>
  <c r="AE257" i="1"/>
  <c r="AD257" i="1"/>
  <c r="AC257" i="1"/>
  <c r="AB257" i="1"/>
  <c r="AI256" i="1"/>
  <c r="AH256" i="1"/>
  <c r="AG256" i="1"/>
  <c r="AF256" i="1"/>
  <c r="AE256" i="1"/>
  <c r="AD256" i="1"/>
  <c r="AC256" i="1"/>
  <c r="AB256" i="1"/>
  <c r="AI255" i="1"/>
  <c r="AH255" i="1"/>
  <c r="AG255" i="1"/>
  <c r="AF255" i="1"/>
  <c r="AE255" i="1"/>
  <c r="AD255" i="1"/>
  <c r="AC255" i="1"/>
  <c r="AB255" i="1"/>
  <c r="AI254" i="1"/>
  <c r="AH254" i="1"/>
  <c r="AG254" i="1"/>
  <c r="AF254" i="1"/>
  <c r="AE254" i="1"/>
  <c r="AD254" i="1"/>
  <c r="AC254" i="1"/>
  <c r="AB254" i="1"/>
  <c r="AI253" i="1"/>
  <c r="AH253" i="1"/>
  <c r="AG253" i="1"/>
  <c r="AF253" i="1"/>
  <c r="AE253" i="1"/>
  <c r="AD253" i="1"/>
  <c r="AC253" i="1"/>
  <c r="AB253" i="1"/>
  <c r="AI252" i="1"/>
  <c r="AH252" i="1"/>
  <c r="AG252" i="1"/>
  <c r="AF252" i="1"/>
  <c r="AE252" i="1"/>
  <c r="AD252" i="1"/>
  <c r="AC252" i="1"/>
  <c r="AB252" i="1"/>
  <c r="AI251" i="1"/>
  <c r="AH251" i="1"/>
  <c r="AG251" i="1"/>
  <c r="AF251" i="1"/>
  <c r="AE251" i="1"/>
  <c r="AD251" i="1"/>
  <c r="AC251" i="1"/>
  <c r="AB251" i="1"/>
  <c r="AI250" i="1"/>
  <c r="AH250" i="1"/>
  <c r="AG250" i="1"/>
  <c r="AF250" i="1"/>
  <c r="AE250" i="1"/>
  <c r="AD250" i="1"/>
  <c r="AC250" i="1"/>
  <c r="AB250" i="1"/>
  <c r="AI249" i="1"/>
  <c r="AH249" i="1"/>
  <c r="AG249" i="1"/>
  <c r="AF249" i="1"/>
  <c r="AE249" i="1"/>
  <c r="AD249" i="1"/>
  <c r="AC249" i="1"/>
  <c r="AB249" i="1"/>
  <c r="AI248" i="1"/>
  <c r="AH248" i="1"/>
  <c r="AG248" i="1"/>
  <c r="AF248" i="1"/>
  <c r="AE248" i="1"/>
  <c r="AD248" i="1"/>
  <c r="AC248" i="1"/>
  <c r="AB248" i="1"/>
  <c r="AI247" i="1"/>
  <c r="AH247" i="1"/>
  <c r="AG247" i="1"/>
  <c r="AF247" i="1"/>
  <c r="AE247" i="1"/>
  <c r="AD247" i="1"/>
  <c r="AC247" i="1"/>
  <c r="AB247" i="1"/>
  <c r="AI246" i="1"/>
  <c r="AH246" i="1"/>
  <c r="AG246" i="1"/>
  <c r="AF246" i="1"/>
  <c r="AE246" i="1"/>
  <c r="AD246" i="1"/>
  <c r="AC246" i="1"/>
  <c r="AB246" i="1"/>
  <c r="AI245" i="1"/>
  <c r="AH245" i="1"/>
  <c r="AG245" i="1"/>
  <c r="AF245" i="1"/>
  <c r="AE245" i="1"/>
  <c r="AD245" i="1"/>
  <c r="AB245" i="1"/>
  <c r="AI244" i="1"/>
  <c r="AH244" i="1"/>
  <c r="AG244" i="1"/>
  <c r="AF244" i="1"/>
  <c r="AE244" i="1"/>
  <c r="AD244" i="1"/>
  <c r="AC244" i="1"/>
  <c r="AB244" i="1"/>
  <c r="AI243" i="1"/>
  <c r="AH243" i="1"/>
  <c r="AG243" i="1"/>
  <c r="AF243" i="1"/>
  <c r="AE243" i="1"/>
  <c r="AD243" i="1"/>
  <c r="AC243" i="1"/>
  <c r="AB243" i="1"/>
  <c r="AI242" i="1"/>
  <c r="AH242" i="1"/>
  <c r="AG242" i="1"/>
  <c r="AF242" i="1"/>
  <c r="AE242" i="1"/>
  <c r="AD242" i="1"/>
  <c r="AC242" i="1"/>
  <c r="AB242" i="1"/>
  <c r="AI241" i="1"/>
  <c r="AH241" i="1"/>
  <c r="AG241" i="1"/>
  <c r="AF241" i="1"/>
  <c r="AE241" i="1"/>
  <c r="AD241" i="1"/>
  <c r="AC241" i="1"/>
  <c r="AB241" i="1"/>
  <c r="AI240" i="1"/>
  <c r="AH240" i="1"/>
  <c r="AG240" i="1"/>
  <c r="AF240" i="1"/>
  <c r="AE240" i="1"/>
  <c r="AD240" i="1"/>
  <c r="AC240" i="1"/>
  <c r="AB240" i="1"/>
  <c r="AI239" i="1"/>
  <c r="AH239" i="1"/>
  <c r="AG239" i="1"/>
  <c r="AF239" i="1"/>
  <c r="AE239" i="1"/>
  <c r="AD239" i="1"/>
  <c r="AC239" i="1"/>
  <c r="AB239" i="1"/>
  <c r="AI238" i="1"/>
  <c r="AH238" i="1"/>
  <c r="AG238" i="1"/>
  <c r="AF238" i="1"/>
  <c r="AE238" i="1"/>
  <c r="AD238" i="1"/>
  <c r="AC238" i="1"/>
  <c r="AB238" i="1"/>
  <c r="AI237" i="1"/>
  <c r="AH237" i="1"/>
  <c r="AG237" i="1"/>
  <c r="AF237" i="1"/>
  <c r="AE237" i="1"/>
  <c r="AD237" i="1"/>
  <c r="AC237" i="1"/>
  <c r="AB237" i="1"/>
  <c r="AI236" i="1"/>
  <c r="AH236" i="1"/>
  <c r="AG236" i="1"/>
  <c r="AF236" i="1"/>
  <c r="AE236" i="1"/>
  <c r="AD236" i="1"/>
  <c r="AC236" i="1"/>
  <c r="AB236" i="1"/>
  <c r="AH235" i="1"/>
  <c r="AG235" i="1"/>
  <c r="AF235" i="1"/>
  <c r="AE235" i="1"/>
  <c r="AD235" i="1"/>
  <c r="AC235" i="1"/>
  <c r="AB235" i="1"/>
  <c r="AI234" i="1"/>
  <c r="AH234" i="1"/>
  <c r="AG234" i="1"/>
  <c r="AF234" i="1"/>
  <c r="AE234" i="1"/>
  <c r="AD234" i="1"/>
  <c r="AC234" i="1"/>
  <c r="AB234" i="1"/>
  <c r="AI233" i="1"/>
  <c r="AH233" i="1"/>
  <c r="AG233" i="1"/>
  <c r="AF233" i="1"/>
  <c r="AE233" i="1"/>
  <c r="AD233" i="1"/>
  <c r="AC233" i="1"/>
  <c r="AB233" i="1"/>
  <c r="AI232" i="1"/>
  <c r="AH232" i="1"/>
  <c r="AG232" i="1"/>
  <c r="AF232" i="1"/>
  <c r="AE232" i="1"/>
  <c r="AD232" i="1"/>
  <c r="AC232" i="1"/>
  <c r="AB232" i="1"/>
  <c r="AI231" i="1"/>
  <c r="AH231" i="1"/>
  <c r="AG231" i="1"/>
  <c r="AF231" i="1"/>
  <c r="AE231" i="1"/>
  <c r="AD231" i="1"/>
  <c r="AC231" i="1"/>
  <c r="AB231" i="1"/>
  <c r="AI230" i="1"/>
  <c r="AH230" i="1"/>
  <c r="AG230" i="1"/>
  <c r="AF230" i="1"/>
  <c r="AE230" i="1"/>
  <c r="AD230" i="1"/>
  <c r="AC230" i="1"/>
  <c r="AB230" i="1"/>
  <c r="AI229" i="1"/>
  <c r="AH229" i="1"/>
  <c r="AG229" i="1"/>
  <c r="AF229" i="1"/>
  <c r="AE229" i="1"/>
  <c r="AD229" i="1"/>
  <c r="AC229" i="1"/>
  <c r="AB229" i="1"/>
  <c r="AI228" i="1"/>
  <c r="AH228" i="1"/>
  <c r="AG228" i="1"/>
  <c r="AF228" i="1"/>
  <c r="AE228" i="1"/>
  <c r="AD228" i="1"/>
  <c r="AB228" i="1"/>
  <c r="AI227" i="1"/>
  <c r="AH227" i="1"/>
  <c r="AG227" i="1"/>
  <c r="AF227" i="1"/>
  <c r="AE227" i="1"/>
  <c r="AD227" i="1"/>
  <c r="AC227" i="1"/>
  <c r="AB227" i="1"/>
  <c r="AI226" i="1"/>
  <c r="AH226" i="1"/>
  <c r="AG226" i="1"/>
  <c r="AF226" i="1"/>
  <c r="AE226" i="1"/>
  <c r="AD226" i="1"/>
  <c r="AC226" i="1"/>
  <c r="AB226" i="1"/>
  <c r="AI225" i="1"/>
  <c r="AH225" i="1"/>
  <c r="AG225" i="1"/>
  <c r="AF225" i="1"/>
  <c r="AE225" i="1"/>
  <c r="AD225" i="1"/>
  <c r="AC225" i="1"/>
  <c r="AB225" i="1"/>
  <c r="AI224" i="1"/>
  <c r="AH224" i="1"/>
  <c r="AG224" i="1"/>
  <c r="AF224" i="1"/>
  <c r="AE224" i="1"/>
  <c r="AD224" i="1"/>
  <c r="AC224" i="1"/>
  <c r="AB224" i="1"/>
  <c r="AI223" i="1"/>
  <c r="AH223" i="1"/>
  <c r="AG223" i="1"/>
  <c r="AF223" i="1"/>
  <c r="AE223" i="1"/>
  <c r="AD223" i="1"/>
  <c r="AC223" i="1"/>
  <c r="AB223" i="1"/>
  <c r="AI222" i="1"/>
  <c r="AH222" i="1"/>
  <c r="AG222" i="1"/>
  <c r="AF222" i="1"/>
  <c r="AE222" i="1"/>
  <c r="AD222" i="1"/>
  <c r="AC222" i="1"/>
  <c r="AB222" i="1"/>
  <c r="AI221" i="1"/>
  <c r="AH221" i="1"/>
  <c r="AG221" i="1"/>
  <c r="AF221" i="1"/>
  <c r="AE221" i="1"/>
  <c r="AD221" i="1"/>
  <c r="AC221" i="1"/>
  <c r="AB221" i="1"/>
  <c r="AI220" i="1"/>
  <c r="AH220" i="1"/>
  <c r="AG220" i="1"/>
  <c r="AF220" i="1"/>
  <c r="AE220" i="1"/>
  <c r="AD220" i="1"/>
  <c r="AC220" i="1"/>
  <c r="AB220" i="1"/>
  <c r="AI219" i="1"/>
  <c r="AH219" i="1"/>
  <c r="AG219" i="1"/>
  <c r="AF219" i="1"/>
  <c r="AE219" i="1"/>
  <c r="AD219" i="1"/>
  <c r="AC219" i="1"/>
  <c r="AB219" i="1"/>
  <c r="AI218" i="1"/>
  <c r="AH218" i="1"/>
  <c r="AG218" i="1"/>
  <c r="AF218" i="1"/>
  <c r="AE218" i="1"/>
  <c r="AD218" i="1"/>
  <c r="AC218" i="1"/>
  <c r="AB218" i="1"/>
  <c r="AI217" i="1"/>
  <c r="AH217" i="1"/>
  <c r="AG217" i="1"/>
  <c r="AF217" i="1"/>
  <c r="AE217" i="1"/>
  <c r="AD217" i="1"/>
  <c r="AC217" i="1"/>
  <c r="AB217" i="1"/>
  <c r="AI216" i="1"/>
  <c r="AH216" i="1"/>
  <c r="AG216" i="1"/>
  <c r="AF216" i="1"/>
  <c r="AE216" i="1"/>
  <c r="AD216" i="1"/>
  <c r="AC216" i="1"/>
  <c r="AB216" i="1"/>
  <c r="AI215" i="1"/>
  <c r="AH215" i="1"/>
  <c r="AG215" i="1"/>
  <c r="AF215" i="1"/>
  <c r="AE215" i="1"/>
  <c r="AD215" i="1"/>
  <c r="AC215" i="1"/>
  <c r="AB215" i="1"/>
  <c r="AI214" i="1"/>
  <c r="AH214" i="1"/>
  <c r="AG214" i="1"/>
  <c r="AF214" i="1"/>
  <c r="AE214" i="1"/>
  <c r="AD214" i="1"/>
  <c r="AC214" i="1"/>
  <c r="AB214" i="1"/>
  <c r="AI213" i="1"/>
  <c r="AH213" i="1"/>
  <c r="AG213" i="1"/>
  <c r="AF213" i="1"/>
  <c r="AE213" i="1"/>
  <c r="AD213" i="1"/>
  <c r="AC213" i="1"/>
  <c r="AB213" i="1"/>
  <c r="AI212" i="1"/>
  <c r="AH212" i="1"/>
  <c r="AG212" i="1"/>
  <c r="AF212" i="1"/>
  <c r="AE212" i="1"/>
  <c r="AD212" i="1"/>
  <c r="AC212" i="1"/>
  <c r="AB212" i="1"/>
  <c r="AI211" i="1"/>
  <c r="AH211" i="1"/>
  <c r="AG211" i="1"/>
  <c r="AF211" i="1"/>
  <c r="AE211" i="1"/>
  <c r="AD211" i="1"/>
  <c r="AC211" i="1"/>
  <c r="AB211" i="1"/>
  <c r="AI210" i="1"/>
  <c r="AH210" i="1"/>
  <c r="AG210" i="1"/>
  <c r="AF210" i="1"/>
  <c r="AE210" i="1"/>
  <c r="AD210" i="1"/>
  <c r="AC210" i="1"/>
  <c r="AB210" i="1"/>
  <c r="AI209" i="1"/>
  <c r="AH209" i="1"/>
  <c r="AG209" i="1"/>
  <c r="AF209" i="1"/>
  <c r="AE209" i="1"/>
  <c r="AD209" i="1"/>
  <c r="AC209" i="1"/>
  <c r="AB209" i="1"/>
  <c r="AI208" i="1"/>
  <c r="AH208" i="1"/>
  <c r="AG208" i="1"/>
  <c r="AF208" i="1"/>
  <c r="AE208" i="1"/>
  <c r="AD208" i="1"/>
  <c r="AC208" i="1"/>
  <c r="AB208" i="1"/>
  <c r="AI207" i="1"/>
  <c r="AH207" i="1"/>
  <c r="AG207" i="1"/>
  <c r="AF207" i="1"/>
  <c r="AE207" i="1"/>
  <c r="AD207" i="1"/>
  <c r="AC207" i="1"/>
  <c r="AB207" i="1"/>
  <c r="AI206" i="1"/>
  <c r="AH206" i="1"/>
  <c r="AG206" i="1"/>
  <c r="AF206" i="1"/>
  <c r="AE206" i="1"/>
  <c r="AD206" i="1"/>
  <c r="AC206" i="1"/>
  <c r="AB206" i="1"/>
  <c r="AI205" i="1"/>
  <c r="AH205" i="1"/>
  <c r="AG205" i="1"/>
  <c r="AF205" i="1"/>
  <c r="AE205" i="1"/>
  <c r="AD205" i="1"/>
  <c r="AC205" i="1"/>
  <c r="AB205" i="1"/>
  <c r="AI204" i="1"/>
  <c r="AH204" i="1"/>
  <c r="AG204" i="1"/>
  <c r="AF204" i="1"/>
  <c r="AE204" i="1"/>
  <c r="AD204" i="1"/>
  <c r="AC204" i="1"/>
  <c r="AB204" i="1"/>
  <c r="AI203" i="1"/>
  <c r="AH203" i="1"/>
  <c r="AG203" i="1"/>
  <c r="AF203" i="1"/>
  <c r="AE203" i="1"/>
  <c r="AD203" i="1"/>
  <c r="AC203" i="1"/>
  <c r="AB203" i="1"/>
  <c r="AI202" i="1"/>
  <c r="AH202" i="1"/>
  <c r="AG202" i="1"/>
  <c r="AF202" i="1"/>
  <c r="AE202" i="1"/>
  <c r="AD202" i="1"/>
  <c r="AC202" i="1"/>
  <c r="AB202" i="1"/>
  <c r="AH201" i="1"/>
  <c r="AG201" i="1"/>
  <c r="AF201" i="1"/>
  <c r="AE201" i="1"/>
  <c r="AD201" i="1"/>
  <c r="AC201" i="1"/>
  <c r="AB201" i="1"/>
  <c r="AI200" i="1"/>
  <c r="AH200" i="1"/>
  <c r="AG200" i="1"/>
  <c r="AF200" i="1"/>
  <c r="AE200" i="1"/>
  <c r="AD200" i="1"/>
  <c r="AC200" i="1"/>
  <c r="AB200" i="1"/>
  <c r="AI199" i="1"/>
  <c r="AH199" i="1"/>
  <c r="AG199" i="1"/>
  <c r="AF199" i="1"/>
  <c r="AE199" i="1"/>
  <c r="AD199" i="1"/>
  <c r="AC199" i="1"/>
  <c r="AB199" i="1"/>
  <c r="AI198" i="1"/>
  <c r="AH198" i="1"/>
  <c r="AG198" i="1"/>
  <c r="AF198" i="1"/>
  <c r="AE198" i="1"/>
  <c r="AD198" i="1"/>
  <c r="AC198" i="1"/>
  <c r="AB198" i="1"/>
  <c r="AI197" i="1"/>
  <c r="AH197" i="1"/>
  <c r="AG197" i="1"/>
  <c r="AF197" i="1"/>
  <c r="AE197" i="1"/>
  <c r="AD197" i="1"/>
  <c r="AC197" i="1"/>
  <c r="AB197" i="1"/>
  <c r="AI196" i="1"/>
  <c r="AH196" i="1"/>
  <c r="AG196" i="1"/>
  <c r="AF196" i="1"/>
  <c r="AE196" i="1"/>
  <c r="AD196" i="1"/>
  <c r="AC196" i="1"/>
  <c r="AB196" i="1"/>
  <c r="AI195" i="1"/>
  <c r="AH195" i="1"/>
  <c r="AG195" i="1"/>
  <c r="AF195" i="1"/>
  <c r="AE195" i="1"/>
  <c r="AD195" i="1"/>
  <c r="AC195" i="1"/>
  <c r="AB195" i="1"/>
  <c r="AI194" i="1"/>
  <c r="AH194" i="1"/>
  <c r="AG194" i="1"/>
  <c r="AF194" i="1"/>
  <c r="AE194" i="1"/>
  <c r="AD194" i="1"/>
  <c r="AC194" i="1"/>
  <c r="AB194" i="1"/>
  <c r="AI193" i="1"/>
  <c r="AH193" i="1"/>
  <c r="AG193" i="1"/>
  <c r="AF193" i="1"/>
  <c r="AE193" i="1"/>
  <c r="AD193" i="1"/>
  <c r="AC193" i="1"/>
  <c r="AB193" i="1"/>
  <c r="AI192" i="1"/>
  <c r="AH192" i="1"/>
  <c r="AG192" i="1"/>
  <c r="AF192" i="1"/>
  <c r="AE192" i="1"/>
  <c r="AD192" i="1"/>
  <c r="AC192" i="1"/>
  <c r="AB192" i="1"/>
  <c r="AI191" i="1"/>
  <c r="AH191" i="1"/>
  <c r="AG191" i="1"/>
  <c r="AF191" i="1"/>
  <c r="AE191" i="1"/>
  <c r="AD191" i="1"/>
  <c r="AC191" i="1"/>
  <c r="AB191" i="1"/>
  <c r="AI190" i="1"/>
  <c r="AH190" i="1"/>
  <c r="AG190" i="1"/>
  <c r="AF190" i="1"/>
  <c r="AE190" i="1"/>
  <c r="AD190" i="1"/>
  <c r="AC190" i="1"/>
  <c r="AB190" i="1"/>
  <c r="AI189" i="1"/>
  <c r="AH189" i="1"/>
  <c r="AG189" i="1"/>
  <c r="AF189" i="1"/>
  <c r="AE189" i="1"/>
  <c r="AD189" i="1"/>
  <c r="AC189" i="1"/>
  <c r="AB189" i="1"/>
  <c r="AI188" i="1"/>
  <c r="AH188" i="1"/>
  <c r="AG188" i="1"/>
  <c r="AF188" i="1"/>
  <c r="AE188" i="1"/>
  <c r="AD188" i="1"/>
  <c r="AC188" i="1"/>
  <c r="AB188" i="1"/>
  <c r="AI187" i="1"/>
  <c r="AH187" i="1"/>
  <c r="AG187" i="1"/>
  <c r="AF187" i="1"/>
  <c r="AE187" i="1"/>
  <c r="AD187" i="1"/>
  <c r="AB187" i="1"/>
  <c r="AI186" i="1"/>
  <c r="AH186" i="1"/>
  <c r="AG186" i="1"/>
  <c r="AF186" i="1"/>
  <c r="AE186" i="1"/>
  <c r="AD186" i="1"/>
  <c r="AC186" i="1"/>
  <c r="AB186" i="1"/>
  <c r="AI185" i="1"/>
  <c r="AH185" i="1"/>
  <c r="AG185" i="1"/>
  <c r="AF185" i="1"/>
  <c r="AE185" i="1"/>
  <c r="AD185" i="1"/>
  <c r="AC185" i="1"/>
  <c r="AB185" i="1"/>
  <c r="AI184" i="1"/>
  <c r="AH184" i="1"/>
  <c r="AG184" i="1"/>
  <c r="AF184" i="1"/>
  <c r="AE184" i="1"/>
  <c r="AD184" i="1"/>
  <c r="AC184" i="1"/>
  <c r="AB184" i="1"/>
  <c r="AI183" i="1"/>
  <c r="AH183" i="1"/>
  <c r="AG183" i="1"/>
  <c r="AF183" i="1"/>
  <c r="AE183" i="1"/>
  <c r="AD183" i="1"/>
  <c r="AC183" i="1"/>
  <c r="AB183" i="1"/>
  <c r="AI182" i="1"/>
  <c r="AH182" i="1"/>
  <c r="AG182" i="1"/>
  <c r="AF182" i="1"/>
  <c r="AE182" i="1"/>
  <c r="AD182" i="1"/>
  <c r="AC182" i="1"/>
  <c r="AB182" i="1"/>
  <c r="AI181" i="1"/>
  <c r="AH181" i="1"/>
  <c r="AG181" i="1"/>
  <c r="AF181" i="1"/>
  <c r="AE181" i="1"/>
  <c r="AD181" i="1"/>
  <c r="AC181" i="1"/>
  <c r="AB181" i="1"/>
  <c r="AI180" i="1"/>
  <c r="AH180" i="1"/>
  <c r="AG180" i="1"/>
  <c r="AF180" i="1"/>
  <c r="AE180" i="1"/>
  <c r="AD180" i="1"/>
  <c r="AC180" i="1"/>
  <c r="AB180" i="1"/>
  <c r="AI179" i="1"/>
  <c r="AH179" i="1"/>
  <c r="AG179" i="1"/>
  <c r="AF179" i="1"/>
  <c r="AE179" i="1"/>
  <c r="AD179" i="1"/>
  <c r="AB179" i="1"/>
  <c r="AI178" i="1"/>
  <c r="AH178" i="1"/>
  <c r="AG178" i="1"/>
  <c r="AF178" i="1"/>
  <c r="AE178" i="1"/>
  <c r="AD178" i="1"/>
  <c r="AC178" i="1"/>
  <c r="AB178" i="1"/>
  <c r="AI177" i="1"/>
  <c r="AH177" i="1"/>
  <c r="AG177" i="1"/>
  <c r="AF177" i="1"/>
  <c r="AE177" i="1"/>
  <c r="AD177" i="1"/>
  <c r="AC177" i="1"/>
  <c r="AB177" i="1"/>
  <c r="AI176" i="1"/>
  <c r="AH176" i="1"/>
  <c r="AG176" i="1"/>
  <c r="AF176" i="1"/>
  <c r="AE176" i="1"/>
  <c r="AD176" i="1"/>
  <c r="AC176" i="1"/>
  <c r="AB176" i="1"/>
  <c r="AI175" i="1"/>
  <c r="AH175" i="1"/>
  <c r="AG175" i="1"/>
  <c r="AF175" i="1"/>
  <c r="AE175" i="1"/>
  <c r="AD175" i="1"/>
  <c r="AC175" i="1"/>
  <c r="AB175" i="1"/>
  <c r="AI174" i="1"/>
  <c r="AH174" i="1"/>
  <c r="AG174" i="1"/>
  <c r="AF174" i="1"/>
  <c r="AE174" i="1"/>
  <c r="AD174" i="1"/>
  <c r="AC174" i="1"/>
  <c r="AB174" i="1"/>
  <c r="AI173" i="1"/>
  <c r="AH173" i="1"/>
  <c r="AG173" i="1"/>
  <c r="AF173" i="1"/>
  <c r="AE173" i="1"/>
  <c r="AD173" i="1"/>
  <c r="AC173" i="1"/>
  <c r="AB173" i="1"/>
  <c r="AI172" i="1"/>
  <c r="AH172" i="1"/>
  <c r="AG172" i="1"/>
  <c r="AF172" i="1"/>
  <c r="AE172" i="1"/>
  <c r="AD172" i="1"/>
  <c r="AC172" i="1"/>
  <c r="AB172" i="1"/>
  <c r="AI171" i="1"/>
  <c r="AH171" i="1"/>
  <c r="AG171" i="1"/>
  <c r="AF171" i="1"/>
  <c r="AE171" i="1"/>
  <c r="AD171" i="1"/>
  <c r="AC171" i="1"/>
  <c r="AB171" i="1"/>
  <c r="AI170" i="1"/>
  <c r="AH170" i="1"/>
  <c r="AG170" i="1"/>
  <c r="AF170" i="1"/>
  <c r="AE170" i="1"/>
  <c r="AD170" i="1"/>
  <c r="AC170" i="1"/>
  <c r="AB170" i="1"/>
  <c r="AI169" i="1"/>
  <c r="AH169" i="1"/>
  <c r="AG169" i="1"/>
  <c r="AF169" i="1"/>
  <c r="AE169" i="1"/>
  <c r="AD169" i="1"/>
  <c r="AC169" i="1"/>
  <c r="AB169" i="1"/>
  <c r="AI168" i="1"/>
  <c r="AH168" i="1"/>
  <c r="AG168" i="1"/>
  <c r="AF168" i="1"/>
  <c r="AE168" i="1"/>
  <c r="AD168" i="1"/>
  <c r="AC168" i="1"/>
  <c r="AB168" i="1"/>
  <c r="AI167" i="1"/>
  <c r="AH167" i="1"/>
  <c r="AG167" i="1"/>
  <c r="AF167" i="1"/>
  <c r="AE167" i="1"/>
  <c r="AD167" i="1"/>
  <c r="AC167" i="1"/>
  <c r="AB167" i="1"/>
  <c r="AI166" i="1"/>
  <c r="AH166" i="1"/>
  <c r="AG166" i="1"/>
  <c r="AF166" i="1"/>
  <c r="AE166" i="1"/>
  <c r="AD166" i="1"/>
  <c r="AC166" i="1"/>
  <c r="AB166" i="1"/>
  <c r="AH165" i="1"/>
  <c r="AG165" i="1"/>
  <c r="AF165" i="1"/>
  <c r="AE165" i="1"/>
  <c r="AD165" i="1"/>
  <c r="AC165" i="1"/>
  <c r="AB165" i="1"/>
  <c r="AI164" i="1"/>
  <c r="AH164" i="1"/>
  <c r="AG164" i="1"/>
  <c r="AF164" i="1"/>
  <c r="AE164" i="1"/>
  <c r="AD164" i="1"/>
  <c r="AC164" i="1"/>
  <c r="AB164" i="1"/>
  <c r="AI163" i="1"/>
  <c r="AH163" i="1"/>
  <c r="AG163" i="1"/>
  <c r="AF163" i="1"/>
  <c r="AE163" i="1"/>
  <c r="AD163" i="1"/>
  <c r="AC163" i="1"/>
  <c r="AB163" i="1"/>
  <c r="AI162" i="1"/>
  <c r="AH162" i="1"/>
  <c r="AG162" i="1"/>
  <c r="AF162" i="1"/>
  <c r="AE162" i="1"/>
  <c r="AD162" i="1"/>
  <c r="AC162" i="1"/>
  <c r="AB162" i="1"/>
  <c r="AI161" i="1"/>
  <c r="AH161" i="1"/>
  <c r="AG161" i="1"/>
  <c r="AF161" i="1"/>
  <c r="AE161" i="1"/>
  <c r="AD161" i="1"/>
  <c r="AC161" i="1"/>
  <c r="AB161" i="1"/>
  <c r="AI160" i="1"/>
  <c r="AH160" i="1"/>
  <c r="AG160" i="1"/>
  <c r="AF160" i="1"/>
  <c r="AE160" i="1"/>
  <c r="AD160" i="1"/>
  <c r="AC160" i="1"/>
  <c r="AB160" i="1"/>
  <c r="AI159" i="1"/>
  <c r="AH159" i="1"/>
  <c r="AG159" i="1"/>
  <c r="AF159" i="1"/>
  <c r="AE159" i="1"/>
  <c r="AD159" i="1"/>
  <c r="AC159" i="1"/>
  <c r="AB159" i="1"/>
  <c r="AI158" i="1"/>
  <c r="AH158" i="1"/>
  <c r="AG158" i="1"/>
  <c r="AF158" i="1"/>
  <c r="AE158" i="1"/>
  <c r="AD158" i="1"/>
  <c r="AC158" i="1"/>
  <c r="AB158" i="1"/>
  <c r="AI157" i="1"/>
  <c r="AH157" i="1"/>
  <c r="AG157" i="1"/>
  <c r="AF157" i="1"/>
  <c r="AE157" i="1"/>
  <c r="AD157" i="1"/>
  <c r="AC157" i="1"/>
  <c r="AB157" i="1"/>
  <c r="AI156" i="1"/>
  <c r="AH156" i="1"/>
  <c r="AG156" i="1"/>
  <c r="AF156" i="1"/>
  <c r="AE156" i="1"/>
  <c r="AD156" i="1"/>
  <c r="AC156" i="1"/>
  <c r="AB156" i="1"/>
  <c r="AI155" i="1"/>
  <c r="AH155" i="1"/>
  <c r="AG155" i="1"/>
  <c r="AF155" i="1"/>
  <c r="AE155" i="1"/>
  <c r="AD155" i="1"/>
  <c r="AC155" i="1"/>
  <c r="AB155" i="1"/>
  <c r="AI154" i="1"/>
  <c r="AH154" i="1"/>
  <c r="AG154" i="1"/>
  <c r="AF154" i="1"/>
  <c r="AE154" i="1"/>
  <c r="AD154" i="1"/>
  <c r="AC154" i="1"/>
  <c r="AB154" i="1"/>
  <c r="AI153" i="1"/>
  <c r="AH153" i="1"/>
  <c r="AG153" i="1"/>
  <c r="AF153" i="1"/>
  <c r="AE153" i="1"/>
  <c r="AD153" i="1"/>
  <c r="AB153" i="1"/>
  <c r="AI152" i="1"/>
  <c r="AH152" i="1"/>
  <c r="AG152" i="1"/>
  <c r="AF152" i="1"/>
  <c r="AE152" i="1"/>
  <c r="AD152" i="1"/>
  <c r="AB152" i="1"/>
  <c r="AI151" i="1"/>
  <c r="AH151" i="1"/>
  <c r="AG151" i="1"/>
  <c r="AF151" i="1"/>
  <c r="AE151" i="1"/>
  <c r="AD151" i="1"/>
  <c r="AC151" i="1"/>
  <c r="AB151" i="1"/>
  <c r="AH150" i="1"/>
  <c r="AG150" i="1"/>
  <c r="AF150" i="1"/>
  <c r="AE150" i="1"/>
  <c r="AD150" i="1"/>
  <c r="AC150" i="1"/>
  <c r="AB150" i="1"/>
  <c r="AI149" i="1"/>
  <c r="AH149" i="1"/>
  <c r="AG149" i="1"/>
  <c r="AF149" i="1"/>
  <c r="AE149" i="1"/>
  <c r="AD149" i="1"/>
  <c r="AC149" i="1"/>
  <c r="AB149" i="1"/>
  <c r="AI148" i="1"/>
  <c r="AH148" i="1"/>
  <c r="AG148" i="1"/>
  <c r="AF148" i="1"/>
  <c r="AE148" i="1"/>
  <c r="AD148" i="1"/>
  <c r="AC148" i="1"/>
  <c r="AB148" i="1"/>
  <c r="AI147" i="1"/>
  <c r="AH147" i="1"/>
  <c r="AG147" i="1"/>
  <c r="AF147" i="1"/>
  <c r="AE147" i="1"/>
  <c r="AD147" i="1"/>
  <c r="AC147" i="1"/>
  <c r="AB147" i="1"/>
  <c r="AI146" i="1"/>
  <c r="AH146" i="1"/>
  <c r="AG146" i="1"/>
  <c r="AF146" i="1"/>
  <c r="AE146" i="1"/>
  <c r="AD146" i="1"/>
  <c r="AC146" i="1"/>
  <c r="AB146" i="1"/>
  <c r="AI145" i="1"/>
  <c r="AH145" i="1"/>
  <c r="AG145" i="1"/>
  <c r="AF145" i="1"/>
  <c r="AE145" i="1"/>
  <c r="AD145" i="1"/>
  <c r="AC145" i="1"/>
  <c r="AB145" i="1"/>
  <c r="AI144" i="1"/>
  <c r="AH144" i="1"/>
  <c r="AG144" i="1"/>
  <c r="AF144" i="1"/>
  <c r="AE144" i="1"/>
  <c r="AD144" i="1"/>
  <c r="AC144" i="1"/>
  <c r="AB144" i="1"/>
  <c r="AI143" i="1"/>
  <c r="AH143" i="1"/>
  <c r="AG143" i="1"/>
  <c r="AF143" i="1"/>
  <c r="AE143" i="1"/>
  <c r="AD143" i="1"/>
  <c r="AC143" i="1"/>
  <c r="AB143" i="1"/>
  <c r="AI142" i="1"/>
  <c r="AH142" i="1"/>
  <c r="AG142" i="1"/>
  <c r="AF142" i="1"/>
  <c r="AE142" i="1"/>
  <c r="AD142" i="1"/>
  <c r="AC142" i="1"/>
  <c r="AB142" i="1"/>
  <c r="AI141" i="1"/>
  <c r="AH141" i="1"/>
  <c r="AG141" i="1"/>
  <c r="AF141" i="1"/>
  <c r="AE141" i="1"/>
  <c r="AD141" i="1"/>
  <c r="AC141" i="1"/>
  <c r="AB141" i="1"/>
  <c r="AI140" i="1"/>
  <c r="AH140" i="1"/>
  <c r="AG140" i="1"/>
  <c r="AF140" i="1"/>
  <c r="AE140" i="1"/>
  <c r="AD140" i="1"/>
  <c r="AC140" i="1"/>
  <c r="AB140" i="1"/>
  <c r="AI139" i="1"/>
  <c r="AH139" i="1"/>
  <c r="AG139" i="1"/>
  <c r="AF139" i="1"/>
  <c r="AE139" i="1"/>
  <c r="AD139" i="1"/>
  <c r="AC139" i="1"/>
  <c r="AB139" i="1"/>
  <c r="AI138" i="1"/>
  <c r="AH138" i="1"/>
  <c r="AG138" i="1"/>
  <c r="AF138" i="1"/>
  <c r="AE138" i="1"/>
  <c r="AD138" i="1"/>
  <c r="AC138" i="1"/>
  <c r="AB138" i="1"/>
  <c r="AI137" i="1"/>
  <c r="AH137" i="1"/>
  <c r="AG137" i="1"/>
  <c r="AF137" i="1"/>
  <c r="AE137" i="1"/>
  <c r="AD137" i="1"/>
  <c r="AC137" i="1"/>
  <c r="AB137" i="1"/>
  <c r="AH136" i="1"/>
  <c r="AG136" i="1"/>
  <c r="AF136" i="1"/>
  <c r="AE136" i="1"/>
  <c r="AD136" i="1"/>
  <c r="AC136" i="1"/>
  <c r="AB136" i="1"/>
  <c r="AI135" i="1"/>
  <c r="AH135" i="1"/>
  <c r="AG135" i="1"/>
  <c r="AF135" i="1"/>
  <c r="AE135" i="1"/>
  <c r="AD135" i="1"/>
  <c r="AC135" i="1"/>
  <c r="AB135" i="1"/>
  <c r="AI134" i="1"/>
  <c r="AH134" i="1"/>
  <c r="AG134" i="1"/>
  <c r="AF134" i="1"/>
  <c r="AE134" i="1"/>
  <c r="AD134" i="1"/>
  <c r="AC134" i="1"/>
  <c r="AB134" i="1"/>
  <c r="AI133" i="1"/>
  <c r="AH133" i="1"/>
  <c r="AG133" i="1"/>
  <c r="AF133" i="1"/>
  <c r="AE133" i="1"/>
  <c r="AD133" i="1"/>
  <c r="AC133" i="1"/>
  <c r="AB133" i="1"/>
  <c r="AI132" i="1"/>
  <c r="AH132" i="1"/>
  <c r="AG132" i="1"/>
  <c r="AF132" i="1"/>
  <c r="AE132" i="1"/>
  <c r="AD132" i="1"/>
  <c r="AC132" i="1"/>
  <c r="AB132" i="1"/>
  <c r="AI131" i="1"/>
  <c r="AH131" i="1"/>
  <c r="AG131" i="1"/>
  <c r="AF131" i="1"/>
  <c r="AE131" i="1"/>
  <c r="AD131" i="1"/>
  <c r="AC131" i="1"/>
  <c r="AB131" i="1"/>
  <c r="AI130" i="1"/>
  <c r="AH130" i="1"/>
  <c r="AG130" i="1"/>
  <c r="AF130" i="1"/>
  <c r="AE130" i="1"/>
  <c r="AD130" i="1"/>
  <c r="AC130" i="1"/>
  <c r="AB130" i="1"/>
  <c r="AI129" i="1"/>
  <c r="AH129" i="1"/>
  <c r="AG129" i="1"/>
  <c r="AF129" i="1"/>
  <c r="AE129" i="1"/>
  <c r="AD129" i="1"/>
  <c r="AC129" i="1"/>
  <c r="AB129" i="1"/>
  <c r="AI128" i="1"/>
  <c r="AH128" i="1"/>
  <c r="AG128" i="1"/>
  <c r="AF128" i="1"/>
  <c r="AE128" i="1"/>
  <c r="AD128" i="1"/>
  <c r="AC128" i="1"/>
  <c r="AB128" i="1"/>
  <c r="AI127" i="1"/>
  <c r="AH127" i="1"/>
  <c r="AG127" i="1"/>
  <c r="AF127" i="1"/>
  <c r="AE127" i="1"/>
  <c r="AD127" i="1"/>
  <c r="AC127" i="1"/>
  <c r="AB127" i="1"/>
  <c r="AI126" i="1"/>
  <c r="AH126" i="1"/>
  <c r="AG126" i="1"/>
  <c r="AF126" i="1"/>
  <c r="AE126" i="1"/>
  <c r="AD126" i="1"/>
  <c r="AC126" i="1"/>
  <c r="AB126" i="1"/>
  <c r="AI125" i="1"/>
  <c r="AH125" i="1"/>
  <c r="AG125" i="1"/>
  <c r="AF125" i="1"/>
  <c r="AE125" i="1"/>
  <c r="AD125" i="1"/>
  <c r="AC125" i="1"/>
  <c r="AB125" i="1"/>
  <c r="AI124" i="1"/>
  <c r="AH124" i="1"/>
  <c r="AG124" i="1"/>
  <c r="AF124" i="1"/>
  <c r="AE124" i="1"/>
  <c r="AD124" i="1"/>
  <c r="AC124" i="1"/>
  <c r="AB124" i="1"/>
  <c r="AI123" i="1"/>
  <c r="AH123" i="1"/>
  <c r="AG123" i="1"/>
  <c r="AF123" i="1"/>
  <c r="AE123" i="1"/>
  <c r="AD123" i="1"/>
  <c r="AC123" i="1"/>
  <c r="AB123" i="1"/>
  <c r="AI122" i="1"/>
  <c r="AH122" i="1"/>
  <c r="AG122" i="1"/>
  <c r="AF122" i="1"/>
  <c r="AE122" i="1"/>
  <c r="AD122" i="1"/>
  <c r="AC122" i="1"/>
  <c r="AB122" i="1"/>
  <c r="AI121" i="1"/>
  <c r="AH121" i="1"/>
  <c r="AG121" i="1"/>
  <c r="AF121" i="1"/>
  <c r="AE121" i="1"/>
  <c r="AD121" i="1"/>
  <c r="AC121" i="1"/>
  <c r="AB121" i="1"/>
  <c r="AI120" i="1"/>
  <c r="AH120" i="1"/>
  <c r="AG120" i="1"/>
  <c r="AF120" i="1"/>
  <c r="AE120" i="1"/>
  <c r="AD120" i="1"/>
  <c r="AC120" i="1"/>
  <c r="AB120" i="1"/>
  <c r="AI119" i="1"/>
  <c r="AH119" i="1"/>
  <c r="AG119" i="1"/>
  <c r="AF119" i="1"/>
  <c r="AE119" i="1"/>
  <c r="AD119" i="1"/>
  <c r="AC119" i="1"/>
  <c r="AB119" i="1"/>
  <c r="AI118" i="1"/>
  <c r="AH118" i="1"/>
  <c r="AG118" i="1"/>
  <c r="AF118" i="1"/>
  <c r="AE118" i="1"/>
  <c r="AD118" i="1"/>
  <c r="AB118" i="1"/>
  <c r="AI117" i="1"/>
  <c r="AH117" i="1"/>
  <c r="AG117" i="1"/>
  <c r="AF117" i="1"/>
  <c r="AE117" i="1"/>
  <c r="AD117" i="1"/>
  <c r="AC117" i="1"/>
  <c r="AB117" i="1"/>
  <c r="AI116" i="1"/>
  <c r="AH116" i="1"/>
  <c r="AG116" i="1"/>
  <c r="AF116" i="1"/>
  <c r="AE116" i="1"/>
  <c r="AD116" i="1"/>
  <c r="AC116" i="1"/>
  <c r="AB116" i="1"/>
  <c r="AI115" i="1"/>
  <c r="AH115" i="1"/>
  <c r="AG115" i="1"/>
  <c r="AF115" i="1"/>
  <c r="AE115" i="1"/>
  <c r="AD115" i="1"/>
  <c r="AC115" i="1"/>
  <c r="AB115" i="1"/>
  <c r="AI114" i="1"/>
  <c r="AH114" i="1"/>
  <c r="AG114" i="1"/>
  <c r="AF114" i="1"/>
  <c r="AE114" i="1"/>
  <c r="AD114" i="1"/>
  <c r="AB114" i="1"/>
  <c r="AI113" i="1"/>
  <c r="AH113" i="1"/>
  <c r="AG113" i="1"/>
  <c r="AF113" i="1"/>
  <c r="AE113" i="1"/>
  <c r="AD113" i="1"/>
  <c r="AC113" i="1"/>
  <c r="AB113" i="1"/>
  <c r="AI112" i="1"/>
  <c r="AH112" i="1"/>
  <c r="AG112" i="1"/>
  <c r="AF112" i="1"/>
  <c r="AE112" i="1"/>
  <c r="AD112" i="1"/>
  <c r="AC112" i="1"/>
  <c r="AB112" i="1"/>
  <c r="AI111" i="1"/>
  <c r="AH111" i="1"/>
  <c r="AG111" i="1"/>
  <c r="AF111" i="1"/>
  <c r="AE111" i="1"/>
  <c r="AD111" i="1"/>
  <c r="AC111" i="1"/>
  <c r="AB111" i="1"/>
  <c r="AI110" i="1"/>
  <c r="AH110" i="1"/>
  <c r="AG110" i="1"/>
  <c r="AF110" i="1"/>
  <c r="AE110" i="1"/>
  <c r="AD110" i="1"/>
  <c r="AC110" i="1"/>
  <c r="AB110" i="1"/>
  <c r="AI109" i="1"/>
  <c r="AH109" i="1"/>
  <c r="AG109" i="1"/>
  <c r="AF109" i="1"/>
  <c r="AE109" i="1"/>
  <c r="AD109" i="1"/>
  <c r="AC109" i="1"/>
  <c r="AB109" i="1"/>
  <c r="AI108" i="1"/>
  <c r="AH108" i="1"/>
  <c r="AG108" i="1"/>
  <c r="AF108" i="1"/>
  <c r="AE108" i="1"/>
  <c r="AD108" i="1"/>
  <c r="AC108" i="1"/>
  <c r="AB108" i="1"/>
  <c r="AI107" i="1"/>
  <c r="AH107" i="1"/>
  <c r="AG107" i="1"/>
  <c r="AF107" i="1"/>
  <c r="AE107" i="1"/>
  <c r="AD107" i="1"/>
  <c r="AC107" i="1"/>
  <c r="AB107" i="1"/>
  <c r="AI106" i="1"/>
  <c r="AH106" i="1"/>
  <c r="AG106" i="1"/>
  <c r="AF106" i="1"/>
  <c r="AE106" i="1"/>
  <c r="AD106" i="1"/>
  <c r="AC106" i="1"/>
  <c r="AB106" i="1"/>
  <c r="AI105" i="1"/>
  <c r="AH105" i="1"/>
  <c r="AG105" i="1"/>
  <c r="AF105" i="1"/>
  <c r="AE105" i="1"/>
  <c r="AD105" i="1"/>
  <c r="AC105" i="1"/>
  <c r="AB105" i="1"/>
  <c r="AI104" i="1"/>
  <c r="AH104" i="1"/>
  <c r="AG104" i="1"/>
  <c r="AF104" i="1"/>
  <c r="AE104" i="1"/>
  <c r="AD104" i="1"/>
  <c r="AC104" i="1"/>
  <c r="AB104" i="1"/>
  <c r="AI103" i="1"/>
  <c r="AH103" i="1"/>
  <c r="AG103" i="1"/>
  <c r="AF103" i="1"/>
  <c r="AE103" i="1"/>
  <c r="AD103" i="1"/>
  <c r="AC103" i="1"/>
  <c r="AB103" i="1"/>
  <c r="AI102" i="1"/>
  <c r="AH102" i="1"/>
  <c r="AG102" i="1"/>
  <c r="AF102" i="1"/>
  <c r="AE102" i="1"/>
  <c r="AD102" i="1"/>
  <c r="AC102" i="1"/>
  <c r="AB102" i="1"/>
  <c r="AI101" i="1"/>
  <c r="AH101" i="1"/>
  <c r="AG101" i="1"/>
  <c r="AF101" i="1"/>
  <c r="AE101" i="1"/>
  <c r="AD101" i="1"/>
  <c r="AC101" i="1"/>
  <c r="AB101" i="1"/>
  <c r="AH100" i="1"/>
  <c r="AG100" i="1"/>
  <c r="AF100" i="1"/>
  <c r="AE100" i="1"/>
  <c r="AD100" i="1"/>
  <c r="AC100" i="1"/>
  <c r="AB100" i="1"/>
  <c r="AI99" i="1"/>
  <c r="AH99" i="1"/>
  <c r="AG99" i="1"/>
  <c r="AF99" i="1"/>
  <c r="AE99" i="1"/>
  <c r="AD99" i="1"/>
  <c r="AC99" i="1"/>
  <c r="AB99" i="1"/>
  <c r="AI98" i="1"/>
  <c r="AH98" i="1"/>
  <c r="AG98" i="1"/>
  <c r="AF98" i="1"/>
  <c r="AE98" i="1"/>
  <c r="AD98" i="1"/>
  <c r="AC98" i="1"/>
  <c r="AB98" i="1"/>
  <c r="AI97" i="1"/>
  <c r="AH97" i="1"/>
  <c r="AG97" i="1"/>
  <c r="AF97" i="1"/>
  <c r="AE97" i="1"/>
  <c r="AD97" i="1"/>
  <c r="AC97" i="1"/>
  <c r="AB97" i="1"/>
  <c r="AI96" i="1"/>
  <c r="AH96" i="1"/>
  <c r="AG96" i="1"/>
  <c r="AF96" i="1"/>
  <c r="AE96" i="1"/>
  <c r="AD96" i="1"/>
  <c r="AC96" i="1"/>
  <c r="AB96" i="1"/>
  <c r="AI95" i="1"/>
  <c r="AH95" i="1"/>
  <c r="AG95" i="1"/>
  <c r="AF95" i="1"/>
  <c r="AE95" i="1"/>
  <c r="AD95" i="1"/>
  <c r="AC95" i="1"/>
  <c r="AB95" i="1"/>
  <c r="AI94" i="1"/>
  <c r="AH94" i="1"/>
  <c r="AG94" i="1"/>
  <c r="AF94" i="1"/>
  <c r="AE94" i="1"/>
  <c r="AD94" i="1"/>
  <c r="AC94" i="1"/>
  <c r="AB94" i="1"/>
  <c r="AI93" i="1"/>
  <c r="AH93" i="1"/>
  <c r="AG93" i="1"/>
  <c r="AF93" i="1"/>
  <c r="AE93" i="1"/>
  <c r="AD93" i="1"/>
  <c r="AC93" i="1"/>
  <c r="AB93" i="1"/>
  <c r="AI92" i="1"/>
  <c r="AH92" i="1"/>
  <c r="AG92" i="1"/>
  <c r="AF92" i="1"/>
  <c r="AE92" i="1"/>
  <c r="AD92" i="1"/>
  <c r="AC92" i="1"/>
  <c r="AB92" i="1"/>
  <c r="AI91" i="1"/>
  <c r="AH91" i="1"/>
  <c r="AG91" i="1"/>
  <c r="AF91" i="1"/>
  <c r="AE91" i="1"/>
  <c r="AD91" i="1"/>
  <c r="AC91" i="1"/>
  <c r="AB91" i="1"/>
  <c r="AI90" i="1"/>
  <c r="AH90" i="1"/>
  <c r="AG90" i="1"/>
  <c r="AF90" i="1"/>
  <c r="AE90" i="1"/>
  <c r="AD90" i="1"/>
  <c r="AC90" i="1"/>
  <c r="AB90" i="1"/>
  <c r="AI89" i="1"/>
  <c r="AH89" i="1"/>
  <c r="AG89" i="1"/>
  <c r="AF89" i="1"/>
  <c r="AE89" i="1"/>
  <c r="AD89" i="1"/>
  <c r="AC89" i="1"/>
  <c r="AB89" i="1"/>
  <c r="AI88" i="1"/>
  <c r="AH88" i="1"/>
  <c r="AG88" i="1"/>
  <c r="AF88" i="1"/>
  <c r="AE88" i="1"/>
  <c r="AD88" i="1"/>
  <c r="AC88" i="1"/>
  <c r="AB88" i="1"/>
  <c r="AI87" i="1"/>
  <c r="AH87" i="1"/>
  <c r="AG87" i="1"/>
  <c r="AF87" i="1"/>
  <c r="AE87" i="1"/>
  <c r="AD87" i="1"/>
  <c r="AC87" i="1"/>
  <c r="AB87" i="1"/>
  <c r="AI86" i="1"/>
  <c r="AH86" i="1"/>
  <c r="AG86" i="1"/>
  <c r="AF86" i="1"/>
  <c r="AE86" i="1"/>
  <c r="AD86" i="1"/>
  <c r="AC86" i="1"/>
  <c r="AB86" i="1"/>
  <c r="AI85" i="1"/>
  <c r="AH85" i="1"/>
  <c r="AG85" i="1"/>
  <c r="AF85" i="1"/>
  <c r="AE85" i="1"/>
  <c r="AD85" i="1"/>
  <c r="AC85" i="1"/>
  <c r="AB85" i="1"/>
  <c r="AI84" i="1"/>
  <c r="AH84" i="1"/>
  <c r="AG84" i="1"/>
  <c r="AF84" i="1"/>
  <c r="AE84" i="1"/>
  <c r="AD84" i="1"/>
  <c r="AC84" i="1"/>
  <c r="AB84" i="1"/>
  <c r="AI83" i="1"/>
  <c r="AH83" i="1"/>
  <c r="AG83" i="1"/>
  <c r="AF83" i="1"/>
  <c r="AE83" i="1"/>
  <c r="AD83" i="1"/>
  <c r="AC83" i="1"/>
  <c r="AB83" i="1"/>
  <c r="AI82" i="1"/>
  <c r="AH82" i="1"/>
  <c r="AG82" i="1"/>
  <c r="AF82" i="1"/>
  <c r="AE82" i="1"/>
  <c r="AD82" i="1"/>
  <c r="AC82" i="1"/>
  <c r="AB82" i="1"/>
  <c r="AI81" i="1"/>
  <c r="AH81" i="1"/>
  <c r="AG81" i="1"/>
  <c r="AF81" i="1"/>
  <c r="AE81" i="1"/>
  <c r="AD81" i="1"/>
  <c r="AC81" i="1"/>
  <c r="AB81" i="1"/>
  <c r="AI80" i="1"/>
  <c r="AH80" i="1"/>
  <c r="AG80" i="1"/>
  <c r="AF80" i="1"/>
  <c r="AE80" i="1"/>
  <c r="AD80" i="1"/>
  <c r="AC80" i="1"/>
  <c r="AB80" i="1"/>
  <c r="AI79" i="1"/>
  <c r="AH79" i="1"/>
  <c r="AG79" i="1"/>
  <c r="AF79" i="1"/>
  <c r="AE79" i="1"/>
  <c r="AD79" i="1"/>
  <c r="AC79" i="1"/>
  <c r="AB79" i="1"/>
  <c r="AI78" i="1"/>
  <c r="AH78" i="1"/>
  <c r="AG78" i="1"/>
  <c r="AF78" i="1"/>
  <c r="AE78" i="1"/>
  <c r="AD78" i="1"/>
  <c r="AC78" i="1"/>
  <c r="AB78" i="1"/>
  <c r="AI77" i="1"/>
  <c r="AH77" i="1"/>
  <c r="AG77" i="1"/>
  <c r="AF77" i="1"/>
  <c r="AE77" i="1"/>
  <c r="AD77" i="1"/>
  <c r="AC77" i="1"/>
  <c r="AB77" i="1"/>
  <c r="AI76" i="1"/>
  <c r="AH76" i="1"/>
  <c r="AG76" i="1"/>
  <c r="AF76" i="1"/>
  <c r="AE76" i="1"/>
  <c r="AD76" i="1"/>
  <c r="AC76" i="1"/>
  <c r="AB76" i="1"/>
  <c r="AI75" i="1"/>
  <c r="AH75" i="1"/>
  <c r="AG75" i="1"/>
  <c r="AF75" i="1"/>
  <c r="AE75" i="1"/>
  <c r="AD75" i="1"/>
  <c r="AC75" i="1"/>
  <c r="AB75" i="1"/>
  <c r="AI74" i="1"/>
  <c r="AH74" i="1"/>
  <c r="AG74" i="1"/>
  <c r="AF74" i="1"/>
  <c r="AE74" i="1"/>
  <c r="AD74" i="1"/>
  <c r="AC74" i="1"/>
  <c r="AB74" i="1"/>
  <c r="AI73" i="1"/>
  <c r="AH73" i="1"/>
  <c r="AG73" i="1"/>
  <c r="AF73" i="1"/>
  <c r="AE73" i="1"/>
  <c r="AD73" i="1"/>
  <c r="AC73" i="1"/>
  <c r="AB73" i="1"/>
  <c r="AI72" i="1"/>
  <c r="AH72" i="1"/>
  <c r="AG72" i="1"/>
  <c r="AF72" i="1"/>
  <c r="AE72" i="1"/>
  <c r="AD72" i="1"/>
  <c r="AC72" i="1"/>
  <c r="AB72" i="1"/>
  <c r="AI71" i="1"/>
  <c r="AH71" i="1"/>
  <c r="AG71" i="1"/>
  <c r="AF71" i="1"/>
  <c r="AE71" i="1"/>
  <c r="AD71" i="1"/>
  <c r="AC71" i="1"/>
  <c r="AB71" i="1"/>
  <c r="AI70" i="1"/>
  <c r="AH70" i="1"/>
  <c r="AG70" i="1"/>
  <c r="AF70" i="1"/>
  <c r="AE70" i="1"/>
  <c r="AD70" i="1"/>
  <c r="AC70" i="1"/>
  <c r="AB70" i="1"/>
  <c r="AI69" i="1"/>
  <c r="AH69" i="1"/>
  <c r="AG69" i="1"/>
  <c r="AF69" i="1"/>
  <c r="AE69" i="1"/>
  <c r="AD69" i="1"/>
  <c r="AC69" i="1"/>
  <c r="AB69" i="1"/>
  <c r="AI68" i="1"/>
  <c r="AH68" i="1"/>
  <c r="AG68" i="1"/>
  <c r="AF68" i="1"/>
  <c r="AE68" i="1"/>
  <c r="AD68" i="1"/>
  <c r="AC68" i="1"/>
  <c r="AB68" i="1"/>
  <c r="AI67" i="1"/>
  <c r="AH67" i="1"/>
  <c r="AG67" i="1"/>
  <c r="AF67" i="1"/>
  <c r="AE67" i="1"/>
  <c r="AD67" i="1"/>
  <c r="AC67" i="1"/>
  <c r="AB67" i="1"/>
  <c r="AI66" i="1"/>
  <c r="AH66" i="1"/>
  <c r="AG66" i="1"/>
  <c r="AF66" i="1"/>
  <c r="AE66" i="1"/>
  <c r="AD66" i="1"/>
  <c r="AC66" i="1"/>
  <c r="AB66" i="1"/>
  <c r="AI65" i="1"/>
  <c r="AH65" i="1"/>
  <c r="AG65" i="1"/>
  <c r="AF65" i="1"/>
  <c r="AE65" i="1"/>
  <c r="AD65" i="1"/>
  <c r="AC65" i="1"/>
  <c r="AB65" i="1"/>
  <c r="AI64" i="1"/>
  <c r="AH64" i="1"/>
  <c r="AG64" i="1"/>
  <c r="AF64" i="1"/>
  <c r="AE64" i="1"/>
  <c r="AD64" i="1"/>
  <c r="AC64" i="1"/>
  <c r="AB64" i="1"/>
  <c r="AI63" i="1"/>
  <c r="AH63" i="1"/>
  <c r="AG63" i="1"/>
  <c r="AF63" i="1"/>
  <c r="AE63" i="1"/>
  <c r="AD63" i="1"/>
  <c r="AC63" i="1"/>
  <c r="AB63" i="1"/>
  <c r="AI62" i="1"/>
  <c r="AH62" i="1"/>
  <c r="AG62" i="1"/>
  <c r="AF62" i="1"/>
  <c r="AE62" i="1"/>
  <c r="AD62" i="1"/>
  <c r="AC62" i="1"/>
  <c r="AB62" i="1"/>
  <c r="AI61" i="1"/>
  <c r="AH61" i="1"/>
  <c r="AG61" i="1"/>
  <c r="AF61" i="1"/>
  <c r="AE61" i="1"/>
  <c r="AD61" i="1"/>
  <c r="AC61" i="1"/>
  <c r="AB61" i="1"/>
  <c r="AH60" i="1"/>
  <c r="AG60" i="1"/>
  <c r="AF60" i="1"/>
  <c r="AE60" i="1"/>
  <c r="AD60" i="1"/>
  <c r="AC60" i="1"/>
  <c r="AB60" i="1"/>
  <c r="AI59" i="1"/>
  <c r="AH59" i="1"/>
  <c r="AG59" i="1"/>
  <c r="AF59" i="1"/>
  <c r="AE59" i="1"/>
  <c r="AD59" i="1"/>
  <c r="AC59" i="1"/>
  <c r="AB59" i="1"/>
  <c r="AI58" i="1"/>
  <c r="AH58" i="1"/>
  <c r="AG58" i="1"/>
  <c r="AF58" i="1"/>
  <c r="AE58" i="1"/>
  <c r="AD58" i="1"/>
  <c r="AC58" i="1"/>
  <c r="AB58" i="1"/>
  <c r="AI57" i="1"/>
  <c r="AH57" i="1"/>
  <c r="AG57" i="1"/>
  <c r="AF57" i="1"/>
  <c r="AE57" i="1"/>
  <c r="AD57" i="1"/>
  <c r="AC57" i="1"/>
  <c r="AB57" i="1"/>
  <c r="AI56" i="1"/>
  <c r="AH56" i="1"/>
  <c r="AG56" i="1"/>
  <c r="AF56" i="1"/>
  <c r="AE56" i="1"/>
  <c r="AD56" i="1"/>
  <c r="AC56" i="1"/>
  <c r="AB56" i="1"/>
  <c r="AI55" i="1"/>
  <c r="AH55" i="1"/>
  <c r="AG55" i="1"/>
  <c r="AF55" i="1"/>
  <c r="AE55" i="1"/>
  <c r="AD55" i="1"/>
  <c r="AC55" i="1"/>
  <c r="AB55" i="1"/>
  <c r="AI54" i="1"/>
  <c r="AH54" i="1"/>
  <c r="AG54" i="1"/>
  <c r="AF54" i="1"/>
  <c r="AE54" i="1"/>
  <c r="AD54" i="1"/>
  <c r="AC54" i="1"/>
  <c r="AB54" i="1"/>
  <c r="AI53" i="1"/>
  <c r="AH53" i="1"/>
  <c r="AG53" i="1"/>
  <c r="AF53" i="1"/>
  <c r="AE53" i="1"/>
  <c r="AD53" i="1"/>
  <c r="AC53" i="1"/>
  <c r="AB53" i="1"/>
  <c r="AI52" i="1"/>
  <c r="AH52" i="1"/>
  <c r="AG52" i="1"/>
  <c r="AF52" i="1"/>
  <c r="AE52" i="1"/>
  <c r="AD52" i="1"/>
  <c r="AC52" i="1"/>
  <c r="AB52" i="1"/>
  <c r="AI51" i="1"/>
  <c r="AH51" i="1"/>
  <c r="AG51" i="1"/>
  <c r="AF51" i="1"/>
  <c r="AE51" i="1"/>
  <c r="AD51" i="1"/>
  <c r="AC51" i="1"/>
  <c r="AB51" i="1"/>
  <c r="AI50" i="1"/>
  <c r="AH50" i="1"/>
  <c r="AG50" i="1"/>
  <c r="AF50" i="1"/>
  <c r="AE50" i="1"/>
  <c r="AD50" i="1"/>
  <c r="AC50" i="1"/>
  <c r="AB50" i="1"/>
  <c r="AI49" i="1"/>
  <c r="AH49" i="1"/>
  <c r="AG49" i="1"/>
  <c r="AF49" i="1"/>
  <c r="AE49" i="1"/>
  <c r="AD49" i="1"/>
  <c r="AC49" i="1"/>
  <c r="AB49" i="1"/>
  <c r="AI48" i="1"/>
  <c r="AH48" i="1"/>
  <c r="AG48" i="1"/>
  <c r="AF48" i="1"/>
  <c r="AE48" i="1"/>
  <c r="AD48" i="1"/>
  <c r="AC48" i="1"/>
  <c r="AB48" i="1"/>
  <c r="AI47" i="1"/>
  <c r="AH47" i="1"/>
  <c r="AG47" i="1"/>
  <c r="AF47" i="1"/>
  <c r="AE47" i="1"/>
  <c r="AD47" i="1"/>
  <c r="AC47" i="1"/>
  <c r="AB47" i="1"/>
  <c r="AI46" i="1"/>
  <c r="AH46" i="1"/>
  <c r="AG46" i="1"/>
  <c r="AF46" i="1"/>
  <c r="AE46" i="1"/>
  <c r="AD46" i="1"/>
  <c r="AC46" i="1"/>
  <c r="AB46" i="1"/>
  <c r="AI45" i="1"/>
  <c r="AH45" i="1"/>
  <c r="AG45" i="1"/>
  <c r="AF45" i="1"/>
  <c r="AE45" i="1"/>
  <c r="AD45" i="1"/>
  <c r="AC45" i="1"/>
  <c r="AB45" i="1"/>
  <c r="AI44" i="1"/>
  <c r="AH44" i="1"/>
  <c r="AG44" i="1"/>
  <c r="AF44" i="1"/>
  <c r="AE44" i="1"/>
  <c r="AD44" i="1"/>
  <c r="AC44" i="1"/>
  <c r="AB44" i="1"/>
  <c r="AI43" i="1"/>
  <c r="AH43" i="1"/>
  <c r="AG43" i="1"/>
  <c r="AF43" i="1"/>
  <c r="AE43" i="1"/>
  <c r="AD43" i="1"/>
  <c r="AC43" i="1"/>
  <c r="AB43" i="1"/>
  <c r="AI42" i="1"/>
  <c r="AH42" i="1"/>
  <c r="AG42" i="1"/>
  <c r="AF42" i="1"/>
  <c r="AE42" i="1"/>
  <c r="AD42" i="1"/>
  <c r="AC42" i="1"/>
  <c r="AB42" i="1"/>
  <c r="AI41" i="1"/>
  <c r="AH41" i="1"/>
  <c r="AG41" i="1"/>
  <c r="AF41" i="1"/>
  <c r="AE41" i="1"/>
  <c r="AD41" i="1"/>
  <c r="AC41" i="1"/>
  <c r="AB41" i="1"/>
  <c r="AI40" i="1"/>
  <c r="AH40" i="1"/>
  <c r="AG40" i="1"/>
  <c r="AF40" i="1"/>
  <c r="AE40" i="1"/>
  <c r="AD40" i="1"/>
  <c r="AC40" i="1"/>
  <c r="AB40" i="1"/>
  <c r="AI39" i="1"/>
  <c r="AH39" i="1"/>
  <c r="AG39" i="1"/>
  <c r="AF39" i="1"/>
  <c r="AE39" i="1"/>
  <c r="AD39" i="1"/>
  <c r="AC39" i="1"/>
  <c r="AB39" i="1"/>
  <c r="AI38" i="1"/>
  <c r="AH38" i="1"/>
  <c r="AG38" i="1"/>
  <c r="AF38" i="1"/>
  <c r="AE38" i="1"/>
  <c r="AD38" i="1"/>
  <c r="AC38" i="1"/>
  <c r="AB38" i="1"/>
  <c r="AI37" i="1"/>
  <c r="AH37" i="1"/>
  <c r="AG37" i="1"/>
  <c r="AF37" i="1"/>
  <c r="AE37" i="1"/>
  <c r="AD37" i="1"/>
  <c r="AC37" i="1"/>
  <c r="AB37" i="1"/>
  <c r="AH36" i="1"/>
  <c r="AG36" i="1"/>
  <c r="AF36" i="1"/>
  <c r="AE36" i="1"/>
  <c r="AD36" i="1"/>
  <c r="AC36" i="1"/>
  <c r="AB36" i="1"/>
  <c r="AI35" i="1"/>
  <c r="AH35" i="1"/>
  <c r="AG35" i="1"/>
  <c r="AF35" i="1"/>
  <c r="AE35" i="1"/>
  <c r="AD35" i="1"/>
  <c r="AC35" i="1"/>
  <c r="AB35" i="1"/>
  <c r="AI34" i="1"/>
  <c r="AH34" i="1"/>
  <c r="AG34" i="1"/>
  <c r="AF34" i="1"/>
  <c r="AE34" i="1"/>
  <c r="AD34" i="1"/>
  <c r="AC34" i="1"/>
  <c r="AB34" i="1"/>
  <c r="AI33" i="1"/>
  <c r="AH33" i="1"/>
  <c r="AG33" i="1"/>
  <c r="AF33" i="1"/>
  <c r="AE33" i="1"/>
  <c r="AD33" i="1"/>
  <c r="AC33" i="1"/>
  <c r="AB33" i="1"/>
  <c r="AI32" i="1"/>
  <c r="AH32" i="1"/>
  <c r="AG32" i="1"/>
  <c r="AF32" i="1"/>
  <c r="AE32" i="1"/>
  <c r="AD32" i="1"/>
  <c r="AC32" i="1"/>
  <c r="AB32" i="1"/>
  <c r="AI31" i="1"/>
  <c r="AH31" i="1"/>
  <c r="AG31" i="1"/>
  <c r="AF31" i="1"/>
  <c r="AE31" i="1"/>
  <c r="AD31" i="1"/>
  <c r="AC31" i="1"/>
  <c r="AB31" i="1"/>
  <c r="AI30" i="1"/>
  <c r="AH30" i="1"/>
  <c r="AG30" i="1"/>
  <c r="AF30" i="1"/>
  <c r="AE30" i="1"/>
  <c r="AD30" i="1"/>
  <c r="AC30" i="1"/>
  <c r="AB30" i="1"/>
  <c r="AI29" i="1"/>
  <c r="AH29" i="1"/>
  <c r="AG29" i="1"/>
  <c r="AF29" i="1"/>
  <c r="AE29" i="1"/>
  <c r="AD29" i="1"/>
  <c r="AC29" i="1"/>
  <c r="AB29" i="1"/>
  <c r="AI28" i="1"/>
  <c r="AH28" i="1"/>
  <c r="AG28" i="1"/>
  <c r="AF28" i="1"/>
  <c r="AE28" i="1"/>
  <c r="AD28" i="1"/>
  <c r="AC28" i="1"/>
  <c r="AB28" i="1"/>
  <c r="AI27" i="1"/>
  <c r="AH27" i="1"/>
  <c r="AG27" i="1"/>
  <c r="AF27" i="1"/>
  <c r="AE27" i="1"/>
  <c r="AD27" i="1"/>
  <c r="AC27" i="1"/>
  <c r="AB27" i="1"/>
  <c r="AI26" i="1"/>
  <c r="AH26" i="1"/>
  <c r="AG26" i="1"/>
  <c r="AF26" i="1"/>
  <c r="AE26" i="1"/>
  <c r="AD26" i="1"/>
  <c r="AC26" i="1"/>
  <c r="AB26" i="1"/>
  <c r="AI25" i="1"/>
  <c r="AH25" i="1"/>
  <c r="AG25" i="1"/>
  <c r="AF25" i="1"/>
  <c r="AE25" i="1"/>
  <c r="AD25" i="1"/>
  <c r="AC25" i="1"/>
  <c r="AB25" i="1"/>
  <c r="AI24" i="1"/>
  <c r="AH24" i="1"/>
  <c r="AG24" i="1"/>
  <c r="AF24" i="1"/>
  <c r="AE24" i="1"/>
  <c r="AD24" i="1"/>
  <c r="AC24" i="1"/>
  <c r="AB24" i="1"/>
  <c r="AI23" i="1"/>
  <c r="AH23" i="1"/>
  <c r="AG23" i="1"/>
  <c r="AF23" i="1"/>
  <c r="AE23" i="1"/>
  <c r="AD23" i="1"/>
  <c r="AC23" i="1"/>
  <c r="AB23" i="1"/>
  <c r="AI22" i="1"/>
  <c r="AH22" i="1"/>
  <c r="AG22" i="1"/>
  <c r="AF22" i="1"/>
  <c r="AE22" i="1"/>
  <c r="AD22" i="1"/>
  <c r="AC22" i="1"/>
  <c r="AB22" i="1"/>
  <c r="AI21" i="1"/>
  <c r="AH21" i="1"/>
  <c r="AG21" i="1"/>
  <c r="AF21" i="1"/>
  <c r="AE21" i="1"/>
  <c r="AD21" i="1"/>
  <c r="AC21" i="1"/>
  <c r="AB21" i="1"/>
  <c r="AI20" i="1"/>
  <c r="AH20" i="1"/>
  <c r="AG20" i="1"/>
  <c r="AF20" i="1"/>
  <c r="AE20" i="1"/>
  <c r="AD20" i="1"/>
  <c r="AC20" i="1"/>
  <c r="AB20" i="1"/>
  <c r="AI19" i="1"/>
  <c r="AH19" i="1"/>
  <c r="AG19" i="1"/>
  <c r="AF19" i="1"/>
  <c r="AE19" i="1"/>
  <c r="AD19" i="1"/>
  <c r="AC19" i="1"/>
  <c r="AB19" i="1"/>
  <c r="AI18" i="1"/>
  <c r="AH18" i="1"/>
  <c r="AG18" i="1"/>
  <c r="AF18" i="1"/>
  <c r="AE18" i="1"/>
  <c r="AD18" i="1"/>
  <c r="AC18" i="1"/>
  <c r="AB18" i="1"/>
  <c r="AI17" i="1"/>
  <c r="AH17" i="1"/>
  <c r="AG17" i="1"/>
  <c r="AF17" i="1"/>
  <c r="AE17" i="1"/>
  <c r="AD17" i="1"/>
  <c r="AC17" i="1"/>
  <c r="AB17" i="1"/>
  <c r="AI16" i="1"/>
  <c r="AH16" i="1"/>
  <c r="AG16" i="1"/>
  <c r="AF16" i="1"/>
  <c r="AE16" i="1"/>
  <c r="AD16" i="1"/>
  <c r="AC16" i="1"/>
  <c r="AB16" i="1"/>
  <c r="AI15" i="1"/>
  <c r="AH15" i="1"/>
  <c r="AG15" i="1"/>
  <c r="AF15" i="1"/>
  <c r="AE15" i="1"/>
  <c r="AD15" i="1"/>
  <c r="AC15" i="1"/>
  <c r="AB15" i="1"/>
  <c r="AI14" i="1"/>
  <c r="AH14" i="1"/>
  <c r="AG14" i="1"/>
  <c r="AF14" i="1"/>
  <c r="AE14" i="1"/>
  <c r="AD14" i="1"/>
  <c r="AC14" i="1"/>
  <c r="AB14" i="1"/>
  <c r="AI13" i="1"/>
  <c r="AH13" i="1"/>
  <c r="AG13" i="1"/>
  <c r="AF13" i="1"/>
  <c r="AE13" i="1"/>
  <c r="AD13" i="1"/>
  <c r="AC13" i="1"/>
  <c r="AB13" i="1"/>
  <c r="AI12" i="1"/>
  <c r="AH12" i="1"/>
  <c r="AG12" i="1"/>
  <c r="AF12" i="1"/>
  <c r="AE12" i="1"/>
  <c r="AD12" i="1"/>
  <c r="AC12" i="1"/>
  <c r="AB12" i="1"/>
  <c r="AI11" i="1"/>
  <c r="AH11" i="1"/>
  <c r="AG11" i="1"/>
  <c r="AF11" i="1"/>
  <c r="AE11" i="1"/>
  <c r="AD11" i="1"/>
  <c r="AC11" i="1"/>
  <c r="AB11" i="1"/>
  <c r="AI10" i="1"/>
  <c r="AH10" i="1"/>
  <c r="AG10" i="1"/>
  <c r="AF10" i="1"/>
  <c r="AE10" i="1"/>
  <c r="AD10" i="1"/>
  <c r="AC10" i="1"/>
  <c r="AB10" i="1"/>
  <c r="AI9" i="1"/>
  <c r="AH9" i="1"/>
  <c r="AG9" i="1"/>
  <c r="AF9" i="1"/>
  <c r="AE9" i="1"/>
  <c r="AD9" i="1"/>
  <c r="AC9" i="1"/>
  <c r="AB9" i="1"/>
  <c r="AI8" i="1"/>
  <c r="AH8" i="1"/>
  <c r="AG8" i="1"/>
  <c r="AF8" i="1"/>
  <c r="AE8" i="1"/>
  <c r="AD8" i="1"/>
  <c r="AC8" i="1"/>
  <c r="AB8" i="1"/>
  <c r="AI7" i="1"/>
  <c r="AH7" i="1"/>
  <c r="AG7" i="1"/>
  <c r="AF7" i="1"/>
  <c r="AE7" i="1"/>
  <c r="AD7" i="1"/>
  <c r="AC7" i="1"/>
  <c r="AB7" i="1"/>
  <c r="AI6" i="1"/>
  <c r="AH6" i="1"/>
  <c r="AG6" i="1"/>
  <c r="AF6" i="1"/>
  <c r="AE6" i="1"/>
  <c r="AD6" i="1"/>
  <c r="AC6" i="1"/>
  <c r="AB6" i="1"/>
  <c r="AI5" i="1"/>
  <c r="AH5" i="1"/>
  <c r="AG5" i="1"/>
  <c r="AF5" i="1"/>
  <c r="AE5" i="1"/>
  <c r="AD5" i="1"/>
  <c r="AC5" i="1"/>
  <c r="AB5" i="1"/>
  <c r="AI4" i="1"/>
  <c r="AH4" i="1"/>
  <c r="AG4" i="1"/>
  <c r="AF4" i="1"/>
  <c r="AE4" i="1"/>
  <c r="AD4" i="1"/>
  <c r="AC4" i="1"/>
  <c r="AB4" i="1"/>
  <c r="AI3" i="1"/>
  <c r="AH3" i="1"/>
  <c r="AG3" i="1"/>
  <c r="AF3" i="1"/>
  <c r="AE3" i="1"/>
  <c r="AD3" i="1"/>
  <c r="AC3" i="1"/>
  <c r="AB3" i="1"/>
  <c r="AI2" i="1"/>
  <c r="AH2" i="1"/>
  <c r="AG2" i="1"/>
  <c r="AF2" i="1"/>
  <c r="AE2" i="1"/>
  <c r="AD2" i="1"/>
  <c r="AC2" i="1"/>
  <c r="AB2" i="1"/>
  <c r="AA2" i="1" a="1"/>
  <c r="AA2" i="1" s="1"/>
  <c r="AT105" i="1" l="1"/>
  <c r="AT152" i="1"/>
  <c r="AT237" i="1"/>
  <c r="AT836" i="1"/>
  <c r="AT860" i="1"/>
  <c r="AT69" i="1"/>
  <c r="AT81" i="1"/>
  <c r="AT93" i="1"/>
  <c r="AT140" i="1"/>
  <c r="AT344" i="1"/>
  <c r="AT356" i="1"/>
  <c r="AT368" i="1"/>
  <c r="AT380" i="1"/>
  <c r="AT392" i="1"/>
  <c r="AT404" i="1"/>
  <c r="AT573" i="1"/>
  <c r="AT668" i="1"/>
  <c r="AT801" i="1"/>
  <c r="AT884" i="1"/>
  <c r="AT800" i="1"/>
  <c r="AT861" i="1"/>
  <c r="AT885" i="1"/>
  <c r="AT873" i="1"/>
  <c r="AT813" i="1"/>
  <c r="AT788" i="1"/>
  <c r="AT872" i="1"/>
  <c r="AT812" i="1"/>
  <c r="AT644" i="1"/>
  <c r="AT525" i="1"/>
  <c r="AT297" i="1"/>
  <c r="AT15" i="1"/>
  <c r="AT789" i="1"/>
  <c r="AT633" i="1"/>
  <c r="AT513" i="1"/>
  <c r="AT296" i="1"/>
  <c r="AT777" i="1"/>
  <c r="AT632" i="1"/>
  <c r="AT501" i="1"/>
  <c r="AT284" i="1"/>
  <c r="AT776" i="1"/>
  <c r="AT620" i="1"/>
  <c r="AT489" i="1"/>
  <c r="AT272" i="1"/>
  <c r="AT753" i="1"/>
  <c r="AT609" i="1"/>
  <c r="AT488" i="1"/>
  <c r="AT260" i="1"/>
  <c r="AT897" i="1"/>
  <c r="AT752" i="1"/>
  <c r="AT608" i="1"/>
  <c r="AT465" i="1"/>
  <c r="AT248" i="1"/>
  <c r="AT896" i="1"/>
  <c r="AT705" i="1"/>
  <c r="AT596" i="1"/>
  <c r="AT417" i="1"/>
  <c r="AT225" i="1"/>
  <c r="AT704" i="1"/>
  <c r="AT584" i="1"/>
  <c r="AT405" i="1"/>
  <c r="AT213" i="1"/>
  <c r="AT561" i="1"/>
  <c r="AT369" i="1"/>
  <c r="AT201" i="1"/>
  <c r="AT692" i="1"/>
  <c r="AT837" i="1"/>
  <c r="AT681" i="1"/>
  <c r="AT560" i="1"/>
  <c r="AT332" i="1"/>
  <c r="AT189" i="1"/>
  <c r="AT825" i="1"/>
  <c r="AT680" i="1"/>
  <c r="AT549" i="1"/>
  <c r="AT320" i="1"/>
  <c r="AT128" i="1"/>
  <c r="AT2" i="1"/>
  <c r="AT849" i="1"/>
  <c r="AT848" i="1"/>
  <c r="AT14" i="1"/>
  <c r="AT68" i="1"/>
  <c r="AT80" i="1"/>
  <c r="AT92" i="1"/>
  <c r="AT104" i="1"/>
  <c r="AT117" i="1"/>
  <c r="AT129" i="1"/>
  <c r="AT141" i="1"/>
  <c r="AT153" i="1"/>
  <c r="AT164" i="1"/>
  <c r="AT165" i="1"/>
  <c r="AT176" i="1"/>
  <c r="AT177" i="1"/>
  <c r="AT188" i="1"/>
  <c r="AT200" i="1"/>
  <c r="AT212" i="1"/>
  <c r="AT224" i="1"/>
  <c r="AT236" i="1"/>
  <c r="AT249" i="1"/>
  <c r="AT261" i="1"/>
  <c r="AT273" i="1"/>
  <c r="AT285" i="1"/>
  <c r="AT309" i="1"/>
  <c r="AT321" i="1"/>
  <c r="AT333" i="1"/>
  <c r="AT345" i="1"/>
  <c r="AT357" i="1"/>
  <c r="AT381" i="1"/>
  <c r="AT393" i="1"/>
  <c r="AT416" i="1"/>
  <c r="AT428" i="1"/>
  <c r="AT429" i="1"/>
  <c r="AT440" i="1"/>
  <c r="AT441" i="1"/>
  <c r="AT452" i="1"/>
  <c r="AT453" i="1"/>
  <c r="AT464" i="1"/>
  <c r="AT476" i="1"/>
  <c r="AT477" i="1"/>
  <c r="AT500" i="1"/>
  <c r="AT512" i="1"/>
  <c r="AT524" i="1"/>
  <c r="AT536" i="1"/>
  <c r="AT548" i="1"/>
  <c r="AT572" i="1"/>
  <c r="AT585" i="1"/>
  <c r="AT597" i="1"/>
  <c r="AT621" i="1"/>
  <c r="AT645" i="1"/>
  <c r="AT657" i="1"/>
  <c r="AT669" i="1"/>
  <c r="AT693" i="1"/>
  <c r="AT716" i="1"/>
  <c r="AT717" i="1"/>
  <c r="AT728" i="1"/>
  <c r="AT729" i="1"/>
  <c r="AT740" i="1"/>
  <c r="AT741" i="1"/>
  <c r="AT764" i="1"/>
  <c r="AT765" i="1"/>
  <c r="AT824" i="1"/>
  <c r="AT656" i="1"/>
  <c r="AT537" i="1"/>
  <c r="AT308" i="1"/>
  <c r="AT116" i="1"/>
  <c r="AT16" i="1"/>
  <c r="AT4" i="1"/>
  <c r="AT898" i="1"/>
  <c r="AT886" i="1"/>
  <c r="AT874" i="1"/>
  <c r="AT862" i="1"/>
  <c r="AT850" i="1"/>
  <c r="AT838" i="1"/>
  <c r="AT826" i="1"/>
  <c r="AT814" i="1"/>
  <c r="AT802" i="1"/>
  <c r="AT790" i="1"/>
  <c r="AT778" i="1"/>
  <c r="AT766" i="1"/>
  <c r="AT754" i="1"/>
  <c r="AT742" i="1"/>
  <c r="AT730" i="1"/>
  <c r="AT718" i="1"/>
  <c r="AT706" i="1"/>
  <c r="AT694" i="1"/>
  <c r="AT682" i="1"/>
  <c r="AT670" i="1"/>
  <c r="AT658" i="1"/>
  <c r="AT646" i="1"/>
  <c r="AT634" i="1"/>
  <c r="AT622" i="1"/>
  <c r="AT610" i="1"/>
  <c r="AT598" i="1"/>
  <c r="AT586" i="1"/>
  <c r="AT574" i="1"/>
  <c r="AT562" i="1"/>
  <c r="AT550" i="1"/>
  <c r="AT538" i="1"/>
  <c r="AT526" i="1"/>
  <c r="AT514" i="1"/>
  <c r="AT502" i="1"/>
  <c r="AT490" i="1"/>
  <c r="AT478" i="1"/>
  <c r="AT466" i="1"/>
  <c r="AT454" i="1"/>
  <c r="AT442" i="1"/>
  <c r="AT430" i="1"/>
  <c r="AT418" i="1"/>
  <c r="AT406" i="1"/>
  <c r="AT394" i="1"/>
  <c r="AT382" i="1"/>
  <c r="AT370" i="1"/>
  <c r="AT358" i="1"/>
  <c r="AT346" i="1"/>
  <c r="AT334" i="1"/>
  <c r="AT322" i="1"/>
  <c r="AT310" i="1"/>
  <c r="AT298" i="1"/>
  <c r="AT286" i="1"/>
  <c r="AT274" i="1"/>
  <c r="AT262" i="1"/>
  <c r="AT250" i="1"/>
  <c r="AT238" i="1"/>
  <c r="AT226" i="1"/>
  <c r="AT214" i="1"/>
  <c r="AT202" i="1"/>
  <c r="AT190" i="1"/>
  <c r="AT178" i="1"/>
  <c r="AT166" i="1"/>
  <c r="AT154" i="1"/>
  <c r="AT142" i="1"/>
  <c r="AT130" i="1"/>
  <c r="AT118" i="1"/>
  <c r="AT106" i="1"/>
  <c r="AT94" i="1"/>
  <c r="AT82" i="1"/>
  <c r="AT70" i="1"/>
  <c r="AT58" i="1"/>
  <c r="AT46" i="1"/>
  <c r="AT34" i="1"/>
  <c r="AT57" i="1"/>
  <c r="AT45" i="1"/>
  <c r="AT33" i="1"/>
  <c r="AT56" i="1"/>
  <c r="AT44" i="1"/>
  <c r="AT32" i="1"/>
  <c r="AT13" i="1"/>
  <c r="AT895" i="1"/>
  <c r="AT883" i="1"/>
  <c r="AT871" i="1"/>
  <c r="AT859" i="1"/>
  <c r="AT847" i="1"/>
  <c r="AT835" i="1"/>
  <c r="AT823" i="1"/>
  <c r="AT811" i="1"/>
  <c r="AT799" i="1"/>
  <c r="AT787" i="1"/>
  <c r="AT775" i="1"/>
  <c r="AT763" i="1"/>
  <c r="AT751" i="1"/>
  <c r="AT739" i="1"/>
  <c r="AT727" i="1"/>
  <c r="AT715" i="1"/>
  <c r="AT703" i="1"/>
  <c r="AT691" i="1"/>
  <c r="AT679" i="1"/>
  <c r="AT667" i="1"/>
  <c r="AT655" i="1"/>
  <c r="AT643" i="1"/>
  <c r="AT631" i="1"/>
  <c r="AT619" i="1"/>
  <c r="AT607" i="1"/>
  <c r="AT595" i="1"/>
  <c r="AT583" i="1"/>
  <c r="AT571" i="1"/>
  <c r="AT559" i="1"/>
  <c r="AT547" i="1"/>
  <c r="AT535" i="1"/>
  <c r="AT523" i="1"/>
  <c r="AT511" i="1"/>
  <c r="AT499" i="1"/>
  <c r="AT487" i="1"/>
  <c r="AT475" i="1"/>
  <c r="AT463" i="1"/>
  <c r="AT451" i="1"/>
  <c r="AT439" i="1"/>
  <c r="AT427" i="1"/>
  <c r="AT415" i="1"/>
  <c r="AT403" i="1"/>
  <c r="AT391" i="1"/>
  <c r="AT379" i="1"/>
  <c r="AT367" i="1"/>
  <c r="AT355" i="1"/>
  <c r="AT343" i="1"/>
  <c r="AT331" i="1"/>
  <c r="AT319" i="1"/>
  <c r="AT307" i="1"/>
  <c r="AT295" i="1"/>
  <c r="AT283" i="1"/>
  <c r="AT271" i="1"/>
  <c r="AT259" i="1"/>
  <c r="AT247" i="1"/>
  <c r="AT235" i="1"/>
  <c r="AT223" i="1"/>
  <c r="AT211" i="1"/>
  <c r="AT199" i="1"/>
  <c r="AT187" i="1"/>
  <c r="AT175" i="1"/>
  <c r="AT163" i="1"/>
  <c r="AT151" i="1"/>
  <c r="AT139" i="1"/>
  <c r="AT127" i="1"/>
  <c r="AT115" i="1"/>
  <c r="AT103" i="1"/>
  <c r="AT91" i="1"/>
  <c r="AT79" i="1"/>
  <c r="AT67" i="1"/>
  <c r="AT55" i="1"/>
  <c r="AT43" i="1"/>
  <c r="AT31" i="1"/>
  <c r="AT3" i="1"/>
  <c r="AT12" i="1"/>
  <c r="AT894" i="1"/>
  <c r="AT882" i="1"/>
  <c r="AT870" i="1"/>
  <c r="AT858" i="1"/>
  <c r="AT846" i="1"/>
  <c r="AT834" i="1"/>
  <c r="AT822" i="1"/>
  <c r="AT810" i="1"/>
  <c r="AT798" i="1"/>
  <c r="AT786" i="1"/>
  <c r="AT774" i="1"/>
  <c r="AT762" i="1"/>
  <c r="AT750" i="1"/>
  <c r="AT738" i="1"/>
  <c r="AT726" i="1"/>
  <c r="AT714" i="1"/>
  <c r="AT702" i="1"/>
  <c r="AT690" i="1"/>
  <c r="AT678" i="1"/>
  <c r="AT666" i="1"/>
  <c r="AT654" i="1"/>
  <c r="AT642" i="1"/>
  <c r="AT630" i="1"/>
  <c r="AT618" i="1"/>
  <c r="AT606" i="1"/>
  <c r="AT594" i="1"/>
  <c r="AT582" i="1"/>
  <c r="AT570" i="1"/>
  <c r="AT558" i="1"/>
  <c r="AT546" i="1"/>
  <c r="AT534" i="1"/>
  <c r="AT522" i="1"/>
  <c r="AT510" i="1"/>
  <c r="AT498" i="1"/>
  <c r="AT486" i="1"/>
  <c r="AT474" i="1"/>
  <c r="AT462" i="1"/>
  <c r="AT450" i="1"/>
  <c r="AT438" i="1"/>
  <c r="AT426" i="1"/>
  <c r="AT414" i="1"/>
  <c r="AT402" i="1"/>
  <c r="AT390" i="1"/>
  <c r="AT378" i="1"/>
  <c r="AT366" i="1"/>
  <c r="AT354" i="1"/>
  <c r="AT342" i="1"/>
  <c r="AT330" i="1"/>
  <c r="AT318" i="1"/>
  <c r="AT306" i="1"/>
  <c r="AT294" i="1"/>
  <c r="AT282" i="1"/>
  <c r="AT270" i="1"/>
  <c r="AT258" i="1"/>
  <c r="AT246" i="1"/>
  <c r="AT234" i="1"/>
  <c r="AT222" i="1"/>
  <c r="AT210" i="1"/>
  <c r="AT198" i="1"/>
  <c r="AT186" i="1"/>
  <c r="AT174" i="1"/>
  <c r="AT162" i="1"/>
  <c r="AT150" i="1"/>
  <c r="AT138" i="1"/>
  <c r="AT126" i="1"/>
  <c r="AT114" i="1"/>
  <c r="AT102" i="1"/>
  <c r="AT90" i="1"/>
  <c r="AT78" i="1"/>
  <c r="AT66" i="1"/>
  <c r="AT54" i="1"/>
  <c r="AT42" i="1"/>
  <c r="AT30" i="1"/>
  <c r="AT23" i="1"/>
  <c r="AT11" i="1"/>
  <c r="AT893" i="1"/>
  <c r="AT881" i="1"/>
  <c r="AT869" i="1"/>
  <c r="AT857" i="1"/>
  <c r="AT845" i="1"/>
  <c r="AT833" i="1"/>
  <c r="AT821" i="1"/>
  <c r="AT809" i="1"/>
  <c r="AT797" i="1"/>
  <c r="AT785" i="1"/>
  <c r="AT773" i="1"/>
  <c r="AT761" i="1"/>
  <c r="AT749" i="1"/>
  <c r="AT737" i="1"/>
  <c r="AT725" i="1"/>
  <c r="AT713" i="1"/>
  <c r="AT701" i="1"/>
  <c r="AT689" i="1"/>
  <c r="AT677" i="1"/>
  <c r="AT665" i="1"/>
  <c r="AT653" i="1"/>
  <c r="AT641" i="1"/>
  <c r="AT629" i="1"/>
  <c r="AT617" i="1"/>
  <c r="AT605" i="1"/>
  <c r="AT593" i="1"/>
  <c r="AT581" i="1"/>
  <c r="AT569" i="1"/>
  <c r="AT557" i="1"/>
  <c r="AT545" i="1"/>
  <c r="AT533" i="1"/>
  <c r="AT521" i="1"/>
  <c r="AT509" i="1"/>
  <c r="AT497" i="1"/>
  <c r="AT485" i="1"/>
  <c r="AT473" i="1"/>
  <c r="AT461" i="1"/>
  <c r="AT449" i="1"/>
  <c r="AT437" i="1"/>
  <c r="AT425" i="1"/>
  <c r="AT413" i="1"/>
  <c r="AT401" i="1"/>
  <c r="AT389" i="1"/>
  <c r="AT377" i="1"/>
  <c r="AT365" i="1"/>
  <c r="AT353" i="1"/>
  <c r="AT341" i="1"/>
  <c r="AT329" i="1"/>
  <c r="AT317" i="1"/>
  <c r="AT305" i="1"/>
  <c r="AT293" i="1"/>
  <c r="AT281" i="1"/>
  <c r="AT269" i="1"/>
  <c r="AT257" i="1"/>
  <c r="AT245" i="1"/>
  <c r="AT233" i="1"/>
  <c r="AT221" i="1"/>
  <c r="AT209" i="1"/>
  <c r="AT197" i="1"/>
  <c r="AT185" i="1"/>
  <c r="AT173" i="1"/>
  <c r="AT161" i="1"/>
  <c r="AT149" i="1"/>
  <c r="AT137" i="1"/>
  <c r="AT125" i="1"/>
  <c r="AT113" i="1"/>
  <c r="AT101" i="1"/>
  <c r="AT89" i="1"/>
  <c r="AT77" i="1"/>
  <c r="AT65" i="1"/>
  <c r="AT53" i="1"/>
  <c r="AT41" i="1"/>
  <c r="AT29" i="1"/>
  <c r="AT22" i="1"/>
  <c r="AT10" i="1"/>
  <c r="AT892" i="1"/>
  <c r="AT880" i="1"/>
  <c r="AT868" i="1"/>
  <c r="AT856" i="1"/>
  <c r="AT844" i="1"/>
  <c r="AT832" i="1"/>
  <c r="AT820" i="1"/>
  <c r="AT808" i="1"/>
  <c r="AT796" i="1"/>
  <c r="AT784" i="1"/>
  <c r="AT772" i="1"/>
  <c r="AT760" i="1"/>
  <c r="AT748" i="1"/>
  <c r="AT736" i="1"/>
  <c r="AT724" i="1"/>
  <c r="AT712" i="1"/>
  <c r="AT700" i="1"/>
  <c r="AT688" i="1"/>
  <c r="AT676" i="1"/>
  <c r="AT664" i="1"/>
  <c r="AT652" i="1"/>
  <c r="AT640" i="1"/>
  <c r="AT628" i="1"/>
  <c r="AT616" i="1"/>
  <c r="AT604" i="1"/>
  <c r="AT592" i="1"/>
  <c r="AT580" i="1"/>
  <c r="AT568" i="1"/>
  <c r="AT556" i="1"/>
  <c r="AT544" i="1"/>
  <c r="AT532" i="1"/>
  <c r="AT520" i="1"/>
  <c r="AT508" i="1"/>
  <c r="AT496" i="1"/>
  <c r="AT484" i="1"/>
  <c r="AT472" i="1"/>
  <c r="AT460" i="1"/>
  <c r="AT448" i="1"/>
  <c r="AT436" i="1"/>
  <c r="AT424" i="1"/>
  <c r="AT412" i="1"/>
  <c r="AT400" i="1"/>
  <c r="AT388" i="1"/>
  <c r="AT376" i="1"/>
  <c r="AT364" i="1"/>
  <c r="AT352" i="1"/>
  <c r="AT340" i="1"/>
  <c r="AT328" i="1"/>
  <c r="AT316" i="1"/>
  <c r="AT304" i="1"/>
  <c r="AT292" i="1"/>
  <c r="AT280" i="1"/>
  <c r="AT268" i="1"/>
  <c r="AT256" i="1"/>
  <c r="AT244" i="1"/>
  <c r="AT232" i="1"/>
  <c r="AT220" i="1"/>
  <c r="AT208" i="1"/>
  <c r="AT196" i="1"/>
  <c r="AT184" i="1"/>
  <c r="AT172" i="1"/>
  <c r="AT160" i="1"/>
  <c r="AT148" i="1"/>
  <c r="AT136" i="1"/>
  <c r="AT124" i="1"/>
  <c r="AT112" i="1"/>
  <c r="AT100" i="1"/>
  <c r="AT88" i="1"/>
  <c r="AT76" i="1"/>
  <c r="AT64" i="1"/>
  <c r="AT52" i="1"/>
  <c r="AT40" i="1"/>
  <c r="AT28" i="1"/>
  <c r="AT21" i="1"/>
  <c r="AT9" i="1"/>
  <c r="AT891" i="1"/>
  <c r="AT879" i="1"/>
  <c r="AT867" i="1"/>
  <c r="AT855" i="1"/>
  <c r="AT843" i="1"/>
  <c r="AT831" i="1"/>
  <c r="AT819" i="1"/>
  <c r="AT807" i="1"/>
  <c r="AT795" i="1"/>
  <c r="AT783" i="1"/>
  <c r="AT771" i="1"/>
  <c r="AT759" i="1"/>
  <c r="AT747" i="1"/>
  <c r="AT735" i="1"/>
  <c r="AT723" i="1"/>
  <c r="AT711" i="1"/>
  <c r="AT699" i="1"/>
  <c r="AT687" i="1"/>
  <c r="AT675" i="1"/>
  <c r="AT663" i="1"/>
  <c r="AT651" i="1"/>
  <c r="AT639" i="1"/>
  <c r="AT627" i="1"/>
  <c r="AT615" i="1"/>
  <c r="AT603" i="1"/>
  <c r="AT591" i="1"/>
  <c r="AT579" i="1"/>
  <c r="AT567" i="1"/>
  <c r="AT555" i="1"/>
  <c r="AT543" i="1"/>
  <c r="AT531" i="1"/>
  <c r="AT519" i="1"/>
  <c r="AT507" i="1"/>
  <c r="AT495" i="1"/>
  <c r="AT483" i="1"/>
  <c r="AT471" i="1"/>
  <c r="AT459" i="1"/>
  <c r="AT447" i="1"/>
  <c r="AT435" i="1"/>
  <c r="AT423" i="1"/>
  <c r="AT411" i="1"/>
  <c r="AT399" i="1"/>
  <c r="AT387" i="1"/>
  <c r="AT375" i="1"/>
  <c r="AT363" i="1"/>
  <c r="AT351" i="1"/>
  <c r="AT339" i="1"/>
  <c r="AT327" i="1"/>
  <c r="AT315" i="1"/>
  <c r="AT303" i="1"/>
  <c r="AT291" i="1"/>
  <c r="AT279" i="1"/>
  <c r="AT267" i="1"/>
  <c r="AT255" i="1"/>
  <c r="AT243" i="1"/>
  <c r="AT231" i="1"/>
  <c r="AT219" i="1"/>
  <c r="AT207" i="1"/>
  <c r="AT195" i="1"/>
  <c r="AT183" i="1"/>
  <c r="AT171" i="1"/>
  <c r="AT159" i="1"/>
  <c r="AT147" i="1"/>
  <c r="AT135" i="1"/>
  <c r="AT123" i="1"/>
  <c r="AT111" i="1"/>
  <c r="AT99" i="1"/>
  <c r="AT87" i="1"/>
  <c r="AT75" i="1"/>
  <c r="AT63" i="1"/>
  <c r="AT51" i="1"/>
  <c r="AT39" i="1"/>
  <c r="AT27" i="1"/>
  <c r="AT20" i="1"/>
  <c r="AT8" i="1"/>
  <c r="AT890" i="1"/>
  <c r="AT878" i="1"/>
  <c r="AT866" i="1"/>
  <c r="AT854" i="1"/>
  <c r="AT842" i="1"/>
  <c r="AT830" i="1"/>
  <c r="AT818" i="1"/>
  <c r="AT806" i="1"/>
  <c r="AT794" i="1"/>
  <c r="AT782" i="1"/>
  <c r="AT770" i="1"/>
  <c r="AT758" i="1"/>
  <c r="AT746" i="1"/>
  <c r="AT734" i="1"/>
  <c r="AT722" i="1"/>
  <c r="AT710" i="1"/>
  <c r="AT698" i="1"/>
  <c r="AT686" i="1"/>
  <c r="AT674" i="1"/>
  <c r="AT662" i="1"/>
  <c r="AT650" i="1"/>
  <c r="AT638" i="1"/>
  <c r="AT626" i="1"/>
  <c r="AT614" i="1"/>
  <c r="AT602" i="1"/>
  <c r="AT590" i="1"/>
  <c r="AT578" i="1"/>
  <c r="AT566" i="1"/>
  <c r="AT554" i="1"/>
  <c r="AT542" i="1"/>
  <c r="AT530" i="1"/>
  <c r="AT518" i="1"/>
  <c r="AT506" i="1"/>
  <c r="AT494" i="1"/>
  <c r="AT482" i="1"/>
  <c r="AT470" i="1"/>
  <c r="AT458" i="1"/>
  <c r="AT446" i="1"/>
  <c r="AT434" i="1"/>
  <c r="AT422" i="1"/>
  <c r="AT410" i="1"/>
  <c r="AT398" i="1"/>
  <c r="AT386" i="1"/>
  <c r="AT374" i="1"/>
  <c r="AT362" i="1"/>
  <c r="AT350" i="1"/>
  <c r="AT338" i="1"/>
  <c r="AT326" i="1"/>
  <c r="AT314" i="1"/>
  <c r="AT302" i="1"/>
  <c r="AT290" i="1"/>
  <c r="AT278" i="1"/>
  <c r="AT266" i="1"/>
  <c r="AT254" i="1"/>
  <c r="AT242" i="1"/>
  <c r="AT230" i="1"/>
  <c r="AT218" i="1"/>
  <c r="AT206" i="1"/>
  <c r="AT194" i="1"/>
  <c r="AT182" i="1"/>
  <c r="AT170" i="1"/>
  <c r="AT158" i="1"/>
  <c r="AT146" i="1"/>
  <c r="AT134" i="1"/>
  <c r="AT122" i="1"/>
  <c r="AT110" i="1"/>
  <c r="AT98" i="1"/>
  <c r="AT86" i="1"/>
  <c r="AT74" i="1"/>
  <c r="AT62" i="1"/>
  <c r="AT50" i="1"/>
  <c r="AT38" i="1"/>
  <c r="AT26" i="1"/>
  <c r="AT19" i="1"/>
  <c r="AT7" i="1"/>
  <c r="AT901" i="1"/>
  <c r="AT877" i="1"/>
  <c r="AT865" i="1"/>
  <c r="AT853" i="1"/>
  <c r="AT841" i="1"/>
  <c r="AT829" i="1"/>
  <c r="AT817" i="1"/>
  <c r="AT805" i="1"/>
  <c r="AT793" i="1"/>
  <c r="AT781" i="1"/>
  <c r="AT769" i="1"/>
  <c r="AT757" i="1"/>
  <c r="AT745" i="1"/>
  <c r="AT733" i="1"/>
  <c r="AT721" i="1"/>
  <c r="AT709" i="1"/>
  <c r="AT697" i="1"/>
  <c r="AT685" i="1"/>
  <c r="AT673" i="1"/>
  <c r="AT661" i="1"/>
  <c r="AT649" i="1"/>
  <c r="AT637" i="1"/>
  <c r="AT625" i="1"/>
  <c r="AT613" i="1"/>
  <c r="AT601" i="1"/>
  <c r="AT589" i="1"/>
  <c r="AT577" i="1"/>
  <c r="AT565" i="1"/>
  <c r="AT553" i="1"/>
  <c r="AT541" i="1"/>
  <c r="AT529" i="1"/>
  <c r="AT517" i="1"/>
  <c r="AT505" i="1"/>
  <c r="AT493" i="1"/>
  <c r="AT481" i="1"/>
  <c r="AT469" i="1"/>
  <c r="AT457" i="1"/>
  <c r="AT445" i="1"/>
  <c r="AT433" i="1"/>
  <c r="AT421" i="1"/>
  <c r="AT409" i="1"/>
  <c r="AT397" i="1"/>
  <c r="AT385" i="1"/>
  <c r="AT373" i="1"/>
  <c r="AT361" i="1"/>
  <c r="AT349" i="1"/>
  <c r="AT337" i="1"/>
  <c r="AT325" i="1"/>
  <c r="AT313" i="1"/>
  <c r="AT301" i="1"/>
  <c r="AT289" i="1"/>
  <c r="AT277" i="1"/>
  <c r="AT265" i="1"/>
  <c r="AT253" i="1"/>
  <c r="AT241" i="1"/>
  <c r="AT229" i="1"/>
  <c r="AT217" i="1"/>
  <c r="AT205" i="1"/>
  <c r="AT193" i="1"/>
  <c r="AT181" i="1"/>
  <c r="AT169" i="1"/>
  <c r="AT157" i="1"/>
  <c r="AT145" i="1"/>
  <c r="AT133" i="1"/>
  <c r="AT121" i="1"/>
  <c r="AT109" i="1"/>
  <c r="AT97" i="1"/>
  <c r="AT85" i="1"/>
  <c r="AT73" i="1"/>
  <c r="AT61" i="1"/>
  <c r="AT49" i="1"/>
  <c r="AT37" i="1"/>
  <c r="AT25" i="1"/>
  <c r="AT889" i="1"/>
  <c r="AT18" i="1"/>
  <c r="AT6" i="1"/>
  <c r="AT900" i="1"/>
  <c r="AT888" i="1"/>
  <c r="AT876" i="1"/>
  <c r="AT864" i="1"/>
  <c r="AT852" i="1"/>
  <c r="AT840" i="1"/>
  <c r="AT828" i="1"/>
  <c r="AT816" i="1"/>
  <c r="AT804" i="1"/>
  <c r="AT792" i="1"/>
  <c r="AT780" i="1"/>
  <c r="AT768" i="1"/>
  <c r="AT756" i="1"/>
  <c r="AT744" i="1"/>
  <c r="AT732" i="1"/>
  <c r="AT720" i="1"/>
  <c r="AT708" i="1"/>
  <c r="AT696" i="1"/>
  <c r="AT684" i="1"/>
  <c r="AT672" i="1"/>
  <c r="AT660" i="1"/>
  <c r="AT648" i="1"/>
  <c r="AT636" i="1"/>
  <c r="AT624" i="1"/>
  <c r="AT612" i="1"/>
  <c r="AT600" i="1"/>
  <c r="AT588" i="1"/>
  <c r="AT576" i="1"/>
  <c r="AT564" i="1"/>
  <c r="AT552" i="1"/>
  <c r="AT540" i="1"/>
  <c r="AT528" i="1"/>
  <c r="AT516" i="1"/>
  <c r="AT504" i="1"/>
  <c r="AT492" i="1"/>
  <c r="AT480" i="1"/>
  <c r="AT468" i="1"/>
  <c r="AT456" i="1"/>
  <c r="AT444" i="1"/>
  <c r="AT432" i="1"/>
  <c r="AT420" i="1"/>
  <c r="AT408" i="1"/>
  <c r="AT396" i="1"/>
  <c r="AT384" i="1"/>
  <c r="AT372" i="1"/>
  <c r="AT360" i="1"/>
  <c r="AT348" i="1"/>
  <c r="AT336" i="1"/>
  <c r="AT324" i="1"/>
  <c r="AT312" i="1"/>
  <c r="AT300" i="1"/>
  <c r="AT288" i="1"/>
  <c r="AT276" i="1"/>
  <c r="AT264" i="1"/>
  <c r="AT252" i="1"/>
  <c r="AT240" i="1"/>
  <c r="AT228" i="1"/>
  <c r="AT216" i="1"/>
  <c r="AT204" i="1"/>
  <c r="AT192" i="1"/>
  <c r="AT180" i="1"/>
  <c r="AT168" i="1"/>
  <c r="AT156" i="1"/>
  <c r="AT144" i="1"/>
  <c r="AT132" i="1"/>
  <c r="AT120" i="1"/>
  <c r="AT108" i="1"/>
  <c r="AT96" i="1"/>
  <c r="AT84" i="1"/>
  <c r="AT72" i="1"/>
  <c r="AT60" i="1"/>
  <c r="AT48" i="1"/>
  <c r="AT36" i="1"/>
  <c r="AT24" i="1"/>
  <c r="AT17" i="1"/>
  <c r="AT5" i="1"/>
  <c r="AT899" i="1"/>
  <c r="AT887" i="1"/>
  <c r="AT875" i="1"/>
  <c r="AT863" i="1"/>
  <c r="AT851" i="1"/>
  <c r="AT839" i="1"/>
  <c r="AT827" i="1"/>
  <c r="AT815" i="1"/>
  <c r="AT803" i="1"/>
  <c r="AT791" i="1"/>
  <c r="AT779" i="1"/>
  <c r="AT767" i="1"/>
  <c r="AT755" i="1"/>
  <c r="AT743" i="1"/>
  <c r="AT731" i="1"/>
  <c r="AT719" i="1"/>
  <c r="AT707" i="1"/>
  <c r="AT695" i="1"/>
  <c r="AT683" i="1"/>
  <c r="AT671" i="1"/>
  <c r="AT659" i="1"/>
  <c r="AT647" i="1"/>
  <c r="AT635" i="1"/>
  <c r="AT623" i="1"/>
  <c r="AT611" i="1"/>
  <c r="AT599" i="1"/>
  <c r="AT587" i="1"/>
  <c r="AT575" i="1"/>
  <c r="AT563" i="1"/>
  <c r="AT551" i="1"/>
  <c r="AT539" i="1"/>
  <c r="AT527" i="1"/>
  <c r="AT515" i="1"/>
  <c r="AT503" i="1"/>
  <c r="AT491" i="1"/>
  <c r="AT479" i="1"/>
  <c r="AT467" i="1"/>
  <c r="AT455" i="1"/>
  <c r="AT443" i="1"/>
  <c r="AT431" i="1"/>
  <c r="AT419" i="1"/>
  <c r="AT407" i="1"/>
  <c r="AT395" i="1"/>
  <c r="AT383" i="1"/>
  <c r="AT371" i="1"/>
  <c r="AT359" i="1"/>
  <c r="AT347" i="1"/>
  <c r="AT335" i="1"/>
  <c r="AT323" i="1"/>
  <c r="AT311" i="1"/>
  <c r="AT299" i="1"/>
  <c r="AT287" i="1"/>
  <c r="AT275" i="1"/>
  <c r="AT263" i="1"/>
  <c r="AT251" i="1"/>
  <c r="AT239" i="1"/>
  <c r="AT227" i="1"/>
  <c r="AT215" i="1"/>
  <c r="AT203" i="1"/>
  <c r="AT191" i="1"/>
  <c r="AT179" i="1"/>
  <c r="AT167" i="1"/>
  <c r="AT155" i="1"/>
  <c r="AT143" i="1"/>
  <c r="AT131" i="1"/>
  <c r="AT119" i="1"/>
  <c r="AT107" i="1"/>
  <c r="AT95" i="1"/>
  <c r="AT83" i="1"/>
  <c r="AT71" i="1"/>
  <c r="AT59" i="1"/>
  <c r="AT47" i="1"/>
  <c r="AT35" i="1"/>
  <c r="AS892" i="1"/>
  <c r="AS820" i="1"/>
  <c r="AS748" i="1"/>
  <c r="AS676" i="1"/>
  <c r="AS604" i="1"/>
  <c r="AS532" i="1"/>
  <c r="AS460" i="1"/>
  <c r="AS388" i="1"/>
  <c r="AS316" i="1"/>
  <c r="AS100" i="1"/>
  <c r="AS32" i="1"/>
  <c r="AS819" i="1"/>
  <c r="AS675" i="1"/>
  <c r="AS531" i="1"/>
  <c r="AS387" i="1"/>
  <c r="AS171" i="1"/>
  <c r="AS232" i="1"/>
  <c r="AS807" i="1"/>
  <c r="AS231" i="1"/>
  <c r="AS148" i="1"/>
  <c r="AS8" i="1"/>
  <c r="AS795" i="1"/>
  <c r="AS651" i="1"/>
  <c r="AS435" i="1"/>
  <c r="AS147" i="1"/>
  <c r="AS759" i="1"/>
  <c r="AS615" i="1"/>
  <c r="AS471" i="1"/>
  <c r="AS399" i="1"/>
  <c r="AS111" i="1"/>
  <c r="AS172" i="1"/>
  <c r="AS243" i="1"/>
  <c r="AS880" i="1"/>
  <c r="AS736" i="1"/>
  <c r="AS592" i="1"/>
  <c r="AS448" i="1"/>
  <c r="AS160" i="1"/>
  <c r="AS879" i="1"/>
  <c r="AS591" i="1"/>
  <c r="AS447" i="1"/>
  <c r="AS87" i="1"/>
  <c r="AS868" i="1"/>
  <c r="AS724" i="1"/>
  <c r="AS580" i="1"/>
  <c r="AS436" i="1"/>
  <c r="AS220" i="1"/>
  <c r="AS291" i="1"/>
  <c r="AS784" i="1"/>
  <c r="AS712" i="1"/>
  <c r="AS640" i="1"/>
  <c r="AS496" i="1"/>
  <c r="AS424" i="1"/>
  <c r="AS280" i="1"/>
  <c r="AS64" i="1"/>
  <c r="AS783" i="1"/>
  <c r="AS639" i="1"/>
  <c r="AS495" i="1"/>
  <c r="AS351" i="1"/>
  <c r="AS279" i="1"/>
  <c r="AS135" i="1"/>
  <c r="AS844" i="1"/>
  <c r="AS772" i="1"/>
  <c r="AS700" i="1"/>
  <c r="AS628" i="1"/>
  <c r="AS556" i="1"/>
  <c r="AS484" i="1"/>
  <c r="AS412" i="1"/>
  <c r="AS340" i="1"/>
  <c r="AS268" i="1"/>
  <c r="AS196" i="1"/>
  <c r="AS124" i="1"/>
  <c r="AS52" i="1"/>
  <c r="AS831" i="1"/>
  <c r="AS687" i="1"/>
  <c r="AS543" i="1"/>
  <c r="AS327" i="1"/>
  <c r="AS183" i="1"/>
  <c r="AS244" i="1"/>
  <c r="AS315" i="1"/>
  <c r="AS21" i="1"/>
  <c r="AS808" i="1"/>
  <c r="AS664" i="1"/>
  <c r="AS520" i="1"/>
  <c r="AS376" i="1"/>
  <c r="AS88" i="1"/>
  <c r="AS20" i="1"/>
  <c r="AS735" i="1"/>
  <c r="AS519" i="1"/>
  <c r="AS375" i="1"/>
  <c r="AS159" i="1"/>
  <c r="AS9" i="1"/>
  <c r="AS796" i="1"/>
  <c r="AS652" i="1"/>
  <c r="AS508" i="1"/>
  <c r="AS364" i="1"/>
  <c r="AS292" i="1"/>
  <c r="AS75" i="1"/>
  <c r="AS856" i="1"/>
  <c r="AS568" i="1"/>
  <c r="AS352" i="1"/>
  <c r="AS208" i="1"/>
  <c r="AS136" i="1"/>
  <c r="AS855" i="1"/>
  <c r="AS711" i="1"/>
  <c r="AS567" i="1"/>
  <c r="AS423" i="1"/>
  <c r="AS207" i="1"/>
  <c r="AS63" i="1"/>
  <c r="AS843" i="1"/>
  <c r="AS771" i="1"/>
  <c r="AS699" i="1"/>
  <c r="AS627" i="1"/>
  <c r="AS555" i="1"/>
  <c r="AS483" i="1"/>
  <c r="AS411" i="1"/>
  <c r="AS339" i="1"/>
  <c r="AS267" i="1"/>
  <c r="AS195" i="1"/>
  <c r="AS123" i="1"/>
  <c r="AS40" i="1"/>
  <c r="AS255" i="1"/>
  <c r="AS891" i="1"/>
  <c r="AS747" i="1"/>
  <c r="AS603" i="1"/>
  <c r="AS459" i="1"/>
  <c r="AS99" i="1"/>
  <c r="AS304" i="1"/>
  <c r="AS663" i="1"/>
  <c r="AS303" i="1"/>
  <c r="AS76" i="1"/>
  <c r="AS867" i="1"/>
  <c r="AS723" i="1"/>
  <c r="AS579" i="1"/>
  <c r="AS507" i="1"/>
  <c r="AS363" i="1"/>
  <c r="AS219" i="1"/>
  <c r="AS832" i="1"/>
  <c r="AS760" i="1"/>
  <c r="AS688" i="1"/>
  <c r="AS616" i="1"/>
  <c r="AS544" i="1"/>
  <c r="AS472" i="1"/>
  <c r="AS400" i="1"/>
  <c r="AS328" i="1"/>
  <c r="AS256" i="1"/>
  <c r="AS184" i="1"/>
  <c r="AS112" i="1"/>
  <c r="AS39" i="1"/>
  <c r="AS25" i="1"/>
  <c r="AS13" i="1"/>
  <c r="AS896" i="1"/>
  <c r="AS884" i="1"/>
  <c r="AS872" i="1"/>
  <c r="AS860" i="1"/>
  <c r="AS848" i="1"/>
  <c r="AS836" i="1"/>
  <c r="AS824" i="1"/>
  <c r="AS812" i="1"/>
  <c r="AS800" i="1"/>
  <c r="AS788" i="1"/>
  <c r="AS776" i="1"/>
  <c r="AS764" i="1"/>
  <c r="AS752" i="1"/>
  <c r="AS740" i="1"/>
  <c r="AS728" i="1"/>
  <c r="AS716" i="1"/>
  <c r="AS704" i="1"/>
  <c r="AS692" i="1"/>
  <c r="AS680" i="1"/>
  <c r="AS668" i="1"/>
  <c r="AS656" i="1"/>
  <c r="AS644" i="1"/>
  <c r="AS632" i="1"/>
  <c r="AS620" i="1"/>
  <c r="AS608" i="1"/>
  <c r="AS596" i="1"/>
  <c r="AS584" i="1"/>
  <c r="AS572" i="1"/>
  <c r="AS560" i="1"/>
  <c r="AS548" i="1"/>
  <c r="AS536" i="1"/>
  <c r="AS524" i="1"/>
  <c r="AS512" i="1"/>
  <c r="AS500" i="1"/>
  <c r="AS488" i="1"/>
  <c r="AS476" i="1"/>
  <c r="AS464" i="1"/>
  <c r="AS452" i="1"/>
  <c r="AS440" i="1"/>
  <c r="AS428" i="1"/>
  <c r="AS416" i="1"/>
  <c r="AS404" i="1"/>
  <c r="AS392" i="1"/>
  <c r="AS380" i="1"/>
  <c r="AS368" i="1"/>
  <c r="AS356" i="1"/>
  <c r="AS344" i="1"/>
  <c r="AS332" i="1"/>
  <c r="AS320" i="1"/>
  <c r="AS308" i="1"/>
  <c r="AS296" i="1"/>
  <c r="AS284" i="1"/>
  <c r="AS272" i="1"/>
  <c r="AS260" i="1"/>
  <c r="AS248" i="1"/>
  <c r="AS236" i="1"/>
  <c r="AS224" i="1"/>
  <c r="AS212" i="1"/>
  <c r="AS200" i="1"/>
  <c r="AS188" i="1"/>
  <c r="AS176" i="1"/>
  <c r="AS164" i="1"/>
  <c r="AS152" i="1"/>
  <c r="AS140" i="1"/>
  <c r="AS128" i="1"/>
  <c r="AS116" i="1"/>
  <c r="AS104" i="1"/>
  <c r="AS92" i="1"/>
  <c r="AS80" i="1"/>
  <c r="AS68" i="1"/>
  <c r="AS56" i="1"/>
  <c r="AS44" i="1"/>
  <c r="AS24" i="1"/>
  <c r="AS12" i="1"/>
  <c r="AS895" i="1"/>
  <c r="AS883" i="1"/>
  <c r="AS871" i="1"/>
  <c r="AS859" i="1"/>
  <c r="AS847" i="1"/>
  <c r="AS835" i="1"/>
  <c r="AS823" i="1"/>
  <c r="AS811" i="1"/>
  <c r="AS799" i="1"/>
  <c r="AS787" i="1"/>
  <c r="AS775" i="1"/>
  <c r="AS763" i="1"/>
  <c r="AS751" i="1"/>
  <c r="AS739" i="1"/>
  <c r="AS727" i="1"/>
  <c r="AS715" i="1"/>
  <c r="AS703" i="1"/>
  <c r="AS691" i="1"/>
  <c r="AS679" i="1"/>
  <c r="AS667" i="1"/>
  <c r="AS655" i="1"/>
  <c r="AS643" i="1"/>
  <c r="AS631" i="1"/>
  <c r="AS619" i="1"/>
  <c r="AS607" i="1"/>
  <c r="AS595" i="1"/>
  <c r="AS583" i="1"/>
  <c r="AS571" i="1"/>
  <c r="AS559" i="1"/>
  <c r="AS547" i="1"/>
  <c r="AS535" i="1"/>
  <c r="AS523" i="1"/>
  <c r="AS511" i="1"/>
  <c r="AS499" i="1"/>
  <c r="AS487" i="1"/>
  <c r="AS475" i="1"/>
  <c r="AS463" i="1"/>
  <c r="AS451" i="1"/>
  <c r="AS439" i="1"/>
  <c r="AS427" i="1"/>
  <c r="AS415" i="1"/>
  <c r="AS403" i="1"/>
  <c r="AS391" i="1"/>
  <c r="AS379" i="1"/>
  <c r="AS367" i="1"/>
  <c r="AS355" i="1"/>
  <c r="AS343" i="1"/>
  <c r="AS331" i="1"/>
  <c r="AS319" i="1"/>
  <c r="AS307" i="1"/>
  <c r="AS295" i="1"/>
  <c r="AS283" i="1"/>
  <c r="AS271" i="1"/>
  <c r="AS259" i="1"/>
  <c r="AS247" i="1"/>
  <c r="AS235" i="1"/>
  <c r="AS223" i="1"/>
  <c r="AS211" i="1"/>
  <c r="AS199" i="1"/>
  <c r="AS187" i="1"/>
  <c r="AS175" i="1"/>
  <c r="AS163" i="1"/>
  <c r="AS151" i="1"/>
  <c r="AS139" i="1"/>
  <c r="AS127" i="1"/>
  <c r="AS115" i="1"/>
  <c r="AS103" i="1"/>
  <c r="AS91" i="1"/>
  <c r="AS79" i="1"/>
  <c r="AS67" i="1"/>
  <c r="AS55" i="1"/>
  <c r="AS43" i="1"/>
  <c r="AS23" i="1"/>
  <c r="AS11" i="1"/>
  <c r="AS894" i="1"/>
  <c r="AS882" i="1"/>
  <c r="AS870" i="1"/>
  <c r="AS858" i="1"/>
  <c r="AS846" i="1"/>
  <c r="AS834" i="1"/>
  <c r="AS822" i="1"/>
  <c r="AS810" i="1"/>
  <c r="AS798" i="1"/>
  <c r="AS786" i="1"/>
  <c r="AS774" i="1"/>
  <c r="AS762" i="1"/>
  <c r="AS750" i="1"/>
  <c r="AS738" i="1"/>
  <c r="AS726" i="1"/>
  <c r="AS714" i="1"/>
  <c r="AS702" i="1"/>
  <c r="AS690" i="1"/>
  <c r="AS678" i="1"/>
  <c r="AS666" i="1"/>
  <c r="AS654" i="1"/>
  <c r="AS642" i="1"/>
  <c r="AS630" i="1"/>
  <c r="AS618" i="1"/>
  <c r="AS606" i="1"/>
  <c r="AS594" i="1"/>
  <c r="AS582" i="1"/>
  <c r="AS570" i="1"/>
  <c r="AS558" i="1"/>
  <c r="AS546" i="1"/>
  <c r="AS534" i="1"/>
  <c r="AS522" i="1"/>
  <c r="AS510" i="1"/>
  <c r="AS498" i="1"/>
  <c r="AS486" i="1"/>
  <c r="AS474" i="1"/>
  <c r="AS462" i="1"/>
  <c r="AS450" i="1"/>
  <c r="AS438" i="1"/>
  <c r="AS426" i="1"/>
  <c r="AS414" i="1"/>
  <c r="AS402" i="1"/>
  <c r="AS390" i="1"/>
  <c r="AS378" i="1"/>
  <c r="AS366" i="1"/>
  <c r="AS354" i="1"/>
  <c r="AS342" i="1"/>
  <c r="AS330" i="1"/>
  <c r="AS318" i="1"/>
  <c r="AS306" i="1"/>
  <c r="AS294" i="1"/>
  <c r="AS282" i="1"/>
  <c r="AS270" i="1"/>
  <c r="AS258" i="1"/>
  <c r="AS246" i="1"/>
  <c r="AS234" i="1"/>
  <c r="AS222" i="1"/>
  <c r="AS210" i="1"/>
  <c r="AS198" i="1"/>
  <c r="AS186" i="1"/>
  <c r="AS174" i="1"/>
  <c r="AS162" i="1"/>
  <c r="AS150" i="1"/>
  <c r="AS138" i="1"/>
  <c r="AS126" i="1"/>
  <c r="AS114" i="1"/>
  <c r="AS102" i="1"/>
  <c r="AS90" i="1"/>
  <c r="AS78" i="1"/>
  <c r="AS66" i="1"/>
  <c r="AS54" i="1"/>
  <c r="AS42" i="1"/>
  <c r="AS22" i="1"/>
  <c r="AS10" i="1"/>
  <c r="AS893" i="1"/>
  <c r="AS881" i="1"/>
  <c r="AS869" i="1"/>
  <c r="AS857" i="1"/>
  <c r="AS845" i="1"/>
  <c r="AS833" i="1"/>
  <c r="AS821" i="1"/>
  <c r="AS809" i="1"/>
  <c r="AS797" i="1"/>
  <c r="AS785" i="1"/>
  <c r="AS773" i="1"/>
  <c r="AS761" i="1"/>
  <c r="AS749" i="1"/>
  <c r="AS737" i="1"/>
  <c r="AS725" i="1"/>
  <c r="AS713" i="1"/>
  <c r="AS701" i="1"/>
  <c r="AS689" i="1"/>
  <c r="AS677" i="1"/>
  <c r="AS665" i="1"/>
  <c r="AS653" i="1"/>
  <c r="AS641" i="1"/>
  <c r="AS629" i="1"/>
  <c r="AS617" i="1"/>
  <c r="AS605" i="1"/>
  <c r="AS593" i="1"/>
  <c r="AS581" i="1"/>
  <c r="AS569" i="1"/>
  <c r="AS557" i="1"/>
  <c r="AS545" i="1"/>
  <c r="AS533" i="1"/>
  <c r="AS521" i="1"/>
  <c r="AS509" i="1"/>
  <c r="AS497" i="1"/>
  <c r="AS485" i="1"/>
  <c r="AS473" i="1"/>
  <c r="AS461" i="1"/>
  <c r="AS449" i="1"/>
  <c r="AS437" i="1"/>
  <c r="AS425" i="1"/>
  <c r="AS413" i="1"/>
  <c r="AS401" i="1"/>
  <c r="AS389" i="1"/>
  <c r="AS377" i="1"/>
  <c r="AS365" i="1"/>
  <c r="AS353" i="1"/>
  <c r="AS341" i="1"/>
  <c r="AS329" i="1"/>
  <c r="AS317" i="1"/>
  <c r="AS305" i="1"/>
  <c r="AS293" i="1"/>
  <c r="AS281" i="1"/>
  <c r="AS269" i="1"/>
  <c r="AS257" i="1"/>
  <c r="AS245" i="1"/>
  <c r="AS233" i="1"/>
  <c r="AS221" i="1"/>
  <c r="AS209" i="1"/>
  <c r="AS197" i="1"/>
  <c r="AS185" i="1"/>
  <c r="AS173" i="1"/>
  <c r="AS161" i="1"/>
  <c r="AS149" i="1"/>
  <c r="AS137" i="1"/>
  <c r="AS125" i="1"/>
  <c r="AS113" i="1"/>
  <c r="AS101" i="1"/>
  <c r="AS89" i="1"/>
  <c r="AS77" i="1"/>
  <c r="AS65" i="1"/>
  <c r="AS53" i="1"/>
  <c r="AS41" i="1"/>
  <c r="AS31" i="1"/>
  <c r="AS19" i="1"/>
  <c r="AS7" i="1"/>
  <c r="AS890" i="1"/>
  <c r="AS878" i="1"/>
  <c r="AS866" i="1"/>
  <c r="AS854" i="1"/>
  <c r="AS842" i="1"/>
  <c r="AS830" i="1"/>
  <c r="AS818" i="1"/>
  <c r="AS806" i="1"/>
  <c r="AS794" i="1"/>
  <c r="AS782" i="1"/>
  <c r="AS770" i="1"/>
  <c r="AS758" i="1"/>
  <c r="AS746" i="1"/>
  <c r="AS734" i="1"/>
  <c r="AS722" i="1"/>
  <c r="AS710" i="1"/>
  <c r="AS698" i="1"/>
  <c r="AS686" i="1"/>
  <c r="AS674" i="1"/>
  <c r="AS662" i="1"/>
  <c r="AS650" i="1"/>
  <c r="AS638" i="1"/>
  <c r="AS626" i="1"/>
  <c r="AS614" i="1"/>
  <c r="AS602" i="1"/>
  <c r="AS590" i="1"/>
  <c r="AS578" i="1"/>
  <c r="AS566" i="1"/>
  <c r="AS554" i="1"/>
  <c r="AS542" i="1"/>
  <c r="AS530" i="1"/>
  <c r="AS518" i="1"/>
  <c r="AS506" i="1"/>
  <c r="AS494" i="1"/>
  <c r="AS482" i="1"/>
  <c r="AS470" i="1"/>
  <c r="AS458" i="1"/>
  <c r="AS446" i="1"/>
  <c r="AS434" i="1"/>
  <c r="AS422" i="1"/>
  <c r="AS410" i="1"/>
  <c r="AS398" i="1"/>
  <c r="AS386" i="1"/>
  <c r="AS374" i="1"/>
  <c r="AS362" i="1"/>
  <c r="AS350" i="1"/>
  <c r="AS338" i="1"/>
  <c r="AS326" i="1"/>
  <c r="AS314" i="1"/>
  <c r="AS302" i="1"/>
  <c r="AS290" i="1"/>
  <c r="AS278" i="1"/>
  <c r="AS266" i="1"/>
  <c r="AS254" i="1"/>
  <c r="AS242" i="1"/>
  <c r="AS230" i="1"/>
  <c r="AS218" i="1"/>
  <c r="AS206" i="1"/>
  <c r="AS194" i="1"/>
  <c r="AS182" i="1"/>
  <c r="AS170" i="1"/>
  <c r="AS158" i="1"/>
  <c r="AS146" i="1"/>
  <c r="AS134" i="1"/>
  <c r="AS122" i="1"/>
  <c r="AS110" i="1"/>
  <c r="AS98" i="1"/>
  <c r="AS86" i="1"/>
  <c r="AS74" i="1"/>
  <c r="AS62" i="1"/>
  <c r="AS50" i="1"/>
  <c r="AS38" i="1"/>
  <c r="AS30" i="1"/>
  <c r="AS18" i="1"/>
  <c r="AS6" i="1"/>
  <c r="AS901" i="1"/>
  <c r="AS889" i="1"/>
  <c r="AS877" i="1"/>
  <c r="AS865" i="1"/>
  <c r="AS853" i="1"/>
  <c r="AS841" i="1"/>
  <c r="AS829" i="1"/>
  <c r="AS817" i="1"/>
  <c r="AS805" i="1"/>
  <c r="AS793" i="1"/>
  <c r="AS781" i="1"/>
  <c r="AS769" i="1"/>
  <c r="AS757" i="1"/>
  <c r="AS745" i="1"/>
  <c r="AS733" i="1"/>
  <c r="AS721" i="1"/>
  <c r="AS709" i="1"/>
  <c r="AS697" i="1"/>
  <c r="AS685" i="1"/>
  <c r="AS673" i="1"/>
  <c r="AS661" i="1"/>
  <c r="AS649" i="1"/>
  <c r="AS637" i="1"/>
  <c r="AS625" i="1"/>
  <c r="AS613" i="1"/>
  <c r="AS601" i="1"/>
  <c r="AS589" i="1"/>
  <c r="AS577" i="1"/>
  <c r="AS565" i="1"/>
  <c r="AS553" i="1"/>
  <c r="AS541" i="1"/>
  <c r="AS529" i="1"/>
  <c r="AS517" i="1"/>
  <c r="AS505" i="1"/>
  <c r="AS493" i="1"/>
  <c r="AS481" i="1"/>
  <c r="AS469" i="1"/>
  <c r="AS457" i="1"/>
  <c r="AS445" i="1"/>
  <c r="AS433" i="1"/>
  <c r="AS421" i="1"/>
  <c r="AS409" i="1"/>
  <c r="AS397" i="1"/>
  <c r="AS385" i="1"/>
  <c r="AS373" i="1"/>
  <c r="AS361" i="1"/>
  <c r="AS349" i="1"/>
  <c r="AS337" i="1"/>
  <c r="AS325" i="1"/>
  <c r="AS313" i="1"/>
  <c r="AS301" i="1"/>
  <c r="AS289" i="1"/>
  <c r="AS277" i="1"/>
  <c r="AS265" i="1"/>
  <c r="AS253" i="1"/>
  <c r="AS241" i="1"/>
  <c r="AS229" i="1"/>
  <c r="AS217" i="1"/>
  <c r="AS205" i="1"/>
  <c r="AS193" i="1"/>
  <c r="AS181" i="1"/>
  <c r="AS169" i="1"/>
  <c r="AS157" i="1"/>
  <c r="AS145" i="1"/>
  <c r="AS133" i="1"/>
  <c r="AS121" i="1"/>
  <c r="AS109" i="1"/>
  <c r="AS97" i="1"/>
  <c r="AS85" i="1"/>
  <c r="AS73" i="1"/>
  <c r="AS61" i="1"/>
  <c r="AS49" i="1"/>
  <c r="AS37" i="1"/>
  <c r="AS29" i="1"/>
  <c r="AS17" i="1"/>
  <c r="AS5" i="1"/>
  <c r="AS900" i="1"/>
  <c r="AS888" i="1"/>
  <c r="AS876" i="1"/>
  <c r="AS864" i="1"/>
  <c r="AS852" i="1"/>
  <c r="AS840" i="1"/>
  <c r="AS828" i="1"/>
  <c r="AS816" i="1"/>
  <c r="AS804" i="1"/>
  <c r="AS792" i="1"/>
  <c r="AS780" i="1"/>
  <c r="AS768" i="1"/>
  <c r="AS756" i="1"/>
  <c r="AS744" i="1"/>
  <c r="AS732" i="1"/>
  <c r="AS720" i="1"/>
  <c r="AS708" i="1"/>
  <c r="AS696" i="1"/>
  <c r="AS684" i="1"/>
  <c r="AS672" i="1"/>
  <c r="AS660" i="1"/>
  <c r="AS648" i="1"/>
  <c r="AS636" i="1"/>
  <c r="AS624" i="1"/>
  <c r="AS612" i="1"/>
  <c r="AS600" i="1"/>
  <c r="AS588" i="1"/>
  <c r="AS576" i="1"/>
  <c r="AS564" i="1"/>
  <c r="AS552" i="1"/>
  <c r="AS540" i="1"/>
  <c r="AS528" i="1"/>
  <c r="AS516" i="1"/>
  <c r="AS504" i="1"/>
  <c r="AS492" i="1"/>
  <c r="AS480" i="1"/>
  <c r="AS468" i="1"/>
  <c r="AS456" i="1"/>
  <c r="AS444" i="1"/>
  <c r="AS432" i="1"/>
  <c r="AS420" i="1"/>
  <c r="AS408" i="1"/>
  <c r="AS396" i="1"/>
  <c r="AS384" i="1"/>
  <c r="AS372" i="1"/>
  <c r="AS360" i="1"/>
  <c r="AS348" i="1"/>
  <c r="AS336" i="1"/>
  <c r="AS324" i="1"/>
  <c r="AS312" i="1"/>
  <c r="AS300" i="1"/>
  <c r="AS288" i="1"/>
  <c r="AS276" i="1"/>
  <c r="AS264" i="1"/>
  <c r="AS252" i="1"/>
  <c r="AS240" i="1"/>
  <c r="AS228" i="1"/>
  <c r="AS216" i="1"/>
  <c r="AS204" i="1"/>
  <c r="AS192" i="1"/>
  <c r="AS180" i="1"/>
  <c r="AS168" i="1"/>
  <c r="AS156" i="1"/>
  <c r="AS144" i="1"/>
  <c r="AS132" i="1"/>
  <c r="AS120" i="1"/>
  <c r="AS108" i="1"/>
  <c r="AS96" i="1"/>
  <c r="AS84" i="1"/>
  <c r="AS72" i="1"/>
  <c r="AS60" i="1"/>
  <c r="AS48" i="1"/>
  <c r="AS36" i="1"/>
  <c r="AS28" i="1"/>
  <c r="AS16" i="1"/>
  <c r="AS4" i="1"/>
  <c r="AS899" i="1"/>
  <c r="AS887" i="1"/>
  <c r="AS875" i="1"/>
  <c r="AS863" i="1"/>
  <c r="AS851" i="1"/>
  <c r="AS839" i="1"/>
  <c r="AS827" i="1"/>
  <c r="AS815" i="1"/>
  <c r="AS803" i="1"/>
  <c r="AS791" i="1"/>
  <c r="AS779" i="1"/>
  <c r="AS767" i="1"/>
  <c r="AS755" i="1"/>
  <c r="AS743" i="1"/>
  <c r="AS731" i="1"/>
  <c r="AS719" i="1"/>
  <c r="AS707" i="1"/>
  <c r="AS695" i="1"/>
  <c r="AS683" i="1"/>
  <c r="AS671" i="1"/>
  <c r="AS659" i="1"/>
  <c r="AS647" i="1"/>
  <c r="AS635" i="1"/>
  <c r="AS623" i="1"/>
  <c r="AS611" i="1"/>
  <c r="AS599" i="1"/>
  <c r="AS587" i="1"/>
  <c r="AS575" i="1"/>
  <c r="AS563" i="1"/>
  <c r="AS551" i="1"/>
  <c r="AS539" i="1"/>
  <c r="AS527" i="1"/>
  <c r="AS515" i="1"/>
  <c r="AS503" i="1"/>
  <c r="AS491" i="1"/>
  <c r="AS479" i="1"/>
  <c r="AS467" i="1"/>
  <c r="AS455" i="1"/>
  <c r="AS443" i="1"/>
  <c r="AS431" i="1"/>
  <c r="AS419" i="1"/>
  <c r="AS407" i="1"/>
  <c r="AS395" i="1"/>
  <c r="AS383" i="1"/>
  <c r="AS371" i="1"/>
  <c r="AS359" i="1"/>
  <c r="AS347" i="1"/>
  <c r="AS335" i="1"/>
  <c r="AS323" i="1"/>
  <c r="AS311" i="1"/>
  <c r="AS299" i="1"/>
  <c r="AS287" i="1"/>
  <c r="AS275" i="1"/>
  <c r="AS263" i="1"/>
  <c r="AS251" i="1"/>
  <c r="AS239" i="1"/>
  <c r="AS227" i="1"/>
  <c r="AS215" i="1"/>
  <c r="AS203" i="1"/>
  <c r="AS191" i="1"/>
  <c r="AS179" i="1"/>
  <c r="AS167" i="1"/>
  <c r="AS155" i="1"/>
  <c r="AS143" i="1"/>
  <c r="AS131" i="1"/>
  <c r="AS119" i="1"/>
  <c r="AS107" i="1"/>
  <c r="AS95" i="1"/>
  <c r="AS83" i="1"/>
  <c r="AS71" i="1"/>
  <c r="AS59" i="1"/>
  <c r="AS47" i="1"/>
  <c r="AS35" i="1"/>
  <c r="AS27" i="1"/>
  <c r="AS15" i="1"/>
  <c r="AS3" i="1"/>
  <c r="AS898" i="1"/>
  <c r="AS886" i="1"/>
  <c r="AS874" i="1"/>
  <c r="AS862" i="1"/>
  <c r="AS850" i="1"/>
  <c r="AS838" i="1"/>
  <c r="AS826" i="1"/>
  <c r="AS814" i="1"/>
  <c r="AS802" i="1"/>
  <c r="AS790" i="1"/>
  <c r="AS778" i="1"/>
  <c r="AS766" i="1"/>
  <c r="AS754" i="1"/>
  <c r="AS742" i="1"/>
  <c r="AS730" i="1"/>
  <c r="AS718" i="1"/>
  <c r="AS706" i="1"/>
  <c r="AS694" i="1"/>
  <c r="AS682" i="1"/>
  <c r="AS670" i="1"/>
  <c r="AS658" i="1"/>
  <c r="AS646" i="1"/>
  <c r="AS634" i="1"/>
  <c r="AS622" i="1"/>
  <c r="AS610" i="1"/>
  <c r="AS598" i="1"/>
  <c r="AS586" i="1"/>
  <c r="AS574" i="1"/>
  <c r="AS562" i="1"/>
  <c r="AS550" i="1"/>
  <c r="AS538" i="1"/>
  <c r="AS526" i="1"/>
  <c r="AS514" i="1"/>
  <c r="AS502" i="1"/>
  <c r="AS490" i="1"/>
  <c r="AS478" i="1"/>
  <c r="AS466" i="1"/>
  <c r="AS454" i="1"/>
  <c r="AS442" i="1"/>
  <c r="AS430" i="1"/>
  <c r="AS418" i="1"/>
  <c r="AS406" i="1"/>
  <c r="AS394" i="1"/>
  <c r="AS382" i="1"/>
  <c r="AS370" i="1"/>
  <c r="AS358" i="1"/>
  <c r="AS346" i="1"/>
  <c r="AS334" i="1"/>
  <c r="AS322" i="1"/>
  <c r="AS310" i="1"/>
  <c r="AS298" i="1"/>
  <c r="AS286" i="1"/>
  <c r="AS274" i="1"/>
  <c r="AS262" i="1"/>
  <c r="AS250" i="1"/>
  <c r="AS238" i="1"/>
  <c r="AS226" i="1"/>
  <c r="AS214" i="1"/>
  <c r="AS202" i="1"/>
  <c r="AS190" i="1"/>
  <c r="AS178" i="1"/>
  <c r="AS166" i="1"/>
  <c r="AS154" i="1"/>
  <c r="AS142" i="1"/>
  <c r="AS130" i="1"/>
  <c r="AS118" i="1"/>
  <c r="AS106" i="1"/>
  <c r="AS94" i="1"/>
  <c r="AS82" i="1"/>
  <c r="AS70" i="1"/>
  <c r="AS58" i="1"/>
  <c r="AS46" i="1"/>
  <c r="AS34" i="1"/>
  <c r="AS51" i="1"/>
  <c r="AS26" i="1"/>
  <c r="AS14" i="1"/>
  <c r="AS897" i="1"/>
  <c r="AS885" i="1"/>
  <c r="AS873" i="1"/>
  <c r="AS861" i="1"/>
  <c r="AS849" i="1"/>
  <c r="AS837" i="1"/>
  <c r="AS825" i="1"/>
  <c r="AS813" i="1"/>
  <c r="AS801" i="1"/>
  <c r="AS789" i="1"/>
  <c r="AS777" i="1"/>
  <c r="AS765" i="1"/>
  <c r="AS753" i="1"/>
  <c r="AS741" i="1"/>
  <c r="AS729" i="1"/>
  <c r="AS717" i="1"/>
  <c r="AS705" i="1"/>
  <c r="AS693" i="1"/>
  <c r="AS681" i="1"/>
  <c r="AS669" i="1"/>
  <c r="AS657" i="1"/>
  <c r="AS645" i="1"/>
  <c r="AS633" i="1"/>
  <c r="AS621" i="1"/>
  <c r="AS609" i="1"/>
  <c r="AS597" i="1"/>
  <c r="AS585" i="1"/>
  <c r="AS573" i="1"/>
  <c r="AS561" i="1"/>
  <c r="AS549" i="1"/>
  <c r="AS537" i="1"/>
  <c r="AS525" i="1"/>
  <c r="AS513" i="1"/>
  <c r="AS501" i="1"/>
  <c r="AS489" i="1"/>
  <c r="AS477" i="1"/>
  <c r="AS465" i="1"/>
  <c r="AS453" i="1"/>
  <c r="AS441" i="1"/>
  <c r="AS429" i="1"/>
  <c r="AS417" i="1"/>
  <c r="AS405" i="1"/>
  <c r="AS393" i="1"/>
  <c r="AS381" i="1"/>
  <c r="AS369" i="1"/>
  <c r="AS357" i="1"/>
  <c r="AS345" i="1"/>
  <c r="AS333" i="1"/>
  <c r="AS321" i="1"/>
  <c r="AS309" i="1"/>
  <c r="AS297" i="1"/>
  <c r="AS285" i="1"/>
  <c r="AS273" i="1"/>
  <c r="AS261" i="1"/>
  <c r="AS249" i="1"/>
  <c r="AS237" i="1"/>
  <c r="AS225" i="1"/>
  <c r="AS213" i="1"/>
  <c r="AS201" i="1"/>
  <c r="AS189" i="1"/>
  <c r="AS177" i="1"/>
  <c r="AS165" i="1"/>
  <c r="AS153" i="1"/>
  <c r="AS141" i="1"/>
  <c r="AS129" i="1"/>
  <c r="AS117" i="1"/>
  <c r="AS105" i="1"/>
  <c r="AS93" i="1"/>
  <c r="AS81" i="1"/>
  <c r="AS69" i="1"/>
  <c r="AS57" i="1"/>
  <c r="AS45" i="1"/>
  <c r="AS33" i="1"/>
  <c r="AN2" i="1"/>
  <c r="AS2" i="1" s="1"/>
  <c r="AR10" i="1"/>
  <c r="AR22" i="1"/>
  <c r="AR34" i="1"/>
  <c r="AR46" i="1"/>
  <c r="AR58" i="1"/>
  <c r="AR70" i="1"/>
  <c r="AR82" i="1"/>
  <c r="AR94" i="1"/>
  <c r="AR106" i="1"/>
  <c r="AR118" i="1"/>
  <c r="AR130" i="1"/>
  <c r="AR142" i="1"/>
  <c r="AR154" i="1"/>
  <c r="AR166" i="1"/>
  <c r="AR178" i="1"/>
  <c r="AR190" i="1"/>
  <c r="AR202" i="1"/>
  <c r="AR214" i="1"/>
  <c r="AR226" i="1"/>
  <c r="AR238" i="1"/>
  <c r="AR250" i="1"/>
  <c r="AR262" i="1"/>
  <c r="AR274" i="1"/>
  <c r="AR286" i="1"/>
  <c r="AR298" i="1"/>
  <c r="AR310" i="1"/>
  <c r="AR322" i="1"/>
  <c r="AR334" i="1"/>
  <c r="AR346" i="1"/>
  <c r="AR358" i="1"/>
  <c r="AR370" i="1"/>
  <c r="AR382" i="1"/>
  <c r="AR394" i="1"/>
  <c r="AR406" i="1"/>
  <c r="AR418" i="1"/>
  <c r="AR430" i="1"/>
  <c r="AR442" i="1"/>
  <c r="AR454" i="1"/>
  <c r="AR466" i="1"/>
  <c r="AR478" i="1"/>
  <c r="AR490" i="1"/>
  <c r="AR502" i="1"/>
  <c r="AR514" i="1"/>
  <c r="AR526" i="1"/>
  <c r="AR538" i="1"/>
  <c r="AR550" i="1"/>
  <c r="AR562" i="1"/>
  <c r="AR574" i="1"/>
  <c r="AR586" i="1"/>
  <c r="AR598" i="1"/>
  <c r="AR610" i="1"/>
  <c r="AR622" i="1"/>
  <c r="AR634" i="1"/>
  <c r="AR646" i="1"/>
  <c r="AR658" i="1"/>
  <c r="AR670" i="1"/>
  <c r="AR682" i="1"/>
  <c r="AR694" i="1"/>
  <c r="AR706" i="1"/>
  <c r="AR718" i="1"/>
  <c r="AR730" i="1"/>
  <c r="AR742" i="1"/>
  <c r="AR754" i="1"/>
  <c r="AR766" i="1"/>
  <c r="AR778" i="1"/>
  <c r="AR790" i="1"/>
  <c r="AR802" i="1"/>
  <c r="AR814" i="1"/>
  <c r="AR826" i="1"/>
  <c r="AR838" i="1"/>
  <c r="AR850" i="1"/>
  <c r="AR862" i="1"/>
  <c r="AR874" i="1"/>
  <c r="AR886" i="1"/>
  <c r="AR898" i="1"/>
  <c r="AR3" i="1"/>
  <c r="AQ7" i="1"/>
  <c r="AQ19" i="1"/>
  <c r="AQ31" i="1"/>
  <c r="AQ43" i="1"/>
  <c r="AQ55" i="1"/>
  <c r="AQ67" i="1"/>
  <c r="AQ79" i="1"/>
  <c r="AR11" i="1"/>
  <c r="AR23" i="1"/>
  <c r="AR35" i="1"/>
  <c r="AR47" i="1"/>
  <c r="AR59" i="1"/>
  <c r="AR71" i="1"/>
  <c r="AR83" i="1"/>
  <c r="AR95" i="1"/>
  <c r="AR107" i="1"/>
  <c r="AR119" i="1"/>
  <c r="AR131" i="1"/>
  <c r="AR143" i="1"/>
  <c r="AR155" i="1"/>
  <c r="AR167" i="1"/>
  <c r="AR179" i="1"/>
  <c r="AR191" i="1"/>
  <c r="AR203" i="1"/>
  <c r="AR215" i="1"/>
  <c r="AR227" i="1"/>
  <c r="AR239" i="1"/>
  <c r="AR251" i="1"/>
  <c r="AR263" i="1"/>
  <c r="AR275" i="1"/>
  <c r="AR287" i="1"/>
  <c r="AR299" i="1"/>
  <c r="AR311" i="1"/>
  <c r="AR323" i="1"/>
  <c r="AR335" i="1"/>
  <c r="AR347" i="1"/>
  <c r="AR359" i="1"/>
  <c r="AR371" i="1"/>
  <c r="AR383" i="1"/>
  <c r="AR395" i="1"/>
  <c r="AR407" i="1"/>
  <c r="AR419" i="1"/>
  <c r="AR431" i="1"/>
  <c r="AR443" i="1"/>
  <c r="AR455" i="1"/>
  <c r="AR467" i="1"/>
  <c r="AR479" i="1"/>
  <c r="AR491" i="1"/>
  <c r="AR503" i="1"/>
  <c r="AR515" i="1"/>
  <c r="AR527" i="1"/>
  <c r="AR539" i="1"/>
  <c r="AR551" i="1"/>
  <c r="AR563" i="1"/>
  <c r="AR575" i="1"/>
  <c r="AR587" i="1"/>
  <c r="AR599" i="1"/>
  <c r="AR611" i="1"/>
  <c r="AR623" i="1"/>
  <c r="AR635" i="1"/>
  <c r="AR647" i="1"/>
  <c r="AR659" i="1"/>
  <c r="AR671" i="1"/>
  <c r="AR683" i="1"/>
  <c r="AR695" i="1"/>
  <c r="AR707" i="1"/>
  <c r="AR719" i="1"/>
  <c r="AR731" i="1"/>
  <c r="AR743" i="1"/>
  <c r="AR755" i="1"/>
  <c r="AR767" i="1"/>
  <c r="AR779" i="1"/>
  <c r="AR791" i="1"/>
  <c r="AR803" i="1"/>
  <c r="AR815" i="1"/>
  <c r="AR827" i="1"/>
  <c r="AR839" i="1"/>
  <c r="AR851" i="1"/>
  <c r="AR863" i="1"/>
  <c r="AR875" i="1"/>
  <c r="AR887" i="1"/>
  <c r="AR899" i="1"/>
  <c r="AR4" i="1"/>
  <c r="AQ8" i="1"/>
  <c r="AQ20" i="1"/>
  <c r="AQ32" i="1"/>
  <c r="AQ44" i="1"/>
  <c r="AQ56" i="1"/>
  <c r="AQ68" i="1"/>
  <c r="AQ80" i="1"/>
  <c r="AR12" i="1"/>
  <c r="AR26" i="1"/>
  <c r="AR40" i="1"/>
  <c r="AR54" i="1"/>
  <c r="AR68" i="1"/>
  <c r="AR84" i="1"/>
  <c r="AR98" i="1"/>
  <c r="AR112" i="1"/>
  <c r="AR126" i="1"/>
  <c r="AR140" i="1"/>
  <c r="AR156" i="1"/>
  <c r="AR170" i="1"/>
  <c r="AR184" i="1"/>
  <c r="AR198" i="1"/>
  <c r="AR212" i="1"/>
  <c r="AR228" i="1"/>
  <c r="AR242" i="1"/>
  <c r="AR256" i="1"/>
  <c r="AR270" i="1"/>
  <c r="AR284" i="1"/>
  <c r="AR300" i="1"/>
  <c r="AR314" i="1"/>
  <c r="AR328" i="1"/>
  <c r="AR342" i="1"/>
  <c r="AR356" i="1"/>
  <c r="AR372" i="1"/>
  <c r="AR386" i="1"/>
  <c r="AR400" i="1"/>
  <c r="AR414" i="1"/>
  <c r="AR428" i="1"/>
  <c r="AR444" i="1"/>
  <c r="AR458" i="1"/>
  <c r="AR472" i="1"/>
  <c r="AR486" i="1"/>
  <c r="AR500" i="1"/>
  <c r="AR516" i="1"/>
  <c r="AR530" i="1"/>
  <c r="AR544" i="1"/>
  <c r="AR558" i="1"/>
  <c r="AR572" i="1"/>
  <c r="AR588" i="1"/>
  <c r="AR602" i="1"/>
  <c r="AR616" i="1"/>
  <c r="AR630" i="1"/>
  <c r="AR644" i="1"/>
  <c r="AR660" i="1"/>
  <c r="AR674" i="1"/>
  <c r="AR688" i="1"/>
  <c r="AR702" i="1"/>
  <c r="AR716" i="1"/>
  <c r="AR732" i="1"/>
  <c r="AR746" i="1"/>
  <c r="AR760" i="1"/>
  <c r="AR774" i="1"/>
  <c r="AR788" i="1"/>
  <c r="AR804" i="1"/>
  <c r="AR818" i="1"/>
  <c r="AR832" i="1"/>
  <c r="AR846" i="1"/>
  <c r="AR860" i="1"/>
  <c r="AR876" i="1"/>
  <c r="AR890" i="1"/>
  <c r="AQ9" i="1"/>
  <c r="AQ23" i="1"/>
  <c r="AQ37" i="1"/>
  <c r="AQ51" i="1"/>
  <c r="AQ65" i="1"/>
  <c r="AQ81" i="1"/>
  <c r="AQ93" i="1"/>
  <c r="AQ105" i="1"/>
  <c r="AQ117" i="1"/>
  <c r="AQ129" i="1"/>
  <c r="AQ141" i="1"/>
  <c r="AQ153" i="1"/>
  <c r="AQ165" i="1"/>
  <c r="AQ177" i="1"/>
  <c r="AQ189" i="1"/>
  <c r="AQ201" i="1"/>
  <c r="AQ213" i="1"/>
  <c r="AQ225" i="1"/>
  <c r="AQ237" i="1"/>
  <c r="AQ249" i="1"/>
  <c r="AQ261" i="1"/>
  <c r="AQ273" i="1"/>
  <c r="AQ285" i="1"/>
  <c r="AQ297" i="1"/>
  <c r="AQ309" i="1"/>
  <c r="AQ321" i="1"/>
  <c r="AQ333" i="1"/>
  <c r="AQ345" i="1"/>
  <c r="AQ357" i="1"/>
  <c r="AQ369" i="1"/>
  <c r="AQ381" i="1"/>
  <c r="AQ393" i="1"/>
  <c r="AQ405" i="1"/>
  <c r="AQ417" i="1"/>
  <c r="AQ429" i="1"/>
  <c r="AQ441" i="1"/>
  <c r="AQ453" i="1"/>
  <c r="AQ465" i="1"/>
  <c r="AQ477" i="1"/>
  <c r="AQ489" i="1"/>
  <c r="AQ501" i="1"/>
  <c r="AQ513" i="1"/>
  <c r="AQ525" i="1"/>
  <c r="AQ537" i="1"/>
  <c r="AQ549" i="1"/>
  <c r="AQ561" i="1"/>
  <c r="AQ573" i="1"/>
  <c r="AQ585" i="1"/>
  <c r="AQ597" i="1"/>
  <c r="AQ609" i="1"/>
  <c r="AQ621" i="1"/>
  <c r="AQ633" i="1"/>
  <c r="AQ645" i="1"/>
  <c r="AQ657" i="1"/>
  <c r="AQ669" i="1"/>
  <c r="AQ681" i="1"/>
  <c r="AQ693" i="1"/>
  <c r="AQ705" i="1"/>
  <c r="AQ717" i="1"/>
  <c r="AQ729" i="1"/>
  <c r="AQ741" i="1"/>
  <c r="AQ753" i="1"/>
  <c r="AQ765" i="1"/>
  <c r="AQ777" i="1"/>
  <c r="AQ789" i="1"/>
  <c r="AQ801" i="1"/>
  <c r="AQ813" i="1"/>
  <c r="AQ825" i="1"/>
  <c r="AQ837" i="1"/>
  <c r="AQ849" i="1"/>
  <c r="AQ861" i="1"/>
  <c r="AQ873" i="1"/>
  <c r="AQ885" i="1"/>
  <c r="AQ897" i="1"/>
  <c r="AP136" i="1"/>
  <c r="AP280" i="1"/>
  <c r="AP402" i="1"/>
  <c r="AP480" i="1"/>
  <c r="AP558" i="1"/>
  <c r="AP593" i="1"/>
  <c r="AP616" i="1"/>
  <c r="AP634" i="1"/>
  <c r="AP650" i="1"/>
  <c r="AP668" i="1"/>
  <c r="AP682" i="1"/>
  <c r="AP697" i="1"/>
  <c r="AP711" i="1"/>
  <c r="AP726" i="1"/>
  <c r="AP739" i="1"/>
  <c r="AP751" i="1"/>
  <c r="AP763" i="1"/>
  <c r="AP775" i="1"/>
  <c r="AP787" i="1"/>
  <c r="AP799" i="1"/>
  <c r="AP811" i="1"/>
  <c r="AP823" i="1"/>
  <c r="AP835" i="1"/>
  <c r="AP847" i="1"/>
  <c r="AP859" i="1"/>
  <c r="AP871" i="1"/>
  <c r="AP883" i="1"/>
  <c r="AP895" i="1"/>
  <c r="AR13" i="1"/>
  <c r="AR27" i="1"/>
  <c r="AR41" i="1"/>
  <c r="AR55" i="1"/>
  <c r="AR69" i="1"/>
  <c r="AR85" i="1"/>
  <c r="AR99" i="1"/>
  <c r="AR113" i="1"/>
  <c r="AR127" i="1"/>
  <c r="AR141" i="1"/>
  <c r="AR157" i="1"/>
  <c r="AR171" i="1"/>
  <c r="AR185" i="1"/>
  <c r="AR199" i="1"/>
  <c r="AR213" i="1"/>
  <c r="AR229" i="1"/>
  <c r="AR243" i="1"/>
  <c r="AR257" i="1"/>
  <c r="AR271" i="1"/>
  <c r="AR285" i="1"/>
  <c r="AR301" i="1"/>
  <c r="AR315" i="1"/>
  <c r="AR329" i="1"/>
  <c r="AR343" i="1"/>
  <c r="AR357" i="1"/>
  <c r="AR373" i="1"/>
  <c r="AR387" i="1"/>
  <c r="AR401" i="1"/>
  <c r="AR415" i="1"/>
  <c r="AR429" i="1"/>
  <c r="AR445" i="1"/>
  <c r="AR459" i="1"/>
  <c r="AR473" i="1"/>
  <c r="AR487" i="1"/>
  <c r="AR501" i="1"/>
  <c r="AR517" i="1"/>
  <c r="AR531" i="1"/>
  <c r="AR545" i="1"/>
  <c r="AR559" i="1"/>
  <c r="AR573" i="1"/>
  <c r="AR589" i="1"/>
  <c r="AR603" i="1"/>
  <c r="AR617" i="1"/>
  <c r="AR631" i="1"/>
  <c r="AR645" i="1"/>
  <c r="AR661" i="1"/>
  <c r="AR675" i="1"/>
  <c r="AR689" i="1"/>
  <c r="AR703" i="1"/>
  <c r="AR717" i="1"/>
  <c r="AR733" i="1"/>
  <c r="AR747" i="1"/>
  <c r="AR761" i="1"/>
  <c r="AR775" i="1"/>
  <c r="AR789" i="1"/>
  <c r="AR805" i="1"/>
  <c r="AR819" i="1"/>
  <c r="AR833" i="1"/>
  <c r="AR847" i="1"/>
  <c r="AR861" i="1"/>
  <c r="AR877" i="1"/>
  <c r="AR891" i="1"/>
  <c r="AQ10" i="1"/>
  <c r="AQ24" i="1"/>
  <c r="AQ38" i="1"/>
  <c r="AQ52" i="1"/>
  <c r="AQ66" i="1"/>
  <c r="AQ82" i="1"/>
  <c r="AQ94" i="1"/>
  <c r="AQ106" i="1"/>
  <c r="AQ118" i="1"/>
  <c r="AQ130" i="1"/>
  <c r="AQ142" i="1"/>
  <c r="AQ154" i="1"/>
  <c r="AQ166" i="1"/>
  <c r="AQ178" i="1"/>
  <c r="AQ190" i="1"/>
  <c r="AQ202" i="1"/>
  <c r="AQ214" i="1"/>
  <c r="AQ226" i="1"/>
  <c r="AQ238" i="1"/>
  <c r="AQ250" i="1"/>
  <c r="AQ262" i="1"/>
  <c r="AQ274" i="1"/>
  <c r="AQ286" i="1"/>
  <c r="AQ298" i="1"/>
  <c r="AQ310" i="1"/>
  <c r="AQ322" i="1"/>
  <c r="AQ334" i="1"/>
  <c r="AQ346" i="1"/>
  <c r="AQ358" i="1"/>
  <c r="AQ370" i="1"/>
  <c r="AQ382" i="1"/>
  <c r="AQ394" i="1"/>
  <c r="AQ406" i="1"/>
  <c r="AQ418" i="1"/>
  <c r="AQ430" i="1"/>
  <c r="AQ442" i="1"/>
  <c r="AQ454" i="1"/>
  <c r="AQ466" i="1"/>
  <c r="AQ478" i="1"/>
  <c r="AQ490" i="1"/>
  <c r="AQ502" i="1"/>
  <c r="AQ514" i="1"/>
  <c r="AQ526" i="1"/>
  <c r="AQ538" i="1"/>
  <c r="AQ550" i="1"/>
  <c r="AQ562" i="1"/>
  <c r="AQ574" i="1"/>
  <c r="AQ586" i="1"/>
  <c r="AQ598" i="1"/>
  <c r="AQ610" i="1"/>
  <c r="AQ622" i="1"/>
  <c r="AQ634" i="1"/>
  <c r="AQ646" i="1"/>
  <c r="AQ658" i="1"/>
  <c r="AQ670" i="1"/>
  <c r="AQ682" i="1"/>
  <c r="AQ694" i="1"/>
  <c r="AQ706" i="1"/>
  <c r="AQ718" i="1"/>
  <c r="AQ730" i="1"/>
  <c r="AQ742" i="1"/>
  <c r="AQ754" i="1"/>
  <c r="AQ766" i="1"/>
  <c r="AQ778" i="1"/>
  <c r="AQ790" i="1"/>
  <c r="AQ802" i="1"/>
  <c r="AQ814" i="1"/>
  <c r="AQ826" i="1"/>
  <c r="AQ838" i="1"/>
  <c r="AQ850" i="1"/>
  <c r="AQ862" i="1"/>
  <c r="AQ874" i="1"/>
  <c r="AQ886" i="1"/>
  <c r="AQ898" i="1"/>
  <c r="AR14" i="1"/>
  <c r="AR30" i="1"/>
  <c r="AR48" i="1"/>
  <c r="AR64" i="1"/>
  <c r="AR80" i="1"/>
  <c r="AR100" i="1"/>
  <c r="AR116" i="1"/>
  <c r="AR134" i="1"/>
  <c r="AR150" i="1"/>
  <c r="AR168" i="1"/>
  <c r="AR186" i="1"/>
  <c r="AR204" i="1"/>
  <c r="AR220" i="1"/>
  <c r="AR236" i="1"/>
  <c r="AR254" i="1"/>
  <c r="AR272" i="1"/>
  <c r="AR290" i="1"/>
  <c r="AR306" i="1"/>
  <c r="AR324" i="1"/>
  <c r="AR340" i="1"/>
  <c r="AR360" i="1"/>
  <c r="AR376" i="1"/>
  <c r="AR392" i="1"/>
  <c r="AR410" i="1"/>
  <c r="AR426" i="1"/>
  <c r="AR446" i="1"/>
  <c r="AR462" i="1"/>
  <c r="AR480" i="1"/>
  <c r="AR496" i="1"/>
  <c r="AR512" i="1"/>
  <c r="AR532" i="1"/>
  <c r="AR548" i="1"/>
  <c r="AR566" i="1"/>
  <c r="AR582" i="1"/>
  <c r="AR600" i="1"/>
  <c r="AR618" i="1"/>
  <c r="AR636" i="1"/>
  <c r="AR652" i="1"/>
  <c r="AR668" i="1"/>
  <c r="AR686" i="1"/>
  <c r="AR704" i="1"/>
  <c r="AR722" i="1"/>
  <c r="AR738" i="1"/>
  <c r="AR756" i="1"/>
  <c r="AR772" i="1"/>
  <c r="AR792" i="1"/>
  <c r="AR808" i="1"/>
  <c r="AR824" i="1"/>
  <c r="AR842" i="1"/>
  <c r="AR858" i="1"/>
  <c r="AR878" i="1"/>
  <c r="AR894" i="1"/>
  <c r="AQ5" i="1"/>
  <c r="AQ25" i="1"/>
  <c r="AQ41" i="1"/>
  <c r="AQ59" i="1"/>
  <c r="AQ75" i="1"/>
  <c r="AQ91" i="1"/>
  <c r="AQ107" i="1"/>
  <c r="AQ121" i="1"/>
  <c r="AQ135" i="1"/>
  <c r="AQ149" i="1"/>
  <c r="AQ163" i="1"/>
  <c r="AQ179" i="1"/>
  <c r="AQ193" i="1"/>
  <c r="AQ207" i="1"/>
  <c r="AQ221" i="1"/>
  <c r="AQ235" i="1"/>
  <c r="AQ251" i="1"/>
  <c r="AQ265" i="1"/>
  <c r="AQ279" i="1"/>
  <c r="AQ293" i="1"/>
  <c r="AQ307" i="1"/>
  <c r="AQ323" i="1"/>
  <c r="AQ337" i="1"/>
  <c r="AQ351" i="1"/>
  <c r="AQ365" i="1"/>
  <c r="AQ379" i="1"/>
  <c r="AQ395" i="1"/>
  <c r="AQ409" i="1"/>
  <c r="AQ423" i="1"/>
  <c r="AQ437" i="1"/>
  <c r="AQ451" i="1"/>
  <c r="AQ467" i="1"/>
  <c r="AQ481" i="1"/>
  <c r="AQ495" i="1"/>
  <c r="AQ509" i="1"/>
  <c r="AQ523" i="1"/>
  <c r="AQ539" i="1"/>
  <c r="AQ553" i="1"/>
  <c r="AQ567" i="1"/>
  <c r="AQ581" i="1"/>
  <c r="AQ595" i="1"/>
  <c r="AQ611" i="1"/>
  <c r="AQ625" i="1"/>
  <c r="AQ639" i="1"/>
  <c r="AQ653" i="1"/>
  <c r="AQ667" i="1"/>
  <c r="AQ683" i="1"/>
  <c r="AQ697" i="1"/>
  <c r="AQ711" i="1"/>
  <c r="AQ725" i="1"/>
  <c r="AQ739" i="1"/>
  <c r="AQ755" i="1"/>
  <c r="AQ769" i="1"/>
  <c r="AQ783" i="1"/>
  <c r="AQ797" i="1"/>
  <c r="AQ811" i="1"/>
  <c r="AQ827" i="1"/>
  <c r="AQ841" i="1"/>
  <c r="AQ855" i="1"/>
  <c r="AQ869" i="1"/>
  <c r="AQ883" i="1"/>
  <c r="AQ899" i="1"/>
  <c r="AP76" i="1"/>
  <c r="AR15" i="1"/>
  <c r="AR31" i="1"/>
  <c r="AR49" i="1"/>
  <c r="AR65" i="1"/>
  <c r="AR81" i="1"/>
  <c r="AR101" i="1"/>
  <c r="AR117" i="1"/>
  <c r="AR135" i="1"/>
  <c r="AR151" i="1"/>
  <c r="AR169" i="1"/>
  <c r="AR187" i="1"/>
  <c r="AR205" i="1"/>
  <c r="AR221" i="1"/>
  <c r="AR237" i="1"/>
  <c r="AR255" i="1"/>
  <c r="AR273" i="1"/>
  <c r="AR291" i="1"/>
  <c r="AR307" i="1"/>
  <c r="AR325" i="1"/>
  <c r="AR341" i="1"/>
  <c r="AR361" i="1"/>
  <c r="AR377" i="1"/>
  <c r="AR393" i="1"/>
  <c r="AR411" i="1"/>
  <c r="AR427" i="1"/>
  <c r="AR447" i="1"/>
  <c r="AR463" i="1"/>
  <c r="AR481" i="1"/>
  <c r="AR497" i="1"/>
  <c r="AR513" i="1"/>
  <c r="AR533" i="1"/>
  <c r="AR549" i="1"/>
  <c r="AR567" i="1"/>
  <c r="AR583" i="1"/>
  <c r="AR601" i="1"/>
  <c r="AR619" i="1"/>
  <c r="AR637" i="1"/>
  <c r="AR653" i="1"/>
  <c r="AR669" i="1"/>
  <c r="AR687" i="1"/>
  <c r="AR705" i="1"/>
  <c r="AR723" i="1"/>
  <c r="AR739" i="1"/>
  <c r="AR757" i="1"/>
  <c r="AR773" i="1"/>
  <c r="AR793" i="1"/>
  <c r="AR809" i="1"/>
  <c r="AR825" i="1"/>
  <c r="AR843" i="1"/>
  <c r="AR859" i="1"/>
  <c r="AR879" i="1"/>
  <c r="AR895" i="1"/>
  <c r="AQ6" i="1"/>
  <c r="AQ26" i="1"/>
  <c r="AQ42" i="1"/>
  <c r="AQ60" i="1"/>
  <c r="AQ76" i="1"/>
  <c r="AQ92" i="1"/>
  <c r="AQ108" i="1"/>
  <c r="AQ122" i="1"/>
  <c r="AQ136" i="1"/>
  <c r="AQ150" i="1"/>
  <c r="AQ164" i="1"/>
  <c r="AQ180" i="1"/>
  <c r="AQ194" i="1"/>
  <c r="AQ208" i="1"/>
  <c r="AQ222" i="1"/>
  <c r="AQ236" i="1"/>
  <c r="AQ252" i="1"/>
  <c r="AQ266" i="1"/>
  <c r="AQ280" i="1"/>
  <c r="AQ294" i="1"/>
  <c r="AQ308" i="1"/>
  <c r="AQ324" i="1"/>
  <c r="AQ338" i="1"/>
  <c r="AQ352" i="1"/>
  <c r="AQ366" i="1"/>
  <c r="AQ380" i="1"/>
  <c r="AQ396" i="1"/>
  <c r="AQ410" i="1"/>
  <c r="AQ424" i="1"/>
  <c r="AQ438" i="1"/>
  <c r="AQ452" i="1"/>
  <c r="AQ468" i="1"/>
  <c r="AQ482" i="1"/>
  <c r="AQ496" i="1"/>
  <c r="AQ510" i="1"/>
  <c r="AQ524" i="1"/>
  <c r="AQ540" i="1"/>
  <c r="AQ554" i="1"/>
  <c r="AQ568" i="1"/>
  <c r="AQ582" i="1"/>
  <c r="AQ596" i="1"/>
  <c r="AQ612" i="1"/>
  <c r="AQ626" i="1"/>
  <c r="AQ640" i="1"/>
  <c r="AQ654" i="1"/>
  <c r="AQ668" i="1"/>
  <c r="AQ684" i="1"/>
  <c r="AQ698" i="1"/>
  <c r="AQ712" i="1"/>
  <c r="AQ726" i="1"/>
  <c r="AQ740" i="1"/>
  <c r="AQ756" i="1"/>
  <c r="AQ770" i="1"/>
  <c r="AQ784" i="1"/>
  <c r="AQ798" i="1"/>
  <c r="AQ812" i="1"/>
  <c r="AQ828" i="1"/>
  <c r="AR16" i="1"/>
  <c r="AR32" i="1"/>
  <c r="AR50" i="1"/>
  <c r="AR66" i="1"/>
  <c r="AR86" i="1"/>
  <c r="AR102" i="1"/>
  <c r="AR120" i="1"/>
  <c r="AR136" i="1"/>
  <c r="AR152" i="1"/>
  <c r="AR172" i="1"/>
  <c r="AR188" i="1"/>
  <c r="AR206" i="1"/>
  <c r="AR222" i="1"/>
  <c r="AR240" i="1"/>
  <c r="AR258" i="1"/>
  <c r="AR276" i="1"/>
  <c r="AR292" i="1"/>
  <c r="AR308" i="1"/>
  <c r="AR326" i="1"/>
  <c r="AR344" i="1"/>
  <c r="AR362" i="1"/>
  <c r="AR378" i="1"/>
  <c r="AR396" i="1"/>
  <c r="AR412" i="1"/>
  <c r="AR432" i="1"/>
  <c r="AR448" i="1"/>
  <c r="AR464" i="1"/>
  <c r="AR482" i="1"/>
  <c r="AR498" i="1"/>
  <c r="AR518" i="1"/>
  <c r="AR534" i="1"/>
  <c r="AR552" i="1"/>
  <c r="AR568" i="1"/>
  <c r="AR584" i="1"/>
  <c r="AR604" i="1"/>
  <c r="AR620" i="1"/>
  <c r="AR638" i="1"/>
  <c r="AR654" i="1"/>
  <c r="AR672" i="1"/>
  <c r="AR690" i="1"/>
  <c r="AR708" i="1"/>
  <c r="AR724" i="1"/>
  <c r="AR740" i="1"/>
  <c r="AR758" i="1"/>
  <c r="AR776" i="1"/>
  <c r="AR794" i="1"/>
  <c r="AR810" i="1"/>
  <c r="AR828" i="1"/>
  <c r="AR844" i="1"/>
  <c r="AR864" i="1"/>
  <c r="AR880" i="1"/>
  <c r="AR896" i="1"/>
  <c r="AQ11" i="1"/>
  <c r="AQ27" i="1"/>
  <c r="AQ45" i="1"/>
  <c r="AQ61" i="1"/>
  <c r="AQ77" i="1"/>
  <c r="AQ95" i="1"/>
  <c r="AQ109" i="1"/>
  <c r="AQ123" i="1"/>
  <c r="AQ137" i="1"/>
  <c r="AQ151" i="1"/>
  <c r="AQ167" i="1"/>
  <c r="AQ181" i="1"/>
  <c r="AQ195" i="1"/>
  <c r="AQ209" i="1"/>
  <c r="AQ223" i="1"/>
  <c r="AQ239" i="1"/>
  <c r="AQ253" i="1"/>
  <c r="AQ267" i="1"/>
  <c r="AQ281" i="1"/>
  <c r="AQ295" i="1"/>
  <c r="AQ311" i="1"/>
  <c r="AQ325" i="1"/>
  <c r="AQ339" i="1"/>
  <c r="AQ353" i="1"/>
  <c r="AQ367" i="1"/>
  <c r="AQ383" i="1"/>
  <c r="AQ397" i="1"/>
  <c r="AQ411" i="1"/>
  <c r="AQ425" i="1"/>
  <c r="AQ439" i="1"/>
  <c r="AQ455" i="1"/>
  <c r="AR17" i="1"/>
  <c r="AR38" i="1"/>
  <c r="AR61" i="1"/>
  <c r="AR87" i="1"/>
  <c r="AR108" i="1"/>
  <c r="AR129" i="1"/>
  <c r="AR153" i="1"/>
  <c r="AR176" i="1"/>
  <c r="AR197" i="1"/>
  <c r="AR223" i="1"/>
  <c r="AR246" i="1"/>
  <c r="AR267" i="1"/>
  <c r="AR293" i="1"/>
  <c r="AR316" i="1"/>
  <c r="AR337" i="1"/>
  <c r="AR363" i="1"/>
  <c r="AR384" i="1"/>
  <c r="AR405" i="1"/>
  <c r="AR433" i="1"/>
  <c r="AR452" i="1"/>
  <c r="AR475" i="1"/>
  <c r="AR499" i="1"/>
  <c r="AR522" i="1"/>
  <c r="AR543" i="1"/>
  <c r="AR569" i="1"/>
  <c r="AR592" i="1"/>
  <c r="AR613" i="1"/>
  <c r="AR639" i="1"/>
  <c r="AR662" i="1"/>
  <c r="AR681" i="1"/>
  <c r="AR709" i="1"/>
  <c r="AR728" i="1"/>
  <c r="AR751" i="1"/>
  <c r="AR777" i="1"/>
  <c r="AR798" i="1"/>
  <c r="AR821" i="1"/>
  <c r="AR845" i="1"/>
  <c r="AR868" i="1"/>
  <c r="AR889" i="1"/>
  <c r="AR7" i="1"/>
  <c r="AQ18" i="1"/>
  <c r="AQ46" i="1"/>
  <c r="AQ69" i="1"/>
  <c r="AQ88" i="1"/>
  <c r="AQ110" i="1"/>
  <c r="AQ127" i="1"/>
  <c r="AQ146" i="1"/>
  <c r="AQ168" i="1"/>
  <c r="AQ185" i="1"/>
  <c r="AQ204" i="1"/>
  <c r="AQ224" i="1"/>
  <c r="AQ243" i="1"/>
  <c r="AQ260" i="1"/>
  <c r="AQ282" i="1"/>
  <c r="AQ301" i="1"/>
  <c r="AQ318" i="1"/>
  <c r="AQ340" i="1"/>
  <c r="AQ359" i="1"/>
  <c r="AQ376" i="1"/>
  <c r="AQ398" i="1"/>
  <c r="AQ415" i="1"/>
  <c r="AQ434" i="1"/>
  <c r="AQ456" i="1"/>
  <c r="AQ472" i="1"/>
  <c r="AQ488" i="1"/>
  <c r="AQ506" i="1"/>
  <c r="AQ522" i="1"/>
  <c r="AQ542" i="1"/>
  <c r="AQ558" i="1"/>
  <c r="AQ576" i="1"/>
  <c r="AQ592" i="1"/>
  <c r="AQ608" i="1"/>
  <c r="AQ628" i="1"/>
  <c r="AQ644" i="1"/>
  <c r="AQ662" i="1"/>
  <c r="AQ678" i="1"/>
  <c r="AQ696" i="1"/>
  <c r="AQ714" i="1"/>
  <c r="AQ732" i="1"/>
  <c r="AQ748" i="1"/>
  <c r="AQ764" i="1"/>
  <c r="AQ782" i="1"/>
  <c r="AQ800" i="1"/>
  <c r="AQ818" i="1"/>
  <c r="AQ834" i="1"/>
  <c r="AQ851" i="1"/>
  <c r="AQ866" i="1"/>
  <c r="AQ881" i="1"/>
  <c r="AQ896" i="1"/>
  <c r="AP112" i="1"/>
  <c r="AP268" i="1"/>
  <c r="AP406" i="1"/>
  <c r="AP493" i="1"/>
  <c r="AP570" i="1"/>
  <c r="AP598" i="1"/>
  <c r="AP623" i="1"/>
  <c r="AP641" i="1"/>
  <c r="AP660" i="1"/>
  <c r="AP678" i="1"/>
  <c r="AP694" i="1"/>
  <c r="AP709" i="1"/>
  <c r="AP725" i="1"/>
  <c r="AP740" i="1"/>
  <c r="AP753" i="1"/>
  <c r="AP766" i="1"/>
  <c r="AP779" i="1"/>
  <c r="AP792" i="1"/>
  <c r="AP805" i="1"/>
  <c r="AP818" i="1"/>
  <c r="AP831" i="1"/>
  <c r="AP844" i="1"/>
  <c r="AP857" i="1"/>
  <c r="AP870" i="1"/>
  <c r="AP884" i="1"/>
  <c r="AP897" i="1"/>
  <c r="AP36" i="1"/>
  <c r="AP49" i="1"/>
  <c r="AP62" i="1"/>
  <c r="AP75" i="1"/>
  <c r="AP89" i="1"/>
  <c r="AP102" i="1"/>
  <c r="AP115" i="1"/>
  <c r="AP128" i="1"/>
  <c r="AP141" i="1"/>
  <c r="AP154" i="1"/>
  <c r="AP167" i="1"/>
  <c r="AP180" i="1"/>
  <c r="AP193" i="1"/>
  <c r="AP206" i="1"/>
  <c r="AP219" i="1"/>
  <c r="AP233" i="1"/>
  <c r="AP246" i="1"/>
  <c r="AP259" i="1"/>
  <c r="AP272" i="1"/>
  <c r="AP285" i="1"/>
  <c r="AP298" i="1"/>
  <c r="AP311" i="1"/>
  <c r="AP324" i="1"/>
  <c r="AP338" i="1"/>
  <c r="AP352" i="1"/>
  <c r="AP365" i="1"/>
  <c r="AP379" i="1"/>
  <c r="AP392" i="1"/>
  <c r="AP405" i="1"/>
  <c r="AP420" i="1"/>
  <c r="AP434" i="1"/>
  <c r="AP447" i="1"/>
  <c r="AP461" i="1"/>
  <c r="AP475" i="1"/>
  <c r="AP489" i="1"/>
  <c r="AP504" i="1"/>
  <c r="AP517" i="1"/>
  <c r="AP532" i="1"/>
  <c r="AP546" i="1"/>
  <c r="AP561" i="1"/>
  <c r="AP578" i="1"/>
  <c r="AP601" i="1"/>
  <c r="AP631" i="1"/>
  <c r="AP671" i="1"/>
  <c r="AP4" i="1"/>
  <c r="AP16" i="1"/>
  <c r="AR18" i="1"/>
  <c r="AR39" i="1"/>
  <c r="AR62" i="1"/>
  <c r="AR88" i="1"/>
  <c r="AR109" i="1"/>
  <c r="AR132" i="1"/>
  <c r="AR158" i="1"/>
  <c r="AR177" i="1"/>
  <c r="AR200" i="1"/>
  <c r="AR224" i="1"/>
  <c r="AR247" i="1"/>
  <c r="AR268" i="1"/>
  <c r="AR294" i="1"/>
  <c r="AR317" i="1"/>
  <c r="AR338" i="1"/>
  <c r="AR364" i="1"/>
  <c r="AR385" i="1"/>
  <c r="AR408" i="1"/>
  <c r="AR434" i="1"/>
  <c r="AR453" i="1"/>
  <c r="AR476" i="1"/>
  <c r="AR504" i="1"/>
  <c r="AR523" i="1"/>
  <c r="AR546" i="1"/>
  <c r="AR570" i="1"/>
  <c r="AR593" i="1"/>
  <c r="AR614" i="1"/>
  <c r="AR640" i="1"/>
  <c r="AR663" i="1"/>
  <c r="AR684" i="1"/>
  <c r="AR710" i="1"/>
  <c r="AR729" i="1"/>
  <c r="AR752" i="1"/>
  <c r="AR780" i="1"/>
  <c r="AR799" i="1"/>
  <c r="AR822" i="1"/>
  <c r="AR848" i="1"/>
  <c r="AR869" i="1"/>
  <c r="AR892" i="1"/>
  <c r="AR8" i="1"/>
  <c r="AQ21" i="1"/>
  <c r="AQ47" i="1"/>
  <c r="AQ70" i="1"/>
  <c r="AQ89" i="1"/>
  <c r="AQ111" i="1"/>
  <c r="AQ128" i="1"/>
  <c r="AQ147" i="1"/>
  <c r="AQ169" i="1"/>
  <c r="AQ186" i="1"/>
  <c r="AQ205" i="1"/>
  <c r="AQ227" i="1"/>
  <c r="AQ244" i="1"/>
  <c r="AQ263" i="1"/>
  <c r="AQ283" i="1"/>
  <c r="AQ302" i="1"/>
  <c r="AQ319" i="1"/>
  <c r="AQ341" i="1"/>
  <c r="AQ360" i="1"/>
  <c r="AQ377" i="1"/>
  <c r="AQ399" i="1"/>
  <c r="AQ416" i="1"/>
  <c r="AQ435" i="1"/>
  <c r="AQ457" i="1"/>
  <c r="AQ473" i="1"/>
  <c r="AQ491" i="1"/>
  <c r="AQ507" i="1"/>
  <c r="AQ527" i="1"/>
  <c r="AQ543" i="1"/>
  <c r="AQ559" i="1"/>
  <c r="AQ577" i="1"/>
  <c r="AQ593" i="1"/>
  <c r="AQ613" i="1"/>
  <c r="AQ629" i="1"/>
  <c r="AQ647" i="1"/>
  <c r="AQ663" i="1"/>
  <c r="AQ679" i="1"/>
  <c r="AQ699" i="1"/>
  <c r="AQ715" i="1"/>
  <c r="AQ733" i="1"/>
  <c r="AQ749" i="1"/>
  <c r="AQ767" i="1"/>
  <c r="AQ785" i="1"/>
  <c r="AQ803" i="1"/>
  <c r="AQ819" i="1"/>
  <c r="AQ835" i="1"/>
  <c r="AQ852" i="1"/>
  <c r="AQ867" i="1"/>
  <c r="AQ882" i="1"/>
  <c r="AQ900" i="1"/>
  <c r="AP124" i="1"/>
  <c r="AP292" i="1"/>
  <c r="AP415" i="1"/>
  <c r="AP502" i="1"/>
  <c r="AP571" i="1"/>
  <c r="AP604" i="1"/>
  <c r="AP624" i="1"/>
  <c r="AP643" i="1"/>
  <c r="AP661" i="1"/>
  <c r="AP679" i="1"/>
  <c r="AP695" i="1"/>
  <c r="AP710" i="1"/>
  <c r="AP727" i="1"/>
  <c r="AP741" i="1"/>
  <c r="AP754" i="1"/>
  <c r="AP767" i="1"/>
  <c r="AP780" i="1"/>
  <c r="AP793" i="1"/>
  <c r="AP806" i="1"/>
  <c r="AP819" i="1"/>
  <c r="AP832" i="1"/>
  <c r="AP845" i="1"/>
  <c r="AP858" i="1"/>
  <c r="AP872" i="1"/>
  <c r="AP885" i="1"/>
  <c r="AP898" i="1"/>
  <c r="AP24" i="1"/>
  <c r="AP37" i="1"/>
  <c r="AP50" i="1"/>
  <c r="AP63" i="1"/>
  <c r="AP77" i="1"/>
  <c r="AP90" i="1"/>
  <c r="AP103" i="1"/>
  <c r="AP116" i="1"/>
  <c r="AP129" i="1"/>
  <c r="AP142" i="1"/>
  <c r="AP155" i="1"/>
  <c r="AP168" i="1"/>
  <c r="AP181" i="1"/>
  <c r="AP194" i="1"/>
  <c r="AP207" i="1"/>
  <c r="AP221" i="1"/>
  <c r="AP234" i="1"/>
  <c r="AP247" i="1"/>
  <c r="AP260" i="1"/>
  <c r="AP273" i="1"/>
  <c r="AP286" i="1"/>
  <c r="AP299" i="1"/>
  <c r="AP312" i="1"/>
  <c r="AP325" i="1"/>
  <c r="AP339" i="1"/>
  <c r="AP353" i="1"/>
  <c r="AP367" i="1"/>
  <c r="AP380" i="1"/>
  <c r="AP393" i="1"/>
  <c r="AP407" i="1"/>
  <c r="AP421" i="1"/>
  <c r="AP435" i="1"/>
  <c r="AP448" i="1"/>
  <c r="AP462" i="1"/>
  <c r="AP476" i="1"/>
  <c r="AP491" i="1"/>
  <c r="AP505" i="1"/>
  <c r="AP519" i="1"/>
  <c r="AP533" i="1"/>
  <c r="AP547" i="1"/>
  <c r="AP563" i="1"/>
  <c r="AP579" i="1"/>
  <c r="AP602" i="1"/>
  <c r="AP633" i="1"/>
  <c r="AP674" i="1"/>
  <c r="AP5" i="1"/>
  <c r="AP17" i="1"/>
  <c r="AR19" i="1"/>
  <c r="AR42" i="1"/>
  <c r="AR63" i="1"/>
  <c r="AR89" i="1"/>
  <c r="AR110" i="1"/>
  <c r="AR133" i="1"/>
  <c r="AR159" i="1"/>
  <c r="AR180" i="1"/>
  <c r="AR201" i="1"/>
  <c r="AR225" i="1"/>
  <c r="AR248" i="1"/>
  <c r="AR269" i="1"/>
  <c r="AR295" i="1"/>
  <c r="AR318" i="1"/>
  <c r="AR339" i="1"/>
  <c r="AR365" i="1"/>
  <c r="AR388" i="1"/>
  <c r="AR409" i="1"/>
  <c r="AR435" i="1"/>
  <c r="AR456" i="1"/>
  <c r="AR477" i="1"/>
  <c r="AR505" i="1"/>
  <c r="AR524" i="1"/>
  <c r="AR547" i="1"/>
  <c r="AR571" i="1"/>
  <c r="AR594" i="1"/>
  <c r="AR615" i="1"/>
  <c r="AR641" i="1"/>
  <c r="AR664" i="1"/>
  <c r="AR685" i="1"/>
  <c r="AR711" i="1"/>
  <c r="AR734" i="1"/>
  <c r="AR753" i="1"/>
  <c r="AR781" i="1"/>
  <c r="AR800" i="1"/>
  <c r="AR823" i="1"/>
  <c r="AR849" i="1"/>
  <c r="AR870" i="1"/>
  <c r="AR893" i="1"/>
  <c r="AR9" i="1"/>
  <c r="AQ22" i="1"/>
  <c r="AQ48" i="1"/>
  <c r="AQ71" i="1"/>
  <c r="AQ90" i="1"/>
  <c r="AQ112" i="1"/>
  <c r="AQ131" i="1"/>
  <c r="AQ148" i="1"/>
  <c r="AQ170" i="1"/>
  <c r="AQ187" i="1"/>
  <c r="AQ206" i="1"/>
  <c r="AQ228" i="1"/>
  <c r="AQ245" i="1"/>
  <c r="AQ264" i="1"/>
  <c r="AQ284" i="1"/>
  <c r="AQ303" i="1"/>
  <c r="AQ320" i="1"/>
  <c r="AQ342" i="1"/>
  <c r="AQ361" i="1"/>
  <c r="AQ378" i="1"/>
  <c r="AQ400" i="1"/>
  <c r="AQ419" i="1"/>
  <c r="AQ436" i="1"/>
  <c r="AQ458" i="1"/>
  <c r="AQ474" i="1"/>
  <c r="AQ492" i="1"/>
  <c r="AQ508" i="1"/>
  <c r="AQ528" i="1"/>
  <c r="AQ544" i="1"/>
  <c r="AQ560" i="1"/>
  <c r="AQ578" i="1"/>
  <c r="AQ594" i="1"/>
  <c r="AQ614" i="1"/>
  <c r="AQ630" i="1"/>
  <c r="AQ648" i="1"/>
  <c r="AQ664" i="1"/>
  <c r="AQ680" i="1"/>
  <c r="AQ700" i="1"/>
  <c r="AQ716" i="1"/>
  <c r="AQ734" i="1"/>
  <c r="AQ750" i="1"/>
  <c r="AQ768" i="1"/>
  <c r="AQ786" i="1"/>
  <c r="AQ804" i="1"/>
  <c r="AQ820" i="1"/>
  <c r="AQ836" i="1"/>
  <c r="AQ853" i="1"/>
  <c r="AQ868" i="1"/>
  <c r="AQ884" i="1"/>
  <c r="AQ901" i="1"/>
  <c r="AP148" i="1"/>
  <c r="AP304" i="1"/>
  <c r="AP418" i="1"/>
  <c r="AP506" i="1"/>
  <c r="AP574" i="1"/>
  <c r="AP605" i="1"/>
  <c r="AP626" i="1"/>
  <c r="AP646" i="1"/>
  <c r="AP662" i="1"/>
  <c r="AP680" i="1"/>
  <c r="AP696" i="1"/>
  <c r="AP713" i="1"/>
  <c r="AP728" i="1"/>
  <c r="AP742" i="1"/>
  <c r="AP755" i="1"/>
  <c r="AP768" i="1"/>
  <c r="AP781" i="1"/>
  <c r="AP794" i="1"/>
  <c r="AP807" i="1"/>
  <c r="AP820" i="1"/>
  <c r="AP833" i="1"/>
  <c r="AP846" i="1"/>
  <c r="AP860" i="1"/>
  <c r="AP873" i="1"/>
  <c r="AP886" i="1"/>
  <c r="AP899" i="1"/>
  <c r="AP25" i="1"/>
  <c r="AP38" i="1"/>
  <c r="AP51" i="1"/>
  <c r="AP65" i="1"/>
  <c r="AP78" i="1"/>
  <c r="AP91" i="1"/>
  <c r="AP104" i="1"/>
  <c r="AP117" i="1"/>
  <c r="AP130" i="1"/>
  <c r="AP143" i="1"/>
  <c r="AP156" i="1"/>
  <c r="AP169" i="1"/>
  <c r="AP182" i="1"/>
  <c r="AP195" i="1"/>
  <c r="AP209" i="1"/>
  <c r="AP222" i="1"/>
  <c r="AP235" i="1"/>
  <c r="AP248" i="1"/>
  <c r="AP261" i="1"/>
  <c r="AP274" i="1"/>
  <c r="AP287" i="1"/>
  <c r="AP300" i="1"/>
  <c r="AP313" i="1"/>
  <c r="AP326" i="1"/>
  <c r="AP341" i="1"/>
  <c r="AP355" i="1"/>
  <c r="AP368" i="1"/>
  <c r="AP381" i="1"/>
  <c r="AP394" i="1"/>
  <c r="AP408" i="1"/>
  <c r="AP422" i="1"/>
  <c r="AP436" i="1"/>
  <c r="AP449" i="1"/>
  <c r="AP463" i="1"/>
  <c r="AP477" i="1"/>
  <c r="AR20" i="1"/>
  <c r="AR51" i="1"/>
  <c r="AR77" i="1"/>
  <c r="AR111" i="1"/>
  <c r="AR144" i="1"/>
  <c r="AR173" i="1"/>
  <c r="AR207" i="1"/>
  <c r="AR233" i="1"/>
  <c r="AR264" i="1"/>
  <c r="AR296" i="1"/>
  <c r="AR327" i="1"/>
  <c r="AR353" i="1"/>
  <c r="AR389" i="1"/>
  <c r="AR420" i="1"/>
  <c r="AR449" i="1"/>
  <c r="AR483" i="1"/>
  <c r="AR509" i="1"/>
  <c r="AR540" i="1"/>
  <c r="AR576" i="1"/>
  <c r="AR605" i="1"/>
  <c r="AR629" i="1"/>
  <c r="AR665" i="1"/>
  <c r="AR696" i="1"/>
  <c r="AR725" i="1"/>
  <c r="AR759" i="1"/>
  <c r="AR785" i="1"/>
  <c r="AR816" i="1"/>
  <c r="AR852" i="1"/>
  <c r="AR881" i="1"/>
  <c r="AQ33" i="1"/>
  <c r="AQ62" i="1"/>
  <c r="AQ96" i="1"/>
  <c r="AQ116" i="1"/>
  <c r="AQ143" i="1"/>
  <c r="AQ171" i="1"/>
  <c r="AQ196" i="1"/>
  <c r="AQ218" i="1"/>
  <c r="AQ246" i="1"/>
  <c r="AQ271" i="1"/>
  <c r="AQ296" i="1"/>
  <c r="AQ326" i="1"/>
  <c r="AQ348" i="1"/>
  <c r="AQ373" i="1"/>
  <c r="AQ401" i="1"/>
  <c r="AQ426" i="1"/>
  <c r="AQ448" i="1"/>
  <c r="AQ475" i="1"/>
  <c r="AQ498" i="1"/>
  <c r="AQ519" i="1"/>
  <c r="AQ545" i="1"/>
  <c r="AQ566" i="1"/>
  <c r="AQ589" i="1"/>
  <c r="AQ615" i="1"/>
  <c r="AQ636" i="1"/>
  <c r="AQ659" i="1"/>
  <c r="AQ685" i="1"/>
  <c r="AQ704" i="1"/>
  <c r="AQ727" i="1"/>
  <c r="AQ751" i="1"/>
  <c r="AQ774" i="1"/>
  <c r="AQ795" i="1"/>
  <c r="AQ821" i="1"/>
  <c r="AQ843" i="1"/>
  <c r="AQ863" i="1"/>
  <c r="AQ887" i="1"/>
  <c r="AP160" i="1"/>
  <c r="AP340" i="1"/>
  <c r="AP467" i="1"/>
  <c r="AP580" i="1"/>
  <c r="AP610" i="1"/>
  <c r="AP638" i="1"/>
  <c r="AP664" i="1"/>
  <c r="AP687" i="1"/>
  <c r="AP706" i="1"/>
  <c r="AP729" i="1"/>
  <c r="AP746" i="1"/>
  <c r="AP762" i="1"/>
  <c r="AP782" i="1"/>
  <c r="AP798" i="1"/>
  <c r="AP815" i="1"/>
  <c r="AP834" i="1"/>
  <c r="AP851" i="1"/>
  <c r="AP867" i="1"/>
  <c r="AP887" i="1"/>
  <c r="AP26" i="1"/>
  <c r="AP43" i="1"/>
  <c r="AP59" i="1"/>
  <c r="AP79" i="1"/>
  <c r="AP95" i="1"/>
  <c r="AP111" i="1"/>
  <c r="AP131" i="1"/>
  <c r="AP147" i="1"/>
  <c r="AP164" i="1"/>
  <c r="AP183" i="1"/>
  <c r="AP200" i="1"/>
  <c r="AP216" i="1"/>
  <c r="AP236" i="1"/>
  <c r="AP252" i="1"/>
  <c r="AP269" i="1"/>
  <c r="AP288" i="1"/>
  <c r="AP305" i="1"/>
  <c r="AP321" i="1"/>
  <c r="AP343" i="1"/>
  <c r="AP359" i="1"/>
  <c r="AP375" i="1"/>
  <c r="AP395" i="1"/>
  <c r="AP412" i="1"/>
  <c r="AP431" i="1"/>
  <c r="AP450" i="1"/>
  <c r="AP469" i="1"/>
  <c r="AP486" i="1"/>
  <c r="AP503" i="1"/>
  <c r="AP521" i="1"/>
  <c r="AP537" i="1"/>
  <c r="AP554" i="1"/>
  <c r="AP575" i="1"/>
  <c r="AP600" i="1"/>
  <c r="AP642" i="1"/>
  <c r="AP702" i="1"/>
  <c r="AP11" i="1"/>
  <c r="AR90" i="1"/>
  <c r="AR210" i="1"/>
  <c r="AR303" i="1"/>
  <c r="AR397" i="1"/>
  <c r="AR488" i="1"/>
  <c r="AR608" i="1"/>
  <c r="AR699" i="1"/>
  <c r="AR764" i="1"/>
  <c r="AR829" i="1"/>
  <c r="AQ36" i="1"/>
  <c r="AQ99" i="1"/>
  <c r="AQ174" i="1"/>
  <c r="AQ254" i="1"/>
  <c r="AQ354" i="1"/>
  <c r="AQ404" i="1"/>
  <c r="AQ480" i="1"/>
  <c r="AQ529" i="1"/>
  <c r="AQ571" i="1"/>
  <c r="AQ618" i="1"/>
  <c r="AQ665" i="1"/>
  <c r="AQ735" i="1"/>
  <c r="AQ758" i="1"/>
  <c r="AQ805" i="1"/>
  <c r="AQ824" i="1"/>
  <c r="AQ870" i="1"/>
  <c r="AQ890" i="1"/>
  <c r="AP366" i="1"/>
  <c r="AP583" i="1"/>
  <c r="AP647" i="1"/>
  <c r="AP690" i="1"/>
  <c r="AP715" i="1"/>
  <c r="AP749" i="1"/>
  <c r="AP785" i="1"/>
  <c r="AP821" i="1"/>
  <c r="AP854" i="1"/>
  <c r="AP890" i="1"/>
  <c r="AP46" i="1"/>
  <c r="AP98" i="1"/>
  <c r="AP134" i="1"/>
  <c r="AP170" i="1"/>
  <c r="AP203" i="1"/>
  <c r="AP255" i="1"/>
  <c r="AP291" i="1"/>
  <c r="AP327" i="1"/>
  <c r="AP362" i="1"/>
  <c r="AP382" i="1"/>
  <c r="AP398" i="1"/>
  <c r="AP437" i="1"/>
  <c r="AP492" i="1"/>
  <c r="AP509" i="1"/>
  <c r="AP541" i="1"/>
  <c r="AP584" i="1"/>
  <c r="AP652" i="1"/>
  <c r="AP14" i="1"/>
  <c r="AR28" i="1"/>
  <c r="AR182" i="1"/>
  <c r="AR21" i="1"/>
  <c r="AR52" i="1"/>
  <c r="AR78" i="1"/>
  <c r="AR114" i="1"/>
  <c r="AR145" i="1"/>
  <c r="AR174" i="1"/>
  <c r="AR208" i="1"/>
  <c r="AR234" i="1"/>
  <c r="AR265" i="1"/>
  <c r="AR297" i="1"/>
  <c r="AR330" i="1"/>
  <c r="AR354" i="1"/>
  <c r="AR390" i="1"/>
  <c r="AR421" i="1"/>
  <c r="AR450" i="1"/>
  <c r="AR484" i="1"/>
  <c r="AR510" i="1"/>
  <c r="AR541" i="1"/>
  <c r="AR577" i="1"/>
  <c r="AR606" i="1"/>
  <c r="AR632" i="1"/>
  <c r="AR666" i="1"/>
  <c r="AR697" i="1"/>
  <c r="AR726" i="1"/>
  <c r="AR762" i="1"/>
  <c r="AR786" i="1"/>
  <c r="AR817" i="1"/>
  <c r="AR853" i="1"/>
  <c r="AR882" i="1"/>
  <c r="AQ3" i="1"/>
  <c r="AQ34" i="1"/>
  <c r="AQ63" i="1"/>
  <c r="AQ97" i="1"/>
  <c r="AQ119" i="1"/>
  <c r="AQ144" i="1"/>
  <c r="AQ172" i="1"/>
  <c r="AQ197" i="1"/>
  <c r="AQ219" i="1"/>
  <c r="AQ247" i="1"/>
  <c r="AQ272" i="1"/>
  <c r="AQ299" i="1"/>
  <c r="AQ327" i="1"/>
  <c r="AQ349" i="1"/>
  <c r="AQ374" i="1"/>
  <c r="AQ402" i="1"/>
  <c r="AQ427" i="1"/>
  <c r="AQ449" i="1"/>
  <c r="AQ476" i="1"/>
  <c r="AQ499" i="1"/>
  <c r="AQ520" i="1"/>
  <c r="AQ546" i="1"/>
  <c r="AQ569" i="1"/>
  <c r="AQ590" i="1"/>
  <c r="AQ616" i="1"/>
  <c r="AQ637" i="1"/>
  <c r="AQ660" i="1"/>
  <c r="AQ686" i="1"/>
  <c r="AQ707" i="1"/>
  <c r="AQ728" i="1"/>
  <c r="AQ752" i="1"/>
  <c r="AQ775" i="1"/>
  <c r="AQ796" i="1"/>
  <c r="AQ822" i="1"/>
  <c r="AQ844" i="1"/>
  <c r="AQ864" i="1"/>
  <c r="AQ888" i="1"/>
  <c r="AP172" i="1"/>
  <c r="AP342" i="1"/>
  <c r="AP478" i="1"/>
  <c r="AP581" i="1"/>
  <c r="AP615" i="1"/>
  <c r="AP639" i="1"/>
  <c r="AP667" i="1"/>
  <c r="AP688" i="1"/>
  <c r="AP707" i="1"/>
  <c r="AP730" i="1"/>
  <c r="AP747" i="1"/>
  <c r="AP764" i="1"/>
  <c r="AP783" i="1"/>
  <c r="AP800" i="1"/>
  <c r="AP816" i="1"/>
  <c r="AP836" i="1"/>
  <c r="AP852" i="1"/>
  <c r="AP868" i="1"/>
  <c r="AP888" i="1"/>
  <c r="AP27" i="1"/>
  <c r="AP44" i="1"/>
  <c r="AP60" i="1"/>
  <c r="AP80" i="1"/>
  <c r="AP96" i="1"/>
  <c r="AP113" i="1"/>
  <c r="AP132" i="1"/>
  <c r="AP149" i="1"/>
  <c r="AP165" i="1"/>
  <c r="AP185" i="1"/>
  <c r="AP201" i="1"/>
  <c r="AP217" i="1"/>
  <c r="AP237" i="1"/>
  <c r="AP253" i="1"/>
  <c r="AP270" i="1"/>
  <c r="AP289" i="1"/>
  <c r="AP306" i="1"/>
  <c r="AP322" i="1"/>
  <c r="AP344" i="1"/>
  <c r="AP360" i="1"/>
  <c r="AP376" i="1"/>
  <c r="AP396" i="1"/>
  <c r="AP413" i="1"/>
  <c r="AP432" i="1"/>
  <c r="AP451" i="1"/>
  <c r="AP470" i="1"/>
  <c r="AP487" i="1"/>
  <c r="AP507" i="1"/>
  <c r="AP522" i="1"/>
  <c r="AP539" i="1"/>
  <c r="AP555" i="1"/>
  <c r="AP576" i="1"/>
  <c r="AP603" i="1"/>
  <c r="AP644" i="1"/>
  <c r="AP704" i="1"/>
  <c r="AP12" i="1"/>
  <c r="AR56" i="1"/>
  <c r="AR147" i="1"/>
  <c r="AR241" i="1"/>
  <c r="AR366" i="1"/>
  <c r="AR457" i="1"/>
  <c r="AR519" i="1"/>
  <c r="AR579" i="1"/>
  <c r="AR673" i="1"/>
  <c r="AR735" i="1"/>
  <c r="AR855" i="1"/>
  <c r="AQ72" i="1"/>
  <c r="AQ152" i="1"/>
  <c r="AQ229" i="1"/>
  <c r="AQ304" i="1"/>
  <c r="AQ384" i="1"/>
  <c r="AQ459" i="1"/>
  <c r="AQ503" i="1"/>
  <c r="AQ548" i="1"/>
  <c r="AQ599" i="1"/>
  <c r="AQ641" i="1"/>
  <c r="AQ688" i="1"/>
  <c r="AQ709" i="1"/>
  <c r="AQ779" i="1"/>
  <c r="AQ846" i="1"/>
  <c r="AP196" i="1"/>
  <c r="AP518" i="1"/>
  <c r="AP618" i="1"/>
  <c r="AP670" i="1"/>
  <c r="AP733" i="1"/>
  <c r="AP769" i="1"/>
  <c r="AP802" i="1"/>
  <c r="AP838" i="1"/>
  <c r="AP874" i="1"/>
  <c r="AP30" i="1"/>
  <c r="AP66" i="1"/>
  <c r="AP82" i="1"/>
  <c r="AP118" i="1"/>
  <c r="AP151" i="1"/>
  <c r="AP187" i="1"/>
  <c r="AP223" i="1"/>
  <c r="AP239" i="1"/>
  <c r="AP275" i="1"/>
  <c r="AP308" i="1"/>
  <c r="AP346" i="1"/>
  <c r="AP416" i="1"/>
  <c r="AP455" i="1"/>
  <c r="AP524" i="1"/>
  <c r="AP559" i="1"/>
  <c r="AP611" i="1"/>
  <c r="AP714" i="1"/>
  <c r="AR91" i="1"/>
  <c r="AR148" i="1"/>
  <c r="AR244" i="1"/>
  <c r="AR304" i="1"/>
  <c r="AR333" i="1"/>
  <c r="AR424" i="1"/>
  <c r="AR24" i="1"/>
  <c r="AR53" i="1"/>
  <c r="AR79" i="1"/>
  <c r="AR115" i="1"/>
  <c r="AR146" i="1"/>
  <c r="AR175" i="1"/>
  <c r="AR209" i="1"/>
  <c r="AR235" i="1"/>
  <c r="AR266" i="1"/>
  <c r="AR302" i="1"/>
  <c r="AR331" i="1"/>
  <c r="AR355" i="1"/>
  <c r="AR391" i="1"/>
  <c r="AR422" i="1"/>
  <c r="AR451" i="1"/>
  <c r="AR485" i="1"/>
  <c r="AR511" i="1"/>
  <c r="AR542" i="1"/>
  <c r="AR578" i="1"/>
  <c r="AR607" i="1"/>
  <c r="AR633" i="1"/>
  <c r="AR667" i="1"/>
  <c r="AR698" i="1"/>
  <c r="AR727" i="1"/>
  <c r="AR763" i="1"/>
  <c r="AR787" i="1"/>
  <c r="AR820" i="1"/>
  <c r="AR854" i="1"/>
  <c r="AR883" i="1"/>
  <c r="AQ4" i="1"/>
  <c r="AQ35" i="1"/>
  <c r="AQ64" i="1"/>
  <c r="AQ98" i="1"/>
  <c r="AQ120" i="1"/>
  <c r="AQ145" i="1"/>
  <c r="AQ173" i="1"/>
  <c r="AQ198" i="1"/>
  <c r="AQ220" i="1"/>
  <c r="AQ248" i="1"/>
  <c r="AQ275" i="1"/>
  <c r="AQ300" i="1"/>
  <c r="AQ328" i="1"/>
  <c r="AQ350" i="1"/>
  <c r="AQ375" i="1"/>
  <c r="AQ403" i="1"/>
  <c r="AQ428" i="1"/>
  <c r="AQ450" i="1"/>
  <c r="AQ479" i="1"/>
  <c r="AQ500" i="1"/>
  <c r="AQ521" i="1"/>
  <c r="AQ547" i="1"/>
  <c r="AQ570" i="1"/>
  <c r="AQ591" i="1"/>
  <c r="AQ617" i="1"/>
  <c r="AQ638" i="1"/>
  <c r="AQ661" i="1"/>
  <c r="AQ687" i="1"/>
  <c r="AQ708" i="1"/>
  <c r="AQ731" i="1"/>
  <c r="AQ757" i="1"/>
  <c r="AQ776" i="1"/>
  <c r="AQ799" i="1"/>
  <c r="AQ823" i="1"/>
  <c r="AQ845" i="1"/>
  <c r="AQ865" i="1"/>
  <c r="AQ889" i="1"/>
  <c r="AP184" i="1"/>
  <c r="AP354" i="1"/>
  <c r="AP490" i="1"/>
  <c r="AP582" i="1"/>
  <c r="AP617" i="1"/>
  <c r="AP640" i="1"/>
  <c r="AP669" i="1"/>
  <c r="AP689" i="1"/>
  <c r="AP708" i="1"/>
  <c r="AP731" i="1"/>
  <c r="AP748" i="1"/>
  <c r="AP765" i="1"/>
  <c r="AP784" i="1"/>
  <c r="AP801" i="1"/>
  <c r="AP817" i="1"/>
  <c r="AP837" i="1"/>
  <c r="AP853" i="1"/>
  <c r="AP869" i="1"/>
  <c r="AP889" i="1"/>
  <c r="AP29" i="1"/>
  <c r="AP45" i="1"/>
  <c r="AP61" i="1"/>
  <c r="AP81" i="1"/>
  <c r="AP97" i="1"/>
  <c r="AP114" i="1"/>
  <c r="AP133" i="1"/>
  <c r="AP150" i="1"/>
  <c r="AP166" i="1"/>
  <c r="AP186" i="1"/>
  <c r="AP202" i="1"/>
  <c r="AP218" i="1"/>
  <c r="AP238" i="1"/>
  <c r="AP254" i="1"/>
  <c r="AP271" i="1"/>
  <c r="AP290" i="1"/>
  <c r="AP307" i="1"/>
  <c r="AP323" i="1"/>
  <c r="AP345" i="1"/>
  <c r="AP361" i="1"/>
  <c r="AP377" i="1"/>
  <c r="AP397" i="1"/>
  <c r="AP414" i="1"/>
  <c r="AP433" i="1"/>
  <c r="AP452" i="1"/>
  <c r="AP471" i="1"/>
  <c r="AP488" i="1"/>
  <c r="AP508" i="1"/>
  <c r="AP523" i="1"/>
  <c r="AP540" i="1"/>
  <c r="AP556" i="1"/>
  <c r="AP577" i="1"/>
  <c r="AP608" i="1"/>
  <c r="AP645" i="1"/>
  <c r="AP712" i="1"/>
  <c r="AP13" i="1"/>
  <c r="AR25" i="1"/>
  <c r="AR121" i="1"/>
  <c r="AR181" i="1"/>
  <c r="AR277" i="1"/>
  <c r="AR332" i="1"/>
  <c r="AR423" i="1"/>
  <c r="AR553" i="1"/>
  <c r="AR642" i="1"/>
  <c r="AR795" i="1"/>
  <c r="AR884" i="1"/>
  <c r="AQ12" i="1"/>
  <c r="AQ124" i="1"/>
  <c r="AQ199" i="1"/>
  <c r="AQ276" i="1"/>
  <c r="AQ329" i="1"/>
  <c r="AQ431" i="1"/>
  <c r="AP472" i="1"/>
  <c r="AR57" i="1"/>
  <c r="AR122" i="1"/>
  <c r="AR211" i="1"/>
  <c r="AR278" i="1"/>
  <c r="AR29" i="1"/>
  <c r="AR75" i="1"/>
  <c r="AR128" i="1"/>
  <c r="AR189" i="1"/>
  <c r="AR232" i="1"/>
  <c r="AR283" i="1"/>
  <c r="AR348" i="1"/>
  <c r="AR381" i="1"/>
  <c r="AR438" i="1"/>
  <c r="AR489" i="1"/>
  <c r="AR529" i="1"/>
  <c r="AR580" i="1"/>
  <c r="AR625" i="1"/>
  <c r="AR676" i="1"/>
  <c r="AR714" i="1"/>
  <c r="AR765" i="1"/>
  <c r="AR807" i="1"/>
  <c r="AR856" i="1"/>
  <c r="AR901" i="1"/>
  <c r="AQ13" i="1"/>
  <c r="AQ53" i="1"/>
  <c r="AQ100" i="1"/>
  <c r="AQ134" i="1"/>
  <c r="AQ175" i="1"/>
  <c r="AQ212" i="1"/>
  <c r="AQ255" i="1"/>
  <c r="AQ289" i="1"/>
  <c r="AQ330" i="1"/>
  <c r="AQ364" i="1"/>
  <c r="AQ407" i="1"/>
  <c r="AQ444" i="1"/>
  <c r="AQ483" i="1"/>
  <c r="AQ515" i="1"/>
  <c r="AQ551" i="1"/>
  <c r="AQ583" i="1"/>
  <c r="AQ619" i="1"/>
  <c r="AQ651" i="1"/>
  <c r="AQ689" i="1"/>
  <c r="AQ721" i="1"/>
  <c r="AQ759" i="1"/>
  <c r="AQ791" i="1"/>
  <c r="AQ829" i="1"/>
  <c r="AQ857" i="1"/>
  <c r="AQ891" i="1"/>
  <c r="AP208" i="1"/>
  <c r="AP441" i="1"/>
  <c r="AP586" i="1"/>
  <c r="AP629" i="1"/>
  <c r="AP672" i="1"/>
  <c r="AP700" i="1"/>
  <c r="AP734" i="1"/>
  <c r="AP758" i="1"/>
  <c r="AP786" i="1"/>
  <c r="AP810" i="1"/>
  <c r="AP839" i="1"/>
  <c r="AP863" i="1"/>
  <c r="AP891" i="1"/>
  <c r="AP31" i="1"/>
  <c r="AP55" i="1"/>
  <c r="AP83" i="1"/>
  <c r="AP107" i="1"/>
  <c r="AP135" i="1"/>
  <c r="AP159" i="1"/>
  <c r="AP188" i="1"/>
  <c r="AP212" i="1"/>
  <c r="AP240" i="1"/>
  <c r="AP264" i="1"/>
  <c r="AP293" i="1"/>
  <c r="AP317" i="1"/>
  <c r="AP347" i="1"/>
  <c r="AP371" i="1"/>
  <c r="AP399" i="1"/>
  <c r="AP425" i="1"/>
  <c r="AP456" i="1"/>
  <c r="AP482" i="1"/>
  <c r="AP510" i="1"/>
  <c r="AP530" i="1"/>
  <c r="AP560" i="1"/>
  <c r="AP590" i="1"/>
  <c r="AP654" i="1"/>
  <c r="AP7" i="1"/>
  <c r="AR33" i="1"/>
  <c r="AR76" i="1"/>
  <c r="AR137" i="1"/>
  <c r="AR192" i="1"/>
  <c r="AR245" i="1"/>
  <c r="AR288" i="1"/>
  <c r="AR349" i="1"/>
  <c r="AR398" i="1"/>
  <c r="AR439" i="1"/>
  <c r="AR492" i="1"/>
  <c r="AR535" i="1"/>
  <c r="AR581" i="1"/>
  <c r="AR626" i="1"/>
  <c r="AR677" i="1"/>
  <c r="AR715" i="1"/>
  <c r="AR768" i="1"/>
  <c r="AR811" i="1"/>
  <c r="AR857" i="1"/>
  <c r="AQ14" i="1"/>
  <c r="AQ54" i="1"/>
  <c r="AQ101" i="1"/>
  <c r="AQ138" i="1"/>
  <c r="AQ176" i="1"/>
  <c r="AQ215" i="1"/>
  <c r="AQ256" i="1"/>
  <c r="AQ290" i="1"/>
  <c r="AQ331" i="1"/>
  <c r="AQ368" i="1"/>
  <c r="AQ408" i="1"/>
  <c r="AQ445" i="1"/>
  <c r="AQ484" i="1"/>
  <c r="AQ516" i="1"/>
  <c r="AQ552" i="1"/>
  <c r="AQ584" i="1"/>
  <c r="AQ620" i="1"/>
  <c r="AQ652" i="1"/>
  <c r="AQ690" i="1"/>
  <c r="AQ722" i="1"/>
  <c r="AQ760" i="1"/>
  <c r="AQ792" i="1"/>
  <c r="AQ830" i="1"/>
  <c r="AQ858" i="1"/>
  <c r="AQ892" i="1"/>
  <c r="AP220" i="1"/>
  <c r="AP453" i="1"/>
  <c r="AP592" i="1"/>
  <c r="AP632" i="1"/>
  <c r="AP673" i="1"/>
  <c r="AP701" i="1"/>
  <c r="AP735" i="1"/>
  <c r="AP759" i="1"/>
  <c r="AP788" i="1"/>
  <c r="AP812" i="1"/>
  <c r="AP840" i="1"/>
  <c r="AP864" i="1"/>
  <c r="AP892" i="1"/>
  <c r="AP32" i="1"/>
  <c r="AP56" i="1"/>
  <c r="AP84" i="1"/>
  <c r="AP108" i="1"/>
  <c r="AP137" i="1"/>
  <c r="AP161" i="1"/>
  <c r="AP189" i="1"/>
  <c r="AP213" i="1"/>
  <c r="AP241" i="1"/>
  <c r="AP265" i="1"/>
  <c r="AP294" i="1"/>
  <c r="AP318" i="1"/>
  <c r="AP348" i="1"/>
  <c r="AP372" i="1"/>
  <c r="AP400" i="1"/>
  <c r="AP426" i="1"/>
  <c r="AP457" i="1"/>
  <c r="AP483" i="1"/>
  <c r="AP511" i="1"/>
  <c r="AP534" i="1"/>
  <c r="AP564" i="1"/>
  <c r="AP591" i="1"/>
  <c r="AP655" i="1"/>
  <c r="AP8" i="1"/>
  <c r="AR36" i="1"/>
  <c r="AR92" i="1"/>
  <c r="AR138" i="1"/>
  <c r="AR193" i="1"/>
  <c r="AR249" i="1"/>
  <c r="AR289" i="1"/>
  <c r="AR350" i="1"/>
  <c r="AR399" i="1"/>
  <c r="AR440" i="1"/>
  <c r="AR493" i="1"/>
  <c r="AR536" i="1"/>
  <c r="AR585" i="1"/>
  <c r="AR627" i="1"/>
  <c r="AR678" i="1"/>
  <c r="AR720" i="1"/>
  <c r="AR769" i="1"/>
  <c r="AR812" i="1"/>
  <c r="AR865" i="1"/>
  <c r="AQ15" i="1"/>
  <c r="AQ57" i="1"/>
  <c r="AQ102" i="1"/>
  <c r="AQ139" i="1"/>
  <c r="AQ182" i="1"/>
  <c r="AQ216" i="1"/>
  <c r="AQ257" i="1"/>
  <c r="AQ291" i="1"/>
  <c r="AQ332" i="1"/>
  <c r="AQ371" i="1"/>
  <c r="AQ412" i="1"/>
  <c r="AQ446" i="1"/>
  <c r="AQ485" i="1"/>
  <c r="AQ517" i="1"/>
  <c r="AQ555" i="1"/>
  <c r="AQ587" i="1"/>
  <c r="AQ623" i="1"/>
  <c r="AQ655" i="1"/>
  <c r="AQ691" i="1"/>
  <c r="AQ723" i="1"/>
  <c r="AQ761" i="1"/>
  <c r="AQ793" i="1"/>
  <c r="AQ831" i="1"/>
  <c r="AQ859" i="1"/>
  <c r="AQ893" i="1"/>
  <c r="AP232" i="1"/>
  <c r="AP454" i="1"/>
  <c r="AP594" i="1"/>
  <c r="AP636" i="1"/>
  <c r="AP675" i="1"/>
  <c r="AP703" i="1"/>
  <c r="AP736" i="1"/>
  <c r="AP760" i="1"/>
  <c r="AP789" i="1"/>
  <c r="AP813" i="1"/>
  <c r="AP841" i="1"/>
  <c r="AP865" i="1"/>
  <c r="AP893" i="1"/>
  <c r="AP33" i="1"/>
  <c r="AP57" i="1"/>
  <c r="AP85" i="1"/>
  <c r="AP109" i="1"/>
  <c r="AP138" i="1"/>
  <c r="AP162" i="1"/>
  <c r="AP190" i="1"/>
  <c r="AP214" i="1"/>
  <c r="AP242" i="1"/>
  <c r="AP266" i="1"/>
  <c r="AP295" i="1"/>
  <c r="AP319" i="1"/>
  <c r="AP349" i="1"/>
  <c r="AP373" i="1"/>
  <c r="AP401" i="1"/>
  <c r="AP427" i="1"/>
  <c r="AP458" i="1"/>
  <c r="AP484" i="1"/>
  <c r="AP512" i="1"/>
  <c r="AP535" i="1"/>
  <c r="AP565" i="1"/>
  <c r="AP597" i="1"/>
  <c r="AP663" i="1"/>
  <c r="AP9" i="1"/>
  <c r="AR37" i="1"/>
  <c r="AR93" i="1"/>
  <c r="AR139" i="1"/>
  <c r="AR194" i="1"/>
  <c r="AR252" i="1"/>
  <c r="AR305" i="1"/>
  <c r="AR351" i="1"/>
  <c r="AR402" i="1"/>
  <c r="AR441" i="1"/>
  <c r="AR494" i="1"/>
  <c r="AR537" i="1"/>
  <c r="AR590" i="1"/>
  <c r="AR628" i="1"/>
  <c r="AR679" i="1"/>
  <c r="AR721" i="1"/>
  <c r="AR770" i="1"/>
  <c r="AR813" i="1"/>
  <c r="AR866" i="1"/>
  <c r="AQ16" i="1"/>
  <c r="AQ58" i="1"/>
  <c r="AQ103" i="1"/>
  <c r="AQ140" i="1"/>
  <c r="AQ183" i="1"/>
  <c r="AQ217" i="1"/>
  <c r="AQ258" i="1"/>
  <c r="AQ292" i="1"/>
  <c r="AQ335" i="1"/>
  <c r="AQ372" i="1"/>
  <c r="AQ413" i="1"/>
  <c r="AQ447" i="1"/>
  <c r="AQ486" i="1"/>
  <c r="AQ518" i="1"/>
  <c r="AQ556" i="1"/>
  <c r="AQ588" i="1"/>
  <c r="AQ624" i="1"/>
  <c r="AQ656" i="1"/>
  <c r="AQ692" i="1"/>
  <c r="AQ724" i="1"/>
  <c r="AQ762" i="1"/>
  <c r="AQ794" i="1"/>
  <c r="AQ832" i="1"/>
  <c r="AQ860" i="1"/>
  <c r="AQ894" i="1"/>
  <c r="AP244" i="1"/>
  <c r="AP466" i="1"/>
  <c r="AP595" i="1"/>
  <c r="AP637" i="1"/>
  <c r="AP676" i="1"/>
  <c r="AP705" i="1"/>
  <c r="AP737" i="1"/>
  <c r="AP761" i="1"/>
  <c r="AP790" i="1"/>
  <c r="AP814" i="1"/>
  <c r="AP842" i="1"/>
  <c r="AP866" i="1"/>
  <c r="AP894" i="1"/>
  <c r="AP34" i="1"/>
  <c r="AP58" i="1"/>
  <c r="AP86" i="1"/>
  <c r="AP110" i="1"/>
  <c r="AP139" i="1"/>
  <c r="AP163" i="1"/>
  <c r="AP191" i="1"/>
  <c r="AP215" i="1"/>
  <c r="AP243" i="1"/>
  <c r="AP267" i="1"/>
  <c r="AP296" i="1"/>
  <c r="AP320" i="1"/>
  <c r="AP350" i="1"/>
  <c r="AP374" i="1"/>
  <c r="AP403" i="1"/>
  <c r="AP429" i="1"/>
  <c r="AP459" i="1"/>
  <c r="AP485" i="1"/>
  <c r="AP513" i="1"/>
  <c r="AP536" i="1"/>
  <c r="AP566" i="1"/>
  <c r="AP599" i="1"/>
  <c r="AP665" i="1"/>
  <c r="AP10" i="1"/>
  <c r="AQ878" i="1"/>
  <c r="AQ839" i="1"/>
  <c r="AQ781" i="1"/>
  <c r="AQ737" i="1"/>
  <c r="AQ675" i="1"/>
  <c r="AQ631" i="1"/>
  <c r="AQ575" i="1"/>
  <c r="AQ531" i="1"/>
  <c r="AQ469" i="1"/>
  <c r="AQ420" i="1"/>
  <c r="AQ356" i="1"/>
  <c r="AQ306" i="1"/>
  <c r="AQ240" i="1"/>
  <c r="AQ188" i="1"/>
  <c r="AQ126" i="1"/>
  <c r="AQ74" i="1"/>
  <c r="AR871" i="1"/>
  <c r="AR797" i="1"/>
  <c r="AR737" i="1"/>
  <c r="AR655" i="1"/>
  <c r="AR595" i="1"/>
  <c r="AR521" i="1"/>
  <c r="AR461" i="1"/>
  <c r="AR375" i="1"/>
  <c r="AR312" i="1"/>
  <c r="AR219" i="1"/>
  <c r="AR160" i="1"/>
  <c r="AR72" i="1"/>
  <c r="AP723" i="1"/>
  <c r="AP612" i="1"/>
  <c r="AP549" i="1"/>
  <c r="AP514" i="1"/>
  <c r="AP473" i="1"/>
  <c r="AP438" i="1"/>
  <c r="AP387" i="1"/>
  <c r="AP351" i="1"/>
  <c r="AP309" i="1"/>
  <c r="AP276" i="1"/>
  <c r="AP228" i="1"/>
  <c r="AP192" i="1"/>
  <c r="AP152" i="1"/>
  <c r="AP119" i="1"/>
  <c r="AP71" i="1"/>
  <c r="AP35" i="1"/>
  <c r="AP875" i="1"/>
  <c r="AP827" i="1"/>
  <c r="AP791" i="1"/>
  <c r="AP750" i="1"/>
  <c r="AP716" i="1"/>
  <c r="AP656" i="1"/>
  <c r="AP596" i="1"/>
  <c r="AP378" i="1"/>
  <c r="AQ877" i="1"/>
  <c r="AQ833" i="1"/>
  <c r="AQ780" i="1"/>
  <c r="AQ736" i="1"/>
  <c r="AQ674" i="1"/>
  <c r="AQ627" i="1"/>
  <c r="AQ572" i="1"/>
  <c r="AQ530" i="1"/>
  <c r="AQ464" i="1"/>
  <c r="AQ414" i="1"/>
  <c r="AQ355" i="1"/>
  <c r="AQ305" i="1"/>
  <c r="AQ234" i="1"/>
  <c r="AQ184" i="1"/>
  <c r="AQ125" i="1"/>
  <c r="AQ73" i="1"/>
  <c r="AR867" i="1"/>
  <c r="AR796" i="1"/>
  <c r="AR736" i="1"/>
  <c r="AR651" i="1"/>
  <c r="AR591" i="1"/>
  <c r="AR520" i="1"/>
  <c r="AR460" i="1"/>
  <c r="AR374" i="1"/>
  <c r="AR309" i="1"/>
  <c r="AR218" i="1"/>
  <c r="AR149" i="1"/>
  <c r="AR67" i="1"/>
  <c r="AP692" i="1"/>
  <c r="AP589" i="1"/>
  <c r="AP548" i="1"/>
  <c r="AP501" i="1"/>
  <c r="AP468" i="1"/>
  <c r="AP424" i="1"/>
  <c r="AP386" i="1"/>
  <c r="AP337" i="1"/>
  <c r="AP303" i="1"/>
  <c r="AP263" i="1"/>
  <c r="AP227" i="1"/>
  <c r="AP179" i="1"/>
  <c r="AP146" i="1"/>
  <c r="AP106" i="1"/>
  <c r="AP70" i="1"/>
  <c r="AP862" i="1"/>
  <c r="AP826" i="1"/>
  <c r="AP778" i="1"/>
  <c r="AP745" i="1"/>
  <c r="AP699" i="1"/>
  <c r="AP653" i="1"/>
  <c r="AP569" i="1"/>
  <c r="AP334" i="1"/>
  <c r="AQ876" i="1"/>
  <c r="AQ817" i="1"/>
  <c r="AQ773" i="1"/>
  <c r="AQ720" i="1"/>
  <c r="AQ673" i="1"/>
  <c r="AQ607" i="1"/>
  <c r="AQ565" i="1"/>
  <c r="AQ512" i="1"/>
  <c r="AQ463" i="1"/>
  <c r="AQ392" i="1"/>
  <c r="AQ347" i="1"/>
  <c r="AQ288" i="1"/>
  <c r="AQ233" i="1"/>
  <c r="AQ162" i="1"/>
  <c r="AQ115" i="1"/>
  <c r="AQ50" i="1"/>
  <c r="AR841" i="1"/>
  <c r="AR784" i="1"/>
  <c r="AR713" i="1"/>
  <c r="AR650" i="1"/>
  <c r="AR565" i="1"/>
  <c r="AR508" i="1"/>
  <c r="AR437" i="1"/>
  <c r="AR369" i="1"/>
  <c r="AR282" i="1"/>
  <c r="AR217" i="1"/>
  <c r="AR125" i="1"/>
  <c r="AR60" i="1"/>
  <c r="AP23" i="1"/>
  <c r="AP684" i="1"/>
  <c r="AP588" i="1"/>
  <c r="AP545" i="1"/>
  <c r="AP500" i="1"/>
  <c r="AP465" i="1"/>
  <c r="AP423" i="1"/>
  <c r="AP385" i="1"/>
  <c r="AP336" i="1"/>
  <c r="AP302" i="1"/>
  <c r="AP262" i="1"/>
  <c r="AP226" i="1"/>
  <c r="AP178" i="1"/>
  <c r="AP145" i="1"/>
  <c r="AP105" i="1"/>
  <c r="AP69" i="1"/>
  <c r="AP901" i="1"/>
  <c r="AP861" i="1"/>
  <c r="AP825" i="1"/>
  <c r="AP777" i="1"/>
  <c r="AP744" i="1"/>
  <c r="AP698" i="1"/>
  <c r="AP651" i="1"/>
  <c r="AP562" i="1"/>
  <c r="AP328" i="1"/>
  <c r="AQ875" i="1"/>
  <c r="AQ816" i="1"/>
  <c r="AQ772" i="1"/>
  <c r="AQ719" i="1"/>
  <c r="AQ672" i="1"/>
  <c r="AQ606" i="1"/>
  <c r="AQ564" i="1"/>
  <c r="AQ511" i="1"/>
  <c r="AQ462" i="1"/>
  <c r="AQ391" i="1"/>
  <c r="AQ344" i="1"/>
  <c r="AQ287" i="1"/>
  <c r="AQ232" i="1"/>
  <c r="AQ161" i="1"/>
  <c r="AQ114" i="1"/>
  <c r="AQ49" i="1"/>
  <c r="AR840" i="1"/>
  <c r="AR783" i="1"/>
  <c r="AR712" i="1"/>
  <c r="AR649" i="1"/>
  <c r="AR564" i="1"/>
  <c r="AR507" i="1"/>
  <c r="AR436" i="1"/>
  <c r="AR368" i="1"/>
  <c r="AR281" i="1"/>
  <c r="AR216" i="1"/>
  <c r="AR124" i="1"/>
  <c r="AR45" i="1"/>
  <c r="AP20" i="1"/>
  <c r="AP573" i="1"/>
  <c r="AP529" i="1"/>
  <c r="AP446" i="1"/>
  <c r="AP411" i="1"/>
  <c r="AP332" i="1"/>
  <c r="AP251" i="1"/>
  <c r="AP175" i="1"/>
  <c r="AP94" i="1"/>
  <c r="AP882" i="1"/>
  <c r="AP809" i="1"/>
  <c r="AP724" i="1"/>
  <c r="AP544" i="1"/>
  <c r="AQ747" i="1"/>
  <c r="AR183" i="1"/>
  <c r="AP19" i="1"/>
  <c r="AP630" i="1"/>
  <c r="AP572" i="1"/>
  <c r="AP528" i="1"/>
  <c r="AP496" i="1"/>
  <c r="AP445" i="1"/>
  <c r="AP410" i="1"/>
  <c r="AP331" i="1"/>
  <c r="AP283" i="1"/>
  <c r="AP250" i="1"/>
  <c r="AP210" i="1"/>
  <c r="AP174" i="1"/>
  <c r="AP126" i="1"/>
  <c r="AP93" i="1"/>
  <c r="AP53" i="1"/>
  <c r="AP881" i="1"/>
  <c r="AP849" i="1"/>
  <c r="AP808" i="1"/>
  <c r="AP772" i="1"/>
  <c r="AP722" i="1"/>
  <c r="AP685" i="1"/>
  <c r="AP627" i="1"/>
  <c r="AP538" i="1"/>
  <c r="AP88" i="1"/>
  <c r="AQ854" i="1"/>
  <c r="AQ808" i="1"/>
  <c r="AQ746" i="1"/>
  <c r="AQ702" i="1"/>
  <c r="AQ649" i="1"/>
  <c r="AQ602" i="1"/>
  <c r="AQ536" i="1"/>
  <c r="AQ494" i="1"/>
  <c r="AQ440" i="1"/>
  <c r="AQ387" i="1"/>
  <c r="AQ316" i="1"/>
  <c r="AQ269" i="1"/>
  <c r="AQ210" i="1"/>
  <c r="AQ157" i="1"/>
  <c r="AQ86" i="1"/>
  <c r="AQ29" i="1"/>
  <c r="AR897" i="1"/>
  <c r="AR834" i="1"/>
  <c r="AR749" i="1"/>
  <c r="AR692" i="1"/>
  <c r="AR621" i="1"/>
  <c r="AR556" i="1"/>
  <c r="AR471" i="1"/>
  <c r="AR413" i="1"/>
  <c r="AR336" i="1"/>
  <c r="AR260" i="1"/>
  <c r="AR103" i="1"/>
  <c r="AP18" i="1"/>
  <c r="AP625" i="1"/>
  <c r="AP568" i="1"/>
  <c r="AP527" i="1"/>
  <c r="AP495" i="1"/>
  <c r="AP444" i="1"/>
  <c r="AP409" i="1"/>
  <c r="AP364" i="1"/>
  <c r="AP282" i="1"/>
  <c r="AP249" i="1"/>
  <c r="AP205" i="1"/>
  <c r="AP173" i="1"/>
  <c r="AP125" i="1"/>
  <c r="AP92" i="1"/>
  <c r="AP48" i="1"/>
  <c r="AP880" i="1"/>
  <c r="AP848" i="1"/>
  <c r="AP804" i="1"/>
  <c r="AP771" i="1"/>
  <c r="AP721" i="1"/>
  <c r="AP681" i="1"/>
  <c r="AP622" i="1"/>
  <c r="AP531" i="1"/>
  <c r="AP64" i="1"/>
  <c r="AQ848" i="1"/>
  <c r="AQ807" i="1"/>
  <c r="AQ745" i="1"/>
  <c r="AQ701" i="1"/>
  <c r="AQ643" i="1"/>
  <c r="AQ601" i="1"/>
  <c r="AQ535" i="1"/>
  <c r="AQ493" i="1"/>
  <c r="AQ433" i="1"/>
  <c r="AQ386" i="1"/>
  <c r="AQ315" i="1"/>
  <c r="AQ268" i="1"/>
  <c r="AQ203" i="1"/>
  <c r="AQ156" i="1"/>
  <c r="AQ85" i="1"/>
  <c r="AQ28" i="1"/>
  <c r="AR888" i="1"/>
  <c r="AR831" i="1"/>
  <c r="AR748" i="1"/>
  <c r="AR691" i="1"/>
  <c r="AR612" i="1"/>
  <c r="AR555" i="1"/>
  <c r="AR470" i="1"/>
  <c r="AR404" i="1"/>
  <c r="AR321" i="1"/>
  <c r="AR259" i="1"/>
  <c r="AR97" i="1"/>
  <c r="AP15" i="1"/>
  <c r="AP567" i="1"/>
  <c r="AP525" i="1"/>
  <c r="AP494" i="1"/>
  <c r="AP443" i="1"/>
  <c r="AP404" i="1"/>
  <c r="AP363" i="1"/>
  <c r="AP329" i="1"/>
  <c r="AP281" i="1"/>
  <c r="AP245" i="1"/>
  <c r="AP204" i="1"/>
  <c r="AP171" i="1"/>
  <c r="AP123" i="1"/>
  <c r="AP87" i="1"/>
  <c r="AP879" i="1"/>
  <c r="AP843" i="1"/>
  <c r="AP803" i="1"/>
  <c r="AP770" i="1"/>
  <c r="AP720" i="1"/>
  <c r="AP677" i="1"/>
  <c r="AP621" i="1"/>
  <c r="AP526" i="1"/>
  <c r="AP52" i="1"/>
  <c r="AQ895" i="1"/>
  <c r="AQ847" i="1"/>
  <c r="AQ806" i="1"/>
  <c r="AQ744" i="1"/>
  <c r="AQ695" i="1"/>
  <c r="AQ642" i="1"/>
  <c r="AQ600" i="1"/>
  <c r="AQ534" i="1"/>
  <c r="AQ487" i="1"/>
  <c r="AQ432" i="1"/>
  <c r="AQ385" i="1"/>
  <c r="AQ314" i="1"/>
  <c r="AQ259" i="1"/>
  <c r="AQ200" i="1"/>
  <c r="AQ155" i="1"/>
  <c r="AQ84" i="1"/>
  <c r="AQ17" i="1"/>
  <c r="AR885" i="1"/>
  <c r="AR830" i="1"/>
  <c r="AR745" i="1"/>
  <c r="AR680" i="1"/>
  <c r="AR609" i="1"/>
  <c r="AR554" i="1"/>
  <c r="AR469" i="1"/>
  <c r="AR403" i="1"/>
  <c r="AR320" i="1"/>
  <c r="AR253" i="1"/>
  <c r="AR96" i="1"/>
  <c r="AP6" i="1"/>
  <c r="AP619" i="1"/>
  <c r="AP553" i="1"/>
  <c r="AP520" i="1"/>
  <c r="AP481" i="1"/>
  <c r="AP442" i="1"/>
  <c r="AP391" i="1"/>
  <c r="AP358" i="1"/>
  <c r="AP315" i="1"/>
  <c r="AP279" i="1"/>
  <c r="AP231" i="1"/>
  <c r="AP199" i="1"/>
  <c r="AP158" i="1"/>
  <c r="AP122" i="1"/>
  <c r="AP74" i="1"/>
  <c r="AP42" i="1"/>
  <c r="AP878" i="1"/>
  <c r="AP830" i="1"/>
  <c r="AP797" i="1"/>
  <c r="AP757" i="1"/>
  <c r="AP719" i="1"/>
  <c r="AP659" i="1"/>
  <c r="AP609" i="1"/>
  <c r="AP430" i="1"/>
  <c r="AP40" i="1"/>
  <c r="AQ880" i="1"/>
  <c r="AQ842" i="1"/>
  <c r="AQ788" i="1"/>
  <c r="AQ743" i="1"/>
  <c r="AQ677" i="1"/>
  <c r="AQ635" i="1"/>
  <c r="AQ580" i="1"/>
  <c r="AQ533" i="1"/>
  <c r="AQ471" i="1"/>
  <c r="AQ422" i="1"/>
  <c r="AQ363" i="1"/>
  <c r="AQ313" i="1"/>
  <c r="AQ242" i="1"/>
  <c r="AQ192" i="1"/>
  <c r="AQ133" i="1"/>
  <c r="AQ83" i="1"/>
  <c r="AR6" i="1"/>
  <c r="AR873" i="1"/>
  <c r="AR806" i="1"/>
  <c r="AR744" i="1"/>
  <c r="AR657" i="1"/>
  <c r="AR597" i="1"/>
  <c r="AR528" i="1"/>
  <c r="AR468" i="1"/>
  <c r="AR380" i="1"/>
  <c r="AR319" i="1"/>
  <c r="AR231" i="1"/>
  <c r="AR74" i="1"/>
  <c r="AR161" i="1"/>
  <c r="AP606" i="1"/>
  <c r="AP22" i="1"/>
  <c r="AP683" i="1"/>
  <c r="AP587" i="1"/>
  <c r="AP543" i="1"/>
  <c r="AP499" i="1"/>
  <c r="AP464" i="1"/>
  <c r="AP419" i="1"/>
  <c r="AP384" i="1"/>
  <c r="AP335" i="1"/>
  <c r="AP301" i="1"/>
  <c r="AP258" i="1"/>
  <c r="AP225" i="1"/>
  <c r="AP177" i="1"/>
  <c r="AP144" i="1"/>
  <c r="AP101" i="1"/>
  <c r="AP68" i="1"/>
  <c r="AP900" i="1"/>
  <c r="AP856" i="1"/>
  <c r="AP824" i="1"/>
  <c r="AP776" i="1"/>
  <c r="AP743" i="1"/>
  <c r="AP693" i="1"/>
  <c r="AP649" i="1"/>
  <c r="AP557" i="1"/>
  <c r="AP316" i="1"/>
  <c r="AQ872" i="1"/>
  <c r="AQ815" i="1"/>
  <c r="AQ771" i="1"/>
  <c r="AQ713" i="1"/>
  <c r="AQ671" i="1"/>
  <c r="AQ605" i="1"/>
  <c r="AQ563" i="1"/>
  <c r="AQ505" i="1"/>
  <c r="AQ461" i="1"/>
  <c r="AQ390" i="1"/>
  <c r="AQ343" i="1"/>
  <c r="AQ278" i="1"/>
  <c r="AQ231" i="1"/>
  <c r="AQ160" i="1"/>
  <c r="AQ113" i="1"/>
  <c r="AQ40" i="1"/>
  <c r="AR837" i="1"/>
  <c r="AR782" i="1"/>
  <c r="AR701" i="1"/>
  <c r="AR648" i="1"/>
  <c r="AR561" i="1"/>
  <c r="AR506" i="1"/>
  <c r="AR425" i="1"/>
  <c r="AR367" i="1"/>
  <c r="AR280" i="1"/>
  <c r="AR196" i="1"/>
  <c r="AR123" i="1"/>
  <c r="AR44" i="1"/>
  <c r="AP635" i="1"/>
  <c r="AP497" i="1"/>
  <c r="AP370" i="1"/>
  <c r="AP284" i="1"/>
  <c r="AP211" i="1"/>
  <c r="AP127" i="1"/>
  <c r="AP54" i="1"/>
  <c r="AP850" i="1"/>
  <c r="AP773" i="1"/>
  <c r="AP686" i="1"/>
  <c r="AP628" i="1"/>
  <c r="AP100" i="1"/>
  <c r="AQ856" i="1"/>
  <c r="AQ809" i="1"/>
  <c r="AQ703" i="1"/>
  <c r="AQ650" i="1"/>
  <c r="AQ603" i="1"/>
  <c r="AQ541" i="1"/>
  <c r="AQ497" i="1"/>
  <c r="AQ443" i="1"/>
  <c r="AQ388" i="1"/>
  <c r="AQ317" i="1"/>
  <c r="AQ270" i="1"/>
  <c r="AQ211" i="1"/>
  <c r="AQ158" i="1"/>
  <c r="AQ87" i="1"/>
  <c r="AQ30" i="1"/>
  <c r="AR900" i="1"/>
  <c r="AR835" i="1"/>
  <c r="AR750" i="1"/>
  <c r="AR693" i="1"/>
  <c r="AR624" i="1"/>
  <c r="AR557" i="1"/>
  <c r="AR474" i="1"/>
  <c r="AR416" i="1"/>
  <c r="AR345" i="1"/>
  <c r="AR261" i="1"/>
  <c r="AR104" i="1"/>
  <c r="AP369" i="1"/>
  <c r="AR165" i="1"/>
  <c r="AP330" i="1"/>
  <c r="AR164" i="1"/>
  <c r="AP620" i="1"/>
  <c r="AP47" i="1"/>
  <c r="AR163" i="1"/>
  <c r="AR162" i="1"/>
  <c r="AP3" i="1"/>
  <c r="AP614" i="1"/>
  <c r="AP552" i="1"/>
  <c r="AP516" i="1"/>
  <c r="AP479" i="1"/>
  <c r="AP440" i="1"/>
  <c r="AP389" i="1"/>
  <c r="AP357" i="1"/>
  <c r="AP314" i="1"/>
  <c r="AP278" i="1"/>
  <c r="AP230" i="1"/>
  <c r="AP198" i="1"/>
  <c r="AP157" i="1"/>
  <c r="AP121" i="1"/>
  <c r="AP73" i="1"/>
  <c r="AP41" i="1"/>
  <c r="AP877" i="1"/>
  <c r="AP829" i="1"/>
  <c r="AP796" i="1"/>
  <c r="AP756" i="1"/>
  <c r="AP718" i="1"/>
  <c r="AP658" i="1"/>
  <c r="AP607" i="1"/>
  <c r="AP428" i="1"/>
  <c r="AP28" i="1"/>
  <c r="AQ879" i="1"/>
  <c r="AQ840" i="1"/>
  <c r="AQ787" i="1"/>
  <c r="AQ738" i="1"/>
  <c r="AQ676" i="1"/>
  <c r="AQ632" i="1"/>
  <c r="AQ579" i="1"/>
  <c r="AQ532" i="1"/>
  <c r="AQ470" i="1"/>
  <c r="AQ421" i="1"/>
  <c r="AQ362" i="1"/>
  <c r="AQ312" i="1"/>
  <c r="AQ241" i="1"/>
  <c r="AQ191" i="1"/>
  <c r="AQ132" i="1"/>
  <c r="AQ78" i="1"/>
  <c r="AR5" i="1"/>
  <c r="AR872" i="1"/>
  <c r="AR801" i="1"/>
  <c r="AR741" i="1"/>
  <c r="AR656" i="1"/>
  <c r="AR596" i="1"/>
  <c r="AR525" i="1"/>
  <c r="AR465" i="1"/>
  <c r="AR379" i="1"/>
  <c r="AR313" i="1"/>
  <c r="AR230" i="1"/>
  <c r="AR73" i="1"/>
  <c r="AP732" i="1"/>
  <c r="AP613" i="1"/>
  <c r="AP551" i="1"/>
  <c r="AP515" i="1"/>
  <c r="AP474" i="1"/>
  <c r="AP439" i="1"/>
  <c r="AP388" i="1"/>
  <c r="AP356" i="1"/>
  <c r="AP310" i="1"/>
  <c r="AP277" i="1"/>
  <c r="AP229" i="1"/>
  <c r="AP197" i="1"/>
  <c r="AP153" i="1"/>
  <c r="AP120" i="1"/>
  <c r="AP72" i="1"/>
  <c r="AP39" i="1"/>
  <c r="AP876" i="1"/>
  <c r="AP828" i="1"/>
  <c r="AP795" i="1"/>
  <c r="AP752" i="1"/>
  <c r="AP717" i="1"/>
  <c r="AP657" i="1"/>
  <c r="AP390" i="1"/>
  <c r="AP21" i="1"/>
  <c r="AP666" i="1"/>
  <c r="AP585" i="1"/>
  <c r="AP542" i="1"/>
  <c r="AP498" i="1"/>
  <c r="AP460" i="1"/>
  <c r="AP417" i="1"/>
  <c r="AP383" i="1"/>
  <c r="AP333" i="1"/>
  <c r="AP297" i="1"/>
  <c r="AP257" i="1"/>
  <c r="AP224" i="1"/>
  <c r="AP176" i="1"/>
  <c r="AP140" i="1"/>
  <c r="AP99" i="1"/>
  <c r="AP67" i="1"/>
  <c r="AP896" i="1"/>
  <c r="AP855" i="1"/>
  <c r="AP822" i="1"/>
  <c r="AP774" i="1"/>
  <c r="AP738" i="1"/>
  <c r="AP691" i="1"/>
  <c r="AP648" i="1"/>
  <c r="AP550" i="1"/>
  <c r="AP256" i="1"/>
  <c r="AQ871" i="1"/>
  <c r="AQ810" i="1"/>
  <c r="AQ763" i="1"/>
  <c r="AQ710" i="1"/>
  <c r="AQ666" i="1"/>
  <c r="AQ604" i="1"/>
  <c r="AQ557" i="1"/>
  <c r="AQ504" i="1"/>
  <c r="AQ460" i="1"/>
  <c r="AQ389" i="1"/>
  <c r="AQ336" i="1"/>
  <c r="AQ277" i="1"/>
  <c r="AQ230" i="1"/>
  <c r="AQ159" i="1"/>
  <c r="AQ104" i="1"/>
  <c r="AQ39" i="1"/>
  <c r="AR836" i="1"/>
  <c r="AR771" i="1"/>
  <c r="AR700" i="1"/>
  <c r="AR643" i="1"/>
  <c r="AR560" i="1"/>
  <c r="AR495" i="1"/>
  <c r="AR417" i="1"/>
  <c r="AR352" i="1"/>
  <c r="AR279" i="1"/>
  <c r="AR195" i="1"/>
  <c r="AR105" i="1"/>
  <c r="AR43" i="1"/>
  <c r="AQ2" i="1" l="1"/>
  <c r="AP2" i="1"/>
  <c r="AR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<sst xmlns="http://schemas.openxmlformats.org/spreadsheetml/2006/main" count="15383" uniqueCount="4119">
  <si>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</si>
  <si>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</si>
  <si>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</si>
  <si>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</si>
  <si>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</si>
  <si>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</si>
  <si>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</si>
  <si>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</si>
  <si>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</si>
  <si>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</si>
  <si>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</si>
  <si>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</si>
  <si>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</si>
  <si>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</si>
  <si>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</si>
  <si>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</si>
  <si>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</si>
  <si>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</si>
  <si>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</si>
  <si>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</si>
  <si>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</si>
  <si>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</si>
  <si>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</si>
  <si>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</si>
  <si>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</si>
  <si>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</si>
  <si>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</si>
  <si>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</si>
  <si>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</si>
  <si>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</si>
  <si>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</si>
  <si>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</si>
  <si>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</si>
  <si>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</si>
  <si>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</si>
  <si>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</si>
  <si>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</si>
  <si>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</si>
  <si>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</si>
  <si>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</si>
  <si>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</si>
  <si>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</si>
  <si>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</si>
  <si>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</si>
  <si>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</si>
  <si>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</si>
  <si>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</si>
  <si>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</si>
  <si>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</si>
  <si>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</si>
  <si>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</si>
  <si>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</si>
  <si>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</si>
  <si>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</si>
  <si>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</si>
  <si>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</si>
  <si>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</si>
  <si>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</si>
  <si>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</si>
  <si>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</si>
  <si>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</si>
  <si>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</si>
  <si>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</si>
  <si>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</si>
  <si>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</si>
  <si>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</si>
  <si>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</si>
  <si>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</si>
  <si>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</si>
  <si>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</si>
  <si>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</si>
  <si>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</si>
  <si>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</si>
  <si>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</si>
  <si>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</si>
  <si>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</si>
  <si>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</si>
  <si>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</si>
  <si>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</si>
  <si>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</si>
  <si>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</si>
  <si>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</si>
  <si>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</si>
  <si>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</si>
  <si>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</si>
  <si>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</si>
  <si>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</si>
  <si>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</si>
  <si>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</si>
  <si>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</si>
  <si>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</si>
  <si>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</si>
  <si>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</si>
  <si>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</si>
  <si>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</si>
  <si>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</si>
  <si>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</si>
  <si>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</si>
  <si>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</si>
  <si>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</si>
  <si>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</si>
  <si>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</si>
  <si>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</si>
  <si>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</si>
  <si>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</si>
  <si>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</si>
  <si>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</si>
  <si>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</si>
  <si>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</si>
  <si>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</si>
  <si>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</si>
  <si>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</si>
  <si>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</si>
  <si>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</si>
  <si>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</si>
  <si>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</si>
  <si>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</si>
  <si>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</si>
  <si>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</si>
  <si>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</si>
  <si>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</si>
  <si>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</si>
  <si>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</si>
  <si>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</si>
  <si>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</si>
  <si>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</si>
  <si>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</si>
  <si>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</si>
  <si>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</si>
  <si>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</si>
  <si>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</si>
  <si>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</si>
  <si>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</si>
  <si>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</si>
  <si>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</si>
  <si>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</si>
  <si>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</si>
  <si>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</si>
  <si>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</si>
  <si>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</si>
  <si>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</si>
  <si>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</si>
  <si>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</si>
  <si>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</si>
  <si>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</si>
  <si>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</si>
  <si>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</si>
  <si>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</si>
  <si>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</si>
  <si>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</si>
  <si>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</si>
  <si>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</si>
  <si>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</si>
  <si>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</si>
  <si>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</si>
  <si>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</si>
  <si>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</si>
  <si>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</si>
  <si>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</si>
  <si>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</si>
  <si>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</si>
  <si>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</si>
  <si>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</si>
  <si>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</si>
  <si>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</si>
  <si>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</si>
  <si>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</si>
  <si>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</si>
  <si>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</si>
  <si>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</si>
  <si>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</si>
  <si>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</si>
  <si>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</si>
  <si>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</si>
  <si>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</si>
  <si>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</si>
  <si>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</si>
  <si>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</si>
  <si>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</si>
  <si>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</si>
  <si>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</si>
  <si>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</si>
  <si>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</si>
  <si>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</si>
  <si>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</si>
  <si>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</si>
  <si>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</si>
  <si>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</si>
  <si>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</si>
  <si>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</si>
  <si>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</si>
  <si>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</si>
  <si>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</si>
  <si>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</si>
  <si>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</si>
  <si>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</si>
  <si>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</si>
  <si>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</si>
  <si>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</si>
  <si>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</si>
  <si>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</si>
  <si>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</si>
  <si>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</si>
  <si>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</si>
  <si>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</si>
  <si>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</si>
  <si>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</si>
  <si>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</si>
  <si>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</si>
  <si>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</si>
  <si>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</si>
  <si>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</si>
  <si>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</si>
  <si>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</si>
  <si>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</si>
  <si>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</si>
  <si>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</si>
  <si>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</si>
  <si>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</si>
  <si>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</si>
  <si>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</si>
  <si>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</si>
  <si>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</si>
  <si>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</si>
  <si>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</si>
  <si>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</si>
  <si>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</si>
  <si>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</si>
  <si>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</si>
  <si>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</si>
  <si>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</si>
  <si>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</si>
  <si>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</si>
  <si>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</si>
  <si>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</si>
  <si>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</si>
  <si>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</si>
  <si>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</si>
  <si>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</si>
  <si>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</si>
  <si>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</si>
  <si>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</si>
  <si>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</si>
  <si>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</si>
  <si>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</si>
  <si>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</si>
  <si>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</si>
  <si>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</si>
  <si>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</si>
  <si>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</si>
  <si>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</si>
  <si>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</si>
  <si>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</si>
  <si>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</si>
  <si>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</si>
  <si>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</si>
  <si>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</si>
  <si>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</si>
  <si>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</si>
  <si>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</si>
  <si>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</si>
  <si>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</si>
  <si>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</si>
  <si>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</si>
  <si>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</si>
  <si>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</si>
  <si>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</si>
  <si>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</si>
  <si>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</si>
  <si>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</si>
  <si>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</si>
  <si>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</si>
  <si>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</si>
  <si>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</si>
  <si>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</si>
  <si>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</si>
  <si>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</si>
  <si>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</si>
  <si>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</si>
  <si>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</si>
  <si>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</si>
  <si>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</si>
  <si>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</si>
  <si>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</si>
  <si>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</si>
  <si>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</si>
  <si>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</si>
  <si>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</si>
  <si>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</si>
  <si>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</si>
  <si>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</si>
  <si>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</si>
  <si>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</si>
  <si>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</si>
  <si>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</si>
  <si>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</si>
  <si>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</si>
  <si>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</si>
  <si>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</si>
  <si>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</si>
  <si>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</si>
  <si>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</si>
  <si>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</si>
  <si>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</si>
  <si>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</si>
  <si>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</si>
  <si>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</si>
  <si>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</si>
  <si>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</si>
  <si>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</si>
  <si>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</si>
  <si>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</si>
  <si>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</si>
  <si>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</si>
  <si>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</si>
  <si>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</si>
  <si>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</si>
  <si>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</si>
  <si>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</si>
  <si>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</si>
  <si>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</si>
  <si>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</si>
  <si>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</si>
  <si>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</si>
  <si>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</si>
  <si>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</si>
  <si>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</si>
  <si>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</si>
  <si>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</si>
  <si>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</si>
  <si>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</si>
  <si>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</si>
  <si>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</si>
  <si>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</si>
  <si>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</si>
  <si>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</si>
  <si>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</si>
  <si>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</si>
  <si>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</si>
  <si>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</si>
  <si>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</si>
  <si>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</si>
  <si>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</si>
  <si>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</si>
  <si>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</si>
  <si>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</si>
  <si>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</si>
  <si>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</si>
  <si>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</si>
  <si>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</si>
  <si>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</si>
  <si>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</si>
  <si>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</si>
  <si>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</si>
  <si>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</si>
  <si>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</si>
  <si>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</si>
  <si>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</si>
  <si>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</si>
  <si>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</si>
  <si>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</si>
  <si>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</si>
  <si>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</si>
  <si>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</si>
  <si>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</si>
  <si>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</si>
  <si>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</si>
  <si>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</si>
  <si>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</si>
  <si>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</si>
  <si>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</si>
  <si>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</si>
  <si>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</si>
  <si>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</si>
  <si>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</si>
  <si>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</si>
  <si>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</si>
  <si>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</si>
  <si>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</si>
  <si>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</si>
  <si>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</si>
  <si>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</si>
  <si>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</si>
  <si>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</si>
  <si>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</si>
  <si>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</si>
  <si>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</si>
  <si>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</si>
  <si>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</si>
  <si>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</si>
  <si>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</si>
  <si>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</si>
  <si>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</si>
  <si>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</si>
  <si>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</si>
  <si>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</si>
  <si>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</si>
  <si>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</si>
  <si>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</si>
  <si>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</si>
  <si>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</si>
  <si>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</si>
  <si>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</si>
  <si>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</si>
  <si>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</si>
  <si>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</si>
  <si>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</si>
  <si>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</si>
  <si>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</si>
  <si>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</si>
  <si>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</si>
  <si>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</si>
  <si>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</si>
  <si>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</si>
  <si>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</si>
  <si>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</si>
  <si>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</si>
  <si>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</si>
  <si>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</si>
  <si>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</si>
  <si>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</si>
  <si>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</si>
  <si>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</si>
  <si>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</si>
  <si>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</si>
  <si>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</si>
  <si>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</si>
  <si>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</si>
  <si>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</si>
  <si>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</si>
  <si>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</si>
  <si>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</si>
  <si>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</si>
  <si>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</si>
  <si>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</si>
  <si>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</si>
  <si>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</si>
  <si>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</si>
  <si>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</si>
  <si>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</si>
  <si>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</si>
  <si>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</si>
  <si>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</si>
  <si>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</si>
  <si>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</si>
  <si>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</si>
  <si>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</si>
  <si>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</si>
  <si>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</si>
  <si>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</si>
  <si>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</si>
  <si>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</si>
  <si>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</si>
  <si>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</si>
  <si>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</si>
  <si>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</si>
  <si>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</si>
  <si>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</si>
  <si>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</si>
  <si>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</si>
  <si>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</si>
  <si>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</si>
  <si>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</si>
  <si>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</si>
  <si>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</si>
  <si>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</si>
  <si>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</si>
  <si>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</si>
  <si>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</si>
  <si>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</si>
  <si>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</si>
  <si>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</si>
  <si>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</si>
  <si>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</si>
  <si>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</si>
  <si>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</si>
  <si>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</si>
  <si>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</si>
  <si>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</si>
  <si>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</si>
  <si>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</si>
  <si>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</si>
  <si>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</si>
  <si>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</si>
  <si>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</si>
  <si>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</si>
  <si>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</si>
  <si>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</si>
  <si>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</si>
  <si>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</si>
  <si>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</si>
  <si>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</si>
  <si>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</si>
  <si>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</si>
  <si>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</si>
  <si>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</si>
  <si>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</si>
  <si>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</si>
  <si>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</si>
  <si>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</si>
  <si>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</si>
  <si>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</si>
  <si>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</si>
  <si>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</si>
  <si>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</si>
  <si>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</si>
  <si>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</si>
  <si>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</si>
  <si>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</si>
  <si>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</si>
  <si>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</si>
  <si>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</si>
  <si>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</si>
  <si>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</si>
  <si>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</si>
  <si>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</si>
  <si>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</si>
  <si>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</si>
  <si>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</si>
  <si>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</si>
  <si>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</si>
  <si>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</si>
  <si>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</si>
  <si>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</si>
  <si>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</si>
  <si>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</si>
  <si>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</si>
  <si>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</si>
  <si>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</si>
  <si>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</si>
  <si>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</si>
  <si>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</si>
  <si>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</si>
  <si>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</si>
  <si>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</si>
  <si>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</si>
  <si>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</si>
  <si>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</si>
  <si>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</si>
  <si>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</si>
  <si>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</si>
  <si>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</si>
  <si>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</si>
  <si>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</si>
  <si>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</si>
  <si>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</si>
  <si>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</si>
  <si>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</si>
  <si>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</si>
  <si>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</si>
  <si>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</si>
  <si>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</si>
  <si>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</si>
  <si>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</si>
  <si>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</si>
  <si>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</si>
  <si>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</si>
  <si>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</si>
  <si>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</si>
  <si>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</si>
  <si>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</si>
  <si>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</si>
  <si>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</si>
  <si>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</si>
  <si>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</si>
  <si>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</si>
  <si>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</si>
  <si>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</si>
  <si>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</si>
  <si>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</si>
  <si>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</si>
  <si>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</si>
  <si>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</si>
  <si>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</si>
  <si>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</si>
  <si>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</si>
  <si>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</si>
  <si>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</si>
  <si>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</si>
  <si>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</si>
  <si>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</si>
  <si>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</si>
  <si>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</si>
  <si>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</si>
  <si>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</si>
  <si>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</si>
  <si>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</si>
  <si>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</si>
  <si>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</si>
  <si>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</si>
  <si>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</si>
  <si>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</si>
  <si>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</si>
  <si>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</si>
  <si>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</si>
  <si>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</si>
  <si>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</si>
  <si>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</si>
  <si>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</si>
  <si>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</si>
  <si>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</si>
  <si>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</si>
  <si>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</si>
  <si>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</si>
  <si>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</si>
  <si>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</si>
  <si>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</si>
  <si>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</si>
  <si>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</si>
  <si>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</si>
  <si>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</si>
  <si>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</si>
  <si>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</si>
  <si>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</si>
  <si>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</si>
  <si>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</si>
  <si>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</si>
  <si>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</si>
  <si>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</si>
  <si>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</si>
  <si>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</si>
  <si>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</si>
  <si>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</si>
  <si>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</si>
  <si>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</si>
  <si>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</si>
  <si>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</si>
  <si>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</si>
  <si>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</si>
  <si>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</si>
  <si>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</si>
  <si>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</si>
  <si>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</si>
  <si>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</si>
  <si>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</si>
  <si>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</si>
  <si>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</si>
  <si>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</si>
  <si>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</si>
  <si>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</si>
  <si>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</si>
  <si>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</si>
  <si>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</si>
  <si>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</si>
  <si>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</si>
  <si>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</si>
  <si>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</si>
  <si>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</si>
  <si>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</si>
  <si>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</si>
  <si>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</si>
  <si>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</si>
  <si>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</si>
  <si>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</si>
  <si>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</si>
  <si>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</si>
  <si>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</si>
  <si>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</si>
  <si>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</si>
  <si>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</si>
  <si>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</si>
  <si>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</si>
  <si>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</si>
  <si>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</si>
  <si>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</si>
  <si>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</si>
  <si>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</si>
  <si>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</si>
  <si>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</si>
  <si>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</si>
  <si>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</si>
  <si>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</si>
  <si>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</si>
  <si>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</si>
  <si>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</si>
  <si>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</si>
  <si>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</si>
  <si>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</si>
  <si>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</si>
  <si>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</si>
  <si>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</si>
  <si>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</si>
  <si>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</si>
  <si>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</si>
  <si>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</si>
  <si>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</si>
  <si>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</si>
  <si>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</si>
  <si>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</si>
  <si>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</si>
  <si>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</si>
  <si>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</si>
  <si>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</si>
  <si>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</si>
  <si>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</si>
  <si>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</si>
  <si>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</si>
  <si>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</si>
  <si>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</si>
  <si>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</si>
  <si>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</si>
  <si>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</si>
  <si>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</si>
  <si>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</si>
  <si>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</si>
  <si>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</si>
  <si>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</si>
  <si>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</si>
  <si>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</si>
  <si>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</si>
  <si>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</si>
  <si>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</si>
  <si>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</si>
  <si>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</si>
  <si>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</si>
  <si>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</si>
  <si>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</si>
  <si>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</si>
  <si>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</si>
  <si>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</si>
  <si>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</si>
  <si>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</si>
  <si>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</si>
  <si>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</si>
  <si>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</si>
  <si>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</si>
  <si>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</si>
  <si>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</si>
  <si>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</si>
  <si>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</si>
  <si>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</si>
  <si>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</si>
  <si>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</si>
  <si>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</si>
  <si>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</si>
  <si>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</si>
  <si>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</si>
  <si>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</si>
  <si>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</si>
  <si>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</si>
  <si>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</si>
  <si>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</si>
  <si>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</si>
  <si>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</si>
  <si>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</si>
  <si>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</si>
  <si>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</si>
  <si>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</si>
  <si>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</si>
  <si>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</si>
  <si>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</si>
  <si>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</si>
  <si>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</si>
  <si>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</si>
  <si>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</si>
  <si>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</si>
  <si>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</si>
  <si>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</si>
  <si>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</si>
  <si>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</si>
  <si>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</si>
  <si>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</si>
  <si>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</si>
  <si>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</si>
  <si>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</si>
  <si>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</si>
  <si>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</si>
  <si>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</si>
  <si>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</si>
  <si>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</si>
  <si>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</si>
  <si>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</si>
  <si>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</si>
  <si>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</si>
  <si>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</si>
  <si>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</si>
  <si>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</si>
  <si>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</si>
  <si>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</si>
  <si>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</si>
  <si>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</si>
  <si>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</si>
  <si>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</si>
  <si>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</si>
  <si>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</si>
  <si>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</si>
  <si>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</si>
  <si>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</si>
  <si>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</si>
  <si>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</si>
  <si>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</si>
  <si>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</si>
  <si>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</si>
  <si>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</si>
  <si>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</si>
  <si>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</si>
  <si>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</si>
  <si>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</si>
  <si>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</si>
  <si>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</si>
  <si>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</si>
  <si>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</si>
  <si>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</si>
  <si>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</si>
  <si>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</si>
  <si>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</si>
  <si>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</si>
  <si>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</si>
  <si>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</si>
  <si>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</si>
  <si>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</si>
  <si>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</si>
  <si>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</si>
  <si>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</si>
  <si>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</si>
  <si>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</si>
  <si>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</si>
  <si>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</si>
  <si>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</si>
  <si>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</si>
  <si>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</si>
  <si>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</si>
  <si>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</si>
  <si>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</si>
  <si>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</si>
  <si>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</si>
  <si>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</si>
  <si>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</si>
  <si>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</si>
  <si>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</si>
  <si>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</si>
  <si>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</si>
  <si>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</si>
  <si>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</si>
  <si>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</si>
  <si>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</si>
  <si>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</si>
  <si>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</si>
  <si>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</si>
  <si>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</si>
  <si>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</si>
  <si>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</si>
  <si>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</si>
  <si>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</si>
  <si>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</si>
  <si>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</si>
  <si>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</si>
  <si>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</si>
  <si>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</si>
  <si>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</si>
  <si>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</si>
  <si>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</si>
  <si>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</si>
  <si>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</si>
  <si>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</si>
  <si>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</si>
  <si>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</si>
  <si>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</si>
  <si>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</si>
  <si>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</si>
  <si>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</si>
  <si>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</si>
  <si>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</si>
  <si>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</si>
  <si>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</si>
  <si>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</si>
  <si>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</si>
  <si>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</si>
  <si>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</si>
  <si>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</si>
  <si>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</si>
  <si>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</si>
  <si>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</si>
  <si>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</si>
  <si>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</si>
  <si>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</si>
  <si>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</si>
  <si>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</si>
  <si>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</si>
  <si>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</si>
  <si>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</si>
  <si>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</si>
  <si>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</si>
  <si>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</si>
  <si>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</si>
  <si>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</si>
  <si>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</si>
  <si>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</si>
  <si>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</si>
  <si>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</si>
  <si>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</si>
  <si>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</si>
  <si>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</si>
  <si>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</si>
  <si>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</si>
  <si>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</si>
  <si>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</si>
  <si>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</si>
  <si>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</si>
  <si>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</si>
  <si>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</si>
  <si>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</si>
  <si>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</si>
  <si>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</si>
  <si>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</si>
  <si>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</si>
  <si>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</si>
  <si>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</si>
  <si>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</si>
  <si>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</si>
  <si>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</si>
  <si>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</si>
  <si>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</si>
  <si>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</si>
  <si>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</si>
  <si>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</si>
  <si>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</si>
  <si>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</si>
  <si>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</si>
  <si>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</si>
  <si>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</si>
  <si>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</si>
  <si>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</si>
  <si>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</si>
  <si>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</si>
  <si>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</si>
  <si>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</si>
  <si>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</si>
  <si>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</si>
  <si>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</si>
  <si>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</si>
  <si>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</si>
  <si>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</si>
  <si>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</si>
  <si>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</si>
  <si>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</si>
  <si>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</si>
  <si>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</si>
  <si>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</si>
  <si>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</si>
  <si>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</si>
  <si>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</si>
  <si>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</si>
  <si>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</si>
  <si>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</si>
  <si>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</si>
  <si>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</si>
  <si>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</si>
  <si>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</si>
  <si>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</si>
  <si>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</si>
  <si>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</si>
  <si>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</si>
  <si>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</si>
  <si>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</si>
  <si>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</si>
  <si>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</si>
  <si>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</si>
  <si>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</si>
  <si>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</si>
  <si>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</si>
  <si>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</si>
  <si>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</si>
  <si>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</si>
  <si>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</si>
  <si>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</si>
  <si>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</si>
  <si>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</si>
  <si>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</si>
  <si>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</si>
  <si>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</si>
  <si>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</si>
  <si>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</si>
  <si>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</si>
  <si>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</si>
  <si>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</si>
  <si>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</si>
  <si>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</si>
  <si>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</si>
  <si>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</si>
  <si>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</si>
  <si>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</si>
  <si>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</si>
  <si>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</si>
  <si>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</si>
  <si>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</si>
  <si>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</si>
  <si>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</si>
  <si>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</si>
  <si>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</si>
  <si>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</si>
  <si>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</si>
  <si>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</si>
  <si>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</si>
  <si>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</si>
  <si>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</si>
  <si>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</si>
  <si>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</si>
  <si>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</si>
  <si>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</si>
  <si>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</si>
  <si>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</si>
  <si>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</si>
  <si>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</si>
  <si>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</si>
  <si>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</si>
  <si>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</si>
  <si>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</si>
  <si>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</si>
  <si>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</si>
  <si>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</si>
  <si>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</si>
  <si>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</si>
  <si>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</si>
  <si>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</si>
  <si>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</si>
  <si>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</si>
  <si>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</si>
  <si>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</si>
  <si>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</si>
  <si>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</si>
  <si>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</si>
  <si>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</si>
  <si>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</si>
  <si>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</si>
  <si>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</si>
  <si>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</si>
  <si>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</si>
  <si>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</si>
  <si>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</si>
  <si>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</si>
  <si>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</si>
  <si>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</si>
  <si>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</si>
  <si>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</si>
  <si>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</si>
  <si>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</si>
  <si>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</si>
  <si>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</si>
  <si>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</si>
  <si>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</si>
  <si>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</si>
  <si>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</si>
  <si>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</si>
  <si>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</si>
  <si>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</si>
  <si>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</si>
  <si>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</si>
  <si>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</si>
  <si>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</si>
  <si>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</si>
  <si>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</si>
  <si>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</si>
  <si>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</si>
  <si>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</si>
  <si>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</si>
  <si>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</si>
  <si>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</si>
  <si>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</si>
  <si>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</si>
  <si>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</si>
  <si>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</si>
  <si>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</si>
  <si>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</si>
  <si>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</si>
  <si>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</si>
  <si>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</si>
  <si>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</si>
  <si>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</si>
  <si>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</si>
  <si>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</si>
  <si>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</si>
  <si>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</si>
  <si>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</si>
  <si>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</si>
  <si>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</si>
  <si>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</si>
  <si>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</si>
  <si>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</si>
  <si>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</si>
  <si>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</si>
  <si>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</si>
  <si>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</si>
  <si>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</si>
  <si>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</si>
  <si>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</si>
  <si>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</si>
  <si>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</si>
  <si>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</si>
  <si>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</si>
  <si>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</si>
  <si>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</si>
  <si>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</si>
  <si>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</si>
  <si>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</si>
  <si>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</si>
  <si>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</si>
  <si>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</si>
  <si>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</si>
  <si>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</si>
  <si>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</si>
  <si>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</si>
  <si>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</si>
  <si>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</si>
  <si>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</si>
  <si>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</si>
  <si>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</si>
  <si>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</si>
  <si>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</si>
  <si>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</si>
  <si>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</si>
  <si>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</si>
  <si>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</si>
  <si>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</si>
  <si>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</si>
  <si>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</si>
  <si>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</si>
  <si>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</si>
  <si>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</si>
  <si>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</si>
  <si>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</si>
  <si>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</si>
  <si>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</si>
  <si>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</si>
  <si>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</si>
  <si>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</si>
  <si>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</si>
  <si>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</si>
  <si>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</si>
  <si>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</si>
  <si>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</si>
  <si>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</si>
  <si>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</si>
  <si>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</si>
  <si>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</si>
  <si>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</si>
  <si>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</si>
  <si>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</si>
  <si>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</si>
  <si>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</si>
  <si>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</si>
  <si>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</si>
  <si>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</si>
  <si>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</si>
  <si>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</si>
  <si>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</si>
  <si>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</si>
  <si>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</si>
  <si>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</si>
  <si>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</si>
  <si>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</si>
  <si>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</si>
  <si>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</si>
  <si>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</si>
  <si>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</si>
  <si>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</si>
  <si>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</si>
  <si>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</si>
  <si>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</si>
  <si>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</si>
  <si>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</si>
  <si>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</si>
  <si>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</si>
  <si>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</si>
  <si>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</si>
  <si>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</si>
  <si>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</si>
  <si>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</si>
  <si>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</si>
  <si>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</si>
  <si>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</si>
  <si>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</si>
  <si>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</si>
  <si>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</si>
  <si>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</si>
  <si>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</si>
  <si>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</si>
  <si>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</si>
  <si>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</si>
  <si>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</si>
  <si>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</si>
  <si>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</si>
  <si>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</si>
  <si>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</si>
  <si>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</si>
  <si>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</si>
  <si>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</si>
  <si>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</si>
  <si>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</si>
  <si>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</si>
  <si>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</si>
  <si>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</si>
  <si>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</si>
  <si>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</si>
  <si>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</si>
  <si>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</si>
  <si>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</si>
  <si>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</si>
  <si>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</si>
  <si>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</si>
  <si>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</si>
  <si>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</si>
  <si>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</si>
  <si>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</si>
  <si>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</si>
  <si>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</si>
  <si>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</si>
  <si>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</si>
  <si>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</si>
  <si>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</si>
  <si>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</si>
  <si>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</si>
  <si>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</si>
  <si>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</si>
  <si>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</si>
  <si>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</si>
  <si>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</si>
  <si>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</si>
  <si>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</si>
  <si>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</si>
  <si>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</si>
  <si>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</si>
  <si>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</si>
  <si>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</si>
  <si>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</si>
  <si>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</si>
  <si>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</si>
  <si>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</si>
  <si>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</si>
  <si>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</si>
  <si>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</si>
  <si>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</si>
  <si>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</si>
  <si>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</si>
  <si>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</si>
  <si>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</si>
  <si>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</si>
  <si>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</si>
  <si>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</si>
  <si>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</si>
  <si>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</si>
  <si>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</si>
  <si>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</si>
  <si>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</si>
  <si>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</si>
  <si>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</si>
  <si>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</si>
  <si>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</si>
  <si>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</si>
  <si>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</si>
  <si>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</si>
  <si>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</si>
  <si>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</si>
  <si>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</si>
  <si>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</si>
  <si>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</si>
  <si>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</si>
  <si>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</si>
  <si>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</si>
  <si>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</si>
  <si>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</si>
  <si>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</si>
  <si>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</si>
  <si>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</si>
  <si>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</si>
  <si>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</si>
  <si>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</si>
  <si>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</si>
  <si>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</si>
  <si>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</si>
  <si>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</si>
  <si>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</si>
  <si>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</si>
  <si>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</si>
  <si>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</si>
  <si>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</si>
  <si>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</si>
  <si>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</si>
  <si>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</si>
  <si>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</si>
  <si>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</si>
  <si>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</si>
  <si>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</si>
  <si>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</si>
  <si>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</si>
  <si>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</si>
  <si>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</si>
  <si>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</si>
  <si>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</si>
  <si>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</si>
  <si>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</si>
  <si>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</si>
  <si>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</si>
  <si>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</si>
  <si>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</si>
  <si>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</si>
  <si>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</si>
  <si>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</si>
  <si>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</si>
  <si>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</si>
  <si>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</si>
  <si>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</si>
  <si>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</si>
  <si>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</si>
  <si>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</si>
  <si>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</si>
  <si>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</si>
  <si>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</si>
  <si>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</si>
  <si>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</si>
  <si>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</si>
  <si>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</si>
  <si>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</si>
  <si>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</si>
  <si>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</si>
  <si>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</si>
  <si>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</si>
  <si>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</si>
  <si>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</si>
  <si>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</si>
  <si>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</si>
  <si>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</si>
  <si>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</si>
  <si>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</si>
  <si>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</si>
  <si>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</si>
  <si>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</si>
  <si>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</si>
  <si>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</si>
  <si>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</si>
  <si>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</si>
  <si>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</si>
  <si>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</si>
  <si>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</si>
  <si>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</si>
  <si>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</si>
  <si>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</si>
  <si>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</si>
  <si>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</si>
  <si>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</si>
  <si>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</si>
  <si>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</si>
  <si>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</si>
  <si>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</si>
  <si>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</si>
  <si>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</si>
  <si>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</si>
  <si>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</si>
  <si>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</si>
  <si>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</si>
  <si>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</si>
  <si>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</si>
  <si>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</si>
  <si>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</si>
  <si>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</si>
  <si>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</si>
  <si>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</si>
  <si>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</si>
  <si>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</si>
  <si>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</si>
  <si>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</si>
  <si>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</si>
  <si>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</si>
  <si>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</si>
  <si>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</si>
  <si>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</si>
  <si>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</si>
  <si>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</si>
  <si>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</si>
  <si>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</si>
  <si>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</si>
  <si>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</si>
  <si>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</si>
  <si>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</si>
  <si>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</si>
  <si>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</si>
  <si>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</si>
  <si>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</si>
  <si>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</si>
  <si>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</si>
  <si>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</si>
  <si>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</si>
  <si>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</si>
  <si>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</si>
  <si>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</si>
  <si>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</si>
  <si>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</si>
  <si>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</si>
  <si>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</si>
  <si>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</si>
  <si>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</si>
  <si>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</si>
  <si>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</si>
  <si>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</si>
  <si>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</si>
  <si>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</si>
  <si>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</si>
  <si>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</si>
  <si>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</si>
  <si>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</si>
  <si>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</si>
  <si>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</si>
  <si>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</si>
  <si>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</si>
  <si>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</si>
  <si>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</si>
  <si>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</si>
  <si>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</si>
  <si>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</si>
  <si>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</si>
  <si>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</si>
  <si>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</si>
  <si>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</si>
  <si>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</si>
  <si>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</si>
  <si>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</si>
  <si>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</si>
  <si>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</si>
  <si>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</si>
  <si>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</si>
  <si>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</si>
  <si>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</si>
  <si>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</si>
  <si>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</si>
  <si>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</si>
  <si>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</si>
  <si>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</si>
  <si>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</si>
  <si>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</si>
  <si>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</si>
  <si>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</si>
  <si>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</si>
  <si>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</si>
  <si>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</si>
  <si>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</si>
  <si>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</si>
  <si>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</si>
  <si>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</si>
  <si>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</si>
  <si>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</si>
  <si>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</si>
  <si>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</si>
  <si>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</si>
  <si>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</si>
  <si>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</si>
  <si>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</si>
  <si>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</si>
  <si>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</si>
  <si>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</si>
  <si>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</si>
  <si>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</si>
  <si>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</si>
  <si>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</si>
  <si>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</si>
  <si>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</si>
  <si>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</si>
  <si>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</si>
  <si>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</si>
  <si>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</si>
  <si>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</si>
  <si>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</si>
  <si>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</si>
  <si>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</si>
  <si>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</si>
  <si>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</si>
  <si>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</si>
  <si>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</si>
  <si>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</si>
  <si>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</si>
  <si>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</si>
  <si>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</si>
  <si>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</si>
  <si>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</si>
  <si>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</si>
  <si>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</si>
  <si>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</si>
  <si>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</si>
  <si>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</si>
  <si>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</si>
  <si>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</si>
  <si>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</si>
  <si>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</si>
  <si>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</si>
  <si>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</si>
  <si>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</si>
  <si>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</si>
  <si>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</si>
  <si>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</si>
  <si>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</si>
  <si>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</si>
  <si>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</si>
  <si>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</si>
  <si>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</si>
  <si>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</si>
  <si>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</si>
  <si>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</si>
  <si>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</si>
  <si>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</si>
  <si>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</si>
  <si>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</si>
  <si>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</si>
  <si>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</si>
  <si>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</si>
  <si>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</si>
  <si>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</si>
  <si>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</si>
  <si>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</si>
  <si>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</si>
  <si>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</si>
  <si>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</si>
  <si>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</si>
  <si>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</si>
  <si>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</si>
  <si>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</si>
  <si>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</si>
  <si>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</si>
  <si>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</si>
  <si>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</si>
  <si>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</si>
  <si>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</si>
  <si>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</si>
  <si>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</si>
  <si>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</si>
  <si>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</si>
  <si>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</si>
  <si>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</si>
  <si>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</si>
  <si>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</si>
  <si>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</si>
  <si>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</si>
  <si>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</si>
  <si>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</si>
  <si>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</si>
  <si>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</si>
  <si>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</si>
  <si>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</si>
  <si>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</si>
  <si>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</si>
  <si>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</si>
  <si>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</si>
  <si>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</si>
  <si>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</si>
  <si>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</si>
  <si>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</si>
  <si>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</si>
  <si>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</si>
  <si>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</si>
  <si>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</si>
  <si>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</si>
  <si>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</si>
  <si>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</si>
  <si>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</si>
  <si>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</si>
  <si>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</si>
  <si>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</si>
  <si>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</si>
  <si>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</si>
  <si>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</si>
  <si>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</si>
  <si>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</si>
  <si>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</si>
  <si>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</si>
  <si>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</si>
  <si>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</si>
  <si>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</si>
  <si>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</si>
  <si>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</si>
  <si>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</si>
  <si>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</si>
  <si>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</si>
  <si>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</si>
  <si>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</si>
  <si>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</si>
  <si>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</si>
  <si>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</si>
  <si>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</si>
  <si>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</si>
  <si>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</si>
  <si>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</si>
  <si>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</si>
  <si>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</si>
  <si>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</si>
  <si>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</si>
  <si>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</si>
  <si>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</si>
  <si>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</si>
  <si>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</si>
  <si>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</si>
  <si>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</si>
  <si>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</si>
  <si>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</si>
  <si>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</si>
  <si>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</si>
  <si>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</si>
  <si>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</si>
  <si>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</si>
  <si>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</si>
  <si>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</si>
  <si>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</si>
  <si>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</si>
  <si>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</si>
  <si>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</si>
  <si>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</si>
  <si>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</si>
  <si>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</si>
  <si>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</si>
  <si>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</si>
  <si>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</si>
  <si>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</si>
  <si>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</si>
  <si>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</si>
  <si>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</si>
  <si>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</si>
  <si>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</si>
  <si>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</si>
  <si>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</si>
  <si>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</si>
  <si>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</si>
  <si>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</si>
  <si>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</si>
  <si>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</si>
  <si>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</si>
  <si>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</si>
  <si>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</si>
  <si>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</si>
  <si>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</si>
  <si>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</si>
  <si>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</si>
  <si>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</si>
  <si>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</si>
  <si>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</si>
  <si>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</si>
  <si>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</si>
  <si>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</si>
  <si>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</si>
  <si>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</si>
  <si>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</si>
  <si>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</si>
  <si>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</si>
  <si>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</si>
  <si>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</si>
  <si>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</si>
  <si>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</si>
  <si>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</si>
  <si>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</si>
  <si>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</si>
  <si>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</si>
  <si>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</si>
  <si>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</si>
  <si>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</si>
  <si>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</si>
  <si>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</si>
  <si>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</si>
  <si>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</si>
  <si>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</si>
  <si>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</si>
  <si>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</si>
  <si>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</si>
  <si>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</si>
  <si>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</si>
  <si>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</si>
  <si>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</si>
  <si>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</si>
  <si>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</si>
  <si>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</si>
  <si>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</si>
  <si>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</si>
  <si>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</si>
  <si>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</si>
  <si>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</si>
  <si>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</si>
  <si>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</si>
  <si>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</si>
  <si>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</si>
  <si>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</si>
  <si>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</si>
  <si>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</si>
  <si>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</si>
  <si>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</si>
  <si>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</si>
  <si>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</si>
  <si>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</si>
  <si>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</si>
  <si>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</si>
  <si>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</si>
  <si>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</si>
  <si>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</si>
  <si>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</si>
  <si>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</si>
  <si>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</si>
  <si>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</si>
  <si>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</si>
  <si>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</si>
  <si>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</si>
  <si>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</si>
  <si>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</si>
  <si>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</si>
  <si>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</si>
  <si>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</si>
  <si>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</si>
  <si>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</si>
  <si>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</si>
  <si>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</si>
  <si>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</si>
  <si>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</si>
  <si>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</si>
  <si>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</si>
  <si>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</si>
  <si>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</si>
  <si>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</si>
  <si>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</si>
  <si>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</si>
  <si>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</si>
  <si>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</si>
  <si>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</si>
  <si>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</si>
  <si>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</si>
  <si>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</si>
  <si>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</si>
  <si>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</si>
  <si>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</si>
  <si>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</si>
  <si>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</si>
  <si>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</si>
  <si>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</si>
  <si>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</si>
  <si>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</si>
  <si>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</si>
  <si>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</si>
  <si>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</si>
  <si>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</si>
  <si>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</si>
  <si>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</si>
  <si>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</si>
  <si>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</si>
  <si>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</si>
  <si>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</si>
  <si>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</si>
  <si>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</si>
  <si>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</si>
  <si>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</si>
  <si>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</si>
  <si>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</si>
  <si>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</si>
  <si>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</si>
  <si>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</si>
  <si>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</si>
  <si>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</si>
  <si>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</si>
  <si>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</si>
  <si>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</si>
  <si>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</si>
  <si>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</si>
  <si>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</si>
  <si>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</si>
  <si>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</si>
  <si>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</si>
  <si>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</si>
  <si>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</si>
  <si>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</si>
  <si>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</si>
  <si>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</si>
  <si>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</si>
  <si>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</si>
  <si>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</si>
  <si>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</si>
  <si>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</si>
  <si>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</si>
  <si>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</si>
  <si>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</si>
  <si>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</si>
  <si>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</si>
  <si>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</si>
  <si>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</si>
  <si>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</si>
  <si>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</si>
  <si>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</si>
  <si>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</si>
  <si>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</si>
  <si>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</si>
  <si>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</si>
  <si>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</si>
  <si>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</si>
  <si>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</si>
  <si>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</si>
  <si>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</si>
  <si>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</si>
  <si>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</si>
  <si>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</si>
  <si>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</si>
  <si>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</si>
  <si>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</si>
  <si>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</si>
  <si>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</si>
  <si>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</si>
  <si>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</si>
  <si>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</si>
  <si>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</si>
  <si>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</si>
  <si>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</si>
  <si>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</si>
  <si>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</si>
  <si>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</si>
  <si>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</si>
  <si>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</si>
  <si>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</si>
  <si>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</si>
  <si>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</si>
  <si>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</si>
  <si>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</si>
  <si>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</si>
  <si>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</si>
  <si>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</si>
  <si>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</si>
  <si>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</si>
  <si>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</si>
  <si>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</si>
  <si>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</si>
  <si>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</si>
  <si>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</si>
  <si>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</si>
  <si>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</si>
  <si>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</si>
  <si>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</si>
  <si>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</si>
  <si>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</si>
  <si>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</si>
  <si>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</si>
  <si>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</si>
  <si>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</si>
  <si>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</si>
  <si>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</si>
  <si>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</si>
  <si>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</si>
  <si>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</si>
  <si>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</si>
  <si>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</si>
  <si>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</si>
  <si>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</si>
  <si>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</si>
  <si>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</si>
  <si>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</si>
  <si>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</si>
  <si>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</si>
  <si>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</si>
  <si>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</si>
  <si>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</si>
  <si>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</si>
  <si>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</si>
  <si>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</si>
  <si>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</si>
  <si>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</si>
  <si>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</si>
  <si>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</si>
  <si>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</si>
  <si>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</si>
  <si>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</si>
  <si>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</si>
  <si>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</si>
  <si>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</si>
  <si>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</si>
  <si>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</si>
  <si>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</si>
  <si>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</si>
  <si>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</si>
  <si>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</si>
  <si>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</si>
  <si>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</si>
  <si>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</si>
  <si>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</si>
  <si>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</si>
  <si>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</si>
  <si>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</si>
  <si>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</si>
  <si>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</si>
  <si>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</si>
  <si>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</si>
  <si>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</si>
  <si>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</si>
  <si>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</si>
  <si>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</si>
  <si>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</si>
  <si>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</si>
  <si>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</si>
  <si>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</si>
  <si>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</si>
  <si>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</si>
  <si>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</si>
  <si>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</si>
  <si>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</si>
  <si>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</si>
  <si>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</si>
  <si>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</si>
  <si>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</si>
  <si>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</si>
  <si>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</si>
  <si>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</si>
  <si>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</si>
  <si>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</si>
  <si>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</si>
  <si>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</si>
  <si>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</si>
  <si>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</si>
  <si>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</si>
  <si>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</si>
  <si>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</si>
  <si>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</si>
  <si>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</si>
  <si>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</si>
  <si>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</si>
  <si>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</si>
  <si>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</si>
  <si>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</si>
  <si>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</si>
  <si>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</si>
  <si>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</si>
  <si>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</si>
  <si>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</si>
  <si>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</si>
  <si>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</si>
  <si>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</si>
  <si>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</si>
  <si>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</si>
  <si>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</si>
  <si>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</si>
  <si>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</si>
  <si>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</si>
  <si>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</si>
  <si>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</si>
  <si>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</si>
  <si>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</si>
  <si>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</si>
  <si>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</si>
  <si>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</si>
  <si>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</si>
  <si>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</si>
  <si>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</si>
  <si>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</si>
  <si>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</si>
  <si>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</si>
  <si>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</si>
  <si>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</si>
  <si>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</si>
  <si>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</si>
  <si>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</si>
  <si>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</si>
  <si>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</si>
  <si>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</si>
  <si>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</si>
  <si>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</si>
  <si>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</si>
  <si>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</si>
  <si>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</si>
  <si>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</si>
  <si>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</si>
  <si>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</si>
  <si>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</si>
  <si>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</si>
  <si>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</si>
  <si>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</si>
  <si>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</si>
  <si>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</si>
  <si>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</si>
  <si>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</si>
  <si>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</si>
  <si>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</si>
  <si>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</si>
  <si>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</si>
  <si>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</si>
  <si>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</si>
  <si>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</si>
  <si>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</si>
  <si>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</si>
  <si>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</si>
  <si>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</si>
  <si>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</si>
  <si>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</si>
  <si>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</si>
  <si>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</si>
  <si>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</si>
  <si>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</si>
  <si>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</si>
  <si>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</si>
  <si>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</si>
  <si>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</si>
  <si>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</si>
  <si>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</si>
  <si>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</si>
  <si>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</si>
  <si>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</si>
  <si>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</si>
  <si>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</si>
  <si>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</si>
  <si>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</si>
  <si>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</si>
  <si>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</si>
  <si>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</si>
  <si>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</si>
  <si>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</si>
  <si>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</si>
  <si>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</si>
  <si>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</si>
  <si>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</si>
  <si>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</si>
  <si>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</si>
  <si>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</si>
  <si>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</si>
  <si>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</si>
  <si>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</si>
  <si>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</si>
  <si>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</si>
  <si>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</si>
  <si>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</si>
  <si>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</si>
  <si>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</si>
  <si>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</si>
  <si>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</si>
  <si>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</si>
  <si>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</si>
  <si>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</si>
  <si>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</si>
  <si>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</si>
  <si>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</si>
  <si>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</si>
  <si>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</si>
  <si>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</si>
  <si>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</si>
  <si>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</si>
  <si>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</si>
  <si>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</si>
  <si>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</si>
  <si>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</si>
  <si>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</si>
  <si>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</si>
  <si>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</si>
  <si>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</si>
  <si>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</si>
  <si>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</si>
  <si>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</si>
  <si>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</si>
  <si>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</si>
  <si>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</si>
  <si>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</si>
  <si>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</si>
  <si>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</si>
  <si>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</si>
  <si>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</si>
  <si>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</si>
  <si>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</si>
  <si>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</si>
  <si>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</si>
  <si>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</si>
  <si>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</si>
  <si>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</si>
  <si>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</si>
  <si>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</si>
  <si>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</si>
  <si>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</si>
  <si>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</si>
  <si>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</si>
  <si>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</si>
  <si>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</si>
  <si>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</si>
  <si>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</si>
  <si>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</si>
  <si>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</si>
  <si>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</si>
  <si>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</si>
  <si>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</si>
  <si>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</si>
  <si>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</si>
  <si>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</si>
  <si>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</si>
  <si>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</si>
  <si>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</si>
  <si>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</si>
  <si>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</si>
  <si>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</si>
  <si>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</si>
  <si>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</si>
  <si>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</si>
  <si>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</si>
  <si>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</si>
  <si>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</si>
  <si>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</si>
  <si>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</si>
  <si>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</si>
  <si>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</si>
  <si>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</si>
  <si>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</si>
  <si>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</si>
  <si>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</si>
  <si>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</si>
  <si>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</si>
  <si>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</si>
  <si>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</si>
  <si>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</si>
  <si>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</si>
  <si>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</si>
  <si>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</si>
  <si>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</si>
  <si>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</si>
  <si>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</si>
  <si>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</si>
  <si>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</si>
  <si>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</si>
  <si>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</si>
  <si>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</si>
  <si>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</si>
  <si>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</si>
  <si>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</si>
  <si>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</si>
  <si>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</si>
  <si>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</si>
  <si>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</si>
  <si>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</si>
  <si>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</si>
  <si>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</si>
  <si>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</si>
  <si>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</si>
  <si>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</si>
  <si>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</si>
  <si>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</si>
  <si>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</si>
  <si>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</si>
  <si>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</si>
  <si>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</si>
  <si>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</si>
  <si>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</si>
  <si>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</si>
  <si>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</si>
  <si>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</si>
  <si>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</si>
  <si>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</si>
  <si>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</si>
  <si>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</si>
  <si>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</si>
  <si>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</si>
  <si>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</si>
  <si>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</si>
  <si>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</si>
  <si>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</si>
  <si>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</si>
  <si>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</si>
  <si>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</si>
  <si>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</si>
  <si>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</si>
  <si>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</si>
  <si>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</si>
  <si>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</si>
  <si>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</si>
  <si>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</si>
  <si>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</si>
  <si>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</si>
  <si>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</si>
  <si>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</si>
  <si>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</si>
  <si>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</si>
  <si>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</si>
  <si>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</si>
  <si>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</si>
  <si>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</si>
  <si>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</si>
  <si>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</si>
  <si>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</si>
  <si>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</si>
  <si>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</si>
  <si>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</si>
  <si>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</si>
  <si>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</si>
  <si>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</si>
  <si>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</si>
  <si>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</si>
  <si>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</si>
  <si>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</si>
  <si>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</si>
  <si>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</si>
  <si>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</si>
  <si>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</si>
  <si>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</si>
  <si>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</si>
  <si>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</si>
  <si>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</si>
  <si>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</si>
  <si>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</si>
  <si>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</si>
  <si>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</si>
  <si>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</si>
  <si>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</si>
  <si>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</si>
  <si>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</si>
  <si>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</si>
  <si>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</si>
  <si>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</si>
  <si>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</si>
  <si>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</si>
  <si>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</si>
  <si>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</si>
  <si>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</si>
  <si>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</si>
  <si>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</si>
  <si>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</si>
  <si>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</si>
  <si>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</si>
  <si>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</si>
  <si>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</si>
  <si>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</si>
  <si>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</si>
  <si>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</si>
  <si>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</si>
  <si>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</si>
  <si>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</si>
  <si>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</si>
  <si>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</si>
  <si>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</si>
  <si>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</si>
  <si>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</si>
  <si>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</si>
  <si>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</si>
  <si>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</si>
  <si>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</si>
  <si>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</si>
  <si>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</si>
  <si>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</si>
  <si>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</si>
  <si>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</si>
  <si>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</si>
  <si>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</si>
  <si>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</si>
  <si>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</si>
  <si>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</si>
  <si>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</si>
  <si>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</si>
  <si>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</si>
  <si>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</si>
  <si>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</si>
  <si>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</si>
  <si>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</si>
  <si>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</si>
  <si>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</si>
  <si>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</si>
  <si>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</si>
  <si>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</si>
  <si>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</si>
  <si>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</si>
  <si>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</si>
  <si>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</si>
  <si>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</si>
  <si>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</si>
  <si>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</si>
  <si>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</si>
  <si>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</si>
  <si>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</si>
  <si>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</si>
  <si>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</si>
  <si>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</si>
  <si>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</si>
  <si>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</si>
  <si>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</si>
  <si>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</si>
  <si>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</si>
  <si>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</si>
  <si>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</si>
  <si>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</si>
  <si>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</si>
  <si>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</si>
  <si>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</si>
  <si>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</si>
  <si>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</si>
  <si>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</si>
  <si>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</si>
  <si>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</si>
  <si>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</si>
  <si>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</si>
  <si>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</si>
  <si>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</si>
  <si>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</si>
  <si>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</si>
  <si>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</si>
  <si>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</si>
  <si>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</si>
  <si>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</si>
  <si>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</si>
  <si>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</si>
  <si>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</si>
  <si>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</si>
  <si>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</si>
  <si>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</si>
  <si>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</si>
  <si>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</si>
  <si>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</si>
  <si>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</si>
  <si>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</si>
  <si>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</si>
  <si>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</si>
  <si>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</si>
  <si>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</si>
  <si>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</si>
  <si>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</si>
  <si>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</si>
  <si>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</si>
  <si>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</si>
  <si>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</si>
  <si>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</si>
  <si>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</si>
  <si>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</si>
  <si>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</si>
  <si>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</si>
  <si>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</si>
  <si>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</si>
  <si>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</si>
  <si>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</si>
  <si>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</si>
  <si>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</si>
  <si>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</si>
  <si>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</si>
  <si>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</si>
  <si>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</si>
  <si>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</si>
  <si>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</si>
  <si>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</si>
  <si>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</si>
  <si>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</si>
  <si>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</si>
  <si>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</si>
  <si>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</si>
  <si>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</si>
  <si>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</si>
  <si>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</si>
  <si>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</si>
  <si>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</si>
  <si>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</si>
  <si>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</si>
  <si>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</si>
  <si>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</si>
  <si>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</si>
  <si>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</si>
  <si>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</si>
  <si>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</si>
  <si>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</si>
  <si>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</si>
  <si>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</si>
  <si>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</si>
  <si>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</si>
  <si>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</si>
  <si>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</si>
  <si>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</si>
  <si>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</si>
  <si>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</si>
  <si>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</si>
  <si>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</si>
  <si>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</si>
  <si>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</si>
  <si>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</si>
  <si>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</si>
  <si>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</si>
  <si>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</si>
  <si>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</si>
  <si>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</si>
  <si>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</si>
  <si>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</si>
  <si>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</si>
  <si>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</si>
  <si>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</si>
  <si>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</si>
  <si>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</si>
  <si>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</si>
  <si>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</si>
  <si>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</si>
  <si>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</si>
  <si>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</si>
  <si>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</si>
  <si>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</si>
  <si>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</si>
  <si>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</si>
  <si>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</si>
  <si>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</si>
  <si>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</si>
  <si>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</si>
  <si>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</si>
  <si>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</si>
  <si>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</si>
  <si>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</si>
  <si>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</si>
  <si>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</si>
  <si>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</si>
  <si>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</si>
  <si>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</si>
  <si>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</si>
  <si>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</si>
  <si>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</si>
  <si>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</si>
  <si>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</si>
  <si>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</si>
  <si>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</si>
  <si>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</si>
  <si>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</si>
  <si>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</si>
  <si>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</si>
  <si>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</si>
  <si>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</si>
  <si>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</si>
  <si>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</si>
  <si>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</si>
  <si>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</si>
  <si>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</si>
  <si>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</si>
  <si>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</si>
  <si>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</si>
  <si>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</si>
  <si>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</si>
  <si>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</si>
  <si>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</si>
  <si>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</si>
  <si>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</si>
  <si>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</si>
  <si>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</si>
  <si>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</si>
  <si>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</si>
  <si>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</si>
  <si>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</si>
  <si>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</si>
  <si>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</si>
  <si>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</si>
  <si>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</si>
  <si>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</si>
  <si>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</si>
  <si>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</si>
  <si>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</si>
  <si>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</si>
  <si>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</si>
  <si>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</si>
  <si>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</si>
  <si>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</si>
  <si>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</si>
  <si>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</si>
  <si>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</si>
  <si>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</si>
  <si>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</si>
  <si>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</si>
  <si>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</si>
  <si>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</si>
  <si>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</si>
  <si>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</si>
  <si>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</si>
  <si>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</si>
  <si>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</si>
  <si>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</si>
  <si>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</si>
  <si>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</si>
  <si>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</si>
  <si>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</si>
  <si>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</si>
  <si>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</si>
  <si>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</si>
  <si>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</si>
  <si>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</si>
  <si>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</si>
  <si>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</si>
  <si>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</si>
  <si>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</si>
  <si>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</si>
  <si>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</si>
  <si>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</si>
  <si>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</si>
  <si>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</si>
  <si>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</si>
  <si>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</si>
  <si>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</si>
  <si>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</si>
  <si>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</si>
  <si>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</si>
  <si>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</si>
  <si>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</si>
  <si>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</si>
  <si>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</si>
  <si>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</si>
  <si>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</si>
  <si>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</si>
  <si>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</si>
  <si>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</si>
  <si>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</si>
  <si>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</si>
  <si>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</si>
  <si>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</si>
  <si>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</si>
  <si>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</si>
  <si>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</si>
  <si>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</si>
  <si>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</si>
  <si>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</si>
  <si>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</si>
  <si>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</si>
  <si>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</si>
  <si>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</si>
  <si>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</si>
  <si>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</si>
  <si>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</si>
  <si>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</si>
  <si>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</si>
  <si>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</si>
  <si>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</si>
  <si>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</si>
  <si>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</si>
  <si>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</si>
  <si>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</si>
  <si>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</si>
  <si>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</si>
  <si>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</si>
  <si>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</si>
  <si>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</si>
  <si>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</si>
  <si>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</si>
  <si>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</si>
  <si>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</si>
  <si>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</si>
  <si>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</si>
  <si>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</si>
  <si>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</si>
  <si>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</si>
  <si>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</si>
  <si>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</si>
  <si>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</si>
  <si>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</si>
  <si>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</si>
  <si>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</si>
  <si>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</si>
  <si>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</si>
  <si>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</si>
  <si>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</si>
  <si>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</si>
  <si>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</si>
  <si>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</si>
  <si>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</si>
  <si>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</si>
  <si>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</si>
  <si>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</si>
  <si>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</si>
  <si>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</si>
  <si>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</si>
  <si>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</si>
  <si>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</si>
  <si>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</si>
  <si>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</si>
  <si>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</si>
  <si>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</si>
  <si>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</si>
  <si>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</si>
  <si>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</si>
  <si>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</si>
  <si>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</si>
  <si>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</si>
  <si>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</si>
  <si>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</si>
  <si>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</si>
  <si>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</si>
  <si>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</si>
  <si>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</si>
  <si>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</si>
  <si>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</si>
  <si>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</si>
  <si>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</si>
  <si>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</si>
  <si>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</si>
  <si>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</si>
  <si>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</si>
  <si>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</si>
  <si>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</si>
  <si>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</si>
  <si>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</si>
  <si>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</si>
  <si>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</si>
  <si>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</si>
  <si>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</si>
  <si>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</si>
  <si>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</si>
  <si>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</si>
  <si>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</si>
  <si>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</si>
  <si>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</si>
  <si>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</si>
  <si>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</si>
  <si>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</si>
  <si>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</si>
  <si>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</si>
  <si>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</si>
  <si>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</si>
  <si>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</si>
  <si>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</si>
  <si>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</si>
  <si>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</si>
  <si>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</si>
  <si>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</si>
  <si>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</si>
  <si>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</si>
  <si>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</si>
  <si>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</si>
  <si>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</si>
  <si>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</si>
  <si>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</si>
  <si>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</si>
  <si>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</si>
  <si>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</si>
  <si>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</si>
  <si>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</si>
  <si>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</si>
  <si>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</si>
  <si>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</si>
  <si>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</si>
  <si>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</si>
  <si>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</si>
  <si>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</si>
  <si>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</si>
  <si>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</si>
  <si>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</si>
  <si>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</si>
  <si>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</si>
  <si>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</si>
  <si>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</si>
  <si>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</si>
  <si>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</si>
  <si>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</si>
  <si>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</si>
  <si>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</si>
  <si>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</si>
  <si>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</si>
  <si>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</si>
  <si>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</si>
  <si>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</si>
  <si>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</si>
  <si>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</si>
  <si>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</si>
  <si>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</si>
  <si>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</si>
  <si>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</si>
  <si>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</si>
  <si>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</si>
  <si>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</si>
  <si>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</si>
  <si>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</si>
  <si>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</si>
  <si>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</si>
  <si>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</si>
  <si>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</si>
  <si>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</si>
  <si>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</si>
  <si>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</si>
  <si>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</si>
  <si>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</si>
  <si>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</si>
  <si>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</si>
  <si>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</si>
  <si>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</si>
  <si>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</si>
  <si>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</si>
  <si>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</si>
  <si>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</si>
  <si>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</si>
  <si>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</si>
  <si>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</si>
  <si>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</si>
  <si>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</si>
  <si>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</si>
  <si>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</si>
  <si>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</si>
  <si>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</si>
  <si>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</si>
  <si>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</si>
  <si>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</si>
  <si>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</si>
  <si>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</si>
  <si>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</si>
  <si>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</si>
  <si>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</si>
  <si>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</si>
  <si>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</si>
  <si>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</si>
  <si>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</si>
  <si>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</si>
  <si>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</si>
  <si>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</si>
  <si>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</si>
  <si>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</si>
  <si>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</si>
  <si>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</si>
  <si>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</si>
  <si>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</si>
  <si>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</si>
  <si>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</si>
  <si>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</si>
  <si>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</si>
  <si>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</si>
  <si>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</si>
  <si>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</si>
  <si>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</si>
  <si>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</si>
  <si>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</si>
  <si>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</si>
  <si>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</si>
  <si>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</si>
  <si>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</si>
  <si>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</si>
  <si>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</si>
  <si>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</si>
  <si>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</si>
  <si>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</si>
  <si>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</si>
  <si>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</si>
  <si>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</si>
  <si>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</si>
  <si>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</si>
  <si>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</si>
  <si>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</si>
  <si>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</si>
  <si>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</si>
  <si>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</si>
  <si>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</si>
  <si>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</si>
  <si>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</si>
  <si>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</si>
  <si>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</si>
  <si>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</si>
  <si>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</si>
  <si>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</si>
  <si>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</si>
  <si>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</si>
  <si>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</si>
  <si>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</si>
  <si>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</si>
  <si>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</si>
  <si>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</si>
  <si>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</si>
  <si>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</si>
  <si>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</si>
  <si>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</si>
  <si>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</si>
  <si>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</si>
  <si>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</si>
  <si>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</si>
  <si>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</si>
  <si>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</si>
  <si>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</si>
  <si>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</si>
  <si>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</si>
  <si>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</si>
  <si>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</si>
  <si>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</si>
  <si>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</si>
  <si>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</si>
  <si>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</si>
  <si>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</si>
  <si>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</si>
  <si>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</si>
  <si>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</si>
  <si>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</si>
  <si>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</si>
  <si>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</si>
  <si>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</si>
  <si>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</si>
  <si>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</si>
  <si>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</si>
  <si>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</si>
  <si>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</si>
  <si>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</si>
  <si>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</si>
  <si>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</si>
  <si>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</si>
  <si>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</si>
  <si>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</si>
  <si>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</si>
  <si>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</si>
  <si>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</si>
  <si>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</si>
  <si>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</si>
  <si>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</si>
  <si>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</si>
  <si>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</si>
  <si>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</si>
  <si>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</si>
  <si>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</si>
  <si>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</si>
  <si>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</si>
  <si>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</si>
  <si>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</si>
  <si>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</si>
  <si>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</si>
  <si>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</si>
  <si>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</si>
  <si>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</si>
  <si>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</si>
  <si>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</si>
  <si>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</si>
  <si>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</si>
  <si>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</si>
  <si>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</si>
  <si>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</si>
  <si>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</si>
  <si>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</si>
  <si>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</si>
  <si>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</si>
  <si>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</si>
  <si>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</si>
  <si>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</si>
  <si>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</si>
  <si>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</si>
  <si>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</si>
  <si>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</si>
  <si>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</si>
  <si>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</si>
  <si>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</si>
  <si>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</si>
  <si>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</si>
  <si>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</si>
  <si>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</si>
  <si>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</si>
  <si>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</si>
  <si>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</si>
  <si>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</si>
  <si>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</si>
  <si>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</si>
  <si>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</si>
  <si>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</si>
  <si>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</si>
  <si>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</si>
  <si>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</si>
  <si>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</si>
  <si>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</si>
  <si>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</si>
  <si>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</si>
  <si>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</si>
  <si>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</si>
  <si>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</si>
  <si>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</si>
  <si>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</si>
  <si>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</si>
  <si>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</si>
  <si>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</si>
  <si>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</si>
  <si>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</si>
  <si>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</si>
  <si>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</si>
  <si>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</si>
  <si>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</si>
  <si>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</si>
  <si>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</si>
  <si>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</si>
  <si>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</si>
  <si>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</si>
  <si>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</si>
  <si>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</si>
  <si>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</si>
  <si>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</si>
  <si>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</si>
  <si>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</si>
  <si>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</si>
  <si>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</si>
  <si>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</si>
  <si>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</si>
  <si>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</si>
  <si>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</si>
  <si>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</si>
  <si>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</si>
  <si>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</si>
  <si>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</si>
  <si>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</si>
  <si>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</si>
  <si>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</si>
  <si>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</si>
  <si>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</si>
  <si>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</si>
  <si>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</si>
  <si>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</si>
  <si>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</si>
  <si>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</si>
  <si>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</si>
  <si>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</si>
  <si>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</si>
  <si>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</si>
  <si>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</si>
  <si>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</si>
  <si>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</si>
  <si>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</si>
  <si>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</si>
  <si>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</si>
  <si>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</si>
  <si>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</si>
  <si>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</si>
  <si>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</si>
  <si>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</si>
  <si>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</si>
  <si>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</si>
  <si>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</si>
  <si>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</si>
  <si>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</si>
  <si>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</si>
  <si>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</si>
  <si>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</si>
  <si>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</si>
  <si>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</si>
  <si>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</si>
  <si>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</si>
  <si>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</si>
  <si>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</si>
  <si>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</si>
  <si>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</si>
  <si>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</si>
  <si>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</si>
  <si>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</si>
  <si>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</si>
  <si>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</si>
  <si>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</si>
  <si>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</si>
  <si>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</si>
  <si>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</si>
  <si>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</si>
  <si>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</si>
  <si>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</si>
  <si>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</si>
  <si>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</si>
  <si>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</si>
  <si>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</si>
  <si>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</si>
  <si>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</si>
  <si>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</si>
  <si>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</si>
  <si>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</si>
  <si>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</si>
  <si>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</si>
  <si>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</si>
  <si>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</si>
  <si>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</si>
  <si>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</si>
  <si>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</si>
  <si>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</si>
  <si>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</si>
  <si>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</si>
  <si>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</si>
  <si>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</si>
  <si>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</si>
  <si>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</si>
  <si>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</si>
  <si>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</si>
  <si>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</si>
  <si>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</si>
  <si>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</si>
  <si>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</si>
  <si>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</si>
  <si>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</si>
  <si>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</si>
  <si>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</si>
  <si>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</si>
  <si>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</si>
  <si>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</si>
  <si>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</si>
  <si>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</si>
  <si>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</si>
  <si>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</si>
  <si>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</si>
  <si>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</si>
  <si>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</si>
  <si>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</si>
  <si>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</si>
  <si>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</si>
  <si>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</si>
  <si>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</si>
  <si>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</si>
  <si>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</si>
  <si>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</si>
  <si>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</si>
  <si>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</si>
  <si>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</si>
  <si>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</si>
  <si>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</si>
  <si>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</si>
  <si>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</si>
  <si>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</si>
  <si>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</si>
  <si>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</si>
  <si>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</si>
  <si>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</si>
  <si>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</si>
  <si>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</si>
  <si>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</si>
  <si>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</si>
  <si>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</si>
  <si>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</si>
  <si>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</si>
  <si>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</si>
  <si>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</si>
  <si>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</si>
  <si>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</si>
  <si>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</si>
  <si>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</si>
  <si>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</si>
  <si>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</si>
  <si>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</si>
  <si>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</si>
  <si>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</si>
  <si>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</si>
  <si>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</si>
  <si>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</si>
  <si>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</si>
  <si>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</si>
  <si>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</si>
  <si>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</si>
  <si>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</si>
  <si>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</si>
  <si>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</si>
  <si>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</si>
  <si>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</si>
  <si>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</si>
  <si>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</si>
  <si>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</si>
  <si>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</si>
  <si>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</si>
  <si>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</si>
  <si>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</si>
  <si>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</si>
  <si>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</si>
  <si>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</si>
  <si>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</si>
  <si>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</si>
  <si>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</si>
  <si>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</si>
  <si>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</si>
  <si>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</si>
  <si>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</si>
  <si>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</si>
  <si>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</si>
  <si>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</si>
  <si>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</si>
  <si>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</si>
  <si>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</si>
  <si>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</si>
  <si>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</si>
  <si>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</si>
  <si>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</si>
  <si>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</si>
  <si>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</si>
  <si>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</si>
  <si>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</si>
  <si>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</si>
  <si>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</si>
  <si>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</si>
  <si>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</si>
  <si>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</si>
  <si>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</si>
  <si>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</si>
  <si>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</si>
  <si>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</si>
  <si>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</si>
  <si>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</si>
  <si>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</si>
  <si>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</si>
  <si>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</si>
  <si>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</si>
  <si>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</si>
  <si>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</si>
  <si>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</si>
  <si>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</si>
  <si>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</si>
  <si>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</si>
  <si>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</si>
  <si>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</si>
  <si>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</si>
  <si>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</si>
  <si>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</si>
  <si>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</si>
  <si>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</si>
  <si>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</si>
  <si>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</si>
  <si>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</si>
  <si>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</si>
  <si>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</si>
  <si>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</si>
  <si>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</si>
  <si>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</si>
  <si>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</si>
  <si>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</si>
  <si>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</si>
  <si>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</si>
  <si>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</si>
  <si>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</si>
  <si>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</si>
  <si>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</si>
  <si>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</si>
  <si>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</si>
  <si>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</si>
  <si>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</si>
  <si>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</si>
  <si>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</si>
  <si>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</si>
  <si>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</si>
  <si>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</si>
  <si>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</si>
  <si>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</si>
  <si>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</si>
  <si>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</si>
  <si>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</si>
  <si>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</si>
  <si>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</si>
  <si>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</si>
  <si>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</si>
  <si>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</si>
  <si>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</si>
  <si>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</si>
  <si>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</si>
  <si>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</si>
  <si>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</si>
  <si>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</si>
  <si>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</si>
  <si>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</si>
  <si>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</si>
  <si>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</si>
  <si>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</si>
  <si>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</si>
  <si>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</si>
  <si>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</si>
  <si>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</si>
  <si>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</si>
  <si>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</si>
  <si>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</si>
  <si>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</si>
  <si>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</si>
  <si>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</si>
  <si>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</si>
  <si>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</si>
  <si>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</si>
  <si>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</si>
  <si>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</si>
  <si>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</si>
  <si>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</si>
  <si>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</si>
  <si>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</si>
  <si>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</si>
  <si>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</si>
  <si>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</si>
  <si>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</si>
  <si>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</si>
  <si>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</si>
  <si>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</si>
  <si>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</si>
  <si>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</si>
  <si>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</si>
  <si>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</si>
  <si>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</si>
  <si>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</si>
  <si>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</si>
  <si>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</si>
  <si>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</si>
  <si>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</si>
  <si>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</si>
  <si>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</si>
  <si>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</si>
  <si>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</si>
  <si>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</si>
  <si>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</si>
  <si>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</si>
  <si>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</si>
  <si>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</si>
  <si>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</si>
  <si>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</si>
  <si>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</si>
  <si>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</si>
  <si>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</si>
  <si>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</si>
  <si>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</si>
  <si>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</si>
  <si>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</si>
  <si>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</si>
  <si>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</si>
  <si>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</si>
  <si>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</si>
  <si>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</si>
  <si>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</si>
  <si>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</si>
  <si>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</si>
  <si>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</si>
  <si>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</si>
  <si>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</si>
  <si>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</si>
  <si>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</si>
  <si>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</si>
  <si>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</si>
  <si>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</si>
  <si>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</si>
  <si>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</si>
  <si>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</si>
  <si>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</si>
  <si>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</si>
  <si>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</si>
  <si>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</si>
  <si>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</si>
  <si>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</si>
  <si>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</si>
  <si>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</si>
  <si>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</si>
  <si>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</si>
  <si>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</si>
  <si>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</si>
  <si>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</si>
  <si>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</si>
  <si>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</si>
  <si>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</si>
  <si>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</si>
  <si>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</si>
  <si>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</si>
  <si>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</si>
  <si>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</si>
  <si>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</si>
  <si>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</si>
  <si>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</si>
  <si>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</si>
  <si>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</si>
  <si>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</si>
  <si>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</si>
  <si>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</si>
  <si>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</si>
  <si>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</si>
  <si>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</si>
  <si>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</si>
  <si>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</si>
  <si>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</si>
  <si>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</si>
  <si>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</si>
  <si>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</si>
  <si>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</si>
  <si>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</si>
  <si>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</si>
  <si>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</si>
  <si>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</si>
  <si>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</si>
  <si>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</si>
  <si>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</si>
  <si>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</si>
  <si>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</si>
  <si>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</si>
  <si>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</si>
  <si>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</si>
  <si>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</si>
  <si>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</si>
  <si>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</si>
  <si>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</si>
  <si>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</si>
  <si>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</si>
  <si>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</si>
  <si>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</si>
  <si>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</si>
  <si>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</si>
  <si>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</si>
  <si>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</si>
  <si>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</si>
  <si>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</si>
  <si>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</si>
  <si>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</si>
  <si>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</si>
  <si>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</si>
  <si>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</si>
  <si>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</si>
  <si>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</si>
  <si>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</si>
  <si>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</si>
  <si>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</si>
  <si>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</si>
  <si>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</si>
  <si>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</si>
  <si>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</si>
  <si>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</si>
  <si>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</si>
  <si>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</si>
  <si>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</si>
  <si>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</si>
  <si>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</si>
  <si>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</si>
  <si>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</si>
  <si>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</si>
  <si>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</si>
  <si>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</si>
  <si>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</si>
  <si>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</si>
  <si>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</si>
  <si>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</si>
  <si>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</si>
  <si>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</si>
  <si>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</si>
  <si>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</si>
  <si>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</si>
  <si>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</si>
  <si>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</si>
  <si>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</si>
  <si>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</si>
  <si>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</si>
  <si>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</si>
  <si>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</si>
  <si>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</si>
  <si>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</si>
  <si>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</si>
  <si>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</si>
  <si>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</si>
  <si>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</si>
  <si>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</si>
  <si>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</si>
  <si>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</si>
  <si>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</si>
  <si>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</si>
  <si>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</si>
  <si>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</si>
  <si>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</si>
  <si>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</si>
  <si>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</si>
  <si>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</si>
  <si>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</si>
  <si>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</si>
  <si>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</si>
  <si>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</si>
  <si>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</si>
  <si>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</si>
  <si>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</si>
  <si>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</si>
  <si>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</si>
  <si>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</si>
  <si>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</si>
  <si>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</si>
  <si>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</si>
  <si>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</si>
  <si>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</si>
  <si>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</si>
  <si>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</si>
  <si>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</si>
  <si>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</si>
  <si>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</si>
  <si>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</si>
  <si>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</si>
  <si>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</si>
  <si>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</si>
  <si>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</si>
  <si>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</si>
  <si>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</si>
  <si>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</si>
  <si>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</si>
  <si>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</si>
  <si>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</si>
  <si>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</si>
  <si>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</si>
  <si>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</si>
  <si>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</si>
  <si>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</si>
  <si>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</si>
  <si>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</si>
  <si>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</si>
  <si>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</si>
  <si>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</si>
  <si>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</si>
  <si>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</si>
  <si>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</si>
  <si>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</si>
  <si>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</si>
  <si>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</si>
  <si>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</si>
  <si>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</si>
  <si>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</si>
  <si>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</si>
  <si>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</si>
  <si>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</si>
  <si>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</si>
  <si>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</si>
  <si>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</si>
  <si>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</si>
  <si>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</si>
  <si>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</si>
  <si>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</si>
  <si>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</si>
  <si>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</si>
  <si>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</si>
  <si>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</si>
  <si>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</si>
  <si>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</si>
  <si>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</si>
  <si>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</si>
  <si>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</si>
  <si>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</si>
  <si>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</si>
  <si>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</si>
  <si>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</si>
  <si>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</si>
  <si>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</si>
  <si>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</si>
  <si>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</si>
  <si>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</si>
  <si>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</si>
  <si>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</si>
  <si>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</si>
  <si>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</si>
  <si>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</si>
  <si>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</si>
  <si>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</si>
  <si>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</si>
  <si>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</si>
  <si>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</si>
  <si>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</si>
  <si>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</si>
  <si>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</si>
  <si>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</si>
  <si>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</si>
  <si>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</si>
  <si>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</si>
  <si>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</si>
  <si>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</si>
  <si>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</si>
  <si>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</si>
  <si>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</si>
  <si>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</si>
  <si>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</si>
  <si>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</si>
  <si>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</si>
  <si>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</si>
  <si>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</si>
  <si>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</si>
  <si>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</si>
  <si>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</si>
  <si>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</si>
  <si>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</si>
  <si>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</si>
  <si>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</si>
  <si>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</si>
  <si>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</si>
  <si>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</si>
  <si>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</si>
  <si>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</si>
  <si>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</si>
  <si>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</si>
  <si>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</si>
  <si>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</si>
  <si>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</si>
  <si>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</si>
  <si>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</si>
  <si>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</si>
  <si>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</si>
  <si>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</si>
  <si>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</si>
  <si>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</si>
  <si>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</si>
  <si>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</si>
  <si>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</si>
  <si>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</si>
  <si>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</si>
  <si>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</si>
  <si>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</si>
  <si>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</si>
  <si>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</si>
  <si>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</si>
  <si>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</si>
  <si>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</si>
  <si>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</si>
  <si>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</si>
  <si>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</si>
  <si>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</si>
  <si>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</si>
  <si>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</si>
  <si>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</si>
  <si>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</si>
  <si>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</si>
  <si>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</si>
  <si>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</si>
  <si>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</si>
  <si>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</si>
  <si>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</si>
  <si>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</si>
  <si>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</si>
  <si>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</si>
  <si>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</si>
  <si>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</si>
  <si>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</si>
  <si>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</si>
  <si>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</si>
  <si>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</si>
  <si>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</si>
  <si>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</si>
  <si>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</si>
  <si>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</si>
  <si>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</si>
  <si>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</si>
  <si>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</si>
  <si>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</si>
  <si>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</si>
  <si>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</si>
  <si>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</si>
  <si>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</si>
  <si>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</si>
  <si>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</si>
  <si>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</si>
  <si>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</si>
  <si>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</si>
  <si>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</si>
  <si>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</si>
  <si>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</si>
  <si>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</si>
  <si>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</si>
  <si>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</si>
  <si>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</si>
  <si>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</si>
  <si>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</si>
  <si>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</si>
  <si>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</si>
  <si>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</si>
  <si>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</si>
  <si>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</si>
  <si>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</si>
  <si>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</si>
  <si>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</si>
  <si>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</si>
  <si>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</si>
  <si>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</si>
  <si>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</si>
  <si>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</si>
  <si>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</si>
  <si>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</si>
  <si>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</si>
  <si>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</si>
  <si>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</si>
  <si>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</si>
  <si>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</si>
  <si>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</si>
  <si>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</si>
  <si>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</si>
  <si>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</si>
  <si>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</si>
  <si>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</si>
  <si>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</si>
  <si>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</si>
  <si>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</si>
  <si>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</si>
  <si>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</si>
  <si>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</si>
  <si>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</si>
  <si>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</si>
  <si>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</si>
  <si>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</si>
  <si>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</si>
  <si>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</si>
  <si>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</si>
  <si>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</si>
  <si>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</si>
  <si>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</si>
  <si>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</si>
  <si>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</si>
  <si>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</si>
  <si>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</si>
  <si>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</si>
  <si>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</si>
  <si>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</si>
  <si>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</si>
  <si>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</si>
  <si>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</si>
  <si>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</si>
  <si>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</si>
  <si>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</si>
  <si>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</si>
  <si>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</si>
  <si>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</si>
  <si>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</si>
  <si>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</si>
  <si>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</si>
  <si>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</si>
  <si>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</si>
  <si>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</si>
  <si>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</si>
  <si>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</si>
  <si>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</si>
  <si>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</si>
  <si>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</si>
  <si>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</si>
  <si>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</si>
  <si>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</si>
  <si>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</si>
  <si>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</si>
  <si>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</si>
  <si>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</si>
  <si>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</si>
  <si>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</si>
  <si>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</si>
  <si>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</si>
  <si>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</si>
  <si>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</si>
  <si>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</si>
  <si>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</si>
  <si>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</si>
  <si>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</si>
  <si>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</si>
  <si>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</si>
  <si>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</si>
  <si>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</si>
  <si>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</si>
  <si>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</si>
  <si>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</si>
  <si>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</si>
  <si>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</si>
  <si>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</si>
  <si>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</si>
  <si>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</si>
  <si>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</si>
  <si>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</si>
  <si>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</si>
  <si>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</si>
  <si>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</si>
  <si>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</si>
  <si>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</si>
  <si>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</si>
  <si>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</si>
  <si>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</si>
  <si>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</si>
  <si>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</si>
  <si>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</si>
  <si>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</si>
  <si>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</si>
  <si>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</si>
  <si>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</si>
  <si>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</si>
  <si>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</si>
  <si>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</si>
  <si>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</si>
  <si>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</si>
  <si>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</si>
  <si>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</si>
  <si>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</si>
  <si>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</si>
  <si>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</si>
  <si>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</si>
  <si>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</si>
  <si>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</si>
  <si>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</si>
  <si>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</si>
  <si>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</si>
  <si>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</si>
  <si>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</si>
  <si>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</si>
  <si>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</si>
  <si>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</si>
  <si>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</si>
  <si>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</si>
  <si>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</si>
  <si>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</si>
  <si>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</si>
  <si>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</si>
  <si>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</si>
  <si>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</si>
  <si>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</si>
  <si>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</si>
  <si>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</si>
  <si>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</si>
  <si>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</si>
  <si>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</si>
  <si>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</si>
  <si>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</si>
  <si>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</si>
  <si>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</si>
  <si>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</si>
  <si>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</si>
  <si>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</si>
  <si>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</si>
  <si>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</si>
  <si>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</si>
  <si>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</si>
  <si>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</si>
  <si>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</si>
  <si>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</si>
  <si>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</si>
  <si>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</si>
  <si>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</si>
  <si>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</si>
  <si>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</si>
  <si>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</si>
  <si>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</si>
  <si>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</si>
  <si>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</si>
  <si>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</si>
  <si>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</si>
  <si>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</si>
  <si>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</si>
  <si>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</si>
  <si>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</si>
  <si>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</si>
  <si>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</si>
  <si>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</si>
  <si>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</si>
  <si>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</si>
  <si>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</si>
  <si>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</si>
  <si>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</si>
  <si>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</si>
  <si>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</si>
  <si>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</si>
  <si>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</si>
  <si>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</si>
  <si>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</si>
  <si>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</si>
  <si>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</si>
  <si>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</si>
  <si>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</si>
  <si>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</si>
  <si>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</si>
  <si>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</si>
  <si>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</si>
  <si>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</si>
  <si>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</si>
  <si>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</si>
  <si>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</si>
  <si>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</si>
  <si>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</si>
  <si>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</si>
  <si>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</si>
  <si>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</si>
  <si>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</si>
  <si>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</si>
  <si>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</si>
  <si>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</si>
  <si>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</si>
  <si>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</si>
  <si>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</si>
  <si>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</si>
  <si>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</si>
  <si>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</si>
  <si>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</si>
  <si>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</si>
  <si>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</si>
  <si>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</si>
  <si>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</si>
  <si>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</si>
  <si>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</si>
  <si>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</si>
  <si>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</si>
  <si>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</si>
  <si>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</si>
  <si>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</si>
  <si>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</si>
  <si>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</si>
  <si>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</si>
  <si>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</si>
  <si>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</si>
  <si>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</si>
  <si>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</si>
  <si>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</si>
  <si>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</si>
  <si>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</si>
  <si>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</si>
  <si>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</si>
  <si>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</si>
  <si>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</si>
  <si>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</si>
  <si>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</si>
  <si>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</si>
  <si>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</si>
  <si>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</si>
  <si>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</si>
  <si>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</si>
  <si>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</si>
  <si>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</si>
  <si>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</si>
  <si>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</si>
  <si>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</si>
  <si>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</si>
  <si>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</si>
  <si>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</si>
  <si>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</si>
  <si>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</si>
  <si>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</si>
  <si>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</si>
  <si>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</si>
  <si>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</si>
  <si>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</si>
  <si>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</si>
  <si>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</si>
  <si>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</si>
  <si>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</si>
  <si>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</si>
  <si>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</si>
  <si>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</si>
  <si>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</si>
  <si>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</si>
  <si>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</si>
  <si>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</si>
  <si>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</si>
  <si>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</si>
  <si>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</si>
  <si>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</si>
  <si>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</si>
  <si>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</si>
  <si>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</si>
  <si>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</si>
  <si>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</si>
  <si>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</si>
  <si>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</si>
  <si>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</si>
  <si>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</si>
  <si>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</si>
  <si>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</si>
  <si>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</si>
  <si>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</si>
  <si>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</si>
  <si>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</si>
  <si>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</si>
  <si>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</si>
  <si>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</si>
  <si>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</si>
  <si>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</si>
  <si>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</si>
  <si>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</si>
  <si>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</si>
  <si>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</si>
  <si>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</si>
  <si>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</si>
  <si>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</si>
  <si>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</si>
  <si>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</si>
  <si>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</si>
  <si>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</si>
  <si>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</si>
  <si>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</si>
  <si>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</si>
  <si>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</si>
  <si>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</si>
  <si>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</si>
  <si>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</si>
  <si>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</si>
  <si>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</si>
  <si>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</si>
  <si>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</si>
  <si>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</si>
  <si>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</si>
  <si>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</si>
  <si>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</si>
  <si>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</si>
  <si>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</si>
  <si>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</si>
  <si>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</si>
  <si>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</si>
  <si>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</si>
  <si>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</si>
  <si>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</si>
  <si>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</si>
  <si>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</si>
  <si>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</si>
  <si>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</si>
  <si>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</si>
  <si>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</si>
  <si>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</si>
  <si>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</si>
  <si>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</si>
  <si>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</si>
  <si>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</si>
  <si>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</si>
  <si>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</si>
  <si>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</si>
  <si>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</si>
  <si>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</si>
  <si>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</si>
  <si>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</si>
  <si>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</si>
  <si>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</si>
  <si>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</si>
  <si>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</si>
  <si>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</si>
  <si>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</si>
  <si>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</si>
  <si>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</si>
  <si>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</si>
  <si>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</si>
  <si>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</si>
  <si>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</si>
  <si>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</si>
  <si>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</si>
  <si>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</si>
  <si>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</si>
  <si>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</si>
  <si>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</si>
  <si>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</si>
  <si>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</si>
  <si>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</si>
  <si>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</si>
  <si>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</si>
  <si>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</si>
  <si>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</si>
  <si>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</si>
  <si>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</si>
  <si>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</si>
  <si>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</si>
  <si>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</si>
  <si>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</si>
  <si>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</si>
  <si>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</si>
  <si>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</si>
  <si>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</si>
  <si>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</si>
  <si>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</si>
  <si>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</si>
  <si>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</si>
  <si>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</si>
  <si>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</si>
  <si>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</si>
  <si>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</si>
  <si>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</si>
  <si>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</si>
  <si>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</si>
  <si>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</si>
  <si>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</si>
  <si>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</si>
  <si>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</si>
  <si>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</si>
  <si>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</si>
  <si>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</si>
  <si>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</si>
  <si>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</si>
  <si>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</si>
  <si>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</si>
  <si>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</si>
  <si>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</si>
  <si>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</si>
  <si>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</si>
  <si>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</si>
  <si>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</si>
  <si>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</si>
  <si>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</si>
  <si>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</si>
  <si>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</si>
  <si>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</si>
  <si>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</si>
  <si>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</si>
  <si>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</si>
  <si>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</si>
  <si>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</si>
  <si>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</si>
  <si>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</si>
  <si>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</si>
  <si>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</si>
  <si>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</si>
  <si>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</si>
  <si>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</si>
  <si>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</si>
  <si>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</si>
  <si>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</si>
  <si>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</si>
  <si>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</si>
  <si>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</si>
  <si>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</si>
  <si>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</si>
  <si>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</si>
  <si>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</si>
  <si>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</si>
  <si>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</si>
  <si>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</si>
  <si>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</si>
  <si>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</si>
  <si>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</si>
  <si>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</si>
  <si>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</si>
  <si>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</si>
  <si>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</si>
  <si>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</si>
  <si>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</si>
  <si>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</si>
  <si>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</si>
  <si>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</si>
  <si>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</si>
  <si>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</si>
  <si>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</si>
  <si>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</si>
  <si>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</si>
  <si>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</si>
  <si>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</si>
  <si>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</si>
  <si>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</si>
  <si>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</si>
  <si>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</si>
  <si>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</si>
  <si>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</si>
  <si>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</si>
  <si>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</si>
  <si>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</si>
  <si>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</si>
  <si>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</si>
  <si>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</si>
  <si>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</si>
  <si>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</si>
  <si>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</si>
  <si>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</si>
  <si>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</si>
  <si>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</si>
  <si>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</si>
  <si>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</si>
  <si>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</si>
  <si>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</si>
  <si>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</si>
  <si>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</si>
  <si>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</si>
  <si>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</si>
  <si>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</si>
  <si>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</si>
  <si>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</si>
  <si>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</si>
  <si>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</si>
  <si>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</si>
  <si>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</si>
  <si>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</si>
  <si>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</si>
  <si>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</si>
  <si>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</si>
  <si>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</si>
  <si>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</si>
  <si>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</si>
  <si>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</si>
  <si>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</si>
  <si>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</si>
  <si>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</si>
  <si>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</si>
  <si>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</si>
  <si>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</si>
  <si>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</si>
  <si>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</si>
  <si>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</si>
  <si>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</si>
  <si>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</si>
  <si>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</si>
  <si>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</si>
  <si>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</si>
  <si>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</si>
  <si>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</si>
  <si>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</si>
  <si>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</si>
  <si>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</si>
  <si>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</si>
  <si>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</si>
  <si>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</si>
  <si>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</si>
  <si>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</si>
  <si>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</si>
  <si>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</si>
  <si>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</si>
  <si>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</si>
  <si>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</si>
  <si>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</si>
  <si>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</si>
  <si>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</si>
  <si>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</si>
  <si>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</si>
  <si>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</si>
  <si>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</si>
  <si>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</si>
  <si>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</si>
  <si>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</si>
  <si>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</si>
  <si>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</si>
  <si>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</si>
  <si>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</si>
  <si>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</si>
  <si>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</si>
  <si>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</si>
  <si>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</si>
  <si>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</si>
  <si>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</si>
  <si>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</si>
  <si>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</si>
  <si>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</si>
  <si>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</si>
  <si>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</si>
  <si>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</si>
  <si>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</si>
  <si>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</si>
  <si>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</si>
  <si>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</si>
  <si>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</si>
  <si>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</si>
  <si>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</si>
  <si>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</si>
  <si>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</si>
  <si>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</si>
  <si>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</si>
  <si>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</si>
  <si>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</si>
  <si>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</si>
  <si>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</si>
  <si>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</si>
  <si>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</si>
  <si>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</si>
  <si>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</si>
  <si>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</si>
  <si>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</si>
  <si>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</si>
  <si>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</si>
  <si>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order_id_1</t>
  </si>
  <si>
    <t>order_date_2</t>
  </si>
  <si>
    <t>ship_date_3</t>
  </si>
  <si>
    <t>customer_id_4</t>
  </si>
  <si>
    <t>customer_name_5</t>
  </si>
  <si>
    <t>segment_6</t>
  </si>
  <si>
    <t>region_7</t>
  </si>
  <si>
    <t>missing value</t>
  </si>
  <si>
    <t>state_8</t>
  </si>
  <si>
    <t>city_9</t>
  </si>
  <si>
    <t>category_10</t>
  </si>
  <si>
    <t>sub_category_11</t>
  </si>
  <si>
    <t>product_name_12</t>
  </si>
  <si>
    <t>ship_mode_13</t>
  </si>
  <si>
    <t>cleaned_discount</t>
  </si>
  <si>
    <t>calculated_sales</t>
  </si>
  <si>
    <t>calculated_profit</t>
  </si>
  <si>
    <t>profit_margin</t>
  </si>
  <si>
    <t>order_month</t>
  </si>
  <si>
    <t>order_year</t>
  </si>
  <si>
    <t>Ship dates_earlier than_Order dates</t>
  </si>
  <si>
    <t>shipping_delay_days</t>
  </si>
  <si>
    <t>Duplicate_Check</t>
  </si>
  <si>
    <t>unknown</t>
  </si>
  <si>
    <t>Row Labels</t>
  </si>
  <si>
    <t>Grand Total</t>
  </si>
  <si>
    <t>Furniture Total</t>
  </si>
  <si>
    <t>Office Supplies Total</t>
  </si>
  <si>
    <t>Technology Total</t>
  </si>
  <si>
    <t>Sum of calculated_profit</t>
  </si>
  <si>
    <t>Sum of calculated_sales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</si>
</sst>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0"/>
      <color rgb="FFFF0000"/>
      <name val="Carlito"/>
    </font>
    <font>
      <b/>
      <sz val="11"/>
      <color rgb="FFFF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45B0E1"/>
      </top>
      <bottom style="medium">
        <color rgb="FF45B0E1"/>
      </bottom>
      <diagonal/>
    </border>
    <border>
      <left style="medium">
        <color rgb="FFCCCCCC"/>
      </left>
      <right style="medium">
        <color rgb="FF45B0E1"/>
      </right>
      <top style="medium">
        <color rgb="FF45B0E1"/>
      </top>
      <bottom style="medium">
        <color rgb="FFCCCCCC"/>
      </bottom>
      <diagonal/>
    </border>
    <border>
      <left/>
      <right/>
      <top/>
      <bottom style="thin">
        <color theme="1" tint="0.34998626667073579"/>
      </bottom>
      <diagonal/>
    </border>
    <border>
      <left style="medium">
        <color rgb="FFCCCCCC"/>
      </left>
      <right style="thin">
        <color theme="1" tint="0.34998626667073579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0" fontId="1" fillId="0" borderId="0" xfId="0" applyNumberFormat="1" applyFont="1"/>
    <xf numFmtId="9" fontId="0" fillId="0" borderId="0" xfId="0" applyNumberFormat="1"/>
    <xf numFmtId="164" fontId="0" fillId="0" borderId="0" xfId="0" applyNumberFormat="1"/>
    <xf numFmtId="0" fontId="4" fillId="3" borderId="0" xfId="0" applyFont="1" applyFill="1" applyAlignment="1">
      <alignment horizontal="center" vertical="center" wrapText="1"/>
    </xf>
    <xf numFmtId="0" fontId="0" fillId="0" borderId="3" xfId="0" applyBorder="1"/>
    <xf numFmtId="0" fontId="4" fillId="3" borderId="4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kha Srivastava" refreshedDate="46199.618069328702" createdVersion="8" refreshedVersion="8" minRefreshableVersion="3" recordCount="934" xr:uid="{DBEA3140-0B56-446C-BD2D-4BB679074AF7}">
  <cacheSource type="worksheet">
    <worksheetSource ref="AC1:AL1048576" sheet="data_quality_report"/>
  </cacheSource>
  <cacheFields count="11">
    <cacheField name="region_7" numFmtId="0">
      <sharedItems containsBlank="1" count="6">
        <s v="North"/>
        <s v="East"/>
        <s v="South"/>
        <s v="West"/>
        <s v="unknown"/>
        <m/>
      </sharedItems>
    </cacheField>
    <cacheField name="state_8" numFmtId="0">
      <sharedItems containsBlank="1"/>
    </cacheField>
    <cacheField name="city_9" numFmtId="0">
      <sharedItems containsBlank="1"/>
    </cacheField>
    <cacheField name="category_10" numFmtId="0">
      <sharedItems containsBlank="1" count="4">
        <s v="Office Supplies"/>
        <s v="Furniture"/>
        <s v="Technology"/>
        <m/>
      </sharedItems>
    </cacheField>
    <cacheField name="sub_category_11" numFmtId="0">
      <sharedItems containsBlank="1" count="14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  <m/>
      </sharedItems>
    </cacheField>
    <cacheField name="product_name_12" numFmtId="0">
      <sharedItems containsBlank="1"/>
    </cacheField>
    <cacheField name="ship_mode_13" numFmtId="0">
      <sharedItems containsBlank="1"/>
    </cacheField>
    <cacheField name="Field8" caption="Field8" numFmtId="0">
      <sharedItems containsNonDate="0" containsString="0" containsBlank="1"/>
    </cacheField>
    <cacheField name="cleaned_discount" numFmtId="0">
      <sharedItems containsBlank="1" containsMixedTypes="1" containsNumber="1" minValue="0" maxValue="0.25"/>
    </cacheField>
    <cacheField name="calculated_sales" numFmtId="0">
      <sharedItems containsBlank="1" containsMixedTypes="1" containsNumber="1" minValue="217.47750000000002" maxValue="36782.271000000008" count="872">
        <n v="19049.28"/>
        <n v="7312.5"/>
        <s v="NA"/>
        <n v="8317.9349999999995"/>
        <n v="20816.32"/>
        <n v="2527.4639999999999"/>
        <n v="5847.5579999999991"/>
        <n v="2980.71"/>
        <n v="25073.599999999999"/>
        <n v="6134.6880000000001"/>
        <n v="10074.2655"/>
        <n v="9628.5600000000013"/>
        <n v="596.81899999999996"/>
        <n v="26365.387999999995"/>
        <n v="4106.7449999999999"/>
        <n v="23794.560000000001"/>
        <n v="9970.5300000000007"/>
        <n v="7633.9"/>
        <n v="3995.98"/>
        <n v="16398.975000000002"/>
        <n v="8291.5119999999988"/>
        <n v="6265.6320000000005"/>
        <n v="13478.82"/>
        <n v="7335.8399999999992"/>
        <n v="2578.0680000000002"/>
        <n v="6774.4124999999995"/>
        <n v="2913.33"/>
        <n v="217.60849999999999"/>
        <n v="3079.5929999999998"/>
        <n v="27832.95"/>
        <n v="12003.75"/>
        <n v="2585.1525000000001"/>
        <n v="6655.5039999999999"/>
        <n v="19054.111999999997"/>
        <n v="9379.41"/>
        <n v="4248.1279999999997"/>
        <n v="13927.284"/>
        <n v="4935.3120000000008"/>
        <n v="14051.912"/>
        <n v="6846.48"/>
        <n v="7447.0119999999997"/>
        <n v="3030.69"/>
        <n v="26971.137000000002"/>
        <n v="29851.432000000001"/>
        <n v="16110.8325"/>
        <n v="17606.232"/>
        <n v="28445.62"/>
        <n v="6772.5404999999992"/>
        <n v="2025.38"/>
        <n v="9168.48"/>
        <n v="12596.670000000002"/>
        <n v="5131.7475000000004"/>
        <n v="3415.4639999999999"/>
        <n v="3411.54"/>
        <n v="9466.83"/>
        <n v="1279.3499999999999"/>
        <n v="11254.788"/>
        <n v="16535.400000000001"/>
        <n v="661.82400000000007"/>
        <n v="949.59"/>
        <n v="21904.488000000001"/>
        <n v="4815.7089999999998"/>
        <n v="3134.8799999999997"/>
        <n v="4066.1804999999995"/>
        <n v="7032.1089999999995"/>
        <n v="24002.111000000001"/>
        <n v="19900.079999999998"/>
        <n v="21527.667000000001"/>
        <n v="1539.979"/>
        <n v="10947.528"/>
        <n v="13610.446499999998"/>
        <n v="7128.7"/>
        <n v="3309.84"/>
        <n v="7907.5680000000011"/>
        <n v="10218.81"/>
        <n v="2194.87"/>
        <n v="9050.4175000000014"/>
        <n v="33465.312000000005"/>
        <n v="4256.3519999999999"/>
        <n v="5525.7300000000005"/>
        <n v="6010.38"/>
        <n v="948.52800000000013"/>
        <n v="2737.3440000000001"/>
        <n v="608.64"/>
        <n v="2390.2560000000003"/>
        <n v="23416.539999999997"/>
        <n v="6241.0249999999996"/>
        <n v="21062.104000000003"/>
        <n v="9445.098"/>
        <n v="2427.12"/>
        <n v="36111.906000000003"/>
        <n v="26470.710000000003"/>
        <n v="10524.78"/>
        <n v="3840.7079999999996"/>
        <n v="14409.44"/>
        <n v="15184.295999999998"/>
        <n v="6495.87"/>
        <n v="9540.659999999998"/>
        <n v="16486.95"/>
        <n v="11462.84"/>
        <n v="7809.0880000000006"/>
        <n v="7922.0250000000005"/>
        <n v="1233"/>
        <n v="8008.08"/>
        <n v="12263.236500000001"/>
        <n v="806.31"/>
        <n v="2091.4650000000001"/>
        <n v="4500.9399999999996"/>
        <n v="1623.018"/>
        <n v="10914.018"/>
        <n v="2450.5875000000001"/>
        <n v="3949.56"/>
        <n v="758.77799999999991"/>
        <n v="3590.9324999999999"/>
        <n v="6321.0800000000008"/>
        <n v="1884.3000000000002"/>
        <n v="1458.9360000000001"/>
        <n v="17414.599999999999"/>
        <n v="511.04999999999995"/>
        <n v="634.13"/>
        <n v="14558.715"/>
        <n v="4303.4220000000005"/>
        <n v="5774.67"/>
        <n v="4386.3874999999998"/>
        <n v="18229.5785"/>
        <n v="873.68"/>
        <n v="2692.152"/>
        <n v="1066.1600000000001"/>
        <n v="22930.62"/>
        <n v="1436.625"/>
        <n v="3424.78"/>
        <n v="31178.376000000004"/>
        <n v="19202.904000000002"/>
        <n v="24018.300000000003"/>
        <n v="10301.040000000001"/>
        <n v="8743.6500000000015"/>
        <n v="3996.027"/>
        <n v="3857.0449999999996"/>
        <n v="3068.55"/>
        <n v="11276.947499999998"/>
        <n v="15055.74"/>
        <n v="25639.983"/>
        <n v="2779.92"/>
        <n v="10176.42"/>
        <n v="13269.952499999999"/>
        <n v="1398.7079999999999"/>
        <n v="7718.22"/>
        <n v="5875.4160000000002"/>
        <n v="22962.17"/>
        <n v="2209.252"/>
        <n v="7720.1640000000007"/>
        <n v="12103.192500000001"/>
        <n v="2335.3919999999998"/>
        <n v="3989.5629999999996"/>
        <n v="33893.324999999997"/>
        <n v="4789.5960000000005"/>
        <n v="1643.41"/>
        <n v="35782.720000000001"/>
        <n v="15679.332"/>
        <n v="2365.8150000000001"/>
        <n v="10268.969999999999"/>
        <n v="2046.28"/>
        <n v="23186.6145"/>
        <n v="2557.08"/>
        <n v="5577.6399999999994"/>
        <n v="5133.96"/>
        <n v="15923.512500000001"/>
        <n v="23997.221999999998"/>
        <n v="1734.1875"/>
        <n v="8264.7029999999995"/>
        <n v="15906.849000000002"/>
        <n v="24229.011999999999"/>
        <n v="31039.599999999999"/>
        <n v="13126.96"/>
        <n v="9558.9000000000015"/>
        <n v="5320.9170000000004"/>
        <n v="10205.799999999999"/>
        <n v="5430.3899999999994"/>
        <n v="12907.216"/>
        <n v="1777.96"/>
        <n v="1605.0720000000001"/>
        <n v="23996.059499999996"/>
        <n v="8717.2199999999993"/>
        <n v="6407.2260000000006"/>
        <n v="29864.159999999996"/>
        <n v="1458.2429999999999"/>
        <n v="8764.1200000000008"/>
        <n v="9391.8240000000005"/>
        <n v="7339.2344999999996"/>
        <n v="9614.15"/>
        <n v="3272.4810000000002"/>
        <n v="17409.869999999995"/>
        <n v="1125.3509999999999"/>
        <n v="9835.11"/>
        <n v="12907.980000000001"/>
        <n v="13231.144"/>
        <n v="484.78899999999999"/>
        <n v="1624.146"/>
        <n v="4193.232"/>
        <n v="430.26"/>
        <n v="1752.7200000000003"/>
        <n v="999.83"/>
        <n v="7006.3379999999997"/>
        <n v="4131.3599999999997"/>
        <n v="27020.48"/>
        <n v="364.65"/>
        <n v="13864.735999999999"/>
        <n v="707.31299999999999"/>
        <n v="19214.400000000001"/>
        <n v="11039.22"/>
        <n v="4595.76"/>
        <n v="1291.3999999999999"/>
        <n v="9554.5779999999995"/>
        <n v="4900.8959999999997"/>
        <n v="25848.54"/>
        <n v="1176.72"/>
        <n v="11833.92"/>
        <n v="5265.5969999999998"/>
        <n v="1987.443"/>
        <n v="1473.2625"/>
        <n v="2715.2145"/>
        <n v="8658.69"/>
        <n v="11090.376"/>
        <n v="11462.744999999999"/>
        <n v="670.11"/>
        <n v="31236.720000000001"/>
        <n v="10964.241"/>
        <n v="15226.352999999999"/>
        <n v="24376.68"/>
        <n v="20972.7"/>
        <n v="3136.096"/>
        <n v="20835.899999999998"/>
        <n v="1212.9000000000001"/>
        <n v="5697.8339999999998"/>
        <n v="4049.5140000000001"/>
        <n v="6131.34"/>
        <n v="9827.7899999999991"/>
        <n v="521.88749999999993"/>
        <n v="14960.400000000001"/>
        <n v="6027.5114999999996"/>
        <n v="8928.9279999999999"/>
        <n v="14338.904999999999"/>
        <n v="6132.96"/>
        <n v="2329.4720000000002"/>
        <n v="4746.9029999999993"/>
        <n v="5603.08"/>
        <n v="12810"/>
        <n v="19328.215500000002"/>
        <n v="6474.54"/>
        <n v="5580.1050000000005"/>
        <n v="18265.088"/>
        <n v="15209.880000000001"/>
        <n v="1648.1760000000004"/>
        <n v="13399.44"/>
        <n v="32743.844999999998"/>
        <n v="6012.28"/>
        <n v="495.0145"/>
        <n v="13017.72"/>
        <n v="785.40000000000009"/>
        <n v="3319.05"/>
        <n v="1925.86"/>
        <n v="2482.3200000000002"/>
        <n v="11674.25"/>
        <n v="3510.4230000000002"/>
        <n v="22694.670000000002"/>
        <n v="21658.221000000001"/>
        <n v="980.51"/>
        <n v="1813.6704999999999"/>
        <n v="3780.6579999999999"/>
        <n v="4141.1639999999998"/>
        <n v="8943.0299999999988"/>
        <n v="16504.223999999998"/>
        <n v="4596"/>
        <n v="1814.01"/>
        <n v="4730.76"/>
        <n v="36735.93"/>
        <n v="4421.3399999999992"/>
        <n v="6516.9329999999991"/>
        <n v="7411.829999999999"/>
        <n v="8258.7109999999993"/>
        <n v="1658.3670000000002"/>
        <n v="9685.98"/>
        <n v="33740.549999999996"/>
        <n v="18716.985000000001"/>
        <n v="9385.3350000000009"/>
        <n v="17826.591"/>
        <n v="5966.5920000000006"/>
        <n v="1951.5440000000003"/>
        <n v="10830.015000000001"/>
        <n v="31539.293999999998"/>
        <n v="6285.6179999999995"/>
        <n v="4054.92"/>
        <n v="2363.652"/>
        <n v="12976.470000000001"/>
        <n v="14692.44"/>
        <n v="29469.888000000003"/>
        <n v="2341.0240000000003"/>
        <n v="12982.599"/>
        <n v="16274"/>
        <n v="2493.1799999999998"/>
        <n v="20917.919999999998"/>
        <n v="12488.579999999998"/>
        <n v="6485.3639999999996"/>
        <n v="29500.920000000002"/>
        <n v="3116.0480000000002"/>
        <n v="22926.820499999998"/>
        <n v="11203.542000000001"/>
        <n v="270.27999999999997"/>
        <n v="2699.28"/>
        <n v="6984.3480000000009"/>
        <n v="10185.669"/>
        <n v="1655.6980000000001"/>
        <n v="15602.6"/>
        <n v="15138.487499999999"/>
        <n v="4402.92"/>
        <n v="18604.079999999998"/>
        <n v="15401.513999999999"/>
        <n v="783.09"/>
        <n v="10742.64"/>
        <n v="7823.92"/>
        <n v="2936.1"/>
        <n v="12969.922500000001"/>
        <n v="11581.299000000001"/>
        <n v="15940.56"/>
        <n v="7090.4400000000005"/>
        <n v="26414.159999999996"/>
        <n v="20900.864000000001"/>
        <n v="18261.36"/>
        <n v="7524.6269999999995"/>
        <n v="12231.36"/>
        <n v="31079.7"/>
        <n v="31107.420000000002"/>
        <n v="5530.6"/>
        <n v="7715.8080000000009"/>
        <n v="11925.96"/>
        <n v="19306.755000000005"/>
        <n v="19355.962500000001"/>
        <n v="11914.344000000001"/>
        <n v="3237.4800000000005"/>
        <n v="10734.75"/>
        <n v="10308.024000000001"/>
        <n v="16017.4"/>
        <n v="2486.8000000000002"/>
        <n v="4369.04"/>
        <n v="5956.12"/>
        <n v="4997.3760000000002"/>
        <n v="17669.400000000001"/>
        <n v="35615.709000000003"/>
        <n v="1866.4079999999999"/>
        <n v="6867.6374999999989"/>
        <n v="6195.75"/>
        <n v="13651.2"/>
        <n v="8836.56"/>
        <n v="19456.958999999999"/>
        <n v="2079.2745"/>
        <n v="8945.6804999999986"/>
        <n v="13069.336000000001"/>
        <n v="6156.36"/>
        <n v="7651.7999999999993"/>
        <n v="10068.120000000001"/>
        <n v="14359.5"/>
        <n v="2624.8724999999999"/>
        <n v="8854.9440000000013"/>
        <n v="2564.7399999999998"/>
        <n v="7821.22"/>
        <n v="7956.76"/>
        <n v="8384.4375"/>
        <n v="16671.169999999998"/>
        <n v="10468.440000000002"/>
        <n v="4485.5"/>
        <n v="2822.1000000000004"/>
        <n v="1975.104"/>
        <n v="20063.952000000001"/>
        <n v="1764.3000000000002"/>
        <n v="9385.77"/>
        <n v="7750.1600000000008"/>
        <n v="6135.232"/>
        <n v="714.43"/>
        <n v="36477.090000000004"/>
        <n v="3680.1289999999999"/>
        <n v="27616.47"/>
        <n v="5731.7014999999992"/>
        <n v="1213.587"/>
        <n v="3463.76"/>
        <n v="2021.8400000000001"/>
        <n v="3268.875"/>
        <n v="7877.5499999999993"/>
        <n v="4095.7799999999997"/>
        <n v="16683.1875"/>
        <n v="1078.83"/>
        <n v="24431.463"/>
        <n v="5886.2999999999993"/>
        <n v="7933.6500000000005"/>
        <n v="7093.84"/>
        <n v="2269.0950000000003"/>
        <n v="9378.7919999999995"/>
        <n v="3334.2480000000005"/>
        <n v="1583.5425"/>
        <n v="15345.84"/>
        <n v="9439.503999999999"/>
        <n v="10277.197"/>
        <n v="3833.7000000000003"/>
        <n v="18542.400000000001"/>
        <n v="21962.400000000001"/>
        <n v="1308.777"/>
        <n v="1814.9850000000001"/>
        <n v="2489.8800000000006"/>
        <n v="4098.6574999999993"/>
        <n v="27211.032000000003"/>
        <n v="6436.16"/>
        <n v="1918.2420000000002"/>
        <n v="27047.952000000001"/>
        <n v="26454.959999999999"/>
        <n v="1853.895"/>
        <n v="17658.599999999999"/>
        <n v="3672.7139999999999"/>
        <n v="6177.6749999999993"/>
        <n v="985.07400000000007"/>
        <n v="6160.88"/>
        <n v="3263.8999999999996"/>
        <n v="2327.0535"/>
        <n v="6593.6459999999997"/>
        <n v="2886.6319999999996"/>
        <n v="1813.1759999999999"/>
        <n v="3326.25"/>
        <n v="17869.632000000001"/>
        <n v="25304.94"/>
        <n v="1842.31"/>
        <n v="3315.375"/>
        <n v="20342.501999999997"/>
        <n v="3377.9680000000003"/>
        <n v="33940.080000000002"/>
        <n v="21872.369999999995"/>
        <n v="342.05700000000002"/>
        <n v="19622.16"/>
        <n v="15380.3475"/>
        <n v="13039.952000000001"/>
        <n v="9663.9840000000004"/>
        <n v="7417.6"/>
        <n v="25229.7"/>
        <n v="3235.08"/>
        <n v="11070.867499999998"/>
        <n v="19960.57"/>
        <n v="8596.0439999999999"/>
        <n v="3452.76"/>
        <n v="11626.974000000002"/>
        <n v="8614.2825000000012"/>
        <n v="2040.2240000000002"/>
        <n v="2846.4"/>
        <n v="10331.477999999999"/>
        <n v="2517.8000000000002"/>
        <n v="11462.112000000001"/>
        <n v="19297.485000000001"/>
        <n v="6564.99"/>
        <n v="2812.4820000000004"/>
        <n v="7079.6480000000001"/>
        <n v="6793.0650000000005"/>
        <n v="1844.2199999999998"/>
        <n v="918.95999999999992"/>
        <n v="4900.71"/>
        <n v="20272.920000000002"/>
        <n v="1035.6659999999999"/>
        <n v="11843.442000000001"/>
        <n v="25702.173000000003"/>
        <n v="2202.5500000000002"/>
        <n v="4525.8"/>
        <n v="2893.9949999999999"/>
        <n v="705.2109999999999"/>
        <n v="16385.489999999998"/>
        <n v="7665.57"/>
        <n v="4670.8320000000003"/>
        <n v="6155.5"/>
        <n v="8666.56"/>
        <n v="361.75200000000001"/>
        <n v="2418.1990000000001"/>
        <n v="1941.0560000000003"/>
        <n v="4088.16"/>
        <n v="15273.054999999997"/>
        <n v="3784.7239999999997"/>
        <n v="6635.5560000000005"/>
        <n v="2485.5040000000004"/>
        <n v="850.34500000000003"/>
        <n v="9997.8299999999981"/>
        <n v="17837.453999999998"/>
        <n v="4465.4220000000005"/>
        <n v="10594.08"/>
        <n v="17312.48"/>
        <n v="17555.688000000002"/>
        <n v="1205.6399999999999"/>
        <n v="8971.26"/>
        <n v="7324"/>
        <n v="23241.216"/>
        <n v="8477.02"/>
        <n v="3673.8225000000002"/>
        <n v="6047.1749999999993"/>
        <n v="5937.246000000001"/>
        <n v="20913.876"/>
        <n v="2233.1799999999998"/>
        <n v="11890.368000000002"/>
        <n v="8421.682499999999"/>
        <n v="13968.672"/>
        <n v="1611.1144999999999"/>
        <n v="12495.027"/>
        <n v="33034.86"/>
        <n v="5805.26"/>
        <n v="34079.616000000002"/>
        <n v="11359.800000000001"/>
        <n v="1136.1600000000001"/>
        <n v="13802.13"/>
        <n v="29558.119500000001"/>
        <n v="16400.25"/>
        <n v="17053.0605"/>
        <n v="398.67300000000006"/>
        <n v="17862.146999999997"/>
        <n v="2165.8500000000004"/>
        <n v="14268.204"/>
        <n v="9602.3520000000008"/>
        <n v="19891.724999999999"/>
        <n v="1927.6545000000001"/>
        <n v="29900.79"/>
        <n v="1904.4450000000002"/>
        <n v="21571.592000000004"/>
        <n v="8641.68"/>
        <n v="9762.2880000000005"/>
        <n v="418.76949999999999"/>
        <n v="21861.72"/>
        <n v="17260.116999999998"/>
        <n v="10911.322499999998"/>
        <n v="30148.929"/>
        <n v="1072.01"/>
        <n v="10271.529"/>
        <n v="10206.912"/>
        <n v="8027.6295"/>
        <n v="8735.2425000000003"/>
        <n v="4070.636"/>
        <n v="5943.9599999999991"/>
        <n v="4426.66"/>
        <n v="32228.882999999998"/>
        <n v="19711.68"/>
        <n v="14750.190000000002"/>
        <n v="1130.1199999999999"/>
        <n v="2900.88"/>
        <n v="680.62400000000014"/>
        <n v="5694.9840000000004"/>
        <n v="1474.1440000000002"/>
        <n v="9224.9279999999999"/>
        <n v="4712.2020000000002"/>
        <n v="1305.357"/>
        <n v="2854.7250000000004"/>
        <n v="14630.264999999999"/>
        <n v="8879.49"/>
        <n v="21381.45"/>
        <n v="1774.944"/>
        <n v="573.65"/>
        <n v="5423.2"/>
        <n v="3983.424"/>
        <n v="23530.14"/>
        <n v="1879.1499999999999"/>
        <n v="15011.805"/>
        <n v="3202.41"/>
        <n v="417.48599999999999"/>
        <n v="16323.8"/>
        <n v="3356.2"/>
        <n v="2101.4720000000002"/>
        <n v="837.19049999999993"/>
        <n v="27629.279999999999"/>
        <n v="7471.52"/>
        <n v="3615.7640000000001"/>
        <n v="32013.791999999998"/>
        <n v="1574.25"/>
        <n v="20582.099999999999"/>
        <n v="10635.24"/>
        <n v="29929.588"/>
        <n v="27675.7425"/>
        <n v="11945.28"/>
        <n v="13144.031999999999"/>
        <n v="18382.005000000005"/>
        <n v="1855.44"/>
        <n v="3354.0524999999998"/>
        <n v="2482.9650000000001"/>
        <n v="11048.25"/>
        <n v="6460.12"/>
        <n v="26192.223000000002"/>
        <n v="19564.603999999999"/>
        <n v="3228.8999999999996"/>
        <n v="8754.3225000000002"/>
        <n v="4057.3474999999994"/>
        <n v="19383.75"/>
        <n v="30362.359999999997"/>
        <n v="2729.6549999999997"/>
        <n v="4718.0159999999996"/>
        <n v="3844.01"/>
        <n v="22688.775000000001"/>
        <n v="20389.920000000002"/>
        <n v="5659.884"/>
        <n v="18842.640000000003"/>
        <n v="24677.19"/>
        <n v="12623.242499999998"/>
        <n v="3401.0080000000003"/>
        <n v="6609.06"/>
        <n v="5464.2"/>
        <n v="10484.238000000001"/>
        <n v="10329.843999999999"/>
        <n v="8456.9569999999985"/>
        <n v="1266.4079999999999"/>
        <n v="11473.04"/>
        <n v="4012.0339999999997"/>
        <n v="5364.3554999999997"/>
        <n v="10706.073"/>
        <n v="10969.380000000001"/>
        <n v="31409.855999999996"/>
        <n v="14252.650000000001"/>
        <n v="1382.1679999999999"/>
        <n v="9223.17"/>
        <n v="16394.962500000001"/>
        <n v="12990.108"/>
        <n v="5107.9520000000002"/>
        <n v="7738.3680000000013"/>
        <n v="1514.9649999999999"/>
        <n v="1267.296"/>
        <n v="6405.74"/>
        <n v="8607.6674999999996"/>
        <n v="26324.023999999998"/>
        <n v="14250.075999999999"/>
        <n v="13087.494000000001"/>
        <n v="1640.5650000000001"/>
        <n v="14441.907999999999"/>
        <n v="5065.8480000000009"/>
        <n v="6776.88"/>
        <n v="15760.121999999999"/>
        <n v="1795.6499999999999"/>
        <n v="18362.5075"/>
        <n v="26524.683500000003"/>
        <n v="2056.0480000000002"/>
        <n v="8607.2800000000007"/>
        <n v="2033"/>
        <n v="19966.940000000002"/>
        <n v="710.89600000000007"/>
        <n v="15994.476000000001"/>
        <n v="1627.5"/>
        <n v="9637.92"/>
        <n v="1527.0640000000001"/>
        <n v="5698.4039999999995"/>
        <n v="265.83849999999995"/>
        <n v="3959.14"/>
        <n v="2401.84"/>
        <n v="5102.16"/>
        <n v="6176.5920000000006"/>
        <n v="31203.310500000003"/>
        <n v="12010.5175"/>
        <n v="13847.86"/>
        <n v="1033.71"/>
        <n v="2889.7799999999997"/>
        <n v="20296.699499999999"/>
        <n v="18364.36"/>
        <n v="21141.6165"/>
        <n v="14800.96"/>
        <n v="6001.35"/>
        <n v="7772.34"/>
        <n v="7902.9600000000009"/>
        <n v="24621.239999999998"/>
        <n v="4698.26"/>
        <n v="688.2"/>
        <n v="15492.065999999999"/>
        <n v="3745.2870000000003"/>
        <n v="3462.52"/>
        <n v="8767.1699999999983"/>
        <n v="8516.4480000000003"/>
        <n v="11826.844500000001"/>
        <n v="11629.019999999999"/>
        <n v="1029.56"/>
        <n v="3536.5199999999995"/>
        <n v="3970.0499999999997"/>
        <n v="27755.287999999997"/>
        <n v="9450.7425000000003"/>
        <n v="7792.5450000000001"/>
        <n v="8574.58"/>
        <n v="2692.8180000000002"/>
        <n v="1035.027"/>
        <n v="2401.7855"/>
        <n v="16015.8125"/>
        <n v="1901.4750000000001"/>
        <n v="16559.108"/>
        <n v="8110.0879999999988"/>
        <n v="7406.01"/>
        <n v="4110.4124999999995"/>
        <n v="9680.0199999999986"/>
        <n v="217.47750000000002"/>
        <n v="18675.18"/>
        <n v="19901.63"/>
        <n v="2879.817"/>
        <n v="18712.223999999998"/>
        <n v="4733.4479999999994"/>
        <n v="3795.8559999999998"/>
        <n v="15231.727999999999"/>
        <n v="13649.75"/>
        <n v="4333.59"/>
        <n v="13634.000999999998"/>
        <n v="760.29"/>
        <n v="14943.11"/>
        <n v="8072"/>
        <n v="28353.015999999996"/>
        <n v="2008.567"/>
        <n v="9234.2129999999997"/>
        <n v="2658.8339999999998"/>
        <n v="15756.048000000001"/>
        <n v="14787.78"/>
        <n v="25181.64"/>
        <n v="8837.9520000000011"/>
        <n v="7275.7920000000004"/>
        <n v="2355.0750000000003"/>
        <n v="3609.12"/>
        <n v="2188.19"/>
        <n v="11370.835000000001"/>
        <n v="9298.8000000000011"/>
        <n v="8853.36"/>
        <n v="9043.7999999999993"/>
        <n v="2211.2999999999997"/>
        <n v="12158.504999999999"/>
        <n v="1736.616"/>
        <n v="8266.2080000000005"/>
        <n v="10022.044"/>
        <n v="2886.0299999999997"/>
        <n v="1459.1949999999999"/>
        <n v="26696.323999999997"/>
        <n v="8445.2624999999989"/>
        <n v="11709.794999999998"/>
        <n v="2593.9109999999996"/>
        <n v="2674.02"/>
        <n v="9926.9599999999991"/>
        <n v="12191.76"/>
        <n v="4285.7550000000001"/>
        <n v="4166.91"/>
        <n v="14947.537500000002"/>
        <n v="13462.12"/>
        <n v="7467.36"/>
        <n v="5910.5920000000006"/>
        <n v="16454.88"/>
        <n v="25159.8"/>
        <n v="1824.42"/>
        <n v="16617.312000000002"/>
        <n v="933.43499999999995"/>
        <n v="14554.08"/>
        <n v="8128.6875"/>
        <n v="3452"/>
        <n v="8525.64"/>
        <n v="3708.0589999999997"/>
        <n v="9424.2240000000002"/>
        <n v="7752.6"/>
        <n v="23736.720000000001"/>
        <n v="26999.91"/>
        <n v="5065.116"/>
        <n v="6707.52"/>
        <n v="11983.451999999999"/>
        <n v="1364.576"/>
        <n v="862.64999999999986"/>
        <n v="1138.3709999999999"/>
        <n v="2452.8334999999997"/>
        <n v="1589.0840000000001"/>
        <n v="4519.41"/>
        <n v="2718.71"/>
        <n v="7065.6629999999996"/>
        <n v="17911.007999999998"/>
        <n v="14149.92"/>
        <n v="4272.576"/>
        <n v="9352.619999999999"/>
        <n v="2800.8960000000002"/>
        <n v="21511.599999999999"/>
        <n v="7279.3574999999992"/>
        <n v="26051.94"/>
        <n v="9661.6439999999984"/>
        <n v="13714.96"/>
        <n v="15354.449999999999"/>
        <n v="4595.1975000000002"/>
        <n v="21234.971999999998"/>
        <n v="8093.304000000001"/>
        <n v="8651.4600000000009"/>
        <n v="4306.6499999999996"/>
        <n v="1948.0889999999997"/>
        <n v="3045.09"/>
        <n v="2932.7759999999998"/>
        <n v="4379.3640000000005"/>
        <n v="5472.768"/>
        <n v="7377.1020000000008"/>
        <n v="2363.8874999999998"/>
        <n v="2577.2000000000003"/>
        <n v="17827.759999999998"/>
        <n v="2675.34"/>
        <n v="3563.91"/>
        <n v="4259.0694999999996"/>
        <n v="786.87"/>
        <n v="8233.6049999999996"/>
        <n v="33968.080000000002"/>
        <n v="511.31200000000001"/>
        <n v="10877.944000000001"/>
        <n v="10246.528"/>
        <n v="1704.2415000000001"/>
        <n v="33719.223999999995"/>
        <n v="2720.17"/>
        <n v="8213.0249999999996"/>
        <n v="633.66750000000002"/>
        <n v="25216.534"/>
        <n v="6521.3820000000005"/>
        <n v="12867.552000000001"/>
        <n v="26489.654999999999"/>
        <n v="36782.271000000008"/>
        <n v="23696.400000000001"/>
        <n v="4047.66"/>
        <n v="10038.773499999999"/>
        <n v="1074.22"/>
        <n v="9399.6674999999996"/>
        <n v="1470.57"/>
        <n v="3826.2959999999998"/>
        <n v="6336.44"/>
        <n v="21850.829999999998"/>
        <n v="7453.0719999999992"/>
        <n v="3515.15"/>
        <n v="24409.552499999998"/>
        <n v="7955.04"/>
        <n v="336.12800000000004"/>
        <n v="1308.2624999999998"/>
        <n v="1631.1120000000001"/>
        <n v="7266.0599999999995"/>
        <n v="1858.08"/>
        <n v="25021.832500000004"/>
        <n v="3710.72"/>
        <n v="8487.8319999999985"/>
        <n v="3110.2950000000001"/>
        <n v="12190.365"/>
        <n v="11619.44"/>
        <n v="25075.439999999995"/>
        <n v="4177.4539999999997"/>
        <n v="10898.175999999999"/>
        <n v="6975.7000000000007"/>
        <n v="8811.69"/>
        <n v="17034.349999999999"/>
        <n v="7984.08"/>
        <n v="21912.263999999999"/>
        <n v="4695.7049999999999"/>
        <n v="1923.2369999999999"/>
        <n v="4301.91"/>
        <n v="22436.838"/>
        <n v="19676.07"/>
        <n v="8848.08"/>
        <n v="4487.8319999999994"/>
        <n v="29829.088"/>
        <n v="21574.672000000002"/>
        <n v="22741.32"/>
        <n v="3641.5439999999999"/>
        <n v="11834.796"/>
        <n v="6028.3530000000001"/>
        <n v="16173.85"/>
        <n v="25155.5625"/>
        <n v="7649.8"/>
        <n v="1620.87"/>
        <n v="3567.518"/>
        <n v="1625.31"/>
        <n v="23739.904999999999"/>
        <n v="16704.52"/>
        <n v="12685.103999999999"/>
        <n v="5883.12"/>
        <n v="13965.888000000001"/>
        <n v="10835.865"/>
        <n v="581.51200000000006"/>
        <n v="1127.1465000000001"/>
        <n v="25524.300000000003"/>
        <n v="2418.0119999999997"/>
        <n v="3508.3784999999998"/>
        <n v="6789.27"/>
        <n v="4917.4400000000005"/>
        <n v="3304.05"/>
        <m/>
      </sharedItems>
    </cacheField>
    <cacheField name="calculated_profit" numFmtId="0">
      <sharedItems containsBlank="1" containsMixedTypes="1" containsNumber="1" minValue="41.370000000000346" maxValue="15225.999000000003" count="872">
        <n v="3207.3899999999994"/>
        <n v="2407.7700000000004"/>
        <s v="NA"/>
        <n v="1521.1649999999991"/>
        <n v="3110.9500000000007"/>
        <n v="993.88400000000001"/>
        <n v="1120.3079999999991"/>
        <n v="623.49000000000024"/>
        <n v="7726.369999999999"/>
        <n v="2334.498"/>
        <n v="4025.9954999999991"/>
        <n v="1589.9700000000012"/>
        <n v="216.56899999999996"/>
        <n v="4059.1479999999938"/>
        <n v="1440.4449999999997"/>
        <n v="8096.090000000002"/>
        <n v="4302.3600000000006"/>
        <n v="2926.99"/>
        <n v="1362.7800000000002"/>
        <n v="6842.4550000000017"/>
        <n v="1606.4819999999991"/>
        <n v="1943.7720000000008"/>
        <n v="2541.4699999999993"/>
        <n v="2367.4299999999994"/>
        <n v="1050.5180000000003"/>
        <n v="2064.0524999999998"/>
        <n v="791"/>
        <n v="97.838499999999996"/>
        <n v="1077.7029999999997"/>
        <n v="10063.200000000001"/>
        <n v="4473.83"/>
        <n v="514.42250000000013"/>
        <n v="2315.2939999999999"/>
        <n v="3740.2819999999974"/>
        <n v="2708.5599999999995"/>
        <n v="927.03799999999956"/>
        <n v="3422.4139999999989"/>
        <n v="1560.5420000000008"/>
        <n v="2061.5419999999995"/>
        <n v="2606.5899999999992"/>
        <n v="2950.7919999999995"/>
        <n v="1309.6100000000001"/>
        <n v="9594.9370000000017"/>
        <n v="12363.952000000001"/>
        <n v="5430.8024999999998"/>
        <n v="5167.2720000000008"/>
        <n v="7507.0299999999988"/>
        <n v="1017.0804999999991"/>
        <n v="884.73"/>
        <n v="1728.7099999999991"/>
        <n v="1993.380000000001"/>
        <n v="2293.0675000000006"/>
        <n v="1422.2339999999999"/>
        <n v="608.40999999999985"/>
        <n v="2909"/>
        <n v="187.80999999999995"/>
        <n v="4676.7280000000001"/>
        <n v="3545.1900000000023"/>
        <n v="180.35400000000004"/>
        <n v="198.34000000000003"/>
        <n v="8333.9380000000019"/>
        <n v="1787.9589999999998"/>
        <n v="767.24999999999955"/>
        <n v="1437.2604999999994"/>
        <n v="2421.7689999999993"/>
        <n v="5294.5410000000011"/>
        <n v="8937.4199999999983"/>
        <n v="3240.0869999999995"/>
        <n v="469.779"/>
        <n v="4500.1680000000006"/>
        <n v="3571.3964999999989"/>
        <n v="2746.55"/>
        <n v="638.76000000000022"/>
        <n v="2516.3880000000008"/>
        <n v="2601.8399999999992"/>
        <n v="971.69999999999982"/>
        <n v="2271.567500000001"/>
        <n v="8684.052000000007"/>
        <n v="1761.0219999999999"/>
        <n v="2432.3100000000004"/>
        <n v="2247.5300000000002"/>
        <n v="273.90800000000013"/>
        <n v="651.904"/>
        <n v="264.64999999999998"/>
        <n v="894.31600000000026"/>
        <n v="7925.6499999999978"/>
        <n v="895.14499999999953"/>
        <n v="9004.9740000000038"/>
        <n v="3858.8180000000002"/>
        <n v="888.77"/>
        <n v="6917.4060000000027"/>
        <n v="5103.1100000000042"/>
        <n v="1683.7300000000014"/>
        <n v="1324.4179999999997"/>
        <n v="5599.4700000000012"/>
        <n v="3913.5559999999987"/>
        <n v="1794.9799999999996"/>
        <n v="3979.1699999999983"/>
        <n v="4432.8100000000013"/>
        <n v="2483.0599999999995"/>
        <n v="1151.3380000000006"/>
        <n v="2302.0750000000007"/>
        <n v="226.10000000000002"/>
        <n v="2298.6899999999996"/>
        <n v="3337.6665000000012"/>
        <n v="307.80999999999995"/>
        <n v="774.24500000000012"/>
        <n v="1893.2099999999996"/>
        <n v="545.55799999999999"/>
        <n v="4365.2780000000002"/>
        <n v="810.69749999999999"/>
        <n v="762.82999999999993"/>
        <n v="268.0379999999999"/>
        <n v="529.54250000000002"/>
        <n v="1913.8600000000006"/>
        <n v="366.61000000000013"/>
        <n v="565.7360000000001"/>
        <n v="5653.6899999999987"/>
        <n v="143.86999999999995"/>
        <n v="180.77999999999997"/>
        <n v="4967.2350000000006"/>
        <n v="1734.8520000000003"/>
        <n v="2256.31"/>
        <n v="1019.5074999999997"/>
        <n v="3090.4285"/>
        <n v="211.95999999999992"/>
        <n v="647.66200000000003"/>
        <n v="409.86000000000013"/>
        <n v="6055.07"/>
        <n v="524.10500000000002"/>
        <n v="1473.3300000000002"/>
        <n v="9757.2860000000037"/>
        <n v="3676.2840000000015"/>
        <n v="9947.5200000000023"/>
        <n v="3736.9800000000005"/>
        <n v="2139.8900000000012"/>
        <n v="1136.5169999999998"/>
        <n v="1087.7849999999994"/>
        <n v="1152.3900000000001"/>
        <n v="4368.1874999999982"/>
        <n v="5246.91"/>
        <n v="4004.9029999999984"/>
        <n v="1035.8700000000001"/>
        <n v="2571.9499999999998"/>
        <n v="4292.8524999999991"/>
        <n v="341.78799999999978"/>
        <n v="2362.29"/>
        <n v="1494.866"/>
        <n v="7245.6699999999983"/>
        <n v="685.47199999999998"/>
        <n v="1839.1640000000007"/>
        <n v="5385.3225000000011"/>
        <n v="869.24199999999973"/>
        <n v="1608.1829999999995"/>
        <n v="8142.9749999999985"/>
        <n v="751.95600000000059"/>
        <n v="736.0100000000001"/>
        <n v="9358.3100000000013"/>
        <n v="3201.5120000000006"/>
        <n v="817.82500000000005"/>
        <n v="3798.0499999999993"/>
        <n v="596.74"/>
        <n v="5280.0744999999988"/>
        <n v="531.38999999999987"/>
        <n v="2036.3499999999995"/>
        <n v="1203.96"/>
        <n v="4631.7125000000015"/>
        <n v="7862.5919999999987"/>
        <n v="348.11750000000006"/>
        <n v="3495.9529999999995"/>
        <n v="4892.3890000000029"/>
        <n v="10318.371999999999"/>
        <n v="10172.879999999997"/>
        <n v="2394.5199999999986"/>
        <n v="4042.1400000000012"/>
        <n v="2279.4170000000004"/>
        <n v="4219.4899999999989"/>
        <n v="1722.7299999999996"/>
        <n v="4579.3260000000009"/>
        <n v="756.80000000000007"/>
        <n v="267.79200000000014"/>
        <n v="3828.7794999999969"/>
        <n v="2501.2599999999993"/>
        <n v="1484.1360000000004"/>
        <n v="12991.769999999997"/>
        <n v="514.92299999999989"/>
        <n v="1544.0700000000006"/>
        <n v="3378.6040000000003"/>
        <n v="1905.1144999999997"/>
        <n v="2037.3099999999995"/>
        <n v="755.04100000000017"/>
        <n v="3333.6199999999953"/>
        <n v="448.38099999999986"/>
        <n v="4397.47"/>
        <n v="3710.9000000000015"/>
        <n v="1941.0840000000007"/>
        <n v="151.24899999999997"/>
        <n v="406.15599999999995"/>
        <n v="863.24200000000019"/>
        <n v="143.88"/>
        <n v="756.31000000000029"/>
        <n v="364.92000000000007"/>
        <n v="2365.4579999999996"/>
        <n v="1194.2899999999995"/>
        <n v="4135.239999999998"/>
        <n v="83.909999999999968"/>
        <n v="2570.6759999999995"/>
        <n v="138.31299999999999"/>
        <n v="8298.3900000000012"/>
        <n v="3396.3099999999995"/>
        <n v="1198.96"/>
        <n v="534.46999999999991"/>
        <n v="3486.1079999999993"/>
        <n v="1348.2059999999997"/>
        <n v="8119.4500000000007"/>
        <n v="522.39"/>
        <n v="5151"/>
        <n v="972.48700000000008"/>
        <n v="877.21299999999997"/>
        <n v="573.40250000000003"/>
        <n v="1163.6645000000001"/>
        <n v="3122.7500000000009"/>
        <n v="2249.4259999999995"/>
        <n v="4299.204999999999"/>
        <n v="110.53999999999996"/>
        <n v="4859.0200000000004"/>
        <n v="1701.7710000000006"/>
        <n v="4081.0729999999985"/>
        <n v="5843.2900000000009"/>
        <n v="7467.8200000000015"/>
        <n v="856.60600000000022"/>
        <n v="6907.7099999999973"/>
        <n v="522.38000000000011"/>
        <n v="1446.3339999999998"/>
        <n v="1540.3140000000003"/>
        <n v="2070.46"/>
        <n v="4349.5099999999993"/>
        <n v="77.36749999999995"/>
        <n v="2459.5600000000013"/>
        <n v="1143.6914999999999"/>
        <n v="3294.5479999999998"/>
        <n v="2441.2549999999992"/>
        <n v="1251.8599999999997"/>
        <n v="725.85200000000032"/>
        <n v="1921.5229999999992"/>
        <n v="2470.56"/>
        <n v="3475.8799999999992"/>
        <n v="7288.7155000000021"/>
        <n v="1378.63"/>
        <n v="1273.0950000000003"/>
        <n v="7827.9480000000003"/>
        <n v="4318.7300000000014"/>
        <n v="660.26600000000042"/>
        <n v="4818.09"/>
        <n v="10291.794999999998"/>
        <n v="2084.64"/>
        <n v="209.8845"/>
        <n v="2847.1499999999996"/>
        <n v="228.18000000000006"/>
        <n v="1194.4500000000003"/>
        <n v="603.9699999999998"/>
        <n v="962.11000000000013"/>
        <n v="2053.0599999999995"/>
        <n v="1318.9230000000002"/>
        <n v="7289.3100000000013"/>
        <n v="6167.5310000000009"/>
        <n v="319.59000000000003"/>
        <n v="811.1004999999999"/>
        <n v="1632.348"/>
        <n v="1386.9939999999997"/>
        <n v="3777.6499999999987"/>
        <n v="5241.5139999999992"/>
        <n v="1375.67"/>
        <n v="780.54"/>
        <n v="1591.0300000000002"/>
        <n v="5915.09"/>
        <n v="1931.3599999999992"/>
        <n v="2005.3929999999991"/>
        <n v="2507.1999999999989"/>
        <n v="1239.7409999999991"/>
        <n v="687.24700000000018"/>
        <n v="1955.9399999999996"/>
        <n v="9118.6599999999962"/>
        <n v="6434.5550000000003"/>
        <n v="3556.795000000001"/>
        <n v="6971.241"/>
        <n v="1971.8720000000008"/>
        <n v="341.59400000000028"/>
        <n v="3774.7050000000008"/>
        <n v="9439.1539999999986"/>
        <n v="2580.2379999999994"/>
        <n v="1630.0900000000001"/>
        <n v="487.55200000000013"/>
        <n v="2956.4900000000016"/>
        <n v="4610.25"/>
        <n v="10534.378000000004"/>
        <n v="775.53400000000033"/>
        <n v="5736.2390000000005"/>
        <n v="6849.75"/>
        <n v="729.17999999999984"/>
        <n v="10870.589999999998"/>
        <n v="1771.1799999999985"/>
        <n v="1109.1939999999995"/>
        <n v="11511.240000000002"/>
        <n v="1159.4180000000001"/>
        <n v="8305.2304999999978"/>
        <n v="2750.612000000001"/>
        <n v="113.93999999999997"/>
        <n v="939.52000000000021"/>
        <n v="2960.7180000000008"/>
        <n v="3706.3589999999995"/>
        <n v="300.89800000000014"/>
        <n v="3694.08"/>
        <n v="3902.7674999999999"/>
        <n v="1408.98"/>
        <n v="2769.7799999999988"/>
        <n v="6751.0939999999991"/>
        <n v="279.20000000000005"/>
        <n v="4265.2699999999995"/>
        <n v="1789.29"/>
        <n v="1013"/>
        <n v="3571.4625000000015"/>
        <n v="4751.8690000000006"/>
        <n v="3593.41"/>
        <n v="1418.17"/>
        <n v="4591.6299999999974"/>
        <n v="8387.724000000002"/>
        <n v="6861.42"/>
        <n v="1295.0269999999991"/>
        <n v="3464.4600000000009"/>
        <n v="13321.45"/>
        <n v="10960.760000000002"/>
        <n v="1077.4900000000007"/>
        <n v="3457.3880000000008"/>
        <n v="1822.4499999999989"/>
        <n v="4864.3750000000055"/>
        <n v="4343.5125000000007"/>
        <n v="2143.1040000000012"/>
        <n v="1119.1400000000003"/>
        <n v="4259.0200000000004"/>
        <n v="4485.7140000000009"/>
        <n v="6459.6"/>
        <n v="355.07000000000016"/>
        <n v="652.15999999999985"/>
        <n v="1576.9399999999996"/>
        <n v="2025.9860000000003"/>
        <n v="3950.630000000001"/>
        <n v="15225.999000000003"/>
        <n v="289.91799999999989"/>
        <n v="1662.2774999999992"/>
        <n v="2228.73"/>
        <n v="3531.59"/>
        <n v="2968.8099999999995"/>
        <n v="4936.8989999999994"/>
        <n v="567.10449999999992"/>
        <n v="2205.3304999999982"/>
        <n v="4300.746000000001"/>
        <n v="3174.4199999999996"/>
        <n v="2480.0199999999995"/>
        <n v="1472.75"/>
        <n v="6241.79"/>
        <n v="370.99249999999984"/>
        <n v="1420.9940000000015"/>
        <n v="810.15999999999985"/>
        <n v="2826.76"/>
        <n v="3157.2200000000003"/>
        <n v="3618.4775"/>
        <n v="5837.9799999999977"/>
        <n v="2068.5700000000015"/>
        <n v="1353.6399999999999"/>
        <n v="1197.5300000000004"/>
        <n v="859.75400000000013"/>
        <n v="5700.5720000000019"/>
        <n v="431.81000000000017"/>
        <n v="2513.3300000000008"/>
        <n v="2315.8600000000006"/>
        <n v="2695.442"/>
        <n v="148.9899999999999"/>
        <n v="11951.610000000004"/>
        <n v="712.66899999999987"/>
        <n v="6391.2100000000028"/>
        <n v="1616.1414999999988"/>
        <n v="257.36699999999996"/>
        <n v="1320.0200000000004"/>
        <n v="666.62000000000012"/>
        <n v="1275.135"/>
        <n v="2314.7799999999988"/>
        <n v="1288.0099999999998"/>
        <n v="6382.0275000000001"/>
        <n v="152.4799999999999"/>
        <n v="6229.1029999999992"/>
        <n v="2264.5399999999991"/>
        <n v="2235.2300000000005"/>
        <n v="2506.3500000000004"/>
        <n v="675.50500000000034"/>
        <n v="2604.3119999999999"/>
        <n v="565.47800000000052"/>
        <n v="569.35249999999996"/>
        <n v="4610.51"/>
        <n v="3920.1139999999987"/>
        <n v="2370.6970000000001"/>
        <n v="947.35000000000036"/>
        <n v="7348.6500000000015"/>
        <n v="6630.4100000000017"/>
        <n v="465.77700000000004"/>
        <n v="694.92500000000018"/>
        <n v="782.36000000000058"/>
        <n v="1420.5974999999994"/>
        <n v="9270.6020000000026"/>
        <n v="2172.33"/>
        <n v="544.72200000000021"/>
        <n v="8616.6219999999994"/>
        <n v="8824.7099999999991"/>
        <n v="752.66499999999996"/>
        <n v="3816.119999999999"/>
        <n v="958.48399999999992"/>
        <n v="1656.9249999999993"/>
        <n v="140.59400000000005"/>
        <n v="1222.1800000000003"/>
        <n v="1195.4599999999996"/>
        <n v="407.63349999999991"/>
        <n v="2234.2559999999994"/>
        <n v="1298.4019999999996"/>
        <n v="449.53599999999983"/>
        <n v="636.88999999999987"/>
        <n v="5705.8320000000022"/>
        <n v="4532.989999999998"/>
        <n v="823.14"/>
        <n v="967.69500000000016"/>
        <n v="7934.9919999999966"/>
        <n v="881.67800000000034"/>
        <n v="10185.890000000003"/>
        <n v="8042.8699999999953"/>
        <n v="97.487000000000023"/>
        <n v="5350.8899999999994"/>
        <n v="5472.9774999999991"/>
        <n v="1912.1320000000014"/>
        <n v="4035.0540000000001"/>
        <n v="2461.7400000000007"/>
        <n v="5059.2700000000004"/>
        <n v="1386.48"/>
        <n v="4447.2574999999988"/>
        <n v="3356.9700000000012"/>
        <n v="3217.884"/>
        <n v="1374.8000000000002"/>
        <n v="4232.9040000000023"/>
        <n v="1562.2025000000012"/>
        <n v="644.51400000000012"/>
        <n v="714.0300000000002"/>
        <n v="3199.5679999999993"/>
        <n v="1039.2600000000002"/>
        <n v="4356.6320000000014"/>
        <n v="3845.8250000000007"/>
        <n v="1157.75"/>
        <n v="530.36200000000053"/>
        <n v="2613.7380000000003"/>
        <n v="1807.8450000000003"/>
        <n v="750.00999999999976"/>
        <n v="364.78"/>
        <n v="2186.81"/>
        <n v="4399.5400000000027"/>
        <n v="440.24599999999998"/>
        <n v="2486.5620000000017"/>
        <n v="11130.693000000003"/>
        <n v="1167.9800000000002"/>
        <n v="1811.29"/>
        <n v="1037.9649999999999"/>
        <n v="266.89099999999991"/>
        <n v="2706.2499999999982"/>
        <n v="2069.9699999999993"/>
        <n v="1504.3420000000006"/>
        <n v="1873.4099999999999"/>
        <n v="2699.12"/>
        <n v="99.222000000000037"/>
        <n v="804.37900000000013"/>
        <n v="733.63600000000019"/>
        <n v="882.48"/>
        <n v="4184.2949999999964"/>
        <n v="1365.4839999999999"/>
        <n v="2982.6460000000006"/>
        <n v="457.0740000000003"/>
        <n v="249.36500000000001"/>
        <n v="3938.7599999999984"/>
        <n v="4210.4339999999975"/>
        <n v="1088.3220000000006"/>
        <n v="3433.7699999999995"/>
        <n v="2888.26"/>
        <n v="4262.4880000000012"/>
        <n v="363.56999999999982"/>
        <n v="2156.91"/>
        <n v="3144.37"/>
        <n v="6020.3159999999989"/>
        <n v="1592.0600000000004"/>
        <n v="1585.6725000000001"/>
        <n v="2678.3849999999993"/>
        <n v="1848.786000000001"/>
        <n v="9229.1959999999999"/>
        <n v="647.3599999999999"/>
        <n v="2655.8380000000016"/>
        <n v="1887.2124999999987"/>
        <n v="5111.0920000000006"/>
        <n v="715.96449999999993"/>
        <n v="3310.5069999999996"/>
        <n v="8495.0299999999988"/>
        <n v="1150.9000000000005"/>
        <n v="12208.226000000002"/>
        <n v="4297.3600000000015"/>
        <n v="564.08000000000004"/>
        <n v="3726.1999999999989"/>
        <n v="8255.9894999999997"/>
        <n v="4253.2900000000009"/>
        <n v="6310.6805000000004"/>
        <n v="87.013000000000034"/>
        <n v="7969.9369999999981"/>
        <n v="41.370000000000346"/>
        <n v="2562.9040000000005"/>
        <n v="2214.7820000000011"/>
        <n v="7595.9649999999983"/>
        <n v="467.05450000000019"/>
        <n v="5250.1200000000026"/>
        <n v="587.9050000000002"/>
        <n v="4453.5220000000045"/>
        <n v="2894.59"/>
        <n v="1394.0480000000007"/>
        <n v="105.04949999999997"/>
        <n v="3397.380000000001"/>
        <n v="3746.6069999999982"/>
        <n v="3944.8824999999988"/>
        <n v="4993.8590000000004"/>
        <n v="219.39"/>
        <n v="1999.2890000000007"/>
        <n v="3442.3820000000005"/>
        <n v="2531.5394999999999"/>
        <n v="2115.1725000000006"/>
        <n v="1239.0160000000001"/>
        <n v="2339.8199999999993"/>
        <n v="1391.46"/>
        <n v="7257.5229999999974"/>
        <n v="5249.880000000001"/>
        <n v="5267.6100000000024"/>
        <n v="281.49999999999989"/>
        <n v="509.0300000000002"/>
        <n v="217.13400000000013"/>
        <n v="1076.6540000000005"/>
        <n v="505.6840000000002"/>
        <n v="2219.7280000000001"/>
        <n v="860.29200000000037"/>
        <n v="573.46699999999998"/>
        <n v="886.60500000000047"/>
        <n v="2723.9049999999988"/>
        <n v="2534.92"/>
        <n v="8141.2400000000016"/>
        <n v="767.54399999999998"/>
        <n v="250.97999999999996"/>
        <n v="1350.7599999999998"/>
        <n v="808.51400000000012"/>
        <n v="3992.3499999999985"/>
        <n v="744.24999999999977"/>
        <n v="5351.4449999999997"/>
        <n v="593.9699999999998"/>
        <n v="155.81599999999997"/>
        <n v="6358.0099999999984"/>
        <n v="1150.48"/>
        <n v="883.64200000000028"/>
        <n v="253.40049999999997"/>
        <n v="5602.7999999999993"/>
        <n v="1287.2000000000007"/>
        <n v="664.24400000000014"/>
        <n v="11116.911999999997"/>
        <n v="248.13000000000011"/>
        <n v="4684.4499999999989"/>
        <n v="4603.3599999999997"/>
        <n v="7493.5580000000009"/>
        <n v="12104.6625"/>
        <n v="2244.9700000000012"/>
        <n v="3380.0319999999992"/>
        <n v="5273.8050000000039"/>
        <n v="592.70000000000005"/>
        <n v="681.38249999999971"/>
        <n v="861.24500000000012"/>
        <n v="1985.5300000000007"/>
        <n v="2856.0899999999997"/>
        <n v="5396.6730000000025"/>
        <n v="8410.0139999999992"/>
        <n v="1375.6699999999996"/>
        <n v="2515.4225000000006"/>
        <n v="1195.3174999999992"/>
        <n v="7716.32"/>
        <n v="5296.9599999999955"/>
        <n v="1014.2949999999998"/>
        <n v="809.7859999999996"/>
        <n v="1648.2200000000003"/>
        <n v="8016.3650000000016"/>
        <n v="3728.84"/>
        <n v="1322.0940000000001"/>
        <n v="7002.0600000000031"/>
        <n v="4326.34"/>
        <n v="2082.4424999999992"/>
        <n v="483.4680000000003"/>
        <n v="1662.2800000000007"/>
        <n v="2146.1099999999997"/>
        <n v="3804.0880000000016"/>
        <n v="2817.6239999999989"/>
        <n v="2994.1069999999982"/>
        <n v="282.48799999999994"/>
        <n v="2541.7100000000009"/>
        <n v="869.11399999999958"/>
        <n v="973.0654999999997"/>
        <n v="4778.973"/>
        <n v="1714.9200000000019"/>
        <n v="8886.3159999999953"/>
        <n v="2694.340000000002"/>
        <n v="572.13799999999992"/>
        <n v="4119.47"/>
        <n v="5990.7925000000014"/>
        <n v="2789.3080000000009"/>
        <n v="1974.8720000000003"/>
        <n v="3111.5180000000009"/>
        <n v="468.79499999999985"/>
        <n v="343.76600000000008"/>
        <n v="2843.87"/>
        <n v="3270.0274999999992"/>
        <n v="10046.063999999998"/>
        <n v="3335.155999999999"/>
        <n v="5478.6040000000003"/>
        <n v="503.58500000000004"/>
        <n v="3569.018"/>
        <n v="1548.6180000000008"/>
        <n v="2940.6400000000003"/>
        <n v="5828.5919999999987"/>
        <n v="798.92999999999984"/>
        <n v="7228.5375000000004"/>
        <n v="5950.3835000000036"/>
        <n v="393.65800000000013"/>
        <n v="3483.2700000000004"/>
        <n v="741.58999999999992"/>
        <n v="7276.1100000000024"/>
        <n v="197.01600000000008"/>
        <n v="6770.1959999999999"/>
        <n v="687.6"/>
        <n v="2308.63"/>
        <n v="471.17399999999998"/>
        <n v="2057.5139999999997"/>
        <n v="42.348499999999945"/>
        <n v="719.60999999999967"/>
        <n v="528.73000000000025"/>
        <n v="1875.71"/>
        <n v="2615.6320000000005"/>
        <n v="13465.180500000002"/>
        <n v="4145.9075000000003"/>
        <n v="5376.08"/>
        <n v="402.89"/>
        <n v="1078.5499999999997"/>
        <n v="5375.829499999998"/>
        <n v="2918.5500000000011"/>
        <n v="9465.2865000000002"/>
        <n v="2752.5699999999997"/>
        <n v="1818.3600000000006"/>
        <n v="3658.6800000000003"/>
        <n v="2390.9300000000012"/>
        <n v="7465.7599999999984"/>
        <n v="2043.3400000000001"/>
        <n v="190.52000000000004"/>
        <n v="2910.8359999999993"/>
        <n v="1442.6370000000002"/>
        <n v="665.23"/>
        <n v="3668.9699999999984"/>
        <n v="2612.6379999999999"/>
        <n v="3790.884500000001"/>
        <n v="2001.8099999999995"/>
        <n v="403.2299999999999"/>
        <n v="1434.1099999999997"/>
        <n v="2120.75"/>
        <n v="4003.377999999997"/>
        <n v="1652.1824999999999"/>
        <n v="3100.8150000000005"/>
        <n v="1888.7699999999995"/>
        <n v="872.73800000000028"/>
        <n v="180.67700000000002"/>
        <n v="581.44550000000004"/>
        <n v="4663.4325000000008"/>
        <n v="547.19500000000016"/>
        <n v="3325.3179999999993"/>
        <n v="1692.7679999999991"/>
        <n v="1464.2700000000004"/>
        <n v="1716.2724999999996"/>
        <n v="2803.3599999999988"/>
        <n v="85.347500000000025"/>
        <n v="4700.4799999999996"/>
        <n v="4409.6000000000004"/>
        <n v="1054.9369999999999"/>
        <n v="6860.003999999999"/>
        <n v="1061.1279999999992"/>
        <n v="1530.9359999999997"/>
        <n v="2780.268"/>
        <n v="3361.7199999999993"/>
        <n v="1800"/>
        <n v="4044.1909999999989"/>
        <n v="262.52"/>
        <n v="6421.6100000000006"/>
        <n v="2692.7799999999997"/>
        <n v="9095.1659999999974"/>
        <n v="813.73700000000008"/>
        <n v="3717.6929999999993"/>
        <n v="431.86400000000003"/>
        <n v="5510.6080000000002"/>
        <n v="6191.130000000001"/>
        <n v="9843.74"/>
        <n v="2680.6820000000007"/>
        <n v="1122.9220000000005"/>
        <n v="1005.0450000000003"/>
        <n v="963.61999999999989"/>
        <n v="889.35000000000014"/>
        <n v="3901.255000000001"/>
        <n v="2750.3000000000011"/>
        <n v="3257.0200000000004"/>
        <n v="3130.4199999999992"/>
        <n v="475.65999999999963"/>
        <n v="1898.4349999999995"/>
        <n v="677.096"/>
        <n v="2029.8880000000008"/>
        <n v="4445.0640000000003"/>
        <n v="821.19999999999982"/>
        <n v="403.40499999999997"/>
        <n v="3971.8039999999964"/>
        <n v="1507.6624999999985"/>
        <n v="3337.5049999999974"/>
        <n v="745.43099999999959"/>
        <n v="466.44999999999982"/>
        <n v="1931.9799999999996"/>
        <n v="1734.2700000000004"/>
        <n v="1899.4250000000002"/>
        <n v="754.27999999999975"/>
        <n v="5509.0775000000031"/>
        <n v="5861.4900000000007"/>
        <n v="2456.75"/>
        <n v="1135.152000000001"/>
        <n v="4373.34"/>
        <n v="3552.9699999999975"/>
        <n v="609.55000000000018"/>
        <n v="7421.5820000000022"/>
        <n v="350.34499999999991"/>
        <n v="3387.24"/>
        <n v="3057.0275000000001"/>
        <n v="1075.3800000000001"/>
        <n v="5004.9499999999989"/>
        <n v="947.76899999999978"/>
        <n v="3245.3040000000001"/>
        <n v="3063.3"/>
        <n v="9845.8200000000015"/>
        <n v="9183.93"/>
        <n v="1534.9960000000001"/>
        <n v="1034.9500000000007"/>
        <n v="3410.5519999999997"/>
        <n v="386.41600000000005"/>
        <n v="258.91999999999985"/>
        <n v="341.03099999999984"/>
        <n v="546.13349999999969"/>
        <n v="504.42399999999998"/>
        <n v="1015.25"/>
        <n v="653.65999999999985"/>
        <n v="2150.3929999999991"/>
        <n v="6364.9579999999987"/>
        <n v="4683.41"/>
        <n v="943.65599999999995"/>
        <n v="4083.2099999999991"/>
        <n v="1064.9160000000002"/>
        <n v="6103.1299999999992"/>
        <n v="2408.9674999999988"/>
        <n v="9168.3499999999985"/>
        <n v="3357.873999999998"/>
        <n v="3164.49"/>
        <n v="5697.9499999999989"/>
        <n v="707.78750000000036"/>
        <n v="4498.8819999999978"/>
        <n v="2040.8740000000007"/>
        <n v="3396.8400000000011"/>
        <n v="1737.8299999999995"/>
        <n v="441.00899999999979"/>
        <n v="444"/>
        <n v="1032.4259999999999"/>
        <n v="655.43400000000065"/>
        <n v="995.4380000000001"/>
        <n v="2291.8920000000007"/>
        <n v="892.37749999999983"/>
        <n v="1101.3300000000004"/>
        <n v="3705.6299999999992"/>
        <n v="1079.4700000000003"/>
        <n v="924.21"/>
        <n v="1128.7494999999994"/>
        <n v="288.37"/>
        <n v="3519.8149999999996"/>
        <n v="7065.6400000000031"/>
        <n v="74.882000000000005"/>
        <n v="1767.8040000000019"/>
        <n v="1612.1080000000002"/>
        <n v="746.69150000000013"/>
        <n v="4794.7939999999944"/>
        <n v="885.94"/>
        <n v="2643.7249999999995"/>
        <n v="113.19749999999999"/>
        <n v="10999.593999999999"/>
        <n v="2010.2820000000002"/>
        <n v="2798.612000000001"/>
        <n v="10671.195"/>
        <n v="10879.461000000007"/>
        <n v="5586.630000000001"/>
        <n v="968.73"/>
        <n v="4365.673499999999"/>
        <n v="223.36"/>
        <n v="2859.2974999999997"/>
        <n v="636.54999999999995"/>
        <n v="1632.1759999999999"/>
        <n v="1655.7599999999993"/>
        <n v="5250.6999999999971"/>
        <n v="2319.2919999999995"/>
        <n v="1298.81"/>
        <n v="7251.9724999999962"/>
        <n v="2374.3599999999997"/>
        <n v="93.938000000000045"/>
        <n v="224.70249999999987"/>
        <n v="732.38200000000006"/>
        <n v="1049.1699999999992"/>
        <n v="267.32999999999993"/>
        <n v="9477.3925000000036"/>
        <n v="595.42999999999984"/>
        <n v="3242.1119999999983"/>
        <n v="1009.2649999999999"/>
        <n v="2013.375"/>
        <n v="4435.1200000000008"/>
        <n v="8792.6999999999953"/>
        <n v="1877.9539999999997"/>
        <n v="4666.7659999999996"/>
        <n v="2177.8200000000006"/>
        <n v="2045.7800000000007"/>
        <n v="2402.989999999998"/>
        <n v="2326.0299999999997"/>
        <n v="5544.4839999999986"/>
        <n v="824.01499999999987"/>
        <n v="829.57699999999977"/>
        <n v="1927.5099999999998"/>
        <n v="4982.1680000000015"/>
        <n v="7217.4499999999989"/>
        <n v="3156.5199999999995"/>
        <n v="1854.0519999999992"/>
        <n v="9118.9079999999994"/>
        <n v="6901.8420000000024"/>
        <n v="6352.75"/>
        <n v="951.17399999999998"/>
        <n v="2512.4359999999997"/>
        <n v="1594.723"/>
        <n v="2537.5100000000002"/>
        <n v="7562.8725000000013"/>
        <n v="2755.2700000000004"/>
        <n v="517.26"/>
        <n v="1155.7179999999998"/>
        <n v="467.41999999999985"/>
        <n v="6023.3849999999984"/>
        <n v="6546.24"/>
        <n v="1905.5439999999999"/>
        <n v="1235.21"/>
        <n v="2319.768"/>
        <n v="4415.9449999999997"/>
        <n v="157.65200000000004"/>
        <n v="281.52650000000006"/>
        <n v="8812.3700000000026"/>
        <n v="976.12199999999962"/>
        <n v="680.31849999999986"/>
        <n v="1162.8400000000001"/>
        <n v="1070.6700000000005"/>
        <n v="1024.640000000000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kha Srivastava" refreshedDate="46199.620366319446" createdVersion="8" refreshedVersion="8" minRefreshableVersion="3" recordCount="934" xr:uid="{FFFC5F1C-15EF-4B37-A572-10F44F424ECE}">
  <cacheSource type="worksheet">
    <worksheetSource ref="AF1:AL1048576" sheet="data_quality_report"/>
  </cacheSource>
  <cacheFields count="8">
    <cacheField name="category_10" numFmtId="0">
      <sharedItems containsBlank="1" count="4">
        <s v="Office Supplies"/>
        <s v="Furniture"/>
        <s v="Technology"/>
        <m/>
      </sharedItems>
    </cacheField>
    <cacheField name="sub_category_11" numFmtId="0">
      <sharedItems containsBlank="1" count="14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  <m/>
      </sharedItems>
    </cacheField>
    <cacheField name="product_name_12" numFmtId="0">
      <sharedItems containsBlank="1"/>
    </cacheField>
    <cacheField name="ship_mode_13" numFmtId="0">
      <sharedItems containsBlank="1"/>
    </cacheField>
    <cacheField name="Field5" caption="Field5" numFmtId="0">
      <sharedItems containsNonDate="0" containsString="0" containsBlank="1" count="1">
        <m/>
      </sharedItems>
    </cacheField>
    <cacheField name="cleaned_discount" numFmtId="0">
      <sharedItems containsBlank="1" containsMixedTypes="1" containsNumber="1" minValue="0" maxValue="0.25"/>
    </cacheField>
    <cacheField name="calculated_sales" numFmtId="0">
      <sharedItems containsBlank="1" containsMixedTypes="1" containsNumber="1" minValue="217.47750000000002" maxValue="36782.271000000008" count="872">
        <n v="19049.28"/>
        <n v="7312.5"/>
        <s v="NA"/>
        <n v="8317.9349999999995"/>
        <n v="20816.32"/>
        <n v="2527.4639999999999"/>
        <n v="5847.5579999999991"/>
        <n v="2980.71"/>
        <n v="25073.599999999999"/>
        <n v="6134.6880000000001"/>
        <n v="10074.2655"/>
        <n v="9628.5600000000013"/>
        <n v="596.81899999999996"/>
        <n v="26365.387999999995"/>
        <n v="4106.7449999999999"/>
        <n v="23794.560000000001"/>
        <n v="9970.5300000000007"/>
        <n v="7633.9"/>
        <n v="3995.98"/>
        <n v="16398.975000000002"/>
        <n v="8291.5119999999988"/>
        <n v="6265.6320000000005"/>
        <n v="13478.82"/>
        <n v="7335.8399999999992"/>
        <n v="2578.0680000000002"/>
        <n v="6774.4124999999995"/>
        <n v="2913.33"/>
        <n v="217.60849999999999"/>
        <n v="3079.5929999999998"/>
        <n v="27832.95"/>
        <n v="12003.75"/>
        <n v="2585.1525000000001"/>
        <n v="6655.5039999999999"/>
        <n v="19054.111999999997"/>
        <n v="9379.41"/>
        <n v="4248.1279999999997"/>
        <n v="13927.284"/>
        <n v="4935.3120000000008"/>
        <n v="14051.912"/>
        <n v="6846.48"/>
        <n v="7447.0119999999997"/>
        <n v="3030.69"/>
        <n v="26971.137000000002"/>
        <n v="29851.432000000001"/>
        <n v="16110.8325"/>
        <n v="17606.232"/>
        <n v="28445.62"/>
        <n v="6772.5404999999992"/>
        <n v="2025.38"/>
        <n v="9168.48"/>
        <n v="12596.670000000002"/>
        <n v="5131.7475000000004"/>
        <n v="3415.4639999999999"/>
        <n v="3411.54"/>
        <n v="9466.83"/>
        <n v="1279.3499999999999"/>
        <n v="11254.788"/>
        <n v="16535.400000000001"/>
        <n v="661.82400000000007"/>
        <n v="949.59"/>
        <n v="21904.488000000001"/>
        <n v="4815.7089999999998"/>
        <n v="3134.8799999999997"/>
        <n v="4066.1804999999995"/>
        <n v="7032.1089999999995"/>
        <n v="24002.111000000001"/>
        <n v="19900.079999999998"/>
        <n v="21527.667000000001"/>
        <n v="1539.979"/>
        <n v="10947.528"/>
        <n v="13610.446499999998"/>
        <n v="7128.7"/>
        <n v="3309.84"/>
        <n v="7907.5680000000011"/>
        <n v="10218.81"/>
        <n v="2194.87"/>
        <n v="9050.4175000000014"/>
        <n v="33465.312000000005"/>
        <n v="4256.3519999999999"/>
        <n v="5525.7300000000005"/>
        <n v="6010.38"/>
        <n v="948.52800000000013"/>
        <n v="2737.3440000000001"/>
        <n v="608.64"/>
        <n v="2390.2560000000003"/>
        <n v="23416.539999999997"/>
        <n v="6241.0249999999996"/>
        <n v="21062.104000000003"/>
        <n v="9445.098"/>
        <n v="2427.12"/>
        <n v="36111.906000000003"/>
        <n v="26470.710000000003"/>
        <n v="10524.78"/>
        <n v="3840.7079999999996"/>
        <n v="14409.44"/>
        <n v="15184.295999999998"/>
        <n v="6495.87"/>
        <n v="9540.659999999998"/>
        <n v="16486.95"/>
        <n v="11462.84"/>
        <n v="7809.0880000000006"/>
        <n v="7922.0250000000005"/>
        <n v="1233"/>
        <n v="8008.08"/>
        <n v="12263.236500000001"/>
        <n v="806.31"/>
        <n v="2091.4650000000001"/>
        <n v="4500.9399999999996"/>
        <n v="1623.018"/>
        <n v="10914.018"/>
        <n v="2450.5875000000001"/>
        <n v="3949.56"/>
        <n v="758.77799999999991"/>
        <n v="3590.9324999999999"/>
        <n v="6321.0800000000008"/>
        <n v="1884.3000000000002"/>
        <n v="1458.9360000000001"/>
        <n v="17414.599999999999"/>
        <n v="511.04999999999995"/>
        <n v="634.13"/>
        <n v="14558.715"/>
        <n v="4303.4220000000005"/>
        <n v="5774.67"/>
        <n v="4386.3874999999998"/>
        <n v="18229.5785"/>
        <n v="873.68"/>
        <n v="2692.152"/>
        <n v="1066.1600000000001"/>
        <n v="22930.62"/>
        <n v="1436.625"/>
        <n v="3424.78"/>
        <n v="31178.376000000004"/>
        <n v="19202.904000000002"/>
        <n v="24018.300000000003"/>
        <n v="10301.040000000001"/>
        <n v="8743.6500000000015"/>
        <n v="3996.027"/>
        <n v="3857.0449999999996"/>
        <n v="3068.55"/>
        <n v="11276.947499999998"/>
        <n v="15055.74"/>
        <n v="25639.983"/>
        <n v="2779.92"/>
        <n v="10176.42"/>
        <n v="13269.952499999999"/>
        <n v="1398.7079999999999"/>
        <n v="7718.22"/>
        <n v="5875.4160000000002"/>
        <n v="22962.17"/>
        <n v="2209.252"/>
        <n v="7720.1640000000007"/>
        <n v="12103.192500000001"/>
        <n v="2335.3919999999998"/>
        <n v="3989.5629999999996"/>
        <n v="33893.324999999997"/>
        <n v="4789.5960000000005"/>
        <n v="1643.41"/>
        <n v="35782.720000000001"/>
        <n v="15679.332"/>
        <n v="2365.8150000000001"/>
        <n v="10268.969999999999"/>
        <n v="2046.28"/>
        <n v="23186.6145"/>
        <n v="2557.08"/>
        <n v="5577.6399999999994"/>
        <n v="5133.96"/>
        <n v="15923.512500000001"/>
        <n v="23997.221999999998"/>
        <n v="1734.1875"/>
        <n v="8264.7029999999995"/>
        <n v="15906.849000000002"/>
        <n v="24229.011999999999"/>
        <n v="31039.599999999999"/>
        <n v="13126.96"/>
        <n v="9558.9000000000015"/>
        <n v="5320.9170000000004"/>
        <n v="10205.799999999999"/>
        <n v="5430.3899999999994"/>
        <n v="12907.216"/>
        <n v="1777.96"/>
        <n v="1605.0720000000001"/>
        <n v="23996.059499999996"/>
        <n v="8717.2199999999993"/>
        <n v="6407.2260000000006"/>
        <n v="29864.159999999996"/>
        <n v="1458.2429999999999"/>
        <n v="8764.1200000000008"/>
        <n v="9391.8240000000005"/>
        <n v="7339.2344999999996"/>
        <n v="9614.15"/>
        <n v="3272.4810000000002"/>
        <n v="17409.869999999995"/>
        <n v="1125.3509999999999"/>
        <n v="9835.11"/>
        <n v="12907.980000000001"/>
        <n v="13231.144"/>
        <n v="484.78899999999999"/>
        <n v="1624.146"/>
        <n v="4193.232"/>
        <n v="430.26"/>
        <n v="1752.7200000000003"/>
        <n v="999.83"/>
        <n v="7006.3379999999997"/>
        <n v="4131.3599999999997"/>
        <n v="27020.48"/>
        <n v="364.65"/>
        <n v="13864.735999999999"/>
        <n v="707.31299999999999"/>
        <n v="19214.400000000001"/>
        <n v="11039.22"/>
        <n v="4595.76"/>
        <n v="1291.3999999999999"/>
        <n v="9554.5779999999995"/>
        <n v="4900.8959999999997"/>
        <n v="25848.54"/>
        <n v="1176.72"/>
        <n v="11833.92"/>
        <n v="5265.5969999999998"/>
        <n v="1987.443"/>
        <n v="1473.2625"/>
        <n v="2715.2145"/>
        <n v="8658.69"/>
        <n v="11090.376"/>
        <n v="11462.744999999999"/>
        <n v="670.11"/>
        <n v="31236.720000000001"/>
        <n v="10964.241"/>
        <n v="15226.352999999999"/>
        <n v="24376.68"/>
        <n v="20972.7"/>
        <n v="3136.096"/>
        <n v="20835.899999999998"/>
        <n v="1212.9000000000001"/>
        <n v="5697.8339999999998"/>
        <n v="4049.5140000000001"/>
        <n v="6131.34"/>
        <n v="9827.7899999999991"/>
        <n v="521.88749999999993"/>
        <n v="14960.400000000001"/>
        <n v="6027.5114999999996"/>
        <n v="8928.9279999999999"/>
        <n v="14338.904999999999"/>
        <n v="6132.96"/>
        <n v="2329.4720000000002"/>
        <n v="4746.9029999999993"/>
        <n v="5603.08"/>
        <n v="12810"/>
        <n v="19328.215500000002"/>
        <n v="6474.54"/>
        <n v="5580.1050000000005"/>
        <n v="18265.088"/>
        <n v="15209.880000000001"/>
        <n v="1648.1760000000004"/>
        <n v="13399.44"/>
        <n v="32743.844999999998"/>
        <n v="6012.28"/>
        <n v="495.0145"/>
        <n v="13017.72"/>
        <n v="785.40000000000009"/>
        <n v="3319.05"/>
        <n v="1925.86"/>
        <n v="2482.3200000000002"/>
        <n v="11674.25"/>
        <n v="3510.4230000000002"/>
        <n v="22694.670000000002"/>
        <n v="21658.221000000001"/>
        <n v="980.51"/>
        <n v="1813.6704999999999"/>
        <n v="3780.6579999999999"/>
        <n v="4141.1639999999998"/>
        <n v="8943.0299999999988"/>
        <n v="16504.223999999998"/>
        <n v="4596"/>
        <n v="1814.01"/>
        <n v="4730.76"/>
        <n v="36735.93"/>
        <n v="4421.3399999999992"/>
        <n v="6516.9329999999991"/>
        <n v="7411.829999999999"/>
        <n v="8258.7109999999993"/>
        <n v="1658.3670000000002"/>
        <n v="9685.98"/>
        <n v="33740.549999999996"/>
        <n v="18716.985000000001"/>
        <n v="9385.3350000000009"/>
        <n v="17826.591"/>
        <n v="5966.5920000000006"/>
        <n v="1951.5440000000003"/>
        <n v="10830.015000000001"/>
        <n v="31539.293999999998"/>
        <n v="6285.6179999999995"/>
        <n v="4054.92"/>
        <n v="2363.652"/>
        <n v="12976.470000000001"/>
        <n v="14692.44"/>
        <n v="29469.888000000003"/>
        <n v="2341.0240000000003"/>
        <n v="12982.599"/>
        <n v="16274"/>
        <n v="2493.1799999999998"/>
        <n v="20917.919999999998"/>
        <n v="12488.579999999998"/>
        <n v="6485.3639999999996"/>
        <n v="29500.920000000002"/>
        <n v="3116.0480000000002"/>
        <n v="22926.820499999998"/>
        <n v="11203.542000000001"/>
        <n v="270.27999999999997"/>
        <n v="2699.28"/>
        <n v="6984.3480000000009"/>
        <n v="10185.669"/>
        <n v="1655.6980000000001"/>
        <n v="15602.6"/>
        <n v="15138.487499999999"/>
        <n v="4402.92"/>
        <n v="18604.079999999998"/>
        <n v="15401.513999999999"/>
        <n v="783.09"/>
        <n v="10742.64"/>
        <n v="7823.92"/>
        <n v="2936.1"/>
        <n v="12969.922500000001"/>
        <n v="11581.299000000001"/>
        <n v="15940.56"/>
        <n v="7090.4400000000005"/>
        <n v="26414.159999999996"/>
        <n v="20900.864000000001"/>
        <n v="18261.36"/>
        <n v="7524.6269999999995"/>
        <n v="12231.36"/>
        <n v="31079.7"/>
        <n v="31107.420000000002"/>
        <n v="5530.6"/>
        <n v="7715.8080000000009"/>
        <n v="11925.96"/>
        <n v="19306.755000000005"/>
        <n v="19355.962500000001"/>
        <n v="11914.344000000001"/>
        <n v="3237.4800000000005"/>
        <n v="10734.75"/>
        <n v="10308.024000000001"/>
        <n v="16017.4"/>
        <n v="2486.8000000000002"/>
        <n v="4369.04"/>
        <n v="5956.12"/>
        <n v="4997.3760000000002"/>
        <n v="17669.400000000001"/>
        <n v="35615.709000000003"/>
        <n v="1866.4079999999999"/>
        <n v="6867.6374999999989"/>
        <n v="6195.75"/>
        <n v="13651.2"/>
        <n v="8836.56"/>
        <n v="19456.958999999999"/>
        <n v="2079.2745"/>
        <n v="8945.6804999999986"/>
        <n v="13069.336000000001"/>
        <n v="6156.36"/>
        <n v="7651.7999999999993"/>
        <n v="10068.120000000001"/>
        <n v="14359.5"/>
        <n v="2624.8724999999999"/>
        <n v="8854.9440000000013"/>
        <n v="2564.7399999999998"/>
        <n v="7821.22"/>
        <n v="7956.76"/>
        <n v="8384.4375"/>
        <n v="16671.169999999998"/>
        <n v="10468.440000000002"/>
        <n v="4485.5"/>
        <n v="2822.1000000000004"/>
        <n v="1975.104"/>
        <n v="20063.952000000001"/>
        <n v="1764.3000000000002"/>
        <n v="9385.77"/>
        <n v="7750.1600000000008"/>
        <n v="6135.232"/>
        <n v="714.43"/>
        <n v="36477.090000000004"/>
        <n v="3680.1289999999999"/>
        <n v="27616.47"/>
        <n v="5731.7014999999992"/>
        <n v="1213.587"/>
        <n v="3463.76"/>
        <n v="2021.8400000000001"/>
        <n v="3268.875"/>
        <n v="7877.5499999999993"/>
        <n v="4095.7799999999997"/>
        <n v="16683.1875"/>
        <n v="1078.83"/>
        <n v="24431.463"/>
        <n v="5886.2999999999993"/>
        <n v="7933.6500000000005"/>
        <n v="7093.84"/>
        <n v="2269.0950000000003"/>
        <n v="9378.7919999999995"/>
        <n v="3334.2480000000005"/>
        <n v="1583.5425"/>
        <n v="15345.84"/>
        <n v="9439.503999999999"/>
        <n v="10277.197"/>
        <n v="3833.7000000000003"/>
        <n v="18542.400000000001"/>
        <n v="21962.400000000001"/>
        <n v="1308.777"/>
        <n v="1814.9850000000001"/>
        <n v="2489.8800000000006"/>
        <n v="4098.6574999999993"/>
        <n v="27211.032000000003"/>
        <n v="6436.16"/>
        <n v="1918.2420000000002"/>
        <n v="27047.952000000001"/>
        <n v="26454.959999999999"/>
        <n v="1853.895"/>
        <n v="17658.599999999999"/>
        <n v="3672.7139999999999"/>
        <n v="6177.6749999999993"/>
        <n v="985.07400000000007"/>
        <n v="6160.88"/>
        <n v="3263.8999999999996"/>
        <n v="2327.0535"/>
        <n v="6593.6459999999997"/>
        <n v="2886.6319999999996"/>
        <n v="1813.1759999999999"/>
        <n v="3326.25"/>
        <n v="17869.632000000001"/>
        <n v="25304.94"/>
        <n v="1842.31"/>
        <n v="3315.375"/>
        <n v="20342.501999999997"/>
        <n v="3377.9680000000003"/>
        <n v="33940.080000000002"/>
        <n v="21872.369999999995"/>
        <n v="342.05700000000002"/>
        <n v="19622.16"/>
        <n v="15380.3475"/>
        <n v="13039.952000000001"/>
        <n v="9663.9840000000004"/>
        <n v="7417.6"/>
        <n v="25229.7"/>
        <n v="3235.08"/>
        <n v="11070.867499999998"/>
        <n v="19960.57"/>
        <n v="8596.0439999999999"/>
        <n v="3452.76"/>
        <n v="11626.974000000002"/>
        <n v="8614.2825000000012"/>
        <n v="2040.2240000000002"/>
        <n v="2846.4"/>
        <n v="10331.477999999999"/>
        <n v="2517.8000000000002"/>
        <n v="11462.112000000001"/>
        <n v="19297.485000000001"/>
        <n v="6564.99"/>
        <n v="2812.4820000000004"/>
        <n v="7079.6480000000001"/>
        <n v="6793.0650000000005"/>
        <n v="1844.2199999999998"/>
        <n v="918.95999999999992"/>
        <n v="4900.71"/>
        <n v="20272.920000000002"/>
        <n v="1035.6659999999999"/>
        <n v="11843.442000000001"/>
        <n v="25702.173000000003"/>
        <n v="2202.5500000000002"/>
        <n v="4525.8"/>
        <n v="2893.9949999999999"/>
        <n v="705.2109999999999"/>
        <n v="16385.489999999998"/>
        <n v="7665.57"/>
        <n v="4670.8320000000003"/>
        <n v="6155.5"/>
        <n v="8666.56"/>
        <n v="361.75200000000001"/>
        <n v="2418.1990000000001"/>
        <n v="1941.0560000000003"/>
        <n v="4088.16"/>
        <n v="15273.054999999997"/>
        <n v="3784.7239999999997"/>
        <n v="6635.5560000000005"/>
        <n v="2485.5040000000004"/>
        <n v="850.34500000000003"/>
        <n v="9997.8299999999981"/>
        <n v="17837.453999999998"/>
        <n v="4465.4220000000005"/>
        <n v="10594.08"/>
        <n v="17312.48"/>
        <n v="17555.688000000002"/>
        <n v="1205.6399999999999"/>
        <n v="8971.26"/>
        <n v="7324"/>
        <n v="23241.216"/>
        <n v="8477.02"/>
        <n v="3673.8225000000002"/>
        <n v="6047.1749999999993"/>
        <n v="5937.246000000001"/>
        <n v="20913.876"/>
        <n v="2233.1799999999998"/>
        <n v="11890.368000000002"/>
        <n v="8421.682499999999"/>
        <n v="13968.672"/>
        <n v="1611.1144999999999"/>
        <n v="12495.027"/>
        <n v="33034.86"/>
        <n v="5805.26"/>
        <n v="34079.616000000002"/>
        <n v="11359.800000000001"/>
        <n v="1136.1600000000001"/>
        <n v="13802.13"/>
        <n v="29558.119500000001"/>
        <n v="16400.25"/>
        <n v="17053.0605"/>
        <n v="398.67300000000006"/>
        <n v="17862.146999999997"/>
        <n v="2165.8500000000004"/>
        <n v="14268.204"/>
        <n v="9602.3520000000008"/>
        <n v="19891.724999999999"/>
        <n v="1927.6545000000001"/>
        <n v="29900.79"/>
        <n v="1904.4450000000002"/>
        <n v="21571.592000000004"/>
        <n v="8641.68"/>
        <n v="9762.2880000000005"/>
        <n v="418.76949999999999"/>
        <n v="21861.72"/>
        <n v="17260.116999999998"/>
        <n v="10911.322499999998"/>
        <n v="30148.929"/>
        <n v="1072.01"/>
        <n v="10271.529"/>
        <n v="10206.912"/>
        <n v="8027.6295"/>
        <n v="8735.2425000000003"/>
        <n v="4070.636"/>
        <n v="5943.9599999999991"/>
        <n v="4426.66"/>
        <n v="32228.882999999998"/>
        <n v="19711.68"/>
        <n v="14750.190000000002"/>
        <n v="1130.1199999999999"/>
        <n v="2900.88"/>
        <n v="680.62400000000014"/>
        <n v="5694.9840000000004"/>
        <n v="1474.1440000000002"/>
        <n v="9224.9279999999999"/>
        <n v="4712.2020000000002"/>
        <n v="1305.357"/>
        <n v="2854.7250000000004"/>
        <n v="14630.264999999999"/>
        <n v="8879.49"/>
        <n v="21381.45"/>
        <n v="1774.944"/>
        <n v="573.65"/>
        <n v="5423.2"/>
        <n v="3983.424"/>
        <n v="23530.14"/>
        <n v="1879.1499999999999"/>
        <n v="15011.805"/>
        <n v="3202.41"/>
        <n v="417.48599999999999"/>
        <n v="16323.8"/>
        <n v="3356.2"/>
        <n v="2101.4720000000002"/>
        <n v="837.19049999999993"/>
        <n v="27629.279999999999"/>
        <n v="7471.52"/>
        <n v="3615.7640000000001"/>
        <n v="32013.791999999998"/>
        <n v="1574.25"/>
        <n v="20582.099999999999"/>
        <n v="10635.24"/>
        <n v="29929.588"/>
        <n v="27675.7425"/>
        <n v="11945.28"/>
        <n v="13144.031999999999"/>
        <n v="18382.005000000005"/>
        <n v="1855.44"/>
        <n v="3354.0524999999998"/>
        <n v="2482.9650000000001"/>
        <n v="11048.25"/>
        <n v="6460.12"/>
        <n v="26192.223000000002"/>
        <n v="19564.603999999999"/>
        <n v="3228.8999999999996"/>
        <n v="8754.3225000000002"/>
        <n v="4057.3474999999994"/>
        <n v="19383.75"/>
        <n v="30362.359999999997"/>
        <n v="2729.6549999999997"/>
        <n v="4718.0159999999996"/>
        <n v="3844.01"/>
        <n v="22688.775000000001"/>
        <n v="20389.920000000002"/>
        <n v="5659.884"/>
        <n v="18842.640000000003"/>
        <n v="24677.19"/>
        <n v="12623.242499999998"/>
        <n v="3401.0080000000003"/>
        <n v="6609.06"/>
        <n v="5464.2"/>
        <n v="10484.238000000001"/>
        <n v="10329.843999999999"/>
        <n v="8456.9569999999985"/>
        <n v="1266.4079999999999"/>
        <n v="11473.04"/>
        <n v="4012.0339999999997"/>
        <n v="5364.3554999999997"/>
        <n v="10706.073"/>
        <n v="10969.380000000001"/>
        <n v="31409.855999999996"/>
        <n v="14252.650000000001"/>
        <n v="1382.1679999999999"/>
        <n v="9223.17"/>
        <n v="16394.962500000001"/>
        <n v="12990.108"/>
        <n v="5107.9520000000002"/>
        <n v="7738.3680000000013"/>
        <n v="1514.9649999999999"/>
        <n v="1267.296"/>
        <n v="6405.74"/>
        <n v="8607.6674999999996"/>
        <n v="26324.023999999998"/>
        <n v="14250.075999999999"/>
        <n v="13087.494000000001"/>
        <n v="1640.5650000000001"/>
        <n v="14441.907999999999"/>
        <n v="5065.8480000000009"/>
        <n v="6776.88"/>
        <n v="15760.121999999999"/>
        <n v="1795.6499999999999"/>
        <n v="18362.5075"/>
        <n v="26524.683500000003"/>
        <n v="2056.0480000000002"/>
        <n v="8607.2800000000007"/>
        <n v="2033"/>
        <n v="19966.940000000002"/>
        <n v="710.89600000000007"/>
        <n v="15994.476000000001"/>
        <n v="1627.5"/>
        <n v="9637.92"/>
        <n v="1527.0640000000001"/>
        <n v="5698.4039999999995"/>
        <n v="265.83849999999995"/>
        <n v="3959.14"/>
        <n v="2401.84"/>
        <n v="5102.16"/>
        <n v="6176.5920000000006"/>
        <n v="31203.310500000003"/>
        <n v="12010.5175"/>
        <n v="13847.86"/>
        <n v="1033.71"/>
        <n v="2889.7799999999997"/>
        <n v="20296.699499999999"/>
        <n v="18364.36"/>
        <n v="21141.6165"/>
        <n v="14800.96"/>
        <n v="6001.35"/>
        <n v="7772.34"/>
        <n v="7902.9600000000009"/>
        <n v="24621.239999999998"/>
        <n v="4698.26"/>
        <n v="688.2"/>
        <n v="15492.065999999999"/>
        <n v="3745.2870000000003"/>
        <n v="3462.52"/>
        <n v="8767.1699999999983"/>
        <n v="8516.4480000000003"/>
        <n v="11826.844500000001"/>
        <n v="11629.019999999999"/>
        <n v="1029.56"/>
        <n v="3536.5199999999995"/>
        <n v="3970.0499999999997"/>
        <n v="27755.287999999997"/>
        <n v="9450.7425000000003"/>
        <n v="7792.5450000000001"/>
        <n v="8574.58"/>
        <n v="2692.8180000000002"/>
        <n v="1035.027"/>
        <n v="2401.7855"/>
        <n v="16015.8125"/>
        <n v="1901.4750000000001"/>
        <n v="16559.108"/>
        <n v="8110.0879999999988"/>
        <n v="7406.01"/>
        <n v="4110.4124999999995"/>
        <n v="9680.0199999999986"/>
        <n v="217.47750000000002"/>
        <n v="18675.18"/>
        <n v="19901.63"/>
        <n v="2879.817"/>
        <n v="18712.223999999998"/>
        <n v="4733.4479999999994"/>
        <n v="3795.8559999999998"/>
        <n v="15231.727999999999"/>
        <n v="13649.75"/>
        <n v="4333.59"/>
        <n v="13634.000999999998"/>
        <n v="760.29"/>
        <n v="14943.11"/>
        <n v="8072"/>
        <n v="28353.015999999996"/>
        <n v="2008.567"/>
        <n v="9234.2129999999997"/>
        <n v="2658.8339999999998"/>
        <n v="15756.048000000001"/>
        <n v="14787.78"/>
        <n v="25181.64"/>
        <n v="8837.9520000000011"/>
        <n v="7275.7920000000004"/>
        <n v="2355.0750000000003"/>
        <n v="3609.12"/>
        <n v="2188.19"/>
        <n v="11370.835000000001"/>
        <n v="9298.8000000000011"/>
        <n v="8853.36"/>
        <n v="9043.7999999999993"/>
        <n v="2211.2999999999997"/>
        <n v="12158.504999999999"/>
        <n v="1736.616"/>
        <n v="8266.2080000000005"/>
        <n v="10022.044"/>
        <n v="2886.0299999999997"/>
        <n v="1459.1949999999999"/>
        <n v="26696.323999999997"/>
        <n v="8445.2624999999989"/>
        <n v="11709.794999999998"/>
        <n v="2593.9109999999996"/>
        <n v="2674.02"/>
        <n v="9926.9599999999991"/>
        <n v="12191.76"/>
        <n v="4285.7550000000001"/>
        <n v="4166.91"/>
        <n v="14947.537500000002"/>
        <n v="13462.12"/>
        <n v="7467.36"/>
        <n v="5910.5920000000006"/>
        <n v="16454.88"/>
        <n v="25159.8"/>
        <n v="1824.42"/>
        <n v="16617.312000000002"/>
        <n v="933.43499999999995"/>
        <n v="14554.08"/>
        <n v="8128.6875"/>
        <n v="3452"/>
        <n v="8525.64"/>
        <n v="3708.0589999999997"/>
        <n v="9424.2240000000002"/>
        <n v="7752.6"/>
        <n v="23736.720000000001"/>
        <n v="26999.91"/>
        <n v="5065.116"/>
        <n v="6707.52"/>
        <n v="11983.451999999999"/>
        <n v="1364.576"/>
        <n v="862.64999999999986"/>
        <n v="1138.3709999999999"/>
        <n v="2452.8334999999997"/>
        <n v="1589.0840000000001"/>
        <n v="4519.41"/>
        <n v="2718.71"/>
        <n v="7065.6629999999996"/>
        <n v="17911.007999999998"/>
        <n v="14149.92"/>
        <n v="4272.576"/>
        <n v="9352.619999999999"/>
        <n v="2800.8960000000002"/>
        <n v="21511.599999999999"/>
        <n v="7279.3574999999992"/>
        <n v="26051.94"/>
        <n v="9661.6439999999984"/>
        <n v="13714.96"/>
        <n v="15354.449999999999"/>
        <n v="4595.1975000000002"/>
        <n v="21234.971999999998"/>
        <n v="8093.304000000001"/>
        <n v="8651.4600000000009"/>
        <n v="4306.6499999999996"/>
        <n v="1948.0889999999997"/>
        <n v="3045.09"/>
        <n v="2932.7759999999998"/>
        <n v="4379.3640000000005"/>
        <n v="5472.768"/>
        <n v="7377.1020000000008"/>
        <n v="2363.8874999999998"/>
        <n v="2577.2000000000003"/>
        <n v="17827.759999999998"/>
        <n v="2675.34"/>
        <n v="3563.91"/>
        <n v="4259.0694999999996"/>
        <n v="786.87"/>
        <n v="8233.6049999999996"/>
        <n v="33968.080000000002"/>
        <n v="511.31200000000001"/>
        <n v="10877.944000000001"/>
        <n v="10246.528"/>
        <n v="1704.2415000000001"/>
        <n v="33719.223999999995"/>
        <n v="2720.17"/>
        <n v="8213.0249999999996"/>
        <n v="633.66750000000002"/>
        <n v="25216.534"/>
        <n v="6521.3820000000005"/>
        <n v="12867.552000000001"/>
        <n v="26489.654999999999"/>
        <n v="36782.271000000008"/>
        <n v="23696.400000000001"/>
        <n v="4047.66"/>
        <n v="10038.773499999999"/>
        <n v="1074.22"/>
        <n v="9399.6674999999996"/>
        <n v="1470.57"/>
        <n v="3826.2959999999998"/>
        <n v="6336.44"/>
        <n v="21850.829999999998"/>
        <n v="7453.0719999999992"/>
        <n v="3515.15"/>
        <n v="24409.552499999998"/>
        <n v="7955.04"/>
        <n v="336.12800000000004"/>
        <n v="1308.2624999999998"/>
        <n v="1631.1120000000001"/>
        <n v="7266.0599999999995"/>
        <n v="1858.08"/>
        <n v="25021.832500000004"/>
        <n v="3710.72"/>
        <n v="8487.8319999999985"/>
        <n v="3110.2950000000001"/>
        <n v="12190.365"/>
        <n v="11619.44"/>
        <n v="25075.439999999995"/>
        <n v="4177.4539999999997"/>
        <n v="10898.175999999999"/>
        <n v="6975.7000000000007"/>
        <n v="8811.69"/>
        <n v="17034.349999999999"/>
        <n v="7984.08"/>
        <n v="21912.263999999999"/>
        <n v="4695.7049999999999"/>
        <n v="1923.2369999999999"/>
        <n v="4301.91"/>
        <n v="22436.838"/>
        <n v="19676.07"/>
        <n v="8848.08"/>
        <n v="4487.8319999999994"/>
        <n v="29829.088"/>
        <n v="21574.672000000002"/>
        <n v="22741.32"/>
        <n v="3641.5439999999999"/>
        <n v="11834.796"/>
        <n v="6028.3530000000001"/>
        <n v="16173.85"/>
        <n v="25155.5625"/>
        <n v="7649.8"/>
        <n v="1620.87"/>
        <n v="3567.518"/>
        <n v="1625.31"/>
        <n v="23739.904999999999"/>
        <n v="16704.52"/>
        <n v="12685.103999999999"/>
        <n v="5883.12"/>
        <n v="13965.888000000001"/>
        <n v="10835.865"/>
        <n v="581.51200000000006"/>
        <n v="1127.1465000000001"/>
        <n v="25524.300000000003"/>
        <n v="2418.0119999999997"/>
        <n v="3508.3784999999998"/>
        <n v="6789.27"/>
        <n v="4917.4400000000005"/>
        <n v="3304.05"/>
        <m/>
      </sharedItems>
    </cacheField>
    <cacheField name="calculated_profit" numFmtId="0">
      <sharedItems containsBlank="1" containsMixedTypes="1" containsNumber="1" minValue="41.370000000000346" maxValue="15225.999000000003" count="872">
        <n v="3207.3899999999994"/>
        <n v="2407.7700000000004"/>
        <s v="NA"/>
        <n v="1521.1649999999991"/>
        <n v="3110.9500000000007"/>
        <n v="993.88400000000001"/>
        <n v="1120.3079999999991"/>
        <n v="623.49000000000024"/>
        <n v="7726.369999999999"/>
        <n v="2334.498"/>
        <n v="4025.9954999999991"/>
        <n v="1589.9700000000012"/>
        <n v="216.56899999999996"/>
        <n v="4059.1479999999938"/>
        <n v="1440.4449999999997"/>
        <n v="8096.090000000002"/>
        <n v="4302.3600000000006"/>
        <n v="2926.99"/>
        <n v="1362.7800000000002"/>
        <n v="6842.4550000000017"/>
        <n v="1606.4819999999991"/>
        <n v="1943.7720000000008"/>
        <n v="2541.4699999999993"/>
        <n v="2367.4299999999994"/>
        <n v="1050.5180000000003"/>
        <n v="2064.0524999999998"/>
        <n v="791"/>
        <n v="97.838499999999996"/>
        <n v="1077.7029999999997"/>
        <n v="10063.200000000001"/>
        <n v="4473.83"/>
        <n v="514.42250000000013"/>
        <n v="2315.2939999999999"/>
        <n v="3740.2819999999974"/>
        <n v="2708.5599999999995"/>
        <n v="927.03799999999956"/>
        <n v="3422.4139999999989"/>
        <n v="1560.5420000000008"/>
        <n v="2061.5419999999995"/>
        <n v="2606.5899999999992"/>
        <n v="2950.7919999999995"/>
        <n v="1309.6100000000001"/>
        <n v="9594.9370000000017"/>
        <n v="12363.952000000001"/>
        <n v="5430.8024999999998"/>
        <n v="5167.2720000000008"/>
        <n v="7507.0299999999988"/>
        <n v="1017.0804999999991"/>
        <n v="884.73"/>
        <n v="1728.7099999999991"/>
        <n v="1993.380000000001"/>
        <n v="2293.0675000000006"/>
        <n v="1422.2339999999999"/>
        <n v="608.40999999999985"/>
        <n v="2909"/>
        <n v="187.80999999999995"/>
        <n v="4676.7280000000001"/>
        <n v="3545.1900000000023"/>
        <n v="180.35400000000004"/>
        <n v="198.34000000000003"/>
        <n v="8333.9380000000019"/>
        <n v="1787.9589999999998"/>
        <n v="767.24999999999955"/>
        <n v="1437.2604999999994"/>
        <n v="2421.7689999999993"/>
        <n v="5294.5410000000011"/>
        <n v="8937.4199999999983"/>
        <n v="3240.0869999999995"/>
        <n v="469.779"/>
        <n v="4500.1680000000006"/>
        <n v="3571.3964999999989"/>
        <n v="2746.55"/>
        <n v="638.76000000000022"/>
        <n v="2516.3880000000008"/>
        <n v="2601.8399999999992"/>
        <n v="971.69999999999982"/>
        <n v="2271.567500000001"/>
        <n v="8684.052000000007"/>
        <n v="1761.0219999999999"/>
        <n v="2432.3100000000004"/>
        <n v="2247.5300000000002"/>
        <n v="273.90800000000013"/>
        <n v="651.904"/>
        <n v="264.64999999999998"/>
        <n v="894.31600000000026"/>
        <n v="7925.6499999999978"/>
        <n v="895.14499999999953"/>
        <n v="9004.9740000000038"/>
        <n v="3858.8180000000002"/>
        <n v="888.77"/>
        <n v="6917.4060000000027"/>
        <n v="5103.1100000000042"/>
        <n v="1683.7300000000014"/>
        <n v="1324.4179999999997"/>
        <n v="5599.4700000000012"/>
        <n v="3913.5559999999987"/>
        <n v="1794.9799999999996"/>
        <n v="3979.1699999999983"/>
        <n v="4432.8100000000013"/>
        <n v="2483.0599999999995"/>
        <n v="1151.3380000000006"/>
        <n v="2302.0750000000007"/>
        <n v="226.10000000000002"/>
        <n v="2298.6899999999996"/>
        <n v="3337.6665000000012"/>
        <n v="307.80999999999995"/>
        <n v="774.24500000000012"/>
        <n v="1893.2099999999996"/>
        <n v="545.55799999999999"/>
        <n v="4365.2780000000002"/>
        <n v="810.69749999999999"/>
        <n v="762.82999999999993"/>
        <n v="268.0379999999999"/>
        <n v="529.54250000000002"/>
        <n v="1913.8600000000006"/>
        <n v="366.61000000000013"/>
        <n v="565.7360000000001"/>
        <n v="5653.6899999999987"/>
        <n v="143.86999999999995"/>
        <n v="180.77999999999997"/>
        <n v="4967.2350000000006"/>
        <n v="1734.8520000000003"/>
        <n v="2256.31"/>
        <n v="1019.5074999999997"/>
        <n v="3090.4285"/>
        <n v="211.95999999999992"/>
        <n v="647.66200000000003"/>
        <n v="409.86000000000013"/>
        <n v="6055.07"/>
        <n v="524.10500000000002"/>
        <n v="1473.3300000000002"/>
        <n v="9757.2860000000037"/>
        <n v="3676.2840000000015"/>
        <n v="9947.5200000000023"/>
        <n v="3736.9800000000005"/>
        <n v="2139.8900000000012"/>
        <n v="1136.5169999999998"/>
        <n v="1087.7849999999994"/>
        <n v="1152.3900000000001"/>
        <n v="4368.1874999999982"/>
        <n v="5246.91"/>
        <n v="4004.9029999999984"/>
        <n v="1035.8700000000001"/>
        <n v="2571.9499999999998"/>
        <n v="4292.8524999999991"/>
        <n v="341.78799999999978"/>
        <n v="2362.29"/>
        <n v="1494.866"/>
        <n v="7245.6699999999983"/>
        <n v="685.47199999999998"/>
        <n v="1839.1640000000007"/>
        <n v="5385.3225000000011"/>
        <n v="869.24199999999973"/>
        <n v="1608.1829999999995"/>
        <n v="8142.9749999999985"/>
        <n v="751.95600000000059"/>
        <n v="736.0100000000001"/>
        <n v="9358.3100000000013"/>
        <n v="3201.5120000000006"/>
        <n v="817.82500000000005"/>
        <n v="3798.0499999999993"/>
        <n v="596.74"/>
        <n v="5280.0744999999988"/>
        <n v="531.38999999999987"/>
        <n v="2036.3499999999995"/>
        <n v="1203.96"/>
        <n v="4631.7125000000015"/>
        <n v="7862.5919999999987"/>
        <n v="348.11750000000006"/>
        <n v="3495.9529999999995"/>
        <n v="4892.3890000000029"/>
        <n v="10318.371999999999"/>
        <n v="10172.879999999997"/>
        <n v="2394.5199999999986"/>
        <n v="4042.1400000000012"/>
        <n v="2279.4170000000004"/>
        <n v="4219.4899999999989"/>
        <n v="1722.7299999999996"/>
        <n v="4579.3260000000009"/>
        <n v="756.80000000000007"/>
        <n v="267.79200000000014"/>
        <n v="3828.7794999999969"/>
        <n v="2501.2599999999993"/>
        <n v="1484.1360000000004"/>
        <n v="12991.769999999997"/>
        <n v="514.92299999999989"/>
        <n v="1544.0700000000006"/>
        <n v="3378.6040000000003"/>
        <n v="1905.1144999999997"/>
        <n v="2037.3099999999995"/>
        <n v="755.04100000000017"/>
        <n v="3333.6199999999953"/>
        <n v="448.38099999999986"/>
        <n v="4397.47"/>
        <n v="3710.9000000000015"/>
        <n v="1941.0840000000007"/>
        <n v="151.24899999999997"/>
        <n v="406.15599999999995"/>
        <n v="863.24200000000019"/>
        <n v="143.88"/>
        <n v="756.31000000000029"/>
        <n v="364.92000000000007"/>
        <n v="2365.4579999999996"/>
        <n v="1194.2899999999995"/>
        <n v="4135.239999999998"/>
        <n v="83.909999999999968"/>
        <n v="2570.6759999999995"/>
        <n v="138.31299999999999"/>
        <n v="8298.3900000000012"/>
        <n v="3396.3099999999995"/>
        <n v="1198.96"/>
        <n v="534.46999999999991"/>
        <n v="3486.1079999999993"/>
        <n v="1348.2059999999997"/>
        <n v="8119.4500000000007"/>
        <n v="522.39"/>
        <n v="5151"/>
        <n v="972.48700000000008"/>
        <n v="877.21299999999997"/>
        <n v="573.40250000000003"/>
        <n v="1163.6645000000001"/>
        <n v="3122.7500000000009"/>
        <n v="2249.4259999999995"/>
        <n v="4299.204999999999"/>
        <n v="110.53999999999996"/>
        <n v="4859.0200000000004"/>
        <n v="1701.7710000000006"/>
        <n v="4081.0729999999985"/>
        <n v="5843.2900000000009"/>
        <n v="7467.8200000000015"/>
        <n v="856.60600000000022"/>
        <n v="6907.7099999999973"/>
        <n v="522.38000000000011"/>
        <n v="1446.3339999999998"/>
        <n v="1540.3140000000003"/>
        <n v="2070.46"/>
        <n v="4349.5099999999993"/>
        <n v="77.36749999999995"/>
        <n v="2459.5600000000013"/>
        <n v="1143.6914999999999"/>
        <n v="3294.5479999999998"/>
        <n v="2441.2549999999992"/>
        <n v="1251.8599999999997"/>
        <n v="725.85200000000032"/>
        <n v="1921.5229999999992"/>
        <n v="2470.56"/>
        <n v="3475.8799999999992"/>
        <n v="7288.7155000000021"/>
        <n v="1378.63"/>
        <n v="1273.0950000000003"/>
        <n v="7827.9480000000003"/>
        <n v="4318.7300000000014"/>
        <n v="660.26600000000042"/>
        <n v="4818.09"/>
        <n v="10291.794999999998"/>
        <n v="2084.64"/>
        <n v="209.8845"/>
        <n v="2847.1499999999996"/>
        <n v="228.18000000000006"/>
        <n v="1194.4500000000003"/>
        <n v="603.9699999999998"/>
        <n v="962.11000000000013"/>
        <n v="2053.0599999999995"/>
        <n v="1318.9230000000002"/>
        <n v="7289.3100000000013"/>
        <n v="6167.5310000000009"/>
        <n v="319.59000000000003"/>
        <n v="811.1004999999999"/>
        <n v="1632.348"/>
        <n v="1386.9939999999997"/>
        <n v="3777.6499999999987"/>
        <n v="5241.5139999999992"/>
        <n v="1375.67"/>
        <n v="780.54"/>
        <n v="1591.0300000000002"/>
        <n v="5915.09"/>
        <n v="1931.3599999999992"/>
        <n v="2005.3929999999991"/>
        <n v="2507.1999999999989"/>
        <n v="1239.7409999999991"/>
        <n v="687.24700000000018"/>
        <n v="1955.9399999999996"/>
        <n v="9118.6599999999962"/>
        <n v="6434.5550000000003"/>
        <n v="3556.795000000001"/>
        <n v="6971.241"/>
        <n v="1971.8720000000008"/>
        <n v="341.59400000000028"/>
        <n v="3774.7050000000008"/>
        <n v="9439.1539999999986"/>
        <n v="2580.2379999999994"/>
        <n v="1630.0900000000001"/>
        <n v="487.55200000000013"/>
        <n v="2956.4900000000016"/>
        <n v="4610.25"/>
        <n v="10534.378000000004"/>
        <n v="775.53400000000033"/>
        <n v="5736.2390000000005"/>
        <n v="6849.75"/>
        <n v="729.17999999999984"/>
        <n v="10870.589999999998"/>
        <n v="1771.1799999999985"/>
        <n v="1109.1939999999995"/>
        <n v="11511.240000000002"/>
        <n v="1159.4180000000001"/>
        <n v="8305.2304999999978"/>
        <n v="2750.612000000001"/>
        <n v="113.93999999999997"/>
        <n v="939.52000000000021"/>
        <n v="2960.7180000000008"/>
        <n v="3706.3589999999995"/>
        <n v="300.89800000000014"/>
        <n v="3694.08"/>
        <n v="3902.7674999999999"/>
        <n v="1408.98"/>
        <n v="2769.7799999999988"/>
        <n v="6751.0939999999991"/>
        <n v="279.20000000000005"/>
        <n v="4265.2699999999995"/>
        <n v="1789.29"/>
        <n v="1013"/>
        <n v="3571.4625000000015"/>
        <n v="4751.8690000000006"/>
        <n v="3593.41"/>
        <n v="1418.17"/>
        <n v="4591.6299999999974"/>
        <n v="8387.724000000002"/>
        <n v="6861.42"/>
        <n v="1295.0269999999991"/>
        <n v="3464.4600000000009"/>
        <n v="13321.45"/>
        <n v="10960.760000000002"/>
        <n v="1077.4900000000007"/>
        <n v="3457.3880000000008"/>
        <n v="1822.4499999999989"/>
        <n v="4864.3750000000055"/>
        <n v="4343.5125000000007"/>
        <n v="2143.1040000000012"/>
        <n v="1119.1400000000003"/>
        <n v="4259.0200000000004"/>
        <n v="4485.7140000000009"/>
        <n v="6459.6"/>
        <n v="355.07000000000016"/>
        <n v="652.15999999999985"/>
        <n v="1576.9399999999996"/>
        <n v="2025.9860000000003"/>
        <n v="3950.630000000001"/>
        <n v="15225.999000000003"/>
        <n v="289.91799999999989"/>
        <n v="1662.2774999999992"/>
        <n v="2228.73"/>
        <n v="3531.59"/>
        <n v="2968.8099999999995"/>
        <n v="4936.8989999999994"/>
        <n v="567.10449999999992"/>
        <n v="2205.3304999999982"/>
        <n v="4300.746000000001"/>
        <n v="3174.4199999999996"/>
        <n v="2480.0199999999995"/>
        <n v="1472.75"/>
        <n v="6241.79"/>
        <n v="370.99249999999984"/>
        <n v="1420.9940000000015"/>
        <n v="810.15999999999985"/>
        <n v="2826.76"/>
        <n v="3157.2200000000003"/>
        <n v="3618.4775"/>
        <n v="5837.9799999999977"/>
        <n v="2068.5700000000015"/>
        <n v="1353.6399999999999"/>
        <n v="1197.5300000000004"/>
        <n v="859.75400000000013"/>
        <n v="5700.5720000000019"/>
        <n v="431.81000000000017"/>
        <n v="2513.3300000000008"/>
        <n v="2315.8600000000006"/>
        <n v="2695.442"/>
        <n v="148.9899999999999"/>
        <n v="11951.610000000004"/>
        <n v="712.66899999999987"/>
        <n v="6391.2100000000028"/>
        <n v="1616.1414999999988"/>
        <n v="257.36699999999996"/>
        <n v="1320.0200000000004"/>
        <n v="666.62000000000012"/>
        <n v="1275.135"/>
        <n v="2314.7799999999988"/>
        <n v="1288.0099999999998"/>
        <n v="6382.0275000000001"/>
        <n v="152.4799999999999"/>
        <n v="6229.1029999999992"/>
        <n v="2264.5399999999991"/>
        <n v="2235.2300000000005"/>
        <n v="2506.3500000000004"/>
        <n v="675.50500000000034"/>
        <n v="2604.3119999999999"/>
        <n v="565.47800000000052"/>
        <n v="569.35249999999996"/>
        <n v="4610.51"/>
        <n v="3920.1139999999987"/>
        <n v="2370.6970000000001"/>
        <n v="947.35000000000036"/>
        <n v="7348.6500000000015"/>
        <n v="6630.4100000000017"/>
        <n v="465.77700000000004"/>
        <n v="694.92500000000018"/>
        <n v="782.36000000000058"/>
        <n v="1420.5974999999994"/>
        <n v="9270.6020000000026"/>
        <n v="2172.33"/>
        <n v="544.72200000000021"/>
        <n v="8616.6219999999994"/>
        <n v="8824.7099999999991"/>
        <n v="752.66499999999996"/>
        <n v="3816.119999999999"/>
        <n v="958.48399999999992"/>
        <n v="1656.9249999999993"/>
        <n v="140.59400000000005"/>
        <n v="1222.1800000000003"/>
        <n v="1195.4599999999996"/>
        <n v="407.63349999999991"/>
        <n v="2234.2559999999994"/>
        <n v="1298.4019999999996"/>
        <n v="449.53599999999983"/>
        <n v="636.88999999999987"/>
        <n v="5705.8320000000022"/>
        <n v="4532.989999999998"/>
        <n v="823.14"/>
        <n v="967.69500000000016"/>
        <n v="7934.9919999999966"/>
        <n v="881.67800000000034"/>
        <n v="10185.890000000003"/>
        <n v="8042.8699999999953"/>
        <n v="97.487000000000023"/>
        <n v="5350.8899999999994"/>
        <n v="5472.9774999999991"/>
        <n v="1912.1320000000014"/>
        <n v="4035.0540000000001"/>
        <n v="2461.7400000000007"/>
        <n v="5059.2700000000004"/>
        <n v="1386.48"/>
        <n v="4447.2574999999988"/>
        <n v="3356.9700000000012"/>
        <n v="3217.884"/>
        <n v="1374.8000000000002"/>
        <n v="4232.9040000000023"/>
        <n v="1562.2025000000012"/>
        <n v="644.51400000000012"/>
        <n v="714.0300000000002"/>
        <n v="3199.5679999999993"/>
        <n v="1039.2600000000002"/>
        <n v="4356.6320000000014"/>
        <n v="3845.8250000000007"/>
        <n v="1157.75"/>
        <n v="530.36200000000053"/>
        <n v="2613.7380000000003"/>
        <n v="1807.8450000000003"/>
        <n v="750.00999999999976"/>
        <n v="364.78"/>
        <n v="2186.81"/>
        <n v="4399.5400000000027"/>
        <n v="440.24599999999998"/>
        <n v="2486.5620000000017"/>
        <n v="11130.693000000003"/>
        <n v="1167.9800000000002"/>
        <n v="1811.29"/>
        <n v="1037.9649999999999"/>
        <n v="266.89099999999991"/>
        <n v="2706.2499999999982"/>
        <n v="2069.9699999999993"/>
        <n v="1504.3420000000006"/>
        <n v="1873.4099999999999"/>
        <n v="2699.12"/>
        <n v="99.222000000000037"/>
        <n v="804.37900000000013"/>
        <n v="733.63600000000019"/>
        <n v="882.48"/>
        <n v="4184.2949999999964"/>
        <n v="1365.4839999999999"/>
        <n v="2982.6460000000006"/>
        <n v="457.0740000000003"/>
        <n v="249.36500000000001"/>
        <n v="3938.7599999999984"/>
        <n v="4210.4339999999975"/>
        <n v="1088.3220000000006"/>
        <n v="3433.7699999999995"/>
        <n v="2888.26"/>
        <n v="4262.4880000000012"/>
        <n v="363.56999999999982"/>
        <n v="2156.91"/>
        <n v="3144.37"/>
        <n v="6020.3159999999989"/>
        <n v="1592.0600000000004"/>
        <n v="1585.6725000000001"/>
        <n v="2678.3849999999993"/>
        <n v="1848.786000000001"/>
        <n v="9229.1959999999999"/>
        <n v="647.3599999999999"/>
        <n v="2655.8380000000016"/>
        <n v="1887.2124999999987"/>
        <n v="5111.0920000000006"/>
        <n v="715.96449999999993"/>
        <n v="3310.5069999999996"/>
        <n v="8495.0299999999988"/>
        <n v="1150.9000000000005"/>
        <n v="12208.226000000002"/>
        <n v="4297.3600000000015"/>
        <n v="564.08000000000004"/>
        <n v="3726.1999999999989"/>
        <n v="8255.9894999999997"/>
        <n v="4253.2900000000009"/>
        <n v="6310.6805000000004"/>
        <n v="87.013000000000034"/>
        <n v="7969.9369999999981"/>
        <n v="41.370000000000346"/>
        <n v="2562.9040000000005"/>
        <n v="2214.7820000000011"/>
        <n v="7595.9649999999983"/>
        <n v="467.05450000000019"/>
        <n v="5250.1200000000026"/>
        <n v="587.9050000000002"/>
        <n v="4453.5220000000045"/>
        <n v="2894.59"/>
        <n v="1394.0480000000007"/>
        <n v="105.04949999999997"/>
        <n v="3397.380000000001"/>
        <n v="3746.6069999999982"/>
        <n v="3944.8824999999988"/>
        <n v="4993.8590000000004"/>
        <n v="219.39"/>
        <n v="1999.2890000000007"/>
        <n v="3442.3820000000005"/>
        <n v="2531.5394999999999"/>
        <n v="2115.1725000000006"/>
        <n v="1239.0160000000001"/>
        <n v="2339.8199999999993"/>
        <n v="1391.46"/>
        <n v="7257.5229999999974"/>
        <n v="5249.880000000001"/>
        <n v="5267.6100000000024"/>
        <n v="281.49999999999989"/>
        <n v="509.0300000000002"/>
        <n v="217.13400000000013"/>
        <n v="1076.6540000000005"/>
        <n v="505.6840000000002"/>
        <n v="2219.7280000000001"/>
        <n v="860.29200000000037"/>
        <n v="573.46699999999998"/>
        <n v="886.60500000000047"/>
        <n v="2723.9049999999988"/>
        <n v="2534.92"/>
        <n v="8141.2400000000016"/>
        <n v="767.54399999999998"/>
        <n v="250.97999999999996"/>
        <n v="1350.7599999999998"/>
        <n v="808.51400000000012"/>
        <n v="3992.3499999999985"/>
        <n v="744.24999999999977"/>
        <n v="5351.4449999999997"/>
        <n v="593.9699999999998"/>
        <n v="155.81599999999997"/>
        <n v="6358.0099999999984"/>
        <n v="1150.48"/>
        <n v="883.64200000000028"/>
        <n v="253.40049999999997"/>
        <n v="5602.7999999999993"/>
        <n v="1287.2000000000007"/>
        <n v="664.24400000000014"/>
        <n v="11116.911999999997"/>
        <n v="248.13000000000011"/>
        <n v="4684.4499999999989"/>
        <n v="4603.3599999999997"/>
        <n v="7493.5580000000009"/>
        <n v="12104.6625"/>
        <n v="2244.9700000000012"/>
        <n v="3380.0319999999992"/>
        <n v="5273.8050000000039"/>
        <n v="592.70000000000005"/>
        <n v="681.38249999999971"/>
        <n v="861.24500000000012"/>
        <n v="1985.5300000000007"/>
        <n v="2856.0899999999997"/>
        <n v="5396.6730000000025"/>
        <n v="8410.0139999999992"/>
        <n v="1375.6699999999996"/>
        <n v="2515.4225000000006"/>
        <n v="1195.3174999999992"/>
        <n v="7716.32"/>
        <n v="5296.9599999999955"/>
        <n v="1014.2949999999998"/>
        <n v="809.7859999999996"/>
        <n v="1648.2200000000003"/>
        <n v="8016.3650000000016"/>
        <n v="3728.84"/>
        <n v="1322.0940000000001"/>
        <n v="7002.0600000000031"/>
        <n v="4326.34"/>
        <n v="2082.4424999999992"/>
        <n v="483.4680000000003"/>
        <n v="1662.2800000000007"/>
        <n v="2146.1099999999997"/>
        <n v="3804.0880000000016"/>
        <n v="2817.6239999999989"/>
        <n v="2994.1069999999982"/>
        <n v="282.48799999999994"/>
        <n v="2541.7100000000009"/>
        <n v="869.11399999999958"/>
        <n v="973.0654999999997"/>
        <n v="4778.973"/>
        <n v="1714.9200000000019"/>
        <n v="8886.3159999999953"/>
        <n v="2694.340000000002"/>
        <n v="572.13799999999992"/>
        <n v="4119.47"/>
        <n v="5990.7925000000014"/>
        <n v="2789.3080000000009"/>
        <n v="1974.8720000000003"/>
        <n v="3111.5180000000009"/>
        <n v="468.79499999999985"/>
        <n v="343.76600000000008"/>
        <n v="2843.87"/>
        <n v="3270.0274999999992"/>
        <n v="10046.063999999998"/>
        <n v="3335.155999999999"/>
        <n v="5478.6040000000003"/>
        <n v="503.58500000000004"/>
        <n v="3569.018"/>
        <n v="1548.6180000000008"/>
        <n v="2940.6400000000003"/>
        <n v="5828.5919999999987"/>
        <n v="798.92999999999984"/>
        <n v="7228.5375000000004"/>
        <n v="5950.3835000000036"/>
        <n v="393.65800000000013"/>
        <n v="3483.2700000000004"/>
        <n v="741.58999999999992"/>
        <n v="7276.1100000000024"/>
        <n v="197.01600000000008"/>
        <n v="6770.1959999999999"/>
        <n v="687.6"/>
        <n v="2308.63"/>
        <n v="471.17399999999998"/>
        <n v="2057.5139999999997"/>
        <n v="42.348499999999945"/>
        <n v="719.60999999999967"/>
        <n v="528.73000000000025"/>
        <n v="1875.71"/>
        <n v="2615.6320000000005"/>
        <n v="13465.180500000002"/>
        <n v="4145.9075000000003"/>
        <n v="5376.08"/>
        <n v="402.89"/>
        <n v="1078.5499999999997"/>
        <n v="5375.829499999998"/>
        <n v="2918.5500000000011"/>
        <n v="9465.2865000000002"/>
        <n v="2752.5699999999997"/>
        <n v="1818.3600000000006"/>
        <n v="3658.6800000000003"/>
        <n v="2390.9300000000012"/>
        <n v="7465.7599999999984"/>
        <n v="2043.3400000000001"/>
        <n v="190.52000000000004"/>
        <n v="2910.8359999999993"/>
        <n v="1442.6370000000002"/>
        <n v="665.23"/>
        <n v="3668.9699999999984"/>
        <n v="2612.6379999999999"/>
        <n v="3790.884500000001"/>
        <n v="2001.8099999999995"/>
        <n v="403.2299999999999"/>
        <n v="1434.1099999999997"/>
        <n v="2120.75"/>
        <n v="4003.377999999997"/>
        <n v="1652.1824999999999"/>
        <n v="3100.8150000000005"/>
        <n v="1888.7699999999995"/>
        <n v="872.73800000000028"/>
        <n v="180.67700000000002"/>
        <n v="581.44550000000004"/>
        <n v="4663.4325000000008"/>
        <n v="547.19500000000016"/>
        <n v="3325.3179999999993"/>
        <n v="1692.7679999999991"/>
        <n v="1464.2700000000004"/>
        <n v="1716.2724999999996"/>
        <n v="2803.3599999999988"/>
        <n v="85.347500000000025"/>
        <n v="4700.4799999999996"/>
        <n v="4409.6000000000004"/>
        <n v="1054.9369999999999"/>
        <n v="6860.003999999999"/>
        <n v="1061.1279999999992"/>
        <n v="1530.9359999999997"/>
        <n v="2780.268"/>
        <n v="3361.7199999999993"/>
        <n v="1800"/>
        <n v="4044.1909999999989"/>
        <n v="262.52"/>
        <n v="6421.6100000000006"/>
        <n v="2692.7799999999997"/>
        <n v="9095.1659999999974"/>
        <n v="813.73700000000008"/>
        <n v="3717.6929999999993"/>
        <n v="431.86400000000003"/>
        <n v="5510.6080000000002"/>
        <n v="6191.130000000001"/>
        <n v="9843.74"/>
        <n v="2680.6820000000007"/>
        <n v="1122.9220000000005"/>
        <n v="1005.0450000000003"/>
        <n v="963.61999999999989"/>
        <n v="889.35000000000014"/>
        <n v="3901.255000000001"/>
        <n v="2750.3000000000011"/>
        <n v="3257.0200000000004"/>
        <n v="3130.4199999999992"/>
        <n v="475.65999999999963"/>
        <n v="1898.4349999999995"/>
        <n v="677.096"/>
        <n v="2029.8880000000008"/>
        <n v="4445.0640000000003"/>
        <n v="821.19999999999982"/>
        <n v="403.40499999999997"/>
        <n v="3971.8039999999964"/>
        <n v="1507.6624999999985"/>
        <n v="3337.5049999999974"/>
        <n v="745.43099999999959"/>
        <n v="466.44999999999982"/>
        <n v="1931.9799999999996"/>
        <n v="1734.2700000000004"/>
        <n v="1899.4250000000002"/>
        <n v="754.27999999999975"/>
        <n v="5509.0775000000031"/>
        <n v="5861.4900000000007"/>
        <n v="2456.75"/>
        <n v="1135.152000000001"/>
        <n v="4373.34"/>
        <n v="3552.9699999999975"/>
        <n v="609.55000000000018"/>
        <n v="7421.5820000000022"/>
        <n v="350.34499999999991"/>
        <n v="3387.24"/>
        <n v="3057.0275000000001"/>
        <n v="1075.3800000000001"/>
        <n v="5004.9499999999989"/>
        <n v="947.76899999999978"/>
        <n v="3245.3040000000001"/>
        <n v="3063.3"/>
        <n v="9845.8200000000015"/>
        <n v="9183.93"/>
        <n v="1534.9960000000001"/>
        <n v="1034.9500000000007"/>
        <n v="3410.5519999999997"/>
        <n v="386.41600000000005"/>
        <n v="258.91999999999985"/>
        <n v="341.03099999999984"/>
        <n v="546.13349999999969"/>
        <n v="504.42399999999998"/>
        <n v="1015.25"/>
        <n v="653.65999999999985"/>
        <n v="2150.3929999999991"/>
        <n v="6364.9579999999987"/>
        <n v="4683.41"/>
        <n v="943.65599999999995"/>
        <n v="4083.2099999999991"/>
        <n v="1064.9160000000002"/>
        <n v="6103.1299999999992"/>
        <n v="2408.9674999999988"/>
        <n v="9168.3499999999985"/>
        <n v="3357.873999999998"/>
        <n v="3164.49"/>
        <n v="5697.9499999999989"/>
        <n v="707.78750000000036"/>
        <n v="4498.8819999999978"/>
        <n v="2040.8740000000007"/>
        <n v="3396.8400000000011"/>
        <n v="1737.8299999999995"/>
        <n v="441.00899999999979"/>
        <n v="444"/>
        <n v="1032.4259999999999"/>
        <n v="655.43400000000065"/>
        <n v="995.4380000000001"/>
        <n v="2291.8920000000007"/>
        <n v="892.37749999999983"/>
        <n v="1101.3300000000004"/>
        <n v="3705.6299999999992"/>
        <n v="1079.4700000000003"/>
        <n v="924.21"/>
        <n v="1128.7494999999994"/>
        <n v="288.37"/>
        <n v="3519.8149999999996"/>
        <n v="7065.6400000000031"/>
        <n v="74.882000000000005"/>
        <n v="1767.8040000000019"/>
        <n v="1612.1080000000002"/>
        <n v="746.69150000000013"/>
        <n v="4794.7939999999944"/>
        <n v="885.94"/>
        <n v="2643.7249999999995"/>
        <n v="113.19749999999999"/>
        <n v="10999.593999999999"/>
        <n v="2010.2820000000002"/>
        <n v="2798.612000000001"/>
        <n v="10671.195"/>
        <n v="10879.461000000007"/>
        <n v="5586.630000000001"/>
        <n v="968.73"/>
        <n v="4365.673499999999"/>
        <n v="223.36"/>
        <n v="2859.2974999999997"/>
        <n v="636.54999999999995"/>
        <n v="1632.1759999999999"/>
        <n v="1655.7599999999993"/>
        <n v="5250.6999999999971"/>
        <n v="2319.2919999999995"/>
        <n v="1298.81"/>
        <n v="7251.9724999999962"/>
        <n v="2374.3599999999997"/>
        <n v="93.938000000000045"/>
        <n v="224.70249999999987"/>
        <n v="732.38200000000006"/>
        <n v="1049.1699999999992"/>
        <n v="267.32999999999993"/>
        <n v="9477.3925000000036"/>
        <n v="595.42999999999984"/>
        <n v="3242.1119999999983"/>
        <n v="1009.2649999999999"/>
        <n v="2013.375"/>
        <n v="4435.1200000000008"/>
        <n v="8792.6999999999953"/>
        <n v="1877.9539999999997"/>
        <n v="4666.7659999999996"/>
        <n v="2177.8200000000006"/>
        <n v="2045.7800000000007"/>
        <n v="2402.989999999998"/>
        <n v="2326.0299999999997"/>
        <n v="5544.4839999999986"/>
        <n v="824.01499999999987"/>
        <n v="829.57699999999977"/>
        <n v="1927.5099999999998"/>
        <n v="4982.1680000000015"/>
        <n v="7217.4499999999989"/>
        <n v="3156.5199999999995"/>
        <n v="1854.0519999999992"/>
        <n v="9118.9079999999994"/>
        <n v="6901.8420000000024"/>
        <n v="6352.75"/>
        <n v="951.17399999999998"/>
        <n v="2512.4359999999997"/>
        <n v="1594.723"/>
        <n v="2537.5100000000002"/>
        <n v="7562.8725000000013"/>
        <n v="2755.2700000000004"/>
        <n v="517.26"/>
        <n v="1155.7179999999998"/>
        <n v="467.41999999999985"/>
        <n v="6023.3849999999984"/>
        <n v="6546.24"/>
        <n v="1905.5439999999999"/>
        <n v="1235.21"/>
        <n v="2319.768"/>
        <n v="4415.9449999999997"/>
        <n v="157.65200000000004"/>
        <n v="281.52650000000006"/>
        <n v="8812.3700000000026"/>
        <n v="976.12199999999962"/>
        <n v="680.31849999999986"/>
        <n v="1162.8400000000001"/>
        <n v="1070.6700000000005"/>
        <n v="1024.640000000000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4">
  <r>
    <x v="0"/>
    <s v="Rajasthan"/>
    <s v="Jaipur"/>
    <x v="0"/>
    <x v="0"/>
    <s v="Pro Paper 122"/>
    <s v="Second Class"/>
    <m/>
    <n v="0.2"/>
    <x v="0"/>
    <x v="0"/>
  </r>
  <r>
    <x v="1"/>
    <s v="Odisha"/>
    <s v="Bhubaneswar"/>
    <x v="1"/>
    <x v="1"/>
    <s v="Pro Tables 258"/>
    <s v="Same Day"/>
    <m/>
    <n v="0"/>
    <x v="1"/>
    <x v="1"/>
  </r>
  <r>
    <x v="1"/>
    <s v="Odisha"/>
    <s v="Bhubaneswar"/>
    <x v="0"/>
    <x v="2"/>
    <s v="Elite Art 525"/>
    <s v="First Class"/>
    <m/>
    <s v="invalid"/>
    <x v="2"/>
    <x v="2"/>
  </r>
  <r>
    <x v="2"/>
    <s v="Telangana"/>
    <s v="Hyderabad"/>
    <x v="1"/>
    <x v="3"/>
    <s v="Smart Furnishings 294"/>
    <s v="Standard Class"/>
    <m/>
    <n v="0.25"/>
    <x v="3"/>
    <x v="3"/>
  </r>
  <r>
    <x v="3"/>
    <s v="Maharashtra"/>
    <s v="Mumbai"/>
    <x v="1"/>
    <x v="4"/>
    <s v="Elite Chairs 543"/>
    <s v="First Class"/>
    <m/>
    <n v="0"/>
    <x v="4"/>
    <x v="4"/>
  </r>
  <r>
    <x v="3"/>
    <s v="Madhya Pradesh"/>
    <s v="Indore"/>
    <x v="2"/>
    <x v="5"/>
    <s v="Pro Accessories 821"/>
    <s v="Same Day"/>
    <m/>
    <n v="0.2"/>
    <x v="5"/>
    <x v="5"/>
  </r>
  <r>
    <x v="1"/>
    <s v="Odisha"/>
    <s v="Bhubaneswar"/>
    <x v="2"/>
    <x v="6"/>
    <s v="Eco Copiers 790"/>
    <s v="Standard Class"/>
    <m/>
    <n v="0.15"/>
    <x v="6"/>
    <x v="6"/>
  </r>
  <r>
    <x v="2"/>
    <s v="Andhra Pradesh"/>
    <s v="Vijayawada"/>
    <x v="0"/>
    <x v="2"/>
    <s v="Eco Art 848"/>
    <s v="First Class"/>
    <m/>
    <n v="0"/>
    <x v="7"/>
    <x v="7"/>
  </r>
  <r>
    <x v="2"/>
    <s v="Telangana"/>
    <s v="Hyderabad"/>
    <x v="0"/>
    <x v="7"/>
    <s v="Classic Labels 815"/>
    <s v="First Class"/>
    <m/>
    <n v="0"/>
    <x v="8"/>
    <x v="8"/>
  </r>
  <r>
    <x v="2"/>
    <s v="Telangana"/>
    <s v="Hyderabad"/>
    <x v="0"/>
    <x v="0"/>
    <s v="Pro Paper 622"/>
    <s v="Second Class"/>
    <m/>
    <n v="0.2"/>
    <x v="9"/>
    <x v="9"/>
  </r>
  <r>
    <x v="1"/>
    <s v="West Bengal"/>
    <s v="Kolkata"/>
    <x v="0"/>
    <x v="7"/>
    <s v="Prime Labels 644"/>
    <s v="Second Class"/>
    <m/>
    <n v="0.05"/>
    <x v="10"/>
    <x v="10"/>
  </r>
  <r>
    <x v="1"/>
    <s v="Odisha"/>
    <s v="Bhubaneswar"/>
    <x v="2"/>
    <x v="5"/>
    <s v="Smart Accessories 603"/>
    <s v="Same Day"/>
    <m/>
    <n v="0.2"/>
    <x v="11"/>
    <x v="11"/>
  </r>
  <r>
    <x v="3"/>
    <s v="Rajasthan"/>
    <s v="Udaipur"/>
    <x v="0"/>
    <x v="0"/>
    <s v="Pro Paper 481"/>
    <s v="First Class"/>
    <m/>
    <n v="0.15"/>
    <x v="12"/>
    <x v="12"/>
  </r>
  <r>
    <x v="3"/>
    <s v="Maharashtra"/>
    <s v="Mumbai"/>
    <x v="0"/>
    <x v="2"/>
    <s v="Smart Art 795"/>
    <s v="Second Class"/>
    <m/>
    <n v="0.05"/>
    <x v="13"/>
    <x v="13"/>
  </r>
  <r>
    <x v="3"/>
    <s v="Rajasthan"/>
    <s v="Udaipur"/>
    <x v="2"/>
    <x v="6"/>
    <s v="Max Copiers 983"/>
    <s v="Standard Class"/>
    <m/>
    <n v="0.25"/>
    <x v="14"/>
    <x v="14"/>
  </r>
  <r>
    <x v="0"/>
    <s v="Punjab"/>
    <s v="Ludhiana"/>
    <x v="0"/>
    <x v="8"/>
    <s v="Classic Storage 198"/>
    <s v="Second Class"/>
    <m/>
    <n v="0"/>
    <x v="15"/>
    <x v="15"/>
  </r>
  <r>
    <x v="2"/>
    <s v="Telangana"/>
    <s v="Hyderabad"/>
    <x v="0"/>
    <x v="2"/>
    <s v="Basic Art 204"/>
    <s v="First Class"/>
    <m/>
    <n v="0.25"/>
    <x v="16"/>
    <x v="16"/>
  </r>
  <r>
    <x v="0"/>
    <s v="Rajasthan"/>
    <s v="Jaipur"/>
    <x v="1"/>
    <x v="3"/>
    <s v="Basic Furnishings 434"/>
    <s v="Same Day"/>
    <m/>
    <n v="0"/>
    <x v="17"/>
    <x v="17"/>
  </r>
  <r>
    <x v="0"/>
    <s v="Uttar Pradesh"/>
    <s v="Noida"/>
    <x v="2"/>
    <x v="6"/>
    <s v="Eco Copiers 755"/>
    <s v="First Class"/>
    <m/>
    <n v="0"/>
    <x v="18"/>
    <x v="18"/>
  </r>
  <r>
    <x v="3"/>
    <s v="Madhya Pradesh"/>
    <s v="Indore"/>
    <x v="0"/>
    <x v="8"/>
    <s v="Prime Storage 121"/>
    <s v="Second Class"/>
    <m/>
    <s v="invalid"/>
    <x v="2"/>
    <x v="2"/>
  </r>
  <r>
    <x v="1"/>
    <s v="Bihar"/>
    <s v="Patna"/>
    <x v="2"/>
    <x v="6"/>
    <s v="Elite Copiers 233"/>
    <s v="First Class"/>
    <m/>
    <n v="0.25"/>
    <x v="19"/>
    <x v="19"/>
  </r>
  <r>
    <x v="3"/>
    <s v="Madhya Pradesh"/>
    <s v="Indore"/>
    <x v="1"/>
    <x v="3"/>
    <s v="Eco Furnishings 897"/>
    <s v="Second Class"/>
    <m/>
    <s v="invalid"/>
    <x v="2"/>
    <x v="2"/>
  </r>
  <r>
    <x v="2"/>
    <s v="Telangana"/>
    <s v="Hyderabad"/>
    <x v="0"/>
    <x v="9"/>
    <s v="Max Binders 355"/>
    <s v="Standard Class"/>
    <m/>
    <n v="0.15"/>
    <x v="20"/>
    <x v="20"/>
  </r>
  <r>
    <x v="1"/>
    <s v="Bihar"/>
    <s v="Patna"/>
    <x v="1"/>
    <x v="10"/>
    <s v="Pro Bookcases 394"/>
    <s v="First Class"/>
    <m/>
    <n v="0.2"/>
    <x v="21"/>
    <x v="21"/>
  </r>
  <r>
    <x v="0"/>
    <s v="Punjab"/>
    <s v="Ludhiana"/>
    <x v="0"/>
    <x v="2"/>
    <s v="Max Art 215"/>
    <s v="Standard Class"/>
    <m/>
    <n v="0.25"/>
    <x v="22"/>
    <x v="22"/>
  </r>
  <r>
    <x v="1"/>
    <s v="Assam"/>
    <s v="Guwahati"/>
    <x v="2"/>
    <x v="5"/>
    <s v="Classic Accessories 478"/>
    <s v="First Class"/>
    <m/>
    <n v="0.15"/>
    <x v="23"/>
    <x v="23"/>
  </r>
  <r>
    <x v="0"/>
    <s v="Uttar Pradesh"/>
    <s v="Noida"/>
    <x v="2"/>
    <x v="11"/>
    <s v="Pro Phones 243"/>
    <s v="Standard Class"/>
    <m/>
    <n v="0.1"/>
    <x v="24"/>
    <x v="24"/>
  </r>
  <r>
    <x v="2"/>
    <s v="Karnataka"/>
    <s v="Bengaluru"/>
    <x v="0"/>
    <x v="0"/>
    <s v="Basic Paper 613"/>
    <s v="Second Class"/>
    <m/>
    <n v="0.25"/>
    <x v="25"/>
    <x v="25"/>
  </r>
  <r>
    <x v="3"/>
    <s v="Gujarat"/>
    <s v="Ahmedabad"/>
    <x v="2"/>
    <x v="11"/>
    <s v="Prime Phones 698"/>
    <s v="Second Class"/>
    <m/>
    <n v="0.25"/>
    <x v="26"/>
    <x v="26"/>
  </r>
  <r>
    <x v="2"/>
    <s v="Kerala"/>
    <s v="Kochi"/>
    <x v="2"/>
    <x v="11"/>
    <s v="Pro Phones 442"/>
    <s v="Standard Class"/>
    <m/>
    <n v="0.15"/>
    <x v="27"/>
    <x v="27"/>
  </r>
  <r>
    <x v="3"/>
    <s v="Goa"/>
    <s v="Panaji"/>
    <x v="0"/>
    <x v="7"/>
    <s v="Pro Labels 355"/>
    <s v="First Class"/>
    <m/>
    <n v="0.1"/>
    <x v="28"/>
    <x v="28"/>
  </r>
  <r>
    <x v="3"/>
    <s v="Madhya Pradesh"/>
    <s v="Indore"/>
    <x v="0"/>
    <x v="0"/>
    <s v="Pro Paper 959"/>
    <s v="Second Class"/>
    <m/>
    <n v="0"/>
    <x v="29"/>
    <x v="29"/>
  </r>
  <r>
    <x v="2"/>
    <s v="Andhra Pradesh"/>
    <s v="Vijayawada"/>
    <x v="2"/>
    <x v="11"/>
    <s v="Basic Phones 242"/>
    <s v="Second Class"/>
    <m/>
    <n v="0"/>
    <x v="30"/>
    <x v="30"/>
  </r>
  <r>
    <x v="3"/>
    <s v="Goa"/>
    <s v="Panaji"/>
    <x v="1"/>
    <x v="1"/>
    <s v="Max Tables 836"/>
    <s v="Same Day"/>
    <m/>
    <n v="0.25"/>
    <x v="31"/>
    <x v="31"/>
  </r>
  <r>
    <x v="1"/>
    <s v="West Bengal"/>
    <s v="Kolkata"/>
    <x v="1"/>
    <x v="4"/>
    <s v="Elite Chairs 862"/>
    <s v="missing value"/>
    <m/>
    <n v="0.2"/>
    <x v="32"/>
    <x v="32"/>
  </r>
  <r>
    <x v="3"/>
    <s v="Gujarat"/>
    <s v="Ahmedabad"/>
    <x v="1"/>
    <x v="10"/>
    <s v="Prime Bookcases 414"/>
    <s v="Second Class"/>
    <m/>
    <n v="0.05"/>
    <x v="33"/>
    <x v="33"/>
  </r>
  <r>
    <x v="3"/>
    <s v="Maharashtra"/>
    <s v="Mumbai"/>
    <x v="1"/>
    <x v="10"/>
    <s v="Eco Bookcases 220"/>
    <s v="Second Class"/>
    <m/>
    <n v="0"/>
    <x v="34"/>
    <x v="34"/>
  </r>
  <r>
    <x v="3"/>
    <s v="Maharashtra"/>
    <s v="Mumbai"/>
    <x v="2"/>
    <x v="6"/>
    <s v="Pro Copiers 830"/>
    <s v="Standard Class"/>
    <m/>
    <n v="0.2"/>
    <x v="35"/>
    <x v="35"/>
  </r>
  <r>
    <x v="3"/>
    <s v="Gujarat"/>
    <s v="Ahmedabad"/>
    <x v="2"/>
    <x v="11"/>
    <s v="Prime Phones 507"/>
    <s v="First Class"/>
    <m/>
    <n v="0.1"/>
    <x v="36"/>
    <x v="36"/>
  </r>
  <r>
    <x v="3"/>
    <s v="Madhya Pradesh"/>
    <s v="Indore"/>
    <x v="2"/>
    <x v="6"/>
    <s v="Classic Copiers 590"/>
    <s v="First Class"/>
    <m/>
    <n v="0.1"/>
    <x v="37"/>
    <x v="37"/>
  </r>
  <r>
    <x v="3"/>
    <s v="Rajasthan"/>
    <s v="Udaipur"/>
    <x v="2"/>
    <x v="6"/>
    <s v="Eco Copiers 865"/>
    <s v="Standard Class"/>
    <m/>
    <n v="0.2"/>
    <x v="38"/>
    <x v="38"/>
  </r>
  <r>
    <x v="1"/>
    <s v="Odisha"/>
    <s v="Bhubaneswar"/>
    <x v="1"/>
    <x v="10"/>
    <s v="Classic Bookcases 835"/>
    <s v="Same Day"/>
    <m/>
    <n v="0"/>
    <x v="39"/>
    <x v="39"/>
  </r>
  <r>
    <x v="1"/>
    <s v="Jharkhand"/>
    <s v="Ranchi"/>
    <x v="2"/>
    <x v="11"/>
    <s v="Eco Phones 702"/>
    <s v="Standard Class"/>
    <m/>
    <n v="0.05"/>
    <x v="40"/>
    <x v="40"/>
  </r>
  <r>
    <x v="1"/>
    <s v="Odisha"/>
    <s v="Bhubaneswar"/>
    <x v="1"/>
    <x v="3"/>
    <s v="Smart Furnishings 956"/>
    <s v="Same Day"/>
    <m/>
    <n v="0"/>
    <x v="41"/>
    <x v="41"/>
  </r>
  <r>
    <x v="0"/>
    <s v="Haryana"/>
    <s v="Gurugram"/>
    <x v="1"/>
    <x v="4"/>
    <s v="Max Chairs 393"/>
    <s v="Standard Class"/>
    <m/>
    <n v="0.1"/>
    <x v="42"/>
    <x v="42"/>
  </r>
  <r>
    <x v="1"/>
    <s v="Bihar"/>
    <s v="Patna"/>
    <x v="0"/>
    <x v="2"/>
    <s v="Prime Art 221"/>
    <s v="Second Class"/>
    <m/>
    <n v="0.05"/>
    <x v="43"/>
    <x v="43"/>
  </r>
  <r>
    <x v="2"/>
    <s v="Kerala"/>
    <s v="Kochi"/>
    <x v="1"/>
    <x v="10"/>
    <s v="Elite Bookcases 671"/>
    <s v="Standard Class"/>
    <m/>
    <n v="0.25"/>
    <x v="44"/>
    <x v="44"/>
  </r>
  <r>
    <x v="2"/>
    <s v="Tamil Nadu"/>
    <s v="Chennai"/>
    <x v="0"/>
    <x v="8"/>
    <s v="Max Storage 432"/>
    <s v="Standard Class"/>
    <m/>
    <n v="0.1"/>
    <x v="45"/>
    <x v="45"/>
  </r>
  <r>
    <x v="3"/>
    <s v="Maharashtra"/>
    <s v="Mumbai"/>
    <x v="1"/>
    <x v="4"/>
    <s v="Basic Chairs 837"/>
    <s v="Second Class"/>
    <m/>
    <n v="0"/>
    <x v="46"/>
    <x v="46"/>
  </r>
  <r>
    <x v="0"/>
    <s v="Uttar Pradesh"/>
    <s v="Noida"/>
    <x v="2"/>
    <x v="6"/>
    <s v="Classic Copiers 295"/>
    <s v="Second Class"/>
    <m/>
    <n v="0.05"/>
    <x v="47"/>
    <x v="47"/>
  </r>
  <r>
    <x v="1"/>
    <s v="West Bengal"/>
    <s v="Kolkata"/>
    <x v="2"/>
    <x v="6"/>
    <s v="Pro Copiers 963"/>
    <s v="Standard Class"/>
    <m/>
    <n v="0.15"/>
    <x v="48"/>
    <x v="48"/>
  </r>
  <r>
    <x v="2"/>
    <s v="Telangana"/>
    <s v="Hyderabad"/>
    <x v="0"/>
    <x v="2"/>
    <s v="Pro Art 907"/>
    <s v="Standard Class"/>
    <m/>
    <n v="0"/>
    <x v="49"/>
    <x v="49"/>
  </r>
  <r>
    <x v="0"/>
    <s v="Rajasthan"/>
    <s v="Jaipur"/>
    <x v="1"/>
    <x v="4"/>
    <s v="Pro Chairs 526"/>
    <s v="First Class"/>
    <m/>
    <n v="0"/>
    <x v="50"/>
    <x v="50"/>
  </r>
  <r>
    <x v="3"/>
    <s v="Gujarat"/>
    <s v="Ahmedabad"/>
    <x v="0"/>
    <x v="8"/>
    <s v="Elite Storage 924"/>
    <s v="First Class"/>
    <m/>
    <n v="0.15"/>
    <x v="51"/>
    <x v="51"/>
  </r>
  <r>
    <x v="2"/>
    <s v="Tamil Nadu"/>
    <s v="Chennai"/>
    <x v="0"/>
    <x v="7"/>
    <s v="Pro Labels 957"/>
    <s v="Same Day"/>
    <m/>
    <n v="0.1"/>
    <x v="52"/>
    <x v="52"/>
  </r>
  <r>
    <x v="2"/>
    <s v="Andhra Pradesh"/>
    <s v="Vijayawada"/>
    <x v="2"/>
    <x v="12"/>
    <s v="Classic Machines 310"/>
    <s v="Same Day"/>
    <m/>
    <n v="0.25"/>
    <x v="53"/>
    <x v="53"/>
  </r>
  <r>
    <x v="2"/>
    <s v="Karnataka"/>
    <s v="Bengaluru"/>
    <x v="0"/>
    <x v="9"/>
    <s v="Smart Binders 393"/>
    <s v="Second Class"/>
    <m/>
    <n v="0"/>
    <x v="54"/>
    <x v="54"/>
  </r>
  <r>
    <x v="3"/>
    <s v="Goa"/>
    <s v="Panaji"/>
    <x v="1"/>
    <x v="4"/>
    <s v="Max Chairs 813"/>
    <s v="Same Day"/>
    <m/>
    <n v="0"/>
    <x v="55"/>
    <x v="55"/>
  </r>
  <r>
    <x v="0"/>
    <s v="Rajasthan"/>
    <s v="Jaipur"/>
    <x v="0"/>
    <x v="8"/>
    <s v="Basic Storage 872"/>
    <s v="missing value"/>
    <m/>
    <n v="0.1"/>
    <x v="56"/>
    <x v="56"/>
  </r>
  <r>
    <x v="1"/>
    <s v="Assam"/>
    <s v="Guwahati"/>
    <x v="0"/>
    <x v="7"/>
    <s v="Smart Labels 655"/>
    <s v="Same Day"/>
    <m/>
    <n v="0.2"/>
    <x v="57"/>
    <x v="57"/>
  </r>
  <r>
    <x v="1"/>
    <s v="Assam"/>
    <s v="Guwahati"/>
    <x v="0"/>
    <x v="7"/>
    <s v="Eco Labels 210"/>
    <s v="Same Day"/>
    <m/>
    <n v="0.2"/>
    <x v="58"/>
    <x v="58"/>
  </r>
  <r>
    <x v="1"/>
    <s v="Bihar"/>
    <s v="Patna"/>
    <x v="1"/>
    <x v="10"/>
    <s v="Classic Bookcases 296"/>
    <s v="Standard Class"/>
    <m/>
    <n v="0"/>
    <x v="59"/>
    <x v="59"/>
  </r>
  <r>
    <x v="0"/>
    <s v="Rajasthan"/>
    <s v="Jaipur"/>
    <x v="2"/>
    <x v="11"/>
    <s v="Basic Phones 230"/>
    <s v="Standard Class"/>
    <m/>
    <n v="0.2"/>
    <x v="60"/>
    <x v="60"/>
  </r>
  <r>
    <x v="0"/>
    <s v="Haryana"/>
    <s v="Gurugram"/>
    <x v="0"/>
    <x v="9"/>
    <s v="Pro Binders 690"/>
    <s v="Same Day"/>
    <m/>
    <n v="0.15"/>
    <x v="61"/>
    <x v="61"/>
  </r>
  <r>
    <x v="1"/>
    <s v="Jharkhand"/>
    <s v="Ranchi"/>
    <x v="0"/>
    <x v="0"/>
    <s v="Classic Paper 458"/>
    <s v="First Class"/>
    <m/>
    <n v="0"/>
    <x v="62"/>
    <x v="62"/>
  </r>
  <r>
    <x v="3"/>
    <s v="Maharashtra"/>
    <s v="Mumbai"/>
    <x v="0"/>
    <x v="0"/>
    <s v="Pro Paper 552"/>
    <s v="Second Class"/>
    <m/>
    <n v="0.05"/>
    <x v="63"/>
    <x v="63"/>
  </r>
  <r>
    <x v="2"/>
    <s v="Tamil Nadu"/>
    <s v="Chennai"/>
    <x v="2"/>
    <x v="5"/>
    <s v="Elite Accessories 187"/>
    <s v="Same Day"/>
    <m/>
    <n v="0.05"/>
    <x v="64"/>
    <x v="64"/>
  </r>
  <r>
    <x v="0"/>
    <s v="Haryana"/>
    <s v="Gurugram"/>
    <x v="0"/>
    <x v="0"/>
    <s v="Eco Paper 922"/>
    <s v="First Class"/>
    <m/>
    <n v="0.05"/>
    <x v="65"/>
    <x v="65"/>
  </r>
  <r>
    <x v="1"/>
    <s v="Jharkhand"/>
    <s v="Ranchi"/>
    <x v="0"/>
    <x v="8"/>
    <s v="Pro Storage 975"/>
    <s v="Second Class"/>
    <m/>
    <n v="0"/>
    <x v="66"/>
    <x v="66"/>
  </r>
  <r>
    <x v="3"/>
    <s v="Gujarat"/>
    <s v="Ahmedabad"/>
    <x v="2"/>
    <x v="12"/>
    <s v="Prime Machines 782"/>
    <s v="Same Day"/>
    <m/>
    <n v="0.1"/>
    <x v="67"/>
    <x v="67"/>
  </r>
  <r>
    <x v="2"/>
    <s v="Andhra Pradesh"/>
    <s v="Vijayawada"/>
    <x v="2"/>
    <x v="11"/>
    <s v="Max Phones 661"/>
    <s v="First Class"/>
    <m/>
    <n v="0.15"/>
    <x v="68"/>
    <x v="68"/>
  </r>
  <r>
    <x v="3"/>
    <s v="Goa"/>
    <s v="Panaji"/>
    <x v="2"/>
    <x v="12"/>
    <s v="Elite Machines 836"/>
    <s v="Standard Class"/>
    <m/>
    <n v="0.1"/>
    <x v="69"/>
    <x v="69"/>
  </r>
  <r>
    <x v="2"/>
    <s v="Tamil Nadu"/>
    <s v="Chennai"/>
    <x v="1"/>
    <x v="1"/>
    <s v="Prime Tables 902"/>
    <s v="First Class"/>
    <m/>
    <n v="0.15"/>
    <x v="70"/>
    <x v="70"/>
  </r>
  <r>
    <x v="1"/>
    <s v="West Bengal"/>
    <s v="Kolkata"/>
    <x v="1"/>
    <x v="10"/>
    <s v="Smart Bookcases 167"/>
    <s v="First Class"/>
    <m/>
    <n v="0"/>
    <x v="71"/>
    <x v="71"/>
  </r>
  <r>
    <x v="1"/>
    <s v="West Bengal"/>
    <s v="Kolkata"/>
    <x v="1"/>
    <x v="4"/>
    <s v="Max Chairs 244"/>
    <s v="Standard Class"/>
    <m/>
    <n v="0"/>
    <x v="72"/>
    <x v="72"/>
  </r>
  <r>
    <x v="1"/>
    <s v="Odisha"/>
    <s v="Bhubaneswar"/>
    <x v="0"/>
    <x v="7"/>
    <s v="Eco Labels 653"/>
    <s v="First Class"/>
    <m/>
    <n v="0.2"/>
    <x v="73"/>
    <x v="73"/>
  </r>
  <r>
    <x v="1"/>
    <s v="Jharkhand"/>
    <s v="Ranchi"/>
    <x v="0"/>
    <x v="7"/>
    <s v="Max Labels 617"/>
    <s v="Second Class"/>
    <m/>
    <n v="0"/>
    <x v="74"/>
    <x v="74"/>
  </r>
  <r>
    <x v="0"/>
    <s v="Uttar Pradesh"/>
    <s v="Noida"/>
    <x v="1"/>
    <x v="3"/>
    <s v="Pro Furnishings 529"/>
    <s v="Standard Class"/>
    <m/>
    <n v="0.15"/>
    <x v="75"/>
    <x v="75"/>
  </r>
  <r>
    <x v="1"/>
    <s v="West Bengal"/>
    <s v="Kolkata"/>
    <x v="1"/>
    <x v="1"/>
    <s v="Smart Tables 561"/>
    <s v="First Class"/>
    <m/>
    <n v="0.15"/>
    <x v="76"/>
    <x v="76"/>
  </r>
  <r>
    <x v="2"/>
    <s v="Tamil Nadu"/>
    <s v="Chennai"/>
    <x v="1"/>
    <x v="4"/>
    <s v="Prime Chairs 838"/>
    <s v="Same Day"/>
    <m/>
    <n v="0.1"/>
    <x v="77"/>
    <x v="77"/>
  </r>
  <r>
    <x v="0"/>
    <s v="Delhi"/>
    <s v="New Delhi"/>
    <x v="0"/>
    <x v="8"/>
    <s v="Elite Storage 371"/>
    <s v="Second Class"/>
    <m/>
    <n v="0.1"/>
    <x v="78"/>
    <x v="78"/>
  </r>
  <r>
    <x v="3"/>
    <s v="Goa"/>
    <s v="Panaji"/>
    <x v="0"/>
    <x v="7"/>
    <s v="Eco Labels 662"/>
    <s v="Same Day"/>
    <m/>
    <n v="0"/>
    <x v="79"/>
    <x v="79"/>
  </r>
  <r>
    <x v="0"/>
    <s v="Uttar Pradesh"/>
    <s v="Noida"/>
    <x v="2"/>
    <x v="6"/>
    <s v="Smart Copiers 702"/>
    <s v="Second Class"/>
    <m/>
    <n v="0"/>
    <x v="80"/>
    <x v="80"/>
  </r>
  <r>
    <x v="3"/>
    <s v="Maharashtra"/>
    <s v="Mumbai"/>
    <x v="1"/>
    <x v="1"/>
    <s v="Elite Tables 362"/>
    <s v="Second Class"/>
    <m/>
    <n v="0.2"/>
    <x v="81"/>
    <x v="81"/>
  </r>
  <r>
    <x v="2"/>
    <s v="Tamil Nadu"/>
    <s v="Chennai"/>
    <x v="2"/>
    <x v="11"/>
    <s v="Elite Phones 781"/>
    <s v="Second Class"/>
    <m/>
    <n v="0.2"/>
    <x v="82"/>
    <x v="82"/>
  </r>
  <r>
    <x v="0"/>
    <s v="Delhi"/>
    <s v="New Delhi"/>
    <x v="0"/>
    <x v="9"/>
    <s v="Eco Binders 456"/>
    <s v="Standard Class"/>
    <m/>
    <n v="0"/>
    <x v="83"/>
    <x v="83"/>
  </r>
  <r>
    <x v="0"/>
    <s v="Delhi"/>
    <s v="New Delhi"/>
    <x v="2"/>
    <x v="6"/>
    <s v="Basic Copiers 525"/>
    <s v="Second Class"/>
    <m/>
    <n v="0.1"/>
    <x v="84"/>
    <x v="84"/>
  </r>
  <r>
    <x v="1"/>
    <s v="Assam"/>
    <s v="Guwahati"/>
    <x v="0"/>
    <x v="9"/>
    <s v="Eco Binders 258"/>
    <s v="Standard Class"/>
    <m/>
    <n v="0"/>
    <x v="85"/>
    <x v="85"/>
  </r>
  <r>
    <x v="3"/>
    <s v="Maharashtra"/>
    <s v="Mumbai"/>
    <x v="1"/>
    <x v="10"/>
    <s v="Max Bookcases 398"/>
    <s v="Standard Class"/>
    <m/>
    <n v="0.05"/>
    <x v="86"/>
    <x v="86"/>
  </r>
  <r>
    <x v="2"/>
    <s v="Andhra Pradesh"/>
    <s v="Vijayawada"/>
    <x v="1"/>
    <x v="10"/>
    <s v="Smart Bookcases 857"/>
    <s v="Standard Class"/>
    <m/>
    <n v="0.2"/>
    <x v="87"/>
    <x v="87"/>
  </r>
  <r>
    <x v="1"/>
    <s v="Bihar"/>
    <s v="Patna"/>
    <x v="2"/>
    <x v="6"/>
    <s v="Smart Copiers 556"/>
    <s v="First Class"/>
    <m/>
    <n v="0.15"/>
    <x v="88"/>
    <x v="88"/>
  </r>
  <r>
    <x v="3"/>
    <s v="Madhya Pradesh"/>
    <s v="Indore"/>
    <x v="2"/>
    <x v="6"/>
    <s v="Prime Copiers 575"/>
    <s v="Second Class"/>
    <m/>
    <n v="0"/>
    <x v="89"/>
    <x v="89"/>
  </r>
  <r>
    <x v="3"/>
    <s v="Madhya Pradesh"/>
    <s v="Indore"/>
    <x v="0"/>
    <x v="0"/>
    <s v="Elite Paper 669"/>
    <s v="Standard Class"/>
    <m/>
    <n v="0.1"/>
    <x v="90"/>
    <x v="90"/>
  </r>
  <r>
    <x v="0"/>
    <s v="Uttar Pradesh"/>
    <s v="Noida"/>
    <x v="0"/>
    <x v="9"/>
    <s v="Eco Binders 780"/>
    <s v="Standard Class"/>
    <m/>
    <s v="invalid"/>
    <x v="2"/>
    <x v="2"/>
  </r>
  <r>
    <x v="0"/>
    <s v="Haryana"/>
    <s v="Gurugram"/>
    <x v="2"/>
    <x v="11"/>
    <s v="Elite Phones 723"/>
    <s v="Second Class"/>
    <m/>
    <n v="0"/>
    <x v="91"/>
    <x v="91"/>
  </r>
  <r>
    <x v="3"/>
    <s v="Goa"/>
    <s v="Panaji"/>
    <x v="1"/>
    <x v="10"/>
    <s v="Classic Bookcases 988"/>
    <s v="Same Day"/>
    <m/>
    <n v="0"/>
    <x v="92"/>
    <x v="92"/>
  </r>
  <r>
    <x v="1"/>
    <s v="Odisha"/>
    <s v="Bhubaneswar"/>
    <x v="2"/>
    <x v="6"/>
    <s v="Smart Copiers 547"/>
    <s v="Second Class"/>
    <m/>
    <n v="0.15"/>
    <x v="93"/>
    <x v="93"/>
  </r>
  <r>
    <x v="3"/>
    <s v="Gujarat"/>
    <s v="Ahmedabad"/>
    <x v="0"/>
    <x v="8"/>
    <s v="Basic Storage 656"/>
    <s v="Same Day"/>
    <m/>
    <n v="0.2"/>
    <x v="94"/>
    <x v="94"/>
  </r>
  <r>
    <x v="2"/>
    <s v="Kerala"/>
    <s v="Kochi"/>
    <x v="2"/>
    <x v="6"/>
    <s v="Elite Copiers 785"/>
    <s v="missing value"/>
    <m/>
    <n v="0.1"/>
    <x v="95"/>
    <x v="95"/>
  </r>
  <r>
    <x v="3"/>
    <s v="Rajasthan"/>
    <s v="Udaipur"/>
    <x v="2"/>
    <x v="5"/>
    <s v="Smart Accessories 542"/>
    <s v="Same Day"/>
    <m/>
    <n v="0"/>
    <x v="96"/>
    <x v="96"/>
  </r>
  <r>
    <x v="2"/>
    <s v="Kerala"/>
    <s v="Kochi"/>
    <x v="0"/>
    <x v="8"/>
    <s v="Eco Storage 936"/>
    <s v="Standard Class"/>
    <m/>
    <n v="0.05"/>
    <x v="97"/>
    <x v="97"/>
  </r>
  <r>
    <x v="1"/>
    <s v="Bihar"/>
    <s v="Patna"/>
    <x v="1"/>
    <x v="3"/>
    <s v="Classic Furnishings 682"/>
    <s v="First Class"/>
    <m/>
    <n v="0.25"/>
    <x v="98"/>
    <x v="98"/>
  </r>
  <r>
    <x v="2"/>
    <s v="Karnataka"/>
    <s v="Bengaluru"/>
    <x v="1"/>
    <x v="4"/>
    <s v="Classic Chairs 604"/>
    <s v="First Class"/>
    <m/>
    <n v="0"/>
    <x v="99"/>
    <x v="99"/>
  </r>
  <r>
    <x v="3"/>
    <s v="Maharashtra"/>
    <s v="Mumbai"/>
    <x v="1"/>
    <x v="1"/>
    <s v="Prime Tables 377"/>
    <s v="First Class"/>
    <m/>
    <n v="0.2"/>
    <x v="100"/>
    <x v="100"/>
  </r>
  <r>
    <x v="2"/>
    <s v="Karnataka"/>
    <s v="Bengaluru"/>
    <x v="0"/>
    <x v="7"/>
    <s v="Prime Labels 807"/>
    <s v="Same Day"/>
    <m/>
    <n v="0.25"/>
    <x v="101"/>
    <x v="101"/>
  </r>
  <r>
    <x v="1"/>
    <s v="West Bengal"/>
    <s v="Kolkata"/>
    <x v="1"/>
    <x v="1"/>
    <s v="Eco Tables 575"/>
    <s v="Second Class"/>
    <m/>
    <n v="0.1"/>
    <x v="102"/>
    <x v="102"/>
  </r>
  <r>
    <x v="1"/>
    <s v="West Bengal"/>
    <s v="Kolkata"/>
    <x v="0"/>
    <x v="0"/>
    <s v="Eco Paper 918"/>
    <s v="Standard Class"/>
    <m/>
    <n v="0"/>
    <x v="103"/>
    <x v="103"/>
  </r>
  <r>
    <x v="1"/>
    <s v="West Bengal"/>
    <s v="Kolkata"/>
    <x v="1"/>
    <x v="3"/>
    <s v="Prime Furnishings 952"/>
    <s v="First Class"/>
    <m/>
    <n v="0.05"/>
    <x v="104"/>
    <x v="104"/>
  </r>
  <r>
    <x v="1"/>
    <s v="Odisha"/>
    <s v="Bhubaneswar"/>
    <x v="1"/>
    <x v="10"/>
    <s v="Prime Bookcases 631"/>
    <s v="Same Day"/>
    <m/>
    <n v="0.25"/>
    <x v="105"/>
    <x v="105"/>
  </r>
  <r>
    <x v="0"/>
    <s v="Delhi"/>
    <s v="New Delhi"/>
    <x v="0"/>
    <x v="9"/>
    <s v="Classic Binders 660"/>
    <s v="Second Class"/>
    <m/>
    <n v="0.25"/>
    <x v="106"/>
    <x v="106"/>
  </r>
  <r>
    <x v="2"/>
    <s v="Kerala"/>
    <s v="Kochi"/>
    <x v="0"/>
    <x v="7"/>
    <s v="Pro Labels 255"/>
    <s v="First Class"/>
    <m/>
    <n v="0"/>
    <x v="107"/>
    <x v="107"/>
  </r>
  <r>
    <x v="1"/>
    <s v="Bihar"/>
    <s v="Patna"/>
    <x v="2"/>
    <x v="5"/>
    <s v="Basic Accessories 187"/>
    <s v="First Class"/>
    <m/>
    <n v="0.05"/>
    <x v="108"/>
    <x v="108"/>
  </r>
  <r>
    <x v="4"/>
    <s v="Gujarat"/>
    <s v="Ahmedabad"/>
    <x v="2"/>
    <x v="5"/>
    <s v="Max Accessories 451"/>
    <s v="Standard Class"/>
    <m/>
    <n v="0.05"/>
    <x v="109"/>
    <x v="109"/>
  </r>
  <r>
    <x v="2"/>
    <s v="Tamil Nadu"/>
    <s v="Chennai"/>
    <x v="1"/>
    <x v="1"/>
    <s v="Classic Tables 752"/>
    <s v="Standard Class"/>
    <m/>
    <n v="0.25"/>
    <x v="110"/>
    <x v="110"/>
  </r>
  <r>
    <x v="0"/>
    <s v="Rajasthan"/>
    <s v="Jaipur"/>
    <x v="2"/>
    <x v="5"/>
    <s v="Eco Accessories 452"/>
    <s v="Second Class"/>
    <m/>
    <n v="0.1"/>
    <x v="111"/>
    <x v="111"/>
  </r>
  <r>
    <x v="2"/>
    <s v="Tamil Nadu"/>
    <s v="Chennai"/>
    <x v="0"/>
    <x v="9"/>
    <s v="Classic Binders 203"/>
    <s v="Same Day"/>
    <m/>
    <n v="0.15"/>
    <x v="112"/>
    <x v="112"/>
  </r>
  <r>
    <x v="4"/>
    <s v="Madhya Pradesh"/>
    <s v="Indore"/>
    <x v="0"/>
    <x v="9"/>
    <s v="Basic Binders 859"/>
    <s v="First Class"/>
    <m/>
    <n v="0.25"/>
    <x v="113"/>
    <x v="113"/>
  </r>
  <r>
    <x v="2"/>
    <s v="Tamil Nadu"/>
    <s v="Chennai"/>
    <x v="2"/>
    <x v="12"/>
    <s v="Elite Machines 705"/>
    <s v="Standard Class"/>
    <m/>
    <s v="invalid"/>
    <x v="2"/>
    <x v="2"/>
  </r>
  <r>
    <x v="2"/>
    <s v="Andhra Pradesh"/>
    <s v="Vijayawada"/>
    <x v="2"/>
    <x v="6"/>
    <s v="Pro Copiers 208"/>
    <s v="Same Day"/>
    <m/>
    <n v="0.2"/>
    <x v="114"/>
    <x v="114"/>
  </r>
  <r>
    <x v="2"/>
    <s v="Kerala"/>
    <s v="Kochi"/>
    <x v="1"/>
    <x v="4"/>
    <s v="Elite Chairs 921"/>
    <s v="Standard Class"/>
    <m/>
    <n v="0.25"/>
    <x v="115"/>
    <x v="115"/>
  </r>
  <r>
    <x v="1"/>
    <s v="Bihar"/>
    <s v="Patna"/>
    <x v="2"/>
    <x v="11"/>
    <s v="Prime Phones 540"/>
    <s v="Standard Class"/>
    <m/>
    <n v="0.2"/>
    <x v="116"/>
    <x v="116"/>
  </r>
  <r>
    <x v="2"/>
    <s v="Andhra Pradesh"/>
    <s v="Vijayawada"/>
    <x v="2"/>
    <x v="12"/>
    <s v="Max Machines 948"/>
    <s v="Second Class"/>
    <m/>
    <n v="0"/>
    <x v="117"/>
    <x v="117"/>
  </r>
  <r>
    <x v="1"/>
    <s v="Assam"/>
    <s v="Guwahati"/>
    <x v="1"/>
    <x v="4"/>
    <s v="Max Chairs 786"/>
    <s v="Second Class"/>
    <m/>
    <n v="0"/>
    <x v="118"/>
    <x v="118"/>
  </r>
  <r>
    <x v="0"/>
    <s v="Punjab"/>
    <s v="Ludhiana"/>
    <x v="2"/>
    <x v="6"/>
    <s v="Max Copiers 970"/>
    <s v="Same Day"/>
    <m/>
    <n v="0"/>
    <x v="119"/>
    <x v="119"/>
  </r>
  <r>
    <x v="2"/>
    <s v="Karnataka"/>
    <s v="Bengaluru"/>
    <x v="2"/>
    <x v="6"/>
    <s v="Pro Copiers 769"/>
    <s v="Standard Class"/>
    <m/>
    <s v="invalid"/>
    <x v="2"/>
    <x v="2"/>
  </r>
  <r>
    <x v="3"/>
    <s v="Rajasthan"/>
    <s v="Udaipur"/>
    <x v="1"/>
    <x v="1"/>
    <s v="Basic Tables 753"/>
    <s v="Same Day"/>
    <m/>
    <n v="0.25"/>
    <x v="120"/>
    <x v="120"/>
  </r>
  <r>
    <x v="0"/>
    <s v="Delhi"/>
    <s v="New Delhi"/>
    <x v="2"/>
    <x v="6"/>
    <s v="Prime Copiers 651"/>
    <s v="Standard Class"/>
    <m/>
    <n v="0.1"/>
    <x v="121"/>
    <x v="121"/>
  </r>
  <r>
    <x v="3"/>
    <s v="Madhya Pradesh"/>
    <s v="Indore"/>
    <x v="0"/>
    <x v="8"/>
    <s v="Basic Storage 321"/>
    <s v="Second Class"/>
    <m/>
    <n v="0.05"/>
    <x v="122"/>
    <x v="122"/>
  </r>
  <r>
    <x v="1"/>
    <s v="Odisha"/>
    <s v="Bhubaneswar"/>
    <x v="1"/>
    <x v="3"/>
    <s v="Prime Furnishings 710"/>
    <s v="Standard Class"/>
    <m/>
    <n v="0.05"/>
    <x v="123"/>
    <x v="123"/>
  </r>
  <r>
    <x v="3"/>
    <s v="Goa"/>
    <s v="Panaji"/>
    <x v="0"/>
    <x v="9"/>
    <s v="Elite Binders 723"/>
    <s v="Standard Class"/>
    <m/>
    <n v="0.05"/>
    <x v="124"/>
    <x v="124"/>
  </r>
  <r>
    <x v="3"/>
    <s v="Gujarat"/>
    <s v="Ahmedabad"/>
    <x v="0"/>
    <x v="7"/>
    <s v="Smart Labels 878"/>
    <s v="Same Day"/>
    <m/>
    <n v="0.2"/>
    <x v="125"/>
    <x v="125"/>
  </r>
  <r>
    <x v="1"/>
    <s v="Jharkhand"/>
    <s v="Ranchi"/>
    <x v="0"/>
    <x v="0"/>
    <s v="Pro Paper 934"/>
    <s v="Same Day"/>
    <m/>
    <n v="0.2"/>
    <x v="126"/>
    <x v="126"/>
  </r>
  <r>
    <x v="1"/>
    <s v="Assam"/>
    <s v="Guwahati"/>
    <x v="2"/>
    <x v="12"/>
    <s v="Classic Machines 886"/>
    <s v="First Class"/>
    <m/>
    <n v="0"/>
    <x v="127"/>
    <x v="127"/>
  </r>
  <r>
    <x v="3"/>
    <s v="Goa"/>
    <s v="Panaji"/>
    <x v="2"/>
    <x v="11"/>
    <s v="Prime Phones 419"/>
    <s v="Second Class"/>
    <m/>
    <n v="0.15"/>
    <x v="128"/>
    <x v="128"/>
  </r>
  <r>
    <x v="1"/>
    <s v="West Bengal"/>
    <s v="Kolkata"/>
    <x v="1"/>
    <x v="10"/>
    <s v="Elite Bookcases 266"/>
    <s v="missing value"/>
    <m/>
    <n v="0.25"/>
    <x v="129"/>
    <x v="129"/>
  </r>
  <r>
    <x v="2"/>
    <s v="Kerala"/>
    <s v="Kochi"/>
    <x v="1"/>
    <x v="10"/>
    <s v="Prime Bookcases 954"/>
    <s v="Standard Class"/>
    <m/>
    <n v="0"/>
    <x v="130"/>
    <x v="130"/>
  </r>
  <r>
    <x v="1"/>
    <s v="Jharkhand"/>
    <s v="Ranchi"/>
    <x v="0"/>
    <x v="9"/>
    <s v="Max Binders 362"/>
    <s v="Standard Class"/>
    <m/>
    <n v="0.2"/>
    <x v="131"/>
    <x v="131"/>
  </r>
  <r>
    <x v="0"/>
    <s v="Rajasthan"/>
    <s v="Jaipur"/>
    <x v="1"/>
    <x v="4"/>
    <s v="Prime Chairs 261"/>
    <s v="Same Day"/>
    <m/>
    <n v="0.1"/>
    <x v="132"/>
    <x v="132"/>
  </r>
  <r>
    <x v="1"/>
    <s v="Jharkhand"/>
    <s v="Ranchi"/>
    <x v="2"/>
    <x v="12"/>
    <s v="Basic Machines 185"/>
    <s v="Standard Class"/>
    <m/>
    <n v="0.25"/>
    <x v="133"/>
    <x v="133"/>
  </r>
  <r>
    <x v="2"/>
    <s v="Karnataka"/>
    <s v="Bengaluru"/>
    <x v="0"/>
    <x v="7"/>
    <s v="Basic Labels 509"/>
    <s v="Standard Class"/>
    <m/>
    <n v="0"/>
    <x v="134"/>
    <x v="134"/>
  </r>
  <r>
    <x v="2"/>
    <s v="Karnataka"/>
    <s v="Bengaluru"/>
    <x v="1"/>
    <x v="10"/>
    <s v="Elite Bookcases 696"/>
    <s v="Same Day"/>
    <m/>
    <n v="0"/>
    <x v="135"/>
    <x v="135"/>
  </r>
  <r>
    <x v="0"/>
    <s v="Delhi"/>
    <s v="New Delhi"/>
    <x v="1"/>
    <x v="10"/>
    <s v="Elite Bookcases 772"/>
    <s v="Same Day"/>
    <m/>
    <n v="0.1"/>
    <x v="136"/>
    <x v="136"/>
  </r>
  <r>
    <x v="0"/>
    <s v="Rajasthan"/>
    <s v="Jaipur"/>
    <x v="2"/>
    <x v="11"/>
    <s v="Classic Phones 142"/>
    <s v="Second Class"/>
    <m/>
    <n v="0.15"/>
    <x v="137"/>
    <x v="137"/>
  </r>
  <r>
    <x v="3"/>
    <s v="Gujarat"/>
    <s v="Ahmedabad"/>
    <x v="0"/>
    <x v="0"/>
    <s v="Pro Paper 575"/>
    <s v="Second Class"/>
    <m/>
    <n v="0.1"/>
    <x v="138"/>
    <x v="138"/>
  </r>
  <r>
    <x v="2"/>
    <s v="Telangana"/>
    <s v="Hyderabad"/>
    <x v="2"/>
    <x v="5"/>
    <s v="Elite Accessories 905"/>
    <s v="First Class"/>
    <m/>
    <n v="0.25"/>
    <x v="139"/>
    <x v="139"/>
  </r>
  <r>
    <x v="3"/>
    <s v="Goa"/>
    <s v="Panaji"/>
    <x v="0"/>
    <x v="0"/>
    <s v="Smart Paper 899"/>
    <s v="Standard Class"/>
    <m/>
    <n v="0.1"/>
    <x v="140"/>
    <x v="140"/>
  </r>
  <r>
    <x v="2"/>
    <s v="Tamil Nadu"/>
    <s v="Chennai"/>
    <x v="0"/>
    <x v="8"/>
    <s v="Classic Storage 423"/>
    <s v="Same Day"/>
    <m/>
    <n v="0.1"/>
    <x v="141"/>
    <x v="141"/>
  </r>
  <r>
    <x v="3"/>
    <s v="Goa"/>
    <s v="Panaji"/>
    <x v="1"/>
    <x v="3"/>
    <s v="Classic Furnishings 743"/>
    <s v="First Class"/>
    <m/>
    <n v="0.1"/>
    <x v="142"/>
    <x v="142"/>
  </r>
  <r>
    <x v="3"/>
    <s v="Madhya Pradesh"/>
    <s v="Indore"/>
    <x v="2"/>
    <x v="11"/>
    <s v="Smart Phones 336"/>
    <s v="missing value"/>
    <m/>
    <n v="0.25"/>
    <x v="143"/>
    <x v="143"/>
  </r>
  <r>
    <x v="3"/>
    <s v="Rajasthan"/>
    <s v="Udaipur"/>
    <x v="2"/>
    <x v="6"/>
    <s v="Eco Copiers 381"/>
    <s v="Same Day"/>
    <m/>
    <n v="0.25"/>
    <x v="144"/>
    <x v="144"/>
  </r>
  <r>
    <x v="4"/>
    <s v="Gujarat"/>
    <s v="Ahmedabad"/>
    <x v="1"/>
    <x v="10"/>
    <s v="Max Bookcases 595"/>
    <s v="First Class"/>
    <m/>
    <n v="0.1"/>
    <x v="145"/>
    <x v="145"/>
  </r>
  <r>
    <x v="4"/>
    <s v="Madhya Pradesh"/>
    <s v="Indore"/>
    <x v="2"/>
    <x v="6"/>
    <s v="Max Copiers 992"/>
    <s v="Standard Class"/>
    <m/>
    <n v="0"/>
    <x v="146"/>
    <x v="146"/>
  </r>
  <r>
    <x v="2"/>
    <s v="Kerala"/>
    <s v="Kochi"/>
    <x v="1"/>
    <x v="1"/>
    <s v="Pro Tables 407"/>
    <s v="Second Class"/>
    <m/>
    <n v="0.1"/>
    <x v="147"/>
    <x v="147"/>
  </r>
  <r>
    <x v="1"/>
    <s v="Odisha"/>
    <s v="Bhubaneswar"/>
    <x v="0"/>
    <x v="7"/>
    <s v="Prime Labels 559"/>
    <s v="Standard Class"/>
    <m/>
    <n v="0"/>
    <x v="148"/>
    <x v="148"/>
  </r>
  <r>
    <x v="2"/>
    <s v="Tamil Nadu"/>
    <s v="Chennai"/>
    <x v="1"/>
    <x v="10"/>
    <s v="Classic Bookcases 847"/>
    <s v="Same Day"/>
    <m/>
    <n v="0.15"/>
    <x v="149"/>
    <x v="149"/>
  </r>
  <r>
    <x v="3"/>
    <s v="Rajasthan"/>
    <s v="Udaipur"/>
    <x v="1"/>
    <x v="3"/>
    <s v="Classic Furnishings 655"/>
    <s v="Same Day"/>
    <m/>
    <n v="0.1"/>
    <x v="150"/>
    <x v="150"/>
  </r>
  <r>
    <x v="1"/>
    <s v="Bihar"/>
    <s v="Patna"/>
    <x v="2"/>
    <x v="12"/>
    <s v="Eco Machines 657"/>
    <s v="Second Class"/>
    <m/>
    <n v="0.25"/>
    <x v="151"/>
    <x v="151"/>
  </r>
  <r>
    <x v="2"/>
    <s v="Andhra Pradesh"/>
    <s v="Vijayawada"/>
    <x v="1"/>
    <x v="10"/>
    <s v="Pro Bookcases 430"/>
    <s v="Standard Class"/>
    <m/>
    <n v="0.15"/>
    <x v="152"/>
    <x v="152"/>
  </r>
  <r>
    <x v="2"/>
    <s v="Telangana"/>
    <s v="Hyderabad"/>
    <x v="1"/>
    <x v="10"/>
    <s v="Max Bookcases 881"/>
    <s v="First Class"/>
    <m/>
    <n v="0.05"/>
    <x v="153"/>
    <x v="153"/>
  </r>
  <r>
    <x v="0"/>
    <s v="Haryana"/>
    <s v="Gurugram"/>
    <x v="1"/>
    <x v="4"/>
    <s v="Elite Chairs 998"/>
    <s v="Same Day"/>
    <m/>
    <n v="0.15"/>
    <x v="154"/>
    <x v="154"/>
  </r>
  <r>
    <x v="3"/>
    <s v="Maharashtra"/>
    <s v="Mumbai"/>
    <x v="0"/>
    <x v="0"/>
    <s v="Max Paper 113"/>
    <s v="Second Class"/>
    <m/>
    <n v="0.05"/>
    <x v="155"/>
    <x v="155"/>
  </r>
  <r>
    <x v="3"/>
    <s v="Rajasthan"/>
    <s v="Udaipur"/>
    <x v="0"/>
    <x v="9"/>
    <s v="Smart Binders 267"/>
    <s v="Standard Class"/>
    <m/>
    <n v="0"/>
    <x v="156"/>
    <x v="156"/>
  </r>
  <r>
    <x v="3"/>
    <s v="Goa"/>
    <s v="Panaji"/>
    <x v="1"/>
    <x v="3"/>
    <s v="Pro Furnishings 108"/>
    <s v="Second Class"/>
    <m/>
    <n v="0"/>
    <x v="157"/>
    <x v="157"/>
  </r>
  <r>
    <x v="3"/>
    <s v="Gujarat"/>
    <s v="Ahmedabad"/>
    <x v="1"/>
    <x v="1"/>
    <s v="Elite Tables 389"/>
    <s v="missing value"/>
    <m/>
    <n v="0.1"/>
    <x v="158"/>
    <x v="158"/>
  </r>
  <r>
    <x v="1"/>
    <s v="West Bengal"/>
    <s v="Kolkata"/>
    <x v="1"/>
    <x v="10"/>
    <s v="Pro Bookcases 595"/>
    <s v="Second Class"/>
    <m/>
    <n v="0.25"/>
    <x v="159"/>
    <x v="159"/>
  </r>
  <r>
    <x v="1"/>
    <s v="Bihar"/>
    <s v="Patna"/>
    <x v="1"/>
    <x v="4"/>
    <s v="Max Chairs 148"/>
    <s v="Standard Class"/>
    <m/>
    <n v="0.25"/>
    <x v="160"/>
    <x v="160"/>
  </r>
  <r>
    <x v="3"/>
    <s v="Gujarat"/>
    <s v="Ahmedabad"/>
    <x v="0"/>
    <x v="7"/>
    <s v="Basic Labels 671"/>
    <s v="First Class"/>
    <m/>
    <n v="0.2"/>
    <x v="161"/>
    <x v="161"/>
  </r>
  <r>
    <x v="2"/>
    <s v="Karnataka"/>
    <s v="Bengaluru"/>
    <x v="0"/>
    <x v="8"/>
    <s v="Elite Storage 628"/>
    <s v="First Class"/>
    <m/>
    <n v="0.15"/>
    <x v="162"/>
    <x v="162"/>
  </r>
  <r>
    <x v="3"/>
    <s v="Maharashtra"/>
    <s v="Mumbai"/>
    <x v="2"/>
    <x v="5"/>
    <s v="Eco Accessories 590"/>
    <s v="Same Day"/>
    <m/>
    <n v="0.2"/>
    <x v="163"/>
    <x v="163"/>
  </r>
  <r>
    <x v="1"/>
    <s v="Assam"/>
    <s v="Guwahati"/>
    <x v="0"/>
    <x v="2"/>
    <s v="Pro Art 734"/>
    <s v="Standard Class"/>
    <m/>
    <n v="0.05"/>
    <x v="164"/>
    <x v="164"/>
  </r>
  <r>
    <x v="1"/>
    <s v="Bihar"/>
    <s v="Patna"/>
    <x v="2"/>
    <x v="6"/>
    <s v="Eco Copiers 102"/>
    <s v="Standard Class"/>
    <m/>
    <n v="0"/>
    <x v="165"/>
    <x v="165"/>
  </r>
  <r>
    <x v="1"/>
    <s v="Bihar"/>
    <s v="Patna"/>
    <x v="0"/>
    <x v="7"/>
    <s v="Basic Labels 876"/>
    <s v="Same Day"/>
    <m/>
    <n v="0.25"/>
    <x v="166"/>
    <x v="166"/>
  </r>
  <r>
    <x v="0"/>
    <s v="Delhi"/>
    <s v="New Delhi"/>
    <x v="1"/>
    <x v="3"/>
    <s v="Prime Furnishings 381"/>
    <s v="Same Day"/>
    <m/>
    <n v="0.1"/>
    <x v="167"/>
    <x v="167"/>
  </r>
  <r>
    <x v="0"/>
    <s v="Punjab"/>
    <s v="Ludhiana"/>
    <x v="2"/>
    <x v="6"/>
    <s v="Prime Copiers 440"/>
    <s v="Second Class"/>
    <m/>
    <n v="0.25"/>
    <x v="168"/>
    <x v="168"/>
  </r>
  <r>
    <x v="2"/>
    <s v="Karnataka"/>
    <s v="Bengaluru"/>
    <x v="1"/>
    <x v="10"/>
    <s v="Pro Bookcases 319"/>
    <s v="First Class"/>
    <m/>
    <n v="0.15"/>
    <x v="169"/>
    <x v="169"/>
  </r>
  <r>
    <x v="1"/>
    <s v="Bihar"/>
    <s v="Patna"/>
    <x v="2"/>
    <x v="12"/>
    <s v="Basic Machines 584"/>
    <s v="Same Day"/>
    <m/>
    <n v="0.15"/>
    <x v="170"/>
    <x v="170"/>
  </r>
  <r>
    <x v="1"/>
    <s v="Jharkhand"/>
    <s v="Ranchi"/>
    <x v="1"/>
    <x v="10"/>
    <s v="Pro Bookcases 612"/>
    <s v="Standard Class"/>
    <m/>
    <n v="0.15"/>
    <x v="171"/>
    <x v="171"/>
  </r>
  <r>
    <x v="4"/>
    <s v="Bihar"/>
    <s v="Patna"/>
    <x v="0"/>
    <x v="2"/>
    <s v="Classic Art 573"/>
    <s v="Same Day"/>
    <m/>
    <n v="0"/>
    <x v="172"/>
    <x v="172"/>
  </r>
  <r>
    <x v="2"/>
    <s v="Telangana"/>
    <s v="Hyderabad"/>
    <x v="0"/>
    <x v="2"/>
    <s v="Eco Art 854"/>
    <s v="Standard Class"/>
    <m/>
    <n v="0"/>
    <x v="173"/>
    <x v="173"/>
  </r>
  <r>
    <x v="2"/>
    <s v="Tamil Nadu"/>
    <s v="Chennai"/>
    <x v="1"/>
    <x v="3"/>
    <s v="Classic Furnishings 996"/>
    <s v="Standard Class"/>
    <m/>
    <n v="0.25"/>
    <x v="174"/>
    <x v="174"/>
  </r>
  <r>
    <x v="0"/>
    <s v="Uttar Pradesh"/>
    <s v="Noida"/>
    <x v="0"/>
    <x v="9"/>
    <s v="Prime Binders 735"/>
    <s v="First Class"/>
    <m/>
    <n v="0.1"/>
    <x v="175"/>
    <x v="175"/>
  </r>
  <r>
    <x v="2"/>
    <s v="Tamil Nadu"/>
    <s v="Chennai"/>
    <x v="0"/>
    <x v="2"/>
    <s v="Pro Art 587"/>
    <s v="Second Class"/>
    <m/>
    <n v="0"/>
    <x v="176"/>
    <x v="176"/>
  </r>
  <r>
    <x v="1"/>
    <s v="Bihar"/>
    <s v="Patna"/>
    <x v="2"/>
    <x v="12"/>
    <s v="Basic Machines 575"/>
    <s v="Standard Class"/>
    <m/>
    <n v="0"/>
    <x v="177"/>
    <x v="177"/>
  </r>
  <r>
    <x v="2"/>
    <s v="Telangana"/>
    <s v="Hyderabad"/>
    <x v="2"/>
    <x v="6"/>
    <s v="Elite Copiers 788"/>
    <s v="Standard Class"/>
    <m/>
    <n v="0.2"/>
    <x v="178"/>
    <x v="178"/>
  </r>
  <r>
    <x v="3"/>
    <s v="Madhya Pradesh"/>
    <s v="Indore"/>
    <x v="1"/>
    <x v="10"/>
    <s v="Max Bookcases 472"/>
    <s v="Standard Class"/>
    <m/>
    <n v="0"/>
    <x v="179"/>
    <x v="179"/>
  </r>
  <r>
    <x v="4"/>
    <s v="Punjab"/>
    <s v="Ludhiana"/>
    <x v="0"/>
    <x v="7"/>
    <s v="Smart Labels 475"/>
    <s v="Second Class"/>
    <m/>
    <n v="0.2"/>
    <x v="180"/>
    <x v="180"/>
  </r>
  <r>
    <x v="2"/>
    <s v="Tamil Nadu"/>
    <s v="Chennai"/>
    <x v="1"/>
    <x v="1"/>
    <s v="Basic Tables 417"/>
    <s v="First Class"/>
    <m/>
    <n v="0.05"/>
    <x v="181"/>
    <x v="181"/>
  </r>
  <r>
    <x v="3"/>
    <s v="Madhya Pradesh"/>
    <s v="Indore"/>
    <x v="1"/>
    <x v="4"/>
    <s v="Pro Chairs 844"/>
    <s v="Same Day"/>
    <m/>
    <n v="0"/>
    <x v="182"/>
    <x v="182"/>
  </r>
  <r>
    <x v="1"/>
    <s v="West Bengal"/>
    <s v="Kolkata"/>
    <x v="1"/>
    <x v="10"/>
    <s v="Elite Bookcases 883"/>
    <s v="Same Day"/>
    <m/>
    <n v="0.1"/>
    <x v="183"/>
    <x v="183"/>
  </r>
  <r>
    <x v="3"/>
    <s v="Rajasthan"/>
    <s v="Udaipur"/>
    <x v="1"/>
    <x v="10"/>
    <s v="Basic Bookcases 754"/>
    <s v="First Class"/>
    <m/>
    <n v="0"/>
    <x v="184"/>
    <x v="184"/>
  </r>
  <r>
    <x v="2"/>
    <s v="Tamil Nadu"/>
    <s v="Chennai"/>
    <x v="0"/>
    <x v="8"/>
    <s v="Eco Storage 158"/>
    <s v="First Class"/>
    <m/>
    <n v="0.1"/>
    <x v="185"/>
    <x v="185"/>
  </r>
  <r>
    <x v="2"/>
    <s v="Tamil Nadu"/>
    <s v="Chennai"/>
    <x v="1"/>
    <x v="10"/>
    <s v="Prime Bookcases 602"/>
    <s v="Second Class"/>
    <m/>
    <s v="invalid"/>
    <x v="2"/>
    <x v="2"/>
  </r>
  <r>
    <x v="3"/>
    <s v="Gujarat"/>
    <s v="Ahmedabad"/>
    <x v="1"/>
    <x v="4"/>
    <s v="Eco Chairs 438"/>
    <s v="First Class"/>
    <m/>
    <n v="0"/>
    <x v="186"/>
    <x v="186"/>
  </r>
  <r>
    <x v="0"/>
    <s v="Punjab"/>
    <s v="Ludhiana"/>
    <x v="2"/>
    <x v="6"/>
    <s v="Prime Copiers 142"/>
    <s v="Same Day"/>
    <m/>
    <n v="0.2"/>
    <x v="187"/>
    <x v="187"/>
  </r>
  <r>
    <x v="3"/>
    <s v="Maharashtra"/>
    <s v="Mumbai"/>
    <x v="1"/>
    <x v="3"/>
    <s v="Prime Furnishings 433"/>
    <s v="First Class"/>
    <m/>
    <n v="0.05"/>
    <x v="188"/>
    <x v="188"/>
  </r>
  <r>
    <x v="2"/>
    <s v="Andhra Pradesh"/>
    <s v="Vijayawada"/>
    <x v="1"/>
    <x v="3"/>
    <s v="Smart Furnishings 685"/>
    <s v="Same Day"/>
    <m/>
    <n v="0"/>
    <x v="189"/>
    <x v="189"/>
  </r>
  <r>
    <x v="0"/>
    <s v="Uttar Pradesh"/>
    <s v="Noida"/>
    <x v="0"/>
    <x v="8"/>
    <s v="Elite Storage 915"/>
    <s v="First Class"/>
    <m/>
    <n v="0.1"/>
    <x v="190"/>
    <x v="190"/>
  </r>
  <r>
    <x v="1"/>
    <s v="Bihar"/>
    <s v="Patna"/>
    <x v="0"/>
    <x v="8"/>
    <s v="Basic Storage 961"/>
    <s v="Second Class"/>
    <m/>
    <n v="0.15"/>
    <x v="191"/>
    <x v="191"/>
  </r>
  <r>
    <x v="3"/>
    <s v="Gujarat"/>
    <s v="Ahmedabad"/>
    <x v="0"/>
    <x v="2"/>
    <s v="Classic Art 968"/>
    <s v="Second Class"/>
    <m/>
    <n v="0.05"/>
    <x v="192"/>
    <x v="192"/>
  </r>
  <r>
    <x v="1"/>
    <s v="Bihar"/>
    <s v="Patna"/>
    <x v="2"/>
    <x v="12"/>
    <s v="Prime Machines 806"/>
    <s v="missing value"/>
    <m/>
    <n v="0.25"/>
    <x v="193"/>
    <x v="193"/>
  </r>
  <r>
    <x v="0"/>
    <s v="Rajasthan"/>
    <s v="Jaipur"/>
    <x v="2"/>
    <x v="6"/>
    <s v="Classic Copiers 479"/>
    <s v="First Class"/>
    <m/>
    <n v="0.1"/>
    <x v="194"/>
    <x v="194"/>
  </r>
  <r>
    <x v="3"/>
    <s v="Madhya Pradesh"/>
    <s v="Indore"/>
    <x v="0"/>
    <x v="7"/>
    <s v="Basic Labels 511"/>
    <s v="Second Class"/>
    <m/>
    <s v="invalid"/>
    <x v="2"/>
    <x v="2"/>
  </r>
  <r>
    <x v="3"/>
    <s v="Goa"/>
    <s v="Panaji"/>
    <x v="2"/>
    <x v="5"/>
    <s v="Prime Accessories 733"/>
    <s v="Standard Class"/>
    <m/>
    <n v="0.05"/>
    <x v="195"/>
    <x v="195"/>
  </r>
  <r>
    <x v="3"/>
    <s v="Rajasthan"/>
    <s v="Udaipur"/>
    <x v="2"/>
    <x v="5"/>
    <s v="Max Accessories 186"/>
    <s v="Second Class"/>
    <m/>
    <n v="0.15"/>
    <x v="196"/>
    <x v="196"/>
  </r>
  <r>
    <x v="1"/>
    <s v="West Bengal"/>
    <s v="Kolkata"/>
    <x v="1"/>
    <x v="1"/>
    <s v="Elite Tables 318"/>
    <s v="Second Class"/>
    <m/>
    <n v="0.15"/>
    <x v="197"/>
    <x v="197"/>
  </r>
  <r>
    <x v="3"/>
    <s v="Maharashtra"/>
    <s v="Mumbai"/>
    <x v="0"/>
    <x v="7"/>
    <s v="Smart Labels 354"/>
    <s v="Same Day"/>
    <m/>
    <n v="0.2"/>
    <x v="198"/>
    <x v="198"/>
  </r>
  <r>
    <x v="0"/>
    <s v="Uttar Pradesh"/>
    <s v="Noida"/>
    <x v="1"/>
    <x v="3"/>
    <s v="Pro Furnishings 981"/>
    <s v="First Class"/>
    <m/>
    <n v="0"/>
    <x v="199"/>
    <x v="199"/>
  </r>
  <r>
    <x v="3"/>
    <s v="Goa"/>
    <s v="Panaji"/>
    <x v="1"/>
    <x v="10"/>
    <s v="Eco Bookcases 671"/>
    <s v="Second Class"/>
    <m/>
    <n v="0.2"/>
    <x v="200"/>
    <x v="200"/>
  </r>
  <r>
    <x v="0"/>
    <s v="Punjab"/>
    <s v="Ludhiana"/>
    <x v="1"/>
    <x v="4"/>
    <s v="Max Chairs 151"/>
    <s v="Same Day"/>
    <m/>
    <n v="0"/>
    <x v="201"/>
    <x v="201"/>
  </r>
  <r>
    <x v="2"/>
    <s v="Andhra Pradesh"/>
    <s v="Vijayawada"/>
    <x v="0"/>
    <x v="0"/>
    <s v="Prime Paper 903"/>
    <s v="First Class"/>
    <m/>
    <n v="0.1"/>
    <x v="202"/>
    <x v="202"/>
  </r>
  <r>
    <x v="2"/>
    <s v="Karnataka"/>
    <s v="Bengaluru"/>
    <x v="2"/>
    <x v="12"/>
    <s v="Classic Machines 944"/>
    <s v="Second Class"/>
    <m/>
    <n v="0"/>
    <x v="203"/>
    <x v="203"/>
  </r>
  <r>
    <x v="1"/>
    <s v="West Bengal"/>
    <s v="Kolkata"/>
    <x v="2"/>
    <x v="6"/>
    <s v="Basic Copiers 222"/>
    <s v="Second Class"/>
    <m/>
    <n v="0.2"/>
    <x v="204"/>
    <x v="204"/>
  </r>
  <r>
    <x v="1"/>
    <s v="Odisha"/>
    <s v="Bhubaneswar"/>
    <x v="2"/>
    <x v="11"/>
    <s v="Max Phones 329"/>
    <s v="Same Day"/>
    <m/>
    <n v="0.15"/>
    <x v="205"/>
    <x v="205"/>
  </r>
  <r>
    <x v="1"/>
    <s v="Bihar"/>
    <s v="Patna"/>
    <x v="2"/>
    <x v="5"/>
    <s v="Classic Accessories 840"/>
    <s v="Second Class"/>
    <m/>
    <n v="0.2"/>
    <x v="206"/>
    <x v="206"/>
  </r>
  <r>
    <x v="0"/>
    <s v="Haryana"/>
    <s v="Gurugram"/>
    <x v="2"/>
    <x v="5"/>
    <s v="Classic Accessories 757"/>
    <s v="First Class"/>
    <m/>
    <n v="0.05"/>
    <x v="207"/>
    <x v="207"/>
  </r>
  <r>
    <x v="3"/>
    <s v="Madhya Pradesh"/>
    <s v="Indore"/>
    <x v="0"/>
    <x v="0"/>
    <s v="Prime Paper 286"/>
    <s v="First Class"/>
    <m/>
    <n v="0.25"/>
    <x v="208"/>
    <x v="208"/>
  </r>
  <r>
    <x v="3"/>
    <s v="Gujarat"/>
    <s v="Ahmedabad"/>
    <x v="1"/>
    <x v="1"/>
    <s v="Basic Tables 400"/>
    <s v="Standard Class"/>
    <m/>
    <n v="0.25"/>
    <x v="209"/>
    <x v="209"/>
  </r>
  <r>
    <x v="1"/>
    <s v="Odisha"/>
    <s v="Bhubaneswar"/>
    <x v="1"/>
    <x v="10"/>
    <s v="Basic Bookcases 405"/>
    <s v="Second Class"/>
    <m/>
    <n v="0.1"/>
    <x v="210"/>
    <x v="210"/>
  </r>
  <r>
    <x v="3"/>
    <s v="Gujarat"/>
    <s v="Ahmedabad"/>
    <x v="1"/>
    <x v="10"/>
    <s v="Classic Bookcases 139"/>
    <s v="Standard Class"/>
    <m/>
    <n v="0"/>
    <x v="211"/>
    <x v="211"/>
  </r>
  <r>
    <x v="1"/>
    <s v="Bihar"/>
    <s v="Patna"/>
    <x v="2"/>
    <x v="12"/>
    <s v="Elite Machines 290"/>
    <s v="First Class"/>
    <m/>
    <s v="invalid"/>
    <x v="2"/>
    <x v="2"/>
  </r>
  <r>
    <x v="2"/>
    <s v="Kerala"/>
    <s v="Kochi"/>
    <x v="0"/>
    <x v="8"/>
    <s v="Elite Storage 925"/>
    <s v="First Class"/>
    <m/>
    <n v="0.15"/>
    <x v="212"/>
    <x v="212"/>
  </r>
  <r>
    <x v="2"/>
    <s v="Karnataka"/>
    <s v="Bengaluru"/>
    <x v="1"/>
    <x v="4"/>
    <s v="Classic Chairs 231"/>
    <s v="Same Day"/>
    <m/>
    <n v="0.2"/>
    <x v="213"/>
    <x v="213"/>
  </r>
  <r>
    <x v="3"/>
    <s v="Goa"/>
    <s v="Panaji"/>
    <x v="0"/>
    <x v="8"/>
    <s v="Prime Storage 818"/>
    <s v="First Class"/>
    <m/>
    <n v="0"/>
    <x v="214"/>
    <x v="214"/>
  </r>
  <r>
    <x v="3"/>
    <s v="Maharashtra"/>
    <s v="Mumbai"/>
    <x v="1"/>
    <x v="3"/>
    <s v="Elite Furnishings 449"/>
    <s v="First Class"/>
    <m/>
    <n v="0.2"/>
    <x v="215"/>
    <x v="215"/>
  </r>
  <r>
    <x v="0"/>
    <s v="Punjab"/>
    <s v="Ludhiana"/>
    <x v="1"/>
    <x v="3"/>
    <s v="Classic Furnishings 109"/>
    <s v="Standard Class"/>
    <m/>
    <n v="0.25"/>
    <x v="216"/>
    <x v="216"/>
  </r>
  <r>
    <x v="3"/>
    <s v="Goa"/>
    <s v="Panaji"/>
    <x v="2"/>
    <x v="11"/>
    <s v="Classic Phones 548"/>
    <s v="Standard Class"/>
    <m/>
    <n v="0.15"/>
    <x v="217"/>
    <x v="217"/>
  </r>
  <r>
    <x v="4"/>
    <s v="Kerala"/>
    <s v="Kochi"/>
    <x v="2"/>
    <x v="6"/>
    <s v="Max Copiers 363"/>
    <s v="Same Day"/>
    <m/>
    <n v="0.1"/>
    <x v="218"/>
    <x v="218"/>
  </r>
  <r>
    <x v="3"/>
    <s v="Goa"/>
    <s v="Panaji"/>
    <x v="0"/>
    <x v="9"/>
    <s v="Prime Binders 507"/>
    <s v="First Class"/>
    <m/>
    <n v="0.15"/>
    <x v="219"/>
    <x v="219"/>
  </r>
  <r>
    <x v="2"/>
    <s v="Telangana"/>
    <s v="Hyderabad"/>
    <x v="0"/>
    <x v="7"/>
    <s v="Smart Labels 914"/>
    <s v="Second Class"/>
    <m/>
    <n v="0.15"/>
    <x v="220"/>
    <x v="220"/>
  </r>
  <r>
    <x v="2"/>
    <s v="Telangana"/>
    <s v="Hyderabad"/>
    <x v="1"/>
    <x v="10"/>
    <s v="Smart Bookcases 662"/>
    <s v="First Class"/>
    <m/>
    <n v="0"/>
    <x v="221"/>
    <x v="221"/>
  </r>
  <r>
    <x v="0"/>
    <s v="Rajasthan"/>
    <s v="Jaipur"/>
    <x v="0"/>
    <x v="0"/>
    <s v="Eco Paper 937"/>
    <s v="Standard Class"/>
    <m/>
    <n v="0.1"/>
    <x v="222"/>
    <x v="222"/>
  </r>
  <r>
    <x v="0"/>
    <s v="Rajasthan"/>
    <s v="Jaipur"/>
    <x v="0"/>
    <x v="7"/>
    <s v="Max Labels 370"/>
    <s v="First Class"/>
    <m/>
    <n v="0.25"/>
    <x v="223"/>
    <x v="223"/>
  </r>
  <r>
    <x v="2"/>
    <s v="Andhra Pradesh"/>
    <s v="Vijayawada"/>
    <x v="2"/>
    <x v="11"/>
    <s v="Classic Phones 530"/>
    <s v="Standard Class"/>
    <m/>
    <n v="0.25"/>
    <x v="224"/>
    <x v="224"/>
  </r>
  <r>
    <x v="2"/>
    <s v="Karnataka"/>
    <s v="Bengaluru"/>
    <x v="1"/>
    <x v="10"/>
    <s v="Smart Bookcases 328"/>
    <s v="missing value"/>
    <m/>
    <n v="0"/>
    <x v="225"/>
    <x v="225"/>
  </r>
  <r>
    <x v="0"/>
    <s v="Delhi"/>
    <s v="New Delhi"/>
    <x v="1"/>
    <x v="3"/>
    <s v="Eco Furnishings 981"/>
    <s v="First Class"/>
    <m/>
    <n v="0.1"/>
    <x v="226"/>
    <x v="226"/>
  </r>
  <r>
    <x v="3"/>
    <s v="Rajasthan"/>
    <s v="Udaipur"/>
    <x v="0"/>
    <x v="8"/>
    <s v="Basic Storage 195"/>
    <s v="Standard Class"/>
    <m/>
    <n v="0.05"/>
    <x v="227"/>
    <x v="227"/>
  </r>
  <r>
    <x v="0"/>
    <s v="Uttar Pradesh"/>
    <s v="Noida"/>
    <x v="1"/>
    <x v="10"/>
    <s v="Elite Bookcases 907"/>
    <s v="First Class"/>
    <m/>
    <n v="0"/>
    <x v="228"/>
    <x v="228"/>
  </r>
  <r>
    <x v="0"/>
    <s v="Haryana"/>
    <s v="Gurugram"/>
    <x v="2"/>
    <x v="6"/>
    <s v="Smart Copiers 471"/>
    <s v="Standard Class"/>
    <m/>
    <n v="0"/>
    <x v="229"/>
    <x v="229"/>
  </r>
  <r>
    <x v="2"/>
    <s v="Andhra Pradesh"/>
    <s v="Vijayawada"/>
    <x v="0"/>
    <x v="8"/>
    <s v="Prime Storage 625"/>
    <s v="First Class"/>
    <m/>
    <s v="invalid"/>
    <x v="2"/>
    <x v="2"/>
  </r>
  <r>
    <x v="2"/>
    <s v="Karnataka"/>
    <s v="Bengaluru"/>
    <x v="2"/>
    <x v="12"/>
    <s v="Smart Machines 801"/>
    <s v="First Class"/>
    <m/>
    <n v="0.2"/>
    <x v="230"/>
    <x v="230"/>
  </r>
  <r>
    <x v="2"/>
    <s v="Telangana"/>
    <s v="Hyderabad"/>
    <x v="0"/>
    <x v="9"/>
    <s v="Max Binders 170"/>
    <s v="First Class"/>
    <m/>
    <n v="0"/>
    <x v="231"/>
    <x v="231"/>
  </r>
  <r>
    <x v="0"/>
    <s v="Haryana"/>
    <s v="Gurugram"/>
    <x v="0"/>
    <x v="8"/>
    <s v="Basic Storage 737"/>
    <s v="Standard Class"/>
    <m/>
    <n v="0.25"/>
    <x v="232"/>
    <x v="232"/>
  </r>
  <r>
    <x v="0"/>
    <s v="Uttar Pradesh"/>
    <s v="Noida"/>
    <x v="0"/>
    <x v="2"/>
    <s v="Classic Art 126"/>
    <s v="Second Class"/>
    <m/>
    <n v="0.05"/>
    <x v="233"/>
    <x v="233"/>
  </r>
  <r>
    <x v="4"/>
    <s v="Madhya Pradesh"/>
    <s v="Indore"/>
    <x v="2"/>
    <x v="5"/>
    <s v="Prime Accessories 243"/>
    <s v="First Class"/>
    <m/>
    <n v="0.1"/>
    <x v="234"/>
    <x v="234"/>
  </r>
  <r>
    <x v="2"/>
    <s v="Telangana"/>
    <s v="Hyderabad"/>
    <x v="1"/>
    <x v="10"/>
    <s v="Eco Bookcases 768"/>
    <s v="Same Day"/>
    <m/>
    <n v="0"/>
    <x v="235"/>
    <x v="235"/>
  </r>
  <r>
    <x v="2"/>
    <s v="Kerala"/>
    <s v="Kochi"/>
    <x v="1"/>
    <x v="4"/>
    <s v="Pro Chairs 316"/>
    <s v="Second Class"/>
    <m/>
    <n v="0"/>
    <x v="236"/>
    <x v="236"/>
  </r>
  <r>
    <x v="0"/>
    <s v="Punjab"/>
    <s v="Ludhiana"/>
    <x v="2"/>
    <x v="12"/>
    <s v="Classic Machines 819"/>
    <s v="Same Day"/>
    <m/>
    <n v="0.25"/>
    <x v="237"/>
    <x v="237"/>
  </r>
  <r>
    <x v="0"/>
    <s v="Rajasthan"/>
    <s v="Jaipur"/>
    <x v="2"/>
    <x v="5"/>
    <s v="Smart Accessories 572"/>
    <s v="Second Class"/>
    <m/>
    <n v="0.25"/>
    <x v="238"/>
    <x v="238"/>
  </r>
  <r>
    <x v="1"/>
    <s v="Odisha"/>
    <s v="Bhubaneswar"/>
    <x v="0"/>
    <x v="7"/>
    <s v="Basic Labels 432"/>
    <s v="Second Class"/>
    <m/>
    <n v="0.15"/>
    <x v="239"/>
    <x v="239"/>
  </r>
  <r>
    <x v="0"/>
    <s v="Rajasthan"/>
    <s v="Jaipur"/>
    <x v="1"/>
    <x v="3"/>
    <s v="Classic Furnishings 378"/>
    <s v="First Class"/>
    <m/>
    <n v="0.2"/>
    <x v="240"/>
    <x v="240"/>
  </r>
  <r>
    <x v="1"/>
    <s v="West Bengal"/>
    <s v="Kolkata"/>
    <x v="1"/>
    <x v="3"/>
    <s v="Prime Furnishings 781"/>
    <s v="Standard Class"/>
    <m/>
    <n v="0.15"/>
    <x v="241"/>
    <x v="241"/>
  </r>
  <r>
    <x v="3"/>
    <s v="Gujarat"/>
    <s v="Ahmedabad"/>
    <x v="1"/>
    <x v="1"/>
    <s v="Prime Tables 263"/>
    <s v="Second Class"/>
    <m/>
    <n v="0"/>
    <x v="242"/>
    <x v="242"/>
  </r>
  <r>
    <x v="0"/>
    <s v="Haryana"/>
    <s v="Gurugram"/>
    <x v="0"/>
    <x v="8"/>
    <s v="Basic Storage 269"/>
    <s v="First Class"/>
    <m/>
    <n v="0.2"/>
    <x v="243"/>
    <x v="243"/>
  </r>
  <r>
    <x v="0"/>
    <s v="Rajasthan"/>
    <s v="Jaipur"/>
    <x v="2"/>
    <x v="11"/>
    <s v="Classic Phones 442"/>
    <s v="Same Day"/>
    <m/>
    <n v="0.05"/>
    <x v="244"/>
    <x v="244"/>
  </r>
  <r>
    <x v="3"/>
    <s v="Madhya Pradesh"/>
    <s v="Indore"/>
    <x v="2"/>
    <x v="5"/>
    <s v="Elite Accessories 978"/>
    <s v="Same Day"/>
    <m/>
    <n v="0.2"/>
    <x v="245"/>
    <x v="245"/>
  </r>
  <r>
    <x v="3"/>
    <s v="Maharashtra"/>
    <s v="Mumbai"/>
    <x v="2"/>
    <x v="11"/>
    <s v="Eco Phones 132"/>
    <s v="First Class"/>
    <m/>
    <n v="0"/>
    <x v="246"/>
    <x v="246"/>
  </r>
  <r>
    <x v="1"/>
    <s v="West Bengal"/>
    <s v="Kolkata"/>
    <x v="1"/>
    <x v="1"/>
    <s v="Prime Tables 481"/>
    <s v="First Class"/>
    <m/>
    <n v="0.05"/>
    <x v="247"/>
    <x v="247"/>
  </r>
  <r>
    <x v="2"/>
    <s v="Karnataka"/>
    <s v="Bengaluru"/>
    <x v="2"/>
    <x v="5"/>
    <s v="Smart Accessories 180"/>
    <s v="Second Class"/>
    <m/>
    <n v="0"/>
    <x v="248"/>
    <x v="248"/>
  </r>
  <r>
    <x v="2"/>
    <s v="Tamil Nadu"/>
    <s v="Chennai"/>
    <x v="1"/>
    <x v="1"/>
    <s v="Smart Tables 774"/>
    <s v="Same Day"/>
    <m/>
    <n v="0.25"/>
    <x v="249"/>
    <x v="249"/>
  </r>
  <r>
    <x v="2"/>
    <s v="Tamil Nadu"/>
    <s v="Chennai"/>
    <x v="2"/>
    <x v="12"/>
    <s v="Prime Machines 793"/>
    <s v="Standard Class"/>
    <m/>
    <n v="0.2"/>
    <x v="250"/>
    <x v="250"/>
  </r>
  <r>
    <x v="1"/>
    <s v="West Bengal"/>
    <s v="Kolkata"/>
    <x v="0"/>
    <x v="9"/>
    <s v="Elite Binders 827"/>
    <s v="Same Day"/>
    <m/>
    <n v="0.25"/>
    <x v="251"/>
    <x v="251"/>
  </r>
  <r>
    <x v="0"/>
    <s v="Rajasthan"/>
    <s v="Jaipur"/>
    <x v="0"/>
    <x v="7"/>
    <s v="Prime Labels 326"/>
    <s v="Standard Class"/>
    <m/>
    <n v="0.2"/>
    <x v="252"/>
    <x v="252"/>
  </r>
  <r>
    <x v="0"/>
    <s v="Delhi"/>
    <s v="New Delhi"/>
    <x v="2"/>
    <x v="11"/>
    <s v="Eco Phones 245"/>
    <s v="Same Day"/>
    <m/>
    <n v="0"/>
    <x v="253"/>
    <x v="253"/>
  </r>
  <r>
    <x v="0"/>
    <s v="Delhi"/>
    <s v="New Delhi"/>
    <x v="0"/>
    <x v="9"/>
    <s v="Smart Binders 905"/>
    <s v="Second Class"/>
    <m/>
    <n v="0.1"/>
    <x v="254"/>
    <x v="254"/>
  </r>
  <r>
    <x v="1"/>
    <s v="Bihar"/>
    <s v="Patna"/>
    <x v="2"/>
    <x v="6"/>
    <s v="Pro Copiers 599"/>
    <s v="Standard Class"/>
    <m/>
    <n v="0"/>
    <x v="255"/>
    <x v="255"/>
  </r>
  <r>
    <x v="1"/>
    <s v="Bihar"/>
    <s v="Patna"/>
    <x v="1"/>
    <x v="10"/>
    <s v="Basic Bookcases 570"/>
    <s v="Same Day"/>
    <m/>
    <n v="0.15"/>
    <x v="256"/>
    <x v="256"/>
  </r>
  <r>
    <x v="3"/>
    <s v="Maharashtra"/>
    <s v="Mumbai"/>
    <x v="0"/>
    <x v="8"/>
    <s v="Classic Storage 926"/>
    <s v="Second Class"/>
    <m/>
    <n v="0"/>
    <x v="257"/>
    <x v="257"/>
  </r>
  <r>
    <x v="1"/>
    <s v="Jharkhand"/>
    <s v="Ranchi"/>
    <x v="1"/>
    <x v="3"/>
    <s v="Basic Furnishings 372"/>
    <s v="First Class"/>
    <m/>
    <n v="0.25"/>
    <x v="258"/>
    <x v="258"/>
  </r>
  <r>
    <x v="0"/>
    <s v="Punjab"/>
    <s v="Ludhiana"/>
    <x v="2"/>
    <x v="5"/>
    <s v="Prime Accessories 367"/>
    <s v="First Class"/>
    <m/>
    <n v="0.25"/>
    <x v="259"/>
    <x v="259"/>
  </r>
  <r>
    <x v="3"/>
    <s v="Rajasthan"/>
    <s v="Udaipur"/>
    <x v="1"/>
    <x v="1"/>
    <s v="Max Tables 526"/>
    <s v="Same Day"/>
    <m/>
    <n v="0"/>
    <x v="260"/>
    <x v="260"/>
  </r>
  <r>
    <x v="0"/>
    <s v="Uttar Pradesh"/>
    <s v="Noida"/>
    <x v="2"/>
    <x v="12"/>
    <s v="Prime Machines 794"/>
    <s v="Same Day"/>
    <m/>
    <n v="0"/>
    <x v="261"/>
    <x v="261"/>
  </r>
  <r>
    <x v="2"/>
    <s v="Telangana"/>
    <s v="Hyderabad"/>
    <x v="0"/>
    <x v="9"/>
    <s v="Max Binders 927"/>
    <s v="Standard Class"/>
    <m/>
    <n v="0"/>
    <x v="262"/>
    <x v="262"/>
  </r>
  <r>
    <x v="2"/>
    <s v="Andhra Pradesh"/>
    <s v="Vijayawada"/>
    <x v="1"/>
    <x v="4"/>
    <s v="Eco Chairs 314"/>
    <s v="First Class"/>
    <m/>
    <n v="0.1"/>
    <x v="263"/>
    <x v="263"/>
  </r>
  <r>
    <x v="1"/>
    <s v="Bihar"/>
    <s v="Patna"/>
    <x v="0"/>
    <x v="0"/>
    <s v="Basic Paper 657"/>
    <s v="Second Class"/>
    <m/>
    <n v="0"/>
    <x v="264"/>
    <x v="264"/>
  </r>
  <r>
    <x v="2"/>
    <s v="Kerala"/>
    <s v="Kochi"/>
    <x v="2"/>
    <x v="6"/>
    <s v="Pro Copiers 406"/>
    <s v="Standard Class"/>
    <m/>
    <n v="0.15"/>
    <x v="265"/>
    <x v="265"/>
  </r>
  <r>
    <x v="1"/>
    <s v="West Bengal"/>
    <s v="Kolkata"/>
    <x v="1"/>
    <x v="3"/>
    <s v="Eco Furnishings 678"/>
    <s v="Same Day"/>
    <m/>
    <n v="0"/>
    <x v="266"/>
    <x v="266"/>
  </r>
  <r>
    <x v="4"/>
    <s v="Assam"/>
    <s v="Guwahati"/>
    <x v="1"/>
    <x v="4"/>
    <s v="Basic Chairs 141"/>
    <s v="Second Class"/>
    <m/>
    <s v="invalid"/>
    <x v="2"/>
    <x v="2"/>
  </r>
  <r>
    <x v="0"/>
    <s v="Haryana"/>
    <s v="Gurugram"/>
    <x v="2"/>
    <x v="5"/>
    <s v="Elite Accessories 291"/>
    <s v="Second Class"/>
    <m/>
    <n v="0.15"/>
    <x v="267"/>
    <x v="267"/>
  </r>
  <r>
    <x v="0"/>
    <s v="Delhi"/>
    <s v="New Delhi"/>
    <x v="2"/>
    <x v="5"/>
    <s v="Pro Accessories 207"/>
    <s v="Same Day"/>
    <m/>
    <n v="0.05"/>
    <x v="268"/>
    <x v="268"/>
  </r>
  <r>
    <x v="3"/>
    <s v="Maharashtra"/>
    <s v="Mumbai"/>
    <x v="0"/>
    <x v="8"/>
    <s v="Max Storage 564"/>
    <s v="First Class"/>
    <m/>
    <n v="0.05"/>
    <x v="269"/>
    <x v="269"/>
  </r>
  <r>
    <x v="2"/>
    <s v="Karnataka"/>
    <s v="Bengaluru"/>
    <x v="2"/>
    <x v="6"/>
    <s v="Prime Copiers 961"/>
    <s v="Standard Class"/>
    <m/>
    <n v="0"/>
    <x v="270"/>
    <x v="270"/>
  </r>
  <r>
    <x v="1"/>
    <s v="Jharkhand"/>
    <s v="Ranchi"/>
    <x v="0"/>
    <x v="9"/>
    <s v="Basic Binders 637"/>
    <s v="Second Class"/>
    <m/>
    <n v="0.2"/>
    <x v="271"/>
    <x v="271"/>
  </r>
  <r>
    <x v="1"/>
    <s v="Assam"/>
    <s v="Guwahati"/>
    <x v="1"/>
    <x v="1"/>
    <s v="Classic Tables 811"/>
    <s v="Second Class"/>
    <m/>
    <n v="0"/>
    <x v="272"/>
    <x v="272"/>
  </r>
  <r>
    <x v="3"/>
    <s v="Maharashtra"/>
    <s v="Mumbai"/>
    <x v="1"/>
    <x v="3"/>
    <s v="Classic Furnishings 819"/>
    <s v="First Class"/>
    <m/>
    <n v="0"/>
    <x v="273"/>
    <x v="273"/>
  </r>
  <r>
    <x v="1"/>
    <s v="Odisha"/>
    <s v="Bhubaneswar"/>
    <x v="1"/>
    <x v="1"/>
    <s v="Prime Tables 542"/>
    <s v="Same Day"/>
    <m/>
    <n v="0"/>
    <x v="274"/>
    <x v="274"/>
  </r>
  <r>
    <x v="0"/>
    <s v="Rajasthan"/>
    <s v="Jaipur"/>
    <x v="0"/>
    <x v="8"/>
    <s v="Basic Storage 771"/>
    <s v="Standard Class"/>
    <m/>
    <n v="0"/>
    <x v="275"/>
    <x v="275"/>
  </r>
  <r>
    <x v="0"/>
    <s v="Delhi"/>
    <s v="New Delhi"/>
    <x v="1"/>
    <x v="3"/>
    <s v="Pro Furnishings 848"/>
    <s v="First Class"/>
    <m/>
    <n v="0.1"/>
    <x v="276"/>
    <x v="276"/>
  </r>
  <r>
    <x v="2"/>
    <s v="Tamil Nadu"/>
    <s v="Chennai"/>
    <x v="2"/>
    <x v="6"/>
    <s v="Prime Copiers 924"/>
    <s v="Standard Class"/>
    <m/>
    <n v="0.15"/>
    <x v="277"/>
    <x v="277"/>
  </r>
  <r>
    <x v="1"/>
    <s v="Bihar"/>
    <s v="Patna"/>
    <x v="0"/>
    <x v="9"/>
    <s v="Classic Binders 721"/>
    <s v="Same Day"/>
    <m/>
    <n v="0.15"/>
    <x v="278"/>
    <x v="278"/>
  </r>
  <r>
    <x v="2"/>
    <s v="Tamil Nadu"/>
    <s v="Chennai"/>
    <x v="1"/>
    <x v="10"/>
    <s v="Basic Bookcases 823"/>
    <s v="First Class"/>
    <m/>
    <n v="0.05"/>
    <x v="279"/>
    <x v="279"/>
  </r>
  <r>
    <x v="1"/>
    <s v="Jharkhand"/>
    <s v="Ranchi"/>
    <x v="1"/>
    <x v="1"/>
    <s v="Classic Tables 178"/>
    <s v="Standard Class"/>
    <m/>
    <n v="0.1"/>
    <x v="280"/>
    <x v="280"/>
  </r>
  <r>
    <x v="0"/>
    <s v="Rajasthan"/>
    <s v="Jaipur"/>
    <x v="0"/>
    <x v="9"/>
    <s v="Eco Binders 153"/>
    <s v="Standard Class"/>
    <m/>
    <n v="0.25"/>
    <x v="281"/>
    <x v="281"/>
  </r>
  <r>
    <x v="0"/>
    <s v="Haryana"/>
    <s v="Gurugram"/>
    <x v="0"/>
    <x v="2"/>
    <s v="Classic Art 183"/>
    <s v="Same Day"/>
    <m/>
    <n v="0"/>
    <x v="282"/>
    <x v="282"/>
  </r>
  <r>
    <x v="2"/>
    <s v="Telangana"/>
    <s v="Hyderabad"/>
    <x v="2"/>
    <x v="11"/>
    <s v="Pro Phones 455"/>
    <s v="First Class"/>
    <m/>
    <s v="invalid"/>
    <x v="2"/>
    <x v="2"/>
  </r>
  <r>
    <x v="1"/>
    <s v="Odisha"/>
    <s v="Bhubaneswar"/>
    <x v="2"/>
    <x v="11"/>
    <s v="Basic Phones 326"/>
    <s v="Second Class"/>
    <m/>
    <n v="0.25"/>
    <x v="283"/>
    <x v="283"/>
  </r>
  <r>
    <x v="1"/>
    <s v="Assam"/>
    <s v="Guwahati"/>
    <x v="0"/>
    <x v="9"/>
    <s v="Max Binders 587"/>
    <s v="Standard Class"/>
    <m/>
    <n v="0.1"/>
    <x v="284"/>
    <x v="284"/>
  </r>
  <r>
    <x v="0"/>
    <s v="Haryana"/>
    <s v="Gurugram"/>
    <x v="1"/>
    <x v="3"/>
    <s v="Basic Furnishings 617"/>
    <s v="Same Day"/>
    <m/>
    <n v="0.15"/>
    <x v="285"/>
    <x v="285"/>
  </r>
  <r>
    <x v="2"/>
    <s v="Tamil Nadu"/>
    <s v="Chennai"/>
    <x v="2"/>
    <x v="6"/>
    <s v="Prime Copiers 669"/>
    <s v="Same Day"/>
    <m/>
    <n v="0.15"/>
    <x v="286"/>
    <x v="286"/>
  </r>
  <r>
    <x v="2"/>
    <s v="Kerala"/>
    <s v="Kochi"/>
    <x v="2"/>
    <x v="6"/>
    <s v="Eco Copiers 894"/>
    <s v="First Class"/>
    <m/>
    <n v="0.2"/>
    <x v="287"/>
    <x v="287"/>
  </r>
  <r>
    <x v="3"/>
    <s v="Gujarat"/>
    <s v="Ahmedabad"/>
    <x v="2"/>
    <x v="5"/>
    <s v="Max Accessories 145"/>
    <s v="Standard Class"/>
    <m/>
    <n v="0.1"/>
    <x v="288"/>
    <x v="288"/>
  </r>
  <r>
    <x v="0"/>
    <s v="Punjab"/>
    <s v="Ludhiana"/>
    <x v="2"/>
    <x v="5"/>
    <s v="Classic Accessories 126"/>
    <s v="Second Class"/>
    <m/>
    <n v="0.1"/>
    <x v="289"/>
    <x v="289"/>
  </r>
  <r>
    <x v="1"/>
    <s v="Bihar"/>
    <s v="Patna"/>
    <x v="2"/>
    <x v="11"/>
    <s v="Elite Phones 202"/>
    <s v="Same Day"/>
    <m/>
    <n v="0.05"/>
    <x v="290"/>
    <x v="290"/>
  </r>
  <r>
    <x v="3"/>
    <s v="Goa"/>
    <s v="Panaji"/>
    <x v="0"/>
    <x v="8"/>
    <s v="Elite Storage 535"/>
    <s v="Same Day"/>
    <m/>
    <n v="0.25"/>
    <x v="291"/>
    <x v="291"/>
  </r>
  <r>
    <x v="3"/>
    <s v="Gujarat"/>
    <s v="Ahmedabad"/>
    <x v="1"/>
    <x v="4"/>
    <s v="Elite Chairs 107"/>
    <s v="Standard Class"/>
    <m/>
    <n v="0.1"/>
    <x v="292"/>
    <x v="292"/>
  </r>
  <r>
    <x v="0"/>
    <s v="Punjab"/>
    <s v="Ludhiana"/>
    <x v="1"/>
    <x v="3"/>
    <s v="Pro Furnishings 991"/>
    <s v="Standard Class"/>
    <m/>
    <n v="0.1"/>
    <x v="293"/>
    <x v="293"/>
  </r>
  <r>
    <x v="1"/>
    <s v="Assam"/>
    <s v="Guwahati"/>
    <x v="1"/>
    <x v="4"/>
    <s v="Eco Chairs 105"/>
    <s v="First Class"/>
    <m/>
    <s v="invalid"/>
    <x v="2"/>
    <x v="2"/>
  </r>
  <r>
    <x v="0"/>
    <s v="Rajasthan"/>
    <s v="Jaipur"/>
    <x v="2"/>
    <x v="11"/>
    <s v="Pro Phones 530"/>
    <s v="Second Class"/>
    <m/>
    <n v="0"/>
    <x v="294"/>
    <x v="294"/>
  </r>
  <r>
    <x v="0"/>
    <s v="Uttar Pradesh"/>
    <s v="Noida"/>
    <x v="1"/>
    <x v="1"/>
    <s v="Basic Tables 911"/>
    <s v="First Class"/>
    <m/>
    <n v="0.2"/>
    <x v="295"/>
    <x v="295"/>
  </r>
  <r>
    <x v="0"/>
    <s v="Rajasthan"/>
    <s v="Jaipur"/>
    <x v="1"/>
    <x v="1"/>
    <s v="Classic Tables 224"/>
    <s v="First Class"/>
    <m/>
    <n v="0.2"/>
    <x v="296"/>
    <x v="296"/>
  </r>
  <r>
    <x v="2"/>
    <s v="Tamil Nadu"/>
    <s v="Chennai"/>
    <x v="1"/>
    <x v="1"/>
    <s v="Prime Tables 214"/>
    <s v="First Class"/>
    <m/>
    <n v="0.1"/>
    <x v="297"/>
    <x v="297"/>
  </r>
  <r>
    <x v="2"/>
    <s v="Tamil Nadu"/>
    <s v="Chennai"/>
    <x v="2"/>
    <x v="12"/>
    <s v="Max Machines 988"/>
    <s v="First Class"/>
    <m/>
    <n v="0"/>
    <x v="298"/>
    <x v="298"/>
  </r>
  <r>
    <x v="2"/>
    <s v="Karnataka"/>
    <s v="Bengaluru"/>
    <x v="0"/>
    <x v="9"/>
    <s v="Max Binders 425"/>
    <s v="Second Class"/>
    <m/>
    <n v="0.1"/>
    <x v="299"/>
    <x v="299"/>
  </r>
  <r>
    <x v="1"/>
    <s v="Assam"/>
    <s v="Guwahati"/>
    <x v="2"/>
    <x v="11"/>
    <s v="Elite Phones 679"/>
    <s v="Standard Class"/>
    <m/>
    <n v="0"/>
    <x v="300"/>
    <x v="300"/>
  </r>
  <r>
    <x v="0"/>
    <s v="Uttar Pradesh"/>
    <s v="Noida"/>
    <x v="2"/>
    <x v="11"/>
    <s v="Pro Phones 764"/>
    <s v="First Class"/>
    <m/>
    <n v="0.25"/>
    <x v="301"/>
    <x v="301"/>
  </r>
  <r>
    <x v="3"/>
    <s v="Madhya Pradesh"/>
    <s v="Indore"/>
    <x v="0"/>
    <x v="7"/>
    <s v="Elite Labels 544"/>
    <s v="Standard Class"/>
    <m/>
    <n v="0.15"/>
    <x v="302"/>
    <x v="302"/>
  </r>
  <r>
    <x v="0"/>
    <s v="Delhi"/>
    <s v="New Delhi"/>
    <x v="0"/>
    <x v="0"/>
    <s v="Smart Paper 817"/>
    <s v="Standard Class"/>
    <m/>
    <n v="0.05"/>
    <x v="303"/>
    <x v="303"/>
  </r>
  <r>
    <x v="0"/>
    <s v="Punjab"/>
    <s v="Ludhiana"/>
    <x v="0"/>
    <x v="7"/>
    <s v="Classic Labels 466"/>
    <s v="Standard Class"/>
    <m/>
    <n v="0.2"/>
    <x v="304"/>
    <x v="304"/>
  </r>
  <r>
    <x v="2"/>
    <s v="Kerala"/>
    <s v="Kochi"/>
    <x v="1"/>
    <x v="1"/>
    <s v="Pro Tables 778"/>
    <s v="First Class"/>
    <m/>
    <n v="0.15"/>
    <x v="305"/>
    <x v="305"/>
  </r>
  <r>
    <x v="2"/>
    <s v="Karnataka"/>
    <s v="Bengaluru"/>
    <x v="2"/>
    <x v="11"/>
    <s v="Basic Phones 789"/>
    <s v="Standard Class"/>
    <m/>
    <n v="0.1"/>
    <x v="306"/>
    <x v="306"/>
  </r>
  <r>
    <x v="3"/>
    <s v="Gujarat"/>
    <s v="Ahmedabad"/>
    <x v="0"/>
    <x v="9"/>
    <s v="Prime Binders 554"/>
    <s v="First Class"/>
    <m/>
    <n v="0"/>
    <x v="307"/>
    <x v="307"/>
  </r>
  <r>
    <x v="1"/>
    <s v="West Bengal"/>
    <s v="Kolkata"/>
    <x v="0"/>
    <x v="2"/>
    <s v="Classic Art 299"/>
    <s v="Second Class"/>
    <m/>
    <s v="invalid"/>
    <x v="2"/>
    <x v="2"/>
  </r>
  <r>
    <x v="3"/>
    <s v="Goa"/>
    <s v="Panaji"/>
    <x v="2"/>
    <x v="5"/>
    <s v="Eco Accessories 220"/>
    <s v="Same Day"/>
    <m/>
    <n v="0"/>
    <x v="308"/>
    <x v="308"/>
  </r>
  <r>
    <x v="0"/>
    <s v="Uttar Pradesh"/>
    <s v="Noida"/>
    <x v="2"/>
    <x v="11"/>
    <s v="Max Phones 422"/>
    <s v="Second Class"/>
    <m/>
    <n v="0.15"/>
    <x v="309"/>
    <x v="309"/>
  </r>
  <r>
    <x v="3"/>
    <s v="Goa"/>
    <s v="Panaji"/>
    <x v="1"/>
    <x v="3"/>
    <s v="Eco Furnishings 897"/>
    <s v="Standard Class"/>
    <m/>
    <n v="0.15"/>
    <x v="310"/>
    <x v="310"/>
  </r>
  <r>
    <x v="2"/>
    <s v="Andhra Pradesh"/>
    <s v="Vijayawada"/>
    <x v="0"/>
    <x v="7"/>
    <s v="Basic Labels 102"/>
    <s v="Same Day"/>
    <m/>
    <n v="0.15"/>
    <x v="311"/>
    <x v="311"/>
  </r>
  <r>
    <x v="1"/>
    <s v="West Bengal"/>
    <s v="Kolkata"/>
    <x v="2"/>
    <x v="6"/>
    <s v="Prime Copiers 170"/>
    <s v="Second Class"/>
    <m/>
    <n v="0.15"/>
    <x v="312"/>
    <x v="312"/>
  </r>
  <r>
    <x v="1"/>
    <s v="Jharkhand"/>
    <s v="Ranchi"/>
    <x v="1"/>
    <x v="3"/>
    <s v="Smart Furnishings 533"/>
    <s v="Same Day"/>
    <m/>
    <n v="0.05"/>
    <x v="313"/>
    <x v="313"/>
  </r>
  <r>
    <x v="3"/>
    <s v="Rajasthan"/>
    <s v="Udaipur"/>
    <x v="2"/>
    <x v="5"/>
    <s v="Classic Accessories 489"/>
    <s v="Second Class"/>
    <m/>
    <n v="0.2"/>
    <x v="314"/>
    <x v="314"/>
  </r>
  <r>
    <x v="3"/>
    <s v="Maharashtra"/>
    <s v="Mumbai"/>
    <x v="0"/>
    <x v="8"/>
    <s v="Smart Storage 439"/>
    <s v="First Class"/>
    <m/>
    <n v="0"/>
    <x v="315"/>
    <x v="315"/>
  </r>
  <r>
    <x v="3"/>
    <s v="Maharashtra"/>
    <s v="Mumbai"/>
    <x v="0"/>
    <x v="8"/>
    <s v="Prime Storage 232"/>
    <s v="Standard Class"/>
    <m/>
    <n v="0.05"/>
    <x v="316"/>
    <x v="316"/>
  </r>
  <r>
    <x v="0"/>
    <s v="Punjab"/>
    <s v="Ludhiana"/>
    <x v="2"/>
    <x v="5"/>
    <s v="Prime Accessories 335"/>
    <s v="Same Day"/>
    <m/>
    <n v="0"/>
    <x v="317"/>
    <x v="317"/>
  </r>
  <r>
    <x v="1"/>
    <s v="Odisha"/>
    <s v="Bhubaneswar"/>
    <x v="0"/>
    <x v="9"/>
    <s v="Smart Binders 939"/>
    <s v="Second Class"/>
    <m/>
    <n v="0"/>
    <x v="318"/>
    <x v="318"/>
  </r>
  <r>
    <x v="2"/>
    <s v="Andhra Pradesh"/>
    <s v="Vijayawada"/>
    <x v="2"/>
    <x v="12"/>
    <s v="Basic Machines 601"/>
    <s v="Second Class"/>
    <m/>
    <n v="0"/>
    <x v="319"/>
    <x v="319"/>
  </r>
  <r>
    <x v="4"/>
    <s v="Delhi"/>
    <s v="New Delhi"/>
    <x v="2"/>
    <x v="11"/>
    <s v="Pro Phones 968"/>
    <s v="First Class"/>
    <m/>
    <n v="0"/>
    <x v="320"/>
    <x v="320"/>
  </r>
  <r>
    <x v="1"/>
    <s v="Jharkhand"/>
    <s v="Ranchi"/>
    <x v="0"/>
    <x v="8"/>
    <s v="Pro Storage 563"/>
    <s v="First Class"/>
    <m/>
    <n v="0.25"/>
    <x v="321"/>
    <x v="321"/>
  </r>
  <r>
    <x v="3"/>
    <s v="Madhya Pradesh"/>
    <s v="Indore"/>
    <x v="0"/>
    <x v="0"/>
    <s v="Prime Paper 559"/>
    <s v="First Class"/>
    <m/>
    <n v="0.1"/>
    <x v="322"/>
    <x v="322"/>
  </r>
  <r>
    <x v="0"/>
    <s v="Rajasthan"/>
    <s v="Jaipur"/>
    <x v="2"/>
    <x v="6"/>
    <s v="Pro Copiers 999"/>
    <s v="First Class"/>
    <m/>
    <n v="0"/>
    <x v="323"/>
    <x v="323"/>
  </r>
  <r>
    <x v="1"/>
    <s v="Assam"/>
    <s v="Guwahati"/>
    <x v="0"/>
    <x v="7"/>
    <s v="Classic Labels 206"/>
    <s v="Same Day"/>
    <m/>
    <n v="0"/>
    <x v="324"/>
    <x v="324"/>
  </r>
  <r>
    <x v="2"/>
    <s v="Andhra Pradesh"/>
    <s v="Vijayawada"/>
    <x v="2"/>
    <x v="5"/>
    <s v="Eco Accessories 315"/>
    <s v="First Class"/>
    <m/>
    <n v="0.25"/>
    <x v="325"/>
    <x v="325"/>
  </r>
  <r>
    <x v="1"/>
    <s v="Jharkhand"/>
    <s v="Ranchi"/>
    <x v="1"/>
    <x v="10"/>
    <s v="Elite Bookcases 988"/>
    <s v="Standard Class"/>
    <m/>
    <n v="0.2"/>
    <x v="326"/>
    <x v="326"/>
  </r>
  <r>
    <x v="2"/>
    <s v="Karnataka"/>
    <s v="Bengaluru"/>
    <x v="0"/>
    <x v="9"/>
    <s v="Smart Binders 414"/>
    <s v="Standard Class"/>
    <m/>
    <n v="0.1"/>
    <x v="327"/>
    <x v="327"/>
  </r>
  <r>
    <x v="3"/>
    <s v="Gujarat"/>
    <s v="Ahmedabad"/>
    <x v="1"/>
    <x v="4"/>
    <s v="Eco Chairs 552"/>
    <s v="Second Class"/>
    <m/>
    <n v="0.05"/>
    <x v="328"/>
    <x v="328"/>
  </r>
  <r>
    <x v="1"/>
    <s v="Jharkhand"/>
    <s v="Ranchi"/>
    <x v="0"/>
    <x v="9"/>
    <s v="Smart Binders 574"/>
    <s v="First Class"/>
    <m/>
    <n v="0"/>
    <x v="329"/>
    <x v="329"/>
  </r>
  <r>
    <x v="3"/>
    <s v="Madhya Pradesh"/>
    <s v="Indore"/>
    <x v="2"/>
    <x v="12"/>
    <s v="Pro Machines 444"/>
    <s v="Same Day"/>
    <m/>
    <n v="0.1"/>
    <x v="330"/>
    <x v="330"/>
  </r>
  <r>
    <x v="0"/>
    <s v="Punjab"/>
    <s v="Ludhiana"/>
    <x v="1"/>
    <x v="10"/>
    <s v="Elite Bookcases 184"/>
    <s v="Same Day"/>
    <m/>
    <n v="0"/>
    <x v="331"/>
    <x v="331"/>
  </r>
  <r>
    <x v="3"/>
    <s v="Madhya Pradesh"/>
    <s v="Indore"/>
    <x v="1"/>
    <x v="3"/>
    <s v="Elite Furnishings 138"/>
    <s v="Second Class"/>
    <m/>
    <n v="0"/>
    <x v="332"/>
    <x v="332"/>
  </r>
  <r>
    <x v="2"/>
    <s v="Kerala"/>
    <s v="Kochi"/>
    <x v="1"/>
    <x v="4"/>
    <s v="Eco Chairs 369"/>
    <s v="Second Class"/>
    <m/>
    <n v="0.2"/>
    <x v="333"/>
    <x v="333"/>
  </r>
  <r>
    <x v="3"/>
    <s v="Goa"/>
    <s v="Panaji"/>
    <x v="1"/>
    <x v="4"/>
    <s v="Max Chairs 487"/>
    <s v="Second Class"/>
    <m/>
    <n v="0.2"/>
    <x v="334"/>
    <x v="334"/>
  </r>
  <r>
    <x v="2"/>
    <s v="Karnataka"/>
    <s v="Bengaluru"/>
    <x v="2"/>
    <x v="11"/>
    <s v="Classic Phones 989"/>
    <s v="Same Day"/>
    <m/>
    <n v="0.25"/>
    <x v="335"/>
    <x v="335"/>
  </r>
  <r>
    <x v="1"/>
    <s v="Jharkhand"/>
    <s v="Ranchi"/>
    <x v="1"/>
    <x v="3"/>
    <s v="Max Furnishings 628"/>
    <s v="Second Class"/>
    <m/>
    <n v="0.25"/>
    <x v="336"/>
    <x v="336"/>
  </r>
  <r>
    <x v="1"/>
    <s v="Jharkhand"/>
    <s v="Ranchi"/>
    <x v="1"/>
    <x v="3"/>
    <s v="Elite Furnishings 279"/>
    <s v="Second Class"/>
    <m/>
    <n v="0.1"/>
    <x v="337"/>
    <x v="337"/>
  </r>
  <r>
    <x v="2"/>
    <s v="Telangana"/>
    <s v="Hyderabad"/>
    <x v="0"/>
    <x v="8"/>
    <s v="Pro Storage 847"/>
    <s v="First Class"/>
    <m/>
    <n v="0.25"/>
    <x v="338"/>
    <x v="338"/>
  </r>
  <r>
    <x v="1"/>
    <s v="Assam"/>
    <s v="Guwahati"/>
    <x v="2"/>
    <x v="6"/>
    <s v="Elite Copiers 706"/>
    <s v="First Class"/>
    <m/>
    <n v="0.25"/>
    <x v="339"/>
    <x v="339"/>
  </r>
  <r>
    <x v="0"/>
    <s v="Rajasthan"/>
    <s v="Jaipur"/>
    <x v="0"/>
    <x v="2"/>
    <s v="Prime Art 978"/>
    <s v="Same Day"/>
    <m/>
    <n v="0.2"/>
    <x v="340"/>
    <x v="340"/>
  </r>
  <r>
    <x v="0"/>
    <s v="Punjab"/>
    <s v="Ludhiana"/>
    <x v="1"/>
    <x v="3"/>
    <s v="Classic Furnishings 498"/>
    <s v="Standard Class"/>
    <m/>
    <s v="invalid"/>
    <x v="2"/>
    <x v="2"/>
  </r>
  <r>
    <x v="3"/>
    <s v="Rajasthan"/>
    <s v="Udaipur"/>
    <x v="1"/>
    <x v="1"/>
    <s v="Max Tables 829"/>
    <s v="Standard Class"/>
    <m/>
    <n v="0"/>
    <x v="341"/>
    <x v="341"/>
  </r>
  <r>
    <x v="2"/>
    <s v="Telangana"/>
    <s v="Hyderabad"/>
    <x v="1"/>
    <x v="4"/>
    <s v="Eco Chairs 346"/>
    <s v="First Class"/>
    <m/>
    <n v="0.2"/>
    <x v="342"/>
    <x v="342"/>
  </r>
  <r>
    <x v="2"/>
    <s v="Andhra Pradesh"/>
    <s v="Vijayawada"/>
    <x v="2"/>
    <x v="12"/>
    <s v="Max Machines 770"/>
    <s v="Second Class"/>
    <m/>
    <n v="0"/>
    <x v="343"/>
    <x v="343"/>
  </r>
  <r>
    <x v="3"/>
    <s v="Gujarat"/>
    <s v="Ahmedabad"/>
    <x v="1"/>
    <x v="10"/>
    <s v="Smart Bookcases 134"/>
    <s v="Second Class"/>
    <m/>
    <n v="0.05"/>
    <x v="344"/>
    <x v="344"/>
  </r>
  <r>
    <x v="2"/>
    <s v="Tamil Nadu"/>
    <s v="Chennai"/>
    <x v="2"/>
    <x v="11"/>
    <s v="Classic Phones 586"/>
    <s v="Same Day"/>
    <m/>
    <n v="0.1"/>
    <x v="345"/>
    <x v="345"/>
  </r>
  <r>
    <x v="3"/>
    <s v="Gujarat"/>
    <s v="Ahmedabad"/>
    <x v="1"/>
    <x v="3"/>
    <s v="Elite Furnishings 634"/>
    <s v="Standard Class"/>
    <m/>
    <n v="0.2"/>
    <x v="346"/>
    <x v="346"/>
  </r>
  <r>
    <x v="1"/>
    <s v="Odisha"/>
    <s v="Bhubaneswar"/>
    <x v="1"/>
    <x v="4"/>
    <s v="Basic Chairs 113"/>
    <s v="Second Class"/>
    <m/>
    <n v="0.05"/>
    <x v="347"/>
    <x v="347"/>
  </r>
  <r>
    <x v="3"/>
    <s v="Goa"/>
    <s v="Panaji"/>
    <x v="2"/>
    <x v="12"/>
    <s v="Elite Machines 216"/>
    <s v="Same Day"/>
    <m/>
    <n v="0.05"/>
    <x v="348"/>
    <x v="348"/>
  </r>
  <r>
    <x v="1"/>
    <s v="West Bengal"/>
    <s v="Kolkata"/>
    <x v="1"/>
    <x v="1"/>
    <s v="Smart Tables 943"/>
    <s v="Second Class"/>
    <m/>
    <n v="0.25"/>
    <x v="349"/>
    <x v="349"/>
  </r>
  <r>
    <x v="2"/>
    <s v="Andhra Pradesh"/>
    <s v="Vijayawada"/>
    <x v="1"/>
    <x v="4"/>
    <s v="Prime Chairs 101"/>
    <s v="Second Class"/>
    <m/>
    <n v="0"/>
    <x v="350"/>
    <x v="350"/>
  </r>
  <r>
    <x v="3"/>
    <s v="Goa"/>
    <s v="Panaji"/>
    <x v="2"/>
    <x v="5"/>
    <s v="Basic Accessories 774"/>
    <s v="First Class"/>
    <m/>
    <n v="0"/>
    <x v="351"/>
    <x v="351"/>
  </r>
  <r>
    <x v="0"/>
    <s v="Rajasthan"/>
    <s v="Jaipur"/>
    <x v="1"/>
    <x v="1"/>
    <s v="Max Tables 478"/>
    <s v="Same Day"/>
    <m/>
    <n v="0"/>
    <x v="352"/>
    <x v="352"/>
  </r>
  <r>
    <x v="0"/>
    <s v="Delhi"/>
    <s v="New Delhi"/>
    <x v="0"/>
    <x v="2"/>
    <s v="Eco Art 646"/>
    <s v="Standard Class"/>
    <m/>
    <n v="0.15"/>
    <x v="353"/>
    <x v="353"/>
  </r>
  <r>
    <x v="0"/>
    <s v="Rajasthan"/>
    <s v="Jaipur"/>
    <x v="2"/>
    <x v="5"/>
    <s v="Prime Accessories 962"/>
    <s v="Same Day"/>
    <m/>
    <n v="0.05"/>
    <x v="354"/>
    <x v="354"/>
  </r>
  <r>
    <x v="0"/>
    <s v="Delhi"/>
    <s v="New Delhi"/>
    <x v="0"/>
    <x v="7"/>
    <s v="Eco Labels 646"/>
    <s v="Standard Class"/>
    <m/>
    <n v="0.15"/>
    <x v="355"/>
    <x v="355"/>
  </r>
  <r>
    <x v="3"/>
    <s v="Rajasthan"/>
    <s v="Udaipur"/>
    <x v="2"/>
    <x v="6"/>
    <s v="Classic Copiers 505"/>
    <s v="First Class"/>
    <m/>
    <n v="0.2"/>
    <x v="356"/>
    <x v="356"/>
  </r>
  <r>
    <x v="3"/>
    <s v="Maharashtra"/>
    <s v="Mumbai"/>
    <x v="0"/>
    <x v="2"/>
    <s v="Pro Art 906"/>
    <s v="Standard Class"/>
    <m/>
    <n v="0"/>
    <x v="357"/>
    <x v="357"/>
  </r>
  <r>
    <x v="1"/>
    <s v="Jharkhand"/>
    <s v="Ranchi"/>
    <x v="1"/>
    <x v="4"/>
    <s v="Max Chairs 181"/>
    <s v="Same Day"/>
    <m/>
    <n v="0"/>
    <x v="358"/>
    <x v="358"/>
  </r>
  <r>
    <x v="0"/>
    <s v="Uttar Pradesh"/>
    <s v="Noida"/>
    <x v="0"/>
    <x v="8"/>
    <s v="Prime Storage 951"/>
    <s v="Second Class"/>
    <m/>
    <n v="0"/>
    <x v="359"/>
    <x v="359"/>
  </r>
  <r>
    <x v="0"/>
    <s v="Uttar Pradesh"/>
    <s v="Noida"/>
    <x v="0"/>
    <x v="7"/>
    <s v="Smart Labels 668"/>
    <s v="Standard Class"/>
    <m/>
    <n v="0"/>
    <x v="360"/>
    <x v="360"/>
  </r>
  <r>
    <x v="0"/>
    <s v="Delhi"/>
    <s v="New Delhi"/>
    <x v="1"/>
    <x v="4"/>
    <s v="Pro Chairs 364"/>
    <s v="Same Day"/>
    <m/>
    <n v="0.25"/>
    <x v="361"/>
    <x v="361"/>
  </r>
  <r>
    <x v="1"/>
    <s v="Bihar"/>
    <s v="Patna"/>
    <x v="1"/>
    <x v="4"/>
    <s v="Basic Chairs 248"/>
    <s v="First Class"/>
    <m/>
    <n v="0.2"/>
    <x v="362"/>
    <x v="362"/>
  </r>
  <r>
    <x v="1"/>
    <s v="Odisha"/>
    <s v="Bhubaneswar"/>
    <x v="0"/>
    <x v="8"/>
    <s v="Basic Storage 360"/>
    <s v="Same Day"/>
    <m/>
    <n v="0"/>
    <x v="363"/>
    <x v="363"/>
  </r>
  <r>
    <x v="3"/>
    <s v="Goa"/>
    <s v="Panaji"/>
    <x v="2"/>
    <x v="5"/>
    <s v="Basic Accessories 988"/>
    <s v="Standard Class"/>
    <m/>
    <n v="0"/>
    <x v="364"/>
    <x v="364"/>
  </r>
  <r>
    <x v="2"/>
    <s v="Kerala"/>
    <s v="Kochi"/>
    <x v="0"/>
    <x v="0"/>
    <s v="Max Paper 334"/>
    <s v="Standard Class"/>
    <m/>
    <n v="0"/>
    <x v="365"/>
    <x v="365"/>
  </r>
  <r>
    <x v="3"/>
    <s v="Maharashtra"/>
    <s v="Mumbai"/>
    <x v="1"/>
    <x v="10"/>
    <s v="Prime Bookcases 952"/>
    <s v="Same Day"/>
    <m/>
    <n v="0.25"/>
    <x v="366"/>
    <x v="366"/>
  </r>
  <r>
    <x v="0"/>
    <s v="Delhi"/>
    <s v="New Delhi"/>
    <x v="0"/>
    <x v="9"/>
    <s v="Prime Binders 523"/>
    <s v="Standard Class"/>
    <m/>
    <n v="0.05"/>
    <x v="367"/>
    <x v="367"/>
  </r>
  <r>
    <x v="1"/>
    <s v="Bihar"/>
    <s v="Patna"/>
    <x v="2"/>
    <x v="11"/>
    <s v="Pro Phones 538"/>
    <s v="First Class"/>
    <m/>
    <n v="0.2"/>
    <x v="368"/>
    <x v="368"/>
  </r>
  <r>
    <x v="1"/>
    <s v="West Bengal"/>
    <s v="Kolkata"/>
    <x v="0"/>
    <x v="2"/>
    <s v="Basic Art 608"/>
    <s v="First Class"/>
    <m/>
    <n v="0"/>
    <x v="369"/>
    <x v="369"/>
  </r>
  <r>
    <x v="1"/>
    <s v="Jharkhand"/>
    <s v="Ranchi"/>
    <x v="2"/>
    <x v="6"/>
    <s v="Prime Copiers 820"/>
    <s v="Standard Class"/>
    <m/>
    <n v="0.25"/>
    <x v="370"/>
    <x v="370"/>
  </r>
  <r>
    <x v="0"/>
    <s v="Haryana"/>
    <s v="Gurugram"/>
    <x v="0"/>
    <x v="7"/>
    <s v="Classic Labels 670"/>
    <s v="Standard Class"/>
    <m/>
    <n v="0.1"/>
    <x v="371"/>
    <x v="371"/>
  </r>
  <r>
    <x v="3"/>
    <s v="Maharashtra"/>
    <s v="Mumbai"/>
    <x v="1"/>
    <x v="3"/>
    <s v="Prime Furnishings 597"/>
    <s v="Second Class"/>
    <m/>
    <n v="0.1"/>
    <x v="372"/>
    <x v="372"/>
  </r>
  <r>
    <x v="3"/>
    <s v="Madhya Pradesh"/>
    <s v="Indore"/>
    <x v="1"/>
    <x v="4"/>
    <s v="Prime Chairs 196"/>
    <s v="Standard Class"/>
    <m/>
    <n v="0"/>
    <x v="373"/>
    <x v="373"/>
  </r>
  <r>
    <x v="3"/>
    <s v="Gujarat"/>
    <s v="Ahmedabad"/>
    <x v="1"/>
    <x v="4"/>
    <s v="Elite Chairs 639"/>
    <s v="Standard Class"/>
    <m/>
    <n v="0"/>
    <x v="374"/>
    <x v="374"/>
  </r>
  <r>
    <x v="3"/>
    <s v="Gujarat"/>
    <s v="Ahmedabad"/>
    <x v="2"/>
    <x v="12"/>
    <s v="Elite Machines 563"/>
    <s v="Second Class"/>
    <m/>
    <n v="0.2"/>
    <x v="375"/>
    <x v="375"/>
  </r>
  <r>
    <x v="3"/>
    <s v="Gujarat"/>
    <s v="Ahmedabad"/>
    <x v="1"/>
    <x v="3"/>
    <s v="Pro Furnishings 281"/>
    <s v="Standard Class"/>
    <m/>
    <n v="0.2"/>
    <x v="376"/>
    <x v="376"/>
  </r>
  <r>
    <x v="2"/>
    <s v="Karnataka"/>
    <s v="Bengaluru"/>
    <x v="0"/>
    <x v="8"/>
    <s v="Eco Storage 285"/>
    <s v="First Class"/>
    <m/>
    <n v="0"/>
    <x v="377"/>
    <x v="377"/>
  </r>
  <r>
    <x v="2"/>
    <s v="Kerala"/>
    <s v="Kochi"/>
    <x v="1"/>
    <x v="3"/>
    <s v="Classic Furnishings 746"/>
    <s v="Same Day"/>
    <m/>
    <n v="0"/>
    <x v="378"/>
    <x v="378"/>
  </r>
  <r>
    <x v="0"/>
    <s v="Uttar Pradesh"/>
    <s v="Noida"/>
    <x v="0"/>
    <x v="7"/>
    <s v="Eco Labels 815"/>
    <s v="Same Day"/>
    <m/>
    <n v="0.05"/>
    <x v="379"/>
    <x v="379"/>
  </r>
  <r>
    <x v="3"/>
    <s v="Maharashtra"/>
    <s v="Mumbai"/>
    <x v="1"/>
    <x v="3"/>
    <s v="Prime Furnishings 879"/>
    <s v="First Class"/>
    <m/>
    <n v="0"/>
    <x v="380"/>
    <x v="380"/>
  </r>
  <r>
    <x v="2"/>
    <s v="Tamil Nadu"/>
    <s v="Chennai"/>
    <x v="1"/>
    <x v="1"/>
    <s v="Pro Tables 142"/>
    <s v="Same Day"/>
    <m/>
    <n v="0.05"/>
    <x v="381"/>
    <x v="381"/>
  </r>
  <r>
    <x v="2"/>
    <s v="Karnataka"/>
    <s v="Bengaluru"/>
    <x v="2"/>
    <x v="12"/>
    <s v="Prime Machines 267"/>
    <s v="Standard Class"/>
    <m/>
    <n v="0.05"/>
    <x v="382"/>
    <x v="382"/>
  </r>
  <r>
    <x v="0"/>
    <s v="Uttar Pradesh"/>
    <s v="Noida"/>
    <x v="1"/>
    <x v="1"/>
    <s v="Eco Tables 378"/>
    <s v="Second Class"/>
    <m/>
    <n v="0"/>
    <x v="383"/>
    <x v="383"/>
  </r>
  <r>
    <x v="0"/>
    <s v="Punjab"/>
    <s v="Ludhiana"/>
    <x v="2"/>
    <x v="12"/>
    <s v="Elite Machines 523"/>
    <s v="Same Day"/>
    <m/>
    <n v="0.2"/>
    <x v="384"/>
    <x v="384"/>
  </r>
  <r>
    <x v="2"/>
    <s v="Andhra Pradesh"/>
    <s v="Vijayawada"/>
    <x v="0"/>
    <x v="0"/>
    <s v="Elite Paper 308"/>
    <s v="Same Day"/>
    <m/>
    <n v="0.25"/>
    <x v="385"/>
    <x v="385"/>
  </r>
  <r>
    <x v="0"/>
    <s v="Uttar Pradesh"/>
    <s v="Noida"/>
    <x v="0"/>
    <x v="0"/>
    <s v="Prime Paper 851"/>
    <s v="Same Day"/>
    <m/>
    <s v="invalid"/>
    <x v="2"/>
    <x v="2"/>
  </r>
  <r>
    <x v="1"/>
    <s v="Jharkhand"/>
    <s v="Ranchi"/>
    <x v="1"/>
    <x v="1"/>
    <s v="Classic Tables 151"/>
    <s v="Same Day"/>
    <m/>
    <n v="0"/>
    <x v="386"/>
    <x v="386"/>
  </r>
  <r>
    <x v="2"/>
    <s v="Karnataka"/>
    <s v="Bengaluru"/>
    <x v="1"/>
    <x v="1"/>
    <s v="Smart Tables 829"/>
    <s v="missing value"/>
    <m/>
    <n v="0"/>
    <x v="387"/>
    <x v="387"/>
  </r>
  <r>
    <x v="2"/>
    <s v="Kerala"/>
    <s v="Kochi"/>
    <x v="0"/>
    <x v="0"/>
    <s v="Classic Paper 237"/>
    <s v="Same Day"/>
    <m/>
    <n v="0.05"/>
    <x v="388"/>
    <x v="388"/>
  </r>
  <r>
    <x v="3"/>
    <s v="Rajasthan"/>
    <s v="Udaipur"/>
    <x v="1"/>
    <x v="4"/>
    <s v="Prime Chairs 891"/>
    <s v="Same Day"/>
    <m/>
    <n v="0"/>
    <x v="389"/>
    <x v="389"/>
  </r>
  <r>
    <x v="3"/>
    <s v="Gujarat"/>
    <s v="Ahmedabad"/>
    <x v="1"/>
    <x v="10"/>
    <s v="Max Bookcases 812"/>
    <s v="missing value"/>
    <m/>
    <n v="0.1"/>
    <x v="390"/>
    <x v="390"/>
  </r>
  <r>
    <x v="3"/>
    <s v="Goa"/>
    <s v="Panaji"/>
    <x v="1"/>
    <x v="3"/>
    <s v="Basic Furnishings 164"/>
    <s v="Standard Class"/>
    <m/>
    <n v="0.25"/>
    <x v="391"/>
    <x v="391"/>
  </r>
  <r>
    <x v="3"/>
    <s v="Goa"/>
    <s v="Panaji"/>
    <x v="0"/>
    <x v="7"/>
    <s v="Smart Labels 261"/>
    <s v="Second Class"/>
    <m/>
    <n v="0"/>
    <x v="392"/>
    <x v="392"/>
  </r>
  <r>
    <x v="3"/>
    <s v="Maharashtra"/>
    <s v="Mumbai"/>
    <x v="1"/>
    <x v="4"/>
    <s v="Max Chairs 765"/>
    <s v="First Class"/>
    <m/>
    <n v="0"/>
    <x v="393"/>
    <x v="393"/>
  </r>
  <r>
    <x v="1"/>
    <s v="Assam"/>
    <s v="Guwahati"/>
    <x v="2"/>
    <x v="5"/>
    <s v="Pro Accessories 686"/>
    <s v="Same Day"/>
    <m/>
    <n v="0.25"/>
    <x v="394"/>
    <x v="394"/>
  </r>
  <r>
    <x v="3"/>
    <s v="Goa"/>
    <s v="Panaji"/>
    <x v="1"/>
    <x v="1"/>
    <s v="Smart Tables 100"/>
    <s v="First Class"/>
    <m/>
    <n v="0.2"/>
    <x v="395"/>
    <x v="395"/>
  </r>
  <r>
    <x v="3"/>
    <s v="Rajasthan"/>
    <s v="Udaipur"/>
    <x v="1"/>
    <x v="1"/>
    <s v="Basic Tables 615"/>
    <s v="First Class"/>
    <m/>
    <n v="0.2"/>
    <x v="396"/>
    <x v="396"/>
  </r>
  <r>
    <x v="2"/>
    <s v="Karnataka"/>
    <s v="Bengaluru"/>
    <x v="1"/>
    <x v="4"/>
    <s v="Basic Chairs 790"/>
    <s v="Same Day"/>
    <m/>
    <n v="0.25"/>
    <x v="397"/>
    <x v="397"/>
  </r>
  <r>
    <x v="3"/>
    <s v="Madhya Pradesh"/>
    <s v="Indore"/>
    <x v="2"/>
    <x v="5"/>
    <s v="Smart Accessories 226"/>
    <s v="Second Class"/>
    <m/>
    <n v="0"/>
    <x v="398"/>
    <x v="398"/>
  </r>
  <r>
    <x v="1"/>
    <s v="Assam"/>
    <s v="Guwahati"/>
    <x v="0"/>
    <x v="8"/>
    <s v="Max Storage 692"/>
    <s v="First Class"/>
    <m/>
    <n v="0.05"/>
    <x v="399"/>
    <x v="399"/>
  </r>
  <r>
    <x v="2"/>
    <s v="Karnataka"/>
    <s v="Bengaluru"/>
    <x v="0"/>
    <x v="8"/>
    <s v="Basic Storage 684"/>
    <s v="Same Day"/>
    <m/>
    <n v="0.15"/>
    <x v="400"/>
    <x v="400"/>
  </r>
  <r>
    <x v="2"/>
    <s v="Telangana"/>
    <s v="Hyderabad"/>
    <x v="1"/>
    <x v="3"/>
    <s v="Smart Furnishings 152"/>
    <s v="First Class"/>
    <m/>
    <n v="0.25"/>
    <x v="401"/>
    <x v="401"/>
  </r>
  <r>
    <x v="3"/>
    <s v="Gujarat"/>
    <s v="Ahmedabad"/>
    <x v="0"/>
    <x v="2"/>
    <s v="Max Art 736"/>
    <s v="First Class"/>
    <m/>
    <n v="0.2"/>
    <x v="402"/>
    <x v="402"/>
  </r>
  <r>
    <x v="1"/>
    <s v="Odisha"/>
    <s v="Bhubaneswar"/>
    <x v="2"/>
    <x v="6"/>
    <s v="Elite Copiers 971"/>
    <s v="Standard Class"/>
    <m/>
    <n v="0"/>
    <x v="403"/>
    <x v="403"/>
  </r>
  <r>
    <x v="0"/>
    <s v="Haryana"/>
    <s v="Gurugram"/>
    <x v="2"/>
    <x v="11"/>
    <s v="Classic Phones 940"/>
    <s v="Same Day"/>
    <m/>
    <n v="0.05"/>
    <x v="404"/>
    <x v="404"/>
  </r>
  <r>
    <x v="2"/>
    <s v="Tamil Nadu"/>
    <s v="Chennai"/>
    <x v="2"/>
    <x v="12"/>
    <s v="Pro Machines 579"/>
    <s v="Standard Class"/>
    <m/>
    <n v="0.25"/>
    <x v="405"/>
    <x v="405"/>
  </r>
  <r>
    <x v="0"/>
    <s v="Delhi"/>
    <s v="New Delhi"/>
    <x v="0"/>
    <x v="9"/>
    <s v="Elite Binders 943"/>
    <s v="Same Day"/>
    <m/>
    <n v="0.2"/>
    <x v="406"/>
    <x v="406"/>
  </r>
  <r>
    <x v="3"/>
    <s v="Madhya Pradesh"/>
    <s v="Indore"/>
    <x v="2"/>
    <x v="6"/>
    <s v="Elite Copiers 474"/>
    <s v="Same Day"/>
    <m/>
    <n v="0.15"/>
    <x v="407"/>
    <x v="407"/>
  </r>
  <r>
    <x v="2"/>
    <s v="Kerala"/>
    <s v="Kochi"/>
    <x v="2"/>
    <x v="5"/>
    <s v="Prime Accessories 236"/>
    <s v="First Class"/>
    <m/>
    <n v="0.2"/>
    <x v="408"/>
    <x v="408"/>
  </r>
  <r>
    <x v="0"/>
    <s v="Punjab"/>
    <s v="Ludhiana"/>
    <x v="2"/>
    <x v="11"/>
    <s v="Prime Phones 881"/>
    <s v="Standard Class"/>
    <m/>
    <n v="0"/>
    <x v="409"/>
    <x v="409"/>
  </r>
  <r>
    <x v="0"/>
    <s v="Delhi"/>
    <s v="New Delhi"/>
    <x v="0"/>
    <x v="7"/>
    <s v="Pro Labels 903"/>
    <s v="First Class"/>
    <m/>
    <n v="0.1"/>
    <x v="410"/>
    <x v="410"/>
  </r>
  <r>
    <x v="0"/>
    <s v="Haryana"/>
    <s v="Gurugram"/>
    <x v="2"/>
    <x v="6"/>
    <s v="Max Copiers 402"/>
    <s v="Same Day"/>
    <m/>
    <n v="0.1"/>
    <x v="411"/>
    <x v="411"/>
  </r>
  <r>
    <x v="4"/>
    <s v="Jharkhand"/>
    <s v="Ranchi"/>
    <x v="2"/>
    <x v="5"/>
    <s v="Prime Accessories 419"/>
    <s v="Standard Class"/>
    <m/>
    <n v="0"/>
    <x v="412"/>
    <x v="412"/>
  </r>
  <r>
    <x v="1"/>
    <s v="West Bengal"/>
    <s v="Kolkata"/>
    <x v="2"/>
    <x v="11"/>
    <s v="Elite Phones 488"/>
    <s v="Same Day"/>
    <m/>
    <n v="0.25"/>
    <x v="413"/>
    <x v="413"/>
  </r>
  <r>
    <x v="0"/>
    <s v="Rajasthan"/>
    <s v="Jaipur"/>
    <x v="2"/>
    <x v="6"/>
    <s v="Prime Copiers 109"/>
    <s v="Same Day"/>
    <m/>
    <n v="0.25"/>
    <x v="414"/>
    <x v="414"/>
  </r>
  <r>
    <x v="0"/>
    <s v="Haryana"/>
    <s v="Gurugram"/>
    <x v="0"/>
    <x v="0"/>
    <s v="Max Paper 576"/>
    <s v="Second Class"/>
    <m/>
    <n v="0.15"/>
    <x v="415"/>
    <x v="415"/>
  </r>
  <r>
    <x v="3"/>
    <s v="Goa"/>
    <s v="Panaji"/>
    <x v="2"/>
    <x v="12"/>
    <s v="Max Machines 412"/>
    <s v="Same Day"/>
    <m/>
    <n v="0.25"/>
    <x v="416"/>
    <x v="416"/>
  </r>
  <r>
    <x v="3"/>
    <s v="Maharashtra"/>
    <s v="Mumbai"/>
    <x v="1"/>
    <x v="10"/>
    <s v="Classic Bookcases 291"/>
    <s v="Standard Class"/>
    <m/>
    <n v="0.05"/>
    <x v="417"/>
    <x v="417"/>
  </r>
  <r>
    <x v="2"/>
    <s v="Kerala"/>
    <s v="Kochi"/>
    <x v="0"/>
    <x v="2"/>
    <s v="Elite Art 946"/>
    <s v="Second Class"/>
    <m/>
    <n v="0"/>
    <x v="418"/>
    <x v="418"/>
  </r>
  <r>
    <x v="0"/>
    <s v="Uttar Pradesh"/>
    <s v="Noida"/>
    <x v="2"/>
    <x v="5"/>
    <s v="Eco Accessories 705"/>
    <s v="Second Class"/>
    <m/>
    <n v="0"/>
    <x v="419"/>
    <x v="419"/>
  </r>
  <r>
    <x v="0"/>
    <s v="Delhi"/>
    <s v="New Delhi"/>
    <x v="2"/>
    <x v="12"/>
    <s v="Max Machines 151"/>
    <s v="Standard Class"/>
    <m/>
    <n v="0.15"/>
    <x v="420"/>
    <x v="420"/>
  </r>
  <r>
    <x v="2"/>
    <s v="Kerala"/>
    <s v="Kochi"/>
    <x v="1"/>
    <x v="3"/>
    <s v="Max Furnishings 803"/>
    <s v="Same Day"/>
    <m/>
    <n v="0.05"/>
    <x v="421"/>
    <x v="421"/>
  </r>
  <r>
    <x v="2"/>
    <s v="Kerala"/>
    <s v="Kochi"/>
    <x v="2"/>
    <x v="5"/>
    <s v="Max Accessories 423"/>
    <s v="Same Day"/>
    <m/>
    <n v="0.05"/>
    <x v="422"/>
    <x v="422"/>
  </r>
  <r>
    <x v="1"/>
    <s v="Jharkhand"/>
    <s v="Ranchi"/>
    <x v="2"/>
    <x v="11"/>
    <s v="Elite Phones 276"/>
    <s v="Standard Class"/>
    <m/>
    <n v="0.2"/>
    <x v="423"/>
    <x v="423"/>
  </r>
  <r>
    <x v="3"/>
    <s v="Goa"/>
    <s v="Panaji"/>
    <x v="0"/>
    <x v="8"/>
    <s v="Smart Storage 287"/>
    <s v="Same Day"/>
    <m/>
    <n v="0"/>
    <x v="424"/>
    <x v="424"/>
  </r>
  <r>
    <x v="1"/>
    <s v="Odisha"/>
    <s v="Bhubaneswar"/>
    <x v="2"/>
    <x v="12"/>
    <s v="Basic Machines 610"/>
    <s v="Second Class"/>
    <m/>
    <n v="0.2"/>
    <x v="425"/>
    <x v="425"/>
  </r>
  <r>
    <x v="1"/>
    <s v="Bihar"/>
    <s v="Patna"/>
    <x v="1"/>
    <x v="10"/>
    <s v="Elite Bookcases 393"/>
    <s v="Standard Class"/>
    <m/>
    <n v="0"/>
    <x v="426"/>
    <x v="426"/>
  </r>
  <r>
    <x v="1"/>
    <s v="Jharkhand"/>
    <s v="Ranchi"/>
    <x v="1"/>
    <x v="1"/>
    <s v="Prime Tables 242"/>
    <s v="First Class"/>
    <m/>
    <n v="0"/>
    <x v="427"/>
    <x v="427"/>
  </r>
  <r>
    <x v="1"/>
    <s v="Odisha"/>
    <s v="Bhubaneswar"/>
    <x v="1"/>
    <x v="3"/>
    <s v="Basic Furnishings 563"/>
    <s v="First Class"/>
    <m/>
    <n v="0.1"/>
    <x v="428"/>
    <x v="428"/>
  </r>
  <r>
    <x v="1"/>
    <s v="Assam"/>
    <s v="Guwahati"/>
    <x v="2"/>
    <x v="5"/>
    <s v="Prime Accessories 482"/>
    <s v="Same Day"/>
    <m/>
    <n v="0.05"/>
    <x v="429"/>
    <x v="429"/>
  </r>
  <r>
    <x v="1"/>
    <s v="Assam"/>
    <s v="Guwahati"/>
    <x v="1"/>
    <x v="10"/>
    <s v="Eco Bookcases 215"/>
    <s v="Same Day"/>
    <m/>
    <n v="0.2"/>
    <x v="430"/>
    <x v="430"/>
  </r>
  <r>
    <x v="2"/>
    <s v="Andhra Pradesh"/>
    <s v="Vijayawada"/>
    <x v="0"/>
    <x v="8"/>
    <s v="Eco Storage 793"/>
    <s v="Same Day"/>
    <m/>
    <n v="0"/>
    <x v="431"/>
    <x v="431"/>
  </r>
  <r>
    <x v="2"/>
    <s v="Telangana"/>
    <s v="Hyderabad"/>
    <x v="1"/>
    <x v="10"/>
    <s v="Basic Bookcases 182"/>
    <s v="Standard Class"/>
    <m/>
    <n v="0.15"/>
    <x v="432"/>
    <x v="432"/>
  </r>
  <r>
    <x v="2"/>
    <s v="Andhra Pradesh"/>
    <s v="Vijayawada"/>
    <x v="1"/>
    <x v="4"/>
    <s v="Prime Chairs 631"/>
    <s v="First Class"/>
    <m/>
    <n v="0.15"/>
    <x v="433"/>
    <x v="433"/>
  </r>
  <r>
    <x v="1"/>
    <s v="Assam"/>
    <s v="Guwahati"/>
    <x v="2"/>
    <x v="12"/>
    <s v="Basic Machines 808"/>
    <s v="Second Class"/>
    <m/>
    <n v="0"/>
    <x v="434"/>
    <x v="434"/>
  </r>
  <r>
    <x v="0"/>
    <s v="Delhi"/>
    <s v="New Delhi"/>
    <x v="1"/>
    <x v="4"/>
    <s v="Pro Chairs 302"/>
    <s v="Standard Class"/>
    <m/>
    <n v="0.25"/>
    <x v="435"/>
    <x v="435"/>
  </r>
  <r>
    <x v="0"/>
    <s v="Haryana"/>
    <s v="Gurugram"/>
    <x v="0"/>
    <x v="0"/>
    <s v="Classic Paper 272"/>
    <s v="Second Class"/>
    <m/>
    <n v="0.15"/>
    <x v="436"/>
    <x v="436"/>
  </r>
  <r>
    <x v="1"/>
    <s v="Jharkhand"/>
    <s v="Ranchi"/>
    <x v="2"/>
    <x v="5"/>
    <s v="Smart Accessories 149"/>
    <s v="Second Class"/>
    <m/>
    <n v="0.2"/>
    <x v="437"/>
    <x v="437"/>
  </r>
  <r>
    <x v="3"/>
    <s v="Madhya Pradesh"/>
    <s v="Indore"/>
    <x v="0"/>
    <x v="7"/>
    <s v="Elite Labels 322"/>
    <s v="Same Day"/>
    <m/>
    <n v="0"/>
    <x v="438"/>
    <x v="438"/>
  </r>
  <r>
    <x v="0"/>
    <s v="Rajasthan"/>
    <s v="Jaipur"/>
    <x v="1"/>
    <x v="3"/>
    <s v="Max Furnishings 821"/>
    <s v="Standard Class"/>
    <m/>
    <n v="0.15"/>
    <x v="439"/>
    <x v="439"/>
  </r>
  <r>
    <x v="2"/>
    <s v="Telangana"/>
    <s v="Hyderabad"/>
    <x v="0"/>
    <x v="2"/>
    <s v="Basic Art 556"/>
    <s v="Standard Class"/>
    <m/>
    <n v="0"/>
    <x v="440"/>
    <x v="440"/>
  </r>
  <r>
    <x v="0"/>
    <s v="Uttar Pradesh"/>
    <s v="Noida"/>
    <x v="2"/>
    <x v="5"/>
    <s v="Smart Accessories 265"/>
    <s v="Same Day"/>
    <m/>
    <n v="0.15"/>
    <x v="441"/>
    <x v="441"/>
  </r>
  <r>
    <x v="3"/>
    <s v="Goa"/>
    <s v="Panaji"/>
    <x v="1"/>
    <x v="1"/>
    <s v="Elite Tables 418"/>
    <s v="Standard Class"/>
    <m/>
    <n v="0"/>
    <x v="442"/>
    <x v="442"/>
  </r>
  <r>
    <x v="0"/>
    <s v="Rajasthan"/>
    <s v="Jaipur"/>
    <x v="2"/>
    <x v="11"/>
    <s v="Pro Phones 907"/>
    <s v="Second Class"/>
    <m/>
    <n v="0.1"/>
    <x v="443"/>
    <x v="443"/>
  </r>
  <r>
    <x v="3"/>
    <s v="Goa"/>
    <s v="Panaji"/>
    <x v="0"/>
    <x v="0"/>
    <s v="Basic Paper 233"/>
    <s v="First Class"/>
    <m/>
    <n v="0"/>
    <x v="444"/>
    <x v="444"/>
  </r>
  <r>
    <x v="4"/>
    <s v="Rajasthan"/>
    <s v="Jaipur"/>
    <x v="2"/>
    <x v="6"/>
    <s v="Eco Copiers 603"/>
    <s v="Second Class"/>
    <m/>
    <n v="0.05"/>
    <x v="445"/>
    <x v="445"/>
  </r>
  <r>
    <x v="2"/>
    <s v="Andhra Pradesh"/>
    <s v="Vijayawada"/>
    <x v="0"/>
    <x v="0"/>
    <s v="Max Paper 700"/>
    <s v="Standard Class"/>
    <m/>
    <n v="0.15"/>
    <x v="446"/>
    <x v="446"/>
  </r>
  <r>
    <x v="0"/>
    <s v="Delhi"/>
    <s v="New Delhi"/>
    <x v="0"/>
    <x v="9"/>
    <s v="Pro Binders 404"/>
    <s v="First Class"/>
    <m/>
    <n v="0.2"/>
    <x v="447"/>
    <x v="447"/>
  </r>
  <r>
    <x v="3"/>
    <s v="Madhya Pradesh"/>
    <s v="Indore"/>
    <x v="2"/>
    <x v="11"/>
    <s v="Eco Phones 208"/>
    <s v="Standard Class"/>
    <m/>
    <n v="0.2"/>
    <x v="448"/>
    <x v="448"/>
  </r>
  <r>
    <x v="1"/>
    <s v="Bihar"/>
    <s v="Patna"/>
    <x v="0"/>
    <x v="0"/>
    <s v="Elite Paper 106"/>
    <s v="Same Day"/>
    <m/>
    <n v="0.05"/>
    <x v="449"/>
    <x v="449"/>
  </r>
  <r>
    <x v="3"/>
    <s v="Madhya Pradesh"/>
    <s v="Indore"/>
    <x v="0"/>
    <x v="7"/>
    <s v="Eco Labels 914"/>
    <s v="Standard Class"/>
    <m/>
    <n v="0"/>
    <x v="450"/>
    <x v="450"/>
  </r>
  <r>
    <x v="1"/>
    <s v="Bihar"/>
    <s v="Patna"/>
    <x v="2"/>
    <x v="5"/>
    <s v="Max Accessories 486"/>
    <s v="Same Day"/>
    <m/>
    <n v="0.2"/>
    <x v="451"/>
    <x v="451"/>
  </r>
  <r>
    <x v="1"/>
    <s v="Odisha"/>
    <s v="Bhubaneswar"/>
    <x v="2"/>
    <x v="6"/>
    <s v="Max Copiers 867"/>
    <s v="First Class"/>
    <m/>
    <n v="0.1"/>
    <x v="452"/>
    <x v="452"/>
  </r>
  <r>
    <x v="1"/>
    <s v="West Bengal"/>
    <s v="Kolkata"/>
    <x v="0"/>
    <x v="9"/>
    <s v="Pro Binders 555"/>
    <s v="Second Class"/>
    <m/>
    <n v="0"/>
    <x v="453"/>
    <x v="453"/>
  </r>
  <r>
    <x v="3"/>
    <s v="Goa"/>
    <s v="Panaji"/>
    <x v="2"/>
    <x v="6"/>
    <s v="Pro Copiers 971"/>
    <s v="First Class"/>
    <m/>
    <n v="0.1"/>
    <x v="454"/>
    <x v="454"/>
  </r>
  <r>
    <x v="0"/>
    <s v="Rajasthan"/>
    <s v="Jaipur"/>
    <x v="1"/>
    <x v="1"/>
    <s v="Pro Tables 833"/>
    <s v="Same Day"/>
    <m/>
    <n v="0.2"/>
    <x v="455"/>
    <x v="455"/>
  </r>
  <r>
    <x v="2"/>
    <s v="Telangana"/>
    <s v="Hyderabad"/>
    <x v="0"/>
    <x v="9"/>
    <s v="Prime Binders 497"/>
    <s v="Standard Class"/>
    <m/>
    <n v="0.25"/>
    <x v="456"/>
    <x v="456"/>
  </r>
  <r>
    <x v="1"/>
    <s v="Odisha"/>
    <s v="Bhubaneswar"/>
    <x v="0"/>
    <x v="8"/>
    <s v="Pro Storage 756"/>
    <s v="Standard Class"/>
    <m/>
    <n v="0"/>
    <x v="457"/>
    <x v="457"/>
  </r>
  <r>
    <x v="3"/>
    <s v="Goa"/>
    <s v="Panaji"/>
    <x v="2"/>
    <x v="6"/>
    <s v="Max Copiers 829"/>
    <s v="Standard Class"/>
    <m/>
    <n v="0.2"/>
    <x v="458"/>
    <x v="458"/>
  </r>
  <r>
    <x v="0"/>
    <s v="Punjab"/>
    <s v="Ludhiana"/>
    <x v="1"/>
    <x v="3"/>
    <s v="Prime Furnishings 827"/>
    <s v="Standard Class"/>
    <m/>
    <n v="0"/>
    <x v="459"/>
    <x v="459"/>
  </r>
  <r>
    <x v="1"/>
    <s v="West Bengal"/>
    <s v="Kolkata"/>
    <x v="1"/>
    <x v="4"/>
    <s v="Eco Chairs 365"/>
    <s v="Same Day"/>
    <m/>
    <n v="0.25"/>
    <x v="460"/>
    <x v="460"/>
  </r>
  <r>
    <x v="0"/>
    <s v="Rajasthan"/>
    <s v="Jaipur"/>
    <x v="0"/>
    <x v="8"/>
    <s v="Classic Storage 545"/>
    <s v="First Class"/>
    <m/>
    <n v="0.1"/>
    <x v="461"/>
    <x v="461"/>
  </r>
  <r>
    <x v="3"/>
    <s v="Gujarat"/>
    <s v="Ahmedabad"/>
    <x v="1"/>
    <x v="4"/>
    <s v="Pro Chairs 186"/>
    <s v="Standard Class"/>
    <m/>
    <n v="0.1"/>
    <x v="462"/>
    <x v="462"/>
  </r>
  <r>
    <x v="4"/>
    <s v="Uttar Pradesh"/>
    <s v="Noida"/>
    <x v="2"/>
    <x v="12"/>
    <s v="Classic Machines 561"/>
    <s v="Same Day"/>
    <m/>
    <n v="0.1"/>
    <x v="463"/>
    <x v="463"/>
  </r>
  <r>
    <x v="1"/>
    <s v="Odisha"/>
    <s v="Bhubaneswar"/>
    <x v="1"/>
    <x v="4"/>
    <s v="Max Chairs 594"/>
    <s v="Second Class"/>
    <m/>
    <n v="0"/>
    <x v="464"/>
    <x v="464"/>
  </r>
  <r>
    <x v="2"/>
    <s v="Tamil Nadu"/>
    <s v="Chennai"/>
    <x v="0"/>
    <x v="8"/>
    <s v="Eco Storage 923"/>
    <s v="missing value"/>
    <m/>
    <n v="0"/>
    <x v="465"/>
    <x v="465"/>
  </r>
  <r>
    <x v="0"/>
    <s v="Uttar Pradesh"/>
    <s v="Noida"/>
    <x v="2"/>
    <x v="12"/>
    <s v="Classic Machines 287"/>
    <s v="Same Day"/>
    <m/>
    <s v="invalid"/>
    <x v="2"/>
    <x v="2"/>
  </r>
  <r>
    <x v="2"/>
    <s v="Karnataka"/>
    <s v="Bengaluru"/>
    <x v="2"/>
    <x v="5"/>
    <s v="Basic Accessories 518"/>
    <s v="Second Class"/>
    <m/>
    <n v="0.25"/>
    <x v="466"/>
    <x v="466"/>
  </r>
  <r>
    <x v="1"/>
    <s v="Bihar"/>
    <s v="Patna"/>
    <x v="2"/>
    <x v="6"/>
    <s v="Pro Copiers 984"/>
    <s v="Standard Class"/>
    <m/>
    <n v="0.15"/>
    <x v="467"/>
    <x v="467"/>
  </r>
  <r>
    <x v="2"/>
    <s v="Andhra Pradesh"/>
    <s v="Vijayawada"/>
    <x v="1"/>
    <x v="3"/>
    <s v="Max Furnishings 297"/>
    <s v="First Class"/>
    <m/>
    <n v="0.25"/>
    <x v="468"/>
    <x v="468"/>
  </r>
  <r>
    <x v="3"/>
    <s v="Goa"/>
    <s v="Panaji"/>
    <x v="1"/>
    <x v="10"/>
    <s v="Elite Bookcases 802"/>
    <s v="Standard Class"/>
    <m/>
    <n v="0.25"/>
    <x v="469"/>
    <x v="469"/>
  </r>
  <r>
    <x v="3"/>
    <s v="Goa"/>
    <s v="Panaji"/>
    <x v="1"/>
    <x v="1"/>
    <s v="Pro Tables 257"/>
    <s v="Standard Class"/>
    <m/>
    <n v="0.2"/>
    <x v="470"/>
    <x v="470"/>
  </r>
  <r>
    <x v="2"/>
    <s v="Telangana"/>
    <s v="Hyderabad"/>
    <x v="1"/>
    <x v="3"/>
    <s v="Prime Furnishings 299"/>
    <s v="Standard Class"/>
    <m/>
    <n v="0"/>
    <x v="471"/>
    <x v="471"/>
  </r>
  <r>
    <x v="0"/>
    <s v="Rajasthan"/>
    <s v="Jaipur"/>
    <x v="1"/>
    <x v="1"/>
    <s v="Eco Tables 487"/>
    <s v="Same Day"/>
    <m/>
    <n v="0.2"/>
    <x v="472"/>
    <x v="472"/>
  </r>
  <r>
    <x v="1"/>
    <s v="West Bengal"/>
    <s v="Kolkata"/>
    <x v="2"/>
    <x v="5"/>
    <s v="Prime Accessories 960"/>
    <s v="Second Class"/>
    <m/>
    <n v="0.2"/>
    <x v="473"/>
    <x v="473"/>
  </r>
  <r>
    <x v="3"/>
    <s v="Rajasthan"/>
    <s v="Udaipur"/>
    <x v="0"/>
    <x v="9"/>
    <s v="Smart Binders 191"/>
    <s v="First Class"/>
    <m/>
    <n v="0.15"/>
    <x v="474"/>
    <x v="474"/>
  </r>
  <r>
    <x v="2"/>
    <s v="Kerala"/>
    <s v="Kochi"/>
    <x v="2"/>
    <x v="5"/>
    <s v="Prime Accessories 118"/>
    <s v="Standard Class"/>
    <m/>
    <n v="0.2"/>
    <x v="475"/>
    <x v="475"/>
  </r>
  <r>
    <x v="2"/>
    <s v="Andhra Pradesh"/>
    <s v="Vijayawada"/>
    <x v="0"/>
    <x v="8"/>
    <s v="Elite Storage 331"/>
    <s v="Second Class"/>
    <m/>
    <n v="0.25"/>
    <x v="476"/>
    <x v="476"/>
  </r>
  <r>
    <x v="1"/>
    <s v="Odisha"/>
    <s v="Bhubaneswar"/>
    <x v="0"/>
    <x v="0"/>
    <s v="Prime Paper 996"/>
    <s v="Second Class"/>
    <m/>
    <n v="0.05"/>
    <x v="477"/>
    <x v="477"/>
  </r>
  <r>
    <x v="3"/>
    <s v="Madhya Pradesh"/>
    <s v="Indore"/>
    <x v="2"/>
    <x v="11"/>
    <s v="Smart Phones 125"/>
    <s v="Standard Class"/>
    <m/>
    <s v="invalid"/>
    <x v="2"/>
    <x v="2"/>
  </r>
  <r>
    <x v="1"/>
    <s v="Assam"/>
    <s v="Guwahati"/>
    <x v="2"/>
    <x v="11"/>
    <s v="Eco Phones 220"/>
    <s v="Second Class"/>
    <m/>
    <n v="0.05"/>
    <x v="478"/>
    <x v="478"/>
  </r>
  <r>
    <x v="1"/>
    <s v="Jharkhand"/>
    <s v="Ranchi"/>
    <x v="1"/>
    <x v="4"/>
    <s v="Eco Chairs 795"/>
    <s v="Second Class"/>
    <m/>
    <n v="0.1"/>
    <x v="479"/>
    <x v="479"/>
  </r>
  <r>
    <x v="0"/>
    <s v="Uttar Pradesh"/>
    <s v="Noida"/>
    <x v="2"/>
    <x v="5"/>
    <s v="Smart Accessories 896"/>
    <s v="Second Class"/>
    <m/>
    <n v="0.2"/>
    <x v="480"/>
    <x v="480"/>
  </r>
  <r>
    <x v="0"/>
    <s v="Punjab"/>
    <s v="Ludhiana"/>
    <x v="1"/>
    <x v="4"/>
    <s v="Basic Chairs 255"/>
    <s v="Same Day"/>
    <m/>
    <n v="0.05"/>
    <x v="481"/>
    <x v="481"/>
  </r>
  <r>
    <x v="0"/>
    <s v="Uttar Pradesh"/>
    <s v="Noida"/>
    <x v="1"/>
    <x v="4"/>
    <s v="Eco Chairs 210"/>
    <s v="Standard Class"/>
    <m/>
    <n v="0"/>
    <x v="482"/>
    <x v="482"/>
  </r>
  <r>
    <x v="2"/>
    <s v="Kerala"/>
    <s v="Kochi"/>
    <x v="2"/>
    <x v="11"/>
    <s v="Prime Phones 533"/>
    <s v="Same Day"/>
    <m/>
    <s v="invalid"/>
    <x v="2"/>
    <x v="2"/>
  </r>
  <r>
    <x v="1"/>
    <s v="Jharkhand"/>
    <s v="Ranchi"/>
    <x v="0"/>
    <x v="2"/>
    <s v="Elite Art 325"/>
    <s v="Second Class"/>
    <m/>
    <n v="0.15"/>
    <x v="483"/>
    <x v="483"/>
  </r>
  <r>
    <x v="1"/>
    <s v="Odisha"/>
    <s v="Bhubaneswar"/>
    <x v="2"/>
    <x v="6"/>
    <s v="Prime Copiers 557"/>
    <s v="Second Class"/>
    <m/>
    <n v="0.1"/>
    <x v="484"/>
    <x v="484"/>
  </r>
  <r>
    <x v="2"/>
    <s v="Tamil Nadu"/>
    <s v="Chennai"/>
    <x v="2"/>
    <x v="11"/>
    <s v="Smart Phones 674"/>
    <s v="Standard Class"/>
    <m/>
    <n v="0.1"/>
    <x v="485"/>
    <x v="485"/>
  </r>
  <r>
    <x v="3"/>
    <s v="Gujarat"/>
    <s v="Ahmedabad"/>
    <x v="0"/>
    <x v="2"/>
    <s v="Elite Art 553"/>
    <s v="Standard Class"/>
    <m/>
    <n v="0"/>
    <x v="486"/>
    <x v="486"/>
  </r>
  <r>
    <x v="3"/>
    <s v="Madhya Pradesh"/>
    <s v="Indore"/>
    <x v="0"/>
    <x v="2"/>
    <s v="Classic Art 339"/>
    <s v="First Class"/>
    <m/>
    <n v="0.2"/>
    <x v="487"/>
    <x v="487"/>
  </r>
  <r>
    <x v="0"/>
    <s v="Punjab"/>
    <s v="Ludhiana"/>
    <x v="1"/>
    <x v="3"/>
    <s v="Smart Furnishings 352"/>
    <s v="First Class"/>
    <m/>
    <n v="0.1"/>
    <x v="488"/>
    <x v="488"/>
  </r>
  <r>
    <x v="0"/>
    <s v="Haryana"/>
    <s v="Gurugram"/>
    <x v="0"/>
    <x v="9"/>
    <s v="Classic Binders 602"/>
    <s v="Same Day"/>
    <m/>
    <n v="0.25"/>
    <x v="489"/>
    <x v="489"/>
  </r>
  <r>
    <x v="0"/>
    <s v="Haryana"/>
    <s v="Gurugram"/>
    <x v="2"/>
    <x v="12"/>
    <s v="Smart Machines 853"/>
    <s v="Second Class"/>
    <m/>
    <n v="0"/>
    <x v="490"/>
    <x v="490"/>
  </r>
  <r>
    <x v="3"/>
    <s v="Gujarat"/>
    <s v="Ahmedabad"/>
    <x v="2"/>
    <x v="12"/>
    <s v="Classic Machines 599"/>
    <s v="Same Day"/>
    <m/>
    <n v="0.2"/>
    <x v="491"/>
    <x v="491"/>
  </r>
  <r>
    <x v="2"/>
    <s v="Karnataka"/>
    <s v="Bengaluru"/>
    <x v="0"/>
    <x v="8"/>
    <s v="Pro Storage 373"/>
    <s v="Second Class"/>
    <m/>
    <n v="0"/>
    <x v="492"/>
    <x v="492"/>
  </r>
  <r>
    <x v="3"/>
    <s v="Madhya Pradesh"/>
    <s v="Indore"/>
    <x v="1"/>
    <x v="10"/>
    <s v="Smart Bookcases 920"/>
    <s v="Standard Class"/>
    <m/>
    <n v="0.25"/>
    <x v="493"/>
    <x v="493"/>
  </r>
  <r>
    <x v="2"/>
    <s v="Kerala"/>
    <s v="Kochi"/>
    <x v="0"/>
    <x v="7"/>
    <s v="Pro Labels 849"/>
    <s v="Second Class"/>
    <m/>
    <n v="0.25"/>
    <x v="494"/>
    <x v="494"/>
  </r>
  <r>
    <x v="2"/>
    <s v="Kerala"/>
    <s v="Kochi"/>
    <x v="2"/>
    <x v="5"/>
    <s v="Prime Accessories 849"/>
    <s v="First Class"/>
    <m/>
    <n v="0.1"/>
    <x v="495"/>
    <x v="495"/>
  </r>
  <r>
    <x v="2"/>
    <s v="Kerala"/>
    <s v="Kochi"/>
    <x v="2"/>
    <x v="5"/>
    <s v="Smart Accessories 388"/>
    <s v="Standard Class"/>
    <m/>
    <n v="0.1"/>
    <x v="496"/>
    <x v="496"/>
  </r>
  <r>
    <x v="0"/>
    <s v="Delhi"/>
    <s v="New Delhi"/>
    <x v="0"/>
    <x v="0"/>
    <s v="Classic Paper 752"/>
    <s v="Standard Class"/>
    <m/>
    <s v="invalid"/>
    <x v="2"/>
    <x v="2"/>
  </r>
  <r>
    <x v="0"/>
    <s v="Delhi"/>
    <s v="New Delhi"/>
    <x v="2"/>
    <x v="6"/>
    <s v="Classic Copiers 143"/>
    <s v="Standard Class"/>
    <m/>
    <n v="0"/>
    <x v="497"/>
    <x v="497"/>
  </r>
  <r>
    <x v="1"/>
    <s v="Odisha"/>
    <s v="Bhubaneswar"/>
    <x v="1"/>
    <x v="3"/>
    <s v="Basic Furnishings 386"/>
    <s v="Second Class"/>
    <m/>
    <n v="0.2"/>
    <x v="498"/>
    <x v="498"/>
  </r>
  <r>
    <x v="1"/>
    <s v="Odisha"/>
    <s v="Bhubaneswar"/>
    <x v="1"/>
    <x v="1"/>
    <s v="Classic Tables 592"/>
    <s v="First Class"/>
    <m/>
    <n v="0.25"/>
    <x v="499"/>
    <x v="499"/>
  </r>
  <r>
    <x v="0"/>
    <s v="Uttar Pradesh"/>
    <s v="Noida"/>
    <x v="1"/>
    <x v="1"/>
    <s v="Pro Tables 412"/>
    <s v="Standard Class"/>
    <m/>
    <n v="0.2"/>
    <x v="500"/>
    <x v="500"/>
  </r>
  <r>
    <x v="2"/>
    <s v="Karnataka"/>
    <s v="Bengaluru"/>
    <x v="2"/>
    <x v="12"/>
    <s v="Prime Machines 393"/>
    <s v="Same Day"/>
    <m/>
    <n v="0.05"/>
    <x v="501"/>
    <x v="501"/>
  </r>
  <r>
    <x v="0"/>
    <s v="Punjab"/>
    <s v="Ludhiana"/>
    <x v="0"/>
    <x v="7"/>
    <s v="Classic Labels 776"/>
    <s v="Second Class"/>
    <m/>
    <n v="0.05"/>
    <x v="502"/>
    <x v="502"/>
  </r>
  <r>
    <x v="1"/>
    <s v="Jharkhand"/>
    <s v="Ranchi"/>
    <x v="2"/>
    <x v="11"/>
    <s v="Max Phones 612"/>
    <s v="First Class"/>
    <m/>
    <n v="0"/>
    <x v="503"/>
    <x v="503"/>
  </r>
  <r>
    <x v="3"/>
    <s v="Goa"/>
    <s v="Panaji"/>
    <x v="0"/>
    <x v="0"/>
    <s v="Basic Paper 315"/>
    <s v="Second Class"/>
    <m/>
    <n v="0"/>
    <x v="504"/>
    <x v="504"/>
  </r>
  <r>
    <x v="3"/>
    <s v="Gujarat"/>
    <s v="Ahmedabad"/>
    <x v="1"/>
    <x v="4"/>
    <s v="Basic Chairs 333"/>
    <s v="First Class"/>
    <m/>
    <n v="0.1"/>
    <x v="505"/>
    <x v="505"/>
  </r>
  <r>
    <x v="1"/>
    <s v="West Bengal"/>
    <s v="Kolkata"/>
    <x v="1"/>
    <x v="4"/>
    <s v="Prime Chairs 215"/>
    <s v="Standard Class"/>
    <m/>
    <n v="0.1"/>
    <x v="506"/>
    <x v="506"/>
  </r>
  <r>
    <x v="1"/>
    <s v="Odisha"/>
    <s v="Bhubaneswar"/>
    <x v="1"/>
    <x v="1"/>
    <s v="Elite Tables 815"/>
    <s v="Second Class"/>
    <m/>
    <n v="0"/>
    <x v="507"/>
    <x v="507"/>
  </r>
  <r>
    <x v="0"/>
    <s v="Haryana"/>
    <s v="Gurugram"/>
    <x v="0"/>
    <x v="0"/>
    <s v="Basic Paper 388"/>
    <s v="First Class"/>
    <m/>
    <n v="0.15"/>
    <x v="508"/>
    <x v="508"/>
  </r>
  <r>
    <x v="2"/>
    <s v="Tamil Nadu"/>
    <s v="Chennai"/>
    <x v="0"/>
    <x v="9"/>
    <s v="Eco Binders 855"/>
    <s v="Standard Class"/>
    <m/>
    <n v="0.05"/>
    <x v="509"/>
    <x v="509"/>
  </r>
  <r>
    <x v="1"/>
    <s v="Jharkhand"/>
    <s v="Ranchi"/>
    <x v="1"/>
    <x v="10"/>
    <s v="Classic Bookcases 947"/>
    <s v="Second Class"/>
    <m/>
    <n v="0"/>
    <x v="510"/>
    <x v="510"/>
  </r>
  <r>
    <x v="2"/>
    <s v="Tamil Nadu"/>
    <s v="Chennai"/>
    <x v="0"/>
    <x v="9"/>
    <s v="Eco Binders 352"/>
    <s v="Standard Class"/>
    <m/>
    <n v="0.05"/>
    <x v="511"/>
    <x v="511"/>
  </r>
  <r>
    <x v="3"/>
    <s v="Maharashtra"/>
    <s v="Mumbai"/>
    <x v="0"/>
    <x v="8"/>
    <s v="Pro Storage 364"/>
    <s v="missing value"/>
    <m/>
    <n v="0.1"/>
    <x v="512"/>
    <x v="512"/>
  </r>
  <r>
    <x v="1"/>
    <s v="Assam"/>
    <s v="Guwahati"/>
    <x v="1"/>
    <x v="1"/>
    <s v="Classic Tables 213"/>
    <s v="Second Class"/>
    <m/>
    <n v="0.05"/>
    <x v="513"/>
    <x v="513"/>
  </r>
  <r>
    <x v="0"/>
    <s v="Rajasthan"/>
    <s v="Jaipur"/>
    <x v="1"/>
    <x v="1"/>
    <s v="Smart Tables 659"/>
    <s v="Same Day"/>
    <m/>
    <n v="0.25"/>
    <x v="514"/>
    <x v="514"/>
  </r>
  <r>
    <x v="1"/>
    <s v="Bihar"/>
    <s v="Patna"/>
    <x v="2"/>
    <x v="5"/>
    <s v="Classic Accessories 325"/>
    <s v="Second Class"/>
    <m/>
    <n v="0.1"/>
    <x v="515"/>
    <x v="515"/>
  </r>
  <r>
    <x v="3"/>
    <s v="Maharashtra"/>
    <s v="Mumbai"/>
    <x v="2"/>
    <x v="6"/>
    <s v="Eco Copiers 243"/>
    <s v="First Class"/>
    <m/>
    <n v="0.2"/>
    <x v="516"/>
    <x v="516"/>
  </r>
  <r>
    <x v="3"/>
    <s v="Rajasthan"/>
    <s v="Udaipur"/>
    <x v="1"/>
    <x v="4"/>
    <s v="Elite Chairs 777"/>
    <s v="First Class"/>
    <m/>
    <n v="0.25"/>
    <x v="517"/>
    <x v="517"/>
  </r>
  <r>
    <x v="0"/>
    <s v="Haryana"/>
    <s v="Gurugram"/>
    <x v="0"/>
    <x v="2"/>
    <s v="Classic Art 772"/>
    <s v="Same Day"/>
    <m/>
    <n v="0.05"/>
    <x v="518"/>
    <x v="518"/>
  </r>
  <r>
    <x v="1"/>
    <s v="Jharkhand"/>
    <s v="Ranchi"/>
    <x v="1"/>
    <x v="1"/>
    <s v="Elite Tables 888"/>
    <s v="Second Class"/>
    <m/>
    <n v="0.15"/>
    <x v="519"/>
    <x v="519"/>
  </r>
  <r>
    <x v="2"/>
    <s v="Tamil Nadu"/>
    <s v="Chennai"/>
    <x v="1"/>
    <x v="4"/>
    <s v="Classic Chairs 666"/>
    <s v="Standard Class"/>
    <m/>
    <n v="0.1"/>
    <x v="520"/>
    <x v="520"/>
  </r>
  <r>
    <x v="3"/>
    <s v="Gujarat"/>
    <s v="Ahmedabad"/>
    <x v="1"/>
    <x v="3"/>
    <s v="Basic Furnishings 350"/>
    <s v="Standard Class"/>
    <m/>
    <n v="0.2"/>
    <x v="521"/>
    <x v="521"/>
  </r>
  <r>
    <x v="3"/>
    <s v="Maharashtra"/>
    <s v="Mumbai"/>
    <x v="2"/>
    <x v="6"/>
    <s v="Elite Copiers 831"/>
    <s v="Same Day"/>
    <m/>
    <n v="0"/>
    <x v="522"/>
    <x v="522"/>
  </r>
  <r>
    <x v="2"/>
    <s v="Kerala"/>
    <s v="Kochi"/>
    <x v="1"/>
    <x v="10"/>
    <s v="Eco Bookcases 759"/>
    <s v="Second Class"/>
    <m/>
    <n v="0.2"/>
    <x v="523"/>
    <x v="523"/>
  </r>
  <r>
    <x v="1"/>
    <s v="Bihar"/>
    <s v="Patna"/>
    <x v="2"/>
    <x v="6"/>
    <s v="Max Copiers 440"/>
    <s v="Same Day"/>
    <m/>
    <n v="0.15"/>
    <x v="524"/>
    <x v="524"/>
  </r>
  <r>
    <x v="2"/>
    <s v="Kerala"/>
    <s v="Kochi"/>
    <x v="0"/>
    <x v="2"/>
    <s v="Smart Art 201"/>
    <s v="Same Day"/>
    <m/>
    <n v="0.25"/>
    <x v="525"/>
    <x v="525"/>
  </r>
  <r>
    <x v="1"/>
    <s v="Jharkhand"/>
    <s v="Ranchi"/>
    <x v="0"/>
    <x v="8"/>
    <s v="Classic Storage 755"/>
    <s v="Same Day"/>
    <m/>
    <n v="0.15"/>
    <x v="526"/>
    <x v="526"/>
  </r>
  <r>
    <x v="3"/>
    <s v="Gujarat"/>
    <s v="Ahmedabad"/>
    <x v="0"/>
    <x v="0"/>
    <s v="Prime Paper 143"/>
    <s v="First Class"/>
    <m/>
    <n v="0.15"/>
    <x v="527"/>
    <x v="527"/>
  </r>
  <r>
    <x v="0"/>
    <s v="Uttar Pradesh"/>
    <s v="Noida"/>
    <x v="2"/>
    <x v="6"/>
    <s v="Max Copiers 607"/>
    <s v="Standard Class"/>
    <m/>
    <n v="0.1"/>
    <x v="528"/>
    <x v="528"/>
  </r>
  <r>
    <x v="1"/>
    <s v="Bihar"/>
    <s v="Patna"/>
    <x v="1"/>
    <x v="10"/>
    <s v="Prime Bookcases 402"/>
    <s v="Same Day"/>
    <m/>
    <n v="0"/>
    <x v="529"/>
    <x v="529"/>
  </r>
  <r>
    <x v="2"/>
    <s v="Telangana"/>
    <s v="Hyderabad"/>
    <x v="0"/>
    <x v="2"/>
    <s v="Pro Art 287"/>
    <s v="Second Class"/>
    <m/>
    <n v="0.1"/>
    <x v="530"/>
    <x v="530"/>
  </r>
  <r>
    <x v="1"/>
    <s v="Odisha"/>
    <s v="Bhubaneswar"/>
    <x v="2"/>
    <x v="5"/>
    <s v="Max Accessories 591"/>
    <s v="Standard Class"/>
    <m/>
    <n v="0.2"/>
    <x v="531"/>
    <x v="531"/>
  </r>
  <r>
    <x v="1"/>
    <s v="Jharkhand"/>
    <s v="Ranchi"/>
    <x v="1"/>
    <x v="4"/>
    <s v="Elite Chairs 314"/>
    <s v="Second Class"/>
    <m/>
    <n v="0.15"/>
    <x v="532"/>
    <x v="532"/>
  </r>
  <r>
    <x v="1"/>
    <s v="West Bengal"/>
    <s v="Kolkata"/>
    <x v="2"/>
    <x v="6"/>
    <s v="Pro Copiers 246"/>
    <s v="Standard Class"/>
    <m/>
    <s v="invalid"/>
    <x v="2"/>
    <x v="2"/>
  </r>
  <r>
    <x v="3"/>
    <s v="Gujarat"/>
    <s v="Ahmedabad"/>
    <x v="0"/>
    <x v="8"/>
    <s v="Pro Storage 128"/>
    <s v="First Class"/>
    <m/>
    <n v="0.25"/>
    <x v="533"/>
    <x v="533"/>
  </r>
  <r>
    <x v="4"/>
    <s v="Jharkhand"/>
    <s v="Ranchi"/>
    <x v="1"/>
    <x v="3"/>
    <s v="Prime Furnishings 892"/>
    <s v="Standard Class"/>
    <m/>
    <n v="0.05"/>
    <x v="534"/>
    <x v="534"/>
  </r>
  <r>
    <x v="2"/>
    <s v="Telangana"/>
    <s v="Hyderabad"/>
    <x v="0"/>
    <x v="8"/>
    <s v="Prime Storage 689"/>
    <s v="Standard Class"/>
    <m/>
    <n v="0.05"/>
    <x v="535"/>
    <x v="535"/>
  </r>
  <r>
    <x v="0"/>
    <s v="Haryana"/>
    <s v="Gurugram"/>
    <x v="1"/>
    <x v="1"/>
    <s v="Classic Tables 769"/>
    <s v="First Class"/>
    <m/>
    <n v="0"/>
    <x v="536"/>
    <x v="536"/>
  </r>
  <r>
    <x v="0"/>
    <s v="Haryana"/>
    <s v="Gurugram"/>
    <x v="2"/>
    <x v="11"/>
    <s v="Prime Phones 503"/>
    <s v="First Class"/>
    <m/>
    <n v="0.05"/>
    <x v="537"/>
    <x v="537"/>
  </r>
  <r>
    <x v="0"/>
    <s v="Punjab"/>
    <s v="Ludhiana"/>
    <x v="2"/>
    <x v="12"/>
    <s v="Basic Machines 136"/>
    <s v="First Class"/>
    <m/>
    <n v="0.2"/>
    <x v="538"/>
    <x v="538"/>
  </r>
  <r>
    <x v="1"/>
    <s v="Bihar"/>
    <s v="Patna"/>
    <x v="2"/>
    <x v="6"/>
    <s v="Basic Copiers 512"/>
    <s v="Second Class"/>
    <m/>
    <n v="0.1"/>
    <x v="539"/>
    <x v="539"/>
  </r>
  <r>
    <x v="3"/>
    <s v="Goa"/>
    <s v="Panaji"/>
    <x v="0"/>
    <x v="8"/>
    <s v="Smart Storage 767"/>
    <s v="Standard Class"/>
    <m/>
    <n v="0"/>
    <x v="540"/>
    <x v="540"/>
  </r>
  <r>
    <x v="0"/>
    <s v="Punjab"/>
    <s v="Ludhiana"/>
    <x v="2"/>
    <x v="6"/>
    <s v="Eco Copiers 954"/>
    <s v="First Class"/>
    <m/>
    <n v="0"/>
    <x v="541"/>
    <x v="541"/>
  </r>
  <r>
    <x v="0"/>
    <s v="Punjab"/>
    <s v="Ludhiana"/>
    <x v="0"/>
    <x v="9"/>
    <s v="Elite Binders 143"/>
    <s v="Same Day"/>
    <m/>
    <n v="0.2"/>
    <x v="542"/>
    <x v="542"/>
  </r>
  <r>
    <x v="3"/>
    <s v="Goa"/>
    <s v="Panaji"/>
    <x v="1"/>
    <x v="1"/>
    <s v="Classic Tables 560"/>
    <s v="Standard Class"/>
    <m/>
    <n v="0.2"/>
    <x v="543"/>
    <x v="543"/>
  </r>
  <r>
    <x v="2"/>
    <s v="Andhra Pradesh"/>
    <s v="Vijayawada"/>
    <x v="1"/>
    <x v="1"/>
    <s v="Basic Tables 759"/>
    <s v="First Class"/>
    <m/>
    <n v="0.2"/>
    <x v="544"/>
    <x v="544"/>
  </r>
  <r>
    <x v="0"/>
    <s v="Delhi"/>
    <s v="New Delhi"/>
    <x v="2"/>
    <x v="11"/>
    <s v="Prime Phones 564"/>
    <s v="Standard Class"/>
    <m/>
    <n v="0.2"/>
    <x v="545"/>
    <x v="545"/>
  </r>
  <r>
    <x v="3"/>
    <s v="Maharashtra"/>
    <s v="Mumbai"/>
    <x v="0"/>
    <x v="0"/>
    <s v="Smart Paper 807"/>
    <s v="Same Day"/>
    <m/>
    <n v="0.1"/>
    <x v="546"/>
    <x v="546"/>
  </r>
  <r>
    <x v="0"/>
    <s v="Uttar Pradesh"/>
    <s v="Noida"/>
    <x v="1"/>
    <x v="3"/>
    <s v="Pro Furnishings 108"/>
    <s v="Same Day"/>
    <m/>
    <n v="0.05"/>
    <x v="547"/>
    <x v="547"/>
  </r>
  <r>
    <x v="0"/>
    <s v="Punjab"/>
    <s v="Ludhiana"/>
    <x v="2"/>
    <x v="12"/>
    <s v="Classic Machines 522"/>
    <s v="Same Day"/>
    <m/>
    <n v="0.25"/>
    <x v="548"/>
    <x v="548"/>
  </r>
  <r>
    <x v="3"/>
    <s v="Maharashtra"/>
    <s v="Mumbai"/>
    <x v="1"/>
    <x v="3"/>
    <s v="Elite Furnishings 822"/>
    <s v="Standard Class"/>
    <m/>
    <n v="0.25"/>
    <x v="549"/>
    <x v="549"/>
  </r>
  <r>
    <x v="1"/>
    <s v="Jharkhand"/>
    <s v="Ranchi"/>
    <x v="1"/>
    <x v="3"/>
    <s v="Max Furnishings 647"/>
    <s v="Second Class"/>
    <m/>
    <n v="0.25"/>
    <x v="550"/>
    <x v="550"/>
  </r>
  <r>
    <x v="0"/>
    <s v="Uttar Pradesh"/>
    <s v="Noida"/>
    <x v="2"/>
    <x v="11"/>
    <s v="Prime Phones 895"/>
    <s v="missing value"/>
    <m/>
    <n v="0"/>
    <x v="551"/>
    <x v="551"/>
  </r>
  <r>
    <x v="0"/>
    <s v="Delhi"/>
    <s v="New Delhi"/>
    <x v="2"/>
    <x v="11"/>
    <s v="Eco Phones 368"/>
    <s v="Standard Class"/>
    <m/>
    <n v="0.2"/>
    <x v="552"/>
    <x v="552"/>
  </r>
  <r>
    <x v="2"/>
    <s v="Andhra Pradesh"/>
    <s v="Vijayawada"/>
    <x v="2"/>
    <x v="11"/>
    <s v="Pro Phones 644"/>
    <s v="Standard Class"/>
    <m/>
    <n v="0"/>
    <x v="553"/>
    <x v="553"/>
  </r>
  <r>
    <x v="0"/>
    <s v="Punjab"/>
    <s v="Ludhiana"/>
    <x v="2"/>
    <x v="12"/>
    <s v="Smart Machines 566"/>
    <s v="Standard Class"/>
    <m/>
    <n v="0"/>
    <x v="554"/>
    <x v="554"/>
  </r>
  <r>
    <x v="2"/>
    <s v="Kerala"/>
    <s v="Kochi"/>
    <x v="1"/>
    <x v="3"/>
    <s v="Elite Furnishings 173"/>
    <s v="Same Day"/>
    <m/>
    <n v="0.2"/>
    <x v="555"/>
    <x v="555"/>
  </r>
  <r>
    <x v="4"/>
    <s v="Bihar"/>
    <s v="Patna"/>
    <x v="0"/>
    <x v="9"/>
    <s v="Smart Binders 417"/>
    <s v="Standard Class"/>
    <m/>
    <n v="0"/>
    <x v="556"/>
    <x v="556"/>
  </r>
  <r>
    <x v="3"/>
    <s v="Madhya Pradesh"/>
    <s v="Indore"/>
    <x v="1"/>
    <x v="3"/>
    <s v="Smart Furnishings 714"/>
    <s v="Standard Class"/>
    <m/>
    <n v="0"/>
    <x v="557"/>
    <x v="557"/>
  </r>
  <r>
    <x v="3"/>
    <s v="Gujarat"/>
    <s v="Ahmedabad"/>
    <x v="2"/>
    <x v="6"/>
    <s v="Elite Copiers 682"/>
    <s v="First Class"/>
    <m/>
    <n v="0.05"/>
    <x v="558"/>
    <x v="558"/>
  </r>
  <r>
    <x v="2"/>
    <s v="Tamil Nadu"/>
    <s v="Chennai"/>
    <x v="0"/>
    <x v="8"/>
    <s v="Pro Storage 482"/>
    <s v="Same Day"/>
    <m/>
    <n v="0"/>
    <x v="559"/>
    <x v="559"/>
  </r>
  <r>
    <x v="2"/>
    <s v="Kerala"/>
    <s v="Kochi"/>
    <x v="1"/>
    <x v="4"/>
    <s v="Pro Chairs 888"/>
    <s v="Standard Class"/>
    <m/>
    <n v="0.15"/>
    <x v="560"/>
    <x v="560"/>
  </r>
  <r>
    <x v="0"/>
    <s v="Delhi"/>
    <s v="New Delhi"/>
    <x v="0"/>
    <x v="2"/>
    <s v="Classic Art 611"/>
    <s v="Second Class"/>
    <m/>
    <n v="0"/>
    <x v="561"/>
    <x v="561"/>
  </r>
  <r>
    <x v="1"/>
    <s v="Odisha"/>
    <s v="Bhubaneswar"/>
    <x v="0"/>
    <x v="2"/>
    <s v="Basic Art 174"/>
    <s v="First Class"/>
    <m/>
    <n v="0"/>
    <x v="562"/>
    <x v="562"/>
  </r>
  <r>
    <x v="1"/>
    <s v="West Bengal"/>
    <s v="Kolkata"/>
    <x v="0"/>
    <x v="8"/>
    <s v="Classic Storage 451"/>
    <s v="First Class"/>
    <m/>
    <n v="0.2"/>
    <x v="563"/>
    <x v="563"/>
  </r>
  <r>
    <x v="1"/>
    <s v="Bihar"/>
    <s v="Patna"/>
    <x v="0"/>
    <x v="2"/>
    <s v="Pro Art 172"/>
    <s v="Same Day"/>
    <m/>
    <n v="0.15"/>
    <x v="564"/>
    <x v="564"/>
  </r>
  <r>
    <x v="3"/>
    <s v="Maharashtra"/>
    <s v="Mumbai"/>
    <x v="2"/>
    <x v="11"/>
    <s v="Prime Phones 744"/>
    <s v="First Class"/>
    <m/>
    <n v="0"/>
    <x v="565"/>
    <x v="565"/>
  </r>
  <r>
    <x v="0"/>
    <s v="Punjab"/>
    <s v="Ludhiana"/>
    <x v="0"/>
    <x v="9"/>
    <s v="Prime Binders 249"/>
    <s v="Second Class"/>
    <m/>
    <n v="0.2"/>
    <x v="566"/>
    <x v="566"/>
  </r>
  <r>
    <x v="3"/>
    <s v="Madhya Pradesh"/>
    <s v="Indore"/>
    <x v="2"/>
    <x v="5"/>
    <s v="Eco Accessories 948"/>
    <s v="First Class"/>
    <m/>
    <n v="0.15"/>
    <x v="567"/>
    <x v="567"/>
  </r>
  <r>
    <x v="2"/>
    <s v="Karnataka"/>
    <s v="Bengaluru"/>
    <x v="2"/>
    <x v="5"/>
    <s v="Classic Accessories 458"/>
    <s v="Second Class"/>
    <m/>
    <n v="0.1"/>
    <x v="568"/>
    <x v="568"/>
  </r>
  <r>
    <x v="0"/>
    <s v="Uttar Pradesh"/>
    <s v="Noida"/>
    <x v="2"/>
    <x v="11"/>
    <s v="Max Phones 318"/>
    <s v="First Class"/>
    <m/>
    <n v="0"/>
    <x v="569"/>
    <x v="569"/>
  </r>
  <r>
    <x v="0"/>
    <s v="Delhi"/>
    <s v="New Delhi"/>
    <x v="1"/>
    <x v="4"/>
    <s v="Elite Chairs 372"/>
    <s v="Same Day"/>
    <m/>
    <n v="0"/>
    <x v="570"/>
    <x v="570"/>
  </r>
  <r>
    <x v="2"/>
    <s v="Karnataka"/>
    <s v="Bengaluru"/>
    <x v="2"/>
    <x v="6"/>
    <s v="Eco Copiers 324"/>
    <s v="First Class"/>
    <m/>
    <n v="0"/>
    <x v="571"/>
    <x v="571"/>
  </r>
  <r>
    <x v="1"/>
    <s v="West Bengal"/>
    <s v="Kolkata"/>
    <x v="2"/>
    <x v="5"/>
    <s v="Classic Accessories 131"/>
    <s v="Same Day"/>
    <m/>
    <n v="0.15"/>
    <x v="572"/>
    <x v="572"/>
  </r>
  <r>
    <x v="0"/>
    <s v="Uttar Pradesh"/>
    <s v="Noida"/>
    <x v="1"/>
    <x v="1"/>
    <s v="Eco Tables 550"/>
    <s v="Second Class"/>
    <m/>
    <n v="0.25"/>
    <x v="573"/>
    <x v="573"/>
  </r>
  <r>
    <x v="1"/>
    <s v="West Bengal"/>
    <s v="Kolkata"/>
    <x v="1"/>
    <x v="4"/>
    <s v="Basic Chairs 932"/>
    <s v="First Class"/>
    <m/>
    <n v="0"/>
    <x v="574"/>
    <x v="574"/>
  </r>
  <r>
    <x v="0"/>
    <s v="Uttar Pradesh"/>
    <s v="Noida"/>
    <x v="2"/>
    <x v="11"/>
    <s v="Classic Phones 294"/>
    <s v="First Class"/>
    <m/>
    <n v="0.1"/>
    <x v="575"/>
    <x v="575"/>
  </r>
  <r>
    <x v="2"/>
    <s v="Kerala"/>
    <s v="Kochi"/>
    <x v="1"/>
    <x v="4"/>
    <s v="Elite Chairs 700"/>
    <s v="Second Class"/>
    <m/>
    <n v="0.25"/>
    <x v="576"/>
    <x v="576"/>
  </r>
  <r>
    <x v="2"/>
    <s v="Telangana"/>
    <s v="Hyderabad"/>
    <x v="2"/>
    <x v="6"/>
    <s v="Prime Copiers 969"/>
    <s v="Same Day"/>
    <m/>
    <n v="0.25"/>
    <x v="577"/>
    <x v="577"/>
  </r>
  <r>
    <x v="1"/>
    <s v="West Bengal"/>
    <s v="Kolkata"/>
    <x v="2"/>
    <x v="6"/>
    <s v="Eco Copiers 268"/>
    <s v="Same Day"/>
    <m/>
    <n v="0.25"/>
    <x v="578"/>
    <x v="578"/>
  </r>
  <r>
    <x v="0"/>
    <s v="Punjab"/>
    <s v="Ludhiana"/>
    <x v="2"/>
    <x v="11"/>
    <s v="Pro Phones 588"/>
    <s v="First Class"/>
    <m/>
    <n v="0.25"/>
    <x v="579"/>
    <x v="579"/>
  </r>
  <r>
    <x v="3"/>
    <s v="Madhya Pradesh"/>
    <s v="Indore"/>
    <x v="0"/>
    <x v="8"/>
    <s v="Prime Storage 432"/>
    <s v="Same Day"/>
    <m/>
    <n v="0"/>
    <x v="580"/>
    <x v="580"/>
  </r>
  <r>
    <x v="1"/>
    <s v="West Bengal"/>
    <s v="Kolkata"/>
    <x v="0"/>
    <x v="0"/>
    <s v="Basic Paper 452"/>
    <s v="Second Class"/>
    <m/>
    <n v="0.2"/>
    <x v="581"/>
    <x v="581"/>
  </r>
  <r>
    <x v="1"/>
    <s v="Jharkhand"/>
    <s v="Ranchi"/>
    <x v="2"/>
    <x v="6"/>
    <s v="Max Copiers 477"/>
    <s v="Second Class"/>
    <m/>
    <n v="0.15"/>
    <x v="582"/>
    <x v="582"/>
  </r>
  <r>
    <x v="1"/>
    <s v="Bihar"/>
    <s v="Patna"/>
    <x v="2"/>
    <x v="5"/>
    <s v="Prime Accessories 300"/>
    <s v="First Class"/>
    <m/>
    <n v="0.05"/>
    <x v="583"/>
    <x v="583"/>
  </r>
  <r>
    <x v="3"/>
    <s v="Madhya Pradesh"/>
    <s v="Indore"/>
    <x v="0"/>
    <x v="9"/>
    <s v="Max Binders 547"/>
    <s v="Same Day"/>
    <m/>
    <n v="0"/>
    <x v="584"/>
    <x v="584"/>
  </r>
  <r>
    <x v="3"/>
    <s v="Goa"/>
    <s v="Panaji"/>
    <x v="1"/>
    <x v="3"/>
    <s v="Pro Furnishings 267"/>
    <s v="Second Class"/>
    <m/>
    <s v="invalid"/>
    <x v="2"/>
    <x v="2"/>
  </r>
  <r>
    <x v="3"/>
    <s v="Madhya Pradesh"/>
    <s v="Indore"/>
    <x v="2"/>
    <x v="6"/>
    <s v="Max Copiers 520"/>
    <s v="Same Day"/>
    <m/>
    <n v="0.25"/>
    <x v="585"/>
    <x v="585"/>
  </r>
  <r>
    <x v="1"/>
    <s v="Bihar"/>
    <s v="Patna"/>
    <x v="0"/>
    <x v="8"/>
    <s v="Max Storage 424"/>
    <s v="Same Day"/>
    <m/>
    <n v="0.15"/>
    <x v="586"/>
    <x v="586"/>
  </r>
  <r>
    <x v="3"/>
    <s v="Goa"/>
    <s v="Panaji"/>
    <x v="1"/>
    <x v="3"/>
    <s v="Elite Furnishings 706"/>
    <s v="Second Class"/>
    <m/>
    <n v="0"/>
    <x v="587"/>
    <x v="587"/>
  </r>
  <r>
    <x v="2"/>
    <s v="Karnataka"/>
    <s v="Bengaluru"/>
    <x v="1"/>
    <x v="4"/>
    <s v="Pro Chairs 908"/>
    <s v="Standard Class"/>
    <m/>
    <n v="0"/>
    <x v="588"/>
    <x v="588"/>
  </r>
  <r>
    <x v="3"/>
    <s v="Madhya Pradesh"/>
    <s v="Indore"/>
    <x v="1"/>
    <x v="4"/>
    <s v="Pro Chairs 712"/>
    <s v="Standard Class"/>
    <m/>
    <n v="0.1"/>
    <x v="589"/>
    <x v="589"/>
  </r>
  <r>
    <x v="0"/>
    <s v="Rajasthan"/>
    <s v="Jaipur"/>
    <x v="0"/>
    <x v="9"/>
    <s v="Max Binders 785"/>
    <s v="Same Day"/>
    <m/>
    <n v="0.1"/>
    <x v="590"/>
    <x v="590"/>
  </r>
  <r>
    <x v="4"/>
    <s v="Odisha"/>
    <s v="Bhubaneswar"/>
    <x v="2"/>
    <x v="11"/>
    <s v="Elite Phones 239"/>
    <s v="Standard Class"/>
    <m/>
    <n v="0"/>
    <x v="591"/>
    <x v="591"/>
  </r>
  <r>
    <x v="3"/>
    <s v="Gujarat"/>
    <s v="Ahmedabad"/>
    <x v="2"/>
    <x v="12"/>
    <s v="Basic Machines 413"/>
    <s v="Same Day"/>
    <m/>
    <n v="0.25"/>
    <x v="592"/>
    <x v="592"/>
  </r>
  <r>
    <x v="2"/>
    <s v="Telangana"/>
    <s v="Hyderabad"/>
    <x v="1"/>
    <x v="4"/>
    <s v="Elite Chairs 140"/>
    <s v="Standard Class"/>
    <m/>
    <n v="0.25"/>
    <x v="593"/>
    <x v="593"/>
  </r>
  <r>
    <x v="2"/>
    <s v="Kerala"/>
    <s v="Kochi"/>
    <x v="0"/>
    <x v="2"/>
    <s v="Basic Art 771"/>
    <s v="Second Class"/>
    <m/>
    <n v="0.1"/>
    <x v="594"/>
    <x v="594"/>
  </r>
  <r>
    <x v="2"/>
    <s v="Telangana"/>
    <s v="Hyderabad"/>
    <x v="0"/>
    <x v="0"/>
    <s v="Prime Paper 664"/>
    <s v="Standard Class"/>
    <m/>
    <n v="0.2"/>
    <x v="595"/>
    <x v="595"/>
  </r>
  <r>
    <x v="2"/>
    <s v="Telangana"/>
    <s v="Hyderabad"/>
    <x v="2"/>
    <x v="11"/>
    <s v="Pro Phones 226"/>
    <s v="Standard Class"/>
    <m/>
    <n v="0"/>
    <x v="596"/>
    <x v="596"/>
  </r>
  <r>
    <x v="0"/>
    <s v="Rajasthan"/>
    <s v="Jaipur"/>
    <x v="1"/>
    <x v="1"/>
    <s v="Basic Tables 684"/>
    <s v="Same Day"/>
    <m/>
    <n v="0.25"/>
    <x v="597"/>
    <x v="597"/>
  </r>
  <r>
    <x v="2"/>
    <s v="Tamil Nadu"/>
    <s v="Chennai"/>
    <x v="0"/>
    <x v="9"/>
    <s v="Prime Binders 938"/>
    <s v="First Class"/>
    <m/>
    <n v="0.2"/>
    <x v="598"/>
    <x v="598"/>
  </r>
  <r>
    <x v="0"/>
    <s v="Uttar Pradesh"/>
    <s v="Noida"/>
    <x v="2"/>
    <x v="12"/>
    <s v="Classic Machines 337"/>
    <s v="Standard Class"/>
    <m/>
    <n v="0"/>
    <x v="599"/>
    <x v="599"/>
  </r>
  <r>
    <x v="3"/>
    <s v="Maharashtra"/>
    <s v="Mumbai"/>
    <x v="1"/>
    <x v="4"/>
    <s v="Max Chairs 748"/>
    <s v="Same Day"/>
    <m/>
    <n v="0"/>
    <x v="600"/>
    <x v="600"/>
  </r>
  <r>
    <x v="1"/>
    <s v="Bihar"/>
    <s v="Patna"/>
    <x v="0"/>
    <x v="8"/>
    <s v="Basic Storage 934"/>
    <s v="Standard Class"/>
    <m/>
    <n v="0.05"/>
    <x v="601"/>
    <x v="601"/>
  </r>
  <r>
    <x v="0"/>
    <s v="Punjab"/>
    <s v="Ludhiana"/>
    <x v="0"/>
    <x v="8"/>
    <s v="Pro Storage 509"/>
    <s v="Second Class"/>
    <m/>
    <n v="0.05"/>
    <x v="602"/>
    <x v="602"/>
  </r>
  <r>
    <x v="1"/>
    <s v="Assam"/>
    <s v="Guwahati"/>
    <x v="1"/>
    <x v="4"/>
    <s v="Prime Chairs 765"/>
    <s v="First Class"/>
    <m/>
    <n v="0.05"/>
    <x v="603"/>
    <x v="603"/>
  </r>
  <r>
    <x v="3"/>
    <s v="Rajasthan"/>
    <s v="Udaipur"/>
    <x v="1"/>
    <x v="4"/>
    <s v="Elite Chairs 358"/>
    <s v="Same Day"/>
    <m/>
    <n v="0.2"/>
    <x v="604"/>
    <x v="604"/>
  </r>
  <r>
    <x v="1"/>
    <s v="Assam"/>
    <s v="Guwahati"/>
    <x v="2"/>
    <x v="12"/>
    <s v="Elite Machines 971"/>
    <s v="Standard Class"/>
    <m/>
    <n v="0"/>
    <x v="605"/>
    <x v="605"/>
  </r>
  <r>
    <x v="2"/>
    <s v="Kerala"/>
    <s v="Kochi"/>
    <x v="2"/>
    <x v="11"/>
    <s v="Max Phones 825"/>
    <s v="Second Class"/>
    <m/>
    <n v="0.15"/>
    <x v="606"/>
    <x v="606"/>
  </r>
  <r>
    <x v="1"/>
    <s v="Jharkhand"/>
    <s v="Ranchi"/>
    <x v="2"/>
    <x v="5"/>
    <s v="Eco Accessories 933"/>
    <s v="Same Day"/>
    <m/>
    <n v="0.05"/>
    <x v="607"/>
    <x v="607"/>
  </r>
  <r>
    <x v="3"/>
    <s v="Gujarat"/>
    <s v="Ahmedabad"/>
    <x v="1"/>
    <x v="1"/>
    <s v="Max Tables 908"/>
    <s v="Same Day"/>
    <m/>
    <n v="0.15"/>
    <x v="608"/>
    <x v="608"/>
  </r>
  <r>
    <x v="1"/>
    <s v="Assam"/>
    <s v="Guwahati"/>
    <x v="0"/>
    <x v="0"/>
    <s v="Elite Paper 239"/>
    <s v="Standard Class"/>
    <m/>
    <n v="0.1"/>
    <x v="609"/>
    <x v="609"/>
  </r>
  <r>
    <x v="3"/>
    <s v="Rajasthan"/>
    <s v="Udaipur"/>
    <x v="1"/>
    <x v="4"/>
    <s v="Eco Chairs 452"/>
    <s v="Standard Class"/>
    <m/>
    <n v="0.1"/>
    <x v="610"/>
    <x v="610"/>
  </r>
  <r>
    <x v="2"/>
    <s v="Karnataka"/>
    <s v="Bengaluru"/>
    <x v="1"/>
    <x v="3"/>
    <s v="Smart Furnishings 721"/>
    <s v="First Class"/>
    <m/>
    <n v="0"/>
    <x v="611"/>
    <x v="611"/>
  </r>
  <r>
    <x v="2"/>
    <s v="Tamil Nadu"/>
    <s v="Chennai"/>
    <x v="2"/>
    <x v="5"/>
    <s v="Basic Accessories 729"/>
    <s v="Second Class"/>
    <m/>
    <n v="0.15"/>
    <x v="612"/>
    <x v="612"/>
  </r>
  <r>
    <x v="2"/>
    <s v="Telangana"/>
    <s v="Hyderabad"/>
    <x v="1"/>
    <x v="4"/>
    <s v="Classic Chairs 220"/>
    <s v="Second Class"/>
    <m/>
    <n v="0.05"/>
    <x v="613"/>
    <x v="613"/>
  </r>
  <r>
    <x v="2"/>
    <s v="Andhra Pradesh"/>
    <s v="Vijayawada"/>
    <x v="1"/>
    <x v="4"/>
    <s v="Max Chairs 305"/>
    <s v="Same Day"/>
    <m/>
    <n v="0.25"/>
    <x v="614"/>
    <x v="614"/>
  </r>
  <r>
    <x v="2"/>
    <s v="Tamil Nadu"/>
    <s v="Chennai"/>
    <x v="0"/>
    <x v="0"/>
    <s v="Smart Paper 872"/>
    <s v="Standard Class"/>
    <m/>
    <n v="0.15"/>
    <x v="615"/>
    <x v="615"/>
  </r>
  <r>
    <x v="3"/>
    <s v="Goa"/>
    <s v="Panaji"/>
    <x v="2"/>
    <x v="6"/>
    <s v="Max Copiers 994"/>
    <s v="First Class"/>
    <m/>
    <n v="0.2"/>
    <x v="616"/>
    <x v="616"/>
  </r>
  <r>
    <x v="2"/>
    <s v="Kerala"/>
    <s v="Kochi"/>
    <x v="0"/>
    <x v="8"/>
    <s v="Pro Storage 744"/>
    <s v="Second Class"/>
    <m/>
    <n v="0.2"/>
    <x v="617"/>
    <x v="617"/>
  </r>
  <r>
    <x v="1"/>
    <s v="Odisha"/>
    <s v="Bhubaneswar"/>
    <x v="1"/>
    <x v="4"/>
    <s v="Elite Chairs 744"/>
    <s v="Second Class"/>
    <m/>
    <n v="0.05"/>
    <x v="618"/>
    <x v="618"/>
  </r>
  <r>
    <x v="3"/>
    <s v="Goa"/>
    <s v="Panaji"/>
    <x v="0"/>
    <x v="8"/>
    <s v="Basic Storage 973"/>
    <s v="First Class"/>
    <m/>
    <n v="0.2"/>
    <x v="619"/>
    <x v="619"/>
  </r>
  <r>
    <x v="0"/>
    <s v="Delhi"/>
    <s v="New Delhi"/>
    <x v="1"/>
    <x v="3"/>
    <s v="Smart Furnishings 783"/>
    <s v="Same Day"/>
    <m/>
    <n v="0"/>
    <x v="620"/>
    <x v="620"/>
  </r>
  <r>
    <x v="1"/>
    <s v="Assam"/>
    <s v="Guwahati"/>
    <x v="0"/>
    <x v="9"/>
    <s v="Prime Binders 287"/>
    <s v="Second Class"/>
    <m/>
    <n v="0.25"/>
    <x v="621"/>
    <x v="621"/>
  </r>
  <r>
    <x v="0"/>
    <s v="Uttar Pradesh"/>
    <s v="Noida"/>
    <x v="0"/>
    <x v="7"/>
    <s v="Elite Labels 654"/>
    <s v="Standard Class"/>
    <m/>
    <n v="0.15"/>
    <x v="622"/>
    <x v="622"/>
  </r>
  <r>
    <x v="1"/>
    <s v="West Bengal"/>
    <s v="Kolkata"/>
    <x v="1"/>
    <x v="4"/>
    <s v="Pro Chairs 812"/>
    <s v="Standard Class"/>
    <m/>
    <n v="0.05"/>
    <x v="623"/>
    <x v="623"/>
  </r>
  <r>
    <x v="1"/>
    <s v="Bihar"/>
    <s v="Patna"/>
    <x v="1"/>
    <x v="4"/>
    <s v="Basic Chairs 480"/>
    <s v="Second Class"/>
    <m/>
    <n v="0.1"/>
    <x v="624"/>
    <x v="624"/>
  </r>
  <r>
    <x v="1"/>
    <s v="Jharkhand"/>
    <s v="Ranchi"/>
    <x v="2"/>
    <x v="12"/>
    <s v="Elite Machines 955"/>
    <s v="First Class"/>
    <m/>
    <n v="0.25"/>
    <x v="625"/>
    <x v="625"/>
  </r>
  <r>
    <x v="0"/>
    <s v="Punjab"/>
    <s v="Ludhiana"/>
    <x v="0"/>
    <x v="2"/>
    <s v="Prime Art 461"/>
    <s v="First Class"/>
    <m/>
    <n v="0.15"/>
    <x v="626"/>
    <x v="626"/>
  </r>
  <r>
    <x v="2"/>
    <s v="Andhra Pradesh"/>
    <s v="Vijayawada"/>
    <x v="0"/>
    <x v="2"/>
    <s v="Prime Art 301"/>
    <s v="Same Day"/>
    <m/>
    <n v="0.2"/>
    <x v="627"/>
    <x v="627"/>
  </r>
  <r>
    <x v="2"/>
    <s v="Kerala"/>
    <s v="Kochi"/>
    <x v="2"/>
    <x v="5"/>
    <s v="Classic Accessories 354"/>
    <s v="Standard Class"/>
    <m/>
    <n v="0.25"/>
    <x v="628"/>
    <x v="628"/>
  </r>
  <r>
    <x v="1"/>
    <s v="Bihar"/>
    <s v="Patna"/>
    <x v="2"/>
    <x v="5"/>
    <s v="Basic Accessories 210"/>
    <s v="Same Day"/>
    <m/>
    <n v="0.15"/>
    <x v="629"/>
    <x v="629"/>
  </r>
  <r>
    <x v="2"/>
    <s v="Andhra Pradesh"/>
    <s v="Vijayawada"/>
    <x v="0"/>
    <x v="0"/>
    <s v="Smart Paper 364"/>
    <s v="Second Class"/>
    <m/>
    <n v="0"/>
    <x v="630"/>
    <x v="630"/>
  </r>
  <r>
    <x v="0"/>
    <s v="Uttar Pradesh"/>
    <s v="Noida"/>
    <x v="0"/>
    <x v="9"/>
    <s v="Smart Binders 999"/>
    <s v="Standard Class"/>
    <m/>
    <n v="0.15"/>
    <x v="631"/>
    <x v="631"/>
  </r>
  <r>
    <x v="2"/>
    <s v="Tamil Nadu"/>
    <s v="Chennai"/>
    <x v="2"/>
    <x v="6"/>
    <s v="Max Copiers 356"/>
    <s v="Second Class"/>
    <m/>
    <n v="0.15"/>
    <x v="632"/>
    <x v="632"/>
  </r>
  <r>
    <x v="1"/>
    <s v="Bihar"/>
    <s v="Patna"/>
    <x v="2"/>
    <x v="12"/>
    <s v="Classic Machines 639"/>
    <s v="Same Day"/>
    <m/>
    <n v="0.2"/>
    <x v="633"/>
    <x v="633"/>
  </r>
  <r>
    <x v="1"/>
    <s v="West Bengal"/>
    <s v="Kolkata"/>
    <x v="1"/>
    <x v="3"/>
    <s v="Smart Furnishings 748"/>
    <s v="Standard Class"/>
    <m/>
    <n v="0"/>
    <x v="634"/>
    <x v="634"/>
  </r>
  <r>
    <x v="0"/>
    <s v="Haryana"/>
    <s v="Gurugram"/>
    <x v="2"/>
    <x v="12"/>
    <s v="Pro Machines 589"/>
    <s v="Same Day"/>
    <m/>
    <s v="invalid"/>
    <x v="2"/>
    <x v="2"/>
  </r>
  <r>
    <x v="1"/>
    <s v="Bihar"/>
    <s v="Patna"/>
    <x v="0"/>
    <x v="8"/>
    <s v="Eco Storage 316"/>
    <s v="Second Class"/>
    <m/>
    <n v="0.2"/>
    <x v="635"/>
    <x v="635"/>
  </r>
  <r>
    <x v="4"/>
    <s v="Bihar"/>
    <s v="Patna"/>
    <x v="0"/>
    <x v="2"/>
    <s v="Eco Art 763"/>
    <s v="First Class"/>
    <m/>
    <n v="0"/>
    <x v="636"/>
    <x v="636"/>
  </r>
  <r>
    <x v="2"/>
    <s v="Karnataka"/>
    <s v="Bengaluru"/>
    <x v="2"/>
    <x v="11"/>
    <s v="Pro Phones 356"/>
    <s v="Second Class"/>
    <m/>
    <n v="0.2"/>
    <x v="637"/>
    <x v="637"/>
  </r>
  <r>
    <x v="1"/>
    <s v="Jharkhand"/>
    <s v="Ranchi"/>
    <x v="2"/>
    <x v="11"/>
    <s v="Basic Phones 865"/>
    <s v="Same Day"/>
    <m/>
    <n v="0.1"/>
    <x v="638"/>
    <x v="638"/>
  </r>
  <r>
    <x v="2"/>
    <s v="Andhra Pradesh"/>
    <s v="Vijayawada"/>
    <x v="2"/>
    <x v="12"/>
    <s v="Max Machines 595"/>
    <s v="Second Class"/>
    <m/>
    <n v="0"/>
    <x v="639"/>
    <x v="639"/>
  </r>
  <r>
    <x v="3"/>
    <s v="Rajasthan"/>
    <s v="Udaipur"/>
    <x v="2"/>
    <x v="12"/>
    <s v="Elite Machines 367"/>
    <s v="Same Day"/>
    <m/>
    <n v="0.1"/>
    <x v="640"/>
    <x v="640"/>
  </r>
  <r>
    <x v="1"/>
    <s v="Jharkhand"/>
    <s v="Ranchi"/>
    <x v="2"/>
    <x v="6"/>
    <s v="Basic Copiers 787"/>
    <s v="Second Class"/>
    <m/>
    <s v="invalid"/>
    <x v="2"/>
    <x v="2"/>
  </r>
  <r>
    <x v="2"/>
    <s v="Telangana"/>
    <s v="Hyderabad"/>
    <x v="2"/>
    <x v="5"/>
    <s v="Max Accessories 903"/>
    <s v="Standard Class"/>
    <m/>
    <n v="0.2"/>
    <x v="641"/>
    <x v="641"/>
  </r>
  <r>
    <x v="3"/>
    <s v="Gujarat"/>
    <s v="Ahmedabad"/>
    <x v="0"/>
    <x v="2"/>
    <s v="Max Art 660"/>
    <s v="Standard Class"/>
    <m/>
    <n v="0.1"/>
    <x v="642"/>
    <x v="642"/>
  </r>
  <r>
    <x v="0"/>
    <s v="Punjab"/>
    <s v="Ludhiana"/>
    <x v="2"/>
    <x v="6"/>
    <s v="Classic Copiers 908"/>
    <s v="Same Day"/>
    <m/>
    <n v="0.05"/>
    <x v="643"/>
    <x v="643"/>
  </r>
  <r>
    <x v="1"/>
    <s v="Bihar"/>
    <s v="Patna"/>
    <x v="2"/>
    <x v="12"/>
    <s v="Pro Machines 706"/>
    <s v="Standard Class"/>
    <m/>
    <n v="0"/>
    <x v="644"/>
    <x v="644"/>
  </r>
  <r>
    <x v="3"/>
    <s v="Gujarat"/>
    <s v="Ahmedabad"/>
    <x v="0"/>
    <x v="0"/>
    <s v="Pro Paper 187"/>
    <s v="Second Class"/>
    <m/>
    <n v="0.2"/>
    <x v="645"/>
    <x v="645"/>
  </r>
  <r>
    <x v="3"/>
    <s v="Maharashtra"/>
    <s v="Mumbai"/>
    <x v="1"/>
    <x v="1"/>
    <s v="Classic Tables 606"/>
    <s v="Second Class"/>
    <m/>
    <n v="0.25"/>
    <x v="646"/>
    <x v="646"/>
  </r>
  <r>
    <x v="0"/>
    <s v="Uttar Pradesh"/>
    <s v="Noida"/>
    <x v="1"/>
    <x v="1"/>
    <s v="Smart Tables 835"/>
    <s v="Standard Class"/>
    <m/>
    <n v="0.1"/>
    <x v="647"/>
    <x v="647"/>
  </r>
  <r>
    <x v="3"/>
    <s v="Goa"/>
    <s v="Panaji"/>
    <x v="2"/>
    <x v="6"/>
    <s v="Classic Copiers 583"/>
    <s v="Second Class"/>
    <m/>
    <n v="0.05"/>
    <x v="648"/>
    <x v="648"/>
  </r>
  <r>
    <x v="3"/>
    <s v="Madhya Pradesh"/>
    <s v="Indore"/>
    <x v="1"/>
    <x v="4"/>
    <s v="Classic Chairs 460"/>
    <s v="Standard Class"/>
    <m/>
    <n v="0.05"/>
    <x v="649"/>
    <x v="649"/>
  </r>
  <r>
    <x v="3"/>
    <s v="Rajasthan"/>
    <s v="Udaipur"/>
    <x v="1"/>
    <x v="10"/>
    <s v="Classic Bookcases 488"/>
    <s v="Second Class"/>
    <m/>
    <n v="0.15"/>
    <x v="650"/>
    <x v="650"/>
  </r>
  <r>
    <x v="1"/>
    <s v="Jharkhand"/>
    <s v="Ranchi"/>
    <x v="2"/>
    <x v="5"/>
    <s v="Basic Accessories 944"/>
    <s v="Second Class"/>
    <m/>
    <n v="0"/>
    <x v="651"/>
    <x v="651"/>
  </r>
  <r>
    <x v="0"/>
    <s v="Rajasthan"/>
    <s v="Jaipur"/>
    <x v="1"/>
    <x v="3"/>
    <s v="Eco Furnishings 217"/>
    <s v="Same Day"/>
    <m/>
    <n v="0"/>
    <x v="652"/>
    <x v="652"/>
  </r>
  <r>
    <x v="0"/>
    <s v="Delhi"/>
    <s v="New Delhi"/>
    <x v="2"/>
    <x v="11"/>
    <s v="Smart Phones 967"/>
    <s v="Same Day"/>
    <m/>
    <n v="0.15"/>
    <x v="653"/>
    <x v="653"/>
  </r>
  <r>
    <x v="2"/>
    <s v="Karnataka"/>
    <s v="Bengaluru"/>
    <x v="1"/>
    <x v="4"/>
    <s v="Smart Chairs 610"/>
    <s v="Same Day"/>
    <m/>
    <n v="0"/>
    <x v="654"/>
    <x v="654"/>
  </r>
  <r>
    <x v="2"/>
    <s v="Karnataka"/>
    <s v="Bengaluru"/>
    <x v="1"/>
    <x v="1"/>
    <s v="Prime Tables 123"/>
    <s v="Second Class"/>
    <m/>
    <n v="0.15"/>
    <x v="655"/>
    <x v="655"/>
  </r>
  <r>
    <x v="0"/>
    <s v="Punjab"/>
    <s v="Ludhiana"/>
    <x v="2"/>
    <x v="6"/>
    <s v="Smart Copiers 579"/>
    <s v="Same Day"/>
    <m/>
    <s v="invalid"/>
    <x v="2"/>
    <x v="2"/>
  </r>
  <r>
    <x v="2"/>
    <s v="Tamil Nadu"/>
    <s v="Chennai"/>
    <x v="2"/>
    <x v="5"/>
    <s v="Eco Accessories 658"/>
    <s v="First Class"/>
    <m/>
    <n v="0"/>
    <x v="656"/>
    <x v="656"/>
  </r>
  <r>
    <x v="0"/>
    <s v="Delhi"/>
    <s v="New Delhi"/>
    <x v="1"/>
    <x v="1"/>
    <s v="Smart Tables 777"/>
    <s v="Second Class"/>
    <m/>
    <n v="0"/>
    <x v="657"/>
    <x v="657"/>
  </r>
  <r>
    <x v="0"/>
    <s v="Haryana"/>
    <s v="Gurugram"/>
    <x v="0"/>
    <x v="8"/>
    <s v="Eco Storage 861"/>
    <s v="Same Day"/>
    <m/>
    <n v="0"/>
    <x v="658"/>
    <x v="658"/>
  </r>
  <r>
    <x v="2"/>
    <s v="Telangana"/>
    <s v="Hyderabad"/>
    <x v="1"/>
    <x v="3"/>
    <s v="Eco Furnishings 875"/>
    <s v="Second Class"/>
    <m/>
    <n v="0.2"/>
    <x v="659"/>
    <x v="659"/>
  </r>
  <r>
    <x v="2"/>
    <s v="Tamil Nadu"/>
    <s v="Chennai"/>
    <x v="1"/>
    <x v="10"/>
    <s v="Prime Bookcases 784"/>
    <s v="First Class"/>
    <m/>
    <n v="0.2"/>
    <x v="660"/>
    <x v="660"/>
  </r>
  <r>
    <x v="3"/>
    <s v="Goa"/>
    <s v="Panaji"/>
    <x v="0"/>
    <x v="2"/>
    <s v="Classic Art 380"/>
    <s v="Standard Class"/>
    <m/>
    <s v="invalid"/>
    <x v="2"/>
    <x v="2"/>
  </r>
  <r>
    <x v="2"/>
    <s v="Tamil Nadu"/>
    <s v="Chennai"/>
    <x v="2"/>
    <x v="6"/>
    <s v="Pro Copiers 502"/>
    <s v="Standard Class"/>
    <m/>
    <n v="0"/>
    <x v="661"/>
    <x v="661"/>
  </r>
  <r>
    <x v="0"/>
    <s v="Punjab"/>
    <s v="Ludhiana"/>
    <x v="1"/>
    <x v="1"/>
    <s v="Prime Tables 604"/>
    <s v="First Class"/>
    <m/>
    <n v="0"/>
    <x v="662"/>
    <x v="662"/>
  </r>
  <r>
    <x v="0"/>
    <s v="Haryana"/>
    <s v="Gurugram"/>
    <x v="0"/>
    <x v="2"/>
    <s v="Basic Art 798"/>
    <s v="Second Class"/>
    <m/>
    <n v="0.15"/>
    <x v="663"/>
    <x v="663"/>
  </r>
  <r>
    <x v="0"/>
    <s v="Punjab"/>
    <s v="Ludhiana"/>
    <x v="1"/>
    <x v="1"/>
    <s v="Elite Tables 717"/>
    <s v="Standard Class"/>
    <m/>
    <n v="0.15"/>
    <x v="664"/>
    <x v="664"/>
  </r>
  <r>
    <x v="2"/>
    <s v="Tamil Nadu"/>
    <s v="Chennai"/>
    <x v="0"/>
    <x v="2"/>
    <s v="Max Art 725"/>
    <s v="Standard Class"/>
    <m/>
    <n v="0"/>
    <x v="665"/>
    <x v="665"/>
  </r>
  <r>
    <x v="1"/>
    <s v="Odisha"/>
    <s v="Bhubaneswar"/>
    <x v="2"/>
    <x v="6"/>
    <s v="Smart Copiers 456"/>
    <s v="Second Class"/>
    <m/>
    <n v="0.05"/>
    <x v="666"/>
    <x v="666"/>
  </r>
  <r>
    <x v="2"/>
    <s v="Karnataka"/>
    <s v="Bengaluru"/>
    <x v="1"/>
    <x v="3"/>
    <s v="Prime Furnishings 883"/>
    <s v="Second Class"/>
    <m/>
    <n v="0.1"/>
    <x v="667"/>
    <x v="667"/>
  </r>
  <r>
    <x v="2"/>
    <s v="Tamil Nadu"/>
    <s v="Chennai"/>
    <x v="1"/>
    <x v="10"/>
    <s v="Smart Bookcases 828"/>
    <s v="Second Class"/>
    <m/>
    <n v="0.05"/>
    <x v="668"/>
    <x v="668"/>
  </r>
  <r>
    <x v="2"/>
    <s v="Andhra Pradesh"/>
    <s v="Vijayawada"/>
    <x v="0"/>
    <x v="8"/>
    <s v="Classic Storage 291"/>
    <s v="First Class"/>
    <m/>
    <n v="0.15"/>
    <x v="669"/>
    <x v="669"/>
  </r>
  <r>
    <x v="3"/>
    <s v="Madhya Pradesh"/>
    <s v="Indore"/>
    <x v="2"/>
    <x v="12"/>
    <s v="Prime Machines 102"/>
    <s v="Standard Class"/>
    <m/>
    <n v="0"/>
    <x v="670"/>
    <x v="670"/>
  </r>
  <r>
    <x v="2"/>
    <s v="Kerala"/>
    <s v="Kochi"/>
    <x v="2"/>
    <x v="11"/>
    <s v="Classic Phones 842"/>
    <s v="missing value"/>
    <m/>
    <n v="0.25"/>
    <x v="671"/>
    <x v="671"/>
  </r>
  <r>
    <x v="2"/>
    <s v="Andhra Pradesh"/>
    <s v="Vijayawada"/>
    <x v="0"/>
    <x v="7"/>
    <s v="Max Labels 970"/>
    <s v="First Class"/>
    <m/>
    <n v="0"/>
    <x v="672"/>
    <x v="672"/>
  </r>
  <r>
    <x v="0"/>
    <s v="Rajasthan"/>
    <s v="Jaipur"/>
    <x v="2"/>
    <x v="12"/>
    <s v="Classic Machines 648"/>
    <s v="Standard Class"/>
    <m/>
    <n v="0.15"/>
    <x v="673"/>
    <x v="673"/>
  </r>
  <r>
    <x v="2"/>
    <s v="Karnataka"/>
    <s v="Bengaluru"/>
    <x v="1"/>
    <x v="10"/>
    <s v="Max Bookcases 565"/>
    <s v="Standard Class"/>
    <m/>
    <n v="0.25"/>
    <x v="674"/>
    <x v="674"/>
  </r>
  <r>
    <x v="1"/>
    <s v="West Bengal"/>
    <s v="Kolkata"/>
    <x v="2"/>
    <x v="12"/>
    <s v="Basic Machines 220"/>
    <s v="Standard Class"/>
    <m/>
    <n v="0.15"/>
    <x v="675"/>
    <x v="675"/>
  </r>
  <r>
    <x v="3"/>
    <s v="Gujarat"/>
    <s v="Ahmedabad"/>
    <x v="0"/>
    <x v="2"/>
    <s v="Pro Art 151"/>
    <s v="Same Day"/>
    <m/>
    <n v="0"/>
    <x v="676"/>
    <x v="676"/>
  </r>
  <r>
    <x v="3"/>
    <s v="Rajasthan"/>
    <s v="Udaipur"/>
    <x v="1"/>
    <x v="1"/>
    <s v="Pro Tables 980"/>
    <s v="Second Class"/>
    <m/>
    <n v="0.1"/>
    <x v="677"/>
    <x v="677"/>
  </r>
  <r>
    <x v="0"/>
    <s v="Rajasthan"/>
    <s v="Jaipur"/>
    <x v="1"/>
    <x v="1"/>
    <s v="Classic Tables 997"/>
    <s v="First Class"/>
    <m/>
    <n v="0.1"/>
    <x v="678"/>
    <x v="678"/>
  </r>
  <r>
    <x v="2"/>
    <s v="Tamil Nadu"/>
    <s v="Chennai"/>
    <x v="1"/>
    <x v="10"/>
    <s v="Max Bookcases 738"/>
    <s v="missing value"/>
    <m/>
    <n v="0.15"/>
    <x v="679"/>
    <x v="679"/>
  </r>
  <r>
    <x v="0"/>
    <s v="Rajasthan"/>
    <s v="Jaipur"/>
    <x v="0"/>
    <x v="9"/>
    <s v="Max Binders 411"/>
    <s v="Standard Class"/>
    <m/>
    <n v="0.05"/>
    <x v="680"/>
    <x v="680"/>
  </r>
  <r>
    <x v="1"/>
    <s v="Odisha"/>
    <s v="Bhubaneswar"/>
    <x v="0"/>
    <x v="0"/>
    <s v="Max Paper 343"/>
    <s v="Same Day"/>
    <m/>
    <n v="0.1"/>
    <x v="681"/>
    <x v="681"/>
  </r>
  <r>
    <x v="0"/>
    <s v="Rajasthan"/>
    <s v="Jaipur"/>
    <x v="2"/>
    <x v="5"/>
    <s v="Pro Accessories 485"/>
    <s v="Same Day"/>
    <m/>
    <s v="invalid"/>
    <x v="2"/>
    <x v="2"/>
  </r>
  <r>
    <x v="1"/>
    <s v="Assam"/>
    <s v="Guwahati"/>
    <x v="1"/>
    <x v="10"/>
    <s v="Elite Bookcases 113"/>
    <s v="First Class"/>
    <m/>
    <n v="0.05"/>
    <x v="682"/>
    <x v="682"/>
  </r>
  <r>
    <x v="0"/>
    <s v="Punjab"/>
    <s v="Ludhiana"/>
    <x v="2"/>
    <x v="11"/>
    <s v="Eco Phones 787"/>
    <s v="Same Day"/>
    <m/>
    <n v="0.15"/>
    <x v="683"/>
    <x v="683"/>
  </r>
  <r>
    <x v="0"/>
    <s v="Punjab"/>
    <s v="Ludhiana"/>
    <x v="0"/>
    <x v="2"/>
    <s v="Smart Art 279"/>
    <s v="Second Class"/>
    <m/>
    <n v="0.05"/>
    <x v="684"/>
    <x v="684"/>
  </r>
  <r>
    <x v="1"/>
    <s v="West Bengal"/>
    <s v="Kolkata"/>
    <x v="2"/>
    <x v="12"/>
    <s v="Basic Machines 172"/>
    <s v="First Class"/>
    <m/>
    <n v="0.05"/>
    <x v="685"/>
    <x v="685"/>
  </r>
  <r>
    <x v="3"/>
    <s v="Madhya Pradesh"/>
    <s v="Indore"/>
    <x v="1"/>
    <x v="4"/>
    <s v="Smart Chairs 259"/>
    <s v="First Class"/>
    <m/>
    <n v="0"/>
    <x v="686"/>
    <x v="686"/>
  </r>
  <r>
    <x v="3"/>
    <s v="Rajasthan"/>
    <s v="Udaipur"/>
    <x v="2"/>
    <x v="12"/>
    <s v="Pro Machines 987"/>
    <s v="Second Class"/>
    <m/>
    <n v="0.25"/>
    <x v="687"/>
    <x v="687"/>
  </r>
  <r>
    <x v="0"/>
    <s v="Delhi"/>
    <s v="New Delhi"/>
    <x v="2"/>
    <x v="6"/>
    <s v="Pro Copiers 206"/>
    <s v="Standard Class"/>
    <m/>
    <n v="0"/>
    <x v="688"/>
    <x v="688"/>
  </r>
  <r>
    <x v="0"/>
    <s v="Haryana"/>
    <s v="Gurugram"/>
    <x v="1"/>
    <x v="4"/>
    <s v="Max Chairs 372"/>
    <s v="Second Class"/>
    <m/>
    <n v="0"/>
    <x v="689"/>
    <x v="689"/>
  </r>
  <r>
    <x v="0"/>
    <s v="Haryana"/>
    <s v="Gurugram"/>
    <x v="2"/>
    <x v="11"/>
    <s v="Basic Phones 496"/>
    <s v="First Class"/>
    <m/>
    <n v="0.15"/>
    <x v="690"/>
    <x v="690"/>
  </r>
  <r>
    <x v="0"/>
    <s v="Haryana"/>
    <s v="Gurugram"/>
    <x v="2"/>
    <x v="12"/>
    <s v="Prime Machines 612"/>
    <s v="Standard Class"/>
    <m/>
    <n v="0.2"/>
    <x v="691"/>
    <x v="691"/>
  </r>
  <r>
    <x v="3"/>
    <s v="Maharashtra"/>
    <s v="Mumbai"/>
    <x v="0"/>
    <x v="2"/>
    <s v="Smart Art 866"/>
    <s v="Same Day"/>
    <m/>
    <n v="0.2"/>
    <x v="692"/>
    <x v="692"/>
  </r>
  <r>
    <x v="3"/>
    <s v="Gujarat"/>
    <s v="Ahmedabad"/>
    <x v="0"/>
    <x v="2"/>
    <s v="Pro Art 447"/>
    <s v="Same Day"/>
    <m/>
    <n v="0.2"/>
    <x v="693"/>
    <x v="693"/>
  </r>
  <r>
    <x v="3"/>
    <s v="Madhya Pradesh"/>
    <s v="Indore"/>
    <x v="2"/>
    <x v="6"/>
    <s v="Smart Copiers 196"/>
    <s v="Same Day"/>
    <m/>
    <n v="0.15"/>
    <x v="694"/>
    <x v="694"/>
  </r>
  <r>
    <x v="2"/>
    <s v="Karnataka"/>
    <s v="Bengaluru"/>
    <x v="2"/>
    <x v="6"/>
    <s v="Pro Copiers 532"/>
    <s v="First Class"/>
    <m/>
    <n v="0"/>
    <x v="695"/>
    <x v="695"/>
  </r>
  <r>
    <x v="1"/>
    <s v="West Bengal"/>
    <s v="Kolkata"/>
    <x v="1"/>
    <x v="4"/>
    <s v="Eco Chairs 442"/>
    <s v="Second Class"/>
    <m/>
    <n v="0"/>
    <x v="696"/>
    <x v="696"/>
  </r>
  <r>
    <x v="1"/>
    <s v="Jharkhand"/>
    <s v="Ranchi"/>
    <x v="2"/>
    <x v="5"/>
    <s v="Eco Accessories 364"/>
    <s v="Standard Class"/>
    <m/>
    <n v="0.05"/>
    <x v="697"/>
    <x v="697"/>
  </r>
  <r>
    <x v="3"/>
    <s v="Goa"/>
    <s v="Panaji"/>
    <x v="1"/>
    <x v="3"/>
    <s v="Elite Furnishings 921"/>
    <s v="Second Class"/>
    <m/>
    <n v="0"/>
    <x v="698"/>
    <x v="698"/>
  </r>
  <r>
    <x v="2"/>
    <s v="Karnataka"/>
    <s v="Bengaluru"/>
    <x v="1"/>
    <x v="1"/>
    <s v="Max Tables 309"/>
    <s v="Second Class"/>
    <m/>
    <n v="0"/>
    <x v="699"/>
    <x v="699"/>
  </r>
  <r>
    <x v="3"/>
    <s v="Gujarat"/>
    <s v="Ahmedabad"/>
    <x v="2"/>
    <x v="11"/>
    <s v="Pro Phones 857"/>
    <s v="Standard Class"/>
    <m/>
    <n v="0.2"/>
    <x v="700"/>
    <x v="700"/>
  </r>
  <r>
    <x v="1"/>
    <s v="Assam"/>
    <s v="Guwahati"/>
    <x v="2"/>
    <x v="5"/>
    <s v="Max Accessories 567"/>
    <s v="Second Class"/>
    <m/>
    <n v="0.05"/>
    <x v="701"/>
    <x v="701"/>
  </r>
  <r>
    <x v="2"/>
    <s v="Karnataka"/>
    <s v="Bengaluru"/>
    <x v="2"/>
    <x v="12"/>
    <s v="Max Machines 200"/>
    <s v="First Class"/>
    <m/>
    <n v="0.15"/>
    <x v="702"/>
    <x v="702"/>
  </r>
  <r>
    <x v="2"/>
    <s v="Tamil Nadu"/>
    <s v="Chennai"/>
    <x v="2"/>
    <x v="12"/>
    <s v="Pro Machines 563"/>
    <s v="Same Day"/>
    <m/>
    <n v="0.15"/>
    <x v="703"/>
    <x v="703"/>
  </r>
  <r>
    <x v="1"/>
    <s v="West Bengal"/>
    <s v="Kolkata"/>
    <x v="0"/>
    <x v="2"/>
    <s v="Elite Art 696"/>
    <s v="Second Class"/>
    <m/>
    <n v="0.15"/>
    <x v="704"/>
    <x v="704"/>
  </r>
  <r>
    <x v="1"/>
    <s v="Odisha"/>
    <s v="Bhubaneswar"/>
    <x v="0"/>
    <x v="9"/>
    <s v="Eco Binders 178"/>
    <s v="First Class"/>
    <m/>
    <n v="0.1"/>
    <x v="705"/>
    <x v="705"/>
  </r>
  <r>
    <x v="0"/>
    <s v="Punjab"/>
    <s v="Ludhiana"/>
    <x v="2"/>
    <x v="11"/>
    <s v="Max Phones 678"/>
    <s v="Standard Class"/>
    <m/>
    <n v="0"/>
    <x v="706"/>
    <x v="706"/>
  </r>
  <r>
    <x v="0"/>
    <s v="Rajasthan"/>
    <s v="Jaipur"/>
    <x v="1"/>
    <x v="3"/>
    <s v="Classic Furnishings 582"/>
    <s v="First Class"/>
    <m/>
    <n v="0"/>
    <x v="707"/>
    <x v="707"/>
  </r>
  <r>
    <x v="0"/>
    <s v="Rajasthan"/>
    <s v="Jaipur"/>
    <x v="2"/>
    <x v="5"/>
    <s v="Classic Accessories 981"/>
    <s v="First Class"/>
    <m/>
    <n v="0.2"/>
    <x v="708"/>
    <x v="708"/>
  </r>
  <r>
    <x v="3"/>
    <s v="Maharashtra"/>
    <s v="Mumbai"/>
    <x v="1"/>
    <x v="1"/>
    <s v="Classic Tables 534"/>
    <s v="Standard Class"/>
    <m/>
    <n v="0.2"/>
    <x v="709"/>
    <x v="709"/>
  </r>
  <r>
    <x v="3"/>
    <s v="Maharashtra"/>
    <s v="Mumbai"/>
    <x v="1"/>
    <x v="4"/>
    <s v="Pro Chairs 383"/>
    <s v="Second Class"/>
    <m/>
    <n v="0.1"/>
    <x v="710"/>
    <x v="710"/>
  </r>
  <r>
    <x v="3"/>
    <s v="Maharashtra"/>
    <s v="Mumbai"/>
    <x v="1"/>
    <x v="4"/>
    <s v="Max Chairs 845"/>
    <s v="Same Day"/>
    <m/>
    <n v="0"/>
    <x v="711"/>
    <x v="711"/>
  </r>
  <r>
    <x v="2"/>
    <s v="Kerala"/>
    <s v="Kochi"/>
    <x v="0"/>
    <x v="0"/>
    <s v="Prime Paper 307"/>
    <s v="First Class"/>
    <m/>
    <n v="0"/>
    <x v="712"/>
    <x v="712"/>
  </r>
  <r>
    <x v="0"/>
    <s v="Rajasthan"/>
    <s v="Jaipur"/>
    <x v="2"/>
    <x v="11"/>
    <s v="Basic Phones 859"/>
    <s v="Standard Class"/>
    <m/>
    <n v="0.05"/>
    <x v="713"/>
    <x v="713"/>
  </r>
  <r>
    <x v="3"/>
    <s v="Maharashtra"/>
    <s v="Mumbai"/>
    <x v="1"/>
    <x v="4"/>
    <s v="Eco Chairs 883"/>
    <s v="First Class"/>
    <m/>
    <n v="0.1"/>
    <x v="714"/>
    <x v="714"/>
  </r>
  <r>
    <x v="2"/>
    <s v="Tamil Nadu"/>
    <s v="Chennai"/>
    <x v="1"/>
    <x v="4"/>
    <s v="Max Chairs 706"/>
    <s v="Second Class"/>
    <m/>
    <n v="0"/>
    <x v="715"/>
    <x v="715"/>
  </r>
  <r>
    <x v="1"/>
    <s v="Odisha"/>
    <s v="Bhubaneswar"/>
    <x v="0"/>
    <x v="0"/>
    <s v="Prime Paper 768"/>
    <s v="Standard Class"/>
    <m/>
    <n v="0"/>
    <x v="716"/>
    <x v="716"/>
  </r>
  <r>
    <x v="0"/>
    <s v="Uttar Pradesh"/>
    <s v="Noida"/>
    <x v="0"/>
    <x v="2"/>
    <s v="Basic Art 764"/>
    <s v="Standard Class"/>
    <m/>
    <n v="0.25"/>
    <x v="717"/>
    <x v="717"/>
  </r>
  <r>
    <x v="0"/>
    <s v="Punjab"/>
    <s v="Ludhiana"/>
    <x v="0"/>
    <x v="9"/>
    <s v="Prime Binders 181"/>
    <s v="First Class"/>
    <m/>
    <n v="0.1"/>
    <x v="718"/>
    <x v="718"/>
  </r>
  <r>
    <x v="1"/>
    <s v="Assam"/>
    <s v="Guwahati"/>
    <x v="2"/>
    <x v="6"/>
    <s v="Max Copiers 866"/>
    <s v="Standard Class"/>
    <m/>
    <n v="0.2"/>
    <x v="719"/>
    <x v="719"/>
  </r>
  <r>
    <x v="1"/>
    <s v="West Bengal"/>
    <s v="Kolkata"/>
    <x v="0"/>
    <x v="0"/>
    <s v="Pro Paper 662"/>
    <s v="Standard Class"/>
    <m/>
    <n v="0.2"/>
    <x v="720"/>
    <x v="720"/>
  </r>
  <r>
    <x v="1"/>
    <s v="Odisha"/>
    <s v="Bhubaneswar"/>
    <x v="0"/>
    <x v="0"/>
    <s v="Classic Paper 388"/>
    <s v="Same Day"/>
    <m/>
    <n v="0.15"/>
    <x v="721"/>
    <x v="721"/>
  </r>
  <r>
    <x v="0"/>
    <s v="Haryana"/>
    <s v="Gurugram"/>
    <x v="2"/>
    <x v="11"/>
    <s v="Pro Phones 765"/>
    <s v="Second Class"/>
    <m/>
    <n v="0.25"/>
    <x v="722"/>
    <x v="722"/>
  </r>
  <r>
    <x v="1"/>
    <s v="Assam"/>
    <s v="Guwahati"/>
    <x v="2"/>
    <x v="12"/>
    <s v="Classic Machines 543"/>
    <s v="Standard Class"/>
    <m/>
    <n v="0.15"/>
    <x v="723"/>
    <x v="723"/>
  </r>
  <r>
    <x v="2"/>
    <s v="Telangana"/>
    <s v="Hyderabad"/>
    <x v="2"/>
    <x v="5"/>
    <s v="Max Accessories 291"/>
    <s v="First Class"/>
    <m/>
    <n v="0.15"/>
    <x v="724"/>
    <x v="724"/>
  </r>
  <r>
    <x v="4"/>
    <s v="Uttar Pradesh"/>
    <s v="Noida"/>
    <x v="2"/>
    <x v="12"/>
    <s v="Eco Machines 414"/>
    <s v="unknown"/>
    <m/>
    <n v="0.05"/>
    <x v="725"/>
    <x v="725"/>
  </r>
  <r>
    <x v="3"/>
    <s v="Gujarat"/>
    <s v="Ahmedabad"/>
    <x v="0"/>
    <x v="8"/>
    <s v="Basic Storage 273"/>
    <s v="First Class"/>
    <m/>
    <n v="0.05"/>
    <x v="726"/>
    <x v="726"/>
  </r>
  <r>
    <x v="0"/>
    <s v="Delhi"/>
    <s v="New Delhi"/>
    <x v="1"/>
    <x v="3"/>
    <s v="Elite Furnishings 588"/>
    <s v="Second Class"/>
    <m/>
    <n v="0.15"/>
    <x v="727"/>
    <x v="727"/>
  </r>
  <r>
    <x v="2"/>
    <s v="Kerala"/>
    <s v="Kochi"/>
    <x v="0"/>
    <x v="8"/>
    <s v="Elite Storage 857"/>
    <s v="Standard Class"/>
    <m/>
    <n v="0.25"/>
    <x v="728"/>
    <x v="728"/>
  </r>
  <r>
    <x v="3"/>
    <s v="Madhya Pradesh"/>
    <s v="Indore"/>
    <x v="0"/>
    <x v="8"/>
    <s v="Prime Storage 183"/>
    <s v="Second Class"/>
    <m/>
    <n v="0.2"/>
    <x v="729"/>
    <x v="729"/>
  </r>
  <r>
    <x v="0"/>
    <s v="Rajasthan"/>
    <s v="Jaipur"/>
    <x v="2"/>
    <x v="5"/>
    <s v="Smart Accessories 362"/>
    <s v="Same Day"/>
    <m/>
    <n v="0.2"/>
    <x v="730"/>
    <x v="730"/>
  </r>
  <r>
    <x v="2"/>
    <s v="Kerala"/>
    <s v="Kochi"/>
    <x v="1"/>
    <x v="10"/>
    <s v="Classic Bookcases 310"/>
    <s v="Standard Class"/>
    <m/>
    <n v="0.25"/>
    <x v="731"/>
    <x v="731"/>
  </r>
  <r>
    <x v="2"/>
    <s v="Karnataka"/>
    <s v="Bengaluru"/>
    <x v="1"/>
    <x v="4"/>
    <s v="Prime Chairs 721"/>
    <s v="Standard Class"/>
    <m/>
    <n v="0"/>
    <x v="732"/>
    <x v="732"/>
  </r>
  <r>
    <x v="2"/>
    <s v="Karnataka"/>
    <s v="Bengaluru"/>
    <x v="1"/>
    <x v="1"/>
    <s v="Prime Tables 797"/>
    <s v="Second Class"/>
    <m/>
    <n v="0.25"/>
    <x v="733"/>
    <x v="733"/>
  </r>
  <r>
    <x v="1"/>
    <s v="Assam"/>
    <s v="Guwahati"/>
    <x v="0"/>
    <x v="2"/>
    <s v="Max Art 926"/>
    <s v="Second Class"/>
    <m/>
    <n v="0"/>
    <x v="734"/>
    <x v="734"/>
  </r>
  <r>
    <x v="2"/>
    <s v="Karnataka"/>
    <s v="Bengaluru"/>
    <x v="2"/>
    <x v="12"/>
    <s v="Max Machines 364"/>
    <s v="First Class"/>
    <m/>
    <n v="0"/>
    <x v="735"/>
    <x v="735"/>
  </r>
  <r>
    <x v="3"/>
    <s v="Madhya Pradesh"/>
    <s v="Indore"/>
    <x v="2"/>
    <x v="12"/>
    <s v="Classic Machines 122"/>
    <s v="Second Class"/>
    <m/>
    <n v="0.2"/>
    <x v="736"/>
    <x v="736"/>
  </r>
  <r>
    <x v="0"/>
    <s v="Rajasthan"/>
    <s v="Jaipur"/>
    <x v="1"/>
    <x v="3"/>
    <s v="Elite Furnishings 169"/>
    <s v="Same Day"/>
    <m/>
    <n v="0"/>
    <x v="737"/>
    <x v="737"/>
  </r>
  <r>
    <x v="2"/>
    <s v="Kerala"/>
    <s v="Kochi"/>
    <x v="1"/>
    <x v="10"/>
    <s v="Pro Bookcases 615"/>
    <s v="First Class"/>
    <m/>
    <n v="0.05"/>
    <x v="738"/>
    <x v="738"/>
  </r>
  <r>
    <x v="1"/>
    <s v="Jharkhand"/>
    <s v="Ranchi"/>
    <x v="0"/>
    <x v="7"/>
    <s v="Max Labels 136"/>
    <s v="First Class"/>
    <m/>
    <n v="0"/>
    <x v="739"/>
    <x v="739"/>
  </r>
  <r>
    <x v="3"/>
    <s v="Gujarat"/>
    <s v="Ahmedabad"/>
    <x v="0"/>
    <x v="2"/>
    <s v="Prime Art 380"/>
    <s v="Second Class"/>
    <m/>
    <n v="0.2"/>
    <x v="740"/>
    <x v="740"/>
  </r>
  <r>
    <x v="0"/>
    <s v="Uttar Pradesh"/>
    <s v="Noida"/>
    <x v="0"/>
    <x v="9"/>
    <s v="Classic Binders 234"/>
    <s v="Standard Class"/>
    <m/>
    <n v="0.25"/>
    <x v="741"/>
    <x v="741"/>
  </r>
  <r>
    <x v="1"/>
    <s v="Jharkhand"/>
    <s v="Ranchi"/>
    <x v="0"/>
    <x v="0"/>
    <s v="Classic Paper 280"/>
    <s v="Same Day"/>
    <m/>
    <n v="0.1"/>
    <x v="742"/>
    <x v="742"/>
  </r>
  <r>
    <x v="3"/>
    <s v="Goa"/>
    <s v="Panaji"/>
    <x v="1"/>
    <x v="10"/>
    <s v="Classic Bookcases 922"/>
    <s v="Same Day"/>
    <m/>
    <n v="0.25"/>
    <x v="743"/>
    <x v="743"/>
  </r>
  <r>
    <x v="0"/>
    <s v="Uttar Pradesh"/>
    <s v="Noida"/>
    <x v="2"/>
    <x v="6"/>
    <s v="Eco Copiers 396"/>
    <s v="First Class"/>
    <m/>
    <n v="0"/>
    <x v="744"/>
    <x v="744"/>
  </r>
  <r>
    <x v="0"/>
    <s v="Haryana"/>
    <s v="Gurugram"/>
    <x v="2"/>
    <x v="12"/>
    <s v="Basic Machines 401"/>
    <s v="Second Class"/>
    <m/>
    <n v="0"/>
    <x v="745"/>
    <x v="745"/>
  </r>
  <r>
    <x v="2"/>
    <s v="Tamil Nadu"/>
    <s v="Chennai"/>
    <x v="1"/>
    <x v="4"/>
    <s v="Basic Chairs 279"/>
    <s v="Same Day"/>
    <m/>
    <n v="0.05"/>
    <x v="746"/>
    <x v="746"/>
  </r>
  <r>
    <x v="3"/>
    <s v="Gujarat"/>
    <s v="Ahmedabad"/>
    <x v="2"/>
    <x v="11"/>
    <s v="Basic Phones 753"/>
    <s v="missing value"/>
    <m/>
    <n v="0.2"/>
    <x v="747"/>
    <x v="747"/>
  </r>
  <r>
    <x v="3"/>
    <s v="Rajasthan"/>
    <s v="Udaipur"/>
    <x v="2"/>
    <x v="12"/>
    <s v="Smart Machines 789"/>
    <s v="missing value"/>
    <m/>
    <n v="0.2"/>
    <x v="748"/>
    <x v="748"/>
  </r>
  <r>
    <x v="0"/>
    <s v="Haryana"/>
    <s v="Gurugram"/>
    <x v="2"/>
    <x v="5"/>
    <s v="Elite Accessories 312"/>
    <s v="Standard Class"/>
    <m/>
    <n v="0.25"/>
    <x v="749"/>
    <x v="749"/>
  </r>
  <r>
    <x v="0"/>
    <s v="Rajasthan"/>
    <s v="Jaipur"/>
    <x v="2"/>
    <x v="6"/>
    <s v="Eco Copiers 528"/>
    <s v="Second Class"/>
    <m/>
    <n v="0"/>
    <x v="750"/>
    <x v="750"/>
  </r>
  <r>
    <x v="3"/>
    <s v="Madhya Pradesh"/>
    <s v="Indore"/>
    <x v="2"/>
    <x v="5"/>
    <s v="Elite Accessories 226"/>
    <s v="Second Class"/>
    <m/>
    <n v="0.15"/>
    <x v="751"/>
    <x v="751"/>
  </r>
  <r>
    <x v="0"/>
    <s v="Haryana"/>
    <s v="Gurugram"/>
    <x v="2"/>
    <x v="6"/>
    <s v="Pro Copiers 298"/>
    <s v="Second Class"/>
    <m/>
    <n v="0"/>
    <x v="752"/>
    <x v="752"/>
  </r>
  <r>
    <x v="2"/>
    <s v="Andhra Pradesh"/>
    <s v="Vijayawada"/>
    <x v="1"/>
    <x v="4"/>
    <s v="Prime Chairs 331"/>
    <s v="Standard Class"/>
    <m/>
    <n v="0.05"/>
    <x v="753"/>
    <x v="753"/>
  </r>
  <r>
    <x v="3"/>
    <s v="Rajasthan"/>
    <s v="Udaipur"/>
    <x v="1"/>
    <x v="4"/>
    <s v="Classic Chairs 798"/>
    <s v="Same Day"/>
    <m/>
    <n v="0.2"/>
    <x v="754"/>
    <x v="754"/>
  </r>
  <r>
    <x v="3"/>
    <s v="Rajasthan"/>
    <s v="Udaipur"/>
    <x v="0"/>
    <x v="7"/>
    <s v="Classic Labels 204"/>
    <s v="First Class"/>
    <m/>
    <n v="0.25"/>
    <x v="755"/>
    <x v="755"/>
  </r>
  <r>
    <x v="1"/>
    <s v="West Bengal"/>
    <s v="Kolkata"/>
    <x v="2"/>
    <x v="6"/>
    <s v="Basic Copiers 254"/>
    <s v="Standard Class"/>
    <m/>
    <n v="0.15"/>
    <x v="756"/>
    <x v="756"/>
  </r>
  <r>
    <x v="1"/>
    <s v="Bihar"/>
    <s v="Patna"/>
    <x v="0"/>
    <x v="2"/>
    <s v="Basic Art 709"/>
    <s v="Second Class"/>
    <m/>
    <n v="0.05"/>
    <x v="757"/>
    <x v="757"/>
  </r>
  <r>
    <x v="0"/>
    <s v="Punjab"/>
    <s v="Ludhiana"/>
    <x v="2"/>
    <x v="6"/>
    <s v="Max Copiers 551"/>
    <s v="First Class"/>
    <m/>
    <n v="0.05"/>
    <x v="758"/>
    <x v="758"/>
  </r>
  <r>
    <x v="0"/>
    <s v="Haryana"/>
    <s v="Gurugram"/>
    <x v="0"/>
    <x v="8"/>
    <s v="Eco Storage 183"/>
    <s v="Same Day"/>
    <m/>
    <n v="0.25"/>
    <x v="759"/>
    <x v="759"/>
  </r>
  <r>
    <x v="0"/>
    <s v="Rajasthan"/>
    <s v="Jaipur"/>
    <x v="1"/>
    <x v="3"/>
    <s v="Pro Furnishings 233"/>
    <s v="missing value"/>
    <m/>
    <n v="0.05"/>
    <x v="760"/>
    <x v="760"/>
  </r>
  <r>
    <x v="1"/>
    <s v="Bihar"/>
    <s v="Patna"/>
    <x v="0"/>
    <x v="0"/>
    <s v="Prime Paper 878"/>
    <s v="Second Class"/>
    <m/>
    <n v="0.05"/>
    <x v="761"/>
    <x v="761"/>
  </r>
  <r>
    <x v="0"/>
    <s v="Uttar Pradesh"/>
    <s v="Noida"/>
    <x v="1"/>
    <x v="4"/>
    <s v="Smart Chairs 353"/>
    <s v="Standard Class"/>
    <m/>
    <n v="0.1"/>
    <x v="762"/>
    <x v="762"/>
  </r>
  <r>
    <x v="4"/>
    <s v="Rajasthan"/>
    <s v="Udaipur"/>
    <x v="2"/>
    <x v="6"/>
    <s v="Smart Copiers 408"/>
    <s v="Same Day"/>
    <m/>
    <n v="0"/>
    <x v="763"/>
    <x v="763"/>
  </r>
  <r>
    <x v="2"/>
    <s v="Andhra Pradesh"/>
    <s v="Vijayawada"/>
    <x v="0"/>
    <x v="2"/>
    <s v="Classic Art 781"/>
    <s v="Standard Class"/>
    <m/>
    <n v="0.2"/>
    <x v="764"/>
    <x v="764"/>
  </r>
  <r>
    <x v="2"/>
    <s v="Karnataka"/>
    <s v="Bengaluru"/>
    <x v="1"/>
    <x v="10"/>
    <s v="Eco Bookcases 144"/>
    <s v="Same Day"/>
    <m/>
    <n v="0.25"/>
    <x v="765"/>
    <x v="765"/>
  </r>
  <r>
    <x v="1"/>
    <s v="Assam"/>
    <s v="Guwahati"/>
    <x v="1"/>
    <x v="3"/>
    <s v="Elite Furnishings 852"/>
    <s v="Second Class"/>
    <m/>
    <n v="0.2"/>
    <x v="766"/>
    <x v="766"/>
  </r>
  <r>
    <x v="0"/>
    <s v="Rajasthan"/>
    <s v="Jaipur"/>
    <x v="2"/>
    <x v="6"/>
    <s v="Basic Copiers 238"/>
    <s v="Second Class"/>
    <m/>
    <n v="0"/>
    <x v="767"/>
    <x v="767"/>
  </r>
  <r>
    <x v="1"/>
    <s v="Assam"/>
    <s v="Guwahati"/>
    <x v="0"/>
    <x v="0"/>
    <s v="Elite Paper 847"/>
    <s v="Standard Class"/>
    <m/>
    <n v="0.15"/>
    <x v="768"/>
    <x v="768"/>
  </r>
  <r>
    <x v="1"/>
    <s v="Odisha"/>
    <s v="Bhubaneswar"/>
    <x v="2"/>
    <x v="6"/>
    <s v="Pro Copiers 653"/>
    <s v="Same Day"/>
    <m/>
    <n v="0"/>
    <x v="769"/>
    <x v="769"/>
  </r>
  <r>
    <x v="2"/>
    <s v="Andhra Pradesh"/>
    <s v="Vijayawada"/>
    <x v="2"/>
    <x v="12"/>
    <s v="Elite Machines 459"/>
    <s v="First Class"/>
    <m/>
    <n v="0.15"/>
    <x v="770"/>
    <x v="770"/>
  </r>
  <r>
    <x v="1"/>
    <s v="Odisha"/>
    <s v="Bhubaneswar"/>
    <x v="0"/>
    <x v="9"/>
    <s v="Elite Binders 764"/>
    <s v="First Class"/>
    <m/>
    <n v="0"/>
    <x v="771"/>
    <x v="771"/>
  </r>
  <r>
    <x v="0"/>
    <s v="Delhi"/>
    <s v="New Delhi"/>
    <x v="1"/>
    <x v="3"/>
    <s v="Classic Furnishings 348"/>
    <s v="Standard Class"/>
    <m/>
    <n v="0"/>
    <x v="772"/>
    <x v="772"/>
  </r>
  <r>
    <x v="0"/>
    <s v="Haryana"/>
    <s v="Gurugram"/>
    <x v="2"/>
    <x v="5"/>
    <s v="Smart Accessories 487"/>
    <s v="missing value"/>
    <m/>
    <n v="0.05"/>
    <x v="773"/>
    <x v="773"/>
  </r>
  <r>
    <x v="3"/>
    <s v="Maharashtra"/>
    <s v="Mumbai"/>
    <x v="0"/>
    <x v="8"/>
    <s v="Elite Storage 825"/>
    <s v="Second Class"/>
    <m/>
    <n v="0.15"/>
    <x v="774"/>
    <x v="774"/>
  </r>
  <r>
    <x v="1"/>
    <s v="Odisha"/>
    <s v="Bhubaneswar"/>
    <x v="2"/>
    <x v="5"/>
    <s v="Pro Accessories 500"/>
    <s v="Second Class"/>
    <m/>
    <n v="0.2"/>
    <x v="775"/>
    <x v="775"/>
  </r>
  <r>
    <x v="1"/>
    <s v="Assam"/>
    <s v="Guwahati"/>
    <x v="1"/>
    <x v="3"/>
    <s v="Pro Furnishings 909"/>
    <s v="Second Class"/>
    <m/>
    <n v="0"/>
    <x v="776"/>
    <x v="776"/>
  </r>
  <r>
    <x v="4"/>
    <s v="Jharkhand"/>
    <s v="Ranchi"/>
    <x v="0"/>
    <x v="7"/>
    <s v="Basic Labels 359"/>
    <s v="First Class"/>
    <m/>
    <n v="0"/>
    <x v="777"/>
    <x v="777"/>
  </r>
  <r>
    <x v="2"/>
    <s v="Telangana"/>
    <s v="Hyderabad"/>
    <x v="1"/>
    <x v="3"/>
    <s v="Eco Furnishings 541"/>
    <s v="Standard Class"/>
    <m/>
    <n v="0.05"/>
    <x v="778"/>
    <x v="778"/>
  </r>
  <r>
    <x v="1"/>
    <s v="Assam"/>
    <s v="Guwahati"/>
    <x v="0"/>
    <x v="9"/>
    <s v="Classic Binders 103"/>
    <s v="Second Class"/>
    <m/>
    <n v="0.25"/>
    <x v="779"/>
    <x v="779"/>
  </r>
  <r>
    <x v="0"/>
    <s v="Rajasthan"/>
    <s v="Jaipur"/>
    <x v="2"/>
    <x v="6"/>
    <s v="Max Copiers 560"/>
    <s v="Standard Class"/>
    <m/>
    <n v="0.2"/>
    <x v="780"/>
    <x v="780"/>
  </r>
  <r>
    <x v="2"/>
    <s v="Telangana"/>
    <s v="Hyderabad"/>
    <x v="0"/>
    <x v="7"/>
    <s v="Smart Labels 436"/>
    <s v="Standard Class"/>
    <m/>
    <n v="0.1"/>
    <x v="781"/>
    <x v="781"/>
  </r>
  <r>
    <x v="2"/>
    <s v="Tamil Nadu"/>
    <s v="Chennai"/>
    <x v="1"/>
    <x v="3"/>
    <s v="Pro Furnishings 386"/>
    <s v="First Class"/>
    <m/>
    <n v="0.2"/>
    <x v="782"/>
    <x v="782"/>
  </r>
  <r>
    <x v="4"/>
    <s v="Punjab"/>
    <s v="Ludhiana"/>
    <x v="0"/>
    <x v="9"/>
    <s v="Eco Binders 601"/>
    <s v="Second Class"/>
    <m/>
    <n v="0.1"/>
    <x v="783"/>
    <x v="783"/>
  </r>
  <r>
    <x v="3"/>
    <s v="Gujarat"/>
    <s v="Ahmedabad"/>
    <x v="2"/>
    <x v="6"/>
    <s v="Pro Copiers 867"/>
    <s v="First Class"/>
    <m/>
    <n v="0.25"/>
    <x v="784"/>
    <x v="784"/>
  </r>
  <r>
    <x v="0"/>
    <s v="Haryana"/>
    <s v="Gurugram"/>
    <x v="2"/>
    <x v="5"/>
    <s v="Eco Accessories 122"/>
    <s v="First Class"/>
    <m/>
    <n v="0.2"/>
    <x v="785"/>
    <x v="785"/>
  </r>
  <r>
    <x v="1"/>
    <s v="Jharkhand"/>
    <s v="Ranchi"/>
    <x v="1"/>
    <x v="1"/>
    <s v="Basic Tables 127"/>
    <s v="First Class"/>
    <m/>
    <n v="0"/>
    <x v="786"/>
    <x v="786"/>
  </r>
  <r>
    <x v="1"/>
    <s v="Odisha"/>
    <s v="Bhubaneswar"/>
    <x v="1"/>
    <x v="10"/>
    <s v="Elite Bookcases 988"/>
    <s v="Standard Class"/>
    <m/>
    <n v="0"/>
    <x v="787"/>
    <x v="787"/>
  </r>
  <r>
    <x v="3"/>
    <s v="Madhya Pradesh"/>
    <s v="Indore"/>
    <x v="0"/>
    <x v="7"/>
    <s v="Smart Labels 126"/>
    <s v="First Class"/>
    <m/>
    <n v="0.25"/>
    <x v="788"/>
    <x v="788"/>
  </r>
  <r>
    <x v="1"/>
    <s v="Odisha"/>
    <s v="Bhubaneswar"/>
    <x v="2"/>
    <x v="12"/>
    <s v="Max Machines 569"/>
    <s v="Standard Class"/>
    <m/>
    <n v="0.15"/>
    <x v="789"/>
    <x v="789"/>
  </r>
  <r>
    <x v="1"/>
    <s v="Jharkhand"/>
    <s v="Ranchi"/>
    <x v="1"/>
    <x v="3"/>
    <s v="Basic Furnishings 306"/>
    <s v="First Class"/>
    <m/>
    <n v="0.1"/>
    <x v="790"/>
    <x v="790"/>
  </r>
  <r>
    <x v="1"/>
    <s v="Bihar"/>
    <s v="Patna"/>
    <x v="0"/>
    <x v="9"/>
    <s v="Classic Binders 873"/>
    <s v="Standard Class"/>
    <m/>
    <n v="0.25"/>
    <x v="791"/>
    <x v="791"/>
  </r>
  <r>
    <x v="3"/>
    <s v="Maharashtra"/>
    <s v="Mumbai"/>
    <x v="0"/>
    <x v="7"/>
    <s v="Pro Labels 611"/>
    <s v="First Class"/>
    <m/>
    <s v="invalid"/>
    <x v="2"/>
    <x v="2"/>
  </r>
  <r>
    <x v="2"/>
    <s v="Kerala"/>
    <s v="Kochi"/>
    <x v="2"/>
    <x v="12"/>
    <s v="Prime Machines 524"/>
    <s v="Standard Class"/>
    <m/>
    <n v="0"/>
    <x v="792"/>
    <x v="792"/>
  </r>
  <r>
    <x v="0"/>
    <s v="Uttar Pradesh"/>
    <s v="Noida"/>
    <x v="1"/>
    <x v="10"/>
    <s v="Classic Bookcases 882"/>
    <s v="Standard Class"/>
    <m/>
    <n v="0.2"/>
    <x v="793"/>
    <x v="793"/>
  </r>
  <r>
    <x v="2"/>
    <s v="Karnataka"/>
    <s v="Bengaluru"/>
    <x v="2"/>
    <x v="5"/>
    <s v="Classic Accessories 471"/>
    <s v="First Class"/>
    <m/>
    <n v="0.2"/>
    <x v="794"/>
    <x v="794"/>
  </r>
  <r>
    <x v="1"/>
    <s v="Assam"/>
    <s v="Guwahati"/>
    <x v="1"/>
    <x v="3"/>
    <s v="Smart Furnishings 175"/>
    <s v="Second Class"/>
    <m/>
    <n v="0.2"/>
    <x v="795"/>
    <x v="795"/>
  </r>
  <r>
    <x v="3"/>
    <s v="Goa"/>
    <s v="Panaji"/>
    <x v="0"/>
    <x v="0"/>
    <s v="Basic Paper 899"/>
    <s v="Same Day"/>
    <m/>
    <n v="0.15"/>
    <x v="796"/>
    <x v="796"/>
  </r>
  <r>
    <x v="3"/>
    <s v="Goa"/>
    <s v="Panaji"/>
    <x v="0"/>
    <x v="0"/>
    <s v="Pro Paper 267"/>
    <s v="First Class"/>
    <m/>
    <n v="0.05"/>
    <x v="797"/>
    <x v="797"/>
  </r>
  <r>
    <x v="0"/>
    <s v="Uttar Pradesh"/>
    <s v="Noida"/>
    <x v="2"/>
    <x v="12"/>
    <s v="Basic Machines 832"/>
    <s v="First Class"/>
    <m/>
    <n v="0"/>
    <x v="798"/>
    <x v="798"/>
  </r>
  <r>
    <x v="3"/>
    <s v="Rajasthan"/>
    <s v="Udaipur"/>
    <x v="2"/>
    <x v="5"/>
    <s v="Elite Accessories 790"/>
    <s v="Standard Class"/>
    <m/>
    <n v="0.25"/>
    <x v="799"/>
    <x v="799"/>
  </r>
  <r>
    <x v="2"/>
    <s v="Tamil Nadu"/>
    <s v="Chennai"/>
    <x v="0"/>
    <x v="0"/>
    <s v="Basic Paper 707"/>
    <s v="Same Day"/>
    <m/>
    <n v="0.25"/>
    <x v="800"/>
    <x v="800"/>
  </r>
  <r>
    <x v="1"/>
    <s v="Odisha"/>
    <s v="Bhubaneswar"/>
    <x v="1"/>
    <x v="4"/>
    <s v="Elite Chairs 979"/>
    <s v="Second Class"/>
    <m/>
    <n v="0.05"/>
    <x v="801"/>
    <x v="801"/>
  </r>
  <r>
    <x v="3"/>
    <s v="Goa"/>
    <s v="Panaji"/>
    <x v="1"/>
    <x v="3"/>
    <s v="Pro Furnishings 192"/>
    <s v="Second Class"/>
    <m/>
    <n v="0.1"/>
    <x v="802"/>
    <x v="802"/>
  </r>
  <r>
    <x v="4"/>
    <s v="Tamil Nadu"/>
    <s v="Chennai"/>
    <x v="2"/>
    <x v="12"/>
    <s v="Smart Machines 951"/>
    <s v="First Class"/>
    <m/>
    <n v="0.1"/>
    <x v="803"/>
    <x v="803"/>
  </r>
  <r>
    <x v="4"/>
    <s v="Haryana"/>
    <s v="Gurugram"/>
    <x v="1"/>
    <x v="4"/>
    <s v="Smart Chairs 794"/>
    <s v="First Class"/>
    <m/>
    <n v="0.15"/>
    <x v="804"/>
    <x v="804"/>
  </r>
  <r>
    <x v="2"/>
    <s v="Andhra Pradesh"/>
    <s v="Vijayawada"/>
    <x v="2"/>
    <x v="11"/>
    <s v="Max Phones 919"/>
    <s v="Second Class"/>
    <m/>
    <n v="0.05"/>
    <x v="805"/>
    <x v="805"/>
  </r>
  <r>
    <x v="1"/>
    <s v="West Bengal"/>
    <s v="Kolkata"/>
    <x v="1"/>
    <x v="10"/>
    <s v="Basic Bookcases 499"/>
    <s v="First Class"/>
    <m/>
    <n v="0"/>
    <x v="806"/>
    <x v="806"/>
  </r>
  <r>
    <x v="2"/>
    <s v="Telangana"/>
    <s v="Hyderabad"/>
    <x v="0"/>
    <x v="2"/>
    <s v="Basic Art 143"/>
    <s v="First Class"/>
    <m/>
    <n v="0"/>
    <x v="807"/>
    <x v="807"/>
  </r>
  <r>
    <x v="1"/>
    <s v="Assam"/>
    <s v="Guwahati"/>
    <x v="2"/>
    <x v="11"/>
    <s v="Prime Phones 338"/>
    <s v="Second Class"/>
    <m/>
    <n v="0.05"/>
    <x v="808"/>
    <x v="808"/>
  </r>
  <r>
    <x v="0"/>
    <s v="Rajasthan"/>
    <s v="Jaipur"/>
    <x v="0"/>
    <x v="7"/>
    <s v="Smart Labels 814"/>
    <s v="Second Class"/>
    <m/>
    <n v="0"/>
    <x v="809"/>
    <x v="809"/>
  </r>
  <r>
    <x v="3"/>
    <s v="Maharashtra"/>
    <s v="Mumbai"/>
    <x v="0"/>
    <x v="0"/>
    <s v="Prime Paper 812"/>
    <s v="First Class"/>
    <m/>
    <n v="0.25"/>
    <x v="810"/>
    <x v="810"/>
  </r>
  <r>
    <x v="3"/>
    <s v="Goa"/>
    <s v="Panaji"/>
    <x v="0"/>
    <x v="0"/>
    <s v="Pro Paper 355"/>
    <s v="Same Day"/>
    <m/>
    <n v="0"/>
    <x v="811"/>
    <x v="811"/>
  </r>
  <r>
    <x v="1"/>
    <s v="Odisha"/>
    <s v="Bhubaneswar"/>
    <x v="2"/>
    <x v="11"/>
    <s v="Basic Phones 398"/>
    <s v="Standard Class"/>
    <m/>
    <n v="0.1"/>
    <x v="812"/>
    <x v="812"/>
  </r>
  <r>
    <x v="0"/>
    <s v="Delhi"/>
    <s v="New Delhi"/>
    <x v="1"/>
    <x v="4"/>
    <s v="Classic Chairs 204"/>
    <s v="Same Day"/>
    <m/>
    <n v="0"/>
    <x v="813"/>
    <x v="813"/>
  </r>
  <r>
    <x v="1"/>
    <s v="Bihar"/>
    <s v="Patna"/>
    <x v="0"/>
    <x v="2"/>
    <s v="Max Art 339"/>
    <s v="Standard Class"/>
    <m/>
    <n v="0.25"/>
    <x v="814"/>
    <x v="814"/>
  </r>
  <r>
    <x v="0"/>
    <s v="Haryana"/>
    <s v="Gurugram"/>
    <x v="2"/>
    <x v="12"/>
    <s v="Smart Machines 581"/>
    <s v="First Class"/>
    <m/>
    <n v="0.15"/>
    <x v="815"/>
    <x v="815"/>
  </r>
  <r>
    <x v="0"/>
    <s v="Uttar Pradesh"/>
    <s v="Noida"/>
    <x v="2"/>
    <x v="11"/>
    <s v="Prime Phones 482"/>
    <s v="First Class"/>
    <m/>
    <s v="invalid"/>
    <x v="2"/>
    <x v="2"/>
  </r>
  <r>
    <x v="3"/>
    <s v="Goa"/>
    <s v="Panaji"/>
    <x v="0"/>
    <x v="2"/>
    <s v="Pro Art 588"/>
    <s v="First Class"/>
    <m/>
    <n v="0"/>
    <x v="816"/>
    <x v="816"/>
  </r>
  <r>
    <x v="1"/>
    <s v="Odisha"/>
    <s v="Bhubaneswar"/>
    <x v="1"/>
    <x v="1"/>
    <s v="Eco Tables 792"/>
    <s v="First Class"/>
    <m/>
    <n v="0.25"/>
    <x v="817"/>
    <x v="817"/>
  </r>
  <r>
    <x v="3"/>
    <s v="Gujarat"/>
    <s v="Ahmedabad"/>
    <x v="1"/>
    <x v="10"/>
    <s v="Prime Bookcases 177"/>
    <s v="Standard Class"/>
    <m/>
    <n v="0"/>
    <x v="818"/>
    <x v="818"/>
  </r>
  <r>
    <x v="1"/>
    <s v="Odisha"/>
    <s v="Bhubaneswar"/>
    <x v="1"/>
    <x v="1"/>
    <s v="Pro Tables 828"/>
    <s v="Second Class"/>
    <m/>
    <n v="0.2"/>
    <x v="819"/>
    <x v="819"/>
  </r>
  <r>
    <x v="2"/>
    <s v="Tamil Nadu"/>
    <s v="Chennai"/>
    <x v="1"/>
    <x v="3"/>
    <s v="Elite Furnishings 480"/>
    <s v="Second Class"/>
    <m/>
    <n v="0.25"/>
    <x v="820"/>
    <x v="820"/>
  </r>
  <r>
    <x v="3"/>
    <s v="Gujarat"/>
    <s v="Ahmedabad"/>
    <x v="1"/>
    <x v="10"/>
    <s v="Prime Bookcases 755"/>
    <s v="Standard Class"/>
    <m/>
    <n v="0.2"/>
    <x v="821"/>
    <x v="821"/>
  </r>
  <r>
    <x v="1"/>
    <s v="West Bengal"/>
    <s v="Kolkata"/>
    <x v="0"/>
    <x v="0"/>
    <s v="Prime Paper 317"/>
    <s v="First Class"/>
    <m/>
    <n v="0"/>
    <x v="822"/>
    <x v="822"/>
  </r>
  <r>
    <x v="3"/>
    <s v="Gujarat"/>
    <s v="Ahmedabad"/>
    <x v="2"/>
    <x v="5"/>
    <s v="Classic Accessories 933"/>
    <s v="First Class"/>
    <m/>
    <n v="0.2"/>
    <x v="823"/>
    <x v="823"/>
  </r>
  <r>
    <x v="1"/>
    <s v="Assam"/>
    <s v="Guwahati"/>
    <x v="1"/>
    <x v="1"/>
    <s v="Smart Tables 513"/>
    <s v="Second Class"/>
    <m/>
    <n v="0.15"/>
    <x v="824"/>
    <x v="824"/>
  </r>
  <r>
    <x v="2"/>
    <s v="Tamil Nadu"/>
    <s v="Chennai"/>
    <x v="2"/>
    <x v="5"/>
    <s v="Elite Accessories 708"/>
    <s v="Same Day"/>
    <m/>
    <n v="0.2"/>
    <x v="825"/>
    <x v="825"/>
  </r>
  <r>
    <x v="2"/>
    <s v="Karnataka"/>
    <s v="Bengaluru"/>
    <x v="1"/>
    <x v="10"/>
    <s v="Max Bookcases 381"/>
    <s v="Second Class"/>
    <m/>
    <n v="0.05"/>
    <x v="826"/>
    <x v="826"/>
  </r>
  <r>
    <x v="0"/>
    <s v="Rajasthan"/>
    <s v="Jaipur"/>
    <x v="0"/>
    <x v="7"/>
    <s v="Classic Labels 215"/>
    <s v="Second Class"/>
    <m/>
    <n v="0.25"/>
    <x v="827"/>
    <x v="827"/>
  </r>
  <r>
    <x v="2"/>
    <s v="Tamil Nadu"/>
    <s v="Chennai"/>
    <x v="0"/>
    <x v="8"/>
    <s v="Classic Storage 918"/>
    <s v="Standard Class"/>
    <m/>
    <s v="invalid"/>
    <x v="2"/>
    <x v="2"/>
  </r>
  <r>
    <x v="2"/>
    <s v="Kerala"/>
    <s v="Kochi"/>
    <x v="0"/>
    <x v="8"/>
    <s v="Max Storage 223"/>
    <s v="First Class"/>
    <m/>
    <n v="0.25"/>
    <x v="828"/>
    <x v="828"/>
  </r>
  <r>
    <x v="1"/>
    <s v="Odisha"/>
    <s v="Bhubaneswar"/>
    <x v="2"/>
    <x v="5"/>
    <s v="Basic Accessories 602"/>
    <s v="Second Class"/>
    <m/>
    <n v="0"/>
    <x v="829"/>
    <x v="829"/>
  </r>
  <r>
    <x v="2"/>
    <s v="Tamil Nadu"/>
    <s v="Chennai"/>
    <x v="2"/>
    <x v="11"/>
    <s v="Elite Phones 394"/>
    <s v="Standard Class"/>
    <m/>
    <n v="0.05"/>
    <x v="830"/>
    <x v="830"/>
  </r>
  <r>
    <x v="0"/>
    <s v="Uttar Pradesh"/>
    <s v="Noida"/>
    <x v="0"/>
    <x v="8"/>
    <s v="Classic Storage 194"/>
    <s v="Second Class"/>
    <m/>
    <n v="0.05"/>
    <x v="831"/>
    <x v="831"/>
  </r>
  <r>
    <x v="0"/>
    <s v="Delhi"/>
    <s v="New Delhi"/>
    <x v="1"/>
    <x v="3"/>
    <s v="Smart Furnishings 892"/>
    <s v="Same Day"/>
    <m/>
    <n v="0.2"/>
    <x v="832"/>
    <x v="832"/>
  </r>
  <r>
    <x v="1"/>
    <s v="Jharkhand"/>
    <s v="Ranchi"/>
    <x v="0"/>
    <x v="9"/>
    <s v="Pro Binders 488"/>
    <s v="First Class"/>
    <m/>
    <n v="0"/>
    <x v="833"/>
    <x v="833"/>
  </r>
  <r>
    <x v="3"/>
    <s v="Madhya Pradesh"/>
    <s v="Indore"/>
    <x v="1"/>
    <x v="3"/>
    <s v="Prime Furnishings 679"/>
    <s v="Same Day"/>
    <m/>
    <n v="0"/>
    <x v="834"/>
    <x v="834"/>
  </r>
  <r>
    <x v="2"/>
    <s v="Tamil Nadu"/>
    <s v="Chennai"/>
    <x v="2"/>
    <x v="11"/>
    <s v="Smart Phones 158"/>
    <s v="First Class"/>
    <m/>
    <n v="0"/>
    <x v="835"/>
    <x v="835"/>
  </r>
  <r>
    <x v="3"/>
    <s v="Maharashtra"/>
    <s v="Mumbai"/>
    <x v="0"/>
    <x v="7"/>
    <s v="Classic Labels 218"/>
    <s v="Second Class"/>
    <m/>
    <n v="0"/>
    <x v="836"/>
    <x v="836"/>
  </r>
  <r>
    <x v="1"/>
    <s v="Bihar"/>
    <s v="Patna"/>
    <x v="1"/>
    <x v="10"/>
    <s v="Smart Bookcases 552"/>
    <s v="First Class"/>
    <m/>
    <n v="0.2"/>
    <x v="837"/>
    <x v="837"/>
  </r>
  <r>
    <x v="2"/>
    <s v="Andhra Pradesh"/>
    <s v="Vijayawada"/>
    <x v="2"/>
    <x v="5"/>
    <s v="Eco Accessories 389"/>
    <s v="Same Day"/>
    <m/>
    <n v="0.25"/>
    <x v="838"/>
    <x v="838"/>
  </r>
  <r>
    <x v="2"/>
    <s v="Karnataka"/>
    <s v="Bengaluru"/>
    <x v="0"/>
    <x v="8"/>
    <s v="Elite Storage 187"/>
    <s v="Same Day"/>
    <m/>
    <n v="0.05"/>
    <x v="839"/>
    <x v="839"/>
  </r>
  <r>
    <x v="4"/>
    <s v="Delhi"/>
    <s v="New Delhi"/>
    <x v="1"/>
    <x v="4"/>
    <s v="Max Chairs 487"/>
    <s v="Same Day"/>
    <m/>
    <n v="0.1"/>
    <x v="840"/>
    <x v="840"/>
  </r>
  <r>
    <x v="3"/>
    <s v="Goa"/>
    <s v="Panaji"/>
    <x v="1"/>
    <x v="1"/>
    <s v="Max Tables 281"/>
    <s v="Standard Class"/>
    <m/>
    <n v="0.15"/>
    <x v="841"/>
    <x v="841"/>
  </r>
  <r>
    <x v="2"/>
    <s v="Telangana"/>
    <s v="Hyderabad"/>
    <x v="2"/>
    <x v="5"/>
    <s v="Pro Accessories 325"/>
    <s v="First Class"/>
    <m/>
    <n v="0"/>
    <x v="842"/>
    <x v="842"/>
  </r>
  <r>
    <x v="1"/>
    <s v="West Bengal"/>
    <s v="Kolkata"/>
    <x v="1"/>
    <x v="3"/>
    <s v="Prime Furnishings 178"/>
    <s v="Standard Class"/>
    <m/>
    <n v="0.2"/>
    <x v="843"/>
    <x v="843"/>
  </r>
  <r>
    <x v="3"/>
    <s v="Gujarat"/>
    <s v="Ahmedabad"/>
    <x v="0"/>
    <x v="8"/>
    <s v="Elite Storage 144"/>
    <s v="Second Class"/>
    <m/>
    <n v="0.1"/>
    <x v="844"/>
    <x v="844"/>
  </r>
  <r>
    <x v="3"/>
    <s v="Maharashtra"/>
    <s v="Mumbai"/>
    <x v="0"/>
    <x v="0"/>
    <s v="Elite Paper 309"/>
    <s v="Standard Class"/>
    <m/>
    <n v="0.05"/>
    <x v="845"/>
    <x v="845"/>
  </r>
  <r>
    <x v="3"/>
    <s v="Maharashtra"/>
    <s v="Mumbai"/>
    <x v="2"/>
    <x v="6"/>
    <s v="Elite Copiers 752"/>
    <s v="First Class"/>
    <m/>
    <n v="0.2"/>
    <x v="846"/>
    <x v="846"/>
  </r>
  <r>
    <x v="3"/>
    <s v="Rajasthan"/>
    <s v="Udaipur"/>
    <x v="1"/>
    <x v="4"/>
    <s v="Pro Chairs 316"/>
    <s v="First Class"/>
    <m/>
    <n v="0"/>
    <x v="847"/>
    <x v="847"/>
  </r>
  <r>
    <x v="3"/>
    <s v="Rajasthan"/>
    <s v="Udaipur"/>
    <x v="0"/>
    <x v="8"/>
    <s v="Max Storage 438"/>
    <s v="Second Class"/>
    <m/>
    <n v="0.1"/>
    <x v="848"/>
    <x v="848"/>
  </r>
  <r>
    <x v="1"/>
    <s v="West Bengal"/>
    <s v="Kolkata"/>
    <x v="0"/>
    <x v="0"/>
    <s v="Basic Paper 904"/>
    <s v="First Class"/>
    <m/>
    <n v="0.05"/>
    <x v="849"/>
    <x v="849"/>
  </r>
  <r>
    <x v="0"/>
    <s v="Uttar Pradesh"/>
    <s v="Noida"/>
    <x v="0"/>
    <x v="2"/>
    <s v="Smart Art 990"/>
    <s v="Standard Class"/>
    <m/>
    <n v="0.15"/>
    <x v="850"/>
    <x v="850"/>
  </r>
  <r>
    <x v="4"/>
    <s v="Punjab"/>
    <s v="Ludhiana"/>
    <x v="1"/>
    <x v="4"/>
    <s v="Basic Chairs 327"/>
    <s v="First Class"/>
    <m/>
    <n v="0"/>
    <x v="851"/>
    <x v="851"/>
  </r>
  <r>
    <x v="2"/>
    <s v="Andhra Pradesh"/>
    <s v="Vijayawada"/>
    <x v="2"/>
    <x v="6"/>
    <s v="Eco Copiers 987"/>
    <s v="Second Class"/>
    <m/>
    <n v="0.25"/>
    <x v="852"/>
    <x v="852"/>
  </r>
  <r>
    <x v="1"/>
    <s v="Bihar"/>
    <s v="Patna"/>
    <x v="2"/>
    <x v="5"/>
    <s v="Basic Accessories 607"/>
    <s v="Standard Class"/>
    <m/>
    <n v="0"/>
    <x v="853"/>
    <x v="853"/>
  </r>
  <r>
    <x v="3"/>
    <s v="Goa"/>
    <s v="Panaji"/>
    <x v="0"/>
    <x v="8"/>
    <s v="Classic Storage 211"/>
    <s v="Same Day"/>
    <m/>
    <n v="0"/>
    <x v="854"/>
    <x v="854"/>
  </r>
  <r>
    <x v="2"/>
    <s v="Karnataka"/>
    <s v="Bengaluru"/>
    <x v="0"/>
    <x v="8"/>
    <s v="Eco Storage 783"/>
    <s v="Same Day"/>
    <m/>
    <n v="0.15"/>
    <x v="855"/>
    <x v="855"/>
  </r>
  <r>
    <x v="0"/>
    <s v="Rajasthan"/>
    <s v="Jaipur"/>
    <x v="1"/>
    <x v="1"/>
    <s v="Pro Tables 866"/>
    <s v="Standard Class"/>
    <m/>
    <n v="0.25"/>
    <x v="856"/>
    <x v="856"/>
  </r>
  <r>
    <x v="2"/>
    <s v="Tamil Nadu"/>
    <s v="Chennai"/>
    <x v="2"/>
    <x v="5"/>
    <s v="Max Accessories 541"/>
    <s v="First Class"/>
    <m/>
    <n v="0.15"/>
    <x v="857"/>
    <x v="857"/>
  </r>
  <r>
    <x v="2"/>
    <s v="Andhra Pradesh"/>
    <s v="Vijayawada"/>
    <x v="0"/>
    <x v="2"/>
    <s v="Prime Art 596"/>
    <s v="Standard Class"/>
    <m/>
    <n v="0"/>
    <x v="858"/>
    <x v="858"/>
  </r>
  <r>
    <x v="3"/>
    <s v="Maharashtra"/>
    <s v="Mumbai"/>
    <x v="0"/>
    <x v="2"/>
    <s v="Pro Art 620"/>
    <s v="Standard Class"/>
    <m/>
    <n v="0.1"/>
    <x v="859"/>
    <x v="859"/>
  </r>
  <r>
    <x v="3"/>
    <s v="Madhya Pradesh"/>
    <s v="Indore"/>
    <x v="0"/>
    <x v="8"/>
    <s v="Prime Storage 806"/>
    <s v="First Class"/>
    <m/>
    <n v="0.25"/>
    <x v="860"/>
    <x v="860"/>
  </r>
  <r>
    <x v="3"/>
    <s v="Goa"/>
    <s v="Panaji"/>
    <x v="0"/>
    <x v="8"/>
    <s v="Smart Storage 288"/>
    <s v="Standard Class"/>
    <m/>
    <n v="0.2"/>
    <x v="861"/>
    <x v="861"/>
  </r>
  <r>
    <x v="2"/>
    <s v="Tamil Nadu"/>
    <s v="Chennai"/>
    <x v="2"/>
    <x v="12"/>
    <s v="Elite Machines 281"/>
    <s v="Same Day"/>
    <m/>
    <n v="0.1"/>
    <x v="862"/>
    <x v="862"/>
  </r>
  <r>
    <x v="1"/>
    <s v="Jharkhand"/>
    <s v="Ranchi"/>
    <x v="2"/>
    <x v="6"/>
    <s v="Elite Copiers 221"/>
    <s v="Same Day"/>
    <m/>
    <n v="0.2"/>
    <x v="863"/>
    <x v="863"/>
  </r>
  <r>
    <x v="2"/>
    <s v="Karnataka"/>
    <s v="Bengaluru"/>
    <x v="1"/>
    <x v="1"/>
    <s v="Max Tables 291"/>
    <s v="Second Class"/>
    <m/>
    <n v="0.05"/>
    <x v="864"/>
    <x v="864"/>
  </r>
  <r>
    <x v="2"/>
    <s v="Telangana"/>
    <s v="Hyderabad"/>
    <x v="1"/>
    <x v="1"/>
    <s v="Classic Tables 638"/>
    <s v="First Class"/>
    <m/>
    <n v="0"/>
    <x v="865"/>
    <x v="865"/>
  </r>
  <r>
    <x v="2"/>
    <s v="Kerala"/>
    <s v="Kochi"/>
    <x v="1"/>
    <x v="4"/>
    <s v="Basic Chairs 212"/>
    <s v="Same Day"/>
    <m/>
    <n v="0.15"/>
    <x v="866"/>
    <x v="866"/>
  </r>
  <r>
    <x v="2"/>
    <s v="Tamil Nadu"/>
    <s v="Chennai"/>
    <x v="2"/>
    <x v="6"/>
    <s v="Max Copiers 121"/>
    <s v="Second Class"/>
    <m/>
    <n v="0.05"/>
    <x v="867"/>
    <x v="867"/>
  </r>
  <r>
    <x v="0"/>
    <s v="Haryana"/>
    <s v="Gurugram"/>
    <x v="0"/>
    <x v="0"/>
    <s v="Eco Paper 747"/>
    <s v="First Class"/>
    <m/>
    <n v="0.05"/>
    <x v="868"/>
    <x v="868"/>
  </r>
  <r>
    <x v="0"/>
    <s v="Delhi"/>
    <s v="New Delhi"/>
    <x v="1"/>
    <x v="1"/>
    <s v="Classic Tables 535"/>
    <s v="First Class"/>
    <m/>
    <n v="0.2"/>
    <x v="869"/>
    <x v="869"/>
  </r>
  <r>
    <x v="0"/>
    <s v="Punjab"/>
    <s v="Ludhiana"/>
    <x v="1"/>
    <x v="4"/>
    <s v="Elite Chairs 971"/>
    <s v="First Class"/>
    <m/>
    <n v="0.25"/>
    <x v="870"/>
    <x v="870"/>
  </r>
  <r>
    <x v="1"/>
    <s v="Odisha"/>
    <s v="Bhubaneswar"/>
    <x v="2"/>
    <x v="6"/>
    <s v="Prime Copiers 557"/>
    <s v="Second Class"/>
    <m/>
    <n v="0.1"/>
    <x v="484"/>
    <x v="484"/>
  </r>
  <r>
    <x v="1"/>
    <s v="West Bengal"/>
    <s v="Kolkata"/>
    <x v="2"/>
    <x v="6"/>
    <s v="Eco Copiers 268"/>
    <s v="Same Day"/>
    <m/>
    <n v="0.25"/>
    <x v="578"/>
    <x v="578"/>
  </r>
  <r>
    <x v="2"/>
    <s v="Andhra Pradesh"/>
    <s v="Vijayawada"/>
    <x v="0"/>
    <x v="8"/>
    <s v="Classic Storage 291"/>
    <s v="First Class"/>
    <m/>
    <n v="0.15"/>
    <x v="669"/>
    <x v="669"/>
  </r>
  <r>
    <x v="2"/>
    <s v="Tamil Nadu"/>
    <s v="Chennai"/>
    <x v="1"/>
    <x v="10"/>
    <s v="Max Bookcases 738"/>
    <s v="missing value"/>
    <m/>
    <n v="0.15"/>
    <x v="679"/>
    <x v="679"/>
  </r>
  <r>
    <x v="4"/>
    <s v="Assam"/>
    <s v="Guwahati"/>
    <x v="1"/>
    <x v="4"/>
    <s v="Basic Chairs 141"/>
    <s v="Second Class"/>
    <m/>
    <s v="invalid"/>
    <x v="2"/>
    <x v="2"/>
  </r>
  <r>
    <x v="2"/>
    <s v="Karnataka"/>
    <s v="Bengaluru"/>
    <x v="1"/>
    <x v="3"/>
    <s v="Smart Furnishings 721"/>
    <s v="First Class"/>
    <m/>
    <n v="0"/>
    <x v="611"/>
    <x v="611"/>
  </r>
  <r>
    <x v="2"/>
    <s v="Tamil Nadu"/>
    <s v="Chennai"/>
    <x v="2"/>
    <x v="12"/>
    <s v="Pro Machines 563"/>
    <s v="Same Day"/>
    <m/>
    <n v="0.15"/>
    <x v="703"/>
    <x v="703"/>
  </r>
  <r>
    <x v="3"/>
    <s v="Goa"/>
    <s v="Panaji"/>
    <x v="2"/>
    <x v="11"/>
    <s v="Prime Phones 419"/>
    <s v="Second Class"/>
    <m/>
    <n v="0.15"/>
    <x v="128"/>
    <x v="128"/>
  </r>
  <r>
    <x v="3"/>
    <s v="Gujarat"/>
    <s v="Ahmedabad"/>
    <x v="0"/>
    <x v="2"/>
    <s v="Pro Art 447"/>
    <s v="Same Day"/>
    <m/>
    <n v="0.2"/>
    <x v="693"/>
    <x v="693"/>
  </r>
  <r>
    <x v="2"/>
    <s v="Andhra Pradesh"/>
    <s v="Vijayawada"/>
    <x v="0"/>
    <x v="0"/>
    <s v="Elite Paper 308"/>
    <s v="Same Day"/>
    <m/>
    <n v="0.25"/>
    <x v="385"/>
    <x v="385"/>
  </r>
  <r>
    <x v="0"/>
    <s v="Punjab"/>
    <s v="Ludhiana"/>
    <x v="2"/>
    <x v="6"/>
    <s v="Max Copiers 970"/>
    <s v="Same Day"/>
    <m/>
    <n v="0"/>
    <x v="119"/>
    <x v="119"/>
  </r>
  <r>
    <x v="1"/>
    <s v="West Bengal"/>
    <s v="Kolkata"/>
    <x v="1"/>
    <x v="3"/>
    <s v="Prime Furnishings 781"/>
    <s v="Standard Class"/>
    <m/>
    <n v="0.15"/>
    <x v="241"/>
    <x v="241"/>
  </r>
  <r>
    <x v="1"/>
    <s v="Odisha"/>
    <s v="Bhubaneswar"/>
    <x v="0"/>
    <x v="8"/>
    <s v="Basic Storage 360"/>
    <s v="Same Day"/>
    <m/>
    <n v="0"/>
    <x v="363"/>
    <x v="363"/>
  </r>
  <r>
    <x v="2"/>
    <s v="Karnataka"/>
    <s v="Bengaluru"/>
    <x v="2"/>
    <x v="6"/>
    <s v="Prime Copiers 961"/>
    <s v="Standard Class"/>
    <m/>
    <n v="0"/>
    <x v="270"/>
    <x v="270"/>
  </r>
  <r>
    <x v="3"/>
    <s v="Madhya Pradesh"/>
    <s v="Indore"/>
    <x v="1"/>
    <x v="4"/>
    <s v="Smart Chairs 259"/>
    <s v="First Class"/>
    <m/>
    <n v="0"/>
    <x v="686"/>
    <x v="686"/>
  </r>
  <r>
    <x v="2"/>
    <s v="Telangana"/>
    <s v="Hyderabad"/>
    <x v="0"/>
    <x v="2"/>
    <s v="Pro Art 287"/>
    <s v="Second Class"/>
    <m/>
    <n v="0.1"/>
    <x v="530"/>
    <x v="530"/>
  </r>
  <r>
    <x v="3"/>
    <s v="Gujarat"/>
    <s v="Ahmedabad"/>
    <x v="1"/>
    <x v="10"/>
    <s v="Prime Bookcases 755"/>
    <s v="Standard Class"/>
    <m/>
    <n v="0.2"/>
    <x v="821"/>
    <x v="821"/>
  </r>
  <r>
    <x v="3"/>
    <s v="Madhya Pradesh"/>
    <s v="Indore"/>
    <x v="0"/>
    <x v="8"/>
    <s v="Basic Storage 321"/>
    <s v="Second Class"/>
    <m/>
    <n v="0.05"/>
    <x v="122"/>
    <x v="122"/>
  </r>
  <r>
    <x v="0"/>
    <s v="Delhi"/>
    <s v="New Delhi"/>
    <x v="2"/>
    <x v="11"/>
    <s v="Smart Phones 967"/>
    <s v="Same Day"/>
    <m/>
    <n v="0.15"/>
    <x v="653"/>
    <x v="653"/>
  </r>
  <r>
    <x v="1"/>
    <s v="Odisha"/>
    <s v="Bhubaneswar"/>
    <x v="2"/>
    <x v="6"/>
    <s v="Eco Copiers 790"/>
    <s v="Standard Class"/>
    <m/>
    <n v="0.15"/>
    <x v="6"/>
    <x v="6"/>
  </r>
  <r>
    <x v="1"/>
    <s v="Odisha"/>
    <s v="Bhubaneswar"/>
    <x v="0"/>
    <x v="9"/>
    <s v="Smart Binders 939"/>
    <s v="Second Class"/>
    <m/>
    <n v="0"/>
    <x v="318"/>
    <x v="318"/>
  </r>
  <r>
    <x v="1"/>
    <s v="Bihar"/>
    <s v="Patna"/>
    <x v="2"/>
    <x v="6"/>
    <s v="Smart Copiers 556"/>
    <s v="First Class"/>
    <m/>
    <n v="0.15"/>
    <x v="88"/>
    <x v="88"/>
  </r>
  <r>
    <x v="0"/>
    <s v="Uttar Pradesh"/>
    <s v="Noida"/>
    <x v="0"/>
    <x v="8"/>
    <s v="Prime Storage 951"/>
    <s v="Second Class"/>
    <m/>
    <n v="0"/>
    <x v="359"/>
    <x v="359"/>
  </r>
  <r>
    <x v="0"/>
    <s v="Punjab"/>
    <s v="Ludhiana"/>
    <x v="1"/>
    <x v="3"/>
    <s v="Classic Furnishings 109"/>
    <s v="Standard Class"/>
    <m/>
    <n v="0.25"/>
    <x v="216"/>
    <x v="216"/>
  </r>
  <r>
    <x v="3"/>
    <s v="Madhya Pradesh"/>
    <s v="Indore"/>
    <x v="0"/>
    <x v="7"/>
    <s v="Elite Labels 544"/>
    <s v="Standard Class"/>
    <m/>
    <n v="0.15"/>
    <x v="302"/>
    <x v="302"/>
  </r>
  <r>
    <x v="1"/>
    <s v="Bihar"/>
    <s v="Patna"/>
    <x v="2"/>
    <x v="6"/>
    <s v="Eco Copiers 102"/>
    <s v="Standard Class"/>
    <m/>
    <n v="0"/>
    <x v="165"/>
    <x v="165"/>
  </r>
  <r>
    <x v="2"/>
    <s v="Kerala"/>
    <s v="Kochi"/>
    <x v="2"/>
    <x v="5"/>
    <s v="Prime Accessories 236"/>
    <s v="First Class"/>
    <m/>
    <n v="0.2"/>
    <x v="408"/>
    <x v="408"/>
  </r>
  <r>
    <x v="0"/>
    <s v="Uttar Pradesh"/>
    <s v="Noida"/>
    <x v="2"/>
    <x v="11"/>
    <s v="Prime Phones 895"/>
    <s v="missing value"/>
    <m/>
    <n v="0"/>
    <x v="551"/>
    <x v="551"/>
  </r>
  <r>
    <x v="0"/>
    <s v="Rajasthan"/>
    <s v="Jaipur"/>
    <x v="2"/>
    <x v="11"/>
    <s v="Classic Phones 142"/>
    <s v="Second Class"/>
    <m/>
    <n v="0.15"/>
    <x v="137"/>
    <x v="137"/>
  </r>
  <r>
    <x v="2"/>
    <s v="Andhra Pradesh"/>
    <s v="Vijayawada"/>
    <x v="1"/>
    <x v="4"/>
    <s v="Eco Chairs 314"/>
    <s v="First Class"/>
    <m/>
    <n v="0.1"/>
    <x v="263"/>
    <x v="263"/>
  </r>
  <r>
    <x v="0"/>
    <s v="Punjab"/>
    <s v="Ludhiana"/>
    <x v="2"/>
    <x v="6"/>
    <s v="Max Copiers 970"/>
    <s v="Same Day"/>
    <m/>
    <n v="0"/>
    <x v="119"/>
    <x v="119"/>
  </r>
  <r>
    <x v="3"/>
    <s v="Madhya Pradesh"/>
    <s v="Indore"/>
    <x v="0"/>
    <x v="0"/>
    <s v="Prime Paper 559"/>
    <s v="First Class"/>
    <m/>
    <n v="0.1"/>
    <x v="322"/>
    <x v="322"/>
  </r>
  <r>
    <x v="5"/>
    <m/>
    <m/>
    <x v="3"/>
    <x v="13"/>
    <m/>
    <m/>
    <m/>
    <m/>
    <x v="871"/>
    <x v="871"/>
  </r>
  <r>
    <x v="5"/>
    <m/>
    <m/>
    <x v="3"/>
    <x v="13"/>
    <m/>
    <m/>
    <m/>
    <m/>
    <x v="871"/>
    <x v="87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4">
  <r>
    <x v="0"/>
    <x v="0"/>
    <s v="Pro Paper 122"/>
    <s v="Second Class"/>
    <x v="0"/>
    <n v="0.2"/>
    <x v="0"/>
    <x v="0"/>
  </r>
  <r>
    <x v="1"/>
    <x v="1"/>
    <s v="Pro Tables 258"/>
    <s v="Same Day"/>
    <x v="0"/>
    <n v="0"/>
    <x v="1"/>
    <x v="1"/>
  </r>
  <r>
    <x v="0"/>
    <x v="2"/>
    <s v="Elite Art 525"/>
    <s v="First Class"/>
    <x v="0"/>
    <s v="invalid"/>
    <x v="2"/>
    <x v="2"/>
  </r>
  <r>
    <x v="1"/>
    <x v="3"/>
    <s v="Smart Furnishings 294"/>
    <s v="Standard Class"/>
    <x v="0"/>
    <n v="0.25"/>
    <x v="3"/>
    <x v="3"/>
  </r>
  <r>
    <x v="1"/>
    <x v="4"/>
    <s v="Elite Chairs 543"/>
    <s v="First Class"/>
    <x v="0"/>
    <n v="0"/>
    <x v="4"/>
    <x v="4"/>
  </r>
  <r>
    <x v="2"/>
    <x v="5"/>
    <s v="Pro Accessories 821"/>
    <s v="Same Day"/>
    <x v="0"/>
    <n v="0.2"/>
    <x v="5"/>
    <x v="5"/>
  </r>
  <r>
    <x v="2"/>
    <x v="6"/>
    <s v="Eco Copiers 790"/>
    <s v="Standard Class"/>
    <x v="0"/>
    <n v="0.15"/>
    <x v="6"/>
    <x v="6"/>
  </r>
  <r>
    <x v="0"/>
    <x v="2"/>
    <s v="Eco Art 848"/>
    <s v="First Class"/>
    <x v="0"/>
    <n v="0"/>
    <x v="7"/>
    <x v="7"/>
  </r>
  <r>
    <x v="0"/>
    <x v="7"/>
    <s v="Classic Labels 815"/>
    <s v="First Class"/>
    <x v="0"/>
    <n v="0"/>
    <x v="8"/>
    <x v="8"/>
  </r>
  <r>
    <x v="0"/>
    <x v="0"/>
    <s v="Pro Paper 622"/>
    <s v="Second Class"/>
    <x v="0"/>
    <n v="0.2"/>
    <x v="9"/>
    <x v="9"/>
  </r>
  <r>
    <x v="0"/>
    <x v="7"/>
    <s v="Prime Labels 644"/>
    <s v="Second Class"/>
    <x v="0"/>
    <n v="0.05"/>
    <x v="10"/>
    <x v="10"/>
  </r>
  <r>
    <x v="2"/>
    <x v="5"/>
    <s v="Smart Accessories 603"/>
    <s v="Same Day"/>
    <x v="0"/>
    <n v="0.2"/>
    <x v="11"/>
    <x v="11"/>
  </r>
  <r>
    <x v="0"/>
    <x v="0"/>
    <s v="Pro Paper 481"/>
    <s v="First Class"/>
    <x v="0"/>
    <n v="0.15"/>
    <x v="12"/>
    <x v="12"/>
  </r>
  <r>
    <x v="0"/>
    <x v="2"/>
    <s v="Smart Art 795"/>
    <s v="Second Class"/>
    <x v="0"/>
    <n v="0.05"/>
    <x v="13"/>
    <x v="13"/>
  </r>
  <r>
    <x v="2"/>
    <x v="6"/>
    <s v="Max Copiers 983"/>
    <s v="Standard Class"/>
    <x v="0"/>
    <n v="0.25"/>
    <x v="14"/>
    <x v="14"/>
  </r>
  <r>
    <x v="0"/>
    <x v="8"/>
    <s v="Classic Storage 198"/>
    <s v="Second Class"/>
    <x v="0"/>
    <n v="0"/>
    <x v="15"/>
    <x v="15"/>
  </r>
  <r>
    <x v="0"/>
    <x v="2"/>
    <s v="Basic Art 204"/>
    <s v="First Class"/>
    <x v="0"/>
    <n v="0.25"/>
    <x v="16"/>
    <x v="16"/>
  </r>
  <r>
    <x v="1"/>
    <x v="3"/>
    <s v="Basic Furnishings 434"/>
    <s v="Same Day"/>
    <x v="0"/>
    <n v="0"/>
    <x v="17"/>
    <x v="17"/>
  </r>
  <r>
    <x v="2"/>
    <x v="6"/>
    <s v="Eco Copiers 755"/>
    <s v="First Class"/>
    <x v="0"/>
    <n v="0"/>
    <x v="18"/>
    <x v="18"/>
  </r>
  <r>
    <x v="0"/>
    <x v="8"/>
    <s v="Prime Storage 121"/>
    <s v="Second Class"/>
    <x v="0"/>
    <s v="invalid"/>
    <x v="2"/>
    <x v="2"/>
  </r>
  <r>
    <x v="2"/>
    <x v="6"/>
    <s v="Elite Copiers 233"/>
    <s v="First Class"/>
    <x v="0"/>
    <n v="0.25"/>
    <x v="19"/>
    <x v="19"/>
  </r>
  <r>
    <x v="1"/>
    <x v="3"/>
    <s v="Eco Furnishings 897"/>
    <s v="Second Class"/>
    <x v="0"/>
    <s v="invalid"/>
    <x v="2"/>
    <x v="2"/>
  </r>
  <r>
    <x v="0"/>
    <x v="9"/>
    <s v="Max Binders 355"/>
    <s v="Standard Class"/>
    <x v="0"/>
    <n v="0.15"/>
    <x v="20"/>
    <x v="20"/>
  </r>
  <r>
    <x v="1"/>
    <x v="10"/>
    <s v="Pro Bookcases 394"/>
    <s v="First Class"/>
    <x v="0"/>
    <n v="0.2"/>
    <x v="21"/>
    <x v="21"/>
  </r>
  <r>
    <x v="0"/>
    <x v="2"/>
    <s v="Max Art 215"/>
    <s v="Standard Class"/>
    <x v="0"/>
    <n v="0.25"/>
    <x v="22"/>
    <x v="22"/>
  </r>
  <r>
    <x v="2"/>
    <x v="5"/>
    <s v="Classic Accessories 478"/>
    <s v="First Class"/>
    <x v="0"/>
    <n v="0.15"/>
    <x v="23"/>
    <x v="23"/>
  </r>
  <r>
    <x v="2"/>
    <x v="11"/>
    <s v="Pro Phones 243"/>
    <s v="Standard Class"/>
    <x v="0"/>
    <n v="0.1"/>
    <x v="24"/>
    <x v="24"/>
  </r>
  <r>
    <x v="0"/>
    <x v="0"/>
    <s v="Basic Paper 613"/>
    <s v="Second Class"/>
    <x v="0"/>
    <n v="0.25"/>
    <x v="25"/>
    <x v="25"/>
  </r>
  <r>
    <x v="2"/>
    <x v="11"/>
    <s v="Prime Phones 698"/>
    <s v="Second Class"/>
    <x v="0"/>
    <n v="0.25"/>
    <x v="26"/>
    <x v="26"/>
  </r>
  <r>
    <x v="2"/>
    <x v="11"/>
    <s v="Pro Phones 442"/>
    <s v="Standard Class"/>
    <x v="0"/>
    <n v="0.15"/>
    <x v="27"/>
    <x v="27"/>
  </r>
  <r>
    <x v="0"/>
    <x v="7"/>
    <s v="Pro Labels 355"/>
    <s v="First Class"/>
    <x v="0"/>
    <n v="0.1"/>
    <x v="28"/>
    <x v="28"/>
  </r>
  <r>
    <x v="0"/>
    <x v="0"/>
    <s v="Pro Paper 959"/>
    <s v="Second Class"/>
    <x v="0"/>
    <n v="0"/>
    <x v="29"/>
    <x v="29"/>
  </r>
  <r>
    <x v="2"/>
    <x v="11"/>
    <s v="Basic Phones 242"/>
    <s v="Second Class"/>
    <x v="0"/>
    <n v="0"/>
    <x v="30"/>
    <x v="30"/>
  </r>
  <r>
    <x v="1"/>
    <x v="1"/>
    <s v="Max Tables 836"/>
    <s v="Same Day"/>
    <x v="0"/>
    <n v="0.25"/>
    <x v="31"/>
    <x v="31"/>
  </r>
  <r>
    <x v="1"/>
    <x v="4"/>
    <s v="Elite Chairs 862"/>
    <s v="missing value"/>
    <x v="0"/>
    <n v="0.2"/>
    <x v="32"/>
    <x v="32"/>
  </r>
  <r>
    <x v="1"/>
    <x v="10"/>
    <s v="Prime Bookcases 414"/>
    <s v="Second Class"/>
    <x v="0"/>
    <n v="0.05"/>
    <x v="33"/>
    <x v="33"/>
  </r>
  <r>
    <x v="1"/>
    <x v="10"/>
    <s v="Eco Bookcases 220"/>
    <s v="Second Class"/>
    <x v="0"/>
    <n v="0"/>
    <x v="34"/>
    <x v="34"/>
  </r>
  <r>
    <x v="2"/>
    <x v="6"/>
    <s v="Pro Copiers 830"/>
    <s v="Standard Class"/>
    <x v="0"/>
    <n v="0.2"/>
    <x v="35"/>
    <x v="35"/>
  </r>
  <r>
    <x v="2"/>
    <x v="11"/>
    <s v="Prime Phones 507"/>
    <s v="First Class"/>
    <x v="0"/>
    <n v="0.1"/>
    <x v="36"/>
    <x v="36"/>
  </r>
  <r>
    <x v="2"/>
    <x v="6"/>
    <s v="Classic Copiers 590"/>
    <s v="First Class"/>
    <x v="0"/>
    <n v="0.1"/>
    <x v="37"/>
    <x v="37"/>
  </r>
  <r>
    <x v="2"/>
    <x v="6"/>
    <s v="Eco Copiers 865"/>
    <s v="Standard Class"/>
    <x v="0"/>
    <n v="0.2"/>
    <x v="38"/>
    <x v="38"/>
  </r>
  <r>
    <x v="1"/>
    <x v="10"/>
    <s v="Classic Bookcases 835"/>
    <s v="Same Day"/>
    <x v="0"/>
    <n v="0"/>
    <x v="39"/>
    <x v="39"/>
  </r>
  <r>
    <x v="2"/>
    <x v="11"/>
    <s v="Eco Phones 702"/>
    <s v="Standard Class"/>
    <x v="0"/>
    <n v="0.05"/>
    <x v="40"/>
    <x v="40"/>
  </r>
  <r>
    <x v="1"/>
    <x v="3"/>
    <s v="Smart Furnishings 956"/>
    <s v="Same Day"/>
    <x v="0"/>
    <n v="0"/>
    <x v="41"/>
    <x v="41"/>
  </r>
  <r>
    <x v="1"/>
    <x v="4"/>
    <s v="Max Chairs 393"/>
    <s v="Standard Class"/>
    <x v="0"/>
    <n v="0.1"/>
    <x v="42"/>
    <x v="42"/>
  </r>
  <r>
    <x v="0"/>
    <x v="2"/>
    <s v="Prime Art 221"/>
    <s v="Second Class"/>
    <x v="0"/>
    <n v="0.05"/>
    <x v="43"/>
    <x v="43"/>
  </r>
  <r>
    <x v="1"/>
    <x v="10"/>
    <s v="Elite Bookcases 671"/>
    <s v="Standard Class"/>
    <x v="0"/>
    <n v="0.25"/>
    <x v="44"/>
    <x v="44"/>
  </r>
  <r>
    <x v="0"/>
    <x v="8"/>
    <s v="Max Storage 432"/>
    <s v="Standard Class"/>
    <x v="0"/>
    <n v="0.1"/>
    <x v="45"/>
    <x v="45"/>
  </r>
  <r>
    <x v="1"/>
    <x v="4"/>
    <s v="Basic Chairs 837"/>
    <s v="Second Class"/>
    <x v="0"/>
    <n v="0"/>
    <x v="46"/>
    <x v="46"/>
  </r>
  <r>
    <x v="2"/>
    <x v="6"/>
    <s v="Classic Copiers 295"/>
    <s v="Second Class"/>
    <x v="0"/>
    <n v="0.05"/>
    <x v="47"/>
    <x v="47"/>
  </r>
  <r>
    <x v="2"/>
    <x v="6"/>
    <s v="Pro Copiers 963"/>
    <s v="Standard Class"/>
    <x v="0"/>
    <n v="0.15"/>
    <x v="48"/>
    <x v="48"/>
  </r>
  <r>
    <x v="0"/>
    <x v="2"/>
    <s v="Pro Art 907"/>
    <s v="Standard Class"/>
    <x v="0"/>
    <n v="0"/>
    <x v="49"/>
    <x v="49"/>
  </r>
  <r>
    <x v="1"/>
    <x v="4"/>
    <s v="Pro Chairs 526"/>
    <s v="First Class"/>
    <x v="0"/>
    <n v="0"/>
    <x v="50"/>
    <x v="50"/>
  </r>
  <r>
    <x v="0"/>
    <x v="8"/>
    <s v="Elite Storage 924"/>
    <s v="First Class"/>
    <x v="0"/>
    <n v="0.15"/>
    <x v="51"/>
    <x v="51"/>
  </r>
  <r>
    <x v="0"/>
    <x v="7"/>
    <s v="Pro Labels 957"/>
    <s v="Same Day"/>
    <x v="0"/>
    <n v="0.1"/>
    <x v="52"/>
    <x v="52"/>
  </r>
  <r>
    <x v="2"/>
    <x v="12"/>
    <s v="Classic Machines 310"/>
    <s v="Same Day"/>
    <x v="0"/>
    <n v="0.25"/>
    <x v="53"/>
    <x v="53"/>
  </r>
  <r>
    <x v="0"/>
    <x v="9"/>
    <s v="Smart Binders 393"/>
    <s v="Second Class"/>
    <x v="0"/>
    <n v="0"/>
    <x v="54"/>
    <x v="54"/>
  </r>
  <r>
    <x v="1"/>
    <x v="4"/>
    <s v="Max Chairs 813"/>
    <s v="Same Day"/>
    <x v="0"/>
    <n v="0"/>
    <x v="55"/>
    <x v="55"/>
  </r>
  <r>
    <x v="0"/>
    <x v="8"/>
    <s v="Basic Storage 872"/>
    <s v="missing value"/>
    <x v="0"/>
    <n v="0.1"/>
    <x v="56"/>
    <x v="56"/>
  </r>
  <r>
    <x v="0"/>
    <x v="7"/>
    <s v="Smart Labels 655"/>
    <s v="Same Day"/>
    <x v="0"/>
    <n v="0.2"/>
    <x v="57"/>
    <x v="57"/>
  </r>
  <r>
    <x v="0"/>
    <x v="7"/>
    <s v="Eco Labels 210"/>
    <s v="Same Day"/>
    <x v="0"/>
    <n v="0.2"/>
    <x v="58"/>
    <x v="58"/>
  </r>
  <r>
    <x v="1"/>
    <x v="10"/>
    <s v="Classic Bookcases 296"/>
    <s v="Standard Class"/>
    <x v="0"/>
    <n v="0"/>
    <x v="59"/>
    <x v="59"/>
  </r>
  <r>
    <x v="2"/>
    <x v="11"/>
    <s v="Basic Phones 230"/>
    <s v="Standard Class"/>
    <x v="0"/>
    <n v="0.2"/>
    <x v="60"/>
    <x v="60"/>
  </r>
  <r>
    <x v="0"/>
    <x v="9"/>
    <s v="Pro Binders 690"/>
    <s v="Same Day"/>
    <x v="0"/>
    <n v="0.15"/>
    <x v="61"/>
    <x v="61"/>
  </r>
  <r>
    <x v="0"/>
    <x v="0"/>
    <s v="Classic Paper 458"/>
    <s v="First Class"/>
    <x v="0"/>
    <n v="0"/>
    <x v="62"/>
    <x v="62"/>
  </r>
  <r>
    <x v="0"/>
    <x v="0"/>
    <s v="Pro Paper 552"/>
    <s v="Second Class"/>
    <x v="0"/>
    <n v="0.05"/>
    <x v="63"/>
    <x v="63"/>
  </r>
  <r>
    <x v="2"/>
    <x v="5"/>
    <s v="Elite Accessories 187"/>
    <s v="Same Day"/>
    <x v="0"/>
    <n v="0.05"/>
    <x v="64"/>
    <x v="64"/>
  </r>
  <r>
    <x v="0"/>
    <x v="0"/>
    <s v="Eco Paper 922"/>
    <s v="First Class"/>
    <x v="0"/>
    <n v="0.05"/>
    <x v="65"/>
    <x v="65"/>
  </r>
  <r>
    <x v="0"/>
    <x v="8"/>
    <s v="Pro Storage 975"/>
    <s v="Second Class"/>
    <x v="0"/>
    <n v="0"/>
    <x v="66"/>
    <x v="66"/>
  </r>
  <r>
    <x v="2"/>
    <x v="12"/>
    <s v="Prime Machines 782"/>
    <s v="Same Day"/>
    <x v="0"/>
    <n v="0.1"/>
    <x v="67"/>
    <x v="67"/>
  </r>
  <r>
    <x v="2"/>
    <x v="11"/>
    <s v="Max Phones 661"/>
    <s v="First Class"/>
    <x v="0"/>
    <n v="0.15"/>
    <x v="68"/>
    <x v="68"/>
  </r>
  <r>
    <x v="2"/>
    <x v="12"/>
    <s v="Elite Machines 836"/>
    <s v="Standard Class"/>
    <x v="0"/>
    <n v="0.1"/>
    <x v="69"/>
    <x v="69"/>
  </r>
  <r>
    <x v="1"/>
    <x v="1"/>
    <s v="Prime Tables 902"/>
    <s v="First Class"/>
    <x v="0"/>
    <n v="0.15"/>
    <x v="70"/>
    <x v="70"/>
  </r>
  <r>
    <x v="1"/>
    <x v="10"/>
    <s v="Smart Bookcases 167"/>
    <s v="First Class"/>
    <x v="0"/>
    <n v="0"/>
    <x v="71"/>
    <x v="71"/>
  </r>
  <r>
    <x v="1"/>
    <x v="4"/>
    <s v="Max Chairs 244"/>
    <s v="Standard Class"/>
    <x v="0"/>
    <n v="0"/>
    <x v="72"/>
    <x v="72"/>
  </r>
  <r>
    <x v="0"/>
    <x v="7"/>
    <s v="Eco Labels 653"/>
    <s v="First Class"/>
    <x v="0"/>
    <n v="0.2"/>
    <x v="73"/>
    <x v="73"/>
  </r>
  <r>
    <x v="0"/>
    <x v="7"/>
    <s v="Max Labels 617"/>
    <s v="Second Class"/>
    <x v="0"/>
    <n v="0"/>
    <x v="74"/>
    <x v="74"/>
  </r>
  <r>
    <x v="1"/>
    <x v="3"/>
    <s v="Pro Furnishings 529"/>
    <s v="Standard Class"/>
    <x v="0"/>
    <n v="0.15"/>
    <x v="75"/>
    <x v="75"/>
  </r>
  <r>
    <x v="1"/>
    <x v="1"/>
    <s v="Smart Tables 561"/>
    <s v="First Class"/>
    <x v="0"/>
    <n v="0.15"/>
    <x v="76"/>
    <x v="76"/>
  </r>
  <r>
    <x v="1"/>
    <x v="4"/>
    <s v="Prime Chairs 838"/>
    <s v="Same Day"/>
    <x v="0"/>
    <n v="0.1"/>
    <x v="77"/>
    <x v="77"/>
  </r>
  <r>
    <x v="0"/>
    <x v="8"/>
    <s v="Elite Storage 371"/>
    <s v="Second Class"/>
    <x v="0"/>
    <n v="0.1"/>
    <x v="78"/>
    <x v="78"/>
  </r>
  <r>
    <x v="0"/>
    <x v="7"/>
    <s v="Eco Labels 662"/>
    <s v="Same Day"/>
    <x v="0"/>
    <n v="0"/>
    <x v="79"/>
    <x v="79"/>
  </r>
  <r>
    <x v="2"/>
    <x v="6"/>
    <s v="Smart Copiers 702"/>
    <s v="Second Class"/>
    <x v="0"/>
    <n v="0"/>
    <x v="80"/>
    <x v="80"/>
  </r>
  <r>
    <x v="1"/>
    <x v="1"/>
    <s v="Elite Tables 362"/>
    <s v="Second Class"/>
    <x v="0"/>
    <n v="0.2"/>
    <x v="81"/>
    <x v="81"/>
  </r>
  <r>
    <x v="2"/>
    <x v="11"/>
    <s v="Elite Phones 781"/>
    <s v="Second Class"/>
    <x v="0"/>
    <n v="0.2"/>
    <x v="82"/>
    <x v="82"/>
  </r>
  <r>
    <x v="0"/>
    <x v="9"/>
    <s v="Eco Binders 456"/>
    <s v="Standard Class"/>
    <x v="0"/>
    <n v="0"/>
    <x v="83"/>
    <x v="83"/>
  </r>
  <r>
    <x v="2"/>
    <x v="6"/>
    <s v="Basic Copiers 525"/>
    <s v="Second Class"/>
    <x v="0"/>
    <n v="0.1"/>
    <x v="84"/>
    <x v="84"/>
  </r>
  <r>
    <x v="0"/>
    <x v="9"/>
    <s v="Eco Binders 258"/>
    <s v="Standard Class"/>
    <x v="0"/>
    <n v="0"/>
    <x v="85"/>
    <x v="85"/>
  </r>
  <r>
    <x v="1"/>
    <x v="10"/>
    <s v="Max Bookcases 398"/>
    <s v="Standard Class"/>
    <x v="0"/>
    <n v="0.05"/>
    <x v="86"/>
    <x v="86"/>
  </r>
  <r>
    <x v="1"/>
    <x v="10"/>
    <s v="Smart Bookcases 857"/>
    <s v="Standard Class"/>
    <x v="0"/>
    <n v="0.2"/>
    <x v="87"/>
    <x v="87"/>
  </r>
  <r>
    <x v="2"/>
    <x v="6"/>
    <s v="Smart Copiers 556"/>
    <s v="First Class"/>
    <x v="0"/>
    <n v="0.15"/>
    <x v="88"/>
    <x v="88"/>
  </r>
  <r>
    <x v="2"/>
    <x v="6"/>
    <s v="Prime Copiers 575"/>
    <s v="Second Class"/>
    <x v="0"/>
    <n v="0"/>
    <x v="89"/>
    <x v="89"/>
  </r>
  <r>
    <x v="0"/>
    <x v="0"/>
    <s v="Elite Paper 669"/>
    <s v="Standard Class"/>
    <x v="0"/>
    <n v="0.1"/>
    <x v="90"/>
    <x v="90"/>
  </r>
  <r>
    <x v="0"/>
    <x v="9"/>
    <s v="Eco Binders 780"/>
    <s v="Standard Class"/>
    <x v="0"/>
    <s v="invalid"/>
    <x v="2"/>
    <x v="2"/>
  </r>
  <r>
    <x v="2"/>
    <x v="11"/>
    <s v="Elite Phones 723"/>
    <s v="Second Class"/>
    <x v="0"/>
    <n v="0"/>
    <x v="91"/>
    <x v="91"/>
  </r>
  <r>
    <x v="1"/>
    <x v="10"/>
    <s v="Classic Bookcases 988"/>
    <s v="Same Day"/>
    <x v="0"/>
    <n v="0"/>
    <x v="92"/>
    <x v="92"/>
  </r>
  <r>
    <x v="2"/>
    <x v="6"/>
    <s v="Smart Copiers 547"/>
    <s v="Second Class"/>
    <x v="0"/>
    <n v="0.15"/>
    <x v="93"/>
    <x v="93"/>
  </r>
  <r>
    <x v="0"/>
    <x v="8"/>
    <s v="Basic Storage 656"/>
    <s v="Same Day"/>
    <x v="0"/>
    <n v="0.2"/>
    <x v="94"/>
    <x v="94"/>
  </r>
  <r>
    <x v="2"/>
    <x v="6"/>
    <s v="Elite Copiers 785"/>
    <s v="missing value"/>
    <x v="0"/>
    <n v="0.1"/>
    <x v="95"/>
    <x v="95"/>
  </r>
  <r>
    <x v="2"/>
    <x v="5"/>
    <s v="Smart Accessories 542"/>
    <s v="Same Day"/>
    <x v="0"/>
    <n v="0"/>
    <x v="96"/>
    <x v="96"/>
  </r>
  <r>
    <x v="0"/>
    <x v="8"/>
    <s v="Eco Storage 936"/>
    <s v="Standard Class"/>
    <x v="0"/>
    <n v="0.05"/>
    <x v="97"/>
    <x v="97"/>
  </r>
  <r>
    <x v="1"/>
    <x v="3"/>
    <s v="Classic Furnishings 682"/>
    <s v="First Class"/>
    <x v="0"/>
    <n v="0.25"/>
    <x v="98"/>
    <x v="98"/>
  </r>
  <r>
    <x v="1"/>
    <x v="4"/>
    <s v="Classic Chairs 604"/>
    <s v="First Class"/>
    <x v="0"/>
    <n v="0"/>
    <x v="99"/>
    <x v="99"/>
  </r>
  <r>
    <x v="1"/>
    <x v="1"/>
    <s v="Prime Tables 377"/>
    <s v="First Class"/>
    <x v="0"/>
    <n v="0.2"/>
    <x v="100"/>
    <x v="100"/>
  </r>
  <r>
    <x v="0"/>
    <x v="7"/>
    <s v="Prime Labels 807"/>
    <s v="Same Day"/>
    <x v="0"/>
    <n v="0.25"/>
    <x v="101"/>
    <x v="101"/>
  </r>
  <r>
    <x v="1"/>
    <x v="1"/>
    <s v="Eco Tables 575"/>
    <s v="Second Class"/>
    <x v="0"/>
    <n v="0.1"/>
    <x v="102"/>
    <x v="102"/>
  </r>
  <r>
    <x v="0"/>
    <x v="0"/>
    <s v="Eco Paper 918"/>
    <s v="Standard Class"/>
    <x v="0"/>
    <n v="0"/>
    <x v="103"/>
    <x v="103"/>
  </r>
  <r>
    <x v="1"/>
    <x v="3"/>
    <s v="Prime Furnishings 952"/>
    <s v="First Class"/>
    <x v="0"/>
    <n v="0.05"/>
    <x v="104"/>
    <x v="104"/>
  </r>
  <r>
    <x v="1"/>
    <x v="10"/>
    <s v="Prime Bookcases 631"/>
    <s v="Same Day"/>
    <x v="0"/>
    <n v="0.25"/>
    <x v="105"/>
    <x v="105"/>
  </r>
  <r>
    <x v="0"/>
    <x v="9"/>
    <s v="Classic Binders 660"/>
    <s v="Second Class"/>
    <x v="0"/>
    <n v="0.25"/>
    <x v="106"/>
    <x v="106"/>
  </r>
  <r>
    <x v="0"/>
    <x v="7"/>
    <s v="Pro Labels 255"/>
    <s v="First Class"/>
    <x v="0"/>
    <n v="0"/>
    <x v="107"/>
    <x v="107"/>
  </r>
  <r>
    <x v="2"/>
    <x v="5"/>
    <s v="Basic Accessories 187"/>
    <s v="First Class"/>
    <x v="0"/>
    <n v="0.05"/>
    <x v="108"/>
    <x v="108"/>
  </r>
  <r>
    <x v="2"/>
    <x v="5"/>
    <s v="Max Accessories 451"/>
    <s v="Standard Class"/>
    <x v="0"/>
    <n v="0.05"/>
    <x v="109"/>
    <x v="109"/>
  </r>
  <r>
    <x v="1"/>
    <x v="1"/>
    <s v="Classic Tables 752"/>
    <s v="Standard Class"/>
    <x v="0"/>
    <n v="0.25"/>
    <x v="110"/>
    <x v="110"/>
  </r>
  <r>
    <x v="2"/>
    <x v="5"/>
    <s v="Eco Accessories 452"/>
    <s v="Second Class"/>
    <x v="0"/>
    <n v="0.1"/>
    <x v="111"/>
    <x v="111"/>
  </r>
  <r>
    <x v="0"/>
    <x v="9"/>
    <s v="Classic Binders 203"/>
    <s v="Same Day"/>
    <x v="0"/>
    <n v="0.15"/>
    <x v="112"/>
    <x v="112"/>
  </r>
  <r>
    <x v="0"/>
    <x v="9"/>
    <s v="Basic Binders 859"/>
    <s v="First Class"/>
    <x v="0"/>
    <n v="0.25"/>
    <x v="113"/>
    <x v="113"/>
  </r>
  <r>
    <x v="2"/>
    <x v="12"/>
    <s v="Elite Machines 705"/>
    <s v="Standard Class"/>
    <x v="0"/>
    <s v="invalid"/>
    <x v="2"/>
    <x v="2"/>
  </r>
  <r>
    <x v="2"/>
    <x v="6"/>
    <s v="Pro Copiers 208"/>
    <s v="Same Day"/>
    <x v="0"/>
    <n v="0.2"/>
    <x v="114"/>
    <x v="114"/>
  </r>
  <r>
    <x v="1"/>
    <x v="4"/>
    <s v="Elite Chairs 921"/>
    <s v="Standard Class"/>
    <x v="0"/>
    <n v="0.25"/>
    <x v="115"/>
    <x v="115"/>
  </r>
  <r>
    <x v="2"/>
    <x v="11"/>
    <s v="Prime Phones 540"/>
    <s v="Standard Class"/>
    <x v="0"/>
    <n v="0.2"/>
    <x v="116"/>
    <x v="116"/>
  </r>
  <r>
    <x v="2"/>
    <x v="12"/>
    <s v="Max Machines 948"/>
    <s v="Second Class"/>
    <x v="0"/>
    <n v="0"/>
    <x v="117"/>
    <x v="117"/>
  </r>
  <r>
    <x v="1"/>
    <x v="4"/>
    <s v="Max Chairs 786"/>
    <s v="Second Class"/>
    <x v="0"/>
    <n v="0"/>
    <x v="118"/>
    <x v="118"/>
  </r>
  <r>
    <x v="2"/>
    <x v="6"/>
    <s v="Max Copiers 970"/>
    <s v="Same Day"/>
    <x v="0"/>
    <n v="0"/>
    <x v="119"/>
    <x v="119"/>
  </r>
  <r>
    <x v="2"/>
    <x v="6"/>
    <s v="Pro Copiers 769"/>
    <s v="Standard Class"/>
    <x v="0"/>
    <s v="invalid"/>
    <x v="2"/>
    <x v="2"/>
  </r>
  <r>
    <x v="1"/>
    <x v="1"/>
    <s v="Basic Tables 753"/>
    <s v="Same Day"/>
    <x v="0"/>
    <n v="0.25"/>
    <x v="120"/>
    <x v="120"/>
  </r>
  <r>
    <x v="2"/>
    <x v="6"/>
    <s v="Prime Copiers 651"/>
    <s v="Standard Class"/>
    <x v="0"/>
    <n v="0.1"/>
    <x v="121"/>
    <x v="121"/>
  </r>
  <r>
    <x v="0"/>
    <x v="8"/>
    <s v="Basic Storage 321"/>
    <s v="Second Class"/>
    <x v="0"/>
    <n v="0.05"/>
    <x v="122"/>
    <x v="122"/>
  </r>
  <r>
    <x v="1"/>
    <x v="3"/>
    <s v="Prime Furnishings 710"/>
    <s v="Standard Class"/>
    <x v="0"/>
    <n v="0.05"/>
    <x v="123"/>
    <x v="123"/>
  </r>
  <r>
    <x v="0"/>
    <x v="9"/>
    <s v="Elite Binders 723"/>
    <s v="Standard Class"/>
    <x v="0"/>
    <n v="0.05"/>
    <x v="124"/>
    <x v="124"/>
  </r>
  <r>
    <x v="0"/>
    <x v="7"/>
    <s v="Smart Labels 878"/>
    <s v="Same Day"/>
    <x v="0"/>
    <n v="0.2"/>
    <x v="125"/>
    <x v="125"/>
  </r>
  <r>
    <x v="0"/>
    <x v="0"/>
    <s v="Pro Paper 934"/>
    <s v="Same Day"/>
    <x v="0"/>
    <n v="0.2"/>
    <x v="126"/>
    <x v="126"/>
  </r>
  <r>
    <x v="2"/>
    <x v="12"/>
    <s v="Classic Machines 886"/>
    <s v="First Class"/>
    <x v="0"/>
    <n v="0"/>
    <x v="127"/>
    <x v="127"/>
  </r>
  <r>
    <x v="2"/>
    <x v="11"/>
    <s v="Prime Phones 419"/>
    <s v="Second Class"/>
    <x v="0"/>
    <n v="0.15"/>
    <x v="128"/>
    <x v="128"/>
  </r>
  <r>
    <x v="1"/>
    <x v="10"/>
    <s v="Elite Bookcases 266"/>
    <s v="missing value"/>
    <x v="0"/>
    <n v="0.25"/>
    <x v="129"/>
    <x v="129"/>
  </r>
  <r>
    <x v="1"/>
    <x v="10"/>
    <s v="Prime Bookcases 954"/>
    <s v="Standard Class"/>
    <x v="0"/>
    <n v="0"/>
    <x v="130"/>
    <x v="130"/>
  </r>
  <r>
    <x v="0"/>
    <x v="9"/>
    <s v="Max Binders 362"/>
    <s v="Standard Class"/>
    <x v="0"/>
    <n v="0.2"/>
    <x v="131"/>
    <x v="131"/>
  </r>
  <r>
    <x v="1"/>
    <x v="4"/>
    <s v="Prime Chairs 261"/>
    <s v="Same Day"/>
    <x v="0"/>
    <n v="0.1"/>
    <x v="132"/>
    <x v="132"/>
  </r>
  <r>
    <x v="2"/>
    <x v="12"/>
    <s v="Basic Machines 185"/>
    <s v="Standard Class"/>
    <x v="0"/>
    <n v="0.25"/>
    <x v="133"/>
    <x v="133"/>
  </r>
  <r>
    <x v="0"/>
    <x v="7"/>
    <s v="Basic Labels 509"/>
    <s v="Standard Class"/>
    <x v="0"/>
    <n v="0"/>
    <x v="134"/>
    <x v="134"/>
  </r>
  <r>
    <x v="1"/>
    <x v="10"/>
    <s v="Elite Bookcases 696"/>
    <s v="Same Day"/>
    <x v="0"/>
    <n v="0"/>
    <x v="135"/>
    <x v="135"/>
  </r>
  <r>
    <x v="1"/>
    <x v="10"/>
    <s v="Elite Bookcases 772"/>
    <s v="Same Day"/>
    <x v="0"/>
    <n v="0.1"/>
    <x v="136"/>
    <x v="136"/>
  </r>
  <r>
    <x v="2"/>
    <x v="11"/>
    <s v="Classic Phones 142"/>
    <s v="Second Class"/>
    <x v="0"/>
    <n v="0.15"/>
    <x v="137"/>
    <x v="137"/>
  </r>
  <r>
    <x v="0"/>
    <x v="0"/>
    <s v="Pro Paper 575"/>
    <s v="Second Class"/>
    <x v="0"/>
    <n v="0.1"/>
    <x v="138"/>
    <x v="138"/>
  </r>
  <r>
    <x v="2"/>
    <x v="5"/>
    <s v="Elite Accessories 905"/>
    <s v="First Class"/>
    <x v="0"/>
    <n v="0.25"/>
    <x v="139"/>
    <x v="139"/>
  </r>
  <r>
    <x v="0"/>
    <x v="0"/>
    <s v="Smart Paper 899"/>
    <s v="Standard Class"/>
    <x v="0"/>
    <n v="0.1"/>
    <x v="140"/>
    <x v="140"/>
  </r>
  <r>
    <x v="0"/>
    <x v="8"/>
    <s v="Classic Storage 423"/>
    <s v="Same Day"/>
    <x v="0"/>
    <n v="0.1"/>
    <x v="141"/>
    <x v="141"/>
  </r>
  <r>
    <x v="1"/>
    <x v="3"/>
    <s v="Classic Furnishings 743"/>
    <s v="First Class"/>
    <x v="0"/>
    <n v="0.1"/>
    <x v="142"/>
    <x v="142"/>
  </r>
  <r>
    <x v="2"/>
    <x v="11"/>
    <s v="Smart Phones 336"/>
    <s v="missing value"/>
    <x v="0"/>
    <n v="0.25"/>
    <x v="143"/>
    <x v="143"/>
  </r>
  <r>
    <x v="2"/>
    <x v="6"/>
    <s v="Eco Copiers 381"/>
    <s v="Same Day"/>
    <x v="0"/>
    <n v="0.25"/>
    <x v="144"/>
    <x v="144"/>
  </r>
  <r>
    <x v="1"/>
    <x v="10"/>
    <s v="Max Bookcases 595"/>
    <s v="First Class"/>
    <x v="0"/>
    <n v="0.1"/>
    <x v="145"/>
    <x v="145"/>
  </r>
  <r>
    <x v="2"/>
    <x v="6"/>
    <s v="Max Copiers 992"/>
    <s v="Standard Class"/>
    <x v="0"/>
    <n v="0"/>
    <x v="146"/>
    <x v="146"/>
  </r>
  <r>
    <x v="1"/>
    <x v="1"/>
    <s v="Pro Tables 407"/>
    <s v="Second Class"/>
    <x v="0"/>
    <n v="0.1"/>
    <x v="147"/>
    <x v="147"/>
  </r>
  <r>
    <x v="0"/>
    <x v="7"/>
    <s v="Prime Labels 559"/>
    <s v="Standard Class"/>
    <x v="0"/>
    <n v="0"/>
    <x v="148"/>
    <x v="148"/>
  </r>
  <r>
    <x v="1"/>
    <x v="10"/>
    <s v="Classic Bookcases 847"/>
    <s v="Same Day"/>
    <x v="0"/>
    <n v="0.15"/>
    <x v="149"/>
    <x v="149"/>
  </r>
  <r>
    <x v="1"/>
    <x v="3"/>
    <s v="Classic Furnishings 655"/>
    <s v="Same Day"/>
    <x v="0"/>
    <n v="0.1"/>
    <x v="150"/>
    <x v="150"/>
  </r>
  <r>
    <x v="2"/>
    <x v="12"/>
    <s v="Eco Machines 657"/>
    <s v="Second Class"/>
    <x v="0"/>
    <n v="0.25"/>
    <x v="151"/>
    <x v="151"/>
  </r>
  <r>
    <x v="1"/>
    <x v="10"/>
    <s v="Pro Bookcases 430"/>
    <s v="Standard Class"/>
    <x v="0"/>
    <n v="0.15"/>
    <x v="152"/>
    <x v="152"/>
  </r>
  <r>
    <x v="1"/>
    <x v="10"/>
    <s v="Max Bookcases 881"/>
    <s v="First Class"/>
    <x v="0"/>
    <n v="0.05"/>
    <x v="153"/>
    <x v="153"/>
  </r>
  <r>
    <x v="1"/>
    <x v="4"/>
    <s v="Elite Chairs 998"/>
    <s v="Same Day"/>
    <x v="0"/>
    <n v="0.15"/>
    <x v="154"/>
    <x v="154"/>
  </r>
  <r>
    <x v="0"/>
    <x v="0"/>
    <s v="Max Paper 113"/>
    <s v="Second Class"/>
    <x v="0"/>
    <n v="0.05"/>
    <x v="155"/>
    <x v="155"/>
  </r>
  <r>
    <x v="0"/>
    <x v="9"/>
    <s v="Smart Binders 267"/>
    <s v="Standard Class"/>
    <x v="0"/>
    <n v="0"/>
    <x v="156"/>
    <x v="156"/>
  </r>
  <r>
    <x v="1"/>
    <x v="3"/>
    <s v="Pro Furnishings 108"/>
    <s v="Second Class"/>
    <x v="0"/>
    <n v="0"/>
    <x v="157"/>
    <x v="157"/>
  </r>
  <r>
    <x v="1"/>
    <x v="1"/>
    <s v="Elite Tables 389"/>
    <s v="missing value"/>
    <x v="0"/>
    <n v="0.1"/>
    <x v="158"/>
    <x v="158"/>
  </r>
  <r>
    <x v="1"/>
    <x v="10"/>
    <s v="Pro Bookcases 595"/>
    <s v="Second Class"/>
    <x v="0"/>
    <n v="0.25"/>
    <x v="159"/>
    <x v="159"/>
  </r>
  <r>
    <x v="1"/>
    <x v="4"/>
    <s v="Max Chairs 148"/>
    <s v="Standard Class"/>
    <x v="0"/>
    <n v="0.25"/>
    <x v="160"/>
    <x v="160"/>
  </r>
  <r>
    <x v="0"/>
    <x v="7"/>
    <s v="Basic Labels 671"/>
    <s v="First Class"/>
    <x v="0"/>
    <n v="0.2"/>
    <x v="161"/>
    <x v="161"/>
  </r>
  <r>
    <x v="0"/>
    <x v="8"/>
    <s v="Elite Storage 628"/>
    <s v="First Class"/>
    <x v="0"/>
    <n v="0.15"/>
    <x v="162"/>
    <x v="162"/>
  </r>
  <r>
    <x v="2"/>
    <x v="5"/>
    <s v="Eco Accessories 590"/>
    <s v="Same Day"/>
    <x v="0"/>
    <n v="0.2"/>
    <x v="163"/>
    <x v="163"/>
  </r>
  <r>
    <x v="0"/>
    <x v="2"/>
    <s v="Pro Art 734"/>
    <s v="Standard Class"/>
    <x v="0"/>
    <n v="0.05"/>
    <x v="164"/>
    <x v="164"/>
  </r>
  <r>
    <x v="2"/>
    <x v="6"/>
    <s v="Eco Copiers 102"/>
    <s v="Standard Class"/>
    <x v="0"/>
    <n v="0"/>
    <x v="165"/>
    <x v="165"/>
  </r>
  <r>
    <x v="0"/>
    <x v="7"/>
    <s v="Basic Labels 876"/>
    <s v="Same Day"/>
    <x v="0"/>
    <n v="0.25"/>
    <x v="166"/>
    <x v="166"/>
  </r>
  <r>
    <x v="1"/>
    <x v="3"/>
    <s v="Prime Furnishings 381"/>
    <s v="Same Day"/>
    <x v="0"/>
    <n v="0.1"/>
    <x v="167"/>
    <x v="167"/>
  </r>
  <r>
    <x v="2"/>
    <x v="6"/>
    <s v="Prime Copiers 440"/>
    <s v="Second Class"/>
    <x v="0"/>
    <n v="0.25"/>
    <x v="168"/>
    <x v="168"/>
  </r>
  <r>
    <x v="1"/>
    <x v="10"/>
    <s v="Pro Bookcases 319"/>
    <s v="First Class"/>
    <x v="0"/>
    <n v="0.15"/>
    <x v="169"/>
    <x v="169"/>
  </r>
  <r>
    <x v="2"/>
    <x v="12"/>
    <s v="Basic Machines 584"/>
    <s v="Same Day"/>
    <x v="0"/>
    <n v="0.15"/>
    <x v="170"/>
    <x v="170"/>
  </r>
  <r>
    <x v="1"/>
    <x v="10"/>
    <s v="Pro Bookcases 612"/>
    <s v="Standard Class"/>
    <x v="0"/>
    <n v="0.15"/>
    <x v="171"/>
    <x v="171"/>
  </r>
  <r>
    <x v="0"/>
    <x v="2"/>
    <s v="Classic Art 573"/>
    <s v="Same Day"/>
    <x v="0"/>
    <n v="0"/>
    <x v="172"/>
    <x v="172"/>
  </r>
  <r>
    <x v="0"/>
    <x v="2"/>
    <s v="Eco Art 854"/>
    <s v="Standard Class"/>
    <x v="0"/>
    <n v="0"/>
    <x v="173"/>
    <x v="173"/>
  </r>
  <r>
    <x v="1"/>
    <x v="3"/>
    <s v="Classic Furnishings 996"/>
    <s v="Standard Class"/>
    <x v="0"/>
    <n v="0.25"/>
    <x v="174"/>
    <x v="174"/>
  </r>
  <r>
    <x v="0"/>
    <x v="9"/>
    <s v="Prime Binders 735"/>
    <s v="First Class"/>
    <x v="0"/>
    <n v="0.1"/>
    <x v="175"/>
    <x v="175"/>
  </r>
  <r>
    <x v="0"/>
    <x v="2"/>
    <s v="Pro Art 587"/>
    <s v="Second Class"/>
    <x v="0"/>
    <n v="0"/>
    <x v="176"/>
    <x v="176"/>
  </r>
  <r>
    <x v="2"/>
    <x v="12"/>
    <s v="Basic Machines 575"/>
    <s v="Standard Class"/>
    <x v="0"/>
    <n v="0"/>
    <x v="177"/>
    <x v="177"/>
  </r>
  <r>
    <x v="2"/>
    <x v="6"/>
    <s v="Elite Copiers 788"/>
    <s v="Standard Class"/>
    <x v="0"/>
    <n v="0.2"/>
    <x v="178"/>
    <x v="178"/>
  </r>
  <r>
    <x v="1"/>
    <x v="10"/>
    <s v="Max Bookcases 472"/>
    <s v="Standard Class"/>
    <x v="0"/>
    <n v="0"/>
    <x v="179"/>
    <x v="179"/>
  </r>
  <r>
    <x v="0"/>
    <x v="7"/>
    <s v="Smart Labels 475"/>
    <s v="Second Class"/>
    <x v="0"/>
    <n v="0.2"/>
    <x v="180"/>
    <x v="180"/>
  </r>
  <r>
    <x v="1"/>
    <x v="1"/>
    <s v="Basic Tables 417"/>
    <s v="First Class"/>
    <x v="0"/>
    <n v="0.05"/>
    <x v="181"/>
    <x v="181"/>
  </r>
  <r>
    <x v="1"/>
    <x v="4"/>
    <s v="Pro Chairs 844"/>
    <s v="Same Day"/>
    <x v="0"/>
    <n v="0"/>
    <x v="182"/>
    <x v="182"/>
  </r>
  <r>
    <x v="1"/>
    <x v="10"/>
    <s v="Elite Bookcases 883"/>
    <s v="Same Day"/>
    <x v="0"/>
    <n v="0.1"/>
    <x v="183"/>
    <x v="183"/>
  </r>
  <r>
    <x v="1"/>
    <x v="10"/>
    <s v="Basic Bookcases 754"/>
    <s v="First Class"/>
    <x v="0"/>
    <n v="0"/>
    <x v="184"/>
    <x v="184"/>
  </r>
  <r>
    <x v="0"/>
    <x v="8"/>
    <s v="Eco Storage 158"/>
    <s v="First Class"/>
    <x v="0"/>
    <n v="0.1"/>
    <x v="185"/>
    <x v="185"/>
  </r>
  <r>
    <x v="1"/>
    <x v="10"/>
    <s v="Prime Bookcases 602"/>
    <s v="Second Class"/>
    <x v="0"/>
    <s v="invalid"/>
    <x v="2"/>
    <x v="2"/>
  </r>
  <r>
    <x v="1"/>
    <x v="4"/>
    <s v="Eco Chairs 438"/>
    <s v="First Class"/>
    <x v="0"/>
    <n v="0"/>
    <x v="186"/>
    <x v="186"/>
  </r>
  <r>
    <x v="2"/>
    <x v="6"/>
    <s v="Prime Copiers 142"/>
    <s v="Same Day"/>
    <x v="0"/>
    <n v="0.2"/>
    <x v="187"/>
    <x v="187"/>
  </r>
  <r>
    <x v="1"/>
    <x v="3"/>
    <s v="Prime Furnishings 433"/>
    <s v="First Class"/>
    <x v="0"/>
    <n v="0.05"/>
    <x v="188"/>
    <x v="188"/>
  </r>
  <r>
    <x v="1"/>
    <x v="3"/>
    <s v="Smart Furnishings 685"/>
    <s v="Same Day"/>
    <x v="0"/>
    <n v="0"/>
    <x v="189"/>
    <x v="189"/>
  </r>
  <r>
    <x v="0"/>
    <x v="8"/>
    <s v="Elite Storage 915"/>
    <s v="First Class"/>
    <x v="0"/>
    <n v="0.1"/>
    <x v="190"/>
    <x v="190"/>
  </r>
  <r>
    <x v="0"/>
    <x v="8"/>
    <s v="Basic Storage 961"/>
    <s v="Second Class"/>
    <x v="0"/>
    <n v="0.15"/>
    <x v="191"/>
    <x v="191"/>
  </r>
  <r>
    <x v="0"/>
    <x v="2"/>
    <s v="Classic Art 968"/>
    <s v="Second Class"/>
    <x v="0"/>
    <n v="0.05"/>
    <x v="192"/>
    <x v="192"/>
  </r>
  <r>
    <x v="2"/>
    <x v="12"/>
    <s v="Prime Machines 806"/>
    <s v="missing value"/>
    <x v="0"/>
    <n v="0.25"/>
    <x v="193"/>
    <x v="193"/>
  </r>
  <r>
    <x v="2"/>
    <x v="6"/>
    <s v="Classic Copiers 479"/>
    <s v="First Class"/>
    <x v="0"/>
    <n v="0.1"/>
    <x v="194"/>
    <x v="194"/>
  </r>
  <r>
    <x v="0"/>
    <x v="7"/>
    <s v="Basic Labels 511"/>
    <s v="Second Class"/>
    <x v="0"/>
    <s v="invalid"/>
    <x v="2"/>
    <x v="2"/>
  </r>
  <r>
    <x v="2"/>
    <x v="5"/>
    <s v="Prime Accessories 733"/>
    <s v="Standard Class"/>
    <x v="0"/>
    <n v="0.05"/>
    <x v="195"/>
    <x v="195"/>
  </r>
  <r>
    <x v="2"/>
    <x v="5"/>
    <s v="Max Accessories 186"/>
    <s v="Second Class"/>
    <x v="0"/>
    <n v="0.15"/>
    <x v="196"/>
    <x v="196"/>
  </r>
  <r>
    <x v="1"/>
    <x v="1"/>
    <s v="Elite Tables 318"/>
    <s v="Second Class"/>
    <x v="0"/>
    <n v="0.15"/>
    <x v="197"/>
    <x v="197"/>
  </r>
  <r>
    <x v="0"/>
    <x v="7"/>
    <s v="Smart Labels 354"/>
    <s v="Same Day"/>
    <x v="0"/>
    <n v="0.2"/>
    <x v="198"/>
    <x v="198"/>
  </r>
  <r>
    <x v="1"/>
    <x v="3"/>
    <s v="Pro Furnishings 981"/>
    <s v="First Class"/>
    <x v="0"/>
    <n v="0"/>
    <x v="199"/>
    <x v="199"/>
  </r>
  <r>
    <x v="1"/>
    <x v="10"/>
    <s v="Eco Bookcases 671"/>
    <s v="Second Class"/>
    <x v="0"/>
    <n v="0.2"/>
    <x v="200"/>
    <x v="200"/>
  </r>
  <r>
    <x v="1"/>
    <x v="4"/>
    <s v="Max Chairs 151"/>
    <s v="Same Day"/>
    <x v="0"/>
    <n v="0"/>
    <x v="201"/>
    <x v="201"/>
  </r>
  <r>
    <x v="0"/>
    <x v="0"/>
    <s v="Prime Paper 903"/>
    <s v="First Class"/>
    <x v="0"/>
    <n v="0.1"/>
    <x v="202"/>
    <x v="202"/>
  </r>
  <r>
    <x v="2"/>
    <x v="12"/>
    <s v="Classic Machines 944"/>
    <s v="Second Class"/>
    <x v="0"/>
    <n v="0"/>
    <x v="203"/>
    <x v="203"/>
  </r>
  <r>
    <x v="2"/>
    <x v="6"/>
    <s v="Basic Copiers 222"/>
    <s v="Second Class"/>
    <x v="0"/>
    <n v="0.2"/>
    <x v="204"/>
    <x v="204"/>
  </r>
  <r>
    <x v="2"/>
    <x v="11"/>
    <s v="Max Phones 329"/>
    <s v="Same Day"/>
    <x v="0"/>
    <n v="0.15"/>
    <x v="205"/>
    <x v="205"/>
  </r>
  <r>
    <x v="2"/>
    <x v="5"/>
    <s v="Classic Accessories 840"/>
    <s v="Second Class"/>
    <x v="0"/>
    <n v="0.2"/>
    <x v="206"/>
    <x v="206"/>
  </r>
  <r>
    <x v="2"/>
    <x v="5"/>
    <s v="Classic Accessories 757"/>
    <s v="First Class"/>
    <x v="0"/>
    <n v="0.05"/>
    <x v="207"/>
    <x v="207"/>
  </r>
  <r>
    <x v="0"/>
    <x v="0"/>
    <s v="Prime Paper 286"/>
    <s v="First Class"/>
    <x v="0"/>
    <n v="0.25"/>
    <x v="208"/>
    <x v="208"/>
  </r>
  <r>
    <x v="1"/>
    <x v="1"/>
    <s v="Basic Tables 400"/>
    <s v="Standard Class"/>
    <x v="0"/>
    <n v="0.25"/>
    <x v="209"/>
    <x v="209"/>
  </r>
  <r>
    <x v="1"/>
    <x v="10"/>
    <s v="Basic Bookcases 405"/>
    <s v="Second Class"/>
    <x v="0"/>
    <n v="0.1"/>
    <x v="210"/>
    <x v="210"/>
  </r>
  <r>
    <x v="1"/>
    <x v="10"/>
    <s v="Classic Bookcases 139"/>
    <s v="Standard Class"/>
    <x v="0"/>
    <n v="0"/>
    <x v="211"/>
    <x v="211"/>
  </r>
  <r>
    <x v="2"/>
    <x v="12"/>
    <s v="Elite Machines 290"/>
    <s v="First Class"/>
    <x v="0"/>
    <s v="invalid"/>
    <x v="2"/>
    <x v="2"/>
  </r>
  <r>
    <x v="0"/>
    <x v="8"/>
    <s v="Elite Storage 925"/>
    <s v="First Class"/>
    <x v="0"/>
    <n v="0.15"/>
    <x v="212"/>
    <x v="212"/>
  </r>
  <r>
    <x v="1"/>
    <x v="4"/>
    <s v="Classic Chairs 231"/>
    <s v="Same Day"/>
    <x v="0"/>
    <n v="0.2"/>
    <x v="213"/>
    <x v="213"/>
  </r>
  <r>
    <x v="0"/>
    <x v="8"/>
    <s v="Prime Storage 818"/>
    <s v="First Class"/>
    <x v="0"/>
    <n v="0"/>
    <x v="214"/>
    <x v="214"/>
  </r>
  <r>
    <x v="1"/>
    <x v="3"/>
    <s v="Elite Furnishings 449"/>
    <s v="First Class"/>
    <x v="0"/>
    <n v="0.2"/>
    <x v="215"/>
    <x v="215"/>
  </r>
  <r>
    <x v="1"/>
    <x v="3"/>
    <s v="Classic Furnishings 109"/>
    <s v="Standard Class"/>
    <x v="0"/>
    <n v="0.25"/>
    <x v="216"/>
    <x v="216"/>
  </r>
  <r>
    <x v="2"/>
    <x v="11"/>
    <s v="Classic Phones 548"/>
    <s v="Standard Class"/>
    <x v="0"/>
    <n v="0.15"/>
    <x v="217"/>
    <x v="217"/>
  </r>
  <r>
    <x v="2"/>
    <x v="6"/>
    <s v="Max Copiers 363"/>
    <s v="Same Day"/>
    <x v="0"/>
    <n v="0.1"/>
    <x v="218"/>
    <x v="218"/>
  </r>
  <r>
    <x v="0"/>
    <x v="9"/>
    <s v="Prime Binders 507"/>
    <s v="First Class"/>
    <x v="0"/>
    <n v="0.15"/>
    <x v="219"/>
    <x v="219"/>
  </r>
  <r>
    <x v="0"/>
    <x v="7"/>
    <s v="Smart Labels 914"/>
    <s v="Second Class"/>
    <x v="0"/>
    <n v="0.15"/>
    <x v="220"/>
    <x v="220"/>
  </r>
  <r>
    <x v="1"/>
    <x v="10"/>
    <s v="Smart Bookcases 662"/>
    <s v="First Class"/>
    <x v="0"/>
    <n v="0"/>
    <x v="221"/>
    <x v="221"/>
  </r>
  <r>
    <x v="0"/>
    <x v="0"/>
    <s v="Eco Paper 937"/>
    <s v="Standard Class"/>
    <x v="0"/>
    <n v="0.1"/>
    <x v="222"/>
    <x v="222"/>
  </r>
  <r>
    <x v="0"/>
    <x v="7"/>
    <s v="Max Labels 370"/>
    <s v="First Class"/>
    <x v="0"/>
    <n v="0.25"/>
    <x v="223"/>
    <x v="223"/>
  </r>
  <r>
    <x v="2"/>
    <x v="11"/>
    <s v="Classic Phones 530"/>
    <s v="Standard Class"/>
    <x v="0"/>
    <n v="0.25"/>
    <x v="224"/>
    <x v="224"/>
  </r>
  <r>
    <x v="1"/>
    <x v="10"/>
    <s v="Smart Bookcases 328"/>
    <s v="missing value"/>
    <x v="0"/>
    <n v="0"/>
    <x v="225"/>
    <x v="225"/>
  </r>
  <r>
    <x v="1"/>
    <x v="3"/>
    <s v="Eco Furnishings 981"/>
    <s v="First Class"/>
    <x v="0"/>
    <n v="0.1"/>
    <x v="226"/>
    <x v="226"/>
  </r>
  <r>
    <x v="0"/>
    <x v="8"/>
    <s v="Basic Storage 195"/>
    <s v="Standard Class"/>
    <x v="0"/>
    <n v="0.05"/>
    <x v="227"/>
    <x v="227"/>
  </r>
  <r>
    <x v="1"/>
    <x v="10"/>
    <s v="Elite Bookcases 907"/>
    <s v="First Class"/>
    <x v="0"/>
    <n v="0"/>
    <x v="228"/>
    <x v="228"/>
  </r>
  <r>
    <x v="2"/>
    <x v="6"/>
    <s v="Smart Copiers 471"/>
    <s v="Standard Class"/>
    <x v="0"/>
    <n v="0"/>
    <x v="229"/>
    <x v="229"/>
  </r>
  <r>
    <x v="0"/>
    <x v="8"/>
    <s v="Prime Storage 625"/>
    <s v="First Class"/>
    <x v="0"/>
    <s v="invalid"/>
    <x v="2"/>
    <x v="2"/>
  </r>
  <r>
    <x v="2"/>
    <x v="12"/>
    <s v="Smart Machines 801"/>
    <s v="First Class"/>
    <x v="0"/>
    <n v="0.2"/>
    <x v="230"/>
    <x v="230"/>
  </r>
  <r>
    <x v="0"/>
    <x v="9"/>
    <s v="Max Binders 170"/>
    <s v="First Class"/>
    <x v="0"/>
    <n v="0"/>
    <x v="231"/>
    <x v="231"/>
  </r>
  <r>
    <x v="0"/>
    <x v="8"/>
    <s v="Basic Storage 737"/>
    <s v="Standard Class"/>
    <x v="0"/>
    <n v="0.25"/>
    <x v="232"/>
    <x v="232"/>
  </r>
  <r>
    <x v="0"/>
    <x v="2"/>
    <s v="Classic Art 126"/>
    <s v="Second Class"/>
    <x v="0"/>
    <n v="0.05"/>
    <x v="233"/>
    <x v="233"/>
  </r>
  <r>
    <x v="2"/>
    <x v="5"/>
    <s v="Prime Accessories 243"/>
    <s v="First Class"/>
    <x v="0"/>
    <n v="0.1"/>
    <x v="234"/>
    <x v="234"/>
  </r>
  <r>
    <x v="1"/>
    <x v="10"/>
    <s v="Eco Bookcases 768"/>
    <s v="Same Day"/>
    <x v="0"/>
    <n v="0"/>
    <x v="235"/>
    <x v="235"/>
  </r>
  <r>
    <x v="1"/>
    <x v="4"/>
    <s v="Pro Chairs 316"/>
    <s v="Second Class"/>
    <x v="0"/>
    <n v="0"/>
    <x v="236"/>
    <x v="236"/>
  </r>
  <r>
    <x v="2"/>
    <x v="12"/>
    <s v="Classic Machines 819"/>
    <s v="Same Day"/>
    <x v="0"/>
    <n v="0.25"/>
    <x v="237"/>
    <x v="237"/>
  </r>
  <r>
    <x v="2"/>
    <x v="5"/>
    <s v="Smart Accessories 572"/>
    <s v="Second Class"/>
    <x v="0"/>
    <n v="0.25"/>
    <x v="238"/>
    <x v="238"/>
  </r>
  <r>
    <x v="0"/>
    <x v="7"/>
    <s v="Basic Labels 432"/>
    <s v="Second Class"/>
    <x v="0"/>
    <n v="0.15"/>
    <x v="239"/>
    <x v="239"/>
  </r>
  <r>
    <x v="1"/>
    <x v="3"/>
    <s v="Classic Furnishings 378"/>
    <s v="First Class"/>
    <x v="0"/>
    <n v="0.2"/>
    <x v="240"/>
    <x v="240"/>
  </r>
  <r>
    <x v="1"/>
    <x v="3"/>
    <s v="Prime Furnishings 781"/>
    <s v="Standard Class"/>
    <x v="0"/>
    <n v="0.15"/>
    <x v="241"/>
    <x v="241"/>
  </r>
  <r>
    <x v="1"/>
    <x v="1"/>
    <s v="Prime Tables 263"/>
    <s v="Second Class"/>
    <x v="0"/>
    <n v="0"/>
    <x v="242"/>
    <x v="242"/>
  </r>
  <r>
    <x v="0"/>
    <x v="8"/>
    <s v="Basic Storage 269"/>
    <s v="First Class"/>
    <x v="0"/>
    <n v="0.2"/>
    <x v="243"/>
    <x v="243"/>
  </r>
  <r>
    <x v="2"/>
    <x v="11"/>
    <s v="Classic Phones 442"/>
    <s v="Same Day"/>
    <x v="0"/>
    <n v="0.05"/>
    <x v="244"/>
    <x v="244"/>
  </r>
  <r>
    <x v="2"/>
    <x v="5"/>
    <s v="Elite Accessories 978"/>
    <s v="Same Day"/>
    <x v="0"/>
    <n v="0.2"/>
    <x v="245"/>
    <x v="245"/>
  </r>
  <r>
    <x v="2"/>
    <x v="11"/>
    <s v="Eco Phones 132"/>
    <s v="First Class"/>
    <x v="0"/>
    <n v="0"/>
    <x v="246"/>
    <x v="246"/>
  </r>
  <r>
    <x v="1"/>
    <x v="1"/>
    <s v="Prime Tables 481"/>
    <s v="First Class"/>
    <x v="0"/>
    <n v="0.05"/>
    <x v="247"/>
    <x v="247"/>
  </r>
  <r>
    <x v="2"/>
    <x v="5"/>
    <s v="Smart Accessories 180"/>
    <s v="Second Class"/>
    <x v="0"/>
    <n v="0"/>
    <x v="248"/>
    <x v="248"/>
  </r>
  <r>
    <x v="1"/>
    <x v="1"/>
    <s v="Smart Tables 774"/>
    <s v="Same Day"/>
    <x v="0"/>
    <n v="0.25"/>
    <x v="249"/>
    <x v="249"/>
  </r>
  <r>
    <x v="2"/>
    <x v="12"/>
    <s v="Prime Machines 793"/>
    <s v="Standard Class"/>
    <x v="0"/>
    <n v="0.2"/>
    <x v="250"/>
    <x v="250"/>
  </r>
  <r>
    <x v="0"/>
    <x v="9"/>
    <s v="Elite Binders 827"/>
    <s v="Same Day"/>
    <x v="0"/>
    <n v="0.25"/>
    <x v="251"/>
    <x v="251"/>
  </r>
  <r>
    <x v="0"/>
    <x v="7"/>
    <s v="Prime Labels 326"/>
    <s v="Standard Class"/>
    <x v="0"/>
    <n v="0.2"/>
    <x v="252"/>
    <x v="252"/>
  </r>
  <r>
    <x v="2"/>
    <x v="11"/>
    <s v="Eco Phones 245"/>
    <s v="Same Day"/>
    <x v="0"/>
    <n v="0"/>
    <x v="253"/>
    <x v="253"/>
  </r>
  <r>
    <x v="0"/>
    <x v="9"/>
    <s v="Smart Binders 905"/>
    <s v="Second Class"/>
    <x v="0"/>
    <n v="0.1"/>
    <x v="254"/>
    <x v="254"/>
  </r>
  <r>
    <x v="2"/>
    <x v="6"/>
    <s v="Pro Copiers 599"/>
    <s v="Standard Class"/>
    <x v="0"/>
    <n v="0"/>
    <x v="255"/>
    <x v="255"/>
  </r>
  <r>
    <x v="1"/>
    <x v="10"/>
    <s v="Basic Bookcases 570"/>
    <s v="Same Day"/>
    <x v="0"/>
    <n v="0.15"/>
    <x v="256"/>
    <x v="256"/>
  </r>
  <r>
    <x v="0"/>
    <x v="8"/>
    <s v="Classic Storage 926"/>
    <s v="Second Class"/>
    <x v="0"/>
    <n v="0"/>
    <x v="257"/>
    <x v="257"/>
  </r>
  <r>
    <x v="1"/>
    <x v="3"/>
    <s v="Basic Furnishings 372"/>
    <s v="First Class"/>
    <x v="0"/>
    <n v="0.25"/>
    <x v="258"/>
    <x v="258"/>
  </r>
  <r>
    <x v="2"/>
    <x v="5"/>
    <s v="Prime Accessories 367"/>
    <s v="First Class"/>
    <x v="0"/>
    <n v="0.25"/>
    <x v="259"/>
    <x v="259"/>
  </r>
  <r>
    <x v="1"/>
    <x v="1"/>
    <s v="Max Tables 526"/>
    <s v="Same Day"/>
    <x v="0"/>
    <n v="0"/>
    <x v="260"/>
    <x v="260"/>
  </r>
  <r>
    <x v="2"/>
    <x v="12"/>
    <s v="Prime Machines 794"/>
    <s v="Same Day"/>
    <x v="0"/>
    <n v="0"/>
    <x v="261"/>
    <x v="261"/>
  </r>
  <r>
    <x v="0"/>
    <x v="9"/>
    <s v="Max Binders 927"/>
    <s v="Standard Class"/>
    <x v="0"/>
    <n v="0"/>
    <x v="262"/>
    <x v="262"/>
  </r>
  <r>
    <x v="1"/>
    <x v="4"/>
    <s v="Eco Chairs 314"/>
    <s v="First Class"/>
    <x v="0"/>
    <n v="0.1"/>
    <x v="263"/>
    <x v="263"/>
  </r>
  <r>
    <x v="0"/>
    <x v="0"/>
    <s v="Basic Paper 657"/>
    <s v="Second Class"/>
    <x v="0"/>
    <n v="0"/>
    <x v="264"/>
    <x v="264"/>
  </r>
  <r>
    <x v="2"/>
    <x v="6"/>
    <s v="Pro Copiers 406"/>
    <s v="Standard Class"/>
    <x v="0"/>
    <n v="0.15"/>
    <x v="265"/>
    <x v="265"/>
  </r>
  <r>
    <x v="1"/>
    <x v="3"/>
    <s v="Eco Furnishings 678"/>
    <s v="Same Day"/>
    <x v="0"/>
    <n v="0"/>
    <x v="266"/>
    <x v="266"/>
  </r>
  <r>
    <x v="1"/>
    <x v="4"/>
    <s v="Basic Chairs 141"/>
    <s v="Second Class"/>
    <x v="0"/>
    <s v="invalid"/>
    <x v="2"/>
    <x v="2"/>
  </r>
  <r>
    <x v="2"/>
    <x v="5"/>
    <s v="Elite Accessories 291"/>
    <s v="Second Class"/>
    <x v="0"/>
    <n v="0.15"/>
    <x v="267"/>
    <x v="267"/>
  </r>
  <r>
    <x v="2"/>
    <x v="5"/>
    <s v="Pro Accessories 207"/>
    <s v="Same Day"/>
    <x v="0"/>
    <n v="0.05"/>
    <x v="268"/>
    <x v="268"/>
  </r>
  <r>
    <x v="0"/>
    <x v="8"/>
    <s v="Max Storage 564"/>
    <s v="First Class"/>
    <x v="0"/>
    <n v="0.05"/>
    <x v="269"/>
    <x v="269"/>
  </r>
  <r>
    <x v="2"/>
    <x v="6"/>
    <s v="Prime Copiers 961"/>
    <s v="Standard Class"/>
    <x v="0"/>
    <n v="0"/>
    <x v="270"/>
    <x v="270"/>
  </r>
  <r>
    <x v="0"/>
    <x v="9"/>
    <s v="Basic Binders 637"/>
    <s v="Second Class"/>
    <x v="0"/>
    <n v="0.2"/>
    <x v="271"/>
    <x v="271"/>
  </r>
  <r>
    <x v="1"/>
    <x v="1"/>
    <s v="Classic Tables 811"/>
    <s v="Second Class"/>
    <x v="0"/>
    <n v="0"/>
    <x v="272"/>
    <x v="272"/>
  </r>
  <r>
    <x v="1"/>
    <x v="3"/>
    <s v="Classic Furnishings 819"/>
    <s v="First Class"/>
    <x v="0"/>
    <n v="0"/>
    <x v="273"/>
    <x v="273"/>
  </r>
  <r>
    <x v="1"/>
    <x v="1"/>
    <s v="Prime Tables 542"/>
    <s v="Same Day"/>
    <x v="0"/>
    <n v="0"/>
    <x v="274"/>
    <x v="274"/>
  </r>
  <r>
    <x v="0"/>
    <x v="8"/>
    <s v="Basic Storage 771"/>
    <s v="Standard Class"/>
    <x v="0"/>
    <n v="0"/>
    <x v="275"/>
    <x v="275"/>
  </r>
  <r>
    <x v="1"/>
    <x v="3"/>
    <s v="Pro Furnishings 848"/>
    <s v="First Class"/>
    <x v="0"/>
    <n v="0.1"/>
    <x v="276"/>
    <x v="276"/>
  </r>
  <r>
    <x v="2"/>
    <x v="6"/>
    <s v="Prime Copiers 924"/>
    <s v="Standard Class"/>
    <x v="0"/>
    <n v="0.15"/>
    <x v="277"/>
    <x v="277"/>
  </r>
  <r>
    <x v="0"/>
    <x v="9"/>
    <s v="Classic Binders 721"/>
    <s v="Same Day"/>
    <x v="0"/>
    <n v="0.15"/>
    <x v="278"/>
    <x v="278"/>
  </r>
  <r>
    <x v="1"/>
    <x v="10"/>
    <s v="Basic Bookcases 823"/>
    <s v="First Class"/>
    <x v="0"/>
    <n v="0.05"/>
    <x v="279"/>
    <x v="279"/>
  </r>
  <r>
    <x v="1"/>
    <x v="1"/>
    <s v="Classic Tables 178"/>
    <s v="Standard Class"/>
    <x v="0"/>
    <n v="0.1"/>
    <x v="280"/>
    <x v="280"/>
  </r>
  <r>
    <x v="0"/>
    <x v="9"/>
    <s v="Eco Binders 153"/>
    <s v="Standard Class"/>
    <x v="0"/>
    <n v="0.25"/>
    <x v="281"/>
    <x v="281"/>
  </r>
  <r>
    <x v="0"/>
    <x v="2"/>
    <s v="Classic Art 183"/>
    <s v="Same Day"/>
    <x v="0"/>
    <n v="0"/>
    <x v="282"/>
    <x v="282"/>
  </r>
  <r>
    <x v="2"/>
    <x v="11"/>
    <s v="Pro Phones 455"/>
    <s v="First Class"/>
    <x v="0"/>
    <s v="invalid"/>
    <x v="2"/>
    <x v="2"/>
  </r>
  <r>
    <x v="2"/>
    <x v="11"/>
    <s v="Basic Phones 326"/>
    <s v="Second Class"/>
    <x v="0"/>
    <n v="0.25"/>
    <x v="283"/>
    <x v="283"/>
  </r>
  <r>
    <x v="0"/>
    <x v="9"/>
    <s v="Max Binders 587"/>
    <s v="Standard Class"/>
    <x v="0"/>
    <n v="0.1"/>
    <x v="284"/>
    <x v="284"/>
  </r>
  <r>
    <x v="1"/>
    <x v="3"/>
    <s v="Basic Furnishings 617"/>
    <s v="Same Day"/>
    <x v="0"/>
    <n v="0.15"/>
    <x v="285"/>
    <x v="285"/>
  </r>
  <r>
    <x v="2"/>
    <x v="6"/>
    <s v="Prime Copiers 669"/>
    <s v="Same Day"/>
    <x v="0"/>
    <n v="0.15"/>
    <x v="286"/>
    <x v="286"/>
  </r>
  <r>
    <x v="2"/>
    <x v="6"/>
    <s v="Eco Copiers 894"/>
    <s v="First Class"/>
    <x v="0"/>
    <n v="0.2"/>
    <x v="287"/>
    <x v="287"/>
  </r>
  <r>
    <x v="2"/>
    <x v="5"/>
    <s v="Max Accessories 145"/>
    <s v="Standard Class"/>
    <x v="0"/>
    <n v="0.1"/>
    <x v="288"/>
    <x v="288"/>
  </r>
  <r>
    <x v="2"/>
    <x v="5"/>
    <s v="Classic Accessories 126"/>
    <s v="Second Class"/>
    <x v="0"/>
    <n v="0.1"/>
    <x v="289"/>
    <x v="289"/>
  </r>
  <r>
    <x v="2"/>
    <x v="11"/>
    <s v="Elite Phones 202"/>
    <s v="Same Day"/>
    <x v="0"/>
    <n v="0.05"/>
    <x v="290"/>
    <x v="290"/>
  </r>
  <r>
    <x v="0"/>
    <x v="8"/>
    <s v="Elite Storage 535"/>
    <s v="Same Day"/>
    <x v="0"/>
    <n v="0.25"/>
    <x v="291"/>
    <x v="291"/>
  </r>
  <r>
    <x v="1"/>
    <x v="4"/>
    <s v="Elite Chairs 107"/>
    <s v="Standard Class"/>
    <x v="0"/>
    <n v="0.1"/>
    <x v="292"/>
    <x v="292"/>
  </r>
  <r>
    <x v="1"/>
    <x v="3"/>
    <s v="Pro Furnishings 991"/>
    <s v="Standard Class"/>
    <x v="0"/>
    <n v="0.1"/>
    <x v="293"/>
    <x v="293"/>
  </r>
  <r>
    <x v="1"/>
    <x v="4"/>
    <s v="Eco Chairs 105"/>
    <s v="First Class"/>
    <x v="0"/>
    <s v="invalid"/>
    <x v="2"/>
    <x v="2"/>
  </r>
  <r>
    <x v="2"/>
    <x v="11"/>
    <s v="Pro Phones 530"/>
    <s v="Second Class"/>
    <x v="0"/>
    <n v="0"/>
    <x v="294"/>
    <x v="294"/>
  </r>
  <r>
    <x v="1"/>
    <x v="1"/>
    <s v="Basic Tables 911"/>
    <s v="First Class"/>
    <x v="0"/>
    <n v="0.2"/>
    <x v="295"/>
    <x v="295"/>
  </r>
  <r>
    <x v="1"/>
    <x v="1"/>
    <s v="Classic Tables 224"/>
    <s v="First Class"/>
    <x v="0"/>
    <n v="0.2"/>
    <x v="296"/>
    <x v="296"/>
  </r>
  <r>
    <x v="1"/>
    <x v="1"/>
    <s v="Prime Tables 214"/>
    <s v="First Class"/>
    <x v="0"/>
    <n v="0.1"/>
    <x v="297"/>
    <x v="297"/>
  </r>
  <r>
    <x v="2"/>
    <x v="12"/>
    <s v="Max Machines 988"/>
    <s v="First Class"/>
    <x v="0"/>
    <n v="0"/>
    <x v="298"/>
    <x v="298"/>
  </r>
  <r>
    <x v="0"/>
    <x v="9"/>
    <s v="Max Binders 425"/>
    <s v="Second Class"/>
    <x v="0"/>
    <n v="0.1"/>
    <x v="299"/>
    <x v="299"/>
  </r>
  <r>
    <x v="2"/>
    <x v="11"/>
    <s v="Elite Phones 679"/>
    <s v="Standard Class"/>
    <x v="0"/>
    <n v="0"/>
    <x v="300"/>
    <x v="300"/>
  </r>
  <r>
    <x v="2"/>
    <x v="11"/>
    <s v="Pro Phones 764"/>
    <s v="First Class"/>
    <x v="0"/>
    <n v="0.25"/>
    <x v="301"/>
    <x v="301"/>
  </r>
  <r>
    <x v="0"/>
    <x v="7"/>
    <s v="Elite Labels 544"/>
    <s v="Standard Class"/>
    <x v="0"/>
    <n v="0.15"/>
    <x v="302"/>
    <x v="302"/>
  </r>
  <r>
    <x v="0"/>
    <x v="0"/>
    <s v="Smart Paper 817"/>
    <s v="Standard Class"/>
    <x v="0"/>
    <n v="0.05"/>
    <x v="303"/>
    <x v="303"/>
  </r>
  <r>
    <x v="0"/>
    <x v="7"/>
    <s v="Classic Labels 466"/>
    <s v="Standard Class"/>
    <x v="0"/>
    <n v="0.2"/>
    <x v="304"/>
    <x v="304"/>
  </r>
  <r>
    <x v="1"/>
    <x v="1"/>
    <s v="Pro Tables 778"/>
    <s v="First Class"/>
    <x v="0"/>
    <n v="0.15"/>
    <x v="305"/>
    <x v="305"/>
  </r>
  <r>
    <x v="2"/>
    <x v="11"/>
    <s v="Basic Phones 789"/>
    <s v="Standard Class"/>
    <x v="0"/>
    <n v="0.1"/>
    <x v="306"/>
    <x v="306"/>
  </r>
  <r>
    <x v="0"/>
    <x v="9"/>
    <s v="Prime Binders 554"/>
    <s v="First Class"/>
    <x v="0"/>
    <n v="0"/>
    <x v="307"/>
    <x v="307"/>
  </r>
  <r>
    <x v="0"/>
    <x v="2"/>
    <s v="Classic Art 299"/>
    <s v="Second Class"/>
    <x v="0"/>
    <s v="invalid"/>
    <x v="2"/>
    <x v="2"/>
  </r>
  <r>
    <x v="2"/>
    <x v="5"/>
    <s v="Eco Accessories 220"/>
    <s v="Same Day"/>
    <x v="0"/>
    <n v="0"/>
    <x v="308"/>
    <x v="308"/>
  </r>
  <r>
    <x v="2"/>
    <x v="11"/>
    <s v="Max Phones 422"/>
    <s v="Second Class"/>
    <x v="0"/>
    <n v="0.15"/>
    <x v="309"/>
    <x v="309"/>
  </r>
  <r>
    <x v="1"/>
    <x v="3"/>
    <s v="Eco Furnishings 897"/>
    <s v="Standard Class"/>
    <x v="0"/>
    <n v="0.15"/>
    <x v="310"/>
    <x v="310"/>
  </r>
  <r>
    <x v="0"/>
    <x v="7"/>
    <s v="Basic Labels 102"/>
    <s v="Same Day"/>
    <x v="0"/>
    <n v="0.15"/>
    <x v="311"/>
    <x v="311"/>
  </r>
  <r>
    <x v="2"/>
    <x v="6"/>
    <s v="Prime Copiers 170"/>
    <s v="Second Class"/>
    <x v="0"/>
    <n v="0.15"/>
    <x v="312"/>
    <x v="312"/>
  </r>
  <r>
    <x v="1"/>
    <x v="3"/>
    <s v="Smart Furnishings 533"/>
    <s v="Same Day"/>
    <x v="0"/>
    <n v="0.05"/>
    <x v="313"/>
    <x v="313"/>
  </r>
  <r>
    <x v="2"/>
    <x v="5"/>
    <s v="Classic Accessories 489"/>
    <s v="Second Class"/>
    <x v="0"/>
    <n v="0.2"/>
    <x v="314"/>
    <x v="314"/>
  </r>
  <r>
    <x v="0"/>
    <x v="8"/>
    <s v="Smart Storage 439"/>
    <s v="First Class"/>
    <x v="0"/>
    <n v="0"/>
    <x v="315"/>
    <x v="315"/>
  </r>
  <r>
    <x v="0"/>
    <x v="8"/>
    <s v="Prime Storage 232"/>
    <s v="Standard Class"/>
    <x v="0"/>
    <n v="0.05"/>
    <x v="316"/>
    <x v="316"/>
  </r>
  <r>
    <x v="2"/>
    <x v="5"/>
    <s v="Prime Accessories 335"/>
    <s v="Same Day"/>
    <x v="0"/>
    <n v="0"/>
    <x v="317"/>
    <x v="317"/>
  </r>
  <r>
    <x v="0"/>
    <x v="9"/>
    <s v="Smart Binders 939"/>
    <s v="Second Class"/>
    <x v="0"/>
    <n v="0"/>
    <x v="318"/>
    <x v="318"/>
  </r>
  <r>
    <x v="2"/>
    <x v="12"/>
    <s v="Basic Machines 601"/>
    <s v="Second Class"/>
    <x v="0"/>
    <n v="0"/>
    <x v="319"/>
    <x v="319"/>
  </r>
  <r>
    <x v="2"/>
    <x v="11"/>
    <s v="Pro Phones 968"/>
    <s v="First Class"/>
    <x v="0"/>
    <n v="0"/>
    <x v="320"/>
    <x v="320"/>
  </r>
  <r>
    <x v="0"/>
    <x v="8"/>
    <s v="Pro Storage 563"/>
    <s v="First Class"/>
    <x v="0"/>
    <n v="0.25"/>
    <x v="321"/>
    <x v="321"/>
  </r>
  <r>
    <x v="0"/>
    <x v="0"/>
    <s v="Prime Paper 559"/>
    <s v="First Class"/>
    <x v="0"/>
    <n v="0.1"/>
    <x v="322"/>
    <x v="322"/>
  </r>
  <r>
    <x v="2"/>
    <x v="6"/>
    <s v="Pro Copiers 999"/>
    <s v="First Class"/>
    <x v="0"/>
    <n v="0"/>
    <x v="323"/>
    <x v="323"/>
  </r>
  <r>
    <x v="0"/>
    <x v="7"/>
    <s v="Classic Labels 206"/>
    <s v="Same Day"/>
    <x v="0"/>
    <n v="0"/>
    <x v="324"/>
    <x v="324"/>
  </r>
  <r>
    <x v="2"/>
    <x v="5"/>
    <s v="Eco Accessories 315"/>
    <s v="First Class"/>
    <x v="0"/>
    <n v="0.25"/>
    <x v="325"/>
    <x v="325"/>
  </r>
  <r>
    <x v="1"/>
    <x v="10"/>
    <s v="Elite Bookcases 988"/>
    <s v="Standard Class"/>
    <x v="0"/>
    <n v="0.2"/>
    <x v="326"/>
    <x v="326"/>
  </r>
  <r>
    <x v="0"/>
    <x v="9"/>
    <s v="Smart Binders 414"/>
    <s v="Standard Class"/>
    <x v="0"/>
    <n v="0.1"/>
    <x v="327"/>
    <x v="327"/>
  </r>
  <r>
    <x v="1"/>
    <x v="4"/>
    <s v="Eco Chairs 552"/>
    <s v="Second Class"/>
    <x v="0"/>
    <n v="0.05"/>
    <x v="328"/>
    <x v="328"/>
  </r>
  <r>
    <x v="0"/>
    <x v="9"/>
    <s v="Smart Binders 574"/>
    <s v="First Class"/>
    <x v="0"/>
    <n v="0"/>
    <x v="329"/>
    <x v="329"/>
  </r>
  <r>
    <x v="2"/>
    <x v="12"/>
    <s v="Pro Machines 444"/>
    <s v="Same Day"/>
    <x v="0"/>
    <n v="0.1"/>
    <x v="330"/>
    <x v="330"/>
  </r>
  <r>
    <x v="1"/>
    <x v="10"/>
    <s v="Elite Bookcases 184"/>
    <s v="Same Day"/>
    <x v="0"/>
    <n v="0"/>
    <x v="331"/>
    <x v="331"/>
  </r>
  <r>
    <x v="1"/>
    <x v="3"/>
    <s v="Elite Furnishings 138"/>
    <s v="Second Class"/>
    <x v="0"/>
    <n v="0"/>
    <x v="332"/>
    <x v="332"/>
  </r>
  <r>
    <x v="1"/>
    <x v="4"/>
    <s v="Eco Chairs 369"/>
    <s v="Second Class"/>
    <x v="0"/>
    <n v="0.2"/>
    <x v="333"/>
    <x v="333"/>
  </r>
  <r>
    <x v="1"/>
    <x v="4"/>
    <s v="Max Chairs 487"/>
    <s v="Second Class"/>
    <x v="0"/>
    <n v="0.2"/>
    <x v="334"/>
    <x v="334"/>
  </r>
  <r>
    <x v="2"/>
    <x v="11"/>
    <s v="Classic Phones 989"/>
    <s v="Same Day"/>
    <x v="0"/>
    <n v="0.25"/>
    <x v="335"/>
    <x v="335"/>
  </r>
  <r>
    <x v="1"/>
    <x v="3"/>
    <s v="Max Furnishings 628"/>
    <s v="Second Class"/>
    <x v="0"/>
    <n v="0.25"/>
    <x v="336"/>
    <x v="336"/>
  </r>
  <r>
    <x v="1"/>
    <x v="3"/>
    <s v="Elite Furnishings 279"/>
    <s v="Second Class"/>
    <x v="0"/>
    <n v="0.1"/>
    <x v="337"/>
    <x v="337"/>
  </r>
  <r>
    <x v="0"/>
    <x v="8"/>
    <s v="Pro Storage 847"/>
    <s v="First Class"/>
    <x v="0"/>
    <n v="0.25"/>
    <x v="338"/>
    <x v="338"/>
  </r>
  <r>
    <x v="2"/>
    <x v="6"/>
    <s v="Elite Copiers 706"/>
    <s v="First Class"/>
    <x v="0"/>
    <n v="0.25"/>
    <x v="339"/>
    <x v="339"/>
  </r>
  <r>
    <x v="0"/>
    <x v="2"/>
    <s v="Prime Art 978"/>
    <s v="Same Day"/>
    <x v="0"/>
    <n v="0.2"/>
    <x v="340"/>
    <x v="340"/>
  </r>
  <r>
    <x v="1"/>
    <x v="3"/>
    <s v="Classic Furnishings 498"/>
    <s v="Standard Class"/>
    <x v="0"/>
    <s v="invalid"/>
    <x v="2"/>
    <x v="2"/>
  </r>
  <r>
    <x v="1"/>
    <x v="1"/>
    <s v="Max Tables 829"/>
    <s v="Standard Class"/>
    <x v="0"/>
    <n v="0"/>
    <x v="341"/>
    <x v="341"/>
  </r>
  <r>
    <x v="1"/>
    <x v="4"/>
    <s v="Eco Chairs 346"/>
    <s v="First Class"/>
    <x v="0"/>
    <n v="0.2"/>
    <x v="342"/>
    <x v="342"/>
  </r>
  <r>
    <x v="2"/>
    <x v="12"/>
    <s v="Max Machines 770"/>
    <s v="Second Class"/>
    <x v="0"/>
    <n v="0"/>
    <x v="343"/>
    <x v="343"/>
  </r>
  <r>
    <x v="1"/>
    <x v="10"/>
    <s v="Smart Bookcases 134"/>
    <s v="Second Class"/>
    <x v="0"/>
    <n v="0.05"/>
    <x v="344"/>
    <x v="344"/>
  </r>
  <r>
    <x v="2"/>
    <x v="11"/>
    <s v="Classic Phones 586"/>
    <s v="Same Day"/>
    <x v="0"/>
    <n v="0.1"/>
    <x v="345"/>
    <x v="345"/>
  </r>
  <r>
    <x v="1"/>
    <x v="3"/>
    <s v="Elite Furnishings 634"/>
    <s v="Standard Class"/>
    <x v="0"/>
    <n v="0.2"/>
    <x v="346"/>
    <x v="346"/>
  </r>
  <r>
    <x v="1"/>
    <x v="4"/>
    <s v="Basic Chairs 113"/>
    <s v="Second Class"/>
    <x v="0"/>
    <n v="0.05"/>
    <x v="347"/>
    <x v="347"/>
  </r>
  <r>
    <x v="2"/>
    <x v="12"/>
    <s v="Elite Machines 216"/>
    <s v="Same Day"/>
    <x v="0"/>
    <n v="0.05"/>
    <x v="348"/>
    <x v="348"/>
  </r>
  <r>
    <x v="1"/>
    <x v="1"/>
    <s v="Smart Tables 943"/>
    <s v="Second Class"/>
    <x v="0"/>
    <n v="0.25"/>
    <x v="349"/>
    <x v="349"/>
  </r>
  <r>
    <x v="1"/>
    <x v="4"/>
    <s v="Prime Chairs 101"/>
    <s v="Second Class"/>
    <x v="0"/>
    <n v="0"/>
    <x v="350"/>
    <x v="350"/>
  </r>
  <r>
    <x v="2"/>
    <x v="5"/>
    <s v="Basic Accessories 774"/>
    <s v="First Class"/>
    <x v="0"/>
    <n v="0"/>
    <x v="351"/>
    <x v="351"/>
  </r>
  <r>
    <x v="1"/>
    <x v="1"/>
    <s v="Max Tables 478"/>
    <s v="Same Day"/>
    <x v="0"/>
    <n v="0"/>
    <x v="352"/>
    <x v="352"/>
  </r>
  <r>
    <x v="0"/>
    <x v="2"/>
    <s v="Eco Art 646"/>
    <s v="Standard Class"/>
    <x v="0"/>
    <n v="0.15"/>
    <x v="353"/>
    <x v="353"/>
  </r>
  <r>
    <x v="2"/>
    <x v="5"/>
    <s v="Prime Accessories 962"/>
    <s v="Same Day"/>
    <x v="0"/>
    <n v="0.05"/>
    <x v="354"/>
    <x v="354"/>
  </r>
  <r>
    <x v="0"/>
    <x v="7"/>
    <s v="Eco Labels 646"/>
    <s v="Standard Class"/>
    <x v="0"/>
    <n v="0.15"/>
    <x v="355"/>
    <x v="355"/>
  </r>
  <r>
    <x v="2"/>
    <x v="6"/>
    <s v="Classic Copiers 505"/>
    <s v="First Class"/>
    <x v="0"/>
    <n v="0.2"/>
    <x v="356"/>
    <x v="356"/>
  </r>
  <r>
    <x v="0"/>
    <x v="2"/>
    <s v="Pro Art 906"/>
    <s v="Standard Class"/>
    <x v="0"/>
    <n v="0"/>
    <x v="357"/>
    <x v="357"/>
  </r>
  <r>
    <x v="1"/>
    <x v="4"/>
    <s v="Max Chairs 181"/>
    <s v="Same Day"/>
    <x v="0"/>
    <n v="0"/>
    <x v="358"/>
    <x v="358"/>
  </r>
  <r>
    <x v="0"/>
    <x v="8"/>
    <s v="Prime Storage 951"/>
    <s v="Second Class"/>
    <x v="0"/>
    <n v="0"/>
    <x v="359"/>
    <x v="359"/>
  </r>
  <r>
    <x v="0"/>
    <x v="7"/>
    <s v="Smart Labels 668"/>
    <s v="Standard Class"/>
    <x v="0"/>
    <n v="0"/>
    <x v="360"/>
    <x v="360"/>
  </r>
  <r>
    <x v="1"/>
    <x v="4"/>
    <s v="Pro Chairs 364"/>
    <s v="Same Day"/>
    <x v="0"/>
    <n v="0.25"/>
    <x v="361"/>
    <x v="361"/>
  </r>
  <r>
    <x v="1"/>
    <x v="4"/>
    <s v="Basic Chairs 248"/>
    <s v="First Class"/>
    <x v="0"/>
    <n v="0.2"/>
    <x v="362"/>
    <x v="362"/>
  </r>
  <r>
    <x v="0"/>
    <x v="8"/>
    <s v="Basic Storage 360"/>
    <s v="Same Day"/>
    <x v="0"/>
    <n v="0"/>
    <x v="363"/>
    <x v="363"/>
  </r>
  <r>
    <x v="2"/>
    <x v="5"/>
    <s v="Basic Accessories 988"/>
    <s v="Standard Class"/>
    <x v="0"/>
    <n v="0"/>
    <x v="364"/>
    <x v="364"/>
  </r>
  <r>
    <x v="0"/>
    <x v="0"/>
    <s v="Max Paper 334"/>
    <s v="Standard Class"/>
    <x v="0"/>
    <n v="0"/>
    <x v="365"/>
    <x v="365"/>
  </r>
  <r>
    <x v="1"/>
    <x v="10"/>
    <s v="Prime Bookcases 952"/>
    <s v="Same Day"/>
    <x v="0"/>
    <n v="0.25"/>
    <x v="366"/>
    <x v="366"/>
  </r>
  <r>
    <x v="0"/>
    <x v="9"/>
    <s v="Prime Binders 523"/>
    <s v="Standard Class"/>
    <x v="0"/>
    <n v="0.05"/>
    <x v="367"/>
    <x v="367"/>
  </r>
  <r>
    <x v="2"/>
    <x v="11"/>
    <s v="Pro Phones 538"/>
    <s v="First Class"/>
    <x v="0"/>
    <n v="0.2"/>
    <x v="368"/>
    <x v="368"/>
  </r>
  <r>
    <x v="0"/>
    <x v="2"/>
    <s v="Basic Art 608"/>
    <s v="First Class"/>
    <x v="0"/>
    <n v="0"/>
    <x v="369"/>
    <x v="369"/>
  </r>
  <r>
    <x v="2"/>
    <x v="6"/>
    <s v="Prime Copiers 820"/>
    <s v="Standard Class"/>
    <x v="0"/>
    <n v="0.25"/>
    <x v="370"/>
    <x v="370"/>
  </r>
  <r>
    <x v="0"/>
    <x v="7"/>
    <s v="Classic Labels 670"/>
    <s v="Standard Class"/>
    <x v="0"/>
    <n v="0.1"/>
    <x v="371"/>
    <x v="371"/>
  </r>
  <r>
    <x v="1"/>
    <x v="3"/>
    <s v="Prime Furnishings 597"/>
    <s v="Second Class"/>
    <x v="0"/>
    <n v="0.1"/>
    <x v="372"/>
    <x v="372"/>
  </r>
  <r>
    <x v="1"/>
    <x v="4"/>
    <s v="Prime Chairs 196"/>
    <s v="Standard Class"/>
    <x v="0"/>
    <n v="0"/>
    <x v="373"/>
    <x v="373"/>
  </r>
  <r>
    <x v="1"/>
    <x v="4"/>
    <s v="Elite Chairs 639"/>
    <s v="Standard Class"/>
    <x v="0"/>
    <n v="0"/>
    <x v="374"/>
    <x v="374"/>
  </r>
  <r>
    <x v="2"/>
    <x v="12"/>
    <s v="Elite Machines 563"/>
    <s v="Second Class"/>
    <x v="0"/>
    <n v="0.2"/>
    <x v="375"/>
    <x v="375"/>
  </r>
  <r>
    <x v="1"/>
    <x v="3"/>
    <s v="Pro Furnishings 281"/>
    <s v="Standard Class"/>
    <x v="0"/>
    <n v="0.2"/>
    <x v="376"/>
    <x v="376"/>
  </r>
  <r>
    <x v="0"/>
    <x v="8"/>
    <s v="Eco Storage 285"/>
    <s v="First Class"/>
    <x v="0"/>
    <n v="0"/>
    <x v="377"/>
    <x v="377"/>
  </r>
  <r>
    <x v="1"/>
    <x v="3"/>
    <s v="Classic Furnishings 746"/>
    <s v="Same Day"/>
    <x v="0"/>
    <n v="0"/>
    <x v="378"/>
    <x v="378"/>
  </r>
  <r>
    <x v="0"/>
    <x v="7"/>
    <s v="Eco Labels 815"/>
    <s v="Same Day"/>
    <x v="0"/>
    <n v="0.05"/>
    <x v="379"/>
    <x v="379"/>
  </r>
  <r>
    <x v="1"/>
    <x v="3"/>
    <s v="Prime Furnishings 879"/>
    <s v="First Class"/>
    <x v="0"/>
    <n v="0"/>
    <x v="380"/>
    <x v="380"/>
  </r>
  <r>
    <x v="1"/>
    <x v="1"/>
    <s v="Pro Tables 142"/>
    <s v="Same Day"/>
    <x v="0"/>
    <n v="0.05"/>
    <x v="381"/>
    <x v="381"/>
  </r>
  <r>
    <x v="2"/>
    <x v="12"/>
    <s v="Prime Machines 267"/>
    <s v="Standard Class"/>
    <x v="0"/>
    <n v="0.05"/>
    <x v="382"/>
    <x v="382"/>
  </r>
  <r>
    <x v="1"/>
    <x v="1"/>
    <s v="Eco Tables 378"/>
    <s v="Second Class"/>
    <x v="0"/>
    <n v="0"/>
    <x v="383"/>
    <x v="383"/>
  </r>
  <r>
    <x v="2"/>
    <x v="12"/>
    <s v="Elite Machines 523"/>
    <s v="Same Day"/>
    <x v="0"/>
    <n v="0.2"/>
    <x v="384"/>
    <x v="384"/>
  </r>
  <r>
    <x v="0"/>
    <x v="0"/>
    <s v="Elite Paper 308"/>
    <s v="Same Day"/>
    <x v="0"/>
    <n v="0.25"/>
    <x v="385"/>
    <x v="385"/>
  </r>
  <r>
    <x v="0"/>
    <x v="0"/>
    <s v="Prime Paper 851"/>
    <s v="Same Day"/>
    <x v="0"/>
    <s v="invalid"/>
    <x v="2"/>
    <x v="2"/>
  </r>
  <r>
    <x v="1"/>
    <x v="1"/>
    <s v="Classic Tables 151"/>
    <s v="Same Day"/>
    <x v="0"/>
    <n v="0"/>
    <x v="386"/>
    <x v="386"/>
  </r>
  <r>
    <x v="1"/>
    <x v="1"/>
    <s v="Smart Tables 829"/>
    <s v="missing value"/>
    <x v="0"/>
    <n v="0"/>
    <x v="387"/>
    <x v="387"/>
  </r>
  <r>
    <x v="0"/>
    <x v="0"/>
    <s v="Classic Paper 237"/>
    <s v="Same Day"/>
    <x v="0"/>
    <n v="0.05"/>
    <x v="388"/>
    <x v="388"/>
  </r>
  <r>
    <x v="1"/>
    <x v="4"/>
    <s v="Prime Chairs 891"/>
    <s v="Same Day"/>
    <x v="0"/>
    <n v="0"/>
    <x v="389"/>
    <x v="389"/>
  </r>
  <r>
    <x v="1"/>
    <x v="10"/>
    <s v="Max Bookcases 812"/>
    <s v="missing value"/>
    <x v="0"/>
    <n v="0.1"/>
    <x v="390"/>
    <x v="390"/>
  </r>
  <r>
    <x v="1"/>
    <x v="3"/>
    <s v="Basic Furnishings 164"/>
    <s v="Standard Class"/>
    <x v="0"/>
    <n v="0.25"/>
    <x v="391"/>
    <x v="391"/>
  </r>
  <r>
    <x v="0"/>
    <x v="7"/>
    <s v="Smart Labels 261"/>
    <s v="Second Class"/>
    <x v="0"/>
    <n v="0"/>
    <x v="392"/>
    <x v="392"/>
  </r>
  <r>
    <x v="1"/>
    <x v="4"/>
    <s v="Max Chairs 765"/>
    <s v="First Class"/>
    <x v="0"/>
    <n v="0"/>
    <x v="393"/>
    <x v="393"/>
  </r>
  <r>
    <x v="2"/>
    <x v="5"/>
    <s v="Pro Accessories 686"/>
    <s v="Same Day"/>
    <x v="0"/>
    <n v="0.25"/>
    <x v="394"/>
    <x v="394"/>
  </r>
  <r>
    <x v="1"/>
    <x v="1"/>
    <s v="Smart Tables 100"/>
    <s v="First Class"/>
    <x v="0"/>
    <n v="0.2"/>
    <x v="395"/>
    <x v="395"/>
  </r>
  <r>
    <x v="1"/>
    <x v="1"/>
    <s v="Basic Tables 615"/>
    <s v="First Class"/>
    <x v="0"/>
    <n v="0.2"/>
    <x v="396"/>
    <x v="396"/>
  </r>
  <r>
    <x v="1"/>
    <x v="4"/>
    <s v="Basic Chairs 790"/>
    <s v="Same Day"/>
    <x v="0"/>
    <n v="0.25"/>
    <x v="397"/>
    <x v="397"/>
  </r>
  <r>
    <x v="2"/>
    <x v="5"/>
    <s v="Smart Accessories 226"/>
    <s v="Second Class"/>
    <x v="0"/>
    <n v="0"/>
    <x v="398"/>
    <x v="398"/>
  </r>
  <r>
    <x v="0"/>
    <x v="8"/>
    <s v="Max Storage 692"/>
    <s v="First Class"/>
    <x v="0"/>
    <n v="0.05"/>
    <x v="399"/>
    <x v="399"/>
  </r>
  <r>
    <x v="0"/>
    <x v="8"/>
    <s v="Basic Storage 684"/>
    <s v="Same Day"/>
    <x v="0"/>
    <n v="0.15"/>
    <x v="400"/>
    <x v="400"/>
  </r>
  <r>
    <x v="1"/>
    <x v="3"/>
    <s v="Smart Furnishings 152"/>
    <s v="First Class"/>
    <x v="0"/>
    <n v="0.25"/>
    <x v="401"/>
    <x v="401"/>
  </r>
  <r>
    <x v="0"/>
    <x v="2"/>
    <s v="Max Art 736"/>
    <s v="First Class"/>
    <x v="0"/>
    <n v="0.2"/>
    <x v="402"/>
    <x v="402"/>
  </r>
  <r>
    <x v="2"/>
    <x v="6"/>
    <s v="Elite Copiers 971"/>
    <s v="Standard Class"/>
    <x v="0"/>
    <n v="0"/>
    <x v="403"/>
    <x v="403"/>
  </r>
  <r>
    <x v="2"/>
    <x v="11"/>
    <s v="Classic Phones 940"/>
    <s v="Same Day"/>
    <x v="0"/>
    <n v="0.05"/>
    <x v="404"/>
    <x v="404"/>
  </r>
  <r>
    <x v="2"/>
    <x v="12"/>
    <s v="Pro Machines 579"/>
    <s v="Standard Class"/>
    <x v="0"/>
    <n v="0.25"/>
    <x v="405"/>
    <x v="405"/>
  </r>
  <r>
    <x v="0"/>
    <x v="9"/>
    <s v="Elite Binders 943"/>
    <s v="Same Day"/>
    <x v="0"/>
    <n v="0.2"/>
    <x v="406"/>
    <x v="406"/>
  </r>
  <r>
    <x v="2"/>
    <x v="6"/>
    <s v="Elite Copiers 474"/>
    <s v="Same Day"/>
    <x v="0"/>
    <n v="0.15"/>
    <x v="407"/>
    <x v="407"/>
  </r>
  <r>
    <x v="2"/>
    <x v="5"/>
    <s v="Prime Accessories 236"/>
    <s v="First Class"/>
    <x v="0"/>
    <n v="0.2"/>
    <x v="408"/>
    <x v="408"/>
  </r>
  <r>
    <x v="2"/>
    <x v="11"/>
    <s v="Prime Phones 881"/>
    <s v="Standard Class"/>
    <x v="0"/>
    <n v="0"/>
    <x v="409"/>
    <x v="409"/>
  </r>
  <r>
    <x v="0"/>
    <x v="7"/>
    <s v="Pro Labels 903"/>
    <s v="First Class"/>
    <x v="0"/>
    <n v="0.1"/>
    <x v="410"/>
    <x v="410"/>
  </r>
  <r>
    <x v="2"/>
    <x v="6"/>
    <s v="Max Copiers 402"/>
    <s v="Same Day"/>
    <x v="0"/>
    <n v="0.1"/>
    <x v="411"/>
    <x v="411"/>
  </r>
  <r>
    <x v="2"/>
    <x v="5"/>
    <s v="Prime Accessories 419"/>
    <s v="Standard Class"/>
    <x v="0"/>
    <n v="0"/>
    <x v="412"/>
    <x v="412"/>
  </r>
  <r>
    <x v="2"/>
    <x v="11"/>
    <s v="Elite Phones 488"/>
    <s v="Same Day"/>
    <x v="0"/>
    <n v="0.25"/>
    <x v="413"/>
    <x v="413"/>
  </r>
  <r>
    <x v="2"/>
    <x v="6"/>
    <s v="Prime Copiers 109"/>
    <s v="Same Day"/>
    <x v="0"/>
    <n v="0.25"/>
    <x v="414"/>
    <x v="414"/>
  </r>
  <r>
    <x v="0"/>
    <x v="0"/>
    <s v="Max Paper 576"/>
    <s v="Second Class"/>
    <x v="0"/>
    <n v="0.15"/>
    <x v="415"/>
    <x v="415"/>
  </r>
  <r>
    <x v="2"/>
    <x v="12"/>
    <s v="Max Machines 412"/>
    <s v="Same Day"/>
    <x v="0"/>
    <n v="0.25"/>
    <x v="416"/>
    <x v="416"/>
  </r>
  <r>
    <x v="1"/>
    <x v="10"/>
    <s v="Classic Bookcases 291"/>
    <s v="Standard Class"/>
    <x v="0"/>
    <n v="0.05"/>
    <x v="417"/>
    <x v="417"/>
  </r>
  <r>
    <x v="0"/>
    <x v="2"/>
    <s v="Elite Art 946"/>
    <s v="Second Class"/>
    <x v="0"/>
    <n v="0"/>
    <x v="418"/>
    <x v="418"/>
  </r>
  <r>
    <x v="2"/>
    <x v="5"/>
    <s v="Eco Accessories 705"/>
    <s v="Second Class"/>
    <x v="0"/>
    <n v="0"/>
    <x v="419"/>
    <x v="419"/>
  </r>
  <r>
    <x v="2"/>
    <x v="12"/>
    <s v="Max Machines 151"/>
    <s v="Standard Class"/>
    <x v="0"/>
    <n v="0.15"/>
    <x v="420"/>
    <x v="420"/>
  </r>
  <r>
    <x v="1"/>
    <x v="3"/>
    <s v="Max Furnishings 803"/>
    <s v="Same Day"/>
    <x v="0"/>
    <n v="0.05"/>
    <x v="421"/>
    <x v="421"/>
  </r>
  <r>
    <x v="2"/>
    <x v="5"/>
    <s v="Max Accessories 423"/>
    <s v="Same Day"/>
    <x v="0"/>
    <n v="0.05"/>
    <x v="422"/>
    <x v="422"/>
  </r>
  <r>
    <x v="2"/>
    <x v="11"/>
    <s v="Elite Phones 276"/>
    <s v="Standard Class"/>
    <x v="0"/>
    <n v="0.2"/>
    <x v="423"/>
    <x v="423"/>
  </r>
  <r>
    <x v="0"/>
    <x v="8"/>
    <s v="Smart Storage 287"/>
    <s v="Same Day"/>
    <x v="0"/>
    <n v="0"/>
    <x v="424"/>
    <x v="424"/>
  </r>
  <r>
    <x v="2"/>
    <x v="12"/>
    <s v="Basic Machines 610"/>
    <s v="Second Class"/>
    <x v="0"/>
    <n v="0.2"/>
    <x v="425"/>
    <x v="425"/>
  </r>
  <r>
    <x v="1"/>
    <x v="10"/>
    <s v="Elite Bookcases 393"/>
    <s v="Standard Class"/>
    <x v="0"/>
    <n v="0"/>
    <x v="426"/>
    <x v="426"/>
  </r>
  <r>
    <x v="1"/>
    <x v="1"/>
    <s v="Prime Tables 242"/>
    <s v="First Class"/>
    <x v="0"/>
    <n v="0"/>
    <x v="427"/>
    <x v="427"/>
  </r>
  <r>
    <x v="1"/>
    <x v="3"/>
    <s v="Basic Furnishings 563"/>
    <s v="First Class"/>
    <x v="0"/>
    <n v="0.1"/>
    <x v="428"/>
    <x v="428"/>
  </r>
  <r>
    <x v="2"/>
    <x v="5"/>
    <s v="Prime Accessories 482"/>
    <s v="Same Day"/>
    <x v="0"/>
    <n v="0.05"/>
    <x v="429"/>
    <x v="429"/>
  </r>
  <r>
    <x v="1"/>
    <x v="10"/>
    <s v="Eco Bookcases 215"/>
    <s v="Same Day"/>
    <x v="0"/>
    <n v="0.2"/>
    <x v="430"/>
    <x v="430"/>
  </r>
  <r>
    <x v="0"/>
    <x v="8"/>
    <s v="Eco Storage 793"/>
    <s v="Same Day"/>
    <x v="0"/>
    <n v="0"/>
    <x v="431"/>
    <x v="431"/>
  </r>
  <r>
    <x v="1"/>
    <x v="10"/>
    <s v="Basic Bookcases 182"/>
    <s v="Standard Class"/>
    <x v="0"/>
    <n v="0.15"/>
    <x v="432"/>
    <x v="432"/>
  </r>
  <r>
    <x v="1"/>
    <x v="4"/>
    <s v="Prime Chairs 631"/>
    <s v="First Class"/>
    <x v="0"/>
    <n v="0.15"/>
    <x v="433"/>
    <x v="433"/>
  </r>
  <r>
    <x v="2"/>
    <x v="12"/>
    <s v="Basic Machines 808"/>
    <s v="Second Class"/>
    <x v="0"/>
    <n v="0"/>
    <x v="434"/>
    <x v="434"/>
  </r>
  <r>
    <x v="1"/>
    <x v="4"/>
    <s v="Pro Chairs 302"/>
    <s v="Standard Class"/>
    <x v="0"/>
    <n v="0.25"/>
    <x v="435"/>
    <x v="435"/>
  </r>
  <r>
    <x v="0"/>
    <x v="0"/>
    <s v="Classic Paper 272"/>
    <s v="Second Class"/>
    <x v="0"/>
    <n v="0.15"/>
    <x v="436"/>
    <x v="436"/>
  </r>
  <r>
    <x v="2"/>
    <x v="5"/>
    <s v="Smart Accessories 149"/>
    <s v="Second Class"/>
    <x v="0"/>
    <n v="0.2"/>
    <x v="437"/>
    <x v="437"/>
  </r>
  <r>
    <x v="0"/>
    <x v="7"/>
    <s v="Elite Labels 322"/>
    <s v="Same Day"/>
    <x v="0"/>
    <n v="0"/>
    <x v="438"/>
    <x v="438"/>
  </r>
  <r>
    <x v="1"/>
    <x v="3"/>
    <s v="Max Furnishings 821"/>
    <s v="Standard Class"/>
    <x v="0"/>
    <n v="0.15"/>
    <x v="439"/>
    <x v="439"/>
  </r>
  <r>
    <x v="0"/>
    <x v="2"/>
    <s v="Basic Art 556"/>
    <s v="Standard Class"/>
    <x v="0"/>
    <n v="0"/>
    <x v="440"/>
    <x v="440"/>
  </r>
  <r>
    <x v="2"/>
    <x v="5"/>
    <s v="Smart Accessories 265"/>
    <s v="Same Day"/>
    <x v="0"/>
    <n v="0.15"/>
    <x v="441"/>
    <x v="441"/>
  </r>
  <r>
    <x v="1"/>
    <x v="1"/>
    <s v="Elite Tables 418"/>
    <s v="Standard Class"/>
    <x v="0"/>
    <n v="0"/>
    <x v="442"/>
    <x v="442"/>
  </r>
  <r>
    <x v="2"/>
    <x v="11"/>
    <s v="Pro Phones 907"/>
    <s v="Second Class"/>
    <x v="0"/>
    <n v="0.1"/>
    <x v="443"/>
    <x v="443"/>
  </r>
  <r>
    <x v="0"/>
    <x v="0"/>
    <s v="Basic Paper 233"/>
    <s v="First Class"/>
    <x v="0"/>
    <n v="0"/>
    <x v="444"/>
    <x v="444"/>
  </r>
  <r>
    <x v="2"/>
    <x v="6"/>
    <s v="Eco Copiers 603"/>
    <s v="Second Class"/>
    <x v="0"/>
    <n v="0.05"/>
    <x v="445"/>
    <x v="445"/>
  </r>
  <r>
    <x v="0"/>
    <x v="0"/>
    <s v="Max Paper 700"/>
    <s v="Standard Class"/>
    <x v="0"/>
    <n v="0.15"/>
    <x v="446"/>
    <x v="446"/>
  </r>
  <r>
    <x v="0"/>
    <x v="9"/>
    <s v="Pro Binders 404"/>
    <s v="First Class"/>
    <x v="0"/>
    <n v="0.2"/>
    <x v="447"/>
    <x v="447"/>
  </r>
  <r>
    <x v="2"/>
    <x v="11"/>
    <s v="Eco Phones 208"/>
    <s v="Standard Class"/>
    <x v="0"/>
    <n v="0.2"/>
    <x v="448"/>
    <x v="448"/>
  </r>
  <r>
    <x v="0"/>
    <x v="0"/>
    <s v="Elite Paper 106"/>
    <s v="Same Day"/>
    <x v="0"/>
    <n v="0.05"/>
    <x v="449"/>
    <x v="449"/>
  </r>
  <r>
    <x v="0"/>
    <x v="7"/>
    <s v="Eco Labels 914"/>
    <s v="Standard Class"/>
    <x v="0"/>
    <n v="0"/>
    <x v="450"/>
    <x v="450"/>
  </r>
  <r>
    <x v="2"/>
    <x v="5"/>
    <s v="Max Accessories 486"/>
    <s v="Same Day"/>
    <x v="0"/>
    <n v="0.2"/>
    <x v="451"/>
    <x v="451"/>
  </r>
  <r>
    <x v="2"/>
    <x v="6"/>
    <s v="Max Copiers 867"/>
    <s v="First Class"/>
    <x v="0"/>
    <n v="0.1"/>
    <x v="452"/>
    <x v="452"/>
  </r>
  <r>
    <x v="0"/>
    <x v="9"/>
    <s v="Pro Binders 555"/>
    <s v="Second Class"/>
    <x v="0"/>
    <n v="0"/>
    <x v="453"/>
    <x v="453"/>
  </r>
  <r>
    <x v="2"/>
    <x v="6"/>
    <s v="Pro Copiers 971"/>
    <s v="First Class"/>
    <x v="0"/>
    <n v="0.1"/>
    <x v="454"/>
    <x v="454"/>
  </r>
  <r>
    <x v="1"/>
    <x v="1"/>
    <s v="Pro Tables 833"/>
    <s v="Same Day"/>
    <x v="0"/>
    <n v="0.2"/>
    <x v="455"/>
    <x v="455"/>
  </r>
  <r>
    <x v="0"/>
    <x v="9"/>
    <s v="Prime Binders 497"/>
    <s v="Standard Class"/>
    <x v="0"/>
    <n v="0.25"/>
    <x v="456"/>
    <x v="456"/>
  </r>
  <r>
    <x v="0"/>
    <x v="8"/>
    <s v="Pro Storage 756"/>
    <s v="Standard Class"/>
    <x v="0"/>
    <n v="0"/>
    <x v="457"/>
    <x v="457"/>
  </r>
  <r>
    <x v="2"/>
    <x v="6"/>
    <s v="Max Copiers 829"/>
    <s v="Standard Class"/>
    <x v="0"/>
    <n v="0.2"/>
    <x v="458"/>
    <x v="458"/>
  </r>
  <r>
    <x v="1"/>
    <x v="3"/>
    <s v="Prime Furnishings 827"/>
    <s v="Standard Class"/>
    <x v="0"/>
    <n v="0"/>
    <x v="459"/>
    <x v="459"/>
  </r>
  <r>
    <x v="1"/>
    <x v="4"/>
    <s v="Eco Chairs 365"/>
    <s v="Same Day"/>
    <x v="0"/>
    <n v="0.25"/>
    <x v="460"/>
    <x v="460"/>
  </r>
  <r>
    <x v="0"/>
    <x v="8"/>
    <s v="Classic Storage 545"/>
    <s v="First Class"/>
    <x v="0"/>
    <n v="0.1"/>
    <x v="461"/>
    <x v="461"/>
  </r>
  <r>
    <x v="1"/>
    <x v="4"/>
    <s v="Pro Chairs 186"/>
    <s v="Standard Class"/>
    <x v="0"/>
    <n v="0.1"/>
    <x v="462"/>
    <x v="462"/>
  </r>
  <r>
    <x v="2"/>
    <x v="12"/>
    <s v="Classic Machines 561"/>
    <s v="Same Day"/>
    <x v="0"/>
    <n v="0.1"/>
    <x v="463"/>
    <x v="463"/>
  </r>
  <r>
    <x v="1"/>
    <x v="4"/>
    <s v="Max Chairs 594"/>
    <s v="Second Class"/>
    <x v="0"/>
    <n v="0"/>
    <x v="464"/>
    <x v="464"/>
  </r>
  <r>
    <x v="0"/>
    <x v="8"/>
    <s v="Eco Storage 923"/>
    <s v="missing value"/>
    <x v="0"/>
    <n v="0"/>
    <x v="465"/>
    <x v="465"/>
  </r>
  <r>
    <x v="2"/>
    <x v="12"/>
    <s v="Classic Machines 287"/>
    <s v="Same Day"/>
    <x v="0"/>
    <s v="invalid"/>
    <x v="2"/>
    <x v="2"/>
  </r>
  <r>
    <x v="2"/>
    <x v="5"/>
    <s v="Basic Accessories 518"/>
    <s v="Second Class"/>
    <x v="0"/>
    <n v="0.25"/>
    <x v="466"/>
    <x v="466"/>
  </r>
  <r>
    <x v="2"/>
    <x v="6"/>
    <s v="Pro Copiers 984"/>
    <s v="Standard Class"/>
    <x v="0"/>
    <n v="0.15"/>
    <x v="467"/>
    <x v="467"/>
  </r>
  <r>
    <x v="1"/>
    <x v="3"/>
    <s v="Max Furnishings 297"/>
    <s v="First Class"/>
    <x v="0"/>
    <n v="0.25"/>
    <x v="468"/>
    <x v="468"/>
  </r>
  <r>
    <x v="1"/>
    <x v="10"/>
    <s v="Elite Bookcases 802"/>
    <s v="Standard Class"/>
    <x v="0"/>
    <n v="0.25"/>
    <x v="469"/>
    <x v="469"/>
  </r>
  <r>
    <x v="1"/>
    <x v="1"/>
    <s v="Pro Tables 257"/>
    <s v="Standard Class"/>
    <x v="0"/>
    <n v="0.2"/>
    <x v="470"/>
    <x v="470"/>
  </r>
  <r>
    <x v="1"/>
    <x v="3"/>
    <s v="Prime Furnishings 299"/>
    <s v="Standard Class"/>
    <x v="0"/>
    <n v="0"/>
    <x v="471"/>
    <x v="471"/>
  </r>
  <r>
    <x v="1"/>
    <x v="1"/>
    <s v="Eco Tables 487"/>
    <s v="Same Day"/>
    <x v="0"/>
    <n v="0.2"/>
    <x v="472"/>
    <x v="472"/>
  </r>
  <r>
    <x v="2"/>
    <x v="5"/>
    <s v="Prime Accessories 960"/>
    <s v="Second Class"/>
    <x v="0"/>
    <n v="0.2"/>
    <x v="473"/>
    <x v="473"/>
  </r>
  <r>
    <x v="0"/>
    <x v="9"/>
    <s v="Smart Binders 191"/>
    <s v="First Class"/>
    <x v="0"/>
    <n v="0.15"/>
    <x v="474"/>
    <x v="474"/>
  </r>
  <r>
    <x v="2"/>
    <x v="5"/>
    <s v="Prime Accessories 118"/>
    <s v="Standard Class"/>
    <x v="0"/>
    <n v="0.2"/>
    <x v="475"/>
    <x v="475"/>
  </r>
  <r>
    <x v="0"/>
    <x v="8"/>
    <s v="Elite Storage 331"/>
    <s v="Second Class"/>
    <x v="0"/>
    <n v="0.25"/>
    <x v="476"/>
    <x v="476"/>
  </r>
  <r>
    <x v="0"/>
    <x v="0"/>
    <s v="Prime Paper 996"/>
    <s v="Second Class"/>
    <x v="0"/>
    <n v="0.05"/>
    <x v="477"/>
    <x v="477"/>
  </r>
  <r>
    <x v="2"/>
    <x v="11"/>
    <s v="Smart Phones 125"/>
    <s v="Standard Class"/>
    <x v="0"/>
    <s v="invalid"/>
    <x v="2"/>
    <x v="2"/>
  </r>
  <r>
    <x v="2"/>
    <x v="11"/>
    <s v="Eco Phones 220"/>
    <s v="Second Class"/>
    <x v="0"/>
    <n v="0.05"/>
    <x v="478"/>
    <x v="478"/>
  </r>
  <r>
    <x v="1"/>
    <x v="4"/>
    <s v="Eco Chairs 795"/>
    <s v="Second Class"/>
    <x v="0"/>
    <n v="0.1"/>
    <x v="479"/>
    <x v="479"/>
  </r>
  <r>
    <x v="2"/>
    <x v="5"/>
    <s v="Smart Accessories 896"/>
    <s v="Second Class"/>
    <x v="0"/>
    <n v="0.2"/>
    <x v="480"/>
    <x v="480"/>
  </r>
  <r>
    <x v="1"/>
    <x v="4"/>
    <s v="Basic Chairs 255"/>
    <s v="Same Day"/>
    <x v="0"/>
    <n v="0.05"/>
    <x v="481"/>
    <x v="481"/>
  </r>
  <r>
    <x v="1"/>
    <x v="4"/>
    <s v="Eco Chairs 210"/>
    <s v="Standard Class"/>
    <x v="0"/>
    <n v="0"/>
    <x v="482"/>
    <x v="482"/>
  </r>
  <r>
    <x v="2"/>
    <x v="11"/>
    <s v="Prime Phones 533"/>
    <s v="Same Day"/>
    <x v="0"/>
    <s v="invalid"/>
    <x v="2"/>
    <x v="2"/>
  </r>
  <r>
    <x v="0"/>
    <x v="2"/>
    <s v="Elite Art 325"/>
    <s v="Second Class"/>
    <x v="0"/>
    <n v="0.15"/>
    <x v="483"/>
    <x v="483"/>
  </r>
  <r>
    <x v="2"/>
    <x v="6"/>
    <s v="Prime Copiers 557"/>
    <s v="Second Class"/>
    <x v="0"/>
    <n v="0.1"/>
    <x v="484"/>
    <x v="484"/>
  </r>
  <r>
    <x v="2"/>
    <x v="11"/>
    <s v="Smart Phones 674"/>
    <s v="Standard Class"/>
    <x v="0"/>
    <n v="0.1"/>
    <x v="485"/>
    <x v="485"/>
  </r>
  <r>
    <x v="0"/>
    <x v="2"/>
    <s v="Elite Art 553"/>
    <s v="Standard Class"/>
    <x v="0"/>
    <n v="0"/>
    <x v="486"/>
    <x v="486"/>
  </r>
  <r>
    <x v="0"/>
    <x v="2"/>
    <s v="Classic Art 339"/>
    <s v="First Class"/>
    <x v="0"/>
    <n v="0.2"/>
    <x v="487"/>
    <x v="487"/>
  </r>
  <r>
    <x v="1"/>
    <x v="3"/>
    <s v="Smart Furnishings 352"/>
    <s v="First Class"/>
    <x v="0"/>
    <n v="0.1"/>
    <x v="488"/>
    <x v="488"/>
  </r>
  <r>
    <x v="0"/>
    <x v="9"/>
    <s v="Classic Binders 602"/>
    <s v="Same Day"/>
    <x v="0"/>
    <n v="0.25"/>
    <x v="489"/>
    <x v="489"/>
  </r>
  <r>
    <x v="2"/>
    <x v="12"/>
    <s v="Smart Machines 853"/>
    <s v="Second Class"/>
    <x v="0"/>
    <n v="0"/>
    <x v="490"/>
    <x v="490"/>
  </r>
  <r>
    <x v="2"/>
    <x v="12"/>
    <s v="Classic Machines 599"/>
    <s v="Same Day"/>
    <x v="0"/>
    <n v="0.2"/>
    <x v="491"/>
    <x v="491"/>
  </r>
  <r>
    <x v="0"/>
    <x v="8"/>
    <s v="Pro Storage 373"/>
    <s v="Second Class"/>
    <x v="0"/>
    <n v="0"/>
    <x v="492"/>
    <x v="492"/>
  </r>
  <r>
    <x v="1"/>
    <x v="10"/>
    <s v="Smart Bookcases 920"/>
    <s v="Standard Class"/>
    <x v="0"/>
    <n v="0.25"/>
    <x v="493"/>
    <x v="493"/>
  </r>
  <r>
    <x v="0"/>
    <x v="7"/>
    <s v="Pro Labels 849"/>
    <s v="Second Class"/>
    <x v="0"/>
    <n v="0.25"/>
    <x v="494"/>
    <x v="494"/>
  </r>
  <r>
    <x v="2"/>
    <x v="5"/>
    <s v="Prime Accessories 849"/>
    <s v="First Class"/>
    <x v="0"/>
    <n v="0.1"/>
    <x v="495"/>
    <x v="495"/>
  </r>
  <r>
    <x v="2"/>
    <x v="5"/>
    <s v="Smart Accessories 388"/>
    <s v="Standard Class"/>
    <x v="0"/>
    <n v="0.1"/>
    <x v="496"/>
    <x v="496"/>
  </r>
  <r>
    <x v="0"/>
    <x v="0"/>
    <s v="Classic Paper 752"/>
    <s v="Standard Class"/>
    <x v="0"/>
    <s v="invalid"/>
    <x v="2"/>
    <x v="2"/>
  </r>
  <r>
    <x v="2"/>
    <x v="6"/>
    <s v="Classic Copiers 143"/>
    <s v="Standard Class"/>
    <x v="0"/>
    <n v="0"/>
    <x v="497"/>
    <x v="497"/>
  </r>
  <r>
    <x v="1"/>
    <x v="3"/>
    <s v="Basic Furnishings 386"/>
    <s v="Second Class"/>
    <x v="0"/>
    <n v="0.2"/>
    <x v="498"/>
    <x v="498"/>
  </r>
  <r>
    <x v="1"/>
    <x v="1"/>
    <s v="Classic Tables 592"/>
    <s v="First Class"/>
    <x v="0"/>
    <n v="0.25"/>
    <x v="499"/>
    <x v="499"/>
  </r>
  <r>
    <x v="1"/>
    <x v="1"/>
    <s v="Pro Tables 412"/>
    <s v="Standard Class"/>
    <x v="0"/>
    <n v="0.2"/>
    <x v="500"/>
    <x v="500"/>
  </r>
  <r>
    <x v="2"/>
    <x v="12"/>
    <s v="Prime Machines 393"/>
    <s v="Same Day"/>
    <x v="0"/>
    <n v="0.05"/>
    <x v="501"/>
    <x v="501"/>
  </r>
  <r>
    <x v="0"/>
    <x v="7"/>
    <s v="Classic Labels 776"/>
    <s v="Second Class"/>
    <x v="0"/>
    <n v="0.05"/>
    <x v="502"/>
    <x v="502"/>
  </r>
  <r>
    <x v="2"/>
    <x v="11"/>
    <s v="Max Phones 612"/>
    <s v="First Class"/>
    <x v="0"/>
    <n v="0"/>
    <x v="503"/>
    <x v="503"/>
  </r>
  <r>
    <x v="0"/>
    <x v="0"/>
    <s v="Basic Paper 315"/>
    <s v="Second Class"/>
    <x v="0"/>
    <n v="0"/>
    <x v="504"/>
    <x v="504"/>
  </r>
  <r>
    <x v="1"/>
    <x v="4"/>
    <s v="Basic Chairs 333"/>
    <s v="First Class"/>
    <x v="0"/>
    <n v="0.1"/>
    <x v="505"/>
    <x v="505"/>
  </r>
  <r>
    <x v="1"/>
    <x v="4"/>
    <s v="Prime Chairs 215"/>
    <s v="Standard Class"/>
    <x v="0"/>
    <n v="0.1"/>
    <x v="506"/>
    <x v="506"/>
  </r>
  <r>
    <x v="1"/>
    <x v="1"/>
    <s v="Elite Tables 815"/>
    <s v="Second Class"/>
    <x v="0"/>
    <n v="0"/>
    <x v="507"/>
    <x v="507"/>
  </r>
  <r>
    <x v="0"/>
    <x v="0"/>
    <s v="Basic Paper 388"/>
    <s v="First Class"/>
    <x v="0"/>
    <n v="0.15"/>
    <x v="508"/>
    <x v="508"/>
  </r>
  <r>
    <x v="0"/>
    <x v="9"/>
    <s v="Eco Binders 855"/>
    <s v="Standard Class"/>
    <x v="0"/>
    <n v="0.05"/>
    <x v="509"/>
    <x v="509"/>
  </r>
  <r>
    <x v="1"/>
    <x v="10"/>
    <s v="Classic Bookcases 947"/>
    <s v="Second Class"/>
    <x v="0"/>
    <n v="0"/>
    <x v="510"/>
    <x v="510"/>
  </r>
  <r>
    <x v="0"/>
    <x v="9"/>
    <s v="Eco Binders 352"/>
    <s v="Standard Class"/>
    <x v="0"/>
    <n v="0.05"/>
    <x v="511"/>
    <x v="511"/>
  </r>
  <r>
    <x v="0"/>
    <x v="8"/>
    <s v="Pro Storage 364"/>
    <s v="missing value"/>
    <x v="0"/>
    <n v="0.1"/>
    <x v="512"/>
    <x v="512"/>
  </r>
  <r>
    <x v="1"/>
    <x v="1"/>
    <s v="Classic Tables 213"/>
    <s v="Second Class"/>
    <x v="0"/>
    <n v="0.05"/>
    <x v="513"/>
    <x v="513"/>
  </r>
  <r>
    <x v="1"/>
    <x v="1"/>
    <s v="Smart Tables 659"/>
    <s v="Same Day"/>
    <x v="0"/>
    <n v="0.25"/>
    <x v="514"/>
    <x v="514"/>
  </r>
  <r>
    <x v="2"/>
    <x v="5"/>
    <s v="Classic Accessories 325"/>
    <s v="Second Class"/>
    <x v="0"/>
    <n v="0.1"/>
    <x v="515"/>
    <x v="515"/>
  </r>
  <r>
    <x v="2"/>
    <x v="6"/>
    <s v="Eco Copiers 243"/>
    <s v="First Class"/>
    <x v="0"/>
    <n v="0.2"/>
    <x v="516"/>
    <x v="516"/>
  </r>
  <r>
    <x v="1"/>
    <x v="4"/>
    <s v="Elite Chairs 777"/>
    <s v="First Class"/>
    <x v="0"/>
    <n v="0.25"/>
    <x v="517"/>
    <x v="517"/>
  </r>
  <r>
    <x v="0"/>
    <x v="2"/>
    <s v="Classic Art 772"/>
    <s v="Same Day"/>
    <x v="0"/>
    <n v="0.05"/>
    <x v="518"/>
    <x v="518"/>
  </r>
  <r>
    <x v="1"/>
    <x v="1"/>
    <s v="Elite Tables 888"/>
    <s v="Second Class"/>
    <x v="0"/>
    <n v="0.15"/>
    <x v="519"/>
    <x v="519"/>
  </r>
  <r>
    <x v="1"/>
    <x v="4"/>
    <s v="Classic Chairs 666"/>
    <s v="Standard Class"/>
    <x v="0"/>
    <n v="0.1"/>
    <x v="520"/>
    <x v="520"/>
  </r>
  <r>
    <x v="1"/>
    <x v="3"/>
    <s v="Basic Furnishings 350"/>
    <s v="Standard Class"/>
    <x v="0"/>
    <n v="0.2"/>
    <x v="521"/>
    <x v="521"/>
  </r>
  <r>
    <x v="2"/>
    <x v="6"/>
    <s v="Elite Copiers 831"/>
    <s v="Same Day"/>
    <x v="0"/>
    <n v="0"/>
    <x v="522"/>
    <x v="522"/>
  </r>
  <r>
    <x v="1"/>
    <x v="10"/>
    <s v="Eco Bookcases 759"/>
    <s v="Second Class"/>
    <x v="0"/>
    <n v="0.2"/>
    <x v="523"/>
    <x v="523"/>
  </r>
  <r>
    <x v="2"/>
    <x v="6"/>
    <s v="Max Copiers 440"/>
    <s v="Same Day"/>
    <x v="0"/>
    <n v="0.15"/>
    <x v="524"/>
    <x v="524"/>
  </r>
  <r>
    <x v="0"/>
    <x v="2"/>
    <s v="Smart Art 201"/>
    <s v="Same Day"/>
    <x v="0"/>
    <n v="0.25"/>
    <x v="525"/>
    <x v="525"/>
  </r>
  <r>
    <x v="0"/>
    <x v="8"/>
    <s v="Classic Storage 755"/>
    <s v="Same Day"/>
    <x v="0"/>
    <n v="0.15"/>
    <x v="526"/>
    <x v="526"/>
  </r>
  <r>
    <x v="0"/>
    <x v="0"/>
    <s v="Prime Paper 143"/>
    <s v="First Class"/>
    <x v="0"/>
    <n v="0.15"/>
    <x v="527"/>
    <x v="527"/>
  </r>
  <r>
    <x v="2"/>
    <x v="6"/>
    <s v="Max Copiers 607"/>
    <s v="Standard Class"/>
    <x v="0"/>
    <n v="0.1"/>
    <x v="528"/>
    <x v="528"/>
  </r>
  <r>
    <x v="1"/>
    <x v="10"/>
    <s v="Prime Bookcases 402"/>
    <s v="Same Day"/>
    <x v="0"/>
    <n v="0"/>
    <x v="529"/>
    <x v="529"/>
  </r>
  <r>
    <x v="0"/>
    <x v="2"/>
    <s v="Pro Art 287"/>
    <s v="Second Class"/>
    <x v="0"/>
    <n v="0.1"/>
    <x v="530"/>
    <x v="530"/>
  </r>
  <r>
    <x v="2"/>
    <x v="5"/>
    <s v="Max Accessories 591"/>
    <s v="Standard Class"/>
    <x v="0"/>
    <n v="0.2"/>
    <x v="531"/>
    <x v="531"/>
  </r>
  <r>
    <x v="1"/>
    <x v="4"/>
    <s v="Elite Chairs 314"/>
    <s v="Second Class"/>
    <x v="0"/>
    <n v="0.15"/>
    <x v="532"/>
    <x v="532"/>
  </r>
  <r>
    <x v="2"/>
    <x v="6"/>
    <s v="Pro Copiers 246"/>
    <s v="Standard Class"/>
    <x v="0"/>
    <s v="invalid"/>
    <x v="2"/>
    <x v="2"/>
  </r>
  <r>
    <x v="0"/>
    <x v="8"/>
    <s v="Pro Storage 128"/>
    <s v="First Class"/>
    <x v="0"/>
    <n v="0.25"/>
    <x v="533"/>
    <x v="533"/>
  </r>
  <r>
    <x v="1"/>
    <x v="3"/>
    <s v="Prime Furnishings 892"/>
    <s v="Standard Class"/>
    <x v="0"/>
    <n v="0.05"/>
    <x v="534"/>
    <x v="534"/>
  </r>
  <r>
    <x v="0"/>
    <x v="8"/>
    <s v="Prime Storage 689"/>
    <s v="Standard Class"/>
    <x v="0"/>
    <n v="0.05"/>
    <x v="535"/>
    <x v="535"/>
  </r>
  <r>
    <x v="1"/>
    <x v="1"/>
    <s v="Classic Tables 769"/>
    <s v="First Class"/>
    <x v="0"/>
    <n v="0"/>
    <x v="536"/>
    <x v="536"/>
  </r>
  <r>
    <x v="2"/>
    <x v="11"/>
    <s v="Prime Phones 503"/>
    <s v="First Class"/>
    <x v="0"/>
    <n v="0.05"/>
    <x v="537"/>
    <x v="537"/>
  </r>
  <r>
    <x v="2"/>
    <x v="12"/>
    <s v="Basic Machines 136"/>
    <s v="First Class"/>
    <x v="0"/>
    <n v="0.2"/>
    <x v="538"/>
    <x v="538"/>
  </r>
  <r>
    <x v="2"/>
    <x v="6"/>
    <s v="Basic Copiers 512"/>
    <s v="Second Class"/>
    <x v="0"/>
    <n v="0.1"/>
    <x v="539"/>
    <x v="539"/>
  </r>
  <r>
    <x v="0"/>
    <x v="8"/>
    <s v="Smart Storage 767"/>
    <s v="Standard Class"/>
    <x v="0"/>
    <n v="0"/>
    <x v="540"/>
    <x v="540"/>
  </r>
  <r>
    <x v="2"/>
    <x v="6"/>
    <s v="Eco Copiers 954"/>
    <s v="First Class"/>
    <x v="0"/>
    <n v="0"/>
    <x v="541"/>
    <x v="541"/>
  </r>
  <r>
    <x v="0"/>
    <x v="9"/>
    <s v="Elite Binders 143"/>
    <s v="Same Day"/>
    <x v="0"/>
    <n v="0.2"/>
    <x v="542"/>
    <x v="542"/>
  </r>
  <r>
    <x v="1"/>
    <x v="1"/>
    <s v="Classic Tables 560"/>
    <s v="Standard Class"/>
    <x v="0"/>
    <n v="0.2"/>
    <x v="543"/>
    <x v="543"/>
  </r>
  <r>
    <x v="1"/>
    <x v="1"/>
    <s v="Basic Tables 759"/>
    <s v="First Class"/>
    <x v="0"/>
    <n v="0.2"/>
    <x v="544"/>
    <x v="544"/>
  </r>
  <r>
    <x v="2"/>
    <x v="11"/>
    <s v="Prime Phones 564"/>
    <s v="Standard Class"/>
    <x v="0"/>
    <n v="0.2"/>
    <x v="545"/>
    <x v="545"/>
  </r>
  <r>
    <x v="0"/>
    <x v="0"/>
    <s v="Smart Paper 807"/>
    <s v="Same Day"/>
    <x v="0"/>
    <n v="0.1"/>
    <x v="546"/>
    <x v="546"/>
  </r>
  <r>
    <x v="1"/>
    <x v="3"/>
    <s v="Pro Furnishings 108"/>
    <s v="Same Day"/>
    <x v="0"/>
    <n v="0.05"/>
    <x v="547"/>
    <x v="547"/>
  </r>
  <r>
    <x v="2"/>
    <x v="12"/>
    <s v="Classic Machines 522"/>
    <s v="Same Day"/>
    <x v="0"/>
    <n v="0.25"/>
    <x v="548"/>
    <x v="548"/>
  </r>
  <r>
    <x v="1"/>
    <x v="3"/>
    <s v="Elite Furnishings 822"/>
    <s v="Standard Class"/>
    <x v="0"/>
    <n v="0.25"/>
    <x v="549"/>
    <x v="549"/>
  </r>
  <r>
    <x v="1"/>
    <x v="3"/>
    <s v="Max Furnishings 647"/>
    <s v="Second Class"/>
    <x v="0"/>
    <n v="0.25"/>
    <x v="550"/>
    <x v="550"/>
  </r>
  <r>
    <x v="2"/>
    <x v="11"/>
    <s v="Prime Phones 895"/>
    <s v="missing value"/>
    <x v="0"/>
    <n v="0"/>
    <x v="551"/>
    <x v="551"/>
  </r>
  <r>
    <x v="2"/>
    <x v="11"/>
    <s v="Eco Phones 368"/>
    <s v="Standard Class"/>
    <x v="0"/>
    <n v="0.2"/>
    <x v="552"/>
    <x v="552"/>
  </r>
  <r>
    <x v="2"/>
    <x v="11"/>
    <s v="Pro Phones 644"/>
    <s v="Standard Class"/>
    <x v="0"/>
    <n v="0"/>
    <x v="553"/>
    <x v="553"/>
  </r>
  <r>
    <x v="2"/>
    <x v="12"/>
    <s v="Smart Machines 566"/>
    <s v="Standard Class"/>
    <x v="0"/>
    <n v="0"/>
    <x v="554"/>
    <x v="554"/>
  </r>
  <r>
    <x v="1"/>
    <x v="3"/>
    <s v="Elite Furnishings 173"/>
    <s v="Same Day"/>
    <x v="0"/>
    <n v="0.2"/>
    <x v="555"/>
    <x v="555"/>
  </r>
  <r>
    <x v="0"/>
    <x v="9"/>
    <s v="Smart Binders 417"/>
    <s v="Standard Class"/>
    <x v="0"/>
    <n v="0"/>
    <x v="556"/>
    <x v="556"/>
  </r>
  <r>
    <x v="1"/>
    <x v="3"/>
    <s v="Smart Furnishings 714"/>
    <s v="Standard Class"/>
    <x v="0"/>
    <n v="0"/>
    <x v="557"/>
    <x v="557"/>
  </r>
  <r>
    <x v="2"/>
    <x v="6"/>
    <s v="Elite Copiers 682"/>
    <s v="First Class"/>
    <x v="0"/>
    <n v="0.05"/>
    <x v="558"/>
    <x v="558"/>
  </r>
  <r>
    <x v="0"/>
    <x v="8"/>
    <s v="Pro Storage 482"/>
    <s v="Same Day"/>
    <x v="0"/>
    <n v="0"/>
    <x v="559"/>
    <x v="559"/>
  </r>
  <r>
    <x v="1"/>
    <x v="4"/>
    <s v="Pro Chairs 888"/>
    <s v="Standard Class"/>
    <x v="0"/>
    <n v="0.15"/>
    <x v="560"/>
    <x v="560"/>
  </r>
  <r>
    <x v="0"/>
    <x v="2"/>
    <s v="Classic Art 611"/>
    <s v="Second Class"/>
    <x v="0"/>
    <n v="0"/>
    <x v="561"/>
    <x v="561"/>
  </r>
  <r>
    <x v="0"/>
    <x v="2"/>
    <s v="Basic Art 174"/>
    <s v="First Class"/>
    <x v="0"/>
    <n v="0"/>
    <x v="562"/>
    <x v="562"/>
  </r>
  <r>
    <x v="0"/>
    <x v="8"/>
    <s v="Classic Storage 451"/>
    <s v="First Class"/>
    <x v="0"/>
    <n v="0.2"/>
    <x v="563"/>
    <x v="563"/>
  </r>
  <r>
    <x v="0"/>
    <x v="2"/>
    <s v="Pro Art 172"/>
    <s v="Same Day"/>
    <x v="0"/>
    <n v="0.15"/>
    <x v="564"/>
    <x v="564"/>
  </r>
  <r>
    <x v="2"/>
    <x v="11"/>
    <s v="Prime Phones 744"/>
    <s v="First Class"/>
    <x v="0"/>
    <n v="0"/>
    <x v="565"/>
    <x v="565"/>
  </r>
  <r>
    <x v="0"/>
    <x v="9"/>
    <s v="Prime Binders 249"/>
    <s v="Second Class"/>
    <x v="0"/>
    <n v="0.2"/>
    <x v="566"/>
    <x v="566"/>
  </r>
  <r>
    <x v="2"/>
    <x v="5"/>
    <s v="Eco Accessories 948"/>
    <s v="First Class"/>
    <x v="0"/>
    <n v="0.15"/>
    <x v="567"/>
    <x v="567"/>
  </r>
  <r>
    <x v="2"/>
    <x v="5"/>
    <s v="Classic Accessories 458"/>
    <s v="Second Class"/>
    <x v="0"/>
    <n v="0.1"/>
    <x v="568"/>
    <x v="568"/>
  </r>
  <r>
    <x v="2"/>
    <x v="11"/>
    <s v="Max Phones 318"/>
    <s v="First Class"/>
    <x v="0"/>
    <n v="0"/>
    <x v="569"/>
    <x v="569"/>
  </r>
  <r>
    <x v="1"/>
    <x v="4"/>
    <s v="Elite Chairs 372"/>
    <s v="Same Day"/>
    <x v="0"/>
    <n v="0"/>
    <x v="570"/>
    <x v="570"/>
  </r>
  <r>
    <x v="2"/>
    <x v="6"/>
    <s v="Eco Copiers 324"/>
    <s v="First Class"/>
    <x v="0"/>
    <n v="0"/>
    <x v="571"/>
    <x v="571"/>
  </r>
  <r>
    <x v="2"/>
    <x v="5"/>
    <s v="Classic Accessories 131"/>
    <s v="Same Day"/>
    <x v="0"/>
    <n v="0.15"/>
    <x v="572"/>
    <x v="572"/>
  </r>
  <r>
    <x v="1"/>
    <x v="1"/>
    <s v="Eco Tables 550"/>
    <s v="Second Class"/>
    <x v="0"/>
    <n v="0.25"/>
    <x v="573"/>
    <x v="573"/>
  </r>
  <r>
    <x v="1"/>
    <x v="4"/>
    <s v="Basic Chairs 932"/>
    <s v="First Class"/>
    <x v="0"/>
    <n v="0"/>
    <x v="574"/>
    <x v="574"/>
  </r>
  <r>
    <x v="2"/>
    <x v="11"/>
    <s v="Classic Phones 294"/>
    <s v="First Class"/>
    <x v="0"/>
    <n v="0.1"/>
    <x v="575"/>
    <x v="575"/>
  </r>
  <r>
    <x v="1"/>
    <x v="4"/>
    <s v="Elite Chairs 700"/>
    <s v="Second Class"/>
    <x v="0"/>
    <n v="0.25"/>
    <x v="576"/>
    <x v="576"/>
  </r>
  <r>
    <x v="2"/>
    <x v="6"/>
    <s v="Prime Copiers 969"/>
    <s v="Same Day"/>
    <x v="0"/>
    <n v="0.25"/>
    <x v="577"/>
    <x v="577"/>
  </r>
  <r>
    <x v="2"/>
    <x v="6"/>
    <s v="Eco Copiers 268"/>
    <s v="Same Day"/>
    <x v="0"/>
    <n v="0.25"/>
    <x v="578"/>
    <x v="578"/>
  </r>
  <r>
    <x v="2"/>
    <x v="11"/>
    <s v="Pro Phones 588"/>
    <s v="First Class"/>
    <x v="0"/>
    <n v="0.25"/>
    <x v="579"/>
    <x v="579"/>
  </r>
  <r>
    <x v="0"/>
    <x v="8"/>
    <s v="Prime Storage 432"/>
    <s v="Same Day"/>
    <x v="0"/>
    <n v="0"/>
    <x v="580"/>
    <x v="580"/>
  </r>
  <r>
    <x v="0"/>
    <x v="0"/>
    <s v="Basic Paper 452"/>
    <s v="Second Class"/>
    <x v="0"/>
    <n v="0.2"/>
    <x v="581"/>
    <x v="581"/>
  </r>
  <r>
    <x v="2"/>
    <x v="6"/>
    <s v="Max Copiers 477"/>
    <s v="Second Class"/>
    <x v="0"/>
    <n v="0.15"/>
    <x v="582"/>
    <x v="582"/>
  </r>
  <r>
    <x v="2"/>
    <x v="5"/>
    <s v="Prime Accessories 300"/>
    <s v="First Class"/>
    <x v="0"/>
    <n v="0.05"/>
    <x v="583"/>
    <x v="583"/>
  </r>
  <r>
    <x v="0"/>
    <x v="9"/>
    <s v="Max Binders 547"/>
    <s v="Same Day"/>
    <x v="0"/>
    <n v="0"/>
    <x v="584"/>
    <x v="584"/>
  </r>
  <r>
    <x v="1"/>
    <x v="3"/>
    <s v="Pro Furnishings 267"/>
    <s v="Second Class"/>
    <x v="0"/>
    <s v="invalid"/>
    <x v="2"/>
    <x v="2"/>
  </r>
  <r>
    <x v="2"/>
    <x v="6"/>
    <s v="Max Copiers 520"/>
    <s v="Same Day"/>
    <x v="0"/>
    <n v="0.25"/>
    <x v="585"/>
    <x v="585"/>
  </r>
  <r>
    <x v="0"/>
    <x v="8"/>
    <s v="Max Storage 424"/>
    <s v="Same Day"/>
    <x v="0"/>
    <n v="0.15"/>
    <x v="586"/>
    <x v="586"/>
  </r>
  <r>
    <x v="1"/>
    <x v="3"/>
    <s v="Elite Furnishings 706"/>
    <s v="Second Class"/>
    <x v="0"/>
    <n v="0"/>
    <x v="587"/>
    <x v="587"/>
  </r>
  <r>
    <x v="1"/>
    <x v="4"/>
    <s v="Pro Chairs 908"/>
    <s v="Standard Class"/>
    <x v="0"/>
    <n v="0"/>
    <x v="588"/>
    <x v="588"/>
  </r>
  <r>
    <x v="1"/>
    <x v="4"/>
    <s v="Pro Chairs 712"/>
    <s v="Standard Class"/>
    <x v="0"/>
    <n v="0.1"/>
    <x v="589"/>
    <x v="589"/>
  </r>
  <r>
    <x v="0"/>
    <x v="9"/>
    <s v="Max Binders 785"/>
    <s v="Same Day"/>
    <x v="0"/>
    <n v="0.1"/>
    <x v="590"/>
    <x v="590"/>
  </r>
  <r>
    <x v="2"/>
    <x v="11"/>
    <s v="Elite Phones 239"/>
    <s v="Standard Class"/>
    <x v="0"/>
    <n v="0"/>
    <x v="591"/>
    <x v="591"/>
  </r>
  <r>
    <x v="2"/>
    <x v="12"/>
    <s v="Basic Machines 413"/>
    <s v="Same Day"/>
    <x v="0"/>
    <n v="0.25"/>
    <x v="592"/>
    <x v="592"/>
  </r>
  <r>
    <x v="1"/>
    <x v="4"/>
    <s v="Elite Chairs 140"/>
    <s v="Standard Class"/>
    <x v="0"/>
    <n v="0.25"/>
    <x v="593"/>
    <x v="593"/>
  </r>
  <r>
    <x v="0"/>
    <x v="2"/>
    <s v="Basic Art 771"/>
    <s v="Second Class"/>
    <x v="0"/>
    <n v="0.1"/>
    <x v="594"/>
    <x v="594"/>
  </r>
  <r>
    <x v="0"/>
    <x v="0"/>
    <s v="Prime Paper 664"/>
    <s v="Standard Class"/>
    <x v="0"/>
    <n v="0.2"/>
    <x v="595"/>
    <x v="595"/>
  </r>
  <r>
    <x v="2"/>
    <x v="11"/>
    <s v="Pro Phones 226"/>
    <s v="Standard Class"/>
    <x v="0"/>
    <n v="0"/>
    <x v="596"/>
    <x v="596"/>
  </r>
  <r>
    <x v="1"/>
    <x v="1"/>
    <s v="Basic Tables 684"/>
    <s v="Same Day"/>
    <x v="0"/>
    <n v="0.25"/>
    <x v="597"/>
    <x v="597"/>
  </r>
  <r>
    <x v="0"/>
    <x v="9"/>
    <s v="Prime Binders 938"/>
    <s v="First Class"/>
    <x v="0"/>
    <n v="0.2"/>
    <x v="598"/>
    <x v="598"/>
  </r>
  <r>
    <x v="2"/>
    <x v="12"/>
    <s v="Classic Machines 337"/>
    <s v="Standard Class"/>
    <x v="0"/>
    <n v="0"/>
    <x v="599"/>
    <x v="599"/>
  </r>
  <r>
    <x v="1"/>
    <x v="4"/>
    <s v="Max Chairs 748"/>
    <s v="Same Day"/>
    <x v="0"/>
    <n v="0"/>
    <x v="600"/>
    <x v="600"/>
  </r>
  <r>
    <x v="0"/>
    <x v="8"/>
    <s v="Basic Storage 934"/>
    <s v="Standard Class"/>
    <x v="0"/>
    <n v="0.05"/>
    <x v="601"/>
    <x v="601"/>
  </r>
  <r>
    <x v="0"/>
    <x v="8"/>
    <s v="Pro Storage 509"/>
    <s v="Second Class"/>
    <x v="0"/>
    <n v="0.05"/>
    <x v="602"/>
    <x v="602"/>
  </r>
  <r>
    <x v="1"/>
    <x v="4"/>
    <s v="Prime Chairs 765"/>
    <s v="First Class"/>
    <x v="0"/>
    <n v="0.05"/>
    <x v="603"/>
    <x v="603"/>
  </r>
  <r>
    <x v="1"/>
    <x v="4"/>
    <s v="Elite Chairs 358"/>
    <s v="Same Day"/>
    <x v="0"/>
    <n v="0.2"/>
    <x v="604"/>
    <x v="604"/>
  </r>
  <r>
    <x v="2"/>
    <x v="12"/>
    <s v="Elite Machines 971"/>
    <s v="Standard Class"/>
    <x v="0"/>
    <n v="0"/>
    <x v="605"/>
    <x v="605"/>
  </r>
  <r>
    <x v="2"/>
    <x v="11"/>
    <s v="Max Phones 825"/>
    <s v="Second Class"/>
    <x v="0"/>
    <n v="0.15"/>
    <x v="606"/>
    <x v="606"/>
  </r>
  <r>
    <x v="2"/>
    <x v="5"/>
    <s v="Eco Accessories 933"/>
    <s v="Same Day"/>
    <x v="0"/>
    <n v="0.05"/>
    <x v="607"/>
    <x v="607"/>
  </r>
  <r>
    <x v="1"/>
    <x v="1"/>
    <s v="Max Tables 908"/>
    <s v="Same Day"/>
    <x v="0"/>
    <n v="0.15"/>
    <x v="608"/>
    <x v="608"/>
  </r>
  <r>
    <x v="0"/>
    <x v="0"/>
    <s v="Elite Paper 239"/>
    <s v="Standard Class"/>
    <x v="0"/>
    <n v="0.1"/>
    <x v="609"/>
    <x v="609"/>
  </r>
  <r>
    <x v="1"/>
    <x v="4"/>
    <s v="Eco Chairs 452"/>
    <s v="Standard Class"/>
    <x v="0"/>
    <n v="0.1"/>
    <x v="610"/>
    <x v="610"/>
  </r>
  <r>
    <x v="1"/>
    <x v="3"/>
    <s v="Smart Furnishings 721"/>
    <s v="First Class"/>
    <x v="0"/>
    <n v="0"/>
    <x v="611"/>
    <x v="611"/>
  </r>
  <r>
    <x v="2"/>
    <x v="5"/>
    <s v="Basic Accessories 729"/>
    <s v="Second Class"/>
    <x v="0"/>
    <n v="0.15"/>
    <x v="612"/>
    <x v="612"/>
  </r>
  <r>
    <x v="1"/>
    <x v="4"/>
    <s v="Classic Chairs 220"/>
    <s v="Second Class"/>
    <x v="0"/>
    <n v="0.05"/>
    <x v="613"/>
    <x v="613"/>
  </r>
  <r>
    <x v="1"/>
    <x v="4"/>
    <s v="Max Chairs 305"/>
    <s v="Same Day"/>
    <x v="0"/>
    <n v="0.25"/>
    <x v="614"/>
    <x v="614"/>
  </r>
  <r>
    <x v="0"/>
    <x v="0"/>
    <s v="Smart Paper 872"/>
    <s v="Standard Class"/>
    <x v="0"/>
    <n v="0.15"/>
    <x v="615"/>
    <x v="615"/>
  </r>
  <r>
    <x v="2"/>
    <x v="6"/>
    <s v="Max Copiers 994"/>
    <s v="First Class"/>
    <x v="0"/>
    <n v="0.2"/>
    <x v="616"/>
    <x v="616"/>
  </r>
  <r>
    <x v="0"/>
    <x v="8"/>
    <s v="Pro Storage 744"/>
    <s v="Second Class"/>
    <x v="0"/>
    <n v="0.2"/>
    <x v="617"/>
    <x v="617"/>
  </r>
  <r>
    <x v="1"/>
    <x v="4"/>
    <s v="Elite Chairs 744"/>
    <s v="Second Class"/>
    <x v="0"/>
    <n v="0.05"/>
    <x v="618"/>
    <x v="618"/>
  </r>
  <r>
    <x v="0"/>
    <x v="8"/>
    <s v="Basic Storage 973"/>
    <s v="First Class"/>
    <x v="0"/>
    <n v="0.2"/>
    <x v="619"/>
    <x v="619"/>
  </r>
  <r>
    <x v="1"/>
    <x v="3"/>
    <s v="Smart Furnishings 783"/>
    <s v="Same Day"/>
    <x v="0"/>
    <n v="0"/>
    <x v="620"/>
    <x v="620"/>
  </r>
  <r>
    <x v="0"/>
    <x v="9"/>
    <s v="Prime Binders 287"/>
    <s v="Second Class"/>
    <x v="0"/>
    <n v="0.25"/>
    <x v="621"/>
    <x v="621"/>
  </r>
  <r>
    <x v="0"/>
    <x v="7"/>
    <s v="Elite Labels 654"/>
    <s v="Standard Class"/>
    <x v="0"/>
    <n v="0.15"/>
    <x v="622"/>
    <x v="622"/>
  </r>
  <r>
    <x v="1"/>
    <x v="4"/>
    <s v="Pro Chairs 812"/>
    <s v="Standard Class"/>
    <x v="0"/>
    <n v="0.05"/>
    <x v="623"/>
    <x v="623"/>
  </r>
  <r>
    <x v="1"/>
    <x v="4"/>
    <s v="Basic Chairs 480"/>
    <s v="Second Class"/>
    <x v="0"/>
    <n v="0.1"/>
    <x v="624"/>
    <x v="624"/>
  </r>
  <r>
    <x v="2"/>
    <x v="12"/>
    <s v="Elite Machines 955"/>
    <s v="First Class"/>
    <x v="0"/>
    <n v="0.25"/>
    <x v="625"/>
    <x v="625"/>
  </r>
  <r>
    <x v="0"/>
    <x v="2"/>
    <s v="Prime Art 461"/>
    <s v="First Class"/>
    <x v="0"/>
    <n v="0.15"/>
    <x v="626"/>
    <x v="626"/>
  </r>
  <r>
    <x v="0"/>
    <x v="2"/>
    <s v="Prime Art 301"/>
    <s v="Same Day"/>
    <x v="0"/>
    <n v="0.2"/>
    <x v="627"/>
    <x v="627"/>
  </r>
  <r>
    <x v="2"/>
    <x v="5"/>
    <s v="Classic Accessories 354"/>
    <s v="Standard Class"/>
    <x v="0"/>
    <n v="0.25"/>
    <x v="628"/>
    <x v="628"/>
  </r>
  <r>
    <x v="2"/>
    <x v="5"/>
    <s v="Basic Accessories 210"/>
    <s v="Same Day"/>
    <x v="0"/>
    <n v="0.15"/>
    <x v="629"/>
    <x v="629"/>
  </r>
  <r>
    <x v="0"/>
    <x v="0"/>
    <s v="Smart Paper 364"/>
    <s v="Second Class"/>
    <x v="0"/>
    <n v="0"/>
    <x v="630"/>
    <x v="630"/>
  </r>
  <r>
    <x v="0"/>
    <x v="9"/>
    <s v="Smart Binders 999"/>
    <s v="Standard Class"/>
    <x v="0"/>
    <n v="0.15"/>
    <x v="631"/>
    <x v="631"/>
  </r>
  <r>
    <x v="2"/>
    <x v="6"/>
    <s v="Max Copiers 356"/>
    <s v="Second Class"/>
    <x v="0"/>
    <n v="0.15"/>
    <x v="632"/>
    <x v="632"/>
  </r>
  <r>
    <x v="2"/>
    <x v="12"/>
    <s v="Classic Machines 639"/>
    <s v="Same Day"/>
    <x v="0"/>
    <n v="0.2"/>
    <x v="633"/>
    <x v="633"/>
  </r>
  <r>
    <x v="1"/>
    <x v="3"/>
    <s v="Smart Furnishings 748"/>
    <s v="Standard Class"/>
    <x v="0"/>
    <n v="0"/>
    <x v="634"/>
    <x v="634"/>
  </r>
  <r>
    <x v="2"/>
    <x v="12"/>
    <s v="Pro Machines 589"/>
    <s v="Same Day"/>
    <x v="0"/>
    <s v="invalid"/>
    <x v="2"/>
    <x v="2"/>
  </r>
  <r>
    <x v="0"/>
    <x v="8"/>
    <s v="Eco Storage 316"/>
    <s v="Second Class"/>
    <x v="0"/>
    <n v="0.2"/>
    <x v="635"/>
    <x v="635"/>
  </r>
  <r>
    <x v="0"/>
    <x v="2"/>
    <s v="Eco Art 763"/>
    <s v="First Class"/>
    <x v="0"/>
    <n v="0"/>
    <x v="636"/>
    <x v="636"/>
  </r>
  <r>
    <x v="2"/>
    <x v="11"/>
    <s v="Pro Phones 356"/>
    <s v="Second Class"/>
    <x v="0"/>
    <n v="0.2"/>
    <x v="637"/>
    <x v="637"/>
  </r>
  <r>
    <x v="2"/>
    <x v="11"/>
    <s v="Basic Phones 865"/>
    <s v="Same Day"/>
    <x v="0"/>
    <n v="0.1"/>
    <x v="638"/>
    <x v="638"/>
  </r>
  <r>
    <x v="2"/>
    <x v="12"/>
    <s v="Max Machines 595"/>
    <s v="Second Class"/>
    <x v="0"/>
    <n v="0"/>
    <x v="639"/>
    <x v="639"/>
  </r>
  <r>
    <x v="2"/>
    <x v="12"/>
    <s v="Elite Machines 367"/>
    <s v="Same Day"/>
    <x v="0"/>
    <n v="0.1"/>
    <x v="640"/>
    <x v="640"/>
  </r>
  <r>
    <x v="2"/>
    <x v="6"/>
    <s v="Basic Copiers 787"/>
    <s v="Second Class"/>
    <x v="0"/>
    <s v="invalid"/>
    <x v="2"/>
    <x v="2"/>
  </r>
  <r>
    <x v="2"/>
    <x v="5"/>
    <s v="Max Accessories 903"/>
    <s v="Standard Class"/>
    <x v="0"/>
    <n v="0.2"/>
    <x v="641"/>
    <x v="641"/>
  </r>
  <r>
    <x v="0"/>
    <x v="2"/>
    <s v="Max Art 660"/>
    <s v="Standard Class"/>
    <x v="0"/>
    <n v="0.1"/>
    <x v="642"/>
    <x v="642"/>
  </r>
  <r>
    <x v="2"/>
    <x v="6"/>
    <s v="Classic Copiers 908"/>
    <s v="Same Day"/>
    <x v="0"/>
    <n v="0.05"/>
    <x v="643"/>
    <x v="643"/>
  </r>
  <r>
    <x v="2"/>
    <x v="12"/>
    <s v="Pro Machines 706"/>
    <s v="Standard Class"/>
    <x v="0"/>
    <n v="0"/>
    <x v="644"/>
    <x v="644"/>
  </r>
  <r>
    <x v="0"/>
    <x v="0"/>
    <s v="Pro Paper 187"/>
    <s v="Second Class"/>
    <x v="0"/>
    <n v="0.2"/>
    <x v="645"/>
    <x v="645"/>
  </r>
  <r>
    <x v="1"/>
    <x v="1"/>
    <s v="Classic Tables 606"/>
    <s v="Second Class"/>
    <x v="0"/>
    <n v="0.25"/>
    <x v="646"/>
    <x v="646"/>
  </r>
  <r>
    <x v="1"/>
    <x v="1"/>
    <s v="Smart Tables 835"/>
    <s v="Standard Class"/>
    <x v="0"/>
    <n v="0.1"/>
    <x v="647"/>
    <x v="647"/>
  </r>
  <r>
    <x v="2"/>
    <x v="6"/>
    <s v="Classic Copiers 583"/>
    <s v="Second Class"/>
    <x v="0"/>
    <n v="0.05"/>
    <x v="648"/>
    <x v="648"/>
  </r>
  <r>
    <x v="1"/>
    <x v="4"/>
    <s v="Classic Chairs 460"/>
    <s v="Standard Class"/>
    <x v="0"/>
    <n v="0.05"/>
    <x v="649"/>
    <x v="649"/>
  </r>
  <r>
    <x v="1"/>
    <x v="10"/>
    <s v="Classic Bookcases 488"/>
    <s v="Second Class"/>
    <x v="0"/>
    <n v="0.15"/>
    <x v="650"/>
    <x v="650"/>
  </r>
  <r>
    <x v="2"/>
    <x v="5"/>
    <s v="Basic Accessories 944"/>
    <s v="Second Class"/>
    <x v="0"/>
    <n v="0"/>
    <x v="651"/>
    <x v="651"/>
  </r>
  <r>
    <x v="1"/>
    <x v="3"/>
    <s v="Eco Furnishings 217"/>
    <s v="Same Day"/>
    <x v="0"/>
    <n v="0"/>
    <x v="652"/>
    <x v="652"/>
  </r>
  <r>
    <x v="2"/>
    <x v="11"/>
    <s v="Smart Phones 967"/>
    <s v="Same Day"/>
    <x v="0"/>
    <n v="0.15"/>
    <x v="653"/>
    <x v="653"/>
  </r>
  <r>
    <x v="1"/>
    <x v="4"/>
    <s v="Smart Chairs 610"/>
    <s v="Same Day"/>
    <x v="0"/>
    <n v="0"/>
    <x v="654"/>
    <x v="654"/>
  </r>
  <r>
    <x v="1"/>
    <x v="1"/>
    <s v="Prime Tables 123"/>
    <s v="Second Class"/>
    <x v="0"/>
    <n v="0.15"/>
    <x v="655"/>
    <x v="655"/>
  </r>
  <r>
    <x v="2"/>
    <x v="6"/>
    <s v="Smart Copiers 579"/>
    <s v="Same Day"/>
    <x v="0"/>
    <s v="invalid"/>
    <x v="2"/>
    <x v="2"/>
  </r>
  <r>
    <x v="2"/>
    <x v="5"/>
    <s v="Eco Accessories 658"/>
    <s v="First Class"/>
    <x v="0"/>
    <n v="0"/>
    <x v="656"/>
    <x v="656"/>
  </r>
  <r>
    <x v="1"/>
    <x v="1"/>
    <s v="Smart Tables 777"/>
    <s v="Second Class"/>
    <x v="0"/>
    <n v="0"/>
    <x v="657"/>
    <x v="657"/>
  </r>
  <r>
    <x v="0"/>
    <x v="8"/>
    <s v="Eco Storage 861"/>
    <s v="Same Day"/>
    <x v="0"/>
    <n v="0"/>
    <x v="658"/>
    <x v="658"/>
  </r>
  <r>
    <x v="1"/>
    <x v="3"/>
    <s v="Eco Furnishings 875"/>
    <s v="Second Class"/>
    <x v="0"/>
    <n v="0.2"/>
    <x v="659"/>
    <x v="659"/>
  </r>
  <r>
    <x v="1"/>
    <x v="10"/>
    <s v="Prime Bookcases 784"/>
    <s v="First Class"/>
    <x v="0"/>
    <n v="0.2"/>
    <x v="660"/>
    <x v="660"/>
  </r>
  <r>
    <x v="0"/>
    <x v="2"/>
    <s v="Classic Art 380"/>
    <s v="Standard Class"/>
    <x v="0"/>
    <s v="invalid"/>
    <x v="2"/>
    <x v="2"/>
  </r>
  <r>
    <x v="2"/>
    <x v="6"/>
    <s v="Pro Copiers 502"/>
    <s v="Standard Class"/>
    <x v="0"/>
    <n v="0"/>
    <x v="661"/>
    <x v="661"/>
  </r>
  <r>
    <x v="1"/>
    <x v="1"/>
    <s v="Prime Tables 604"/>
    <s v="First Class"/>
    <x v="0"/>
    <n v="0"/>
    <x v="662"/>
    <x v="662"/>
  </r>
  <r>
    <x v="0"/>
    <x v="2"/>
    <s v="Basic Art 798"/>
    <s v="Second Class"/>
    <x v="0"/>
    <n v="0.15"/>
    <x v="663"/>
    <x v="663"/>
  </r>
  <r>
    <x v="1"/>
    <x v="1"/>
    <s v="Elite Tables 717"/>
    <s v="Standard Class"/>
    <x v="0"/>
    <n v="0.15"/>
    <x v="664"/>
    <x v="664"/>
  </r>
  <r>
    <x v="0"/>
    <x v="2"/>
    <s v="Max Art 725"/>
    <s v="Standard Class"/>
    <x v="0"/>
    <n v="0"/>
    <x v="665"/>
    <x v="665"/>
  </r>
  <r>
    <x v="2"/>
    <x v="6"/>
    <s v="Smart Copiers 456"/>
    <s v="Second Class"/>
    <x v="0"/>
    <n v="0.05"/>
    <x v="666"/>
    <x v="666"/>
  </r>
  <r>
    <x v="1"/>
    <x v="3"/>
    <s v="Prime Furnishings 883"/>
    <s v="Second Class"/>
    <x v="0"/>
    <n v="0.1"/>
    <x v="667"/>
    <x v="667"/>
  </r>
  <r>
    <x v="1"/>
    <x v="10"/>
    <s v="Smart Bookcases 828"/>
    <s v="Second Class"/>
    <x v="0"/>
    <n v="0.05"/>
    <x v="668"/>
    <x v="668"/>
  </r>
  <r>
    <x v="0"/>
    <x v="8"/>
    <s v="Classic Storage 291"/>
    <s v="First Class"/>
    <x v="0"/>
    <n v="0.15"/>
    <x v="669"/>
    <x v="669"/>
  </r>
  <r>
    <x v="2"/>
    <x v="12"/>
    <s v="Prime Machines 102"/>
    <s v="Standard Class"/>
    <x v="0"/>
    <n v="0"/>
    <x v="670"/>
    <x v="670"/>
  </r>
  <r>
    <x v="2"/>
    <x v="11"/>
    <s v="Classic Phones 842"/>
    <s v="missing value"/>
    <x v="0"/>
    <n v="0.25"/>
    <x v="671"/>
    <x v="671"/>
  </r>
  <r>
    <x v="0"/>
    <x v="7"/>
    <s v="Max Labels 970"/>
    <s v="First Class"/>
    <x v="0"/>
    <n v="0"/>
    <x v="672"/>
    <x v="672"/>
  </r>
  <r>
    <x v="2"/>
    <x v="12"/>
    <s v="Classic Machines 648"/>
    <s v="Standard Class"/>
    <x v="0"/>
    <n v="0.15"/>
    <x v="673"/>
    <x v="673"/>
  </r>
  <r>
    <x v="1"/>
    <x v="10"/>
    <s v="Max Bookcases 565"/>
    <s v="Standard Class"/>
    <x v="0"/>
    <n v="0.25"/>
    <x v="674"/>
    <x v="674"/>
  </r>
  <r>
    <x v="2"/>
    <x v="12"/>
    <s v="Basic Machines 220"/>
    <s v="Standard Class"/>
    <x v="0"/>
    <n v="0.15"/>
    <x v="675"/>
    <x v="675"/>
  </r>
  <r>
    <x v="0"/>
    <x v="2"/>
    <s v="Pro Art 151"/>
    <s v="Same Day"/>
    <x v="0"/>
    <n v="0"/>
    <x v="676"/>
    <x v="676"/>
  </r>
  <r>
    <x v="1"/>
    <x v="1"/>
    <s v="Pro Tables 980"/>
    <s v="Second Class"/>
    <x v="0"/>
    <n v="0.1"/>
    <x v="677"/>
    <x v="677"/>
  </r>
  <r>
    <x v="1"/>
    <x v="1"/>
    <s v="Classic Tables 997"/>
    <s v="First Class"/>
    <x v="0"/>
    <n v="0.1"/>
    <x v="678"/>
    <x v="678"/>
  </r>
  <r>
    <x v="1"/>
    <x v="10"/>
    <s v="Max Bookcases 738"/>
    <s v="missing value"/>
    <x v="0"/>
    <n v="0.15"/>
    <x v="679"/>
    <x v="679"/>
  </r>
  <r>
    <x v="0"/>
    <x v="9"/>
    <s v="Max Binders 411"/>
    <s v="Standard Class"/>
    <x v="0"/>
    <n v="0.05"/>
    <x v="680"/>
    <x v="680"/>
  </r>
  <r>
    <x v="0"/>
    <x v="0"/>
    <s v="Max Paper 343"/>
    <s v="Same Day"/>
    <x v="0"/>
    <n v="0.1"/>
    <x v="681"/>
    <x v="681"/>
  </r>
  <r>
    <x v="2"/>
    <x v="5"/>
    <s v="Pro Accessories 485"/>
    <s v="Same Day"/>
    <x v="0"/>
    <s v="invalid"/>
    <x v="2"/>
    <x v="2"/>
  </r>
  <r>
    <x v="1"/>
    <x v="10"/>
    <s v="Elite Bookcases 113"/>
    <s v="First Class"/>
    <x v="0"/>
    <n v="0.05"/>
    <x v="682"/>
    <x v="682"/>
  </r>
  <r>
    <x v="2"/>
    <x v="11"/>
    <s v="Eco Phones 787"/>
    <s v="Same Day"/>
    <x v="0"/>
    <n v="0.15"/>
    <x v="683"/>
    <x v="683"/>
  </r>
  <r>
    <x v="0"/>
    <x v="2"/>
    <s v="Smart Art 279"/>
    <s v="Second Class"/>
    <x v="0"/>
    <n v="0.05"/>
    <x v="684"/>
    <x v="684"/>
  </r>
  <r>
    <x v="2"/>
    <x v="12"/>
    <s v="Basic Machines 172"/>
    <s v="First Class"/>
    <x v="0"/>
    <n v="0.05"/>
    <x v="685"/>
    <x v="685"/>
  </r>
  <r>
    <x v="1"/>
    <x v="4"/>
    <s v="Smart Chairs 259"/>
    <s v="First Class"/>
    <x v="0"/>
    <n v="0"/>
    <x v="686"/>
    <x v="686"/>
  </r>
  <r>
    <x v="2"/>
    <x v="12"/>
    <s v="Pro Machines 987"/>
    <s v="Second Class"/>
    <x v="0"/>
    <n v="0.25"/>
    <x v="687"/>
    <x v="687"/>
  </r>
  <r>
    <x v="2"/>
    <x v="6"/>
    <s v="Pro Copiers 206"/>
    <s v="Standard Class"/>
    <x v="0"/>
    <n v="0"/>
    <x v="688"/>
    <x v="688"/>
  </r>
  <r>
    <x v="1"/>
    <x v="4"/>
    <s v="Max Chairs 372"/>
    <s v="Second Class"/>
    <x v="0"/>
    <n v="0"/>
    <x v="689"/>
    <x v="689"/>
  </r>
  <r>
    <x v="2"/>
    <x v="11"/>
    <s v="Basic Phones 496"/>
    <s v="First Class"/>
    <x v="0"/>
    <n v="0.15"/>
    <x v="690"/>
    <x v="690"/>
  </r>
  <r>
    <x v="2"/>
    <x v="12"/>
    <s v="Prime Machines 612"/>
    <s v="Standard Class"/>
    <x v="0"/>
    <n v="0.2"/>
    <x v="691"/>
    <x v="691"/>
  </r>
  <r>
    <x v="0"/>
    <x v="2"/>
    <s v="Smart Art 866"/>
    <s v="Same Day"/>
    <x v="0"/>
    <n v="0.2"/>
    <x v="692"/>
    <x v="692"/>
  </r>
  <r>
    <x v="0"/>
    <x v="2"/>
    <s v="Pro Art 447"/>
    <s v="Same Day"/>
    <x v="0"/>
    <n v="0.2"/>
    <x v="693"/>
    <x v="693"/>
  </r>
  <r>
    <x v="2"/>
    <x v="6"/>
    <s v="Smart Copiers 196"/>
    <s v="Same Day"/>
    <x v="0"/>
    <n v="0.15"/>
    <x v="694"/>
    <x v="694"/>
  </r>
  <r>
    <x v="2"/>
    <x v="6"/>
    <s v="Pro Copiers 532"/>
    <s v="First Class"/>
    <x v="0"/>
    <n v="0"/>
    <x v="695"/>
    <x v="695"/>
  </r>
  <r>
    <x v="1"/>
    <x v="4"/>
    <s v="Eco Chairs 442"/>
    <s v="Second Class"/>
    <x v="0"/>
    <n v="0"/>
    <x v="696"/>
    <x v="696"/>
  </r>
  <r>
    <x v="2"/>
    <x v="5"/>
    <s v="Eco Accessories 364"/>
    <s v="Standard Class"/>
    <x v="0"/>
    <n v="0.05"/>
    <x v="697"/>
    <x v="697"/>
  </r>
  <r>
    <x v="1"/>
    <x v="3"/>
    <s v="Elite Furnishings 921"/>
    <s v="Second Class"/>
    <x v="0"/>
    <n v="0"/>
    <x v="698"/>
    <x v="698"/>
  </r>
  <r>
    <x v="1"/>
    <x v="1"/>
    <s v="Max Tables 309"/>
    <s v="Second Class"/>
    <x v="0"/>
    <n v="0"/>
    <x v="699"/>
    <x v="699"/>
  </r>
  <r>
    <x v="2"/>
    <x v="11"/>
    <s v="Pro Phones 857"/>
    <s v="Standard Class"/>
    <x v="0"/>
    <n v="0.2"/>
    <x v="700"/>
    <x v="700"/>
  </r>
  <r>
    <x v="2"/>
    <x v="5"/>
    <s v="Max Accessories 567"/>
    <s v="Second Class"/>
    <x v="0"/>
    <n v="0.05"/>
    <x v="701"/>
    <x v="701"/>
  </r>
  <r>
    <x v="2"/>
    <x v="12"/>
    <s v="Max Machines 200"/>
    <s v="First Class"/>
    <x v="0"/>
    <n v="0.15"/>
    <x v="702"/>
    <x v="702"/>
  </r>
  <r>
    <x v="2"/>
    <x v="12"/>
    <s v="Pro Machines 563"/>
    <s v="Same Day"/>
    <x v="0"/>
    <n v="0.15"/>
    <x v="703"/>
    <x v="703"/>
  </r>
  <r>
    <x v="0"/>
    <x v="2"/>
    <s v="Elite Art 696"/>
    <s v="Second Class"/>
    <x v="0"/>
    <n v="0.15"/>
    <x v="704"/>
    <x v="704"/>
  </r>
  <r>
    <x v="0"/>
    <x v="9"/>
    <s v="Eco Binders 178"/>
    <s v="First Class"/>
    <x v="0"/>
    <n v="0.1"/>
    <x v="705"/>
    <x v="705"/>
  </r>
  <r>
    <x v="2"/>
    <x v="11"/>
    <s v="Max Phones 678"/>
    <s v="Standard Class"/>
    <x v="0"/>
    <n v="0"/>
    <x v="706"/>
    <x v="706"/>
  </r>
  <r>
    <x v="1"/>
    <x v="3"/>
    <s v="Classic Furnishings 582"/>
    <s v="First Class"/>
    <x v="0"/>
    <n v="0"/>
    <x v="707"/>
    <x v="707"/>
  </r>
  <r>
    <x v="2"/>
    <x v="5"/>
    <s v="Classic Accessories 981"/>
    <s v="First Class"/>
    <x v="0"/>
    <n v="0.2"/>
    <x v="708"/>
    <x v="708"/>
  </r>
  <r>
    <x v="1"/>
    <x v="1"/>
    <s v="Classic Tables 534"/>
    <s v="Standard Class"/>
    <x v="0"/>
    <n v="0.2"/>
    <x v="709"/>
    <x v="709"/>
  </r>
  <r>
    <x v="1"/>
    <x v="4"/>
    <s v="Pro Chairs 383"/>
    <s v="Second Class"/>
    <x v="0"/>
    <n v="0.1"/>
    <x v="710"/>
    <x v="710"/>
  </r>
  <r>
    <x v="1"/>
    <x v="4"/>
    <s v="Max Chairs 845"/>
    <s v="Same Day"/>
    <x v="0"/>
    <n v="0"/>
    <x v="711"/>
    <x v="711"/>
  </r>
  <r>
    <x v="0"/>
    <x v="0"/>
    <s v="Prime Paper 307"/>
    <s v="First Class"/>
    <x v="0"/>
    <n v="0"/>
    <x v="712"/>
    <x v="712"/>
  </r>
  <r>
    <x v="2"/>
    <x v="11"/>
    <s v="Basic Phones 859"/>
    <s v="Standard Class"/>
    <x v="0"/>
    <n v="0.05"/>
    <x v="713"/>
    <x v="713"/>
  </r>
  <r>
    <x v="1"/>
    <x v="4"/>
    <s v="Eco Chairs 883"/>
    <s v="First Class"/>
    <x v="0"/>
    <n v="0.1"/>
    <x v="714"/>
    <x v="714"/>
  </r>
  <r>
    <x v="1"/>
    <x v="4"/>
    <s v="Max Chairs 706"/>
    <s v="Second Class"/>
    <x v="0"/>
    <n v="0"/>
    <x v="715"/>
    <x v="715"/>
  </r>
  <r>
    <x v="0"/>
    <x v="0"/>
    <s v="Prime Paper 768"/>
    <s v="Standard Class"/>
    <x v="0"/>
    <n v="0"/>
    <x v="716"/>
    <x v="716"/>
  </r>
  <r>
    <x v="0"/>
    <x v="2"/>
    <s v="Basic Art 764"/>
    <s v="Standard Class"/>
    <x v="0"/>
    <n v="0.25"/>
    <x v="717"/>
    <x v="717"/>
  </r>
  <r>
    <x v="0"/>
    <x v="9"/>
    <s v="Prime Binders 181"/>
    <s v="First Class"/>
    <x v="0"/>
    <n v="0.1"/>
    <x v="718"/>
    <x v="718"/>
  </r>
  <r>
    <x v="2"/>
    <x v="6"/>
    <s v="Max Copiers 866"/>
    <s v="Standard Class"/>
    <x v="0"/>
    <n v="0.2"/>
    <x v="719"/>
    <x v="719"/>
  </r>
  <r>
    <x v="0"/>
    <x v="0"/>
    <s v="Pro Paper 662"/>
    <s v="Standard Class"/>
    <x v="0"/>
    <n v="0.2"/>
    <x v="720"/>
    <x v="720"/>
  </r>
  <r>
    <x v="0"/>
    <x v="0"/>
    <s v="Classic Paper 388"/>
    <s v="Same Day"/>
    <x v="0"/>
    <n v="0.15"/>
    <x v="721"/>
    <x v="721"/>
  </r>
  <r>
    <x v="2"/>
    <x v="11"/>
    <s v="Pro Phones 765"/>
    <s v="Second Class"/>
    <x v="0"/>
    <n v="0.25"/>
    <x v="722"/>
    <x v="722"/>
  </r>
  <r>
    <x v="2"/>
    <x v="12"/>
    <s v="Classic Machines 543"/>
    <s v="Standard Class"/>
    <x v="0"/>
    <n v="0.15"/>
    <x v="723"/>
    <x v="723"/>
  </r>
  <r>
    <x v="2"/>
    <x v="5"/>
    <s v="Max Accessories 291"/>
    <s v="First Class"/>
    <x v="0"/>
    <n v="0.15"/>
    <x v="724"/>
    <x v="724"/>
  </r>
  <r>
    <x v="2"/>
    <x v="12"/>
    <s v="Eco Machines 414"/>
    <s v="unknown"/>
    <x v="0"/>
    <n v="0.05"/>
    <x v="725"/>
    <x v="725"/>
  </r>
  <r>
    <x v="0"/>
    <x v="8"/>
    <s v="Basic Storage 273"/>
    <s v="First Class"/>
    <x v="0"/>
    <n v="0.05"/>
    <x v="726"/>
    <x v="726"/>
  </r>
  <r>
    <x v="1"/>
    <x v="3"/>
    <s v="Elite Furnishings 588"/>
    <s v="Second Class"/>
    <x v="0"/>
    <n v="0.15"/>
    <x v="727"/>
    <x v="727"/>
  </r>
  <r>
    <x v="0"/>
    <x v="8"/>
    <s v="Elite Storage 857"/>
    <s v="Standard Class"/>
    <x v="0"/>
    <n v="0.25"/>
    <x v="728"/>
    <x v="728"/>
  </r>
  <r>
    <x v="0"/>
    <x v="8"/>
    <s v="Prime Storage 183"/>
    <s v="Second Class"/>
    <x v="0"/>
    <n v="0.2"/>
    <x v="729"/>
    <x v="729"/>
  </r>
  <r>
    <x v="2"/>
    <x v="5"/>
    <s v="Smart Accessories 362"/>
    <s v="Same Day"/>
    <x v="0"/>
    <n v="0.2"/>
    <x v="730"/>
    <x v="730"/>
  </r>
  <r>
    <x v="1"/>
    <x v="10"/>
    <s v="Classic Bookcases 310"/>
    <s v="Standard Class"/>
    <x v="0"/>
    <n v="0.25"/>
    <x v="731"/>
    <x v="731"/>
  </r>
  <r>
    <x v="1"/>
    <x v="4"/>
    <s v="Prime Chairs 721"/>
    <s v="Standard Class"/>
    <x v="0"/>
    <n v="0"/>
    <x v="732"/>
    <x v="732"/>
  </r>
  <r>
    <x v="1"/>
    <x v="1"/>
    <s v="Prime Tables 797"/>
    <s v="Second Class"/>
    <x v="0"/>
    <n v="0.25"/>
    <x v="733"/>
    <x v="733"/>
  </r>
  <r>
    <x v="0"/>
    <x v="2"/>
    <s v="Max Art 926"/>
    <s v="Second Class"/>
    <x v="0"/>
    <n v="0"/>
    <x v="734"/>
    <x v="734"/>
  </r>
  <r>
    <x v="2"/>
    <x v="12"/>
    <s v="Max Machines 364"/>
    <s v="First Class"/>
    <x v="0"/>
    <n v="0"/>
    <x v="735"/>
    <x v="735"/>
  </r>
  <r>
    <x v="2"/>
    <x v="12"/>
    <s v="Classic Machines 122"/>
    <s v="Second Class"/>
    <x v="0"/>
    <n v="0.2"/>
    <x v="736"/>
    <x v="736"/>
  </r>
  <r>
    <x v="1"/>
    <x v="3"/>
    <s v="Elite Furnishings 169"/>
    <s v="Same Day"/>
    <x v="0"/>
    <n v="0"/>
    <x v="737"/>
    <x v="737"/>
  </r>
  <r>
    <x v="1"/>
    <x v="10"/>
    <s v="Pro Bookcases 615"/>
    <s v="First Class"/>
    <x v="0"/>
    <n v="0.05"/>
    <x v="738"/>
    <x v="738"/>
  </r>
  <r>
    <x v="0"/>
    <x v="7"/>
    <s v="Max Labels 136"/>
    <s v="First Class"/>
    <x v="0"/>
    <n v="0"/>
    <x v="739"/>
    <x v="739"/>
  </r>
  <r>
    <x v="0"/>
    <x v="2"/>
    <s v="Prime Art 380"/>
    <s v="Second Class"/>
    <x v="0"/>
    <n v="0.2"/>
    <x v="740"/>
    <x v="740"/>
  </r>
  <r>
    <x v="0"/>
    <x v="9"/>
    <s v="Classic Binders 234"/>
    <s v="Standard Class"/>
    <x v="0"/>
    <n v="0.25"/>
    <x v="741"/>
    <x v="741"/>
  </r>
  <r>
    <x v="0"/>
    <x v="0"/>
    <s v="Classic Paper 280"/>
    <s v="Same Day"/>
    <x v="0"/>
    <n v="0.1"/>
    <x v="742"/>
    <x v="742"/>
  </r>
  <r>
    <x v="1"/>
    <x v="10"/>
    <s v="Classic Bookcases 922"/>
    <s v="Same Day"/>
    <x v="0"/>
    <n v="0.25"/>
    <x v="743"/>
    <x v="743"/>
  </r>
  <r>
    <x v="2"/>
    <x v="6"/>
    <s v="Eco Copiers 396"/>
    <s v="First Class"/>
    <x v="0"/>
    <n v="0"/>
    <x v="744"/>
    <x v="744"/>
  </r>
  <r>
    <x v="2"/>
    <x v="12"/>
    <s v="Basic Machines 401"/>
    <s v="Second Class"/>
    <x v="0"/>
    <n v="0"/>
    <x v="745"/>
    <x v="745"/>
  </r>
  <r>
    <x v="1"/>
    <x v="4"/>
    <s v="Basic Chairs 279"/>
    <s v="Same Day"/>
    <x v="0"/>
    <n v="0.05"/>
    <x v="746"/>
    <x v="746"/>
  </r>
  <r>
    <x v="2"/>
    <x v="11"/>
    <s v="Basic Phones 753"/>
    <s v="missing value"/>
    <x v="0"/>
    <n v="0.2"/>
    <x v="747"/>
    <x v="747"/>
  </r>
  <r>
    <x v="2"/>
    <x v="12"/>
    <s v="Smart Machines 789"/>
    <s v="missing value"/>
    <x v="0"/>
    <n v="0.2"/>
    <x v="748"/>
    <x v="748"/>
  </r>
  <r>
    <x v="2"/>
    <x v="5"/>
    <s v="Elite Accessories 312"/>
    <s v="Standard Class"/>
    <x v="0"/>
    <n v="0.25"/>
    <x v="749"/>
    <x v="749"/>
  </r>
  <r>
    <x v="2"/>
    <x v="6"/>
    <s v="Eco Copiers 528"/>
    <s v="Second Class"/>
    <x v="0"/>
    <n v="0"/>
    <x v="750"/>
    <x v="750"/>
  </r>
  <r>
    <x v="2"/>
    <x v="5"/>
    <s v="Elite Accessories 226"/>
    <s v="Second Class"/>
    <x v="0"/>
    <n v="0.15"/>
    <x v="751"/>
    <x v="751"/>
  </r>
  <r>
    <x v="2"/>
    <x v="6"/>
    <s v="Pro Copiers 298"/>
    <s v="Second Class"/>
    <x v="0"/>
    <n v="0"/>
    <x v="752"/>
    <x v="752"/>
  </r>
  <r>
    <x v="1"/>
    <x v="4"/>
    <s v="Prime Chairs 331"/>
    <s v="Standard Class"/>
    <x v="0"/>
    <n v="0.05"/>
    <x v="753"/>
    <x v="753"/>
  </r>
  <r>
    <x v="1"/>
    <x v="4"/>
    <s v="Classic Chairs 798"/>
    <s v="Same Day"/>
    <x v="0"/>
    <n v="0.2"/>
    <x v="754"/>
    <x v="754"/>
  </r>
  <r>
    <x v="0"/>
    <x v="7"/>
    <s v="Classic Labels 204"/>
    <s v="First Class"/>
    <x v="0"/>
    <n v="0.25"/>
    <x v="755"/>
    <x v="755"/>
  </r>
  <r>
    <x v="2"/>
    <x v="6"/>
    <s v="Basic Copiers 254"/>
    <s v="Standard Class"/>
    <x v="0"/>
    <n v="0.15"/>
    <x v="756"/>
    <x v="756"/>
  </r>
  <r>
    <x v="0"/>
    <x v="2"/>
    <s v="Basic Art 709"/>
    <s v="Second Class"/>
    <x v="0"/>
    <n v="0.05"/>
    <x v="757"/>
    <x v="757"/>
  </r>
  <r>
    <x v="2"/>
    <x v="6"/>
    <s v="Max Copiers 551"/>
    <s v="First Class"/>
    <x v="0"/>
    <n v="0.05"/>
    <x v="758"/>
    <x v="758"/>
  </r>
  <r>
    <x v="0"/>
    <x v="8"/>
    <s v="Eco Storage 183"/>
    <s v="Same Day"/>
    <x v="0"/>
    <n v="0.25"/>
    <x v="759"/>
    <x v="759"/>
  </r>
  <r>
    <x v="1"/>
    <x v="3"/>
    <s v="Pro Furnishings 233"/>
    <s v="missing value"/>
    <x v="0"/>
    <n v="0.05"/>
    <x v="760"/>
    <x v="760"/>
  </r>
  <r>
    <x v="0"/>
    <x v="0"/>
    <s v="Prime Paper 878"/>
    <s v="Second Class"/>
    <x v="0"/>
    <n v="0.05"/>
    <x v="761"/>
    <x v="761"/>
  </r>
  <r>
    <x v="1"/>
    <x v="4"/>
    <s v="Smart Chairs 353"/>
    <s v="Standard Class"/>
    <x v="0"/>
    <n v="0.1"/>
    <x v="762"/>
    <x v="762"/>
  </r>
  <r>
    <x v="2"/>
    <x v="6"/>
    <s v="Smart Copiers 408"/>
    <s v="Same Day"/>
    <x v="0"/>
    <n v="0"/>
    <x v="763"/>
    <x v="763"/>
  </r>
  <r>
    <x v="0"/>
    <x v="2"/>
    <s v="Classic Art 781"/>
    <s v="Standard Class"/>
    <x v="0"/>
    <n v="0.2"/>
    <x v="764"/>
    <x v="764"/>
  </r>
  <r>
    <x v="1"/>
    <x v="10"/>
    <s v="Eco Bookcases 144"/>
    <s v="Same Day"/>
    <x v="0"/>
    <n v="0.25"/>
    <x v="765"/>
    <x v="765"/>
  </r>
  <r>
    <x v="1"/>
    <x v="3"/>
    <s v="Elite Furnishings 852"/>
    <s v="Second Class"/>
    <x v="0"/>
    <n v="0.2"/>
    <x v="766"/>
    <x v="766"/>
  </r>
  <r>
    <x v="2"/>
    <x v="6"/>
    <s v="Basic Copiers 238"/>
    <s v="Second Class"/>
    <x v="0"/>
    <n v="0"/>
    <x v="767"/>
    <x v="767"/>
  </r>
  <r>
    <x v="0"/>
    <x v="0"/>
    <s v="Elite Paper 847"/>
    <s v="Standard Class"/>
    <x v="0"/>
    <n v="0.15"/>
    <x v="768"/>
    <x v="768"/>
  </r>
  <r>
    <x v="2"/>
    <x v="6"/>
    <s v="Pro Copiers 653"/>
    <s v="Same Day"/>
    <x v="0"/>
    <n v="0"/>
    <x v="769"/>
    <x v="769"/>
  </r>
  <r>
    <x v="2"/>
    <x v="12"/>
    <s v="Elite Machines 459"/>
    <s v="First Class"/>
    <x v="0"/>
    <n v="0.15"/>
    <x v="770"/>
    <x v="770"/>
  </r>
  <r>
    <x v="0"/>
    <x v="9"/>
    <s v="Elite Binders 764"/>
    <s v="First Class"/>
    <x v="0"/>
    <n v="0"/>
    <x v="771"/>
    <x v="771"/>
  </r>
  <r>
    <x v="1"/>
    <x v="3"/>
    <s v="Classic Furnishings 348"/>
    <s v="Standard Class"/>
    <x v="0"/>
    <n v="0"/>
    <x v="772"/>
    <x v="772"/>
  </r>
  <r>
    <x v="2"/>
    <x v="5"/>
    <s v="Smart Accessories 487"/>
    <s v="missing value"/>
    <x v="0"/>
    <n v="0.05"/>
    <x v="773"/>
    <x v="773"/>
  </r>
  <r>
    <x v="0"/>
    <x v="8"/>
    <s v="Elite Storage 825"/>
    <s v="Second Class"/>
    <x v="0"/>
    <n v="0.15"/>
    <x v="774"/>
    <x v="774"/>
  </r>
  <r>
    <x v="2"/>
    <x v="5"/>
    <s v="Pro Accessories 500"/>
    <s v="Second Class"/>
    <x v="0"/>
    <n v="0.2"/>
    <x v="775"/>
    <x v="775"/>
  </r>
  <r>
    <x v="1"/>
    <x v="3"/>
    <s v="Pro Furnishings 909"/>
    <s v="Second Class"/>
    <x v="0"/>
    <n v="0"/>
    <x v="776"/>
    <x v="776"/>
  </r>
  <r>
    <x v="0"/>
    <x v="7"/>
    <s v="Basic Labels 359"/>
    <s v="First Class"/>
    <x v="0"/>
    <n v="0"/>
    <x v="777"/>
    <x v="777"/>
  </r>
  <r>
    <x v="1"/>
    <x v="3"/>
    <s v="Eco Furnishings 541"/>
    <s v="Standard Class"/>
    <x v="0"/>
    <n v="0.05"/>
    <x v="778"/>
    <x v="778"/>
  </r>
  <r>
    <x v="0"/>
    <x v="9"/>
    <s v="Classic Binders 103"/>
    <s v="Second Class"/>
    <x v="0"/>
    <n v="0.25"/>
    <x v="779"/>
    <x v="779"/>
  </r>
  <r>
    <x v="2"/>
    <x v="6"/>
    <s v="Max Copiers 560"/>
    <s v="Standard Class"/>
    <x v="0"/>
    <n v="0.2"/>
    <x v="780"/>
    <x v="780"/>
  </r>
  <r>
    <x v="0"/>
    <x v="7"/>
    <s v="Smart Labels 436"/>
    <s v="Standard Class"/>
    <x v="0"/>
    <n v="0.1"/>
    <x v="781"/>
    <x v="781"/>
  </r>
  <r>
    <x v="1"/>
    <x v="3"/>
    <s v="Pro Furnishings 386"/>
    <s v="First Class"/>
    <x v="0"/>
    <n v="0.2"/>
    <x v="782"/>
    <x v="782"/>
  </r>
  <r>
    <x v="0"/>
    <x v="9"/>
    <s v="Eco Binders 601"/>
    <s v="Second Class"/>
    <x v="0"/>
    <n v="0.1"/>
    <x v="783"/>
    <x v="783"/>
  </r>
  <r>
    <x v="2"/>
    <x v="6"/>
    <s v="Pro Copiers 867"/>
    <s v="First Class"/>
    <x v="0"/>
    <n v="0.25"/>
    <x v="784"/>
    <x v="784"/>
  </r>
  <r>
    <x v="2"/>
    <x v="5"/>
    <s v="Eco Accessories 122"/>
    <s v="First Class"/>
    <x v="0"/>
    <n v="0.2"/>
    <x v="785"/>
    <x v="785"/>
  </r>
  <r>
    <x v="1"/>
    <x v="1"/>
    <s v="Basic Tables 127"/>
    <s v="First Class"/>
    <x v="0"/>
    <n v="0"/>
    <x v="786"/>
    <x v="786"/>
  </r>
  <r>
    <x v="1"/>
    <x v="10"/>
    <s v="Elite Bookcases 988"/>
    <s v="Standard Class"/>
    <x v="0"/>
    <n v="0"/>
    <x v="787"/>
    <x v="787"/>
  </r>
  <r>
    <x v="0"/>
    <x v="7"/>
    <s v="Smart Labels 126"/>
    <s v="First Class"/>
    <x v="0"/>
    <n v="0.25"/>
    <x v="788"/>
    <x v="788"/>
  </r>
  <r>
    <x v="2"/>
    <x v="12"/>
    <s v="Max Machines 569"/>
    <s v="Standard Class"/>
    <x v="0"/>
    <n v="0.15"/>
    <x v="789"/>
    <x v="789"/>
  </r>
  <r>
    <x v="1"/>
    <x v="3"/>
    <s v="Basic Furnishings 306"/>
    <s v="First Class"/>
    <x v="0"/>
    <n v="0.1"/>
    <x v="790"/>
    <x v="790"/>
  </r>
  <r>
    <x v="0"/>
    <x v="9"/>
    <s v="Classic Binders 873"/>
    <s v="Standard Class"/>
    <x v="0"/>
    <n v="0.25"/>
    <x v="791"/>
    <x v="791"/>
  </r>
  <r>
    <x v="0"/>
    <x v="7"/>
    <s v="Pro Labels 611"/>
    <s v="First Class"/>
    <x v="0"/>
    <s v="invalid"/>
    <x v="2"/>
    <x v="2"/>
  </r>
  <r>
    <x v="2"/>
    <x v="12"/>
    <s v="Prime Machines 524"/>
    <s v="Standard Class"/>
    <x v="0"/>
    <n v="0"/>
    <x v="792"/>
    <x v="792"/>
  </r>
  <r>
    <x v="1"/>
    <x v="10"/>
    <s v="Classic Bookcases 882"/>
    <s v="Standard Class"/>
    <x v="0"/>
    <n v="0.2"/>
    <x v="793"/>
    <x v="793"/>
  </r>
  <r>
    <x v="2"/>
    <x v="5"/>
    <s v="Classic Accessories 471"/>
    <s v="First Class"/>
    <x v="0"/>
    <n v="0.2"/>
    <x v="794"/>
    <x v="794"/>
  </r>
  <r>
    <x v="1"/>
    <x v="3"/>
    <s v="Smart Furnishings 175"/>
    <s v="Second Class"/>
    <x v="0"/>
    <n v="0.2"/>
    <x v="795"/>
    <x v="795"/>
  </r>
  <r>
    <x v="0"/>
    <x v="0"/>
    <s v="Basic Paper 899"/>
    <s v="Same Day"/>
    <x v="0"/>
    <n v="0.15"/>
    <x v="796"/>
    <x v="796"/>
  </r>
  <r>
    <x v="0"/>
    <x v="0"/>
    <s v="Pro Paper 267"/>
    <s v="First Class"/>
    <x v="0"/>
    <n v="0.05"/>
    <x v="797"/>
    <x v="797"/>
  </r>
  <r>
    <x v="2"/>
    <x v="12"/>
    <s v="Basic Machines 832"/>
    <s v="First Class"/>
    <x v="0"/>
    <n v="0"/>
    <x v="798"/>
    <x v="798"/>
  </r>
  <r>
    <x v="2"/>
    <x v="5"/>
    <s v="Elite Accessories 790"/>
    <s v="Standard Class"/>
    <x v="0"/>
    <n v="0.25"/>
    <x v="799"/>
    <x v="799"/>
  </r>
  <r>
    <x v="0"/>
    <x v="0"/>
    <s v="Basic Paper 707"/>
    <s v="Same Day"/>
    <x v="0"/>
    <n v="0.25"/>
    <x v="800"/>
    <x v="800"/>
  </r>
  <r>
    <x v="1"/>
    <x v="4"/>
    <s v="Elite Chairs 979"/>
    <s v="Second Class"/>
    <x v="0"/>
    <n v="0.05"/>
    <x v="801"/>
    <x v="801"/>
  </r>
  <r>
    <x v="1"/>
    <x v="3"/>
    <s v="Pro Furnishings 192"/>
    <s v="Second Class"/>
    <x v="0"/>
    <n v="0.1"/>
    <x v="802"/>
    <x v="802"/>
  </r>
  <r>
    <x v="2"/>
    <x v="12"/>
    <s v="Smart Machines 951"/>
    <s v="First Class"/>
    <x v="0"/>
    <n v="0.1"/>
    <x v="803"/>
    <x v="803"/>
  </r>
  <r>
    <x v="1"/>
    <x v="4"/>
    <s v="Smart Chairs 794"/>
    <s v="First Class"/>
    <x v="0"/>
    <n v="0.15"/>
    <x v="804"/>
    <x v="804"/>
  </r>
  <r>
    <x v="2"/>
    <x v="11"/>
    <s v="Max Phones 919"/>
    <s v="Second Class"/>
    <x v="0"/>
    <n v="0.05"/>
    <x v="805"/>
    <x v="805"/>
  </r>
  <r>
    <x v="1"/>
    <x v="10"/>
    <s v="Basic Bookcases 499"/>
    <s v="First Class"/>
    <x v="0"/>
    <n v="0"/>
    <x v="806"/>
    <x v="806"/>
  </r>
  <r>
    <x v="0"/>
    <x v="2"/>
    <s v="Basic Art 143"/>
    <s v="First Class"/>
    <x v="0"/>
    <n v="0"/>
    <x v="807"/>
    <x v="807"/>
  </r>
  <r>
    <x v="2"/>
    <x v="11"/>
    <s v="Prime Phones 338"/>
    <s v="Second Class"/>
    <x v="0"/>
    <n v="0.05"/>
    <x v="808"/>
    <x v="808"/>
  </r>
  <r>
    <x v="0"/>
    <x v="7"/>
    <s v="Smart Labels 814"/>
    <s v="Second Class"/>
    <x v="0"/>
    <n v="0"/>
    <x v="809"/>
    <x v="809"/>
  </r>
  <r>
    <x v="0"/>
    <x v="0"/>
    <s v="Prime Paper 812"/>
    <s v="First Class"/>
    <x v="0"/>
    <n v="0.25"/>
    <x v="810"/>
    <x v="810"/>
  </r>
  <r>
    <x v="0"/>
    <x v="0"/>
    <s v="Pro Paper 355"/>
    <s v="Same Day"/>
    <x v="0"/>
    <n v="0"/>
    <x v="811"/>
    <x v="811"/>
  </r>
  <r>
    <x v="2"/>
    <x v="11"/>
    <s v="Basic Phones 398"/>
    <s v="Standard Class"/>
    <x v="0"/>
    <n v="0.1"/>
    <x v="812"/>
    <x v="812"/>
  </r>
  <r>
    <x v="1"/>
    <x v="4"/>
    <s v="Classic Chairs 204"/>
    <s v="Same Day"/>
    <x v="0"/>
    <n v="0"/>
    <x v="813"/>
    <x v="813"/>
  </r>
  <r>
    <x v="0"/>
    <x v="2"/>
    <s v="Max Art 339"/>
    <s v="Standard Class"/>
    <x v="0"/>
    <n v="0.25"/>
    <x v="814"/>
    <x v="814"/>
  </r>
  <r>
    <x v="2"/>
    <x v="12"/>
    <s v="Smart Machines 581"/>
    <s v="First Class"/>
    <x v="0"/>
    <n v="0.15"/>
    <x v="815"/>
    <x v="815"/>
  </r>
  <r>
    <x v="2"/>
    <x v="11"/>
    <s v="Prime Phones 482"/>
    <s v="First Class"/>
    <x v="0"/>
    <s v="invalid"/>
    <x v="2"/>
    <x v="2"/>
  </r>
  <r>
    <x v="0"/>
    <x v="2"/>
    <s v="Pro Art 588"/>
    <s v="First Class"/>
    <x v="0"/>
    <n v="0"/>
    <x v="816"/>
    <x v="816"/>
  </r>
  <r>
    <x v="1"/>
    <x v="1"/>
    <s v="Eco Tables 792"/>
    <s v="First Class"/>
    <x v="0"/>
    <n v="0.25"/>
    <x v="817"/>
    <x v="817"/>
  </r>
  <r>
    <x v="1"/>
    <x v="10"/>
    <s v="Prime Bookcases 177"/>
    <s v="Standard Class"/>
    <x v="0"/>
    <n v="0"/>
    <x v="818"/>
    <x v="818"/>
  </r>
  <r>
    <x v="1"/>
    <x v="1"/>
    <s v="Pro Tables 828"/>
    <s v="Second Class"/>
    <x v="0"/>
    <n v="0.2"/>
    <x v="819"/>
    <x v="819"/>
  </r>
  <r>
    <x v="1"/>
    <x v="3"/>
    <s v="Elite Furnishings 480"/>
    <s v="Second Class"/>
    <x v="0"/>
    <n v="0.25"/>
    <x v="820"/>
    <x v="820"/>
  </r>
  <r>
    <x v="1"/>
    <x v="10"/>
    <s v="Prime Bookcases 755"/>
    <s v="Standard Class"/>
    <x v="0"/>
    <n v="0.2"/>
    <x v="821"/>
    <x v="821"/>
  </r>
  <r>
    <x v="0"/>
    <x v="0"/>
    <s v="Prime Paper 317"/>
    <s v="First Class"/>
    <x v="0"/>
    <n v="0"/>
    <x v="822"/>
    <x v="822"/>
  </r>
  <r>
    <x v="2"/>
    <x v="5"/>
    <s v="Classic Accessories 933"/>
    <s v="First Class"/>
    <x v="0"/>
    <n v="0.2"/>
    <x v="823"/>
    <x v="823"/>
  </r>
  <r>
    <x v="1"/>
    <x v="1"/>
    <s v="Smart Tables 513"/>
    <s v="Second Class"/>
    <x v="0"/>
    <n v="0.15"/>
    <x v="824"/>
    <x v="824"/>
  </r>
  <r>
    <x v="2"/>
    <x v="5"/>
    <s v="Elite Accessories 708"/>
    <s v="Same Day"/>
    <x v="0"/>
    <n v="0.2"/>
    <x v="825"/>
    <x v="825"/>
  </r>
  <r>
    <x v="1"/>
    <x v="10"/>
    <s v="Max Bookcases 381"/>
    <s v="Second Class"/>
    <x v="0"/>
    <n v="0.05"/>
    <x v="826"/>
    <x v="826"/>
  </r>
  <r>
    <x v="0"/>
    <x v="7"/>
    <s v="Classic Labels 215"/>
    <s v="Second Class"/>
    <x v="0"/>
    <n v="0.25"/>
    <x v="827"/>
    <x v="827"/>
  </r>
  <r>
    <x v="0"/>
    <x v="8"/>
    <s v="Classic Storage 918"/>
    <s v="Standard Class"/>
    <x v="0"/>
    <s v="invalid"/>
    <x v="2"/>
    <x v="2"/>
  </r>
  <r>
    <x v="0"/>
    <x v="8"/>
    <s v="Max Storage 223"/>
    <s v="First Class"/>
    <x v="0"/>
    <n v="0.25"/>
    <x v="828"/>
    <x v="828"/>
  </r>
  <r>
    <x v="2"/>
    <x v="5"/>
    <s v="Basic Accessories 602"/>
    <s v="Second Class"/>
    <x v="0"/>
    <n v="0"/>
    <x v="829"/>
    <x v="829"/>
  </r>
  <r>
    <x v="2"/>
    <x v="11"/>
    <s v="Elite Phones 394"/>
    <s v="Standard Class"/>
    <x v="0"/>
    <n v="0.05"/>
    <x v="830"/>
    <x v="830"/>
  </r>
  <r>
    <x v="0"/>
    <x v="8"/>
    <s v="Classic Storage 194"/>
    <s v="Second Class"/>
    <x v="0"/>
    <n v="0.05"/>
    <x v="831"/>
    <x v="831"/>
  </r>
  <r>
    <x v="1"/>
    <x v="3"/>
    <s v="Smart Furnishings 892"/>
    <s v="Same Day"/>
    <x v="0"/>
    <n v="0.2"/>
    <x v="832"/>
    <x v="832"/>
  </r>
  <r>
    <x v="0"/>
    <x v="9"/>
    <s v="Pro Binders 488"/>
    <s v="First Class"/>
    <x v="0"/>
    <n v="0"/>
    <x v="833"/>
    <x v="833"/>
  </r>
  <r>
    <x v="1"/>
    <x v="3"/>
    <s v="Prime Furnishings 679"/>
    <s v="Same Day"/>
    <x v="0"/>
    <n v="0"/>
    <x v="834"/>
    <x v="834"/>
  </r>
  <r>
    <x v="2"/>
    <x v="11"/>
    <s v="Smart Phones 158"/>
    <s v="First Class"/>
    <x v="0"/>
    <n v="0"/>
    <x v="835"/>
    <x v="835"/>
  </r>
  <r>
    <x v="0"/>
    <x v="7"/>
    <s v="Classic Labels 218"/>
    <s v="Second Class"/>
    <x v="0"/>
    <n v="0"/>
    <x v="836"/>
    <x v="836"/>
  </r>
  <r>
    <x v="1"/>
    <x v="10"/>
    <s v="Smart Bookcases 552"/>
    <s v="First Class"/>
    <x v="0"/>
    <n v="0.2"/>
    <x v="837"/>
    <x v="837"/>
  </r>
  <r>
    <x v="2"/>
    <x v="5"/>
    <s v="Eco Accessories 389"/>
    <s v="Same Day"/>
    <x v="0"/>
    <n v="0.25"/>
    <x v="838"/>
    <x v="838"/>
  </r>
  <r>
    <x v="0"/>
    <x v="8"/>
    <s v="Elite Storage 187"/>
    <s v="Same Day"/>
    <x v="0"/>
    <n v="0.05"/>
    <x v="839"/>
    <x v="839"/>
  </r>
  <r>
    <x v="1"/>
    <x v="4"/>
    <s v="Max Chairs 487"/>
    <s v="Same Day"/>
    <x v="0"/>
    <n v="0.1"/>
    <x v="840"/>
    <x v="840"/>
  </r>
  <r>
    <x v="1"/>
    <x v="1"/>
    <s v="Max Tables 281"/>
    <s v="Standard Class"/>
    <x v="0"/>
    <n v="0.15"/>
    <x v="841"/>
    <x v="841"/>
  </r>
  <r>
    <x v="2"/>
    <x v="5"/>
    <s v="Pro Accessories 325"/>
    <s v="First Class"/>
    <x v="0"/>
    <n v="0"/>
    <x v="842"/>
    <x v="842"/>
  </r>
  <r>
    <x v="1"/>
    <x v="3"/>
    <s v="Prime Furnishings 178"/>
    <s v="Standard Class"/>
    <x v="0"/>
    <n v="0.2"/>
    <x v="843"/>
    <x v="843"/>
  </r>
  <r>
    <x v="0"/>
    <x v="8"/>
    <s v="Elite Storage 144"/>
    <s v="Second Class"/>
    <x v="0"/>
    <n v="0.1"/>
    <x v="844"/>
    <x v="844"/>
  </r>
  <r>
    <x v="0"/>
    <x v="0"/>
    <s v="Elite Paper 309"/>
    <s v="Standard Class"/>
    <x v="0"/>
    <n v="0.05"/>
    <x v="845"/>
    <x v="845"/>
  </r>
  <r>
    <x v="2"/>
    <x v="6"/>
    <s v="Elite Copiers 752"/>
    <s v="First Class"/>
    <x v="0"/>
    <n v="0.2"/>
    <x v="846"/>
    <x v="846"/>
  </r>
  <r>
    <x v="1"/>
    <x v="4"/>
    <s v="Pro Chairs 316"/>
    <s v="First Class"/>
    <x v="0"/>
    <n v="0"/>
    <x v="847"/>
    <x v="847"/>
  </r>
  <r>
    <x v="0"/>
    <x v="8"/>
    <s v="Max Storage 438"/>
    <s v="Second Class"/>
    <x v="0"/>
    <n v="0.1"/>
    <x v="848"/>
    <x v="848"/>
  </r>
  <r>
    <x v="0"/>
    <x v="0"/>
    <s v="Basic Paper 904"/>
    <s v="First Class"/>
    <x v="0"/>
    <n v="0.05"/>
    <x v="849"/>
    <x v="849"/>
  </r>
  <r>
    <x v="0"/>
    <x v="2"/>
    <s v="Smart Art 990"/>
    <s v="Standard Class"/>
    <x v="0"/>
    <n v="0.15"/>
    <x v="850"/>
    <x v="850"/>
  </r>
  <r>
    <x v="1"/>
    <x v="4"/>
    <s v="Basic Chairs 327"/>
    <s v="First Class"/>
    <x v="0"/>
    <n v="0"/>
    <x v="851"/>
    <x v="851"/>
  </r>
  <r>
    <x v="2"/>
    <x v="6"/>
    <s v="Eco Copiers 987"/>
    <s v="Second Class"/>
    <x v="0"/>
    <n v="0.25"/>
    <x v="852"/>
    <x v="852"/>
  </r>
  <r>
    <x v="2"/>
    <x v="5"/>
    <s v="Basic Accessories 607"/>
    <s v="Standard Class"/>
    <x v="0"/>
    <n v="0"/>
    <x v="853"/>
    <x v="853"/>
  </r>
  <r>
    <x v="0"/>
    <x v="8"/>
    <s v="Classic Storage 211"/>
    <s v="Same Day"/>
    <x v="0"/>
    <n v="0"/>
    <x v="854"/>
    <x v="854"/>
  </r>
  <r>
    <x v="0"/>
    <x v="8"/>
    <s v="Eco Storage 783"/>
    <s v="Same Day"/>
    <x v="0"/>
    <n v="0.15"/>
    <x v="855"/>
    <x v="855"/>
  </r>
  <r>
    <x v="1"/>
    <x v="1"/>
    <s v="Pro Tables 866"/>
    <s v="Standard Class"/>
    <x v="0"/>
    <n v="0.25"/>
    <x v="856"/>
    <x v="856"/>
  </r>
  <r>
    <x v="2"/>
    <x v="5"/>
    <s v="Max Accessories 541"/>
    <s v="First Class"/>
    <x v="0"/>
    <n v="0.15"/>
    <x v="857"/>
    <x v="857"/>
  </r>
  <r>
    <x v="0"/>
    <x v="2"/>
    <s v="Prime Art 596"/>
    <s v="Standard Class"/>
    <x v="0"/>
    <n v="0"/>
    <x v="858"/>
    <x v="858"/>
  </r>
  <r>
    <x v="0"/>
    <x v="2"/>
    <s v="Pro Art 620"/>
    <s v="Standard Class"/>
    <x v="0"/>
    <n v="0.1"/>
    <x v="859"/>
    <x v="859"/>
  </r>
  <r>
    <x v="0"/>
    <x v="8"/>
    <s v="Prime Storage 806"/>
    <s v="First Class"/>
    <x v="0"/>
    <n v="0.25"/>
    <x v="860"/>
    <x v="860"/>
  </r>
  <r>
    <x v="0"/>
    <x v="8"/>
    <s v="Smart Storage 288"/>
    <s v="Standard Class"/>
    <x v="0"/>
    <n v="0.2"/>
    <x v="861"/>
    <x v="861"/>
  </r>
  <r>
    <x v="2"/>
    <x v="12"/>
    <s v="Elite Machines 281"/>
    <s v="Same Day"/>
    <x v="0"/>
    <n v="0.1"/>
    <x v="862"/>
    <x v="862"/>
  </r>
  <r>
    <x v="2"/>
    <x v="6"/>
    <s v="Elite Copiers 221"/>
    <s v="Same Day"/>
    <x v="0"/>
    <n v="0.2"/>
    <x v="863"/>
    <x v="863"/>
  </r>
  <r>
    <x v="1"/>
    <x v="1"/>
    <s v="Max Tables 291"/>
    <s v="Second Class"/>
    <x v="0"/>
    <n v="0.05"/>
    <x v="864"/>
    <x v="864"/>
  </r>
  <r>
    <x v="1"/>
    <x v="1"/>
    <s v="Classic Tables 638"/>
    <s v="First Class"/>
    <x v="0"/>
    <n v="0"/>
    <x v="865"/>
    <x v="865"/>
  </r>
  <r>
    <x v="1"/>
    <x v="4"/>
    <s v="Basic Chairs 212"/>
    <s v="Same Day"/>
    <x v="0"/>
    <n v="0.15"/>
    <x v="866"/>
    <x v="866"/>
  </r>
  <r>
    <x v="2"/>
    <x v="6"/>
    <s v="Max Copiers 121"/>
    <s v="Second Class"/>
    <x v="0"/>
    <n v="0.05"/>
    <x v="867"/>
    <x v="867"/>
  </r>
  <r>
    <x v="0"/>
    <x v="0"/>
    <s v="Eco Paper 747"/>
    <s v="First Class"/>
    <x v="0"/>
    <n v="0.05"/>
    <x v="868"/>
    <x v="868"/>
  </r>
  <r>
    <x v="1"/>
    <x v="1"/>
    <s v="Classic Tables 535"/>
    <s v="First Class"/>
    <x v="0"/>
    <n v="0.2"/>
    <x v="869"/>
    <x v="869"/>
  </r>
  <r>
    <x v="1"/>
    <x v="4"/>
    <s v="Elite Chairs 971"/>
    <s v="First Class"/>
    <x v="0"/>
    <n v="0.25"/>
    <x v="870"/>
    <x v="870"/>
  </r>
  <r>
    <x v="2"/>
    <x v="6"/>
    <s v="Prime Copiers 557"/>
    <s v="Second Class"/>
    <x v="0"/>
    <n v="0.1"/>
    <x v="484"/>
    <x v="484"/>
  </r>
  <r>
    <x v="2"/>
    <x v="6"/>
    <s v="Eco Copiers 268"/>
    <s v="Same Day"/>
    <x v="0"/>
    <n v="0.25"/>
    <x v="578"/>
    <x v="578"/>
  </r>
  <r>
    <x v="0"/>
    <x v="8"/>
    <s v="Classic Storage 291"/>
    <s v="First Class"/>
    <x v="0"/>
    <n v="0.15"/>
    <x v="669"/>
    <x v="669"/>
  </r>
  <r>
    <x v="1"/>
    <x v="10"/>
    <s v="Max Bookcases 738"/>
    <s v="missing value"/>
    <x v="0"/>
    <n v="0.15"/>
    <x v="679"/>
    <x v="679"/>
  </r>
  <r>
    <x v="1"/>
    <x v="4"/>
    <s v="Basic Chairs 141"/>
    <s v="Second Class"/>
    <x v="0"/>
    <s v="invalid"/>
    <x v="2"/>
    <x v="2"/>
  </r>
  <r>
    <x v="1"/>
    <x v="3"/>
    <s v="Smart Furnishings 721"/>
    <s v="First Class"/>
    <x v="0"/>
    <n v="0"/>
    <x v="611"/>
    <x v="611"/>
  </r>
  <r>
    <x v="2"/>
    <x v="12"/>
    <s v="Pro Machines 563"/>
    <s v="Same Day"/>
    <x v="0"/>
    <n v="0.15"/>
    <x v="703"/>
    <x v="703"/>
  </r>
  <r>
    <x v="2"/>
    <x v="11"/>
    <s v="Prime Phones 419"/>
    <s v="Second Class"/>
    <x v="0"/>
    <n v="0.15"/>
    <x v="128"/>
    <x v="128"/>
  </r>
  <r>
    <x v="0"/>
    <x v="2"/>
    <s v="Pro Art 447"/>
    <s v="Same Day"/>
    <x v="0"/>
    <n v="0.2"/>
    <x v="693"/>
    <x v="693"/>
  </r>
  <r>
    <x v="0"/>
    <x v="0"/>
    <s v="Elite Paper 308"/>
    <s v="Same Day"/>
    <x v="0"/>
    <n v="0.25"/>
    <x v="385"/>
    <x v="385"/>
  </r>
  <r>
    <x v="2"/>
    <x v="6"/>
    <s v="Max Copiers 970"/>
    <s v="Same Day"/>
    <x v="0"/>
    <n v="0"/>
    <x v="119"/>
    <x v="119"/>
  </r>
  <r>
    <x v="1"/>
    <x v="3"/>
    <s v="Prime Furnishings 781"/>
    <s v="Standard Class"/>
    <x v="0"/>
    <n v="0.15"/>
    <x v="241"/>
    <x v="241"/>
  </r>
  <r>
    <x v="0"/>
    <x v="8"/>
    <s v="Basic Storage 360"/>
    <s v="Same Day"/>
    <x v="0"/>
    <n v="0"/>
    <x v="363"/>
    <x v="363"/>
  </r>
  <r>
    <x v="2"/>
    <x v="6"/>
    <s v="Prime Copiers 961"/>
    <s v="Standard Class"/>
    <x v="0"/>
    <n v="0"/>
    <x v="270"/>
    <x v="270"/>
  </r>
  <r>
    <x v="1"/>
    <x v="4"/>
    <s v="Smart Chairs 259"/>
    <s v="First Class"/>
    <x v="0"/>
    <n v="0"/>
    <x v="686"/>
    <x v="686"/>
  </r>
  <r>
    <x v="0"/>
    <x v="2"/>
    <s v="Pro Art 287"/>
    <s v="Second Class"/>
    <x v="0"/>
    <n v="0.1"/>
    <x v="530"/>
    <x v="530"/>
  </r>
  <r>
    <x v="1"/>
    <x v="10"/>
    <s v="Prime Bookcases 755"/>
    <s v="Standard Class"/>
    <x v="0"/>
    <n v="0.2"/>
    <x v="821"/>
    <x v="821"/>
  </r>
  <r>
    <x v="0"/>
    <x v="8"/>
    <s v="Basic Storage 321"/>
    <s v="Second Class"/>
    <x v="0"/>
    <n v="0.05"/>
    <x v="122"/>
    <x v="122"/>
  </r>
  <r>
    <x v="2"/>
    <x v="11"/>
    <s v="Smart Phones 967"/>
    <s v="Same Day"/>
    <x v="0"/>
    <n v="0.15"/>
    <x v="653"/>
    <x v="653"/>
  </r>
  <r>
    <x v="2"/>
    <x v="6"/>
    <s v="Eco Copiers 790"/>
    <s v="Standard Class"/>
    <x v="0"/>
    <n v="0.15"/>
    <x v="6"/>
    <x v="6"/>
  </r>
  <r>
    <x v="0"/>
    <x v="9"/>
    <s v="Smart Binders 939"/>
    <s v="Second Class"/>
    <x v="0"/>
    <n v="0"/>
    <x v="318"/>
    <x v="318"/>
  </r>
  <r>
    <x v="2"/>
    <x v="6"/>
    <s v="Smart Copiers 556"/>
    <s v="First Class"/>
    <x v="0"/>
    <n v="0.15"/>
    <x v="88"/>
    <x v="88"/>
  </r>
  <r>
    <x v="0"/>
    <x v="8"/>
    <s v="Prime Storage 951"/>
    <s v="Second Class"/>
    <x v="0"/>
    <n v="0"/>
    <x v="359"/>
    <x v="359"/>
  </r>
  <r>
    <x v="1"/>
    <x v="3"/>
    <s v="Classic Furnishings 109"/>
    <s v="Standard Class"/>
    <x v="0"/>
    <n v="0.25"/>
    <x v="216"/>
    <x v="216"/>
  </r>
  <r>
    <x v="0"/>
    <x v="7"/>
    <s v="Elite Labels 544"/>
    <s v="Standard Class"/>
    <x v="0"/>
    <n v="0.15"/>
    <x v="302"/>
    <x v="302"/>
  </r>
  <r>
    <x v="2"/>
    <x v="6"/>
    <s v="Eco Copiers 102"/>
    <s v="Standard Class"/>
    <x v="0"/>
    <n v="0"/>
    <x v="165"/>
    <x v="165"/>
  </r>
  <r>
    <x v="2"/>
    <x v="5"/>
    <s v="Prime Accessories 236"/>
    <s v="First Class"/>
    <x v="0"/>
    <n v="0.2"/>
    <x v="408"/>
    <x v="408"/>
  </r>
  <r>
    <x v="2"/>
    <x v="11"/>
    <s v="Prime Phones 895"/>
    <s v="missing value"/>
    <x v="0"/>
    <n v="0"/>
    <x v="551"/>
    <x v="551"/>
  </r>
  <r>
    <x v="2"/>
    <x v="11"/>
    <s v="Classic Phones 142"/>
    <s v="Second Class"/>
    <x v="0"/>
    <n v="0.15"/>
    <x v="137"/>
    <x v="137"/>
  </r>
  <r>
    <x v="1"/>
    <x v="4"/>
    <s v="Eco Chairs 314"/>
    <s v="First Class"/>
    <x v="0"/>
    <n v="0.1"/>
    <x v="263"/>
    <x v="263"/>
  </r>
  <r>
    <x v="2"/>
    <x v="6"/>
    <s v="Max Copiers 970"/>
    <s v="Same Day"/>
    <x v="0"/>
    <n v="0"/>
    <x v="119"/>
    <x v="119"/>
  </r>
  <r>
    <x v="0"/>
    <x v="0"/>
    <s v="Prime Paper 559"/>
    <s v="First Class"/>
    <x v="0"/>
    <n v="0.1"/>
    <x v="322"/>
    <x v="322"/>
  </r>
  <r>
    <x v="3"/>
    <x v="13"/>
    <m/>
    <m/>
    <x v="0"/>
    <m/>
    <x v="871"/>
    <x v="871"/>
  </r>
  <r>
    <x v="3"/>
    <x v="13"/>
    <m/>
    <m/>
    <x v="0"/>
    <m/>
    <x v="871"/>
    <x v="8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C04E3-0E53-43BB-B4A4-03EC7A49FB15}" name="PivotTable6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8:L28" firstHeaderRow="0" firstDataRow="1" firstDataCol="2"/>
  <pivotFields count="8">
    <pivotField axis="axisRow" compact="0" subtotalTop="0" showAll="0">
      <items count="5">
        <item x="1"/>
        <item x="0"/>
        <item x="2"/>
        <item h="1" x="3"/>
        <item t="default"/>
      </items>
    </pivotField>
    <pivotField axis="axisRow" subtotalTop="0" multipleItemSelectionAllowed="1" showAll="0" sortType="ascending" defaultSubtotal="0">
      <items count="14">
        <item sd="0" x="5"/>
        <item sd="0" x="2"/>
        <item sd="0" x="9"/>
        <item sd="0" x="10"/>
        <item sd="0" x="4"/>
        <item sd="0" x="6"/>
        <item sd="0" x="3"/>
        <item sd="0" x="7"/>
        <item sd="0" x="12"/>
        <item sd="0" x="0"/>
        <item x="11"/>
        <item sd="0" x="8"/>
        <item sd="0" x="1"/>
        <item h="1" x="13"/>
      </items>
    </pivotField>
    <pivotField showAll="0"/>
    <pivotField showAll="0"/>
    <pivotField showAll="0">
      <items count="2">
        <item x="0"/>
        <item t="default" sd="0"/>
      </items>
    </pivotField>
    <pivotField showAll="0"/>
    <pivotField dataField="1" showAll="0">
      <items count="873">
        <item x="687"/>
        <item x="27"/>
        <item x="643"/>
        <item x="307"/>
        <item x="819"/>
        <item x="433"/>
        <item x="473"/>
        <item x="205"/>
        <item x="512"/>
        <item x="560"/>
        <item x="524"/>
        <item x="199"/>
        <item x="196"/>
        <item x="256"/>
        <item x="118"/>
        <item x="793"/>
        <item x="237"/>
        <item x="553"/>
        <item x="863"/>
        <item x="12"/>
        <item x="83"/>
        <item x="800"/>
        <item x="119"/>
        <item x="58"/>
        <item x="224"/>
        <item x="542"/>
        <item x="662"/>
        <item x="467"/>
        <item x="207"/>
        <item x="637"/>
        <item x="377"/>
        <item x="112"/>
        <item x="698"/>
        <item x="317"/>
        <item x="258"/>
        <item x="790"/>
        <item x="105"/>
        <item x="564"/>
        <item x="481"/>
        <item x="755"/>
        <item x="125"/>
        <item x="458"/>
        <item x="741"/>
        <item x="81"/>
        <item x="59"/>
        <item x="266"/>
        <item x="417"/>
        <item x="201"/>
        <item x="670"/>
        <item x="651"/>
        <item x="678"/>
        <item x="461"/>
        <item x="127"/>
        <item x="529"/>
        <item x="809"/>
        <item x="389"/>
        <item x="192"/>
        <item x="864"/>
        <item x="540"/>
        <item x="507"/>
        <item x="756"/>
        <item x="215"/>
        <item x="488"/>
        <item x="232"/>
        <item x="382"/>
        <item x="102"/>
        <item x="604"/>
        <item x="619"/>
        <item x="55"/>
        <item x="211"/>
        <item x="547"/>
        <item x="820"/>
        <item x="404"/>
        <item x="754"/>
        <item x="612"/>
        <item x="145"/>
        <item x="129"/>
        <item x="185"/>
        <item x="116"/>
        <item x="723"/>
        <item x="811"/>
        <item x="219"/>
        <item x="544"/>
        <item x="618"/>
        <item x="641"/>
        <item x="68"/>
        <item x="569"/>
        <item x="397"/>
        <item x="758"/>
        <item x="180"/>
        <item x="501"/>
        <item x="854"/>
        <item x="108"/>
        <item x="197"/>
        <item x="856"/>
        <item x="639"/>
        <item x="821"/>
        <item x="625"/>
        <item x="156"/>
        <item x="252"/>
        <item x="311"/>
        <item x="280"/>
        <item x="796"/>
        <item x="168"/>
        <item x="719"/>
        <item x="200"/>
        <item x="373"/>
        <item x="552"/>
        <item x="179"/>
        <item x="630"/>
        <item x="423"/>
        <item x="267"/>
        <item x="273"/>
        <item x="405"/>
        <item x="739"/>
        <item x="427"/>
        <item x="457"/>
        <item x="413"/>
        <item x="577"/>
        <item x="823"/>
        <item x="348"/>
        <item x="557"/>
        <item x="115"/>
        <item x="681"/>
        <item x="520"/>
        <item x="410"/>
        <item x="839"/>
        <item x="260"/>
        <item x="518"/>
        <item x="475"/>
        <item x="778"/>
        <item x="287"/>
        <item x="371"/>
        <item x="218"/>
        <item x="702"/>
        <item x="384"/>
        <item x="48"/>
        <item x="635"/>
        <item x="447"/>
        <item x="161"/>
        <item x="633"/>
        <item x="354"/>
        <item x="106"/>
        <item x="563"/>
        <item x="514"/>
        <item x="712"/>
        <item x="75"/>
        <item x="464"/>
        <item x="149"/>
        <item x="717"/>
        <item x="497"/>
        <item x="394"/>
        <item x="420"/>
        <item x="243"/>
        <item x="152"/>
        <item x="296"/>
        <item x="710"/>
        <item x="292"/>
        <item x="784"/>
        <item x="159"/>
        <item x="84"/>
        <item x="679"/>
        <item x="645"/>
        <item x="866"/>
        <item x="474"/>
        <item x="89"/>
        <item x="110"/>
        <item x="757"/>
        <item x="261"/>
        <item x="579"/>
        <item x="480"/>
        <item x="342"/>
        <item x="406"/>
        <item x="299"/>
        <item x="450"/>
        <item x="5"/>
        <item x="163"/>
        <item x="363"/>
        <item x="785"/>
        <item x="24"/>
        <item x="31"/>
        <item x="727"/>
        <item x="361"/>
        <item x="704"/>
        <item x="728"/>
        <item x="787"/>
        <item x="126"/>
        <item x="677"/>
        <item x="308"/>
        <item x="220"/>
        <item x="760"/>
        <item x="798"/>
        <item x="589"/>
        <item x="82"/>
        <item x="142"/>
        <item x="766"/>
        <item x="454"/>
        <item x="370"/>
        <item x="448"/>
        <item x="548"/>
        <item x="690"/>
        <item x="722"/>
        <item x="422"/>
        <item x="652"/>
        <item x="466"/>
        <item x="541"/>
        <item x="26"/>
        <item x="780"/>
        <item x="320"/>
        <item x="7"/>
        <item x="41"/>
        <item x="779"/>
        <item x="138"/>
        <item x="28"/>
        <item x="827"/>
        <item x="304"/>
        <item x="62"/>
        <item x="230"/>
        <item x="559"/>
        <item x="584"/>
        <item x="440"/>
        <item x="338"/>
        <item x="419"/>
        <item x="385"/>
        <item x="190"/>
        <item x="870"/>
        <item x="72"/>
        <item x="428"/>
        <item x="259"/>
        <item x="424"/>
        <item x="396"/>
        <item x="578"/>
        <item x="562"/>
        <item x="430"/>
        <item x="598"/>
        <item x="53"/>
        <item x="52"/>
        <item x="130"/>
        <item x="744"/>
        <item x="444"/>
        <item x="665"/>
        <item x="383"/>
        <item x="867"/>
        <item x="263"/>
        <item x="816"/>
        <item x="671"/>
        <item x="788"/>
        <item x="855"/>
        <item x="113"/>
        <item x="711"/>
        <item x="567"/>
        <item x="848"/>
        <item x="415"/>
        <item x="493"/>
        <item x="379"/>
        <item x="746"/>
        <item x="825"/>
        <item x="664"/>
        <item x="268"/>
        <item x="478"/>
        <item x="693"/>
        <item x="812"/>
        <item x="401"/>
        <item x="93"/>
        <item x="591"/>
        <item x="137"/>
        <item x="111"/>
        <item x="644"/>
        <item x="672"/>
        <item x="555"/>
        <item x="153"/>
        <item x="18"/>
        <item x="136"/>
        <item x="606"/>
        <item x="807"/>
        <item x="234"/>
        <item x="291"/>
        <item x="586"/>
        <item x="63"/>
        <item x="534"/>
        <item x="476"/>
        <item x="387"/>
        <item x="407"/>
        <item x="14"/>
        <item x="685"/>
        <item x="203"/>
        <item x="269"/>
        <item x="732"/>
        <item x="831"/>
        <item x="198"/>
        <item x="35"/>
        <item x="78"/>
        <item x="789"/>
        <item x="764"/>
        <item x="731"/>
        <item x="840"/>
        <item x="121"/>
        <item x="777"/>
        <item x="696"/>
        <item x="343"/>
        <item x="781"/>
        <item x="123"/>
        <item x="314"/>
        <item x="276"/>
        <item x="536"/>
        <item x="484"/>
        <item x="369"/>
        <item x="844"/>
        <item x="107"/>
        <item x="759"/>
        <item x="465"/>
        <item x="773"/>
        <item x="210"/>
        <item x="272"/>
        <item x="470"/>
        <item x="838"/>
        <item x="661"/>
        <item x="546"/>
        <item x="590"/>
        <item x="274"/>
        <item x="692"/>
        <item x="244"/>
        <item x="155"/>
        <item x="61"/>
        <item x="459"/>
        <item x="213"/>
        <item x="869"/>
        <item x="37"/>
        <item x="345"/>
        <item x="751"/>
        <item x="627"/>
        <item x="646"/>
        <item x="616"/>
        <item x="51"/>
        <item x="165"/>
        <item x="217"/>
        <item x="175"/>
        <item x="607"/>
        <item x="554"/>
        <item x="177"/>
        <item x="600"/>
        <item x="782"/>
        <item x="79"/>
        <item x="332"/>
        <item x="164"/>
        <item x="249"/>
        <item x="245"/>
        <item x="594"/>
        <item x="543"/>
        <item x="233"/>
        <item x="642"/>
        <item x="381"/>
        <item x="122"/>
        <item x="504"/>
        <item x="6"/>
        <item x="147"/>
        <item x="860"/>
        <item x="391"/>
        <item x="736"/>
        <item x="495"/>
        <item x="535"/>
        <item x="344"/>
        <item x="286"/>
        <item x="657"/>
        <item x="80"/>
        <item x="255"/>
        <item x="239"/>
        <item x="850"/>
        <item x="494"/>
        <item x="235"/>
        <item x="242"/>
        <item x="9"/>
        <item x="376"/>
        <item x="471"/>
        <item x="357"/>
        <item x="418"/>
        <item x="647"/>
        <item x="416"/>
        <item x="350"/>
        <item x="86"/>
        <item x="21"/>
        <item x="290"/>
        <item x="114"/>
        <item x="813"/>
        <item x="620"/>
        <item x="183"/>
        <item x="409"/>
        <item x="581"/>
        <item x="248"/>
        <item x="302"/>
        <item x="96"/>
        <item x="277"/>
        <item x="802"/>
        <item x="453"/>
        <item x="421"/>
        <item x="599"/>
        <item x="479"/>
        <item x="32"/>
        <item x="752"/>
        <item x="47"/>
        <item x="25"/>
        <item x="628"/>
        <item x="868"/>
        <item x="456"/>
        <item x="39"/>
        <item x="349"/>
        <item x="833"/>
        <item x="309"/>
        <item x="202"/>
        <item x="64"/>
        <item x="761"/>
        <item x="455"/>
        <item x="324"/>
        <item x="393"/>
        <item x="71"/>
        <item x="822"/>
        <item x="709"/>
        <item x="768"/>
        <item x="1"/>
        <item x="490"/>
        <item x="23"/>
        <item x="188"/>
        <item x="783"/>
        <item x="684"/>
        <item x="278"/>
        <item x="438"/>
        <item x="40"/>
        <item x="815"/>
        <item x="735"/>
        <item x="566"/>
        <item x="328"/>
        <item x="17"/>
        <item x="853"/>
        <item x="358"/>
        <item x="469"/>
        <item x="333"/>
        <item x="146"/>
        <item x="150"/>
        <item x="617"/>
        <item x="375"/>
        <item x="748"/>
        <item x="658"/>
        <item x="675"/>
        <item x="100"/>
        <item x="364"/>
        <item x="319"/>
        <item x="386"/>
        <item x="659"/>
        <item x="73"/>
        <item x="101"/>
        <item x="392"/>
        <item x="818"/>
        <item x="365"/>
        <item x="836"/>
        <item x="103"/>
        <item x="532"/>
        <item x="700"/>
        <item x="775"/>
        <item x="683"/>
        <item x="743"/>
        <item x="799"/>
        <item x="791"/>
        <item x="279"/>
        <item x="169"/>
        <item x="720"/>
        <item x="20"/>
        <item x="3"/>
        <item x="366"/>
        <item x="499"/>
        <item x="725"/>
        <item x="603"/>
        <item x="492"/>
        <item x="826"/>
        <item x="667"/>
        <item x="745"/>
        <item x="676"/>
        <item x="443"/>
        <item x="634"/>
        <item x="621"/>
        <item x="446"/>
        <item x="522"/>
        <item x="776"/>
        <item x="221"/>
        <item x="472"/>
        <item x="182"/>
        <item x="533"/>
        <item x="135"/>
        <item x="585"/>
        <item x="186"/>
        <item x="666"/>
        <item x="834"/>
        <item x="352"/>
        <item x="708"/>
        <item x="843"/>
        <item x="715"/>
        <item x="362"/>
        <item x="550"/>
        <item x="240"/>
        <item x="270"/>
        <item x="355"/>
        <item x="489"/>
        <item x="716"/>
        <item x="76"/>
        <item x="49"/>
        <item x="613"/>
        <item x="545"/>
        <item x="703"/>
        <item x="714"/>
        <item x="765"/>
        <item x="395"/>
        <item x="34"/>
        <item x="284"/>
        <item x="374"/>
        <item x="187"/>
        <item x="810"/>
        <item x="747"/>
        <item x="399"/>
        <item x="88"/>
        <item x="674"/>
        <item x="54"/>
        <item x="97"/>
        <item x="212"/>
        <item x="174"/>
        <item x="516"/>
        <item x="189"/>
        <item x="11"/>
        <item x="640"/>
        <item x="770"/>
        <item x="437"/>
        <item x="686"/>
        <item x="281"/>
        <item x="523"/>
        <item x="236"/>
        <item x="193"/>
        <item x="729"/>
        <item x="16"/>
        <item x="482"/>
        <item x="721"/>
        <item x="808"/>
        <item x="359"/>
        <item x="10"/>
        <item x="143"/>
        <item x="310"/>
        <item x="176"/>
        <item x="531"/>
        <item x="74"/>
        <item x="795"/>
        <item x="160"/>
        <item x="530"/>
        <item x="400"/>
        <item x="134"/>
        <item x="340"/>
        <item x="602"/>
        <item x="449"/>
        <item x="368"/>
        <item x="601"/>
        <item x="92"/>
        <item x="485"/>
        <item x="571"/>
        <item x="608"/>
        <item x="339"/>
        <item x="318"/>
        <item x="288"/>
        <item x="862"/>
        <item x="794"/>
        <item x="832"/>
        <item x="527"/>
        <item x="109"/>
        <item x="69"/>
        <item x="226"/>
        <item x="609"/>
        <item x="209"/>
        <item x="580"/>
        <item x="441"/>
        <item x="222"/>
        <item x="306"/>
        <item x="56"/>
        <item x="139"/>
        <item x="506"/>
        <item x="713"/>
        <item x="451"/>
        <item x="223"/>
        <item x="99"/>
        <item x="605"/>
        <item x="322"/>
        <item x="829"/>
        <item x="445"/>
        <item x="669"/>
        <item x="262"/>
        <item x="726"/>
        <item x="668"/>
        <item x="216"/>
        <item x="849"/>
        <item x="462"/>
        <item x="498"/>
        <item x="337"/>
        <item x="334"/>
        <item x="574"/>
        <item x="753"/>
        <item x="30"/>
        <item x="649"/>
        <item x="151"/>
        <item x="718"/>
        <item x="828"/>
        <item x="730"/>
        <item x="329"/>
        <item x="104"/>
        <item x="301"/>
        <item x="502"/>
        <item x="50"/>
        <item x="597"/>
        <item x="859"/>
        <item x="246"/>
        <item x="803"/>
        <item x="178"/>
        <item x="194"/>
        <item x="321"/>
        <item x="293"/>
        <item x="297"/>
        <item x="615"/>
        <item x="257"/>
        <item x="436"/>
        <item x="356"/>
        <item x="624"/>
        <item x="173"/>
        <item x="575"/>
        <item x="195"/>
        <item x="144"/>
        <item x="253"/>
        <item x="734"/>
        <item x="22"/>
        <item x="70"/>
        <item x="697"/>
        <item x="695"/>
        <item x="351"/>
        <item x="771"/>
        <item x="508"/>
        <item x="650"/>
        <item x="206"/>
        <item x="36"/>
        <item x="861"/>
        <item x="500"/>
        <item x="38"/>
        <item x="763"/>
        <item x="623"/>
        <item x="611"/>
        <item x="515"/>
        <item x="241"/>
        <item x="360"/>
        <item x="94"/>
        <item x="626"/>
        <item x="742"/>
        <item x="120"/>
        <item x="549"/>
        <item x="294"/>
        <item x="539"/>
        <item x="706"/>
        <item x="656"/>
        <item x="699"/>
        <item x="733"/>
        <item x="238"/>
        <item x="558"/>
        <item x="140"/>
        <item x="313"/>
        <item x="95"/>
        <item x="251"/>
        <item x="227"/>
        <item x="694"/>
        <item x="477"/>
        <item x="398"/>
        <item x="772"/>
        <item x="435"/>
        <item x="316"/>
        <item x="663"/>
        <item x="312"/>
        <item x="158"/>
        <item x="705"/>
        <item x="629"/>
        <item x="170"/>
        <item x="166"/>
        <item x="323"/>
        <item x="638"/>
        <item x="680"/>
        <item x="341"/>
        <item x="44"/>
        <item x="851"/>
        <item x="298"/>
        <item x="561"/>
        <item x="468"/>
        <item x="614"/>
        <item x="19"/>
        <item x="510"/>
        <item x="737"/>
        <item x="98"/>
        <item x="271"/>
        <item x="57"/>
        <item x="682"/>
        <item x="740"/>
        <item x="367"/>
        <item x="388"/>
        <item x="858"/>
        <item x="835"/>
        <item x="511"/>
        <item x="526"/>
        <item x="486"/>
        <item x="191"/>
        <item x="117"/>
        <item x="487"/>
        <item x="45"/>
        <item x="414"/>
        <item x="346"/>
        <item x="285"/>
        <item x="786"/>
        <item x="483"/>
        <item x="513"/>
        <item x="425"/>
        <item x="762"/>
        <item x="124"/>
        <item x="327"/>
        <item x="250"/>
        <item x="631"/>
        <item x="654"/>
        <item x="576"/>
        <item x="402"/>
        <item x="315"/>
        <item x="688"/>
        <item x="691"/>
        <item x="283"/>
        <item x="595"/>
        <item x="0"/>
        <item x="33"/>
        <item x="132"/>
        <item x="208"/>
        <item x="452"/>
        <item x="335"/>
        <item x="247"/>
        <item x="336"/>
        <item x="587"/>
        <item x="353"/>
        <item x="583"/>
        <item x="434"/>
        <item x="842"/>
        <item x="538"/>
        <item x="517"/>
        <item x="66"/>
        <item x="689"/>
        <item x="442"/>
        <item x="636"/>
        <item x="372"/>
        <item x="460"/>
        <item x="653"/>
        <item x="429"/>
        <item x="593"/>
        <item x="570"/>
        <item x="4"/>
        <item x="231"/>
        <item x="326"/>
        <item x="496"/>
        <item x="300"/>
        <item x="229"/>
        <item x="87"/>
        <item x="655"/>
        <item x="774"/>
        <item x="551"/>
        <item x="767"/>
        <item x="67"/>
        <item x="521"/>
        <item x="846"/>
        <item x="265"/>
        <item x="814"/>
        <item x="525"/>
        <item x="432"/>
        <item x="60"/>
        <item x="837"/>
        <item x="403"/>
        <item x="841"/>
        <item x="592"/>
        <item x="264"/>
        <item x="847"/>
        <item x="305"/>
        <item x="128"/>
        <item x="148"/>
        <item x="162"/>
        <item x="491"/>
        <item x="85"/>
        <item x="556"/>
        <item x="806"/>
        <item x="749"/>
        <item x="857"/>
        <item x="15"/>
        <item x="181"/>
        <item x="167"/>
        <item x="65"/>
        <item x="133"/>
        <item x="171"/>
        <item x="228"/>
        <item x="817"/>
        <item x="390"/>
        <item x="660"/>
        <item x="596"/>
        <item x="824"/>
        <item x="8"/>
        <item x="830"/>
        <item x="852"/>
        <item x="738"/>
        <item x="707"/>
        <item x="801"/>
        <item x="439"/>
        <item x="426"/>
        <item x="865"/>
        <item x="141"/>
        <item x="463"/>
        <item x="214"/>
        <item x="769"/>
        <item x="582"/>
        <item x="622"/>
        <item x="13"/>
        <item x="325"/>
        <item x="412"/>
        <item x="91"/>
        <item x="804"/>
        <item x="632"/>
        <item x="724"/>
        <item x="42"/>
        <item x="750"/>
        <item x="204"/>
        <item x="411"/>
        <item x="408"/>
        <item x="380"/>
        <item x="565"/>
        <item x="573"/>
        <item x="673"/>
        <item x="29"/>
        <item x="701"/>
        <item x="46"/>
        <item x="295"/>
        <item x="303"/>
        <item x="509"/>
        <item x="845"/>
        <item x="43"/>
        <item x="184"/>
        <item x="519"/>
        <item x="572"/>
        <item x="528"/>
        <item x="588"/>
        <item x="172"/>
        <item x="330"/>
        <item x="331"/>
        <item x="131"/>
        <item x="648"/>
        <item x="225"/>
        <item x="610"/>
        <item x="289"/>
        <item x="568"/>
        <item x="537"/>
        <item x="254"/>
        <item x="503"/>
        <item x="77"/>
        <item x="797"/>
        <item x="282"/>
        <item x="154"/>
        <item x="431"/>
        <item x="792"/>
        <item x="505"/>
        <item x="347"/>
        <item x="157"/>
        <item x="90"/>
        <item x="378"/>
        <item x="275"/>
        <item x="805"/>
        <item x="2"/>
        <item x="871"/>
        <item t="default"/>
      </items>
    </pivotField>
    <pivotField dataField="1" showAll="0">
      <items count="873">
        <item x="514"/>
        <item x="643"/>
        <item x="793"/>
        <item x="237"/>
        <item x="205"/>
        <item x="687"/>
        <item x="512"/>
        <item x="819"/>
        <item x="433"/>
        <item x="27"/>
        <item x="473"/>
        <item x="524"/>
        <item x="224"/>
        <item x="800"/>
        <item x="307"/>
        <item x="207"/>
        <item x="417"/>
        <item x="118"/>
        <item x="199"/>
        <item x="377"/>
        <item x="196"/>
        <item x="389"/>
        <item x="560"/>
        <item x="863"/>
        <item x="58"/>
        <item x="678"/>
        <item x="119"/>
        <item x="55"/>
        <item x="662"/>
        <item x="637"/>
        <item x="59"/>
        <item x="256"/>
        <item x="125"/>
        <item x="12"/>
        <item x="542"/>
        <item x="529"/>
        <item x="809"/>
        <item x="820"/>
        <item x="102"/>
        <item x="258"/>
        <item x="569"/>
        <item x="481"/>
        <item x="553"/>
        <item x="564"/>
        <item x="382"/>
        <item x="755"/>
        <item x="698"/>
        <item x="83"/>
        <item x="467"/>
        <item x="823"/>
        <item x="180"/>
        <item x="112"/>
        <item x="81"/>
        <item x="317"/>
        <item x="540"/>
        <item x="864"/>
        <item x="604"/>
        <item x="790"/>
        <item x="348"/>
        <item x="311"/>
        <item x="105"/>
        <item x="266"/>
        <item x="756"/>
        <item x="287"/>
        <item x="145"/>
        <item x="619"/>
        <item x="168"/>
        <item x="741"/>
        <item x="342"/>
        <item x="488"/>
        <item x="458"/>
        <item x="201"/>
        <item x="115"/>
        <item x="361"/>
        <item x="754"/>
        <item x="633"/>
        <item x="651"/>
        <item x="670"/>
        <item x="723"/>
        <item x="197"/>
        <item x="420"/>
        <item x="127"/>
        <item x="373"/>
        <item x="704"/>
        <item x="461"/>
        <item x="778"/>
        <item x="779"/>
        <item x="192"/>
        <item x="423"/>
        <item x="480"/>
        <item x="404"/>
        <item x="728"/>
        <item x="518"/>
        <item x="856"/>
        <item x="618"/>
        <item x="68"/>
        <item x="641"/>
        <item x="717"/>
        <item x="598"/>
        <item x="292"/>
        <item x="625"/>
        <item x="758"/>
        <item x="544"/>
        <item x="541"/>
        <item x="31"/>
        <item x="185"/>
        <item x="854"/>
        <item x="232"/>
        <item x="215"/>
        <item x="129"/>
        <item x="645"/>
        <item x="113"/>
        <item x="454"/>
        <item x="163"/>
        <item x="211"/>
        <item x="410"/>
        <item x="108"/>
        <item x="757"/>
        <item x="681"/>
        <item x="507"/>
        <item x="396"/>
        <item x="116"/>
        <item x="354"/>
        <item x="397"/>
        <item x="612"/>
        <item x="219"/>
        <item x="547"/>
        <item x="679"/>
        <item x="520"/>
        <item x="577"/>
        <item x="559"/>
        <item x="825"/>
        <item x="161"/>
        <item x="260"/>
        <item x="53"/>
        <item x="739"/>
        <item x="7"/>
        <item x="811"/>
        <item x="424"/>
        <item x="72"/>
        <item x="447"/>
        <item x="497"/>
        <item x="126"/>
        <item x="82"/>
        <item x="343"/>
        <item x="760"/>
        <item x="781"/>
        <item x="252"/>
        <item x="567"/>
        <item x="665"/>
        <item x="384"/>
        <item x="394"/>
        <item x="719"/>
        <item x="867"/>
        <item x="578"/>
        <item x="149"/>
        <item x="280"/>
        <item x="639"/>
        <item x="405"/>
        <item x="773"/>
        <item x="379"/>
        <item x="448"/>
        <item x="501"/>
        <item x="644"/>
        <item x="243"/>
        <item x="299"/>
        <item x="821"/>
        <item x="475"/>
        <item x="156"/>
        <item x="635"/>
        <item x="557"/>
        <item x="727"/>
        <item x="796"/>
        <item x="457"/>
        <item x="155"/>
        <item x="413"/>
        <item x="732"/>
        <item x="190"/>
        <item x="200"/>
        <item x="179"/>
        <item x="111"/>
        <item x="62"/>
        <item x="552"/>
        <item x="106"/>
        <item x="296"/>
        <item x="273"/>
        <item x="406"/>
        <item x="26"/>
        <item x="630"/>
        <item x="474"/>
        <item x="555"/>
        <item x="590"/>
        <item x="363"/>
        <item x="110"/>
        <item x="267"/>
        <item x="702"/>
        <item x="159"/>
        <item x="722"/>
        <item x="427"/>
        <item x="838"/>
        <item x="839"/>
        <item x="230"/>
        <item x="371"/>
        <item x="546"/>
        <item x="579"/>
        <item x="198"/>
        <item x="606"/>
        <item x="152"/>
        <item x="677"/>
        <item x="218"/>
        <item x="430"/>
        <item x="476"/>
        <item x="563"/>
        <item x="48"/>
        <item x="798"/>
        <item x="548"/>
        <item x="89"/>
        <item x="712"/>
        <item x="784"/>
        <item x="84"/>
        <item x="86"/>
        <item x="788"/>
        <item x="35"/>
        <item x="308"/>
        <item x="764"/>
        <item x="401"/>
        <item x="746"/>
        <item x="848"/>
        <item x="415"/>
        <item x="261"/>
        <item x="711"/>
        <item x="428"/>
        <item x="807"/>
        <item x="75"/>
        <item x="217"/>
        <item x="607"/>
        <item x="866"/>
        <item x="5"/>
        <item x="782"/>
        <item x="710"/>
        <item x="827"/>
        <item x="320"/>
        <item x="589"/>
        <item x="759"/>
        <item x="47"/>
        <item x="123"/>
        <item x="870"/>
        <item x="780"/>
        <item x="752"/>
        <item x="142"/>
        <item x="466"/>
        <item x="450"/>
        <item x="822"/>
        <item x="24"/>
        <item x="690"/>
        <item x="692"/>
        <item x="766"/>
        <item x="869"/>
        <item x="744"/>
        <item x="543"/>
        <item x="332"/>
        <item x="28"/>
        <item x="652"/>
        <item x="787"/>
        <item x="137"/>
        <item x="484"/>
        <item x="785"/>
        <item x="302"/>
        <item x="338"/>
        <item x="6"/>
        <item x="709"/>
        <item x="789"/>
        <item x="736"/>
        <item x="136"/>
        <item x="239"/>
        <item x="562"/>
        <item x="504"/>
        <item x="100"/>
        <item x="138"/>
        <item x="855"/>
        <item x="453"/>
        <item x="304"/>
        <item x="868"/>
        <item x="220"/>
        <item x="464"/>
        <item x="203"/>
        <item x="259"/>
        <item x="586"/>
        <item x="419"/>
        <item x="370"/>
        <item x="210"/>
        <item x="165"/>
        <item x="418"/>
        <item x="860"/>
        <item x="534"/>
        <item x="279"/>
        <item x="242"/>
        <item x="249"/>
        <item x="385"/>
        <item x="566"/>
        <item x="387"/>
        <item x="328"/>
        <item x="422"/>
        <item x="816"/>
        <item x="41"/>
        <item x="263"/>
        <item x="383"/>
        <item x="594"/>
        <item x="93"/>
        <item x="213"/>
        <item x="554"/>
        <item x="369"/>
        <item x="18"/>
        <item x="478"/>
        <item x="444"/>
        <item x="584"/>
        <item x="272"/>
        <item x="248"/>
        <item x="440"/>
        <item x="269"/>
        <item x="536"/>
        <item x="523"/>
        <item x="314"/>
        <item x="324"/>
        <item x="407"/>
        <item x="362"/>
        <item x="52"/>
        <item x="671"/>
        <item x="63"/>
        <item x="14"/>
        <item x="664"/>
        <item x="233"/>
        <item x="684"/>
        <item x="359"/>
        <item x="130"/>
        <item x="183"/>
        <item x="147"/>
        <item x="470"/>
        <item x="725"/>
        <item x="3"/>
        <item x="693"/>
        <item x="751"/>
        <item x="234"/>
        <item x="186"/>
        <item x="627"/>
        <item x="37"/>
        <item x="446"/>
        <item x="344"/>
        <item x="493"/>
        <item x="11"/>
        <item x="274"/>
        <item x="492"/>
        <item x="850"/>
        <item x="20"/>
        <item x="153"/>
        <item x="795"/>
        <item x="381"/>
        <item x="291"/>
        <item x="812"/>
        <item x="268"/>
        <item x="591"/>
        <item x="674"/>
        <item x="813"/>
        <item x="416"/>
        <item x="349"/>
        <item x="599"/>
        <item x="92"/>
        <item x="683"/>
        <item x="226"/>
        <item x="609"/>
        <item x="685"/>
        <item x="177"/>
        <item x="49"/>
        <item x="730"/>
        <item x="121"/>
        <item x="777"/>
        <item x="78"/>
        <item x="794"/>
        <item x="301"/>
        <item x="61"/>
        <item x="319"/>
        <item x="96"/>
        <item x="696"/>
        <item x="456"/>
        <item x="465"/>
        <item x="657"/>
        <item x="334"/>
        <item x="150"/>
        <item x="495"/>
        <item x="844"/>
        <item x="471"/>
        <item x="646"/>
        <item x="831"/>
        <item x="499"/>
        <item x="676"/>
        <item x="107"/>
        <item x="718"/>
        <item x="731"/>
        <item x="188"/>
        <item x="859"/>
        <item x="436"/>
        <item x="114"/>
        <item x="244"/>
        <item x="840"/>
        <item x="276"/>
        <item x="729"/>
        <item x="195"/>
        <item x="21"/>
        <item x="281"/>
        <item x="286"/>
        <item x="616"/>
        <item x="580"/>
        <item x="50"/>
        <item x="530"/>
        <item x="669"/>
        <item x="277"/>
        <item x="802"/>
        <item x="828"/>
        <item x="345"/>
        <item x="720"/>
        <item x="164"/>
        <item x="189"/>
        <item x="775"/>
        <item x="661"/>
        <item x="834"/>
        <item x="262"/>
        <item x="642"/>
        <item x="38"/>
        <item x="25"/>
        <item x="368"/>
        <item x="469"/>
        <item x="235"/>
        <item x="597"/>
        <item x="255"/>
        <item x="533"/>
        <item x="672"/>
        <item x="135"/>
        <item x="337"/>
        <item x="600"/>
        <item x="761"/>
        <item x="489"/>
        <item x="409"/>
        <item x="833"/>
        <item x="459"/>
        <item x="355"/>
        <item x="516"/>
        <item x="545"/>
        <item x="350"/>
        <item x="421"/>
        <item x="392"/>
        <item x="574"/>
        <item x="80"/>
        <item x="222"/>
        <item x="122"/>
        <item x="391"/>
        <item x="76"/>
        <item x="175"/>
        <item x="783"/>
        <item x="51"/>
        <item x="103"/>
        <item x="101"/>
        <item x="640"/>
        <item x="386"/>
        <item x="32"/>
        <item x="375"/>
        <item x="815"/>
        <item x="861"/>
        <item x="836"/>
        <item x="9"/>
        <item x="535"/>
        <item x="146"/>
        <item x="202"/>
        <item x="23"/>
        <item x="400"/>
        <item x="818"/>
        <item x="659"/>
        <item x="173"/>
        <item x="835"/>
        <item x="1"/>
        <item x="768"/>
        <item x="64"/>
        <item x="79"/>
        <item x="241"/>
        <item x="735"/>
        <item x="238"/>
        <item x="438"/>
        <item x="245"/>
        <item x="358"/>
        <item x="99"/>
        <item x="462"/>
        <item x="182"/>
        <item x="393"/>
        <item x="278"/>
        <item x="849"/>
        <item x="374"/>
        <item x="585"/>
        <item x="73"/>
        <item x="532"/>
        <item x="550"/>
        <item x="851"/>
        <item x="22"/>
        <item x="605"/>
        <item x="515"/>
        <item x="206"/>
        <item x="143"/>
        <item x="290"/>
        <item x="74"/>
        <item x="395"/>
        <item x="39"/>
        <item x="667"/>
        <item x="455"/>
        <item x="647"/>
        <item x="799"/>
        <item x="498"/>
        <item x="494"/>
        <item x="708"/>
        <item x="700"/>
        <item x="611"/>
        <item x="376"/>
        <item x="472"/>
        <item x="468"/>
        <item x="34"/>
        <item x="549"/>
        <item x="71"/>
        <item x="714"/>
        <item x="306"/>
        <item x="656"/>
        <item x="853"/>
        <item x="315"/>
        <item x="694"/>
        <item x="615"/>
        <item x="803"/>
        <item x="686"/>
        <item x="602"/>
        <item x="364"/>
        <item x="620"/>
        <item x="257"/>
        <item x="581"/>
        <item x="810"/>
        <item x="486"/>
        <item x="522"/>
        <item x="54"/>
        <item x="663"/>
        <item x="654"/>
        <item x="17"/>
        <item x="628"/>
        <item x="40"/>
        <item x="293"/>
        <item x="309"/>
        <item x="352"/>
        <item x="479"/>
        <item x="603"/>
        <item x="743"/>
        <item x="748"/>
        <item x="124"/>
        <item x="675"/>
        <item x="4"/>
        <item x="617"/>
        <item x="221"/>
        <item x="716"/>
        <item x="490"/>
        <item x="843"/>
        <item x="365"/>
        <item x="771"/>
        <item x="357"/>
        <item x="449"/>
        <item x="158"/>
        <item x="0"/>
        <item x="443"/>
        <item x="67"/>
        <item x="826"/>
        <item x="747"/>
        <item x="715"/>
        <item x="621"/>
        <item x="240"/>
        <item x="502"/>
        <item x="682"/>
        <item x="191"/>
        <item x="623"/>
        <item x="726"/>
        <item x="104"/>
        <item x="442"/>
        <item x="770"/>
        <item x="695"/>
        <item x="187"/>
        <item x="575"/>
        <item x="742"/>
        <item x="209"/>
        <item x="776"/>
        <item x="525"/>
        <item x="753"/>
        <item x="36"/>
        <item x="485"/>
        <item x="531"/>
        <item x="333"/>
        <item x="329"/>
        <item x="246"/>
        <item x="634"/>
        <item x="212"/>
        <item x="169"/>
        <item x="791"/>
        <item x="351"/>
        <item x="57"/>
        <item x="738"/>
        <item x="284"/>
        <item x="626"/>
        <item x="70"/>
        <item x="321"/>
        <item x="323"/>
        <item x="366"/>
        <item x="658"/>
        <item x="666"/>
        <item x="132"/>
        <item x="312"/>
        <item x="786"/>
        <item x="310"/>
        <item x="194"/>
        <item x="703"/>
        <item x="508"/>
        <item x="593"/>
        <item x="134"/>
        <item x="33"/>
        <item x="526"/>
        <item x="288"/>
        <item x="270"/>
        <item x="668"/>
        <item x="160"/>
        <item x="601"/>
        <item x="414"/>
        <item x="181"/>
        <item x="452"/>
        <item x="88"/>
        <item x="713"/>
        <item x="313"/>
        <item x="95"/>
        <item x="399"/>
        <item x="482"/>
        <item x="527"/>
        <item x="346"/>
        <item x="724"/>
        <item x="97"/>
        <item x="556"/>
        <item x="673"/>
        <item x="141"/>
        <item x="10"/>
        <item x="437"/>
        <item x="174"/>
        <item x="697"/>
        <item x="13"/>
        <item x="227"/>
        <item x="765"/>
        <item x="613"/>
        <item x="204"/>
        <item x="649"/>
        <item x="477"/>
        <item x="483"/>
        <item x="176"/>
        <item x="445"/>
        <item x="510"/>
        <item x="339"/>
        <item x="487"/>
        <item x="318"/>
        <item x="144"/>
        <item x="506"/>
        <item x="223"/>
        <item x="356"/>
        <item x="16"/>
        <item x="251"/>
        <item x="596"/>
        <item x="336"/>
        <item x="236"/>
        <item x="451"/>
        <item x="109"/>
        <item x="808"/>
        <item x="139"/>
        <item x="737"/>
        <item x="193"/>
        <item x="460"/>
        <item x="689"/>
        <item x="862"/>
        <item x="98"/>
        <item x="829"/>
        <item x="721"/>
        <item x="441"/>
        <item x="521"/>
        <item x="30"/>
        <item x="340"/>
        <item x="774"/>
        <item x="69"/>
        <item x="426"/>
        <item x="178"/>
        <item x="325"/>
        <item x="571"/>
        <item x="294"/>
        <item x="398"/>
        <item x="166"/>
        <item x="680"/>
        <item x="832"/>
        <item x="56"/>
        <item x="763"/>
        <item x="570"/>
        <item x="688"/>
        <item x="322"/>
        <item x="608"/>
        <item x="797"/>
        <item x="253"/>
        <item x="225"/>
        <item x="335"/>
        <item x="170"/>
        <item x="353"/>
        <item x="120"/>
        <item x="841"/>
        <item x="528"/>
        <item x="745"/>
        <item x="439"/>
        <item x="91"/>
        <item x="500"/>
        <item x="216"/>
        <item x="45"/>
        <item x="271"/>
        <item x="140"/>
        <item x="538"/>
        <item x="519"/>
        <item x="814"/>
        <item x="539"/>
        <item x="576"/>
        <item x="162"/>
        <item x="65"/>
        <item x="588"/>
        <item x="434"/>
        <item x="558"/>
        <item x="653"/>
        <item x="650"/>
        <item x="151"/>
        <item x="582"/>
        <item x="44"/>
        <item x="435"/>
        <item x="624"/>
        <item x="733"/>
        <item x="705"/>
        <item x="837"/>
        <item x="806"/>
        <item x="94"/>
        <item x="565"/>
        <item x="117"/>
        <item x="772"/>
        <item x="372"/>
        <item x="425"/>
        <item x="297"/>
        <item x="629"/>
        <item x="367"/>
        <item x="228"/>
        <item x="734"/>
        <item x="275"/>
        <item x="632"/>
        <item x="614"/>
        <item x="491"/>
        <item x="857"/>
        <item x="128"/>
        <item x="767"/>
        <item x="265"/>
        <item x="706"/>
        <item x="390"/>
        <item x="360"/>
        <item x="511"/>
        <item x="847"/>
        <item x="561"/>
        <item x="762"/>
        <item x="388"/>
        <item x="380"/>
        <item x="699"/>
        <item x="283"/>
        <item x="341"/>
        <item x="858"/>
        <item x="403"/>
        <item x="316"/>
        <item x="638"/>
        <item x="19"/>
        <item x="298"/>
        <item x="691"/>
        <item x="327"/>
        <item x="846"/>
        <item x="231"/>
        <item x="90"/>
        <item x="285"/>
        <item x="595"/>
        <item x="792"/>
        <item x="842"/>
        <item x="631"/>
        <item x="148"/>
        <item x="817"/>
        <item x="537"/>
        <item x="636"/>
        <item x="247"/>
        <item x="264"/>
        <item x="402"/>
        <item x="740"/>
        <item x="660"/>
        <item x="229"/>
        <item x="572"/>
        <item x="46"/>
        <item x="852"/>
        <item x="517"/>
        <item x="587"/>
        <item x="8"/>
        <item x="250"/>
        <item x="167"/>
        <item x="85"/>
        <item x="429"/>
        <item x="513"/>
        <item x="592"/>
        <item x="432"/>
        <item x="15"/>
        <item x="214"/>
        <item x="551"/>
        <item x="154"/>
        <item x="509"/>
        <item x="208"/>
        <item x="305"/>
        <item x="60"/>
        <item x="326"/>
        <item x="583"/>
        <item x="503"/>
        <item x="411"/>
        <item x="77"/>
        <item x="830"/>
        <item x="865"/>
        <item x="412"/>
        <item x="610"/>
        <item x="66"/>
        <item x="87"/>
        <item x="701"/>
        <item x="282"/>
        <item x="845"/>
        <item x="769"/>
        <item x="750"/>
        <item x="496"/>
        <item x="408"/>
        <item x="157"/>
        <item x="289"/>
        <item x="655"/>
        <item x="824"/>
        <item x="42"/>
        <item x="131"/>
        <item x="707"/>
        <item x="749"/>
        <item x="133"/>
        <item x="622"/>
        <item x="29"/>
        <item x="172"/>
        <item x="431"/>
        <item x="254"/>
        <item x="171"/>
        <item x="295"/>
        <item x="804"/>
        <item x="300"/>
        <item x="805"/>
        <item x="331"/>
        <item x="801"/>
        <item x="568"/>
        <item x="463"/>
        <item x="303"/>
        <item x="378"/>
        <item x="573"/>
        <item x="505"/>
        <item x="43"/>
        <item x="184"/>
        <item x="330"/>
        <item x="648"/>
        <item x="347"/>
        <item x="2"/>
        <item x="871"/>
        <item t="default"/>
      </items>
    </pivotField>
  </pivotFields>
  <rowFields count="2">
    <field x="0"/>
    <field x="1"/>
  </rowFields>
  <rowItems count="20">
    <i>
      <x/>
    </i>
    <i r="1">
      <x v="3"/>
    </i>
    <i r="1">
      <x v="4"/>
    </i>
    <i r="1">
      <x v="6"/>
    </i>
    <i r="1">
      <x v="12"/>
    </i>
    <i t="default">
      <x/>
    </i>
    <i>
      <x v="1"/>
    </i>
    <i r="1">
      <x v="1"/>
    </i>
    <i r="1">
      <x v="2"/>
    </i>
    <i r="1">
      <x v="7"/>
    </i>
    <i r="1">
      <x v="9"/>
    </i>
    <i r="1">
      <x v="11"/>
    </i>
    <i t="default">
      <x v="1"/>
    </i>
    <i>
      <x v="2"/>
    </i>
    <i r="1">
      <x/>
    </i>
    <i r="1">
      <x v="5"/>
    </i>
    <i r="1">
      <x v="8"/>
    </i>
    <i r="1">
      <x v="10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profit" fld="7" baseField="1" baseItem="8" numFmtId="1"/>
    <dataField name="Sum of calculated_sales" fld="6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F3A9A-A5E8-498F-8BF4-2757DC2688C4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9" firstHeaderRow="0" firstDataRow="1" firstDataCol="1"/>
  <pivotFields count="11">
    <pivotField axis="axisRow" showAll="0">
      <items count="7">
        <item x="1"/>
        <item x="0"/>
        <item x="2"/>
        <item h="1" x="4"/>
        <item x="3"/>
        <item h="1" x="5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>
      <items count="15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x="13"/>
        <item t="default"/>
      </items>
    </pivotField>
    <pivotField showAll="0"/>
    <pivotField showAll="0"/>
    <pivotField showAll="0"/>
    <pivotField showAll="0"/>
    <pivotField dataField="1" showAll="0">
      <items count="873">
        <item x="687"/>
        <item x="27"/>
        <item x="643"/>
        <item x="307"/>
        <item x="819"/>
        <item x="433"/>
        <item x="473"/>
        <item x="205"/>
        <item x="512"/>
        <item x="560"/>
        <item x="524"/>
        <item x="199"/>
        <item x="196"/>
        <item x="256"/>
        <item x="118"/>
        <item x="793"/>
        <item x="237"/>
        <item x="553"/>
        <item x="863"/>
        <item x="12"/>
        <item x="83"/>
        <item x="800"/>
        <item x="119"/>
        <item x="58"/>
        <item x="224"/>
        <item x="542"/>
        <item x="662"/>
        <item x="467"/>
        <item x="207"/>
        <item x="637"/>
        <item x="377"/>
        <item x="112"/>
        <item x="698"/>
        <item x="317"/>
        <item x="258"/>
        <item x="790"/>
        <item x="105"/>
        <item x="564"/>
        <item x="481"/>
        <item x="755"/>
        <item x="125"/>
        <item x="458"/>
        <item x="741"/>
        <item x="81"/>
        <item x="59"/>
        <item x="266"/>
        <item x="417"/>
        <item x="201"/>
        <item x="670"/>
        <item x="651"/>
        <item x="678"/>
        <item x="461"/>
        <item x="127"/>
        <item x="529"/>
        <item x="809"/>
        <item x="389"/>
        <item x="192"/>
        <item x="864"/>
        <item x="540"/>
        <item x="507"/>
        <item x="756"/>
        <item x="215"/>
        <item x="488"/>
        <item x="232"/>
        <item x="382"/>
        <item x="102"/>
        <item x="604"/>
        <item x="619"/>
        <item x="55"/>
        <item x="211"/>
        <item x="547"/>
        <item x="820"/>
        <item x="404"/>
        <item x="754"/>
        <item x="612"/>
        <item x="145"/>
        <item x="129"/>
        <item x="185"/>
        <item x="116"/>
        <item x="723"/>
        <item x="811"/>
        <item x="219"/>
        <item x="544"/>
        <item x="618"/>
        <item x="641"/>
        <item x="68"/>
        <item x="569"/>
        <item x="397"/>
        <item x="758"/>
        <item x="180"/>
        <item x="501"/>
        <item x="854"/>
        <item x="108"/>
        <item x="197"/>
        <item x="856"/>
        <item x="639"/>
        <item x="821"/>
        <item x="625"/>
        <item x="156"/>
        <item x="252"/>
        <item x="311"/>
        <item x="280"/>
        <item x="796"/>
        <item x="168"/>
        <item x="719"/>
        <item x="200"/>
        <item x="373"/>
        <item x="552"/>
        <item x="179"/>
        <item x="630"/>
        <item x="423"/>
        <item x="267"/>
        <item x="273"/>
        <item x="405"/>
        <item x="739"/>
        <item x="427"/>
        <item x="457"/>
        <item x="413"/>
        <item x="577"/>
        <item x="823"/>
        <item x="348"/>
        <item x="557"/>
        <item x="115"/>
        <item x="681"/>
        <item x="520"/>
        <item x="410"/>
        <item x="839"/>
        <item x="260"/>
        <item x="518"/>
        <item x="475"/>
        <item x="778"/>
        <item x="287"/>
        <item x="371"/>
        <item x="218"/>
        <item x="702"/>
        <item x="384"/>
        <item x="48"/>
        <item x="635"/>
        <item x="447"/>
        <item x="161"/>
        <item x="633"/>
        <item x="354"/>
        <item x="106"/>
        <item x="563"/>
        <item x="514"/>
        <item x="712"/>
        <item x="75"/>
        <item x="464"/>
        <item x="149"/>
        <item x="717"/>
        <item x="497"/>
        <item x="394"/>
        <item x="420"/>
        <item x="243"/>
        <item x="152"/>
        <item x="296"/>
        <item x="710"/>
        <item x="292"/>
        <item x="784"/>
        <item x="159"/>
        <item x="84"/>
        <item x="679"/>
        <item x="645"/>
        <item x="866"/>
        <item x="474"/>
        <item x="89"/>
        <item x="110"/>
        <item x="757"/>
        <item x="261"/>
        <item x="579"/>
        <item x="480"/>
        <item x="342"/>
        <item x="406"/>
        <item x="299"/>
        <item x="450"/>
        <item x="5"/>
        <item x="163"/>
        <item x="363"/>
        <item x="785"/>
        <item x="24"/>
        <item x="31"/>
        <item x="727"/>
        <item x="361"/>
        <item x="704"/>
        <item x="728"/>
        <item x="787"/>
        <item x="126"/>
        <item x="677"/>
        <item x="308"/>
        <item x="220"/>
        <item x="760"/>
        <item x="798"/>
        <item x="589"/>
        <item x="82"/>
        <item x="142"/>
        <item x="766"/>
        <item x="454"/>
        <item x="370"/>
        <item x="448"/>
        <item x="548"/>
        <item x="690"/>
        <item x="722"/>
        <item x="422"/>
        <item x="652"/>
        <item x="466"/>
        <item x="541"/>
        <item x="26"/>
        <item x="780"/>
        <item x="320"/>
        <item x="7"/>
        <item x="41"/>
        <item x="779"/>
        <item x="138"/>
        <item x="28"/>
        <item x="827"/>
        <item x="304"/>
        <item x="62"/>
        <item x="230"/>
        <item x="559"/>
        <item x="584"/>
        <item x="440"/>
        <item x="338"/>
        <item x="419"/>
        <item x="385"/>
        <item x="190"/>
        <item x="870"/>
        <item x="72"/>
        <item x="428"/>
        <item x="259"/>
        <item x="424"/>
        <item x="396"/>
        <item x="578"/>
        <item x="562"/>
        <item x="430"/>
        <item x="598"/>
        <item x="53"/>
        <item x="52"/>
        <item x="130"/>
        <item x="744"/>
        <item x="444"/>
        <item x="665"/>
        <item x="383"/>
        <item x="867"/>
        <item x="263"/>
        <item x="816"/>
        <item x="671"/>
        <item x="788"/>
        <item x="855"/>
        <item x="113"/>
        <item x="711"/>
        <item x="567"/>
        <item x="848"/>
        <item x="415"/>
        <item x="493"/>
        <item x="379"/>
        <item x="746"/>
        <item x="825"/>
        <item x="664"/>
        <item x="268"/>
        <item x="478"/>
        <item x="693"/>
        <item x="812"/>
        <item x="401"/>
        <item x="93"/>
        <item x="591"/>
        <item x="137"/>
        <item x="111"/>
        <item x="644"/>
        <item x="672"/>
        <item x="555"/>
        <item x="153"/>
        <item x="18"/>
        <item x="136"/>
        <item x="606"/>
        <item x="807"/>
        <item x="234"/>
        <item x="291"/>
        <item x="586"/>
        <item x="63"/>
        <item x="534"/>
        <item x="476"/>
        <item x="387"/>
        <item x="407"/>
        <item x="14"/>
        <item x="685"/>
        <item x="203"/>
        <item x="269"/>
        <item x="732"/>
        <item x="831"/>
        <item x="198"/>
        <item x="35"/>
        <item x="78"/>
        <item x="789"/>
        <item x="764"/>
        <item x="731"/>
        <item x="840"/>
        <item x="121"/>
        <item x="777"/>
        <item x="696"/>
        <item x="343"/>
        <item x="781"/>
        <item x="123"/>
        <item x="314"/>
        <item x="276"/>
        <item x="536"/>
        <item x="484"/>
        <item x="369"/>
        <item x="844"/>
        <item x="107"/>
        <item x="759"/>
        <item x="465"/>
        <item x="773"/>
        <item x="210"/>
        <item x="272"/>
        <item x="470"/>
        <item x="838"/>
        <item x="661"/>
        <item x="546"/>
        <item x="590"/>
        <item x="274"/>
        <item x="692"/>
        <item x="244"/>
        <item x="155"/>
        <item x="61"/>
        <item x="459"/>
        <item x="213"/>
        <item x="869"/>
        <item x="37"/>
        <item x="345"/>
        <item x="751"/>
        <item x="627"/>
        <item x="646"/>
        <item x="616"/>
        <item x="51"/>
        <item x="165"/>
        <item x="217"/>
        <item x="175"/>
        <item x="607"/>
        <item x="554"/>
        <item x="177"/>
        <item x="600"/>
        <item x="782"/>
        <item x="79"/>
        <item x="332"/>
        <item x="164"/>
        <item x="249"/>
        <item x="245"/>
        <item x="594"/>
        <item x="543"/>
        <item x="233"/>
        <item x="642"/>
        <item x="381"/>
        <item x="122"/>
        <item x="504"/>
        <item x="6"/>
        <item x="147"/>
        <item x="860"/>
        <item x="391"/>
        <item x="736"/>
        <item x="495"/>
        <item x="535"/>
        <item x="344"/>
        <item x="286"/>
        <item x="657"/>
        <item x="80"/>
        <item x="255"/>
        <item x="239"/>
        <item x="850"/>
        <item x="494"/>
        <item x="235"/>
        <item x="242"/>
        <item x="9"/>
        <item x="376"/>
        <item x="471"/>
        <item x="357"/>
        <item x="418"/>
        <item x="647"/>
        <item x="416"/>
        <item x="350"/>
        <item x="86"/>
        <item x="21"/>
        <item x="290"/>
        <item x="114"/>
        <item x="813"/>
        <item x="620"/>
        <item x="183"/>
        <item x="409"/>
        <item x="581"/>
        <item x="248"/>
        <item x="302"/>
        <item x="96"/>
        <item x="277"/>
        <item x="802"/>
        <item x="453"/>
        <item x="421"/>
        <item x="599"/>
        <item x="479"/>
        <item x="32"/>
        <item x="752"/>
        <item x="47"/>
        <item x="25"/>
        <item x="628"/>
        <item x="868"/>
        <item x="456"/>
        <item x="39"/>
        <item x="349"/>
        <item x="833"/>
        <item x="309"/>
        <item x="202"/>
        <item x="64"/>
        <item x="761"/>
        <item x="455"/>
        <item x="324"/>
        <item x="393"/>
        <item x="71"/>
        <item x="822"/>
        <item x="709"/>
        <item x="768"/>
        <item x="1"/>
        <item x="490"/>
        <item x="23"/>
        <item x="188"/>
        <item x="783"/>
        <item x="684"/>
        <item x="278"/>
        <item x="438"/>
        <item x="40"/>
        <item x="815"/>
        <item x="735"/>
        <item x="566"/>
        <item x="328"/>
        <item x="17"/>
        <item x="853"/>
        <item x="358"/>
        <item x="469"/>
        <item x="333"/>
        <item x="146"/>
        <item x="150"/>
        <item x="617"/>
        <item x="375"/>
        <item x="748"/>
        <item x="658"/>
        <item x="675"/>
        <item x="100"/>
        <item x="364"/>
        <item x="319"/>
        <item x="386"/>
        <item x="659"/>
        <item x="73"/>
        <item x="101"/>
        <item x="392"/>
        <item x="818"/>
        <item x="365"/>
        <item x="836"/>
        <item x="103"/>
        <item x="532"/>
        <item x="700"/>
        <item x="775"/>
        <item x="683"/>
        <item x="743"/>
        <item x="799"/>
        <item x="791"/>
        <item x="279"/>
        <item x="169"/>
        <item x="720"/>
        <item x="20"/>
        <item x="3"/>
        <item x="366"/>
        <item x="499"/>
        <item x="725"/>
        <item x="603"/>
        <item x="492"/>
        <item x="826"/>
        <item x="667"/>
        <item x="745"/>
        <item x="676"/>
        <item x="443"/>
        <item x="634"/>
        <item x="621"/>
        <item x="446"/>
        <item x="522"/>
        <item x="776"/>
        <item x="221"/>
        <item x="472"/>
        <item x="182"/>
        <item x="533"/>
        <item x="135"/>
        <item x="585"/>
        <item x="186"/>
        <item x="666"/>
        <item x="834"/>
        <item x="352"/>
        <item x="708"/>
        <item x="843"/>
        <item x="715"/>
        <item x="362"/>
        <item x="550"/>
        <item x="240"/>
        <item x="270"/>
        <item x="355"/>
        <item x="489"/>
        <item x="716"/>
        <item x="76"/>
        <item x="49"/>
        <item x="613"/>
        <item x="545"/>
        <item x="703"/>
        <item x="714"/>
        <item x="765"/>
        <item x="395"/>
        <item x="34"/>
        <item x="284"/>
        <item x="374"/>
        <item x="187"/>
        <item x="810"/>
        <item x="747"/>
        <item x="399"/>
        <item x="88"/>
        <item x="674"/>
        <item x="54"/>
        <item x="97"/>
        <item x="212"/>
        <item x="174"/>
        <item x="516"/>
        <item x="189"/>
        <item x="11"/>
        <item x="640"/>
        <item x="770"/>
        <item x="437"/>
        <item x="686"/>
        <item x="281"/>
        <item x="523"/>
        <item x="236"/>
        <item x="193"/>
        <item x="729"/>
        <item x="16"/>
        <item x="482"/>
        <item x="721"/>
        <item x="808"/>
        <item x="359"/>
        <item x="10"/>
        <item x="143"/>
        <item x="310"/>
        <item x="176"/>
        <item x="531"/>
        <item x="74"/>
        <item x="795"/>
        <item x="160"/>
        <item x="530"/>
        <item x="400"/>
        <item x="134"/>
        <item x="340"/>
        <item x="602"/>
        <item x="449"/>
        <item x="368"/>
        <item x="601"/>
        <item x="92"/>
        <item x="485"/>
        <item x="571"/>
        <item x="608"/>
        <item x="339"/>
        <item x="318"/>
        <item x="288"/>
        <item x="862"/>
        <item x="794"/>
        <item x="832"/>
        <item x="527"/>
        <item x="109"/>
        <item x="69"/>
        <item x="226"/>
        <item x="609"/>
        <item x="209"/>
        <item x="580"/>
        <item x="441"/>
        <item x="222"/>
        <item x="306"/>
        <item x="56"/>
        <item x="139"/>
        <item x="506"/>
        <item x="713"/>
        <item x="451"/>
        <item x="223"/>
        <item x="99"/>
        <item x="605"/>
        <item x="322"/>
        <item x="829"/>
        <item x="445"/>
        <item x="669"/>
        <item x="262"/>
        <item x="726"/>
        <item x="668"/>
        <item x="216"/>
        <item x="849"/>
        <item x="462"/>
        <item x="498"/>
        <item x="337"/>
        <item x="334"/>
        <item x="574"/>
        <item x="753"/>
        <item x="30"/>
        <item x="649"/>
        <item x="151"/>
        <item x="718"/>
        <item x="828"/>
        <item x="730"/>
        <item x="329"/>
        <item x="104"/>
        <item x="301"/>
        <item x="502"/>
        <item x="50"/>
        <item x="597"/>
        <item x="859"/>
        <item x="246"/>
        <item x="803"/>
        <item x="178"/>
        <item x="194"/>
        <item x="321"/>
        <item x="293"/>
        <item x="297"/>
        <item x="615"/>
        <item x="257"/>
        <item x="436"/>
        <item x="356"/>
        <item x="624"/>
        <item x="173"/>
        <item x="575"/>
        <item x="195"/>
        <item x="144"/>
        <item x="253"/>
        <item x="734"/>
        <item x="22"/>
        <item x="70"/>
        <item x="697"/>
        <item x="695"/>
        <item x="351"/>
        <item x="771"/>
        <item x="508"/>
        <item x="650"/>
        <item x="206"/>
        <item x="36"/>
        <item x="861"/>
        <item x="500"/>
        <item x="38"/>
        <item x="763"/>
        <item x="623"/>
        <item x="611"/>
        <item x="515"/>
        <item x="241"/>
        <item x="360"/>
        <item x="94"/>
        <item x="626"/>
        <item x="742"/>
        <item x="120"/>
        <item x="549"/>
        <item x="294"/>
        <item x="539"/>
        <item x="706"/>
        <item x="656"/>
        <item x="699"/>
        <item x="733"/>
        <item x="238"/>
        <item x="558"/>
        <item x="140"/>
        <item x="313"/>
        <item x="95"/>
        <item x="251"/>
        <item x="227"/>
        <item x="694"/>
        <item x="477"/>
        <item x="398"/>
        <item x="772"/>
        <item x="435"/>
        <item x="316"/>
        <item x="663"/>
        <item x="312"/>
        <item x="158"/>
        <item x="705"/>
        <item x="629"/>
        <item x="170"/>
        <item x="166"/>
        <item x="323"/>
        <item x="638"/>
        <item x="680"/>
        <item x="341"/>
        <item x="44"/>
        <item x="851"/>
        <item x="298"/>
        <item x="561"/>
        <item x="468"/>
        <item x="614"/>
        <item x="19"/>
        <item x="510"/>
        <item x="737"/>
        <item x="98"/>
        <item x="271"/>
        <item x="57"/>
        <item x="682"/>
        <item x="740"/>
        <item x="367"/>
        <item x="388"/>
        <item x="858"/>
        <item x="835"/>
        <item x="511"/>
        <item x="526"/>
        <item x="486"/>
        <item x="191"/>
        <item x="117"/>
        <item x="487"/>
        <item x="45"/>
        <item x="414"/>
        <item x="346"/>
        <item x="285"/>
        <item x="786"/>
        <item x="483"/>
        <item x="513"/>
        <item x="425"/>
        <item x="762"/>
        <item x="124"/>
        <item x="327"/>
        <item x="250"/>
        <item x="631"/>
        <item x="654"/>
        <item x="576"/>
        <item x="402"/>
        <item x="315"/>
        <item x="688"/>
        <item x="691"/>
        <item x="283"/>
        <item x="595"/>
        <item x="0"/>
        <item x="33"/>
        <item x="132"/>
        <item x="208"/>
        <item x="452"/>
        <item x="335"/>
        <item x="247"/>
        <item x="336"/>
        <item x="587"/>
        <item x="353"/>
        <item x="583"/>
        <item x="434"/>
        <item x="842"/>
        <item x="538"/>
        <item x="517"/>
        <item x="66"/>
        <item x="689"/>
        <item x="442"/>
        <item x="636"/>
        <item x="372"/>
        <item x="460"/>
        <item x="653"/>
        <item x="429"/>
        <item x="593"/>
        <item x="570"/>
        <item x="4"/>
        <item x="231"/>
        <item x="326"/>
        <item x="496"/>
        <item x="300"/>
        <item x="229"/>
        <item x="87"/>
        <item x="655"/>
        <item x="774"/>
        <item x="551"/>
        <item x="767"/>
        <item x="67"/>
        <item x="521"/>
        <item x="846"/>
        <item x="265"/>
        <item x="814"/>
        <item x="525"/>
        <item x="432"/>
        <item x="60"/>
        <item x="837"/>
        <item x="403"/>
        <item x="841"/>
        <item x="592"/>
        <item x="264"/>
        <item x="847"/>
        <item x="305"/>
        <item x="128"/>
        <item x="148"/>
        <item x="162"/>
        <item x="491"/>
        <item x="85"/>
        <item x="556"/>
        <item x="806"/>
        <item x="749"/>
        <item x="857"/>
        <item x="15"/>
        <item x="181"/>
        <item x="167"/>
        <item x="65"/>
        <item x="133"/>
        <item x="171"/>
        <item x="228"/>
        <item x="817"/>
        <item x="390"/>
        <item x="660"/>
        <item x="596"/>
        <item x="824"/>
        <item x="8"/>
        <item x="830"/>
        <item x="852"/>
        <item x="738"/>
        <item x="707"/>
        <item x="801"/>
        <item x="439"/>
        <item x="426"/>
        <item x="865"/>
        <item x="141"/>
        <item x="463"/>
        <item x="214"/>
        <item x="769"/>
        <item x="582"/>
        <item x="622"/>
        <item x="13"/>
        <item x="325"/>
        <item x="412"/>
        <item x="91"/>
        <item x="804"/>
        <item x="632"/>
        <item x="724"/>
        <item x="42"/>
        <item x="750"/>
        <item x="204"/>
        <item x="411"/>
        <item x="408"/>
        <item x="380"/>
        <item x="565"/>
        <item x="573"/>
        <item x="673"/>
        <item x="29"/>
        <item x="701"/>
        <item x="46"/>
        <item x="295"/>
        <item x="303"/>
        <item x="509"/>
        <item x="845"/>
        <item x="43"/>
        <item x="184"/>
        <item x="519"/>
        <item x="572"/>
        <item x="528"/>
        <item x="588"/>
        <item x="172"/>
        <item x="330"/>
        <item x="331"/>
        <item x="131"/>
        <item x="648"/>
        <item x="225"/>
        <item x="610"/>
        <item x="289"/>
        <item x="568"/>
        <item x="537"/>
        <item x="254"/>
        <item x="503"/>
        <item x="77"/>
        <item x="797"/>
        <item x="282"/>
        <item x="154"/>
        <item x="431"/>
        <item x="792"/>
        <item x="505"/>
        <item x="347"/>
        <item x="157"/>
        <item x="90"/>
        <item x="378"/>
        <item x="275"/>
        <item x="805"/>
        <item x="2"/>
        <item x="871"/>
        <item t="default"/>
      </items>
    </pivotField>
    <pivotField dataField="1" showAll="0">
      <items count="873">
        <item x="514"/>
        <item x="643"/>
        <item x="793"/>
        <item x="237"/>
        <item x="205"/>
        <item x="687"/>
        <item x="512"/>
        <item x="819"/>
        <item x="433"/>
        <item x="27"/>
        <item x="473"/>
        <item x="524"/>
        <item x="224"/>
        <item x="800"/>
        <item x="307"/>
        <item x="207"/>
        <item x="417"/>
        <item x="118"/>
        <item x="199"/>
        <item x="377"/>
        <item x="196"/>
        <item x="389"/>
        <item x="560"/>
        <item x="863"/>
        <item x="58"/>
        <item x="678"/>
        <item x="119"/>
        <item x="55"/>
        <item x="662"/>
        <item x="637"/>
        <item x="59"/>
        <item x="256"/>
        <item x="125"/>
        <item x="12"/>
        <item x="542"/>
        <item x="529"/>
        <item x="809"/>
        <item x="820"/>
        <item x="102"/>
        <item x="258"/>
        <item x="569"/>
        <item x="481"/>
        <item x="553"/>
        <item x="564"/>
        <item x="382"/>
        <item x="755"/>
        <item x="698"/>
        <item x="83"/>
        <item x="467"/>
        <item x="823"/>
        <item x="180"/>
        <item x="112"/>
        <item x="81"/>
        <item x="317"/>
        <item x="540"/>
        <item x="864"/>
        <item x="604"/>
        <item x="790"/>
        <item x="348"/>
        <item x="311"/>
        <item x="105"/>
        <item x="266"/>
        <item x="756"/>
        <item x="287"/>
        <item x="145"/>
        <item x="619"/>
        <item x="168"/>
        <item x="741"/>
        <item x="342"/>
        <item x="488"/>
        <item x="458"/>
        <item x="201"/>
        <item x="115"/>
        <item x="361"/>
        <item x="754"/>
        <item x="633"/>
        <item x="651"/>
        <item x="670"/>
        <item x="723"/>
        <item x="197"/>
        <item x="420"/>
        <item x="127"/>
        <item x="373"/>
        <item x="704"/>
        <item x="461"/>
        <item x="778"/>
        <item x="779"/>
        <item x="192"/>
        <item x="423"/>
        <item x="480"/>
        <item x="404"/>
        <item x="728"/>
        <item x="518"/>
        <item x="856"/>
        <item x="618"/>
        <item x="68"/>
        <item x="641"/>
        <item x="717"/>
        <item x="598"/>
        <item x="292"/>
        <item x="625"/>
        <item x="758"/>
        <item x="544"/>
        <item x="541"/>
        <item x="31"/>
        <item x="185"/>
        <item x="854"/>
        <item x="232"/>
        <item x="215"/>
        <item x="129"/>
        <item x="645"/>
        <item x="113"/>
        <item x="454"/>
        <item x="163"/>
        <item x="211"/>
        <item x="410"/>
        <item x="108"/>
        <item x="757"/>
        <item x="681"/>
        <item x="507"/>
        <item x="396"/>
        <item x="116"/>
        <item x="354"/>
        <item x="397"/>
        <item x="612"/>
        <item x="219"/>
        <item x="547"/>
        <item x="679"/>
        <item x="520"/>
        <item x="577"/>
        <item x="559"/>
        <item x="825"/>
        <item x="161"/>
        <item x="260"/>
        <item x="53"/>
        <item x="739"/>
        <item x="7"/>
        <item x="811"/>
        <item x="424"/>
        <item x="72"/>
        <item x="447"/>
        <item x="497"/>
        <item x="126"/>
        <item x="82"/>
        <item x="343"/>
        <item x="760"/>
        <item x="781"/>
        <item x="252"/>
        <item x="567"/>
        <item x="665"/>
        <item x="384"/>
        <item x="394"/>
        <item x="719"/>
        <item x="867"/>
        <item x="578"/>
        <item x="149"/>
        <item x="280"/>
        <item x="639"/>
        <item x="405"/>
        <item x="773"/>
        <item x="379"/>
        <item x="448"/>
        <item x="501"/>
        <item x="644"/>
        <item x="243"/>
        <item x="299"/>
        <item x="821"/>
        <item x="475"/>
        <item x="156"/>
        <item x="635"/>
        <item x="557"/>
        <item x="727"/>
        <item x="796"/>
        <item x="457"/>
        <item x="155"/>
        <item x="413"/>
        <item x="732"/>
        <item x="190"/>
        <item x="200"/>
        <item x="179"/>
        <item x="111"/>
        <item x="62"/>
        <item x="552"/>
        <item x="106"/>
        <item x="296"/>
        <item x="273"/>
        <item x="406"/>
        <item x="26"/>
        <item x="630"/>
        <item x="474"/>
        <item x="555"/>
        <item x="590"/>
        <item x="363"/>
        <item x="110"/>
        <item x="267"/>
        <item x="702"/>
        <item x="159"/>
        <item x="722"/>
        <item x="427"/>
        <item x="838"/>
        <item x="839"/>
        <item x="230"/>
        <item x="371"/>
        <item x="546"/>
        <item x="579"/>
        <item x="198"/>
        <item x="606"/>
        <item x="152"/>
        <item x="677"/>
        <item x="218"/>
        <item x="430"/>
        <item x="476"/>
        <item x="563"/>
        <item x="48"/>
        <item x="798"/>
        <item x="548"/>
        <item x="89"/>
        <item x="712"/>
        <item x="784"/>
        <item x="84"/>
        <item x="86"/>
        <item x="788"/>
        <item x="35"/>
        <item x="308"/>
        <item x="764"/>
        <item x="401"/>
        <item x="746"/>
        <item x="848"/>
        <item x="415"/>
        <item x="261"/>
        <item x="711"/>
        <item x="428"/>
        <item x="807"/>
        <item x="75"/>
        <item x="217"/>
        <item x="607"/>
        <item x="866"/>
        <item x="5"/>
        <item x="782"/>
        <item x="710"/>
        <item x="827"/>
        <item x="320"/>
        <item x="589"/>
        <item x="759"/>
        <item x="47"/>
        <item x="123"/>
        <item x="870"/>
        <item x="780"/>
        <item x="752"/>
        <item x="142"/>
        <item x="466"/>
        <item x="450"/>
        <item x="822"/>
        <item x="24"/>
        <item x="690"/>
        <item x="692"/>
        <item x="766"/>
        <item x="869"/>
        <item x="744"/>
        <item x="543"/>
        <item x="332"/>
        <item x="28"/>
        <item x="652"/>
        <item x="787"/>
        <item x="137"/>
        <item x="484"/>
        <item x="785"/>
        <item x="302"/>
        <item x="338"/>
        <item x="6"/>
        <item x="709"/>
        <item x="789"/>
        <item x="736"/>
        <item x="136"/>
        <item x="239"/>
        <item x="562"/>
        <item x="504"/>
        <item x="100"/>
        <item x="138"/>
        <item x="855"/>
        <item x="453"/>
        <item x="304"/>
        <item x="868"/>
        <item x="220"/>
        <item x="464"/>
        <item x="203"/>
        <item x="259"/>
        <item x="586"/>
        <item x="419"/>
        <item x="370"/>
        <item x="210"/>
        <item x="165"/>
        <item x="418"/>
        <item x="860"/>
        <item x="534"/>
        <item x="279"/>
        <item x="242"/>
        <item x="249"/>
        <item x="385"/>
        <item x="566"/>
        <item x="387"/>
        <item x="328"/>
        <item x="422"/>
        <item x="816"/>
        <item x="41"/>
        <item x="263"/>
        <item x="383"/>
        <item x="594"/>
        <item x="93"/>
        <item x="213"/>
        <item x="554"/>
        <item x="369"/>
        <item x="18"/>
        <item x="478"/>
        <item x="444"/>
        <item x="584"/>
        <item x="272"/>
        <item x="248"/>
        <item x="440"/>
        <item x="269"/>
        <item x="536"/>
        <item x="523"/>
        <item x="314"/>
        <item x="324"/>
        <item x="407"/>
        <item x="362"/>
        <item x="52"/>
        <item x="671"/>
        <item x="63"/>
        <item x="14"/>
        <item x="664"/>
        <item x="233"/>
        <item x="684"/>
        <item x="359"/>
        <item x="130"/>
        <item x="183"/>
        <item x="147"/>
        <item x="470"/>
        <item x="725"/>
        <item x="3"/>
        <item x="693"/>
        <item x="751"/>
        <item x="234"/>
        <item x="186"/>
        <item x="627"/>
        <item x="37"/>
        <item x="446"/>
        <item x="344"/>
        <item x="493"/>
        <item x="11"/>
        <item x="274"/>
        <item x="492"/>
        <item x="850"/>
        <item x="20"/>
        <item x="153"/>
        <item x="795"/>
        <item x="381"/>
        <item x="291"/>
        <item x="812"/>
        <item x="268"/>
        <item x="591"/>
        <item x="674"/>
        <item x="813"/>
        <item x="416"/>
        <item x="349"/>
        <item x="599"/>
        <item x="92"/>
        <item x="683"/>
        <item x="226"/>
        <item x="609"/>
        <item x="685"/>
        <item x="177"/>
        <item x="49"/>
        <item x="730"/>
        <item x="121"/>
        <item x="777"/>
        <item x="78"/>
        <item x="794"/>
        <item x="301"/>
        <item x="61"/>
        <item x="319"/>
        <item x="96"/>
        <item x="696"/>
        <item x="456"/>
        <item x="465"/>
        <item x="657"/>
        <item x="334"/>
        <item x="150"/>
        <item x="495"/>
        <item x="844"/>
        <item x="471"/>
        <item x="646"/>
        <item x="831"/>
        <item x="499"/>
        <item x="676"/>
        <item x="107"/>
        <item x="718"/>
        <item x="731"/>
        <item x="188"/>
        <item x="859"/>
        <item x="436"/>
        <item x="114"/>
        <item x="244"/>
        <item x="840"/>
        <item x="276"/>
        <item x="729"/>
        <item x="195"/>
        <item x="21"/>
        <item x="281"/>
        <item x="286"/>
        <item x="616"/>
        <item x="580"/>
        <item x="50"/>
        <item x="530"/>
        <item x="669"/>
        <item x="277"/>
        <item x="802"/>
        <item x="828"/>
        <item x="345"/>
        <item x="720"/>
        <item x="164"/>
        <item x="189"/>
        <item x="775"/>
        <item x="661"/>
        <item x="834"/>
        <item x="262"/>
        <item x="642"/>
        <item x="38"/>
        <item x="25"/>
        <item x="368"/>
        <item x="469"/>
        <item x="235"/>
        <item x="597"/>
        <item x="255"/>
        <item x="533"/>
        <item x="672"/>
        <item x="135"/>
        <item x="337"/>
        <item x="600"/>
        <item x="761"/>
        <item x="489"/>
        <item x="409"/>
        <item x="833"/>
        <item x="459"/>
        <item x="355"/>
        <item x="516"/>
        <item x="545"/>
        <item x="350"/>
        <item x="421"/>
        <item x="392"/>
        <item x="574"/>
        <item x="80"/>
        <item x="222"/>
        <item x="122"/>
        <item x="391"/>
        <item x="76"/>
        <item x="175"/>
        <item x="783"/>
        <item x="51"/>
        <item x="103"/>
        <item x="101"/>
        <item x="640"/>
        <item x="386"/>
        <item x="32"/>
        <item x="375"/>
        <item x="815"/>
        <item x="861"/>
        <item x="836"/>
        <item x="9"/>
        <item x="535"/>
        <item x="146"/>
        <item x="202"/>
        <item x="23"/>
        <item x="400"/>
        <item x="818"/>
        <item x="659"/>
        <item x="173"/>
        <item x="835"/>
        <item x="1"/>
        <item x="768"/>
        <item x="64"/>
        <item x="79"/>
        <item x="241"/>
        <item x="735"/>
        <item x="238"/>
        <item x="438"/>
        <item x="245"/>
        <item x="358"/>
        <item x="99"/>
        <item x="462"/>
        <item x="182"/>
        <item x="393"/>
        <item x="278"/>
        <item x="849"/>
        <item x="374"/>
        <item x="585"/>
        <item x="73"/>
        <item x="532"/>
        <item x="550"/>
        <item x="851"/>
        <item x="22"/>
        <item x="605"/>
        <item x="515"/>
        <item x="206"/>
        <item x="143"/>
        <item x="290"/>
        <item x="74"/>
        <item x="395"/>
        <item x="39"/>
        <item x="667"/>
        <item x="455"/>
        <item x="647"/>
        <item x="799"/>
        <item x="498"/>
        <item x="494"/>
        <item x="708"/>
        <item x="700"/>
        <item x="611"/>
        <item x="376"/>
        <item x="472"/>
        <item x="468"/>
        <item x="34"/>
        <item x="549"/>
        <item x="71"/>
        <item x="714"/>
        <item x="306"/>
        <item x="656"/>
        <item x="853"/>
        <item x="315"/>
        <item x="694"/>
        <item x="615"/>
        <item x="803"/>
        <item x="686"/>
        <item x="602"/>
        <item x="364"/>
        <item x="620"/>
        <item x="257"/>
        <item x="581"/>
        <item x="810"/>
        <item x="486"/>
        <item x="522"/>
        <item x="54"/>
        <item x="663"/>
        <item x="654"/>
        <item x="17"/>
        <item x="628"/>
        <item x="40"/>
        <item x="293"/>
        <item x="309"/>
        <item x="352"/>
        <item x="479"/>
        <item x="603"/>
        <item x="743"/>
        <item x="748"/>
        <item x="124"/>
        <item x="675"/>
        <item x="4"/>
        <item x="617"/>
        <item x="221"/>
        <item x="716"/>
        <item x="490"/>
        <item x="843"/>
        <item x="365"/>
        <item x="771"/>
        <item x="357"/>
        <item x="449"/>
        <item x="158"/>
        <item x="0"/>
        <item x="443"/>
        <item x="67"/>
        <item x="826"/>
        <item x="747"/>
        <item x="715"/>
        <item x="621"/>
        <item x="240"/>
        <item x="502"/>
        <item x="682"/>
        <item x="191"/>
        <item x="623"/>
        <item x="726"/>
        <item x="104"/>
        <item x="442"/>
        <item x="770"/>
        <item x="695"/>
        <item x="187"/>
        <item x="575"/>
        <item x="742"/>
        <item x="209"/>
        <item x="776"/>
        <item x="525"/>
        <item x="753"/>
        <item x="36"/>
        <item x="485"/>
        <item x="531"/>
        <item x="333"/>
        <item x="329"/>
        <item x="246"/>
        <item x="634"/>
        <item x="212"/>
        <item x="169"/>
        <item x="791"/>
        <item x="351"/>
        <item x="57"/>
        <item x="738"/>
        <item x="284"/>
        <item x="626"/>
        <item x="70"/>
        <item x="321"/>
        <item x="323"/>
        <item x="366"/>
        <item x="658"/>
        <item x="666"/>
        <item x="132"/>
        <item x="312"/>
        <item x="786"/>
        <item x="310"/>
        <item x="194"/>
        <item x="703"/>
        <item x="508"/>
        <item x="593"/>
        <item x="134"/>
        <item x="33"/>
        <item x="526"/>
        <item x="288"/>
        <item x="270"/>
        <item x="668"/>
        <item x="160"/>
        <item x="601"/>
        <item x="414"/>
        <item x="181"/>
        <item x="452"/>
        <item x="88"/>
        <item x="713"/>
        <item x="313"/>
        <item x="95"/>
        <item x="399"/>
        <item x="482"/>
        <item x="527"/>
        <item x="346"/>
        <item x="724"/>
        <item x="97"/>
        <item x="556"/>
        <item x="673"/>
        <item x="141"/>
        <item x="10"/>
        <item x="437"/>
        <item x="174"/>
        <item x="697"/>
        <item x="13"/>
        <item x="227"/>
        <item x="765"/>
        <item x="613"/>
        <item x="204"/>
        <item x="649"/>
        <item x="477"/>
        <item x="483"/>
        <item x="176"/>
        <item x="445"/>
        <item x="510"/>
        <item x="339"/>
        <item x="487"/>
        <item x="318"/>
        <item x="144"/>
        <item x="506"/>
        <item x="223"/>
        <item x="356"/>
        <item x="16"/>
        <item x="251"/>
        <item x="596"/>
        <item x="336"/>
        <item x="236"/>
        <item x="451"/>
        <item x="109"/>
        <item x="808"/>
        <item x="139"/>
        <item x="737"/>
        <item x="193"/>
        <item x="460"/>
        <item x="689"/>
        <item x="862"/>
        <item x="98"/>
        <item x="829"/>
        <item x="721"/>
        <item x="441"/>
        <item x="521"/>
        <item x="30"/>
        <item x="340"/>
        <item x="774"/>
        <item x="69"/>
        <item x="426"/>
        <item x="178"/>
        <item x="325"/>
        <item x="571"/>
        <item x="294"/>
        <item x="398"/>
        <item x="166"/>
        <item x="680"/>
        <item x="832"/>
        <item x="56"/>
        <item x="763"/>
        <item x="570"/>
        <item x="688"/>
        <item x="322"/>
        <item x="608"/>
        <item x="797"/>
        <item x="253"/>
        <item x="225"/>
        <item x="335"/>
        <item x="170"/>
        <item x="353"/>
        <item x="120"/>
        <item x="841"/>
        <item x="528"/>
        <item x="745"/>
        <item x="439"/>
        <item x="91"/>
        <item x="500"/>
        <item x="216"/>
        <item x="45"/>
        <item x="271"/>
        <item x="140"/>
        <item x="538"/>
        <item x="519"/>
        <item x="814"/>
        <item x="539"/>
        <item x="576"/>
        <item x="162"/>
        <item x="65"/>
        <item x="588"/>
        <item x="434"/>
        <item x="558"/>
        <item x="653"/>
        <item x="650"/>
        <item x="151"/>
        <item x="582"/>
        <item x="44"/>
        <item x="435"/>
        <item x="624"/>
        <item x="733"/>
        <item x="705"/>
        <item x="837"/>
        <item x="806"/>
        <item x="94"/>
        <item x="565"/>
        <item x="117"/>
        <item x="772"/>
        <item x="372"/>
        <item x="425"/>
        <item x="297"/>
        <item x="629"/>
        <item x="367"/>
        <item x="228"/>
        <item x="734"/>
        <item x="275"/>
        <item x="632"/>
        <item x="614"/>
        <item x="491"/>
        <item x="857"/>
        <item x="128"/>
        <item x="767"/>
        <item x="265"/>
        <item x="706"/>
        <item x="390"/>
        <item x="360"/>
        <item x="511"/>
        <item x="847"/>
        <item x="561"/>
        <item x="762"/>
        <item x="388"/>
        <item x="380"/>
        <item x="699"/>
        <item x="283"/>
        <item x="341"/>
        <item x="858"/>
        <item x="403"/>
        <item x="316"/>
        <item x="638"/>
        <item x="19"/>
        <item x="298"/>
        <item x="691"/>
        <item x="327"/>
        <item x="846"/>
        <item x="231"/>
        <item x="90"/>
        <item x="285"/>
        <item x="595"/>
        <item x="792"/>
        <item x="842"/>
        <item x="631"/>
        <item x="148"/>
        <item x="817"/>
        <item x="537"/>
        <item x="636"/>
        <item x="247"/>
        <item x="264"/>
        <item x="402"/>
        <item x="740"/>
        <item x="660"/>
        <item x="229"/>
        <item x="572"/>
        <item x="46"/>
        <item x="852"/>
        <item x="517"/>
        <item x="587"/>
        <item x="8"/>
        <item x="250"/>
        <item x="167"/>
        <item x="85"/>
        <item x="429"/>
        <item x="513"/>
        <item x="592"/>
        <item x="432"/>
        <item x="15"/>
        <item x="214"/>
        <item x="551"/>
        <item x="154"/>
        <item x="509"/>
        <item x="208"/>
        <item x="305"/>
        <item x="60"/>
        <item x="326"/>
        <item x="583"/>
        <item x="503"/>
        <item x="411"/>
        <item x="77"/>
        <item x="830"/>
        <item x="865"/>
        <item x="412"/>
        <item x="610"/>
        <item x="66"/>
        <item x="87"/>
        <item x="701"/>
        <item x="282"/>
        <item x="845"/>
        <item x="769"/>
        <item x="750"/>
        <item x="496"/>
        <item x="408"/>
        <item x="157"/>
        <item x="289"/>
        <item x="655"/>
        <item x="824"/>
        <item x="42"/>
        <item x="131"/>
        <item x="707"/>
        <item x="749"/>
        <item x="133"/>
        <item x="622"/>
        <item x="29"/>
        <item x="172"/>
        <item x="431"/>
        <item x="254"/>
        <item x="171"/>
        <item x="295"/>
        <item x="804"/>
        <item x="300"/>
        <item x="805"/>
        <item x="331"/>
        <item x="801"/>
        <item x="568"/>
        <item x="463"/>
        <item x="303"/>
        <item x="378"/>
        <item x="573"/>
        <item x="505"/>
        <item x="43"/>
        <item x="184"/>
        <item x="330"/>
        <item x="648"/>
        <item x="347"/>
        <item x="2"/>
        <item x="871"/>
        <item t="default"/>
      </items>
    </pivotField>
  </pivotFields>
  <rowFields count="1">
    <field x="0"/>
  </rowFields>
  <rowItems count="5">
    <i>
      <x/>
    </i>
    <i>
      <x v="1"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profit" fld="10" baseField="0" baseItem="0" numFmtId="1"/>
    <dataField name="Sum of calculated_sales" fld="9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6F625-7E45-4EF9-B57F-B268519C5BB4}">
  <dimension ref="A4:L28"/>
  <sheetViews>
    <sheetView tabSelected="1" workbookViewId="0">
      <selection activeCell="N16" sqref="N16"/>
    </sheetView>
  </sheetViews>
  <sheetFormatPr defaultRowHeight="14.4"/>
  <cols>
    <col min="1" max="1" width="12.5546875" bestFit="1" customWidth="1"/>
    <col min="2" max="2" width="22" bestFit="1" customWidth="1"/>
    <col min="3" max="3" width="21.33203125" bestFit="1" customWidth="1"/>
    <col min="4" max="4" width="9" bestFit="1" customWidth="1"/>
    <col min="5" max="5" width="7" bestFit="1" customWidth="1"/>
    <col min="6" max="8" width="8" bestFit="1" customWidth="1"/>
    <col min="9" max="9" width="18.33203125" bestFit="1" customWidth="1"/>
    <col min="10" max="10" width="17.6640625" bestFit="1" customWidth="1"/>
    <col min="11" max="11" width="22" bestFit="1" customWidth="1"/>
    <col min="12" max="12" width="21.33203125" bestFit="1" customWidth="1"/>
    <col min="13" max="13" width="9.77734375" bestFit="1" customWidth="1"/>
    <col min="14" max="14" width="6.109375" bestFit="1" customWidth="1"/>
    <col min="15" max="15" width="7.21875" bestFit="1" customWidth="1"/>
    <col min="16" max="16" width="10.44140625" bestFit="1" customWidth="1"/>
    <col min="17" max="17" width="6.21875" bestFit="1" customWidth="1"/>
    <col min="18" max="18" width="9.109375" bestFit="1" customWidth="1"/>
    <col min="19" max="19" width="5.88671875" bestFit="1" customWidth="1"/>
    <col min="20" max="20" width="7.21875" bestFit="1" customWidth="1"/>
    <col min="21" max="21" width="7.44140625" bestFit="1" customWidth="1"/>
    <col min="22" max="22" width="6.33203125" bestFit="1" customWidth="1"/>
    <col min="23" max="23" width="22.6640625" bestFit="1" customWidth="1"/>
    <col min="24" max="24" width="3.5546875" bestFit="1" customWidth="1"/>
    <col min="25" max="25" width="7.21875" bestFit="1" customWidth="1"/>
    <col min="26" max="26" width="9.77734375" bestFit="1" customWidth="1"/>
    <col min="27" max="27" width="6.109375" bestFit="1" customWidth="1"/>
    <col min="28" max="28" width="7.21875" bestFit="1" customWidth="1"/>
    <col min="29" max="29" width="10.44140625" bestFit="1" customWidth="1"/>
    <col min="30" max="30" width="6.21875" bestFit="1" customWidth="1"/>
    <col min="31" max="31" width="9.109375" bestFit="1" customWidth="1"/>
    <col min="32" max="32" width="5.88671875" bestFit="1" customWidth="1"/>
    <col min="33" max="33" width="7.21875" bestFit="1" customWidth="1"/>
    <col min="34" max="34" width="7.44140625" bestFit="1" customWidth="1"/>
    <col min="35" max="35" width="6.33203125" bestFit="1" customWidth="1"/>
    <col min="36" max="36" width="28.109375" bestFit="1" customWidth="1"/>
    <col min="37" max="37" width="27.44140625" bestFit="1" customWidth="1"/>
    <col min="38" max="39" width="8" bestFit="1" customWidth="1"/>
    <col min="40" max="40" width="7" bestFit="1" customWidth="1"/>
    <col min="41" max="41" width="8" bestFit="1" customWidth="1"/>
    <col min="42" max="43" width="7" bestFit="1" customWidth="1"/>
    <col min="44" max="44" width="6" bestFit="1" customWidth="1"/>
    <col min="45" max="46" width="7" bestFit="1" customWidth="1"/>
    <col min="47" max="47" width="9" bestFit="1" customWidth="1"/>
    <col min="48" max="48" width="8" bestFit="1" customWidth="1"/>
    <col min="49" max="51" width="7" bestFit="1" customWidth="1"/>
    <col min="52" max="53" width="8" bestFit="1" customWidth="1"/>
    <col min="54" max="55" width="7" bestFit="1" customWidth="1"/>
    <col min="56" max="56" width="8" bestFit="1" customWidth="1"/>
    <col min="57" max="57" width="7" bestFit="1" customWidth="1"/>
    <col min="58" max="59" width="8" bestFit="1" customWidth="1"/>
    <col min="60" max="61" width="9" bestFit="1" customWidth="1"/>
    <col min="62" max="65" width="8" bestFit="1" customWidth="1"/>
    <col min="66" max="66" width="9" bestFit="1" customWidth="1"/>
    <col min="67" max="67" width="10" bestFit="1" customWidth="1"/>
    <col min="68" max="69" width="8" bestFit="1" customWidth="1"/>
    <col min="70" max="70" width="9" bestFit="1" customWidth="1"/>
    <col min="71" max="72" width="8" bestFit="1" customWidth="1"/>
    <col min="73" max="73" width="7" bestFit="1" customWidth="1"/>
    <col min="74" max="74" width="9" bestFit="1" customWidth="1"/>
    <col min="75" max="75" width="5" bestFit="1" customWidth="1"/>
    <col min="76" max="77" width="9" bestFit="1" customWidth="1"/>
    <col min="78" max="78" width="8" bestFit="1" customWidth="1"/>
    <col min="79" max="79" width="7" bestFit="1" customWidth="1"/>
    <col min="80" max="80" width="9" bestFit="1" customWidth="1"/>
    <col min="81" max="81" width="10" bestFit="1" customWidth="1"/>
    <col min="82" max="89" width="9" bestFit="1" customWidth="1"/>
    <col min="90" max="90" width="8" bestFit="1" customWidth="1"/>
    <col min="91" max="91" width="10" bestFit="1" customWidth="1"/>
    <col min="92" max="95" width="9" bestFit="1" customWidth="1"/>
    <col min="96" max="96" width="8" bestFit="1" customWidth="1"/>
    <col min="97" max="97" width="10" bestFit="1" customWidth="1"/>
    <col min="98" max="99" width="9" bestFit="1" customWidth="1"/>
    <col min="100" max="100" width="10" bestFit="1" customWidth="1"/>
    <col min="101" max="101" width="8" bestFit="1" customWidth="1"/>
    <col min="102" max="103" width="9" bestFit="1" customWidth="1"/>
    <col min="104" max="104" width="8" bestFit="1" customWidth="1"/>
    <col min="105" max="105" width="7" bestFit="1" customWidth="1"/>
    <col min="106" max="107" width="9" bestFit="1" customWidth="1"/>
    <col min="108" max="108" width="8" bestFit="1" customWidth="1"/>
    <col min="109" max="111" width="9" bestFit="1" customWidth="1"/>
    <col min="112" max="113" width="10" bestFit="1" customWidth="1"/>
    <col min="114" max="114" width="9" bestFit="1" customWidth="1"/>
    <col min="115" max="115" width="8" bestFit="1" customWidth="1"/>
    <col min="116" max="116" width="7" bestFit="1" customWidth="1"/>
    <col min="117" max="117" width="9" bestFit="1" customWidth="1"/>
    <col min="118" max="119" width="8" bestFit="1" customWidth="1"/>
    <col min="120" max="120" width="9" bestFit="1" customWidth="1"/>
    <col min="121" max="121" width="10" bestFit="1" customWidth="1"/>
    <col min="122" max="122" width="8" bestFit="1" customWidth="1"/>
    <col min="123" max="123" width="9" bestFit="1" customWidth="1"/>
    <col min="124" max="126" width="8" bestFit="1" customWidth="1"/>
    <col min="127" max="127" width="9" bestFit="1" customWidth="1"/>
    <col min="128" max="129" width="8" bestFit="1" customWidth="1"/>
    <col min="130" max="130" width="9" bestFit="1" customWidth="1"/>
    <col min="131" max="131" width="8" bestFit="1" customWidth="1"/>
    <col min="132" max="132" width="7" bestFit="1" customWidth="1"/>
    <col min="133" max="136" width="9" bestFit="1" customWidth="1"/>
    <col min="137" max="137" width="8" bestFit="1" customWidth="1"/>
    <col min="138" max="138" width="10" bestFit="1" customWidth="1"/>
    <col min="139" max="144" width="9" bestFit="1" customWidth="1"/>
    <col min="145" max="146" width="8" bestFit="1" customWidth="1"/>
    <col min="147" max="147" width="5" bestFit="1" customWidth="1"/>
    <col min="148" max="148" width="9" bestFit="1" customWidth="1"/>
    <col min="149" max="149" width="8" bestFit="1" customWidth="1"/>
    <col min="150" max="150" width="9" bestFit="1" customWidth="1"/>
    <col min="151" max="151" width="10" bestFit="1" customWidth="1"/>
    <col min="152" max="153" width="9" bestFit="1" customWidth="1"/>
    <col min="154" max="157" width="8" bestFit="1" customWidth="1"/>
    <col min="158" max="158" width="9" bestFit="1" customWidth="1"/>
    <col min="159" max="159" width="7" bestFit="1" customWidth="1"/>
    <col min="160" max="160" width="8" bestFit="1" customWidth="1"/>
    <col min="161" max="161" width="9" bestFit="1" customWidth="1"/>
    <col min="162" max="162" width="10" bestFit="1" customWidth="1"/>
    <col min="163" max="167" width="9" bestFit="1" customWidth="1"/>
    <col min="168" max="168" width="10" bestFit="1" customWidth="1"/>
    <col min="169" max="170" width="9" bestFit="1" customWidth="1"/>
    <col min="171" max="171" width="10" bestFit="1" customWidth="1"/>
    <col min="172" max="172" width="8" bestFit="1" customWidth="1"/>
    <col min="173" max="174" width="9" bestFit="1" customWidth="1"/>
    <col min="175" max="175" width="8" bestFit="1" customWidth="1"/>
    <col min="176" max="177" width="10" bestFit="1" customWidth="1"/>
    <col min="178" max="178" width="8" bestFit="1" customWidth="1"/>
    <col min="179" max="180" width="9" bestFit="1" customWidth="1"/>
    <col min="181" max="181" width="7" bestFit="1" customWidth="1"/>
    <col min="182" max="183" width="8" bestFit="1" customWidth="1"/>
    <col min="184" max="184" width="7" bestFit="1" customWidth="1"/>
    <col min="185" max="185" width="9" bestFit="1" customWidth="1"/>
    <col min="186" max="187" width="8" bestFit="1" customWidth="1"/>
    <col min="188" max="188" width="7" bestFit="1" customWidth="1"/>
    <col min="189" max="189" width="9" bestFit="1" customWidth="1"/>
    <col min="190" max="190" width="10" bestFit="1" customWidth="1"/>
    <col min="191" max="191" width="9" bestFit="1" customWidth="1"/>
    <col min="192" max="192" width="10" bestFit="1" customWidth="1"/>
    <col min="193" max="193" width="9" bestFit="1" customWidth="1"/>
    <col min="194" max="195" width="8" bestFit="1" customWidth="1"/>
    <col min="196" max="197" width="9" bestFit="1" customWidth="1"/>
    <col min="198" max="198" width="8" bestFit="1" customWidth="1"/>
    <col min="199" max="199" width="10" bestFit="1" customWidth="1"/>
    <col min="200" max="201" width="8" bestFit="1" customWidth="1"/>
    <col min="202" max="203" width="9" bestFit="1" customWidth="1"/>
    <col min="204" max="204" width="8" bestFit="1" customWidth="1"/>
    <col min="205" max="206" width="9" bestFit="1" customWidth="1"/>
    <col min="207" max="208" width="7" bestFit="1" customWidth="1"/>
    <col min="209" max="210" width="9" bestFit="1" customWidth="1"/>
    <col min="211" max="211" width="8" bestFit="1" customWidth="1"/>
    <col min="212" max="212" width="9" bestFit="1" customWidth="1"/>
    <col min="213" max="213" width="8" bestFit="1" customWidth="1"/>
    <col min="214" max="214" width="9" bestFit="1" customWidth="1"/>
    <col min="215" max="216" width="8" bestFit="1" customWidth="1"/>
    <col min="217" max="217" width="9" bestFit="1" customWidth="1"/>
    <col min="218" max="218" width="7" bestFit="1" customWidth="1"/>
    <col min="219" max="222" width="8" bestFit="1" customWidth="1"/>
    <col min="223" max="225" width="9" bestFit="1" customWidth="1"/>
    <col min="226" max="226" width="8" bestFit="1" customWidth="1"/>
    <col min="227" max="227" width="9" bestFit="1" customWidth="1"/>
    <col min="228" max="228" width="8" bestFit="1" customWidth="1"/>
    <col min="229" max="229" width="7" bestFit="1" customWidth="1"/>
    <col min="230" max="231" width="8" bestFit="1" customWidth="1"/>
    <col min="232" max="232" width="7" bestFit="1" customWidth="1"/>
    <col min="233" max="234" width="9" bestFit="1" customWidth="1"/>
    <col min="235" max="236" width="8" bestFit="1" customWidth="1"/>
    <col min="237" max="237" width="9" bestFit="1" customWidth="1"/>
    <col min="238" max="239" width="8" bestFit="1" customWidth="1"/>
    <col min="240" max="240" width="9" bestFit="1" customWidth="1"/>
    <col min="241" max="241" width="10" bestFit="1" customWidth="1"/>
    <col min="242" max="242" width="7" bestFit="1" customWidth="1"/>
    <col min="243" max="244" width="9" bestFit="1" customWidth="1"/>
    <col min="245" max="245" width="8" bestFit="1" customWidth="1"/>
    <col min="246" max="246" width="9" bestFit="1" customWidth="1"/>
    <col min="247" max="247" width="8" bestFit="1" customWidth="1"/>
    <col min="248" max="248" width="5" bestFit="1" customWidth="1"/>
    <col min="249" max="251" width="8" bestFit="1" customWidth="1"/>
    <col min="252" max="252" width="10" bestFit="1" customWidth="1"/>
    <col min="253" max="253" width="9" bestFit="1" customWidth="1"/>
    <col min="254" max="256" width="8" bestFit="1" customWidth="1"/>
    <col min="257" max="257" width="9" bestFit="1" customWidth="1"/>
    <col min="258" max="258" width="10" bestFit="1" customWidth="1"/>
    <col min="259" max="259" width="8" bestFit="1" customWidth="1"/>
    <col min="260" max="262" width="9" bestFit="1" customWidth="1"/>
    <col min="263" max="263" width="10" bestFit="1" customWidth="1"/>
    <col min="264" max="265" width="9" bestFit="1" customWidth="1"/>
    <col min="266" max="266" width="8" bestFit="1" customWidth="1"/>
    <col min="267" max="271" width="9" bestFit="1" customWidth="1"/>
    <col min="272" max="272" width="7" bestFit="1" customWidth="1"/>
    <col min="273" max="273" width="9" bestFit="1" customWidth="1"/>
    <col min="274" max="274" width="8" bestFit="1" customWidth="1"/>
    <col min="275" max="275" width="9" bestFit="1" customWidth="1"/>
    <col min="276" max="278" width="8" bestFit="1" customWidth="1"/>
    <col min="279" max="280" width="9" bestFit="1" customWidth="1"/>
    <col min="281" max="281" width="8" bestFit="1" customWidth="1"/>
    <col min="282" max="283" width="9" bestFit="1" customWidth="1"/>
    <col min="284" max="284" width="8" bestFit="1" customWidth="1"/>
    <col min="285" max="285" width="9" bestFit="1" customWidth="1"/>
    <col min="286" max="286" width="8" bestFit="1" customWidth="1"/>
    <col min="287" max="288" width="10" bestFit="1" customWidth="1"/>
    <col min="289" max="289" width="9" bestFit="1" customWidth="1"/>
    <col min="290" max="291" width="8" bestFit="1" customWidth="1"/>
    <col min="292" max="292" width="10" bestFit="1" customWidth="1"/>
    <col min="293" max="293" width="9" bestFit="1" customWidth="1"/>
    <col min="294" max="294" width="10" bestFit="1" customWidth="1"/>
    <col min="295" max="295" width="8" bestFit="1" customWidth="1"/>
    <col min="296" max="296" width="9" bestFit="1" customWidth="1"/>
    <col min="297" max="297" width="8" bestFit="1" customWidth="1"/>
    <col min="298" max="301" width="9" bestFit="1" customWidth="1"/>
    <col min="302" max="302" width="10" bestFit="1" customWidth="1"/>
    <col min="303" max="304" width="9" bestFit="1" customWidth="1"/>
    <col min="305" max="305" width="8" bestFit="1" customWidth="1"/>
    <col min="306" max="306" width="9" bestFit="1" customWidth="1"/>
    <col min="307" max="309" width="8" bestFit="1" customWidth="1"/>
    <col min="310" max="310" width="9" bestFit="1" customWidth="1"/>
    <col min="311" max="311" width="10" bestFit="1" customWidth="1"/>
    <col min="312" max="314" width="8" bestFit="1" customWidth="1"/>
    <col min="315" max="315" width="9" bestFit="1" customWidth="1"/>
    <col min="316" max="316" width="7" bestFit="1" customWidth="1"/>
    <col min="317" max="317" width="9" bestFit="1" customWidth="1"/>
    <col min="318" max="319" width="8" bestFit="1" customWidth="1"/>
    <col min="320" max="320" width="7" bestFit="1" customWidth="1"/>
    <col min="321" max="321" width="10" bestFit="1" customWidth="1"/>
    <col min="322" max="322" width="8" bestFit="1" customWidth="1"/>
    <col min="323" max="323" width="5" bestFit="1" customWidth="1"/>
    <col min="324" max="325" width="9" bestFit="1" customWidth="1"/>
    <col min="326" max="326" width="8" bestFit="1" customWidth="1"/>
    <col min="327" max="328" width="9" bestFit="1" customWidth="1"/>
    <col min="329" max="329" width="8" bestFit="1" customWidth="1"/>
    <col min="330" max="333" width="9" bestFit="1" customWidth="1"/>
    <col min="334" max="334" width="8" bestFit="1" customWidth="1"/>
    <col min="335" max="335" width="9" bestFit="1" customWidth="1"/>
    <col min="336" max="336" width="8" bestFit="1" customWidth="1"/>
    <col min="337" max="340" width="9" bestFit="1" customWidth="1"/>
    <col min="341" max="341" width="8" bestFit="1" customWidth="1"/>
    <col min="342" max="342" width="9" bestFit="1" customWidth="1"/>
    <col min="343" max="343" width="10" bestFit="1" customWidth="1"/>
    <col min="344" max="344" width="8" bestFit="1" customWidth="1"/>
    <col min="345" max="346" width="9" bestFit="1" customWidth="1"/>
    <col min="347" max="347" width="10" bestFit="1" customWidth="1"/>
    <col min="348" max="348" width="7" bestFit="1" customWidth="1"/>
    <col min="349" max="349" width="8" bestFit="1" customWidth="1"/>
    <col min="350" max="350" width="7" bestFit="1" customWidth="1"/>
    <col min="351" max="351" width="9" bestFit="1" customWidth="1"/>
    <col min="352" max="352" width="8" bestFit="1" customWidth="1"/>
    <col min="353" max="353" width="7" bestFit="1" customWidth="1"/>
    <col min="354" max="354" width="8" bestFit="1" customWidth="1"/>
    <col min="355" max="355" width="9" bestFit="1" customWidth="1"/>
    <col min="356" max="356" width="8" bestFit="1" customWidth="1"/>
    <col min="357" max="360" width="9" bestFit="1" customWidth="1"/>
    <col min="361" max="361" width="10" bestFit="1" customWidth="1"/>
    <col min="362" max="363" width="8" bestFit="1" customWidth="1"/>
    <col min="364" max="365" width="9" bestFit="1" customWidth="1"/>
    <col min="366" max="366" width="8" bestFit="1" customWidth="1"/>
    <col min="367" max="367" width="7" bestFit="1" customWidth="1"/>
    <col min="368" max="369" width="9" bestFit="1" customWidth="1"/>
    <col min="370" max="371" width="8" bestFit="1" customWidth="1"/>
    <col min="372" max="372" width="9" bestFit="1" customWidth="1"/>
    <col min="373" max="375" width="8" bestFit="1" customWidth="1"/>
    <col min="376" max="376" width="10" bestFit="1" customWidth="1"/>
    <col min="377" max="378" width="9" bestFit="1" customWidth="1"/>
    <col min="379" max="380" width="8" bestFit="1" customWidth="1"/>
    <col min="381" max="382" width="9" bestFit="1" customWidth="1"/>
    <col min="383" max="383" width="7" bestFit="1" customWidth="1"/>
    <col min="384" max="385" width="8" bestFit="1" customWidth="1"/>
    <col min="386" max="387" width="9" bestFit="1" customWidth="1"/>
    <col min="388" max="388" width="8" bestFit="1" customWidth="1"/>
    <col min="389" max="391" width="9" bestFit="1" customWidth="1"/>
    <col min="392" max="394" width="8" bestFit="1" customWidth="1"/>
    <col min="395" max="395" width="9" bestFit="1" customWidth="1"/>
    <col min="396" max="398" width="8" bestFit="1" customWidth="1"/>
    <col min="399" max="399" width="9" bestFit="1" customWidth="1"/>
    <col min="400" max="400" width="8" bestFit="1" customWidth="1"/>
    <col min="401" max="402" width="9" bestFit="1" customWidth="1"/>
    <col min="403" max="403" width="8" bestFit="1" customWidth="1"/>
    <col min="404" max="404" width="9" bestFit="1" customWidth="1"/>
    <col min="405" max="405" width="8" bestFit="1" customWidth="1"/>
    <col min="406" max="407" width="9" bestFit="1" customWidth="1"/>
    <col min="408" max="408" width="8" bestFit="1" customWidth="1"/>
    <col min="409" max="410" width="10" bestFit="1" customWidth="1"/>
    <col min="411" max="412" width="8" bestFit="1" customWidth="1"/>
    <col min="413" max="413" width="9" bestFit="1" customWidth="1"/>
    <col min="414" max="414" width="8" bestFit="1" customWidth="1"/>
    <col min="415" max="415" width="10" bestFit="1" customWidth="1"/>
    <col min="416" max="416" width="7" bestFit="1" customWidth="1"/>
    <col min="417" max="421" width="9" bestFit="1" customWidth="1"/>
    <col min="422" max="423" width="8" bestFit="1" customWidth="1"/>
    <col min="424" max="424" width="7" bestFit="1" customWidth="1"/>
    <col min="425" max="425" width="8" bestFit="1" customWidth="1"/>
    <col min="426" max="426" width="9" bestFit="1" customWidth="1"/>
    <col min="427" max="427" width="10" bestFit="1" customWidth="1"/>
    <col min="428" max="428" width="7" bestFit="1" customWidth="1"/>
    <col min="429" max="429" width="5" bestFit="1" customWidth="1"/>
    <col min="430" max="430" width="8" bestFit="1" customWidth="1"/>
    <col min="431" max="431" width="10" bestFit="1" customWidth="1"/>
    <col min="432" max="432" width="9" bestFit="1" customWidth="1"/>
    <col min="433" max="434" width="8" bestFit="1" customWidth="1"/>
    <col min="435" max="435" width="7" bestFit="1" customWidth="1"/>
    <col min="436" max="437" width="9" bestFit="1" customWidth="1"/>
    <col min="438" max="439" width="8" bestFit="1" customWidth="1"/>
    <col min="440" max="440" width="9" bestFit="1" customWidth="1"/>
    <col min="441" max="443" width="7" bestFit="1" customWidth="1"/>
    <col min="444" max="444" width="8" bestFit="1" customWidth="1"/>
    <col min="445" max="445" width="9" bestFit="1" customWidth="1"/>
    <col min="446" max="446" width="8" bestFit="1" customWidth="1"/>
    <col min="447" max="448" width="9" bestFit="1" customWidth="1"/>
    <col min="449" max="449" width="8" bestFit="1" customWidth="1"/>
    <col min="450" max="450" width="7" bestFit="1" customWidth="1"/>
    <col min="451" max="451" width="8" bestFit="1" customWidth="1"/>
    <col min="452" max="453" width="9" bestFit="1" customWidth="1"/>
    <col min="454" max="457" width="8" bestFit="1" customWidth="1"/>
    <col min="458" max="459" width="9" bestFit="1" customWidth="1"/>
    <col min="460" max="464" width="8" bestFit="1" customWidth="1"/>
    <col min="465" max="465" width="10" bestFit="1" customWidth="1"/>
    <col min="466" max="466" width="5" bestFit="1" customWidth="1"/>
    <col min="467" max="468" width="9" bestFit="1" customWidth="1"/>
    <col min="469" max="469" width="10" bestFit="1" customWidth="1"/>
    <col min="470" max="476" width="9" bestFit="1" customWidth="1"/>
    <col min="477" max="479" width="10" bestFit="1" customWidth="1"/>
    <col min="480" max="480" width="9" bestFit="1" customWidth="1"/>
    <col min="481" max="481" width="8" bestFit="1" customWidth="1"/>
    <col min="482" max="483" width="9" bestFit="1" customWidth="1"/>
    <col min="484" max="485" width="8" bestFit="1" customWidth="1"/>
    <col min="486" max="486" width="9" bestFit="1" customWidth="1"/>
    <col min="487" max="487" width="8" bestFit="1" customWidth="1"/>
    <col min="488" max="489" width="10" bestFit="1" customWidth="1"/>
    <col min="490" max="494" width="8" bestFit="1" customWidth="1"/>
    <col min="495" max="495" width="10" bestFit="1" customWidth="1"/>
    <col min="496" max="496" width="8" bestFit="1" customWidth="1"/>
    <col min="497" max="497" width="10" bestFit="1" customWidth="1"/>
    <col min="498" max="501" width="8" bestFit="1" customWidth="1"/>
    <col min="502" max="502" width="9" bestFit="1" customWidth="1"/>
    <col min="503" max="504" width="8" bestFit="1" customWidth="1"/>
    <col min="505" max="505" width="9" bestFit="1" customWidth="1"/>
    <col min="506" max="506" width="8" bestFit="1" customWidth="1"/>
    <col min="507" max="507" width="9" bestFit="1" customWidth="1"/>
    <col min="508" max="508" width="8" bestFit="1" customWidth="1"/>
    <col min="509" max="509" width="10" bestFit="1" customWidth="1"/>
    <col min="510" max="510" width="8" bestFit="1" customWidth="1"/>
    <col min="511" max="511" width="7" bestFit="1" customWidth="1"/>
    <col min="512" max="512" width="10" bestFit="1" customWidth="1"/>
    <col min="513" max="514" width="8" bestFit="1" customWidth="1"/>
    <col min="515" max="516" width="9" bestFit="1" customWidth="1"/>
    <col min="517" max="517" width="7" bestFit="1" customWidth="1"/>
    <col min="518" max="518" width="8" bestFit="1" customWidth="1"/>
    <col min="519" max="519" width="9" bestFit="1" customWidth="1"/>
    <col min="520" max="520" width="8" bestFit="1" customWidth="1"/>
    <col min="521" max="521" width="9" bestFit="1" customWidth="1"/>
    <col min="522" max="522" width="8" bestFit="1" customWidth="1"/>
    <col min="523" max="523" width="9" bestFit="1" customWidth="1"/>
    <col min="524" max="524" width="10" bestFit="1" customWidth="1"/>
    <col min="525" max="527" width="9" bestFit="1" customWidth="1"/>
    <col min="528" max="528" width="10" bestFit="1" customWidth="1"/>
    <col min="529" max="530" width="8" bestFit="1" customWidth="1"/>
    <col min="531" max="531" width="9" bestFit="1" customWidth="1"/>
    <col min="532" max="532" width="7" bestFit="1" customWidth="1"/>
    <col min="533" max="533" width="9" bestFit="1" customWidth="1"/>
    <col min="534" max="536" width="8" bestFit="1" customWidth="1"/>
    <col min="537" max="538" width="9" bestFit="1" customWidth="1"/>
    <col min="539" max="540" width="8" bestFit="1" customWidth="1"/>
    <col min="541" max="541" width="9" bestFit="1" customWidth="1"/>
    <col min="542" max="546" width="8" bestFit="1" customWidth="1"/>
    <col min="547" max="547" width="10" bestFit="1" customWidth="1"/>
    <col min="548" max="548" width="11" bestFit="1" customWidth="1"/>
    <col min="549" max="549" width="9" bestFit="1" customWidth="1"/>
    <col min="550" max="550" width="11" bestFit="1" customWidth="1"/>
    <col min="551" max="551" width="9" bestFit="1" customWidth="1"/>
    <col min="552" max="552" width="10" bestFit="1" customWidth="1"/>
    <col min="553" max="553" width="8" bestFit="1" customWidth="1"/>
    <col min="554" max="554" width="10" bestFit="1" customWidth="1"/>
    <col min="555" max="555" width="9" bestFit="1" customWidth="1"/>
    <col min="556" max="556" width="10" bestFit="1" customWidth="1"/>
    <col min="557" max="557" width="9" bestFit="1" customWidth="1"/>
    <col min="558" max="559" width="10" bestFit="1" customWidth="1"/>
    <col min="560" max="560" width="9" bestFit="1" customWidth="1"/>
    <col min="561" max="563" width="10" bestFit="1" customWidth="1"/>
    <col min="564" max="564" width="9" bestFit="1" customWidth="1"/>
    <col min="565" max="565" width="10" bestFit="1" customWidth="1"/>
    <col min="566" max="568" width="9" bestFit="1" customWidth="1"/>
    <col min="569" max="569" width="10" bestFit="1" customWidth="1"/>
    <col min="570" max="571" width="9" bestFit="1" customWidth="1"/>
    <col min="572" max="575" width="10" bestFit="1" customWidth="1"/>
    <col min="576" max="576" width="11" bestFit="1" customWidth="1"/>
    <col min="577" max="579" width="10" bestFit="1" customWidth="1"/>
    <col min="580" max="582" width="9" bestFit="1" customWidth="1"/>
    <col min="583" max="583" width="11" bestFit="1" customWidth="1"/>
    <col min="584" max="586" width="10" bestFit="1" customWidth="1"/>
    <col min="587" max="587" width="11" bestFit="1" customWidth="1"/>
    <col min="588" max="588" width="8" bestFit="1" customWidth="1"/>
    <col min="589" max="591" width="10" bestFit="1" customWidth="1"/>
    <col min="592" max="593" width="9" bestFit="1" customWidth="1"/>
    <col min="594" max="594" width="10" bestFit="1" customWidth="1"/>
    <col min="595" max="595" width="9" bestFit="1" customWidth="1"/>
    <col min="596" max="596" width="10" bestFit="1" customWidth="1"/>
    <col min="597" max="598" width="9" bestFit="1" customWidth="1"/>
    <col min="599" max="599" width="10" bestFit="1" customWidth="1"/>
    <col min="600" max="600" width="11" bestFit="1" customWidth="1"/>
    <col min="601" max="601" width="9" bestFit="1" customWidth="1"/>
    <col min="602" max="605" width="10" bestFit="1" customWidth="1"/>
    <col min="606" max="607" width="9" bestFit="1" customWidth="1"/>
    <col min="608" max="608" width="10" bestFit="1" customWidth="1"/>
    <col min="609" max="609" width="9" bestFit="1" customWidth="1"/>
    <col min="610" max="611" width="11" bestFit="1" customWidth="1"/>
    <col min="612" max="613" width="10" bestFit="1" customWidth="1"/>
    <col min="614" max="615" width="9" bestFit="1" customWidth="1"/>
    <col min="616" max="616" width="11" bestFit="1" customWidth="1"/>
    <col min="617" max="617" width="9" bestFit="1" customWidth="1"/>
    <col min="618" max="618" width="10" bestFit="1" customWidth="1"/>
    <col min="619" max="619" width="9" bestFit="1" customWidth="1"/>
    <col min="620" max="620" width="11" bestFit="1" customWidth="1"/>
    <col min="621" max="621" width="10" bestFit="1" customWidth="1"/>
    <col min="622" max="622" width="6" bestFit="1" customWidth="1"/>
    <col min="623" max="624" width="10" bestFit="1" customWidth="1"/>
    <col min="625" max="625" width="9" bestFit="1" customWidth="1"/>
    <col min="626" max="626" width="11" bestFit="1" customWidth="1"/>
    <col min="627" max="627" width="9" bestFit="1" customWidth="1"/>
    <col min="628" max="629" width="10" bestFit="1" customWidth="1"/>
    <col min="630" max="630" width="9" bestFit="1" customWidth="1"/>
    <col min="631" max="633" width="10" bestFit="1" customWidth="1"/>
    <col min="634" max="634" width="9" bestFit="1" customWidth="1"/>
    <col min="635" max="636" width="10" bestFit="1" customWidth="1"/>
    <col min="637" max="637" width="11" bestFit="1" customWidth="1"/>
    <col min="638" max="640" width="9" bestFit="1" customWidth="1"/>
    <col min="641" max="641" width="11" bestFit="1" customWidth="1"/>
    <col min="642" max="642" width="10" bestFit="1" customWidth="1"/>
    <col min="643" max="643" width="9" bestFit="1" customWidth="1"/>
    <col min="644" max="644" width="8" bestFit="1" customWidth="1"/>
    <col min="645" max="647" width="9" bestFit="1" customWidth="1"/>
    <col min="648" max="652" width="10" bestFit="1" customWidth="1"/>
    <col min="653" max="653" width="9" bestFit="1" customWidth="1"/>
    <col min="654" max="654" width="10" bestFit="1" customWidth="1"/>
    <col min="655" max="655" width="9" bestFit="1" customWidth="1"/>
    <col min="656" max="657" width="10" bestFit="1" customWidth="1"/>
    <col min="658" max="658" width="8" bestFit="1" customWidth="1"/>
    <col min="659" max="659" width="9" bestFit="1" customWidth="1"/>
    <col min="660" max="660" width="10" bestFit="1" customWidth="1"/>
    <col min="661" max="661" width="9" bestFit="1" customWidth="1"/>
    <col min="662" max="663" width="10" bestFit="1" customWidth="1"/>
    <col min="664" max="668" width="9" bestFit="1" customWidth="1"/>
    <col min="669" max="669" width="11" bestFit="1" customWidth="1"/>
    <col min="670" max="670" width="8" bestFit="1" customWidth="1"/>
    <col min="671" max="671" width="10" bestFit="1" customWidth="1"/>
    <col min="672" max="672" width="9" bestFit="1" customWidth="1"/>
    <col min="673" max="673" width="11" bestFit="1" customWidth="1"/>
    <col min="674" max="674" width="10" bestFit="1" customWidth="1"/>
    <col min="675" max="675" width="9" bestFit="1" customWidth="1"/>
    <col min="676" max="678" width="10" bestFit="1" customWidth="1"/>
    <col min="679" max="680" width="9" bestFit="1" customWidth="1"/>
    <col min="681" max="681" width="11" bestFit="1" customWidth="1"/>
    <col min="682" max="683" width="10" bestFit="1" customWidth="1"/>
    <col min="684" max="684" width="8" bestFit="1" customWidth="1"/>
    <col min="685" max="688" width="10" bestFit="1" customWidth="1"/>
    <col min="689" max="689" width="11" bestFit="1" customWidth="1"/>
    <col min="690" max="690" width="9" bestFit="1" customWidth="1"/>
    <col min="691" max="691" width="10" bestFit="1" customWidth="1"/>
    <col min="692" max="692" width="11" bestFit="1" customWidth="1"/>
    <col min="693" max="693" width="8" bestFit="1" customWidth="1"/>
    <col min="694" max="694" width="11" bestFit="1" customWidth="1"/>
    <col min="695" max="695" width="9" bestFit="1" customWidth="1"/>
    <col min="696" max="696" width="6" bestFit="1" customWidth="1"/>
    <col min="697" max="697" width="8" bestFit="1" customWidth="1"/>
    <col min="698" max="698" width="9" bestFit="1" customWidth="1"/>
    <col min="699" max="699" width="11" bestFit="1" customWidth="1"/>
    <col min="700" max="700" width="10" bestFit="1" customWidth="1"/>
    <col min="701" max="703" width="9" bestFit="1" customWidth="1"/>
    <col min="704" max="704" width="10" bestFit="1" customWidth="1"/>
    <col min="705" max="705" width="8" bestFit="1" customWidth="1"/>
    <col min="706" max="707" width="10" bestFit="1" customWidth="1"/>
    <col min="708" max="708" width="9" bestFit="1" customWidth="1"/>
    <col min="709" max="709" width="11" bestFit="1" customWidth="1"/>
    <col min="710" max="711" width="9" bestFit="1" customWidth="1"/>
    <col min="712" max="712" width="11" bestFit="1" customWidth="1"/>
    <col min="713" max="713" width="10" bestFit="1" customWidth="1"/>
    <col min="714" max="715" width="9" bestFit="1" customWidth="1"/>
    <col min="716" max="716" width="8" bestFit="1" customWidth="1"/>
    <col min="717" max="718" width="10" bestFit="1" customWidth="1"/>
    <col min="719" max="720" width="8" bestFit="1" customWidth="1"/>
    <col min="721" max="721" width="10" bestFit="1" customWidth="1"/>
    <col min="722" max="722" width="9" bestFit="1" customWidth="1"/>
    <col min="723" max="726" width="10" bestFit="1" customWidth="1"/>
    <col min="727" max="727" width="11" bestFit="1" customWidth="1"/>
    <col min="728" max="728" width="9" bestFit="1" customWidth="1"/>
    <col min="729" max="729" width="10" bestFit="1" customWidth="1"/>
    <col min="730" max="730" width="11" bestFit="1" customWidth="1"/>
    <col min="731" max="731" width="9" bestFit="1" customWidth="1"/>
    <col min="732" max="732" width="10" bestFit="1" customWidth="1"/>
    <col min="733" max="733" width="8" bestFit="1" customWidth="1"/>
    <col min="734" max="735" width="9" bestFit="1" customWidth="1"/>
    <col min="736" max="737" width="10" bestFit="1" customWidth="1"/>
    <col min="738" max="739" width="9" bestFit="1" customWidth="1"/>
    <col min="740" max="741" width="10" bestFit="1" customWidth="1"/>
    <col min="742" max="742" width="8" bestFit="1" customWidth="1"/>
    <col min="743" max="744" width="10" bestFit="1" customWidth="1"/>
    <col min="745" max="746" width="11" bestFit="1" customWidth="1"/>
    <col min="747" max="747" width="9" bestFit="1" customWidth="1"/>
    <col min="748" max="749" width="10" bestFit="1" customWidth="1"/>
    <col min="750" max="752" width="9" bestFit="1" customWidth="1"/>
    <col min="753" max="753" width="10" bestFit="1" customWidth="1"/>
    <col min="754" max="757" width="9" bestFit="1" customWidth="1"/>
    <col min="758" max="758" width="10" bestFit="1" customWidth="1"/>
    <col min="759" max="759" width="9" bestFit="1" customWidth="1"/>
    <col min="760" max="760" width="11" bestFit="1" customWidth="1"/>
    <col min="761" max="761" width="10" bestFit="1" customWidth="1"/>
    <col min="762" max="762" width="9" bestFit="1" customWidth="1"/>
    <col min="763" max="763" width="8" bestFit="1" customWidth="1"/>
    <col min="764" max="764" width="9" bestFit="1" customWidth="1"/>
    <col min="765" max="765" width="8" bestFit="1" customWidth="1"/>
    <col min="766" max="767" width="10" bestFit="1" customWidth="1"/>
    <col min="768" max="768" width="9" bestFit="1" customWidth="1"/>
    <col min="769" max="769" width="8" bestFit="1" customWidth="1"/>
    <col min="770" max="770" width="10" bestFit="1" customWidth="1"/>
    <col min="771" max="771" width="11" bestFit="1" customWidth="1"/>
    <col min="772" max="772" width="10" bestFit="1" customWidth="1"/>
    <col min="773" max="773" width="9" bestFit="1" customWidth="1"/>
    <col min="774" max="774" width="8" bestFit="1" customWidth="1"/>
    <col min="775" max="778" width="10" bestFit="1" customWidth="1"/>
    <col min="779" max="781" width="9" bestFit="1" customWidth="1"/>
    <col min="782" max="783" width="10" bestFit="1" customWidth="1"/>
    <col min="784" max="784" width="8" bestFit="1" customWidth="1"/>
    <col min="785" max="786" width="10" bestFit="1" customWidth="1"/>
    <col min="787" max="788" width="9" bestFit="1" customWidth="1"/>
    <col min="789" max="789" width="11" bestFit="1" customWidth="1"/>
    <col min="790" max="791" width="9" bestFit="1" customWidth="1"/>
    <col min="792" max="792" width="11" bestFit="1" customWidth="1"/>
    <col min="793" max="793" width="10" bestFit="1" customWidth="1"/>
    <col min="794" max="795" width="9" bestFit="1" customWidth="1"/>
    <col min="796" max="796" width="8" bestFit="1" customWidth="1"/>
    <col min="797" max="797" width="9" bestFit="1" customWidth="1"/>
    <col min="798" max="798" width="10" bestFit="1" customWidth="1"/>
    <col min="799" max="799" width="9" bestFit="1" customWidth="1"/>
    <col min="800" max="800" width="11" bestFit="1" customWidth="1"/>
    <col min="801" max="802" width="10" bestFit="1" customWidth="1"/>
    <col min="803" max="803" width="8" bestFit="1" customWidth="1"/>
    <col min="804" max="804" width="10" bestFit="1" customWidth="1"/>
    <col min="805" max="805" width="9" bestFit="1" customWidth="1"/>
    <col min="806" max="806" width="11" bestFit="1" customWidth="1"/>
    <col min="807" max="807" width="10" bestFit="1" customWidth="1"/>
    <col min="808" max="809" width="9" bestFit="1" customWidth="1"/>
    <col min="810" max="810" width="11" bestFit="1" customWidth="1"/>
    <col min="811" max="811" width="8" bestFit="1" customWidth="1"/>
    <col min="812" max="812" width="9" bestFit="1" customWidth="1"/>
    <col min="813" max="813" width="11" bestFit="1" customWidth="1"/>
    <col min="814" max="814" width="8" bestFit="1" customWidth="1"/>
    <col min="815" max="815" width="9" bestFit="1" customWidth="1"/>
    <col min="816" max="816" width="10" bestFit="1" customWidth="1"/>
    <col min="817" max="817" width="8" bestFit="1" customWidth="1"/>
    <col min="818" max="818" width="9" bestFit="1" customWidth="1"/>
    <col min="819" max="819" width="8" bestFit="1" customWidth="1"/>
    <col min="820" max="821" width="10" bestFit="1" customWidth="1"/>
    <col min="822" max="823" width="9" bestFit="1" customWidth="1"/>
    <col min="824" max="826" width="10" bestFit="1" customWidth="1"/>
    <col min="827" max="829" width="9" bestFit="1" customWidth="1"/>
    <col min="830" max="830" width="10" bestFit="1" customWidth="1"/>
    <col min="831" max="831" width="11" bestFit="1" customWidth="1"/>
    <col min="832" max="833" width="10" bestFit="1" customWidth="1"/>
    <col min="834" max="835" width="9" bestFit="1" customWidth="1"/>
    <col min="836" max="837" width="10" bestFit="1" customWidth="1"/>
    <col min="838" max="839" width="9" bestFit="1" customWidth="1"/>
    <col min="840" max="840" width="11" bestFit="1" customWidth="1"/>
    <col min="841" max="841" width="10" bestFit="1" customWidth="1"/>
    <col min="842" max="842" width="9" bestFit="1" customWidth="1"/>
    <col min="843" max="843" width="10" bestFit="1" customWidth="1"/>
    <col min="844" max="844" width="9" bestFit="1" customWidth="1"/>
    <col min="845" max="845" width="10" bestFit="1" customWidth="1"/>
    <col min="846" max="846" width="9" bestFit="1" customWidth="1"/>
    <col min="847" max="847" width="11" bestFit="1" customWidth="1"/>
    <col min="848" max="849" width="10" bestFit="1" customWidth="1"/>
    <col min="850" max="851" width="9" bestFit="1" customWidth="1"/>
    <col min="852" max="853" width="10" bestFit="1" customWidth="1"/>
    <col min="854" max="854" width="9" bestFit="1" customWidth="1"/>
    <col min="855" max="856" width="8" bestFit="1" customWidth="1"/>
    <col min="857" max="857" width="9" bestFit="1" customWidth="1"/>
    <col min="858" max="858" width="10" bestFit="1" customWidth="1"/>
    <col min="859" max="859" width="11" bestFit="1" customWidth="1"/>
    <col min="860" max="860" width="9" bestFit="1" customWidth="1"/>
    <col min="861" max="865" width="10" bestFit="1" customWidth="1"/>
    <col min="866" max="866" width="9" bestFit="1" customWidth="1"/>
    <col min="867" max="868" width="10" bestFit="1" customWidth="1"/>
    <col min="869" max="869" width="9" bestFit="1" customWidth="1"/>
    <col min="870" max="870" width="10" bestFit="1" customWidth="1"/>
    <col min="871" max="872" width="9" bestFit="1" customWidth="1"/>
    <col min="873" max="874" width="10" bestFit="1" customWidth="1"/>
    <col min="875" max="875" width="9" bestFit="1" customWidth="1"/>
    <col min="876" max="876" width="10" bestFit="1" customWidth="1"/>
    <col min="877" max="878" width="9" bestFit="1" customWidth="1"/>
    <col min="879" max="879" width="10" bestFit="1" customWidth="1"/>
    <col min="880" max="880" width="3.5546875" bestFit="1" customWidth="1"/>
    <col min="881" max="881" width="7" bestFit="1" customWidth="1"/>
    <col min="882" max="882" width="10.77734375" bestFit="1" customWidth="1"/>
    <col min="883" max="883" width="12.21875" bestFit="1" customWidth="1"/>
    <col min="884" max="884" width="11" bestFit="1" customWidth="1"/>
    <col min="885" max="885" width="13.33203125" bestFit="1" customWidth="1"/>
    <col min="886" max="886" width="10" bestFit="1" customWidth="1"/>
    <col min="887" max="887" width="12.21875" bestFit="1" customWidth="1"/>
    <col min="888" max="888" width="11" bestFit="1" customWidth="1"/>
    <col min="889" max="889" width="13.33203125" bestFit="1" customWidth="1"/>
    <col min="890" max="890" width="10" bestFit="1" customWidth="1"/>
    <col min="891" max="891" width="12.21875" bestFit="1" customWidth="1"/>
    <col min="892" max="892" width="10" bestFit="1" customWidth="1"/>
    <col min="893" max="893" width="12.21875" bestFit="1" customWidth="1"/>
    <col min="894" max="894" width="10" bestFit="1" customWidth="1"/>
    <col min="895" max="895" width="12.21875" bestFit="1" customWidth="1"/>
    <col min="896" max="896" width="10" bestFit="1" customWidth="1"/>
    <col min="897" max="897" width="12.21875" bestFit="1" customWidth="1"/>
    <col min="898" max="898" width="12" bestFit="1" customWidth="1"/>
    <col min="899" max="899" width="14.33203125" bestFit="1" customWidth="1"/>
    <col min="900" max="900" width="11" bestFit="1" customWidth="1"/>
    <col min="901" max="901" width="13.33203125" bestFit="1" customWidth="1"/>
    <col min="902" max="902" width="11" bestFit="1" customWidth="1"/>
    <col min="903" max="903" width="13.33203125" bestFit="1" customWidth="1"/>
    <col min="904" max="904" width="10" bestFit="1" customWidth="1"/>
    <col min="905" max="905" width="12.21875" bestFit="1" customWidth="1"/>
    <col min="906" max="906" width="11" bestFit="1" customWidth="1"/>
    <col min="907" max="907" width="13.33203125" bestFit="1" customWidth="1"/>
    <col min="908" max="908" width="10" bestFit="1" customWidth="1"/>
    <col min="909" max="909" width="12.21875" bestFit="1" customWidth="1"/>
    <col min="910" max="910" width="10" bestFit="1" customWidth="1"/>
    <col min="911" max="911" width="12.21875" bestFit="1" customWidth="1"/>
    <col min="912" max="912" width="10" bestFit="1" customWidth="1"/>
    <col min="913" max="913" width="12.21875" bestFit="1" customWidth="1"/>
    <col min="914" max="914" width="11" bestFit="1" customWidth="1"/>
    <col min="915" max="915" width="13.33203125" bestFit="1" customWidth="1"/>
    <col min="916" max="916" width="10" bestFit="1" customWidth="1"/>
    <col min="917" max="917" width="12.21875" bestFit="1" customWidth="1"/>
    <col min="918" max="918" width="10" bestFit="1" customWidth="1"/>
    <col min="919" max="919" width="12.21875" bestFit="1" customWidth="1"/>
    <col min="920" max="920" width="12" bestFit="1" customWidth="1"/>
    <col min="921" max="921" width="14.33203125" bestFit="1" customWidth="1"/>
    <col min="922" max="922" width="11" bestFit="1" customWidth="1"/>
    <col min="923" max="923" width="13.33203125" bestFit="1" customWidth="1"/>
    <col min="924" max="924" width="11" bestFit="1" customWidth="1"/>
    <col min="925" max="925" width="13.33203125" bestFit="1" customWidth="1"/>
    <col min="926" max="926" width="12" bestFit="1" customWidth="1"/>
    <col min="927" max="927" width="14.33203125" bestFit="1" customWidth="1"/>
    <col min="928" max="928" width="10" bestFit="1" customWidth="1"/>
    <col min="929" max="929" width="12.21875" bestFit="1" customWidth="1"/>
    <col min="930" max="930" width="11" bestFit="1" customWidth="1"/>
    <col min="931" max="931" width="13.33203125" bestFit="1" customWidth="1"/>
    <col min="932" max="932" width="10" bestFit="1" customWidth="1"/>
    <col min="933" max="933" width="12.21875" bestFit="1" customWidth="1"/>
    <col min="934" max="934" width="10" bestFit="1" customWidth="1"/>
    <col min="935" max="935" width="12.21875" bestFit="1" customWidth="1"/>
    <col min="936" max="936" width="11" bestFit="1" customWidth="1"/>
    <col min="937" max="937" width="13.33203125" bestFit="1" customWidth="1"/>
    <col min="938" max="938" width="10" bestFit="1" customWidth="1"/>
    <col min="939" max="939" width="12.21875" bestFit="1" customWidth="1"/>
    <col min="940" max="940" width="11" bestFit="1" customWidth="1"/>
    <col min="941" max="941" width="13.33203125" bestFit="1" customWidth="1"/>
    <col min="942" max="942" width="11" bestFit="1" customWidth="1"/>
    <col min="943" max="943" width="13.33203125" bestFit="1" customWidth="1"/>
    <col min="944" max="944" width="10" bestFit="1" customWidth="1"/>
    <col min="945" max="945" width="12.21875" bestFit="1" customWidth="1"/>
    <col min="946" max="946" width="11" bestFit="1" customWidth="1"/>
    <col min="947" max="947" width="13.33203125" bestFit="1" customWidth="1"/>
    <col min="948" max="948" width="10" bestFit="1" customWidth="1"/>
    <col min="949" max="949" width="12.21875" bestFit="1" customWidth="1"/>
    <col min="950" max="950" width="10" bestFit="1" customWidth="1"/>
    <col min="951" max="951" width="12.21875" bestFit="1" customWidth="1"/>
    <col min="952" max="952" width="11" bestFit="1" customWidth="1"/>
    <col min="953" max="953" width="13.33203125" bestFit="1" customWidth="1"/>
    <col min="954" max="954" width="10" bestFit="1" customWidth="1"/>
    <col min="955" max="955" width="12.21875" bestFit="1" customWidth="1"/>
    <col min="956" max="956" width="11" bestFit="1" customWidth="1"/>
    <col min="957" max="957" width="13.33203125" bestFit="1" customWidth="1"/>
    <col min="958" max="958" width="10" bestFit="1" customWidth="1"/>
    <col min="959" max="959" width="12.21875" bestFit="1" customWidth="1"/>
    <col min="960" max="960" width="10" bestFit="1" customWidth="1"/>
    <col min="961" max="961" width="12.21875" bestFit="1" customWidth="1"/>
    <col min="962" max="962" width="10" bestFit="1" customWidth="1"/>
    <col min="963" max="963" width="12.21875" bestFit="1" customWidth="1"/>
    <col min="964" max="964" width="10" bestFit="1" customWidth="1"/>
    <col min="965" max="965" width="12.21875" bestFit="1" customWidth="1"/>
    <col min="966" max="966" width="10" bestFit="1" customWidth="1"/>
    <col min="967" max="967" width="12.21875" bestFit="1" customWidth="1"/>
    <col min="968" max="968" width="12" bestFit="1" customWidth="1"/>
    <col min="969" max="969" width="14.33203125" bestFit="1" customWidth="1"/>
    <col min="970" max="970" width="11" bestFit="1" customWidth="1"/>
    <col min="971" max="971" width="13.33203125" bestFit="1" customWidth="1"/>
    <col min="972" max="972" width="10" bestFit="1" customWidth="1"/>
    <col min="973" max="973" width="12.21875" bestFit="1" customWidth="1"/>
    <col min="974" max="974" width="11" bestFit="1" customWidth="1"/>
    <col min="975" max="975" width="13.33203125" bestFit="1" customWidth="1"/>
    <col min="976" max="976" width="10" bestFit="1" customWidth="1"/>
    <col min="977" max="977" width="12.21875" bestFit="1" customWidth="1"/>
    <col min="978" max="978" width="10" bestFit="1" customWidth="1"/>
    <col min="979" max="979" width="12.21875" bestFit="1" customWidth="1"/>
    <col min="980" max="980" width="10" bestFit="1" customWidth="1"/>
    <col min="981" max="981" width="12.21875" bestFit="1" customWidth="1"/>
    <col min="982" max="982" width="10" bestFit="1" customWidth="1"/>
    <col min="983" max="983" width="12.21875" bestFit="1" customWidth="1"/>
    <col min="984" max="984" width="10" bestFit="1" customWidth="1"/>
    <col min="985" max="985" width="12.21875" bestFit="1" customWidth="1"/>
    <col min="986" max="986" width="10" bestFit="1" customWidth="1"/>
    <col min="987" max="987" width="12.21875" bestFit="1" customWidth="1"/>
    <col min="988" max="988" width="11" bestFit="1" customWidth="1"/>
    <col min="989" max="989" width="13.33203125" bestFit="1" customWidth="1"/>
    <col min="990" max="990" width="10" bestFit="1" customWidth="1"/>
    <col min="991" max="991" width="12.21875" bestFit="1" customWidth="1"/>
    <col min="992" max="992" width="10" bestFit="1" customWidth="1"/>
    <col min="993" max="993" width="12.21875" bestFit="1" customWidth="1"/>
    <col min="994" max="994" width="9" bestFit="1" customWidth="1"/>
    <col min="995" max="995" width="11.21875" bestFit="1" customWidth="1"/>
    <col min="996" max="996" width="11" bestFit="1" customWidth="1"/>
    <col min="997" max="997" width="13.33203125" bestFit="1" customWidth="1"/>
    <col min="998" max="998" width="10" bestFit="1" customWidth="1"/>
    <col min="999" max="999" width="12.21875" bestFit="1" customWidth="1"/>
    <col min="1000" max="1000" width="12" bestFit="1" customWidth="1"/>
    <col min="1001" max="1001" width="14.33203125" bestFit="1" customWidth="1"/>
    <col min="1002" max="1002" width="11" bestFit="1" customWidth="1"/>
    <col min="1003" max="1003" width="13.33203125" bestFit="1" customWidth="1"/>
    <col min="1004" max="1004" width="12" bestFit="1" customWidth="1"/>
    <col min="1005" max="1005" width="14.33203125" bestFit="1" customWidth="1"/>
    <col min="1006" max="1006" width="10" bestFit="1" customWidth="1"/>
    <col min="1007" max="1007" width="12.21875" bestFit="1" customWidth="1"/>
    <col min="1008" max="1008" width="10" bestFit="1" customWidth="1"/>
    <col min="1009" max="1009" width="12.21875" bestFit="1" customWidth="1"/>
    <col min="1010" max="1010" width="10" bestFit="1" customWidth="1"/>
    <col min="1011" max="1011" width="12.21875" bestFit="1" customWidth="1"/>
    <col min="1012" max="1012" width="10" bestFit="1" customWidth="1"/>
    <col min="1013" max="1013" width="12.21875" bestFit="1" customWidth="1"/>
    <col min="1014" max="1014" width="11" bestFit="1" customWidth="1"/>
    <col min="1015" max="1015" width="13.33203125" bestFit="1" customWidth="1"/>
    <col min="1016" max="1016" width="11" bestFit="1" customWidth="1"/>
    <col min="1017" max="1017" width="13.33203125" bestFit="1" customWidth="1"/>
    <col min="1018" max="1018" width="10" bestFit="1" customWidth="1"/>
    <col min="1019" max="1019" width="12.21875" bestFit="1" customWidth="1"/>
    <col min="1020" max="1020" width="11" bestFit="1" customWidth="1"/>
    <col min="1021" max="1021" width="13.33203125" bestFit="1" customWidth="1"/>
    <col min="1022" max="1022" width="10" bestFit="1" customWidth="1"/>
    <col min="1023" max="1023" width="12.21875" bestFit="1" customWidth="1"/>
    <col min="1024" max="1024" width="11" bestFit="1" customWidth="1"/>
    <col min="1025" max="1025" width="13.33203125" bestFit="1" customWidth="1"/>
    <col min="1026" max="1026" width="10" bestFit="1" customWidth="1"/>
    <col min="1027" max="1027" width="12.21875" bestFit="1" customWidth="1"/>
    <col min="1028" max="1028" width="11" bestFit="1" customWidth="1"/>
    <col min="1029" max="1029" width="13.33203125" bestFit="1" customWidth="1"/>
    <col min="1030" max="1030" width="11" bestFit="1" customWidth="1"/>
    <col min="1031" max="1031" width="13.33203125" bestFit="1" customWidth="1"/>
    <col min="1032" max="1032" width="11" bestFit="1" customWidth="1"/>
    <col min="1033" max="1033" width="13.33203125" bestFit="1" customWidth="1"/>
    <col min="1034" max="1034" width="11" bestFit="1" customWidth="1"/>
    <col min="1035" max="1035" width="13.33203125" bestFit="1" customWidth="1"/>
    <col min="1036" max="1036" width="11" bestFit="1" customWidth="1"/>
    <col min="1037" max="1037" width="13.33203125" bestFit="1" customWidth="1"/>
    <col min="1038" max="1038" width="11" bestFit="1" customWidth="1"/>
    <col min="1039" max="1039" width="13.33203125" bestFit="1" customWidth="1"/>
    <col min="1040" max="1040" width="11" bestFit="1" customWidth="1"/>
    <col min="1041" max="1041" width="13.33203125" bestFit="1" customWidth="1"/>
    <col min="1042" max="1042" width="10" bestFit="1" customWidth="1"/>
    <col min="1043" max="1043" width="12.21875" bestFit="1" customWidth="1"/>
    <col min="1044" max="1044" width="10" bestFit="1" customWidth="1"/>
    <col min="1045" max="1045" width="12.21875" bestFit="1" customWidth="1"/>
    <col min="1046" max="1046" width="11" bestFit="1" customWidth="1"/>
    <col min="1047" max="1047" width="13.33203125" bestFit="1" customWidth="1"/>
    <col min="1048" max="1048" width="10" bestFit="1" customWidth="1"/>
    <col min="1049" max="1049" width="12.21875" bestFit="1" customWidth="1"/>
    <col min="1050" max="1050" width="10" bestFit="1" customWidth="1"/>
    <col min="1051" max="1051" width="12.21875" bestFit="1" customWidth="1"/>
    <col min="1052" max="1052" width="10" bestFit="1" customWidth="1"/>
    <col min="1053" max="1053" width="12.21875" bestFit="1" customWidth="1"/>
    <col min="1054" max="1054" width="11" bestFit="1" customWidth="1"/>
    <col min="1055" max="1055" width="13.33203125" bestFit="1" customWidth="1"/>
    <col min="1056" max="1056" width="10" bestFit="1" customWidth="1"/>
    <col min="1057" max="1057" width="12.21875" bestFit="1" customWidth="1"/>
    <col min="1058" max="1058" width="9" bestFit="1" customWidth="1"/>
    <col min="1059" max="1059" width="11.21875" bestFit="1" customWidth="1"/>
    <col min="1060" max="1060" width="11" bestFit="1" customWidth="1"/>
    <col min="1061" max="1061" width="13.33203125" bestFit="1" customWidth="1"/>
    <col min="1062" max="1062" width="10" bestFit="1" customWidth="1"/>
    <col min="1063" max="1063" width="12.21875" bestFit="1" customWidth="1"/>
    <col min="1064" max="1064" width="10" bestFit="1" customWidth="1"/>
    <col min="1065" max="1065" width="12.21875" bestFit="1" customWidth="1"/>
    <col min="1066" max="1066" width="10" bestFit="1" customWidth="1"/>
    <col min="1067" max="1067" width="12.21875" bestFit="1" customWidth="1"/>
    <col min="1068" max="1068" width="11" bestFit="1" customWidth="1"/>
    <col min="1069" max="1069" width="13.33203125" bestFit="1" customWidth="1"/>
    <col min="1070" max="1070" width="11" bestFit="1" customWidth="1"/>
    <col min="1071" max="1071" width="13.33203125" bestFit="1" customWidth="1"/>
    <col min="1072" max="1072" width="11" bestFit="1" customWidth="1"/>
    <col min="1073" max="1073" width="13.33203125" bestFit="1" customWidth="1"/>
    <col min="1074" max="1074" width="10" bestFit="1" customWidth="1"/>
    <col min="1075" max="1075" width="12.21875" bestFit="1" customWidth="1"/>
    <col min="1076" max="1076" width="11" bestFit="1" customWidth="1"/>
    <col min="1077" max="1077" width="13.33203125" bestFit="1" customWidth="1"/>
    <col min="1078" max="1078" width="10" bestFit="1" customWidth="1"/>
    <col min="1079" max="1079" width="12.21875" bestFit="1" customWidth="1"/>
    <col min="1080" max="1080" width="10" bestFit="1" customWidth="1"/>
    <col min="1081" max="1081" width="12.21875" bestFit="1" customWidth="1"/>
    <col min="1082" max="1082" width="10" bestFit="1" customWidth="1"/>
    <col min="1083" max="1083" width="12.21875" bestFit="1" customWidth="1"/>
    <col min="1084" max="1084" width="10" bestFit="1" customWidth="1"/>
    <col min="1085" max="1085" width="12.21875" bestFit="1" customWidth="1"/>
    <col min="1086" max="1086" width="12" bestFit="1" customWidth="1"/>
    <col min="1087" max="1087" width="14.33203125" bestFit="1" customWidth="1"/>
    <col min="1088" max="1088" width="10" bestFit="1" customWidth="1"/>
    <col min="1089" max="1089" width="12.21875" bestFit="1" customWidth="1"/>
    <col min="1090" max="1090" width="10" bestFit="1" customWidth="1"/>
    <col min="1091" max="1091" width="12.21875" bestFit="1" customWidth="1"/>
    <col min="1092" max="1092" width="8" bestFit="1" customWidth="1"/>
    <col min="1093" max="1093" width="9.6640625" bestFit="1" customWidth="1"/>
    <col min="1094" max="1094" width="11" bestFit="1" customWidth="1"/>
    <col min="1095" max="1095" width="13.33203125" bestFit="1" customWidth="1"/>
    <col min="1096" max="1096" width="10" bestFit="1" customWidth="1"/>
    <col min="1097" max="1097" width="12.21875" bestFit="1" customWidth="1"/>
    <col min="1098" max="1098" width="10" bestFit="1" customWidth="1"/>
    <col min="1099" max="1099" width="12.21875" bestFit="1" customWidth="1"/>
    <col min="1100" max="1100" width="10" bestFit="1" customWidth="1"/>
    <col min="1101" max="1101" width="12.21875" bestFit="1" customWidth="1"/>
    <col min="1102" max="1102" width="11" bestFit="1" customWidth="1"/>
    <col min="1103" max="1103" width="13.33203125" bestFit="1" customWidth="1"/>
    <col min="1104" max="1104" width="10" bestFit="1" customWidth="1"/>
    <col min="1105" max="1105" width="12.21875" bestFit="1" customWidth="1"/>
    <col min="1106" max="1106" width="11" bestFit="1" customWidth="1"/>
    <col min="1107" max="1107" width="13.33203125" bestFit="1" customWidth="1"/>
    <col min="1108" max="1108" width="10" bestFit="1" customWidth="1"/>
    <col min="1109" max="1109" width="12.21875" bestFit="1" customWidth="1"/>
    <col min="1110" max="1110" width="11" bestFit="1" customWidth="1"/>
    <col min="1111" max="1111" width="13.33203125" bestFit="1" customWidth="1"/>
    <col min="1112" max="1112" width="11" bestFit="1" customWidth="1"/>
    <col min="1113" max="1113" width="13.33203125" bestFit="1" customWidth="1"/>
    <col min="1114" max="1114" width="12" bestFit="1" customWidth="1"/>
    <col min="1115" max="1115" width="14.33203125" bestFit="1" customWidth="1"/>
    <col min="1116" max="1116" width="9" bestFit="1" customWidth="1"/>
    <col min="1117" max="1117" width="11.21875" bestFit="1" customWidth="1"/>
    <col min="1118" max="1118" width="12" bestFit="1" customWidth="1"/>
    <col min="1119" max="1119" width="14.33203125" bestFit="1" customWidth="1"/>
    <col min="1120" max="1120" width="11" bestFit="1" customWidth="1"/>
    <col min="1121" max="1121" width="13.33203125" bestFit="1" customWidth="1"/>
    <col min="1122" max="1122" width="10" bestFit="1" customWidth="1"/>
    <col min="1123" max="1123" width="12.21875" bestFit="1" customWidth="1"/>
    <col min="1124" max="1124" width="11" bestFit="1" customWidth="1"/>
    <col min="1125" max="1125" width="13.33203125" bestFit="1" customWidth="1"/>
    <col min="1126" max="1126" width="10" bestFit="1" customWidth="1"/>
    <col min="1127" max="1127" width="12.21875" bestFit="1" customWidth="1"/>
    <col min="1128" max="1128" width="10" bestFit="1" customWidth="1"/>
    <col min="1129" max="1129" width="12.21875" bestFit="1" customWidth="1"/>
    <col min="1130" max="1130" width="10" bestFit="1" customWidth="1"/>
    <col min="1131" max="1131" width="12.21875" bestFit="1" customWidth="1"/>
    <col min="1132" max="1132" width="10" bestFit="1" customWidth="1"/>
    <col min="1133" max="1133" width="12.21875" bestFit="1" customWidth="1"/>
    <col min="1134" max="1134" width="10" bestFit="1" customWidth="1"/>
    <col min="1135" max="1135" width="12.21875" bestFit="1" customWidth="1"/>
    <col min="1136" max="1136" width="10" bestFit="1" customWidth="1"/>
    <col min="1137" max="1137" width="12.21875" bestFit="1" customWidth="1"/>
    <col min="1138" max="1138" width="10" bestFit="1" customWidth="1"/>
    <col min="1139" max="1139" width="12.21875" bestFit="1" customWidth="1"/>
    <col min="1140" max="1140" width="11" bestFit="1" customWidth="1"/>
    <col min="1141" max="1141" width="13.33203125" bestFit="1" customWidth="1"/>
    <col min="1142" max="1142" width="11" bestFit="1" customWidth="1"/>
    <col min="1143" max="1143" width="13.33203125" bestFit="1" customWidth="1"/>
    <col min="1144" max="1144" width="10" bestFit="1" customWidth="1"/>
    <col min="1145" max="1145" width="12.21875" bestFit="1" customWidth="1"/>
    <col min="1146" max="1146" width="11" bestFit="1" customWidth="1"/>
    <col min="1147" max="1147" width="13.33203125" bestFit="1" customWidth="1"/>
    <col min="1148" max="1148" width="11" bestFit="1" customWidth="1"/>
    <col min="1149" max="1149" width="13.33203125" bestFit="1" customWidth="1"/>
    <col min="1150" max="1150" width="11" bestFit="1" customWidth="1"/>
    <col min="1151" max="1151" width="13.33203125" bestFit="1" customWidth="1"/>
    <col min="1152" max="1152" width="11" bestFit="1" customWidth="1"/>
    <col min="1153" max="1153" width="13.33203125" bestFit="1" customWidth="1"/>
    <col min="1154" max="1154" width="10" bestFit="1" customWidth="1"/>
    <col min="1155" max="1155" width="12.21875" bestFit="1" customWidth="1"/>
    <col min="1156" max="1156" width="12" bestFit="1" customWidth="1"/>
    <col min="1157" max="1157" width="14.33203125" bestFit="1" customWidth="1"/>
    <col min="1158" max="1158" width="11" bestFit="1" customWidth="1"/>
    <col min="1159" max="1159" width="13.33203125" bestFit="1" customWidth="1"/>
    <col min="1160" max="1160" width="11" bestFit="1" customWidth="1"/>
    <col min="1161" max="1161" width="13.33203125" bestFit="1" customWidth="1"/>
    <col min="1162" max="1162" width="11" bestFit="1" customWidth="1"/>
    <col min="1163" max="1163" width="13.33203125" bestFit="1" customWidth="1"/>
    <col min="1164" max="1164" width="10" bestFit="1" customWidth="1"/>
    <col min="1165" max="1165" width="12.21875" bestFit="1" customWidth="1"/>
    <col min="1166" max="1166" width="11" bestFit="1" customWidth="1"/>
    <col min="1167" max="1167" width="13.33203125" bestFit="1" customWidth="1"/>
    <col min="1168" max="1168" width="11" bestFit="1" customWidth="1"/>
    <col min="1169" max="1169" width="13.33203125" bestFit="1" customWidth="1"/>
    <col min="1170" max="1170" width="12" bestFit="1" customWidth="1"/>
    <col min="1171" max="1171" width="14.33203125" bestFit="1" customWidth="1"/>
    <col min="1172" max="1172" width="10" bestFit="1" customWidth="1"/>
    <col min="1173" max="1173" width="12.21875" bestFit="1" customWidth="1"/>
    <col min="1174" max="1174" width="11" bestFit="1" customWidth="1"/>
    <col min="1175" max="1175" width="13.33203125" bestFit="1" customWidth="1"/>
    <col min="1176" max="1176" width="10" bestFit="1" customWidth="1"/>
    <col min="1177" max="1177" width="12.21875" bestFit="1" customWidth="1"/>
    <col min="1178" max="1178" width="11" bestFit="1" customWidth="1"/>
    <col min="1179" max="1179" width="13.33203125" bestFit="1" customWidth="1"/>
    <col min="1180" max="1180" width="11" bestFit="1" customWidth="1"/>
    <col min="1181" max="1181" width="13.33203125" bestFit="1" customWidth="1"/>
    <col min="1182" max="1182" width="10" bestFit="1" customWidth="1"/>
    <col min="1183" max="1183" width="12.21875" bestFit="1" customWidth="1"/>
    <col min="1184" max="1184" width="10" bestFit="1" customWidth="1"/>
    <col min="1185" max="1185" width="12.21875" bestFit="1" customWidth="1"/>
    <col min="1186" max="1186" width="10" bestFit="1" customWidth="1"/>
    <col min="1187" max="1187" width="12.21875" bestFit="1" customWidth="1"/>
    <col min="1188" max="1188" width="10" bestFit="1" customWidth="1"/>
    <col min="1189" max="1189" width="12.21875" bestFit="1" customWidth="1"/>
    <col min="1190" max="1190" width="11" bestFit="1" customWidth="1"/>
    <col min="1191" max="1191" width="13.33203125" bestFit="1" customWidth="1"/>
    <col min="1192" max="1192" width="11" bestFit="1" customWidth="1"/>
    <col min="1193" max="1193" width="13.33203125" bestFit="1" customWidth="1"/>
    <col min="1194" max="1194" width="10" bestFit="1" customWidth="1"/>
    <col min="1195" max="1195" width="12.21875" bestFit="1" customWidth="1"/>
    <col min="1196" max="1196" width="11" bestFit="1" customWidth="1"/>
    <col min="1197" max="1197" width="13.33203125" bestFit="1" customWidth="1"/>
    <col min="1198" max="1198" width="11" bestFit="1" customWidth="1"/>
    <col min="1199" max="1199" width="13.33203125" bestFit="1" customWidth="1"/>
    <col min="1200" max="1200" width="10" bestFit="1" customWidth="1"/>
    <col min="1201" max="1201" width="12.21875" bestFit="1" customWidth="1"/>
    <col min="1202" max="1202" width="10" bestFit="1" customWidth="1"/>
    <col min="1203" max="1203" width="12.21875" bestFit="1" customWidth="1"/>
    <col min="1204" max="1204" width="10" bestFit="1" customWidth="1"/>
    <col min="1205" max="1205" width="12.21875" bestFit="1" customWidth="1"/>
    <col min="1206" max="1206" width="11" bestFit="1" customWidth="1"/>
    <col min="1207" max="1207" width="13.33203125" bestFit="1" customWidth="1"/>
    <col min="1208" max="1208" width="11" bestFit="1" customWidth="1"/>
    <col min="1209" max="1209" width="13.33203125" bestFit="1" customWidth="1"/>
    <col min="1210" max="1210" width="11" bestFit="1" customWidth="1"/>
    <col min="1211" max="1211" width="13.33203125" bestFit="1" customWidth="1"/>
    <col min="1212" max="1212" width="10" bestFit="1" customWidth="1"/>
    <col min="1213" max="1213" width="12.21875" bestFit="1" customWidth="1"/>
    <col min="1214" max="1214" width="10" bestFit="1" customWidth="1"/>
    <col min="1215" max="1215" width="12.21875" bestFit="1" customWidth="1"/>
    <col min="1216" max="1216" width="10" bestFit="1" customWidth="1"/>
    <col min="1217" max="1217" width="12.21875" bestFit="1" customWidth="1"/>
    <col min="1218" max="1218" width="11" bestFit="1" customWidth="1"/>
    <col min="1219" max="1219" width="13.33203125" bestFit="1" customWidth="1"/>
    <col min="1220" max="1220" width="11" bestFit="1" customWidth="1"/>
    <col min="1221" max="1221" width="13.33203125" bestFit="1" customWidth="1"/>
    <col min="1222" max="1222" width="12" bestFit="1" customWidth="1"/>
    <col min="1223" max="1223" width="14.33203125" bestFit="1" customWidth="1"/>
    <col min="1224" max="1224" width="12" bestFit="1" customWidth="1"/>
    <col min="1225" max="1225" width="14.33203125" bestFit="1" customWidth="1"/>
    <col min="1226" max="1226" width="10" bestFit="1" customWidth="1"/>
    <col min="1227" max="1227" width="12.21875" bestFit="1" customWidth="1"/>
    <col min="1228" max="1228" width="12" bestFit="1" customWidth="1"/>
    <col min="1229" max="1229" width="14.33203125" bestFit="1" customWidth="1"/>
    <col min="1230" max="1230" width="10" bestFit="1" customWidth="1"/>
    <col min="1231" max="1231" width="12.21875" bestFit="1" customWidth="1"/>
    <col min="1232" max="1232" width="10" bestFit="1" customWidth="1"/>
    <col min="1233" max="1233" width="12.21875" bestFit="1" customWidth="1"/>
    <col min="1234" max="1234" width="11" bestFit="1" customWidth="1"/>
    <col min="1235" max="1235" width="13.33203125" bestFit="1" customWidth="1"/>
    <col min="1236" max="1236" width="10" bestFit="1" customWidth="1"/>
    <col min="1237" max="1237" width="12.21875" bestFit="1" customWidth="1"/>
    <col min="1238" max="1238" width="10" bestFit="1" customWidth="1"/>
    <col min="1239" max="1239" width="12.21875" bestFit="1" customWidth="1"/>
    <col min="1240" max="1240" width="11" bestFit="1" customWidth="1"/>
    <col min="1241" max="1241" width="13.33203125" bestFit="1" customWidth="1"/>
    <col min="1242" max="1242" width="9" bestFit="1" customWidth="1"/>
    <col min="1243" max="1243" width="11.21875" bestFit="1" customWidth="1"/>
    <col min="1244" max="1244" width="11" bestFit="1" customWidth="1"/>
    <col min="1245" max="1245" width="13.33203125" bestFit="1" customWidth="1"/>
    <col min="1246" max="1246" width="9" bestFit="1" customWidth="1"/>
    <col min="1247" max="1247" width="11.21875" bestFit="1" customWidth="1"/>
    <col min="1248" max="1248" width="10" bestFit="1" customWidth="1"/>
    <col min="1249" max="1249" width="12.21875" bestFit="1" customWidth="1"/>
    <col min="1250" max="1250" width="10" bestFit="1" customWidth="1"/>
    <col min="1251" max="1251" width="12.21875" bestFit="1" customWidth="1"/>
    <col min="1252" max="1252" width="11" bestFit="1" customWidth="1"/>
    <col min="1253" max="1253" width="13.33203125" bestFit="1" customWidth="1"/>
    <col min="1254" max="1254" width="11" bestFit="1" customWidth="1"/>
    <col min="1255" max="1255" width="13.33203125" bestFit="1" customWidth="1"/>
    <col min="1256" max="1256" width="11" bestFit="1" customWidth="1"/>
    <col min="1257" max="1257" width="13.33203125" bestFit="1" customWidth="1"/>
    <col min="1258" max="1258" width="10" bestFit="1" customWidth="1"/>
    <col min="1259" max="1259" width="12.21875" bestFit="1" customWidth="1"/>
    <col min="1260" max="1260" width="12" bestFit="1" customWidth="1"/>
    <col min="1261" max="1261" width="14.33203125" bestFit="1" customWidth="1"/>
    <col min="1262" max="1262" width="10" bestFit="1" customWidth="1"/>
    <col min="1263" max="1263" width="12.21875" bestFit="1" customWidth="1"/>
    <col min="1264" max="1264" width="11" bestFit="1" customWidth="1"/>
    <col min="1265" max="1265" width="13.33203125" bestFit="1" customWidth="1"/>
    <col min="1266" max="1266" width="10" bestFit="1" customWidth="1"/>
    <col min="1267" max="1267" width="12.21875" bestFit="1" customWidth="1"/>
    <col min="1268" max="1268" width="12" bestFit="1" customWidth="1"/>
    <col min="1269" max="1269" width="14.33203125" bestFit="1" customWidth="1"/>
    <col min="1270" max="1270" width="11" bestFit="1" customWidth="1"/>
    <col min="1271" max="1271" width="13.33203125" bestFit="1" customWidth="1"/>
    <col min="1272" max="1272" width="11" bestFit="1" customWidth="1"/>
    <col min="1273" max="1273" width="13.33203125" bestFit="1" customWidth="1"/>
    <col min="1274" max="1274" width="11" bestFit="1" customWidth="1"/>
    <col min="1275" max="1275" width="13.33203125" bestFit="1" customWidth="1"/>
    <col min="1276" max="1276" width="12" bestFit="1" customWidth="1"/>
    <col min="1277" max="1277" width="14.33203125" bestFit="1" customWidth="1"/>
    <col min="1278" max="1278" width="11" bestFit="1" customWidth="1"/>
    <col min="1279" max="1279" width="13.33203125" bestFit="1" customWidth="1"/>
    <col min="1280" max="1280" width="11" bestFit="1" customWidth="1"/>
    <col min="1281" max="1281" width="13.33203125" bestFit="1" customWidth="1"/>
    <col min="1282" max="1282" width="10" bestFit="1" customWidth="1"/>
    <col min="1283" max="1283" width="12.21875" bestFit="1" customWidth="1"/>
    <col min="1284" max="1284" width="12" bestFit="1" customWidth="1"/>
    <col min="1285" max="1285" width="14.33203125" bestFit="1" customWidth="1"/>
    <col min="1286" max="1286" width="10" bestFit="1" customWidth="1"/>
    <col min="1287" max="1287" width="12.21875" bestFit="1" customWidth="1"/>
    <col min="1288" max="1288" width="11" bestFit="1" customWidth="1"/>
    <col min="1289" max="1289" width="13.33203125" bestFit="1" customWidth="1"/>
    <col min="1290" max="1290" width="10" bestFit="1" customWidth="1"/>
    <col min="1291" max="1291" width="12.21875" bestFit="1" customWidth="1"/>
    <col min="1292" max="1292" width="10" bestFit="1" customWidth="1"/>
    <col min="1293" max="1293" width="12.21875" bestFit="1" customWidth="1"/>
    <col min="1294" max="1294" width="11" bestFit="1" customWidth="1"/>
    <col min="1295" max="1295" width="13.33203125" bestFit="1" customWidth="1"/>
    <col min="1296" max="1296" width="11" bestFit="1" customWidth="1"/>
    <col min="1297" max="1297" width="13.33203125" bestFit="1" customWidth="1"/>
    <col min="1298" max="1298" width="12" bestFit="1" customWidth="1"/>
    <col min="1299" max="1299" width="14.33203125" bestFit="1" customWidth="1"/>
    <col min="1300" max="1300" width="11" bestFit="1" customWidth="1"/>
    <col min="1301" max="1301" width="13.33203125" bestFit="1" customWidth="1"/>
    <col min="1302" max="1302" width="10" bestFit="1" customWidth="1"/>
    <col min="1303" max="1303" width="12.21875" bestFit="1" customWidth="1"/>
    <col min="1304" max="1304" width="11" bestFit="1" customWidth="1"/>
    <col min="1305" max="1305" width="13.33203125" bestFit="1" customWidth="1"/>
    <col min="1306" max="1306" width="11" bestFit="1" customWidth="1"/>
    <col min="1307" max="1307" width="21.5546875" bestFit="1" customWidth="1"/>
    <col min="1308" max="1308" width="11" bestFit="1" customWidth="1"/>
    <col min="1309" max="1309" width="13.33203125" bestFit="1" customWidth="1"/>
    <col min="1310" max="1310" width="10" bestFit="1" customWidth="1"/>
    <col min="1311" max="1311" width="12.21875" bestFit="1" customWidth="1"/>
    <col min="1312" max="1312" width="10" bestFit="1" customWidth="1"/>
    <col min="1313" max="1313" width="12.21875" bestFit="1" customWidth="1"/>
    <col min="1314" max="1314" width="10" bestFit="1" customWidth="1"/>
    <col min="1315" max="1315" width="12.21875" bestFit="1" customWidth="1"/>
    <col min="1316" max="1316" width="12" bestFit="1" customWidth="1"/>
    <col min="1317" max="1317" width="14.33203125" bestFit="1" customWidth="1"/>
    <col min="1318" max="1318" width="11" bestFit="1" customWidth="1"/>
    <col min="1319" max="1319" width="13.33203125" bestFit="1" customWidth="1"/>
    <col min="1320" max="1320" width="11" bestFit="1" customWidth="1"/>
    <col min="1321" max="1321" width="13.33203125" bestFit="1" customWidth="1"/>
    <col min="1322" max="1322" width="10" bestFit="1" customWidth="1"/>
    <col min="1323" max="1323" width="12.21875" bestFit="1" customWidth="1"/>
    <col min="1324" max="1324" width="11" bestFit="1" customWidth="1"/>
    <col min="1325" max="1325" width="13.33203125" bestFit="1" customWidth="1"/>
    <col min="1326" max="1326" width="10" bestFit="1" customWidth="1"/>
    <col min="1327" max="1327" width="12.21875" bestFit="1" customWidth="1"/>
    <col min="1328" max="1328" width="10" bestFit="1" customWidth="1"/>
    <col min="1329" max="1329" width="12.21875" bestFit="1" customWidth="1"/>
    <col min="1330" max="1330" width="11" bestFit="1" customWidth="1"/>
    <col min="1331" max="1331" width="13.33203125" bestFit="1" customWidth="1"/>
    <col min="1332" max="1332" width="10" bestFit="1" customWidth="1"/>
    <col min="1333" max="1333" width="12.21875" bestFit="1" customWidth="1"/>
    <col min="1334" max="1334" width="12" bestFit="1" customWidth="1"/>
    <col min="1335" max="1335" width="14.33203125" bestFit="1" customWidth="1"/>
    <col min="1336" max="1336" width="10" bestFit="1" customWidth="1"/>
    <col min="1337" max="1337" width="12.21875" bestFit="1" customWidth="1"/>
    <col min="1338" max="1338" width="11" bestFit="1" customWidth="1"/>
    <col min="1339" max="1339" width="13.33203125" bestFit="1" customWidth="1"/>
    <col min="1340" max="1340" width="11" bestFit="1" customWidth="1"/>
    <col min="1341" max="1341" width="13.33203125" bestFit="1" customWidth="1"/>
    <col min="1342" max="1342" width="10" bestFit="1" customWidth="1"/>
    <col min="1343" max="1343" width="12.21875" bestFit="1" customWidth="1"/>
    <col min="1344" max="1344" width="10" bestFit="1" customWidth="1"/>
    <col min="1345" max="1345" width="12.21875" bestFit="1" customWidth="1"/>
    <col min="1346" max="1346" width="10" bestFit="1" customWidth="1"/>
    <col min="1347" max="1347" width="12.21875" bestFit="1" customWidth="1"/>
    <col min="1348" max="1348" width="12" bestFit="1" customWidth="1"/>
    <col min="1349" max="1349" width="14.33203125" bestFit="1" customWidth="1"/>
    <col min="1350" max="1350" width="10" bestFit="1" customWidth="1"/>
    <col min="1351" max="1351" width="12.21875" bestFit="1" customWidth="1"/>
    <col min="1352" max="1352" width="11" bestFit="1" customWidth="1"/>
    <col min="1353" max="1353" width="13.33203125" bestFit="1" customWidth="1"/>
    <col min="1354" max="1354" width="11" bestFit="1" customWidth="1"/>
    <col min="1355" max="1355" width="13.33203125" bestFit="1" customWidth="1"/>
    <col min="1356" max="1356" width="12" bestFit="1" customWidth="1"/>
    <col min="1357" max="1357" width="14.33203125" bestFit="1" customWidth="1"/>
    <col min="1358" max="1358" width="12" bestFit="1" customWidth="1"/>
    <col min="1359" max="1359" width="14.33203125" bestFit="1" customWidth="1"/>
    <col min="1360" max="1360" width="10" bestFit="1" customWidth="1"/>
    <col min="1361" max="1361" width="12.21875" bestFit="1" customWidth="1"/>
    <col min="1362" max="1362" width="10" bestFit="1" customWidth="1"/>
    <col min="1363" max="1363" width="12.21875" bestFit="1" customWidth="1"/>
    <col min="1364" max="1364" width="10" bestFit="1" customWidth="1"/>
    <col min="1365" max="1365" width="12.21875" bestFit="1" customWidth="1"/>
    <col min="1366" max="1366" width="9" bestFit="1" customWidth="1"/>
    <col min="1367" max="1367" width="11.21875" bestFit="1" customWidth="1"/>
    <col min="1368" max="1368" width="11" bestFit="1" customWidth="1"/>
    <col min="1369" max="1369" width="13.33203125" bestFit="1" customWidth="1"/>
    <col min="1370" max="1370" width="10" bestFit="1" customWidth="1"/>
    <col min="1371" max="1371" width="12.21875" bestFit="1" customWidth="1"/>
    <col min="1372" max="1372" width="10" bestFit="1" customWidth="1"/>
    <col min="1373" max="1373" width="12.21875" bestFit="1" customWidth="1"/>
    <col min="1374" max="1374" width="11" bestFit="1" customWidth="1"/>
    <col min="1375" max="1375" width="13.33203125" bestFit="1" customWidth="1"/>
    <col min="1376" max="1376" width="12" bestFit="1" customWidth="1"/>
    <col min="1377" max="1377" width="14.33203125" bestFit="1" customWidth="1"/>
    <col min="1378" max="1378" width="11" bestFit="1" customWidth="1"/>
    <col min="1379" max="1379" width="13.33203125" bestFit="1" customWidth="1"/>
    <col min="1380" max="1380" width="10" bestFit="1" customWidth="1"/>
    <col min="1381" max="1381" width="12.21875" bestFit="1" customWidth="1"/>
    <col min="1382" max="1382" width="11" bestFit="1" customWidth="1"/>
    <col min="1383" max="1383" width="13.33203125" bestFit="1" customWidth="1"/>
    <col min="1384" max="1384" width="11" bestFit="1" customWidth="1"/>
    <col min="1385" max="1385" width="13.33203125" bestFit="1" customWidth="1"/>
    <col min="1386" max="1386" width="11" bestFit="1" customWidth="1"/>
    <col min="1387" max="1387" width="13.33203125" bestFit="1" customWidth="1"/>
    <col min="1388" max="1388" width="10" bestFit="1" customWidth="1"/>
    <col min="1389" max="1389" width="12.21875" bestFit="1" customWidth="1"/>
    <col min="1390" max="1390" width="11" bestFit="1" customWidth="1"/>
    <col min="1391" max="1391" width="13.33203125" bestFit="1" customWidth="1"/>
    <col min="1392" max="1392" width="10" bestFit="1" customWidth="1"/>
    <col min="1393" max="1393" width="12.21875" bestFit="1" customWidth="1"/>
    <col min="1394" max="1394" width="10" bestFit="1" customWidth="1"/>
    <col min="1395" max="1395" width="12.21875" bestFit="1" customWidth="1"/>
    <col min="1396" max="1396" width="10" bestFit="1" customWidth="1"/>
    <col min="1397" max="1397" width="12.21875" bestFit="1" customWidth="1"/>
    <col min="1398" max="1398" width="10" bestFit="1" customWidth="1"/>
    <col min="1399" max="1399" width="12.21875" bestFit="1" customWidth="1"/>
    <col min="1400" max="1400" width="12" bestFit="1" customWidth="1"/>
    <col min="1401" max="1401" width="14.33203125" bestFit="1" customWidth="1"/>
    <col min="1402" max="1402" width="12" bestFit="1" customWidth="1"/>
    <col min="1403" max="1403" width="14.33203125" bestFit="1" customWidth="1"/>
    <col min="1404" max="1404" width="11" bestFit="1" customWidth="1"/>
    <col min="1405" max="1405" width="13.33203125" bestFit="1" customWidth="1"/>
    <col min="1406" max="1406" width="11" bestFit="1" customWidth="1"/>
    <col min="1407" max="1407" width="13.33203125" bestFit="1" customWidth="1"/>
    <col min="1408" max="1408" width="10" bestFit="1" customWidth="1"/>
    <col min="1409" max="1409" width="12.21875" bestFit="1" customWidth="1"/>
    <col min="1410" max="1410" width="10" bestFit="1" customWidth="1"/>
    <col min="1411" max="1411" width="12.21875" bestFit="1" customWidth="1"/>
    <col min="1412" max="1412" width="10" bestFit="1" customWidth="1"/>
    <col min="1413" max="1413" width="12.21875" bestFit="1" customWidth="1"/>
    <col min="1414" max="1414" width="11" bestFit="1" customWidth="1"/>
    <col min="1415" max="1415" width="13.33203125" bestFit="1" customWidth="1"/>
    <col min="1416" max="1416" width="11" bestFit="1" customWidth="1"/>
    <col min="1417" max="1417" width="13.33203125" bestFit="1" customWidth="1"/>
    <col min="1418" max="1418" width="11" bestFit="1" customWidth="1"/>
    <col min="1419" max="1419" width="21.5546875" bestFit="1" customWidth="1"/>
    <col min="1420" max="1420" width="10" bestFit="1" customWidth="1"/>
    <col min="1421" max="1421" width="12.21875" bestFit="1" customWidth="1"/>
    <col min="1422" max="1422" width="10" bestFit="1" customWidth="1"/>
    <col min="1423" max="1423" width="12.21875" bestFit="1" customWidth="1"/>
    <col min="1424" max="1424" width="11" bestFit="1" customWidth="1"/>
    <col min="1425" max="1425" width="21.5546875" bestFit="1" customWidth="1"/>
    <col min="1426" max="1426" width="11" bestFit="1" customWidth="1"/>
    <col min="1427" max="1427" width="13.33203125" bestFit="1" customWidth="1"/>
    <col min="1428" max="1428" width="11" bestFit="1" customWidth="1"/>
    <col min="1429" max="1429" width="13.33203125" bestFit="1" customWidth="1"/>
    <col min="1430" max="1430" width="11" bestFit="1" customWidth="1"/>
    <col min="1431" max="1431" width="13.33203125" bestFit="1" customWidth="1"/>
    <col min="1432" max="1432" width="11" bestFit="1" customWidth="1"/>
    <col min="1433" max="1433" width="13.33203125" bestFit="1" customWidth="1"/>
    <col min="1434" max="1434" width="11" bestFit="1" customWidth="1"/>
    <col min="1435" max="1435" width="13.33203125" bestFit="1" customWidth="1"/>
    <col min="1436" max="1436" width="10" bestFit="1" customWidth="1"/>
    <col min="1437" max="1437" width="12.21875" bestFit="1" customWidth="1"/>
    <col min="1438" max="1438" width="10" bestFit="1" customWidth="1"/>
    <col min="1439" max="1439" width="12.21875" bestFit="1" customWidth="1"/>
    <col min="1440" max="1440" width="10" bestFit="1" customWidth="1"/>
    <col min="1441" max="1441" width="12.21875" bestFit="1" customWidth="1"/>
    <col min="1442" max="1442" width="11" bestFit="1" customWidth="1"/>
    <col min="1443" max="1443" width="13.33203125" bestFit="1" customWidth="1"/>
    <col min="1444" max="1444" width="9" bestFit="1" customWidth="1"/>
    <col min="1445" max="1445" width="9.6640625" bestFit="1" customWidth="1"/>
    <col min="1446" max="1446" width="11" bestFit="1" customWidth="1"/>
    <col min="1447" max="1447" width="13.33203125" bestFit="1" customWidth="1"/>
    <col min="1448" max="1448" width="11" bestFit="1" customWidth="1"/>
    <col min="1449" max="1449" width="13.33203125" bestFit="1" customWidth="1"/>
    <col min="1450" max="1450" width="10" bestFit="1" customWidth="1"/>
    <col min="1451" max="1451" width="12.21875" bestFit="1" customWidth="1"/>
    <col min="1452" max="1452" width="10" bestFit="1" customWidth="1"/>
    <col min="1453" max="1453" width="12.21875" bestFit="1" customWidth="1"/>
    <col min="1454" max="1454" width="10" bestFit="1" customWidth="1"/>
    <col min="1455" max="1455" width="12.21875" bestFit="1" customWidth="1"/>
    <col min="1456" max="1456" width="9" bestFit="1" customWidth="1"/>
    <col min="1457" max="1457" width="11.21875" bestFit="1" customWidth="1"/>
    <col min="1458" max="1458" width="10" bestFit="1" customWidth="1"/>
    <col min="1459" max="1459" width="12.21875" bestFit="1" customWidth="1"/>
    <col min="1460" max="1460" width="11" bestFit="1" customWidth="1"/>
    <col min="1461" max="1461" width="13.33203125" bestFit="1" customWidth="1"/>
    <col min="1462" max="1462" width="12" bestFit="1" customWidth="1"/>
    <col min="1463" max="1463" width="14.33203125" bestFit="1" customWidth="1"/>
    <col min="1464" max="1464" width="11" bestFit="1" customWidth="1"/>
    <col min="1465" max="1465" width="13.33203125" bestFit="1" customWidth="1"/>
    <col min="1466" max="1466" width="10" bestFit="1" customWidth="1"/>
    <col min="1467" max="1467" width="12.21875" bestFit="1" customWidth="1"/>
    <col min="1468" max="1468" width="10" bestFit="1" customWidth="1"/>
    <col min="1469" max="1469" width="12.21875" bestFit="1" customWidth="1"/>
    <col min="1470" max="1470" width="11" bestFit="1" customWidth="1"/>
    <col min="1471" max="1471" width="13.33203125" bestFit="1" customWidth="1"/>
    <col min="1472" max="1472" width="12" bestFit="1" customWidth="1"/>
    <col min="1473" max="1473" width="14.33203125" bestFit="1" customWidth="1"/>
    <col min="1474" max="1474" width="10" bestFit="1" customWidth="1"/>
    <col min="1475" max="1475" width="12.21875" bestFit="1" customWidth="1"/>
    <col min="1476" max="1476" width="12" bestFit="1" customWidth="1"/>
    <col min="1477" max="1477" width="14.33203125" bestFit="1" customWidth="1"/>
    <col min="1478" max="1478" width="11" bestFit="1" customWidth="1"/>
    <col min="1479" max="1479" width="13.33203125" bestFit="1" customWidth="1"/>
    <col min="1480" max="1480" width="12" bestFit="1" customWidth="1"/>
    <col min="1481" max="1481" width="14.33203125" bestFit="1" customWidth="1"/>
    <col min="1482" max="1482" width="12" bestFit="1" customWidth="1"/>
    <col min="1483" max="1483" width="14.33203125" bestFit="1" customWidth="1"/>
    <col min="1484" max="1484" width="11" bestFit="1" customWidth="1"/>
    <col min="1485" max="1485" width="13.33203125" bestFit="1" customWidth="1"/>
    <col min="1486" max="1486" width="12" bestFit="1" customWidth="1"/>
    <col min="1487" max="1487" width="14.33203125" bestFit="1" customWidth="1"/>
    <col min="1488" max="1488" width="11" bestFit="1" customWidth="1"/>
    <col min="1489" max="1489" width="13.33203125" bestFit="1" customWidth="1"/>
    <col min="1490" max="1490" width="11" bestFit="1" customWidth="1"/>
    <col min="1491" max="1491" width="13.33203125" bestFit="1" customWidth="1"/>
    <col min="1492" max="1492" width="10" bestFit="1" customWidth="1"/>
    <col min="1493" max="1493" width="12.21875" bestFit="1" customWidth="1"/>
    <col min="1494" max="1494" width="10" bestFit="1" customWidth="1"/>
    <col min="1495" max="1495" width="12.21875" bestFit="1" customWidth="1"/>
    <col min="1496" max="1496" width="9" bestFit="1" customWidth="1"/>
    <col min="1497" max="1497" width="11.21875" bestFit="1" customWidth="1"/>
    <col min="1498" max="1498" width="10" bestFit="1" customWidth="1"/>
    <col min="1499" max="1499" width="12.21875" bestFit="1" customWidth="1"/>
    <col min="1500" max="1500" width="10" bestFit="1" customWidth="1"/>
    <col min="1501" max="1501" width="12.21875" bestFit="1" customWidth="1"/>
    <col min="1502" max="1502" width="11" bestFit="1" customWidth="1"/>
    <col min="1503" max="1503" width="13.33203125" bestFit="1" customWidth="1"/>
    <col min="1504" max="1504" width="11" bestFit="1" customWidth="1"/>
    <col min="1505" max="1505" width="13.33203125" bestFit="1" customWidth="1"/>
    <col min="1506" max="1506" width="11" bestFit="1" customWidth="1"/>
    <col min="1507" max="1507" width="13.33203125" bestFit="1" customWidth="1"/>
    <col min="1508" max="1508" width="11" bestFit="1" customWidth="1"/>
    <col min="1509" max="1509" width="13.33203125" bestFit="1" customWidth="1"/>
    <col min="1510" max="1510" width="10" bestFit="1" customWidth="1"/>
    <col min="1511" max="1511" width="12.21875" bestFit="1" customWidth="1"/>
    <col min="1512" max="1512" width="10" bestFit="1" customWidth="1"/>
    <col min="1513" max="1513" width="12.21875" bestFit="1" customWidth="1"/>
    <col min="1514" max="1514" width="10" bestFit="1" customWidth="1"/>
    <col min="1515" max="1515" width="12.21875" bestFit="1" customWidth="1"/>
    <col min="1516" max="1516" width="10" bestFit="1" customWidth="1"/>
    <col min="1517" max="1517" width="12.21875" bestFit="1" customWidth="1"/>
    <col min="1518" max="1518" width="12" bestFit="1" customWidth="1"/>
    <col min="1519" max="1519" width="14.33203125" bestFit="1" customWidth="1"/>
    <col min="1520" max="1520" width="12" bestFit="1" customWidth="1"/>
    <col min="1521" max="1521" width="14.33203125" bestFit="1" customWidth="1"/>
    <col min="1522" max="1522" width="11" bestFit="1" customWidth="1"/>
    <col min="1523" max="1523" width="13.33203125" bestFit="1" customWidth="1"/>
    <col min="1524" max="1524" width="11" bestFit="1" customWidth="1"/>
    <col min="1525" max="1525" width="13.33203125" bestFit="1" customWidth="1"/>
    <col min="1526" max="1526" width="10" bestFit="1" customWidth="1"/>
    <col min="1527" max="1527" width="12.21875" bestFit="1" customWidth="1"/>
    <col min="1528" max="1528" width="10" bestFit="1" customWidth="1"/>
    <col min="1529" max="1529" width="12.21875" bestFit="1" customWidth="1"/>
    <col min="1530" max="1530" width="11" bestFit="1" customWidth="1"/>
    <col min="1531" max="1531" width="13.33203125" bestFit="1" customWidth="1"/>
    <col min="1532" max="1532" width="10" bestFit="1" customWidth="1"/>
    <col min="1533" max="1533" width="12.21875" bestFit="1" customWidth="1"/>
    <col min="1534" max="1534" width="11" bestFit="1" customWidth="1"/>
    <col min="1535" max="1535" width="13.33203125" bestFit="1" customWidth="1"/>
    <col min="1536" max="1536" width="10" bestFit="1" customWidth="1"/>
    <col min="1537" max="1537" width="12.21875" bestFit="1" customWidth="1"/>
    <col min="1538" max="1538" width="12" bestFit="1" customWidth="1"/>
    <col min="1539" max="1539" width="14.33203125" bestFit="1" customWidth="1"/>
    <col min="1540" max="1540" width="10" bestFit="1" customWidth="1"/>
    <col min="1541" max="1541" width="12.21875" bestFit="1" customWidth="1"/>
    <col min="1542" max="1542" width="10" bestFit="1" customWidth="1"/>
    <col min="1543" max="1543" width="12.21875" bestFit="1" customWidth="1"/>
    <col min="1544" max="1544" width="11" bestFit="1" customWidth="1"/>
    <col min="1545" max="1545" width="13.33203125" bestFit="1" customWidth="1"/>
    <col min="1546" max="1546" width="12" bestFit="1" customWidth="1"/>
    <col min="1547" max="1547" width="14.33203125" bestFit="1" customWidth="1"/>
    <col min="1548" max="1548" width="10" bestFit="1" customWidth="1"/>
    <col min="1549" max="1549" width="12.21875" bestFit="1" customWidth="1"/>
    <col min="1550" max="1550" width="10" bestFit="1" customWidth="1"/>
    <col min="1551" max="1551" width="12.21875" bestFit="1" customWidth="1"/>
    <col min="1552" max="1552" width="11" bestFit="1" customWidth="1"/>
    <col min="1553" max="1553" width="13.33203125" bestFit="1" customWidth="1"/>
    <col min="1554" max="1554" width="9" bestFit="1" customWidth="1"/>
    <col min="1555" max="1555" width="11.21875" bestFit="1" customWidth="1"/>
    <col min="1556" max="1556" width="10" bestFit="1" customWidth="1"/>
    <col min="1557" max="1557" width="12.21875" bestFit="1" customWidth="1"/>
    <col min="1558" max="1558" width="10" bestFit="1" customWidth="1"/>
    <col min="1559" max="1559" width="12.21875" bestFit="1" customWidth="1"/>
    <col min="1560" max="1560" width="11" bestFit="1" customWidth="1"/>
    <col min="1561" max="1561" width="13.33203125" bestFit="1" customWidth="1"/>
    <col min="1562" max="1562" width="11" bestFit="1" customWidth="1"/>
    <col min="1563" max="1563" width="13.33203125" bestFit="1" customWidth="1"/>
    <col min="1564" max="1564" width="11" bestFit="1" customWidth="1"/>
    <col min="1565" max="1565" width="13.33203125" bestFit="1" customWidth="1"/>
    <col min="1566" max="1566" width="10" bestFit="1" customWidth="1"/>
    <col min="1567" max="1567" width="12.21875" bestFit="1" customWidth="1"/>
    <col min="1568" max="1568" width="11" bestFit="1" customWidth="1"/>
    <col min="1569" max="1569" width="13.33203125" bestFit="1" customWidth="1"/>
    <col min="1570" max="1570" width="10" bestFit="1" customWidth="1"/>
    <col min="1571" max="1571" width="12.21875" bestFit="1" customWidth="1"/>
    <col min="1572" max="1572" width="11" bestFit="1" customWidth="1"/>
    <col min="1573" max="1573" width="13.33203125" bestFit="1" customWidth="1"/>
    <col min="1574" max="1574" width="10" bestFit="1" customWidth="1"/>
    <col min="1575" max="1575" width="12.21875" bestFit="1" customWidth="1"/>
    <col min="1576" max="1576" width="11" bestFit="1" customWidth="1"/>
    <col min="1577" max="1577" width="13.33203125" bestFit="1" customWidth="1"/>
    <col min="1578" max="1578" width="11" bestFit="1" customWidth="1"/>
    <col min="1579" max="1579" width="13.33203125" bestFit="1" customWidth="1"/>
    <col min="1580" max="1580" width="10" bestFit="1" customWidth="1"/>
    <col min="1581" max="1581" width="12.21875" bestFit="1" customWidth="1"/>
    <col min="1582" max="1582" width="10" bestFit="1" customWidth="1"/>
    <col min="1583" max="1583" width="12.21875" bestFit="1" customWidth="1"/>
    <col min="1584" max="1584" width="10" bestFit="1" customWidth="1"/>
    <col min="1585" max="1585" width="12.21875" bestFit="1" customWidth="1"/>
    <col min="1586" max="1586" width="12" bestFit="1" customWidth="1"/>
    <col min="1587" max="1587" width="14.33203125" bestFit="1" customWidth="1"/>
    <col min="1588" max="1588" width="10" bestFit="1" customWidth="1"/>
    <col min="1589" max="1589" width="12.21875" bestFit="1" customWidth="1"/>
    <col min="1590" max="1590" width="12" bestFit="1" customWidth="1"/>
    <col min="1591" max="1591" width="14.33203125" bestFit="1" customWidth="1"/>
    <col min="1592" max="1592" width="11" bestFit="1" customWidth="1"/>
    <col min="1593" max="1593" width="13.33203125" bestFit="1" customWidth="1"/>
    <col min="1594" max="1594" width="10" bestFit="1" customWidth="1"/>
    <col min="1595" max="1595" width="12.21875" bestFit="1" customWidth="1"/>
    <col min="1596" max="1596" width="12" bestFit="1" customWidth="1"/>
    <col min="1597" max="1597" width="14.33203125" bestFit="1" customWidth="1"/>
    <col min="1598" max="1598" width="10" bestFit="1" customWidth="1"/>
    <col min="1599" max="1599" width="12.21875" bestFit="1" customWidth="1"/>
    <col min="1600" max="1600" width="10" bestFit="1" customWidth="1"/>
    <col min="1601" max="1601" width="12.21875" bestFit="1" customWidth="1"/>
    <col min="1602" max="1602" width="11" bestFit="1" customWidth="1"/>
    <col min="1603" max="1603" width="13.33203125" bestFit="1" customWidth="1"/>
    <col min="1604" max="1604" width="10" bestFit="1" customWidth="1"/>
    <col min="1605" max="1605" width="12.21875" bestFit="1" customWidth="1"/>
    <col min="1606" max="1606" width="10" bestFit="1" customWidth="1"/>
    <col min="1607" max="1607" width="12.21875" bestFit="1" customWidth="1"/>
    <col min="1608" max="1608" width="11" bestFit="1" customWidth="1"/>
    <col min="1609" max="1609" width="13.33203125" bestFit="1" customWidth="1"/>
    <col min="1610" max="1610" width="10" bestFit="1" customWidth="1"/>
    <col min="1611" max="1611" width="12.21875" bestFit="1" customWidth="1"/>
    <col min="1612" max="1612" width="12" bestFit="1" customWidth="1"/>
    <col min="1613" max="1613" width="14.33203125" bestFit="1" customWidth="1"/>
    <col min="1614" max="1614" width="11" bestFit="1" customWidth="1"/>
    <col min="1615" max="1615" width="13.33203125" bestFit="1" customWidth="1"/>
    <col min="1616" max="1616" width="10" bestFit="1" customWidth="1"/>
    <col min="1617" max="1617" width="12.21875" bestFit="1" customWidth="1"/>
    <col min="1618" max="1618" width="10" bestFit="1" customWidth="1"/>
    <col min="1619" max="1619" width="12.21875" bestFit="1" customWidth="1"/>
    <col min="1620" max="1620" width="11" bestFit="1" customWidth="1"/>
    <col min="1621" max="1621" width="13.33203125" bestFit="1" customWidth="1"/>
    <col min="1622" max="1622" width="11" bestFit="1" customWidth="1"/>
    <col min="1623" max="1623" width="13.33203125" bestFit="1" customWidth="1"/>
    <col min="1624" max="1624" width="10" bestFit="1" customWidth="1"/>
    <col min="1625" max="1625" width="12.21875" bestFit="1" customWidth="1"/>
    <col min="1626" max="1626" width="11" bestFit="1" customWidth="1"/>
    <col min="1627" max="1627" width="13.33203125" bestFit="1" customWidth="1"/>
    <col min="1628" max="1628" width="11" bestFit="1" customWidth="1"/>
    <col min="1629" max="1629" width="13.33203125" bestFit="1" customWidth="1"/>
    <col min="1630" max="1630" width="11" bestFit="1" customWidth="1"/>
    <col min="1631" max="1631" width="13.33203125" bestFit="1" customWidth="1"/>
    <col min="1632" max="1632" width="10" bestFit="1" customWidth="1"/>
    <col min="1633" max="1633" width="12.21875" bestFit="1" customWidth="1"/>
    <col min="1634" max="1634" width="10" bestFit="1" customWidth="1"/>
    <col min="1635" max="1635" width="12.21875" bestFit="1" customWidth="1"/>
    <col min="1636" max="1636" width="10" bestFit="1" customWidth="1"/>
    <col min="1637" max="1637" width="12.21875" bestFit="1" customWidth="1"/>
    <col min="1638" max="1638" width="10" bestFit="1" customWidth="1"/>
    <col min="1639" max="1639" width="12.21875" bestFit="1" customWidth="1"/>
    <col min="1640" max="1640" width="11" bestFit="1" customWidth="1"/>
    <col min="1641" max="1641" width="13.33203125" bestFit="1" customWidth="1"/>
    <col min="1642" max="1642" width="12" bestFit="1" customWidth="1"/>
    <col min="1643" max="1643" width="14.33203125" bestFit="1" customWidth="1"/>
    <col min="1644" max="1644" width="10" bestFit="1" customWidth="1"/>
    <col min="1645" max="1645" width="12.21875" bestFit="1" customWidth="1"/>
    <col min="1646" max="1646" width="12" bestFit="1" customWidth="1"/>
    <col min="1647" max="1647" width="14.33203125" bestFit="1" customWidth="1"/>
    <col min="1648" max="1648" width="11" bestFit="1" customWidth="1"/>
    <col min="1649" max="1649" width="13.33203125" bestFit="1" customWidth="1"/>
    <col min="1650" max="1650" width="11" bestFit="1" customWidth="1"/>
    <col min="1651" max="1651" width="13.33203125" bestFit="1" customWidth="1"/>
    <col min="1652" max="1652" width="11" bestFit="1" customWidth="1"/>
    <col min="1653" max="1653" width="13.33203125" bestFit="1" customWidth="1"/>
    <col min="1654" max="1654" width="10" bestFit="1" customWidth="1"/>
    <col min="1655" max="1655" width="12.21875" bestFit="1" customWidth="1"/>
    <col min="1656" max="1656" width="11" bestFit="1" customWidth="1"/>
    <col min="1657" max="1657" width="13.33203125" bestFit="1" customWidth="1"/>
    <col min="1658" max="1658" width="11" bestFit="1" customWidth="1"/>
    <col min="1659" max="1659" width="21.5546875" bestFit="1" customWidth="1"/>
    <col min="1660" max="1660" width="9" bestFit="1" customWidth="1"/>
    <col min="1661" max="1661" width="11.21875" bestFit="1" customWidth="1"/>
    <col min="1662" max="1662" width="10" bestFit="1" customWidth="1"/>
    <col min="1663" max="1663" width="12.21875" bestFit="1" customWidth="1"/>
    <col min="1664" max="1664" width="10" bestFit="1" customWidth="1"/>
    <col min="1665" max="1665" width="12.21875" bestFit="1" customWidth="1"/>
    <col min="1666" max="1666" width="11" bestFit="1" customWidth="1"/>
    <col min="1667" max="1667" width="13.33203125" bestFit="1" customWidth="1"/>
    <col min="1668" max="1668" width="10" bestFit="1" customWidth="1"/>
    <col min="1669" max="1669" width="12.21875" bestFit="1" customWidth="1"/>
    <col min="1670" max="1670" width="11" bestFit="1" customWidth="1"/>
    <col min="1671" max="1671" width="13.33203125" bestFit="1" customWidth="1"/>
    <col min="1672" max="1672" width="11" bestFit="1" customWidth="1"/>
    <col min="1673" max="1673" width="13.33203125" bestFit="1" customWidth="1"/>
    <col min="1674" max="1674" width="10" bestFit="1" customWidth="1"/>
    <col min="1675" max="1675" width="12.21875" bestFit="1" customWidth="1"/>
    <col min="1676" max="1676" width="11" bestFit="1" customWidth="1"/>
    <col min="1677" max="1677" width="13.33203125" bestFit="1" customWidth="1"/>
    <col min="1678" max="1678" width="10" bestFit="1" customWidth="1"/>
    <col min="1679" max="1679" width="12.21875" bestFit="1" customWidth="1"/>
    <col min="1680" max="1680" width="10" bestFit="1" customWidth="1"/>
    <col min="1681" max="1681" width="12.21875" bestFit="1" customWidth="1"/>
    <col min="1682" max="1682" width="11" bestFit="1" customWidth="1"/>
    <col min="1683" max="1683" width="13.33203125" bestFit="1" customWidth="1"/>
    <col min="1684" max="1684" width="11" bestFit="1" customWidth="1"/>
    <col min="1685" max="1685" width="13.33203125" bestFit="1" customWidth="1"/>
    <col min="1686" max="1686" width="10" bestFit="1" customWidth="1"/>
    <col min="1687" max="1687" width="12.21875" bestFit="1" customWidth="1"/>
    <col min="1688" max="1688" width="11" bestFit="1" customWidth="1"/>
    <col min="1689" max="1689" width="13.33203125" bestFit="1" customWidth="1"/>
    <col min="1690" max="1690" width="12" bestFit="1" customWidth="1"/>
    <col min="1691" max="1691" width="14.33203125" bestFit="1" customWidth="1"/>
    <col min="1692" max="1692" width="12" bestFit="1" customWidth="1"/>
    <col min="1693" max="1693" width="14.33203125" bestFit="1" customWidth="1"/>
    <col min="1694" max="1694" width="11" bestFit="1" customWidth="1"/>
    <col min="1695" max="1695" width="13.33203125" bestFit="1" customWidth="1"/>
    <col min="1696" max="1696" width="11" bestFit="1" customWidth="1"/>
    <col min="1697" max="1697" width="13.33203125" bestFit="1" customWidth="1"/>
    <col min="1698" max="1698" width="10" bestFit="1" customWidth="1"/>
    <col min="1699" max="1699" width="12.21875" bestFit="1" customWidth="1"/>
    <col min="1700" max="1700" width="10" bestFit="1" customWidth="1"/>
    <col min="1701" max="1701" width="12.21875" bestFit="1" customWidth="1"/>
    <col min="1702" max="1702" width="10" bestFit="1" customWidth="1"/>
    <col min="1703" max="1703" width="12.21875" bestFit="1" customWidth="1"/>
    <col min="1704" max="1704" width="12" bestFit="1" customWidth="1"/>
    <col min="1705" max="1705" width="14.33203125" bestFit="1" customWidth="1"/>
    <col min="1706" max="1706" width="10" bestFit="1" customWidth="1"/>
    <col min="1707" max="1707" width="12.21875" bestFit="1" customWidth="1"/>
    <col min="1708" max="1708" width="11" bestFit="1" customWidth="1"/>
    <col min="1709" max="1709" width="13.33203125" bestFit="1" customWidth="1"/>
    <col min="1710" max="1710" width="11" bestFit="1" customWidth="1"/>
    <col min="1711" max="1711" width="13.33203125" bestFit="1" customWidth="1"/>
    <col min="1712" max="1712" width="12" bestFit="1" customWidth="1"/>
    <col min="1713" max="1713" width="14.33203125" bestFit="1" customWidth="1"/>
    <col min="1714" max="1714" width="12" bestFit="1" customWidth="1"/>
    <col min="1715" max="1715" width="14.33203125" bestFit="1" customWidth="1"/>
    <col min="1716" max="1716" width="12" bestFit="1" customWidth="1"/>
    <col min="1717" max="1717" width="14.33203125" bestFit="1" customWidth="1"/>
    <col min="1718" max="1718" width="12" bestFit="1" customWidth="1"/>
    <col min="1719" max="1719" width="14.33203125" bestFit="1" customWidth="1"/>
    <col min="1720" max="1720" width="11" bestFit="1" customWidth="1"/>
    <col min="1721" max="1721" width="13.33203125" bestFit="1" customWidth="1"/>
    <col min="1722" max="1722" width="12" bestFit="1" customWidth="1"/>
    <col min="1723" max="1723" width="14.33203125" bestFit="1" customWidth="1"/>
    <col min="1724" max="1724" width="11" bestFit="1" customWidth="1"/>
    <col min="1725" max="1725" width="13.33203125" bestFit="1" customWidth="1"/>
    <col min="1726" max="1726" width="12" bestFit="1" customWidth="1"/>
    <col min="1727" max="1727" width="14.33203125" bestFit="1" customWidth="1"/>
    <col min="1728" max="1728" width="12" bestFit="1" customWidth="1"/>
    <col min="1729" max="1729" width="14.33203125" bestFit="1" customWidth="1"/>
    <col min="1730" max="1730" width="12" bestFit="1" customWidth="1"/>
    <col min="1731" max="1731" width="14.33203125" bestFit="1" customWidth="1"/>
    <col min="1732" max="1732" width="11" bestFit="1" customWidth="1"/>
    <col min="1733" max="1733" width="13.33203125" bestFit="1" customWidth="1"/>
    <col min="1734" max="1734" width="11" bestFit="1" customWidth="1"/>
    <col min="1735" max="1735" width="13.33203125" bestFit="1" customWidth="1"/>
    <col min="1736" max="1736" width="13" bestFit="1" customWidth="1"/>
    <col min="1737" max="1737" width="15.33203125" bestFit="1" customWidth="1"/>
    <col min="1738" max="1738" width="12" bestFit="1" customWidth="1"/>
    <col min="1739" max="1739" width="14.33203125" bestFit="1" customWidth="1"/>
    <col min="1740" max="1740" width="12" bestFit="1" customWidth="1"/>
    <col min="1741" max="1741" width="14.33203125" bestFit="1" customWidth="1"/>
    <col min="1742" max="1742" width="11" bestFit="1" customWidth="1"/>
    <col min="1743" max="1743" width="13.33203125" bestFit="1" customWidth="1"/>
    <col min="1744" max="1744" width="11" bestFit="1" customWidth="1"/>
    <col min="1745" max="1745" width="13.33203125" bestFit="1" customWidth="1"/>
    <col min="1746" max="1746" width="13" bestFit="1" customWidth="1"/>
    <col min="1747" max="1747" width="15.33203125" bestFit="1" customWidth="1"/>
    <col min="1748" max="1748" width="12" bestFit="1" customWidth="1"/>
    <col min="1749" max="1749" width="14.33203125" bestFit="1" customWidth="1"/>
    <col min="1750" max="1750" width="5.5546875" bestFit="1" customWidth="1"/>
    <col min="1751" max="1751" width="8.21875" bestFit="1" customWidth="1"/>
    <col min="1752" max="1752" width="9" bestFit="1" customWidth="1"/>
    <col min="1753" max="1753" width="11.6640625" bestFit="1" customWidth="1"/>
    <col min="1754" max="1754" width="10.77734375" bestFit="1" customWidth="1"/>
  </cols>
  <sheetData>
    <row r="4" spans="1:12">
      <c r="A4" s="10" t="s">
        <v>4112</v>
      </c>
      <c r="B4" t="s">
        <v>4117</v>
      </c>
      <c r="C4" t="s">
        <v>4118</v>
      </c>
    </row>
    <row r="5" spans="1:12">
      <c r="A5" s="11" t="s">
        <v>42</v>
      </c>
      <c r="B5" s="12">
        <v>679488.79550000001</v>
      </c>
      <c r="C5" s="12">
        <v>2205610.5155000002</v>
      </c>
    </row>
    <row r="6" spans="1:12">
      <c r="A6" s="11" t="s">
        <v>27</v>
      </c>
      <c r="B6" s="12">
        <v>611161.59549999994</v>
      </c>
      <c r="C6" s="12">
        <v>2063527.4054999992</v>
      </c>
    </row>
    <row r="7" spans="1:12">
      <c r="A7" s="11" t="s">
        <v>62</v>
      </c>
      <c r="B7" s="12">
        <v>658213.55699999991</v>
      </c>
      <c r="C7" s="12">
        <v>2258105.2869999995</v>
      </c>
    </row>
    <row r="8" spans="1:12">
      <c r="A8" s="11" t="s">
        <v>73</v>
      </c>
      <c r="B8" s="12">
        <v>601921.30899999978</v>
      </c>
      <c r="C8" s="12">
        <v>2112325.4389999988</v>
      </c>
      <c r="I8" s="10" t="s">
        <v>4112</v>
      </c>
      <c r="J8" s="10" t="s">
        <v>4099</v>
      </c>
      <c r="K8" t="s">
        <v>4117</v>
      </c>
      <c r="L8" t="s">
        <v>4118</v>
      </c>
    </row>
    <row r="9" spans="1:12">
      <c r="A9" s="11" t="s">
        <v>4113</v>
      </c>
      <c r="B9" s="12">
        <v>2550785.2569999998</v>
      </c>
      <c r="C9" s="12">
        <v>8639568.646999998</v>
      </c>
      <c r="I9" s="11" t="s">
        <v>45</v>
      </c>
      <c r="K9" s="12"/>
      <c r="L9" s="12"/>
    </row>
    <row r="10" spans="1:12">
      <c r="J10" s="11" t="s">
        <v>204</v>
      </c>
      <c r="K10" s="12">
        <v>198370.78150000001</v>
      </c>
      <c r="L10" s="12">
        <v>669040.12150000012</v>
      </c>
    </row>
    <row r="11" spans="1:12">
      <c r="J11" s="11" t="s">
        <v>76</v>
      </c>
      <c r="K11" s="12">
        <v>279689.52499999997</v>
      </c>
      <c r="L11" s="12">
        <v>957727.47499999998</v>
      </c>
    </row>
    <row r="12" spans="1:12">
      <c r="J12" s="11" t="s">
        <v>65</v>
      </c>
      <c r="K12" s="12">
        <v>224827.36</v>
      </c>
      <c r="L12" s="12">
        <v>787129.29</v>
      </c>
    </row>
    <row r="13" spans="1:12">
      <c r="J13" s="11" t="s">
        <v>46</v>
      </c>
      <c r="K13" s="12">
        <v>210163.71150000003</v>
      </c>
      <c r="L13" s="12">
        <v>680300.50150000001</v>
      </c>
    </row>
    <row r="14" spans="1:12">
      <c r="I14" s="11" t="s">
        <v>4114</v>
      </c>
      <c r="K14" s="12">
        <v>913051.37800000003</v>
      </c>
      <c r="L14" s="12">
        <v>3094197.3880000003</v>
      </c>
    </row>
    <row r="15" spans="1:12">
      <c r="I15" s="11" t="s">
        <v>30</v>
      </c>
      <c r="K15" s="12"/>
      <c r="L15" s="12"/>
    </row>
    <row r="16" spans="1:12">
      <c r="J16" s="11" t="s">
        <v>54</v>
      </c>
      <c r="K16" s="12">
        <v>166420.40549999988</v>
      </c>
      <c r="L16" s="12">
        <v>582829.45550000004</v>
      </c>
    </row>
    <row r="17" spans="9:12">
      <c r="J17" s="11" t="s">
        <v>198</v>
      </c>
      <c r="K17" s="12">
        <v>159477.81299999997</v>
      </c>
      <c r="L17" s="12">
        <v>535849.26300000004</v>
      </c>
    </row>
    <row r="18" spans="9:12">
      <c r="J18" s="11" t="s">
        <v>109</v>
      </c>
      <c r="K18" s="12">
        <v>101842.26749999997</v>
      </c>
      <c r="L18" s="12">
        <v>324196.33749999991</v>
      </c>
    </row>
    <row r="19" spans="9:12">
      <c r="J19" s="11" t="s">
        <v>31</v>
      </c>
      <c r="K19" s="12">
        <v>176253.05049999998</v>
      </c>
      <c r="L19" s="12">
        <v>611206.64049999998</v>
      </c>
    </row>
    <row r="20" spans="9:12">
      <c r="J20" s="11" t="s">
        <v>156</v>
      </c>
      <c r="K20" s="12">
        <v>184855.1845</v>
      </c>
      <c r="L20" s="12">
        <v>671962.71450000012</v>
      </c>
    </row>
    <row r="21" spans="9:12">
      <c r="I21" s="11" t="s">
        <v>4115</v>
      </c>
      <c r="K21" s="12">
        <v>788848.72099999979</v>
      </c>
      <c r="L21" s="12">
        <v>2726044.4109999998</v>
      </c>
    </row>
    <row r="22" spans="9:12">
      <c r="I22" s="11" t="s">
        <v>86</v>
      </c>
      <c r="K22" s="12"/>
      <c r="L22" s="12"/>
    </row>
    <row r="23" spans="9:12">
      <c r="J23" s="11" t="s">
        <v>87</v>
      </c>
      <c r="K23" s="12">
        <v>243631.34300000002</v>
      </c>
      <c r="L23" s="12">
        <v>805630.60299999989</v>
      </c>
    </row>
    <row r="24" spans="9:12">
      <c r="J24" s="11" t="s">
        <v>94</v>
      </c>
      <c r="K24" s="12">
        <v>266588.45900000015</v>
      </c>
      <c r="L24" s="12">
        <v>902329.1390000002</v>
      </c>
    </row>
    <row r="25" spans="9:12">
      <c r="J25" s="11" t="s">
        <v>382</v>
      </c>
      <c r="K25" s="12">
        <v>196928.05700000003</v>
      </c>
      <c r="L25" s="12">
        <v>617389.00699999998</v>
      </c>
    </row>
    <row r="26" spans="9:12">
      <c r="J26" s="11" t="s">
        <v>223</v>
      </c>
      <c r="K26" s="12">
        <v>229707.02100000001</v>
      </c>
      <c r="L26" s="12">
        <v>768525.44099999988</v>
      </c>
    </row>
    <row r="27" spans="9:12">
      <c r="I27" s="11" t="s">
        <v>4116</v>
      </c>
      <c r="K27" s="12">
        <v>936854.88000000012</v>
      </c>
      <c r="L27" s="12">
        <v>3093874.1899999995</v>
      </c>
    </row>
    <row r="28" spans="9:12">
      <c r="I28" s="11" t="s">
        <v>4113</v>
      </c>
      <c r="K28" s="12">
        <v>2638754.9790000003</v>
      </c>
      <c r="L28" s="12">
        <v>8914115.9890000001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C595-606B-454B-8527-E3DED4925348}">
  <dimension ref="A1:AT902"/>
  <sheetViews>
    <sheetView topLeftCell="AA1" zoomScale="92" workbookViewId="0">
      <selection activeCell="AB903" sqref="AB903"/>
    </sheetView>
  </sheetViews>
  <sheetFormatPr defaultRowHeight="14.4"/>
  <cols>
    <col min="1" max="21" width="17.77734375" customWidth="1"/>
    <col min="23" max="23" width="17.77734375" customWidth="1"/>
    <col min="26" max="26" width="17.77734375" customWidth="1"/>
    <col min="27" max="27" width="19.21875" bestFit="1" customWidth="1"/>
    <col min="28" max="33" width="17.77734375" customWidth="1"/>
    <col min="34" max="34" width="22.77734375" bestFit="1" customWidth="1"/>
    <col min="35" max="35" width="17.77734375" customWidth="1"/>
    <col min="36" max="36" width="16.33203125" customWidth="1"/>
    <col min="37" max="37" width="15.33203125" customWidth="1"/>
    <col min="38" max="38" width="16.21875" customWidth="1"/>
    <col min="39" max="39" width="19.21875" customWidth="1"/>
    <col min="40" max="41" width="17.77734375" customWidth="1"/>
    <col min="42" max="42" width="19.44140625" customWidth="1"/>
    <col min="43" max="43" width="19.88671875" customWidth="1"/>
    <col min="44" max="44" width="26.5546875" customWidth="1"/>
    <col min="45" max="45" width="28.44140625" customWidth="1"/>
    <col min="46" max="46" width="31.21875" customWidth="1"/>
  </cols>
  <sheetData>
    <row r="1" spans="1:46" ht="27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W1" s="1" t="s">
        <v>4088</v>
      </c>
      <c r="Z1" s="1" t="s">
        <v>4091</v>
      </c>
      <c r="AA1" s="1" t="s">
        <v>4092</v>
      </c>
      <c r="AB1" s="1" t="s">
        <v>4093</v>
      </c>
      <c r="AC1" s="1" t="s">
        <v>4094</v>
      </c>
      <c r="AD1" s="1" t="s">
        <v>4096</v>
      </c>
      <c r="AE1" s="1" t="s">
        <v>4097</v>
      </c>
      <c r="AF1" s="1" t="s">
        <v>4098</v>
      </c>
      <c r="AG1" s="1" t="s">
        <v>4099</v>
      </c>
      <c r="AH1" s="1" t="s">
        <v>4100</v>
      </c>
      <c r="AI1" s="1" t="s">
        <v>4101</v>
      </c>
      <c r="AJ1" s="2" t="s">
        <v>4102</v>
      </c>
      <c r="AK1" s="2" t="s">
        <v>4103</v>
      </c>
      <c r="AL1" s="2" t="s">
        <v>4104</v>
      </c>
      <c r="AM1" s="2" t="s">
        <v>4105</v>
      </c>
      <c r="AN1" s="9" t="s">
        <v>4089</v>
      </c>
      <c r="AO1" s="7" t="s">
        <v>4090</v>
      </c>
      <c r="AP1" s="2" t="s">
        <v>4106</v>
      </c>
      <c r="AQ1" s="2" t="s">
        <v>4107</v>
      </c>
      <c r="AR1" s="2" t="s">
        <v>4108</v>
      </c>
      <c r="AS1" s="2" t="s">
        <v>4109</v>
      </c>
      <c r="AT1" s="3" t="s">
        <v>4110</v>
      </c>
    </row>
    <row r="2" spans="1:46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  <c r="W2" t="s">
        <v>21</v>
      </c>
      <c r="Z2" t="s">
        <v>24</v>
      </c>
      <c r="AA2" t="str" cm="1">
        <f t="array" ref="AA2:AA901">TRIM(E2:E901)</f>
        <v>Karan Malhotra</v>
      </c>
      <c r="AB2" t="str">
        <f>TRIM(PROPER(F:F))</f>
        <v>Consumer</v>
      </c>
      <c r="AC2" t="str">
        <f>TRIM(PROPER(G:G))</f>
        <v>North</v>
      </c>
      <c r="AD2" t="str">
        <f>TRIM(PROPER(H:H))</f>
        <v>Rajasthan</v>
      </c>
      <c r="AE2" t="str">
        <f>TRIM(PROPER(I:I))</f>
        <v>Jaipur</v>
      </c>
      <c r="AF2" t="str">
        <f>TRIM(PROPER(J:J))</f>
        <v>Office Supplies</v>
      </c>
      <c r="AG2" t="str">
        <f>TRIM(PROPER(K:K))</f>
        <v>Paper</v>
      </c>
      <c r="AH2" t="str">
        <f>TRIM(PROPER(L:L))</f>
        <v>Pro Paper 122</v>
      </c>
      <c r="AI2" t="str">
        <f>TRIM(PROPER(M:M))</f>
        <v>Second Class</v>
      </c>
      <c r="AJ2" s="5">
        <f>IF(OR(P2&lt;0,P2&gt;0.5),"invalid",P2)</f>
        <v>0.2</v>
      </c>
      <c r="AK2" s="6">
        <f>IFERROR(N2*O2*(1-AJ2), "NA")</f>
        <v>19049.28</v>
      </c>
      <c r="AL2" s="6">
        <f>IFERROR(AK2-R2,"NA")</f>
        <v>3207.3899999999994</v>
      </c>
      <c r="AM2" s="5">
        <f>IFERROR(AL2/AK2,"NA")</f>
        <v>0.16837329284886357</v>
      </c>
      <c r="AN2" t="str" cm="1">
        <f t="array" ref="AN2:AN901">IFERROR(TEXT(DATEVALUE(B2:B901), "dd-mm-yy"), "invalid date")</f>
        <v>21-07-24</v>
      </c>
      <c r="AO2" t="str" cm="1">
        <f t="array" ref="AO2:AO901">IFERROR(TEXT(DATEVALUE(C2:C901),"dd-mm-yy"), "invalid date")</f>
        <v>invalid date</v>
      </c>
      <c r="AP2" t="str">
        <f>TEXT(AN2,"mmmm")</f>
        <v>July</v>
      </c>
      <c r="AQ2" t="str">
        <f>TEXT(AN2,"yyyy")</f>
        <v>2024</v>
      </c>
      <c r="AR2" t="str">
        <f>IF(OR(AN2="Invalid Date",AO2="Invalid Date"),"Invalid",(IF(AO2&lt;AN2,"anomaly"," ")))</f>
        <v>Invalid</v>
      </c>
      <c r="AS2" t="str">
        <f>IFERROR(AO2-AN2, "invalid date")</f>
        <v>invalid date</v>
      </c>
      <c r="AT2" t="str">
        <f>IF(COUNTIFS( $A:$A,A2,$B:$B,B2,$C:$C,C2,$D:$D,D2,$E:$E,E2,$F:$F,F2,$G:$G,G2,$H:$H,H2,$I:$I,I2,$J:$J,J2,$K:$K,K2,$L:$L,L2,$M:$M,M2,$T:$T,T2,$U:$U,U2,$W:$W,W2,$Z:$Z,Z2,$AA:$AA,AA2,$AB:$AB,AB2,$AC:$AC,AC2,$AD:$AD,AD2,$AE:$AE,AE2,$AF:$AF,AF2,$AG:$AG,AG2,$AH:$AH,AH2,$AI:$AI,AI2)&gt;1,"Duplicate","Unique")</f>
        <v>Unique</v>
      </c>
    </row>
    <row r="3" spans="1:46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  <c r="W3" t="s">
        <v>36</v>
      </c>
      <c r="Z3" t="s">
        <v>39</v>
      </c>
      <c r="AA3" t="str">
        <v>Mira Das</v>
      </c>
      <c r="AB3" t="str">
        <f>TRIM(PROPER(F:F))</f>
        <v>Small Business</v>
      </c>
      <c r="AC3" t="str">
        <f>TRIM(PROPER(G:G))</f>
        <v>East</v>
      </c>
      <c r="AD3" t="str">
        <f>TRIM(PROPER(H:H))</f>
        <v>Odisha</v>
      </c>
      <c r="AE3" t="str">
        <f>TRIM(PROPER(I:I))</f>
        <v>Bhubaneswar</v>
      </c>
      <c r="AF3" t="str">
        <f>TRIM(PROPER(J:J))</f>
        <v>Furniture</v>
      </c>
      <c r="AG3" t="str">
        <f>TRIM(PROPER(K:K))</f>
        <v>Tables</v>
      </c>
      <c r="AH3" t="str">
        <f>TRIM(PROPER(L:L))</f>
        <v>Pro Tables 258</v>
      </c>
      <c r="AI3" t="str">
        <f>TRIM(PROPER(M:M))</f>
        <v>Same Day</v>
      </c>
      <c r="AJ3" s="5">
        <f>IF(OR(P3&lt;0,P3&gt;0.5),"invalid",P3)</f>
        <v>0</v>
      </c>
      <c r="AK3" s="6">
        <f>IFERROR(N3*O3*(1-AJ3), "NA")</f>
        <v>7312.5</v>
      </c>
      <c r="AL3" s="6">
        <f>IFERROR(AK3-R3,"NA")</f>
        <v>2407.7700000000004</v>
      </c>
      <c r="AM3" s="5">
        <f t="shared" ref="AM3:AM66" si="0">IFERROR(AL3/AK3,"NA")</f>
        <v>0.32926769230769237</v>
      </c>
      <c r="AN3" t="str">
        <v>invalid date</v>
      </c>
      <c r="AO3" t="str">
        <v>05-09-24</v>
      </c>
      <c r="AP3" t="str">
        <f t="shared" ref="AP3:AP66" si="1">TEXT(AN3,"mmmm")</f>
        <v>invalid date</v>
      </c>
      <c r="AQ3" t="str">
        <f t="shared" ref="AQ3:AQ66" si="2">TEXT(AN3,"yyyy")</f>
        <v>invalid date</v>
      </c>
      <c r="AR3" t="str">
        <f t="shared" ref="AR3:AR66" si="3">IF(OR(AN3="Invalid Date",AO3="Invalid Date"),"Invalid",(IF(AO3&lt;AN3,"anomaly"," ")))</f>
        <v>Invalid</v>
      </c>
      <c r="AS3" t="str">
        <f t="shared" ref="AS3:AS66" si="4">IFERROR(AO3-AN3, "invalid date")</f>
        <v>invalid date</v>
      </c>
      <c r="AT3" t="str">
        <f>IF(COUNTIFS( $A:$A,A3,$B:$B,B3,$C:$C,C3,$D:$D,D3,$E:$E,E3,$F:$F,F3,$G:$G,G3,$H:$H,H3,$I:$I,I3,$J:$J,J3,$K:$K,K3,$L:$L,L3,$M:$M,M3,$T:$T,T3,$U:$U,U3,$W:$W,W3,$Z:$Z,Z3,$AA:$AA,AA3,$AB:$AB,AB3,$AC:$AC,AC3,$AD:$AD,AD3,$AE:$AE,AE3,$AF:$AF,AF3,$AG:$AG,AG3,$AH:$AH,AH3,$AI:$AI,AI3)&gt;1,"Duplicate","Unique")</f>
        <v>Unique</v>
      </c>
    </row>
    <row r="4" spans="1:46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  <c r="W4" t="s">
        <v>49</v>
      </c>
      <c r="Z4" t="s">
        <v>52</v>
      </c>
      <c r="AA4" t="str">
        <v>Isha Nair</v>
      </c>
      <c r="AB4" t="str">
        <f>TRIM(PROPER(F:F))</f>
        <v>Consumer</v>
      </c>
      <c r="AC4" t="str">
        <f>TRIM(PROPER(G:G))</f>
        <v>East</v>
      </c>
      <c r="AD4" t="str">
        <f>TRIM(PROPER(H:H))</f>
        <v>Odisha</v>
      </c>
      <c r="AE4" t="str">
        <f>TRIM(PROPER(I:I))</f>
        <v>Bhubaneswar</v>
      </c>
      <c r="AF4" t="str">
        <f>TRIM(PROPER(J:J))</f>
        <v>Office Supplies</v>
      </c>
      <c r="AG4" t="str">
        <f>TRIM(PROPER(K:K))</f>
        <v>Art</v>
      </c>
      <c r="AH4" t="str">
        <f>TRIM(PROPER(L:L))</f>
        <v>Elite Art 525</v>
      </c>
      <c r="AI4" t="str">
        <f>TRIM(PROPER(M:M))</f>
        <v>First Class</v>
      </c>
      <c r="AJ4" s="5" t="str">
        <f>IF(OR(P4&lt;0,P4&gt;0.5),"invalid",P4)</f>
        <v>invalid</v>
      </c>
      <c r="AK4" s="6" t="str">
        <f>IFERROR(N4*O4*(1-AJ4), "NA")</f>
        <v>NA</v>
      </c>
      <c r="AL4" s="6" t="str">
        <f>IFERROR(AK4-R4,"NA")</f>
        <v>NA</v>
      </c>
      <c r="AM4" s="5" t="str">
        <f t="shared" si="0"/>
        <v>NA</v>
      </c>
      <c r="AN4" t="str">
        <v>06-08-24</v>
      </c>
      <c r="AO4" t="str">
        <v>15-06-24</v>
      </c>
      <c r="AP4" t="str">
        <f t="shared" si="1"/>
        <v>August</v>
      </c>
      <c r="AQ4" t="str">
        <f t="shared" si="2"/>
        <v>2024</v>
      </c>
      <c r="AR4" t="str">
        <f t="shared" si="3"/>
        <v xml:space="preserve"> </v>
      </c>
      <c r="AS4">
        <f t="shared" si="4"/>
        <v>-52</v>
      </c>
      <c r="AT4" t="str">
        <f>IF(COUNTIFS( $A:$A,A4,$B:$B,B4,$C:$C,C4,$D:$D,D4,$E:$E,E4,$F:$F,F4,$G:$G,G4,$H:$H,H4,$I:$I,I4,$J:$J,J4,$K:$K,K4,$L:$L,L4,$M:$M,M4,$T:$T,T4,$U:$U,U4,$W:$W,W4,$Z:$Z,Z4,$AA:$AA,AA4,$AB:$AB,AB4,$AC:$AC,AC4,$AD:$AD,AD4,$AE:$AE,AE4,$AF:$AF,AF4,$AG:$AG,AG4,$AH:$AH,AH4,$AI:$AI,AI4)&gt;1,"Duplicate","Unique")</f>
        <v>Unique</v>
      </c>
    </row>
    <row r="5" spans="1:46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  <c r="W5" t="s">
        <v>57</v>
      </c>
      <c r="Z5" t="s">
        <v>60</v>
      </c>
      <c r="AA5" t="str">
        <v>Arjun Bose</v>
      </c>
      <c r="AB5" t="str">
        <f>TRIM(PROPER(F:F))</f>
        <v>Small Business</v>
      </c>
      <c r="AC5" t="str">
        <f>TRIM(PROPER(G:G))</f>
        <v>South</v>
      </c>
      <c r="AD5" t="str">
        <f>TRIM(PROPER(H:H))</f>
        <v>Telangana</v>
      </c>
      <c r="AE5" t="str">
        <f>TRIM(PROPER(I:I))</f>
        <v>Hyderabad</v>
      </c>
      <c r="AF5" t="str">
        <f>TRIM(PROPER(J:J))</f>
        <v>Furniture</v>
      </c>
      <c r="AG5" t="str">
        <f>TRIM(PROPER(K:K))</f>
        <v>Furnishings</v>
      </c>
      <c r="AH5" t="str">
        <f>TRIM(PROPER(L:L))</f>
        <v>Smart Furnishings 294</v>
      </c>
      <c r="AI5" t="str">
        <f>TRIM(PROPER(M:M))</f>
        <v>Standard Class</v>
      </c>
      <c r="AJ5" s="5">
        <f>IF(OR(P5&lt;0,P5&gt;0.5),"invalid",P5)</f>
        <v>0.25</v>
      </c>
      <c r="AK5" s="6">
        <f>IFERROR(N5*O5*(1-AJ5), "NA")</f>
        <v>8317.9349999999995</v>
      </c>
      <c r="AL5" s="6">
        <f>IFERROR(AK5-R5,"NA")</f>
        <v>1521.1649999999991</v>
      </c>
      <c r="AM5" s="5">
        <f t="shared" si="0"/>
        <v>0.18287772145370204</v>
      </c>
      <c r="AN5" t="str">
        <v>28-11-24</v>
      </c>
      <c r="AO5" t="str">
        <v>invalid date</v>
      </c>
      <c r="AP5" t="str">
        <f t="shared" si="1"/>
        <v>November</v>
      </c>
      <c r="AQ5" t="str">
        <f t="shared" si="2"/>
        <v>2024</v>
      </c>
      <c r="AR5" t="str">
        <f t="shared" si="3"/>
        <v>Invalid</v>
      </c>
      <c r="AS5" t="str">
        <f t="shared" si="4"/>
        <v>invalid date</v>
      </c>
      <c r="AT5" t="str">
        <f>IF(COUNTIFS( $A:$A,A5,$B:$B,B5,$C:$C,C5,$D:$D,D5,$E:$E,E5,$F:$F,F5,$G:$G,G5,$H:$H,H5,$I:$I,I5,$J:$J,J5,$K:$K,K5,$L:$L,L5,$M:$M,M5,$T:$T,T5,$U:$U,U5,$W:$W,W5,$Z:$Z,Z5,$AA:$AA,AA5,$AB:$AB,AB5,$AC:$AC,AC5,$AD:$AD,AD5,$AE:$AE,AE5,$AF:$AF,AF5,$AG:$AG,AG5,$AH:$AH,AH5,$AI:$AI,AI5)&gt;1,"Duplicate","Unique")</f>
        <v>Unique</v>
      </c>
    </row>
    <row r="6" spans="1:46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  <c r="W6" t="s">
        <v>68</v>
      </c>
      <c r="Z6" t="s">
        <v>71</v>
      </c>
      <c r="AA6" t="str">
        <v>Ananya Rao</v>
      </c>
      <c r="AB6" t="str">
        <f>TRIM(PROPER(F:F))</f>
        <v>Small Business</v>
      </c>
      <c r="AC6" t="str">
        <f>TRIM(PROPER(G:G))</f>
        <v>West</v>
      </c>
      <c r="AD6" t="str">
        <f>TRIM(PROPER(H:H))</f>
        <v>Maharashtra</v>
      </c>
      <c r="AE6" t="str">
        <f>TRIM(PROPER(I:I))</f>
        <v>Mumbai</v>
      </c>
      <c r="AF6" t="str">
        <f>TRIM(PROPER(J:J))</f>
        <v>Furniture</v>
      </c>
      <c r="AG6" t="str">
        <f>TRIM(PROPER(K:K))</f>
        <v>Chairs</v>
      </c>
      <c r="AH6" t="str">
        <f>TRIM(PROPER(L:L))</f>
        <v>Elite Chairs 543</v>
      </c>
      <c r="AI6" t="str">
        <f>TRIM(PROPER(M:M))</f>
        <v>First Class</v>
      </c>
      <c r="AJ6" s="5">
        <f>IF(OR(P6&lt;0,P6&gt;0.5),"invalid",P6)</f>
        <v>0</v>
      </c>
      <c r="AK6" s="6">
        <f>IFERROR(N6*O6*(1-AJ6), "NA")</f>
        <v>20816.32</v>
      </c>
      <c r="AL6" s="6">
        <f>IFERROR(AK6-R6,"NA")</f>
        <v>3110.9500000000007</v>
      </c>
      <c r="AM6" s="5">
        <f t="shared" si="0"/>
        <v>0.14944764492475138</v>
      </c>
      <c r="AN6" t="str">
        <v>29-08-25</v>
      </c>
      <c r="AO6" t="str">
        <v>01-09-25</v>
      </c>
      <c r="AP6" t="str">
        <f t="shared" si="1"/>
        <v>August</v>
      </c>
      <c r="AQ6" t="str">
        <f t="shared" si="2"/>
        <v>2025</v>
      </c>
      <c r="AR6" t="str">
        <f t="shared" si="3"/>
        <v>anomaly</v>
      </c>
      <c r="AS6">
        <f t="shared" si="4"/>
        <v>3</v>
      </c>
      <c r="AT6" t="str">
        <f>IF(COUNTIFS( $A:$A,A6,$B:$B,B6,$C:$C,C6,$D:$D,D6,$E:$E,E6,$F:$F,F6,$G:$G,G6,$H:$H,H6,$I:$I,I6,$J:$J,J6,$K:$K,K6,$L:$L,L6,$M:$M,M6,$T:$T,T6,$U:$U,U6,$W:$W,W6,$Z:$Z,Z6,$AA:$AA,AA6,$AB:$AB,AB6,$AC:$AC,AC6,$AD:$AD,AD6,$AE:$AE,AE6,$AF:$AF,AF6,$AG:$AG,AG6,$AH:$AH,AH6,$AI:$AI,AI6)&gt;1,"Duplicate","Unique")</f>
        <v>Unique</v>
      </c>
    </row>
    <row r="7" spans="1:46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  <c r="W7" t="s">
        <v>79</v>
      </c>
      <c r="Z7" t="s">
        <v>82</v>
      </c>
      <c r="AA7" t="str">
        <v>Vikram Iyer</v>
      </c>
      <c r="AB7" t="str">
        <f>TRIM(PROPER(F:F))</f>
        <v>Small Business</v>
      </c>
      <c r="AC7" t="str">
        <f>TRIM(PROPER(G:G))</f>
        <v>West</v>
      </c>
      <c r="AD7" t="str">
        <f>TRIM(PROPER(H:H))</f>
        <v>Madhya Pradesh</v>
      </c>
      <c r="AE7" t="str">
        <f>TRIM(PROPER(I:I))</f>
        <v>Indore</v>
      </c>
      <c r="AF7" t="str">
        <f>TRIM(PROPER(J:J))</f>
        <v>Technology</v>
      </c>
      <c r="AG7" t="str">
        <f>TRIM(PROPER(K:K))</f>
        <v>Accessories</v>
      </c>
      <c r="AH7" t="str">
        <f>TRIM(PROPER(L:L))</f>
        <v>Pro Accessories 821</v>
      </c>
      <c r="AI7" t="str">
        <f>TRIM(PROPER(M:M))</f>
        <v>Same Day</v>
      </c>
      <c r="AJ7" s="5">
        <f>IF(OR(P7&lt;0,P7&gt;0.5),"invalid",P7)</f>
        <v>0.2</v>
      </c>
      <c r="AK7" s="6">
        <f>IFERROR(N7*O7*(1-AJ7), "NA")</f>
        <v>2527.4639999999999</v>
      </c>
      <c r="AL7" s="6">
        <f>IFERROR(AK7-R7,"NA")</f>
        <v>993.88400000000001</v>
      </c>
      <c r="AM7" s="5">
        <f t="shared" si="0"/>
        <v>0.39323369195367375</v>
      </c>
      <c r="AN7" t="str">
        <v>24-05-24</v>
      </c>
      <c r="AO7" t="str">
        <v>28-05-24</v>
      </c>
      <c r="AP7" t="str">
        <f t="shared" si="1"/>
        <v>May</v>
      </c>
      <c r="AQ7" t="str">
        <f t="shared" si="2"/>
        <v>2024</v>
      </c>
      <c r="AR7" t="str">
        <f t="shared" si="3"/>
        <v xml:space="preserve"> </v>
      </c>
      <c r="AS7">
        <f t="shared" si="4"/>
        <v>4</v>
      </c>
      <c r="AT7" t="str">
        <f>IF(COUNTIFS( $A:$A,A7,$B:$B,B7,$C:$C,C7,$D:$D,D7,$E:$E,E7,$F:$F,F7,$G:$G,G7,$H:$H,H7,$I:$I,I7,$J:$J,J7,$K:$K,K7,$L:$L,L7,$M:$M,M7,$T:$T,T7,$U:$U,U7,$W:$W,W7,$Z:$Z,Z7,$AA:$AA,AA7,$AB:$AB,AB7,$AC:$AC,AC7,$AD:$AD,AD7,$AE:$AE,AE7,$AF:$AF,AF7,$AG:$AG,AG7,$AH:$AH,AH7,$AI:$AI,AI7)&gt;1,"Duplicate","Unique")</f>
        <v>Unique</v>
      </c>
    </row>
    <row r="8" spans="1:46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  <c r="W8" t="s">
        <v>89</v>
      </c>
      <c r="Z8" t="s">
        <v>92</v>
      </c>
      <c r="AA8" t="str">
        <v>Neha Gupta</v>
      </c>
      <c r="AB8" t="str">
        <f>TRIM(PROPER(F:F))</f>
        <v>Consumer</v>
      </c>
      <c r="AC8" t="str">
        <f>TRIM(PROPER(G:G))</f>
        <v>East</v>
      </c>
      <c r="AD8" t="str">
        <f>TRIM(PROPER(H:H))</f>
        <v>Odisha</v>
      </c>
      <c r="AE8" t="str">
        <f>TRIM(PROPER(I:I))</f>
        <v>Bhubaneswar</v>
      </c>
      <c r="AF8" t="str">
        <f>TRIM(PROPER(J:J))</f>
        <v>Technology</v>
      </c>
      <c r="AG8" t="str">
        <f>TRIM(PROPER(K:K))</f>
        <v>Copiers</v>
      </c>
      <c r="AH8" t="str">
        <f>TRIM(PROPER(L:L))</f>
        <v>Eco Copiers 790</v>
      </c>
      <c r="AI8" t="str">
        <f>TRIM(PROPER(M:M))</f>
        <v>Standard Class</v>
      </c>
      <c r="AJ8" s="5">
        <f>IF(OR(P8&lt;0,P8&gt;0.5),"invalid",P8)</f>
        <v>0.15</v>
      </c>
      <c r="AK8" s="6">
        <f>IFERROR(N8*O8*(1-AJ8), "NA")</f>
        <v>5847.5579999999991</v>
      </c>
      <c r="AL8" s="6">
        <f>IFERROR(AK8-R8,"NA")</f>
        <v>1120.3079999999991</v>
      </c>
      <c r="AM8" s="5">
        <f t="shared" si="0"/>
        <v>0.19158561573908275</v>
      </c>
      <c r="AN8" t="str">
        <v>04-10-25</v>
      </c>
      <c r="AO8" t="str">
        <v>invalid date</v>
      </c>
      <c r="AP8" t="str">
        <f t="shared" si="1"/>
        <v>October</v>
      </c>
      <c r="AQ8" t="str">
        <f t="shared" si="2"/>
        <v>2025</v>
      </c>
      <c r="AR8" t="str">
        <f t="shared" si="3"/>
        <v>Invalid</v>
      </c>
      <c r="AS8" t="str">
        <f t="shared" si="4"/>
        <v>invalid date</v>
      </c>
      <c r="AT8" t="str">
        <f>IF(COUNTIFS( $A:$A,A8,$B:$B,B8,$C:$C,C8,$D:$D,D8,$E:$E,E8,$F:$F,F8,$G:$G,G8,$H:$H,H8,$I:$I,I8,$J:$J,J8,$K:$K,K8,$L:$L,L8,$M:$M,M8,$T:$T,T8,$U:$U,U8,$W:$W,W8,$Z:$Z,Z8,$AA:$AA,AA8,$AB:$AB,AB8,$AC:$AC,AC8,$AD:$AD,AD8,$AE:$AE,AE8,$AF:$AF,AF8,$AG:$AG,AG8,$AH:$AH,AH8,$AI:$AI,AI8)&gt;1,"Duplicate","Unique")</f>
        <v>Unique</v>
      </c>
    </row>
    <row r="9" spans="1:46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  <c r="W9" t="s">
        <v>96</v>
      </c>
      <c r="Z9" t="s">
        <v>99</v>
      </c>
      <c r="AA9" t="str">
        <v>Isha Nair</v>
      </c>
      <c r="AB9" t="str">
        <f>TRIM(PROPER(F:F))</f>
        <v>Small Business</v>
      </c>
      <c r="AC9" t="str">
        <f>TRIM(PROPER(G:G))</f>
        <v>South</v>
      </c>
      <c r="AD9" t="str">
        <f>TRIM(PROPER(H:H))</f>
        <v>Andhra Pradesh</v>
      </c>
      <c r="AE9" t="str">
        <f>TRIM(PROPER(I:I))</f>
        <v>Vijayawada</v>
      </c>
      <c r="AF9" t="str">
        <f>TRIM(PROPER(J:J))</f>
        <v>Office Supplies</v>
      </c>
      <c r="AG9" t="str">
        <f>TRIM(PROPER(K:K))</f>
        <v>Art</v>
      </c>
      <c r="AH9" t="str">
        <f>TRIM(PROPER(L:L))</f>
        <v>Eco Art 848</v>
      </c>
      <c r="AI9" t="str">
        <f>TRIM(PROPER(M:M))</f>
        <v>First Class</v>
      </c>
      <c r="AJ9" s="5">
        <f>IF(OR(P9&lt;0,P9&gt;0.5),"invalid",P9)</f>
        <v>0</v>
      </c>
      <c r="AK9" s="6">
        <f>IFERROR(N9*O9*(1-AJ9), "NA")</f>
        <v>2980.71</v>
      </c>
      <c r="AL9" s="6">
        <f>IFERROR(AK9-R9,"NA")</f>
        <v>623.49000000000024</v>
      </c>
      <c r="AM9" s="5">
        <f t="shared" si="0"/>
        <v>0.20917499521925992</v>
      </c>
      <c r="AN9" t="str">
        <v>23-02-25</v>
      </c>
      <c r="AO9" t="str">
        <v>26-02-25</v>
      </c>
      <c r="AP9" t="str">
        <f t="shared" si="1"/>
        <v>February</v>
      </c>
      <c r="AQ9" t="str">
        <f t="shared" si="2"/>
        <v>2025</v>
      </c>
      <c r="AR9" t="str">
        <f t="shared" si="3"/>
        <v xml:space="preserve"> </v>
      </c>
      <c r="AS9">
        <f t="shared" si="4"/>
        <v>3</v>
      </c>
      <c r="AT9" t="str">
        <f>IF(COUNTIFS( $A:$A,A9,$B:$B,B9,$C:$C,C9,$D:$D,D9,$E:$E,E9,$F:$F,F9,$G:$G,G9,$H:$H,H9,$I:$I,I9,$J:$J,J9,$K:$K,K9,$L:$L,L9,$M:$M,M9,$T:$T,T9,$U:$U,U9,$W:$W,W9,$Z:$Z,Z9,$AA:$AA,AA9,$AB:$AB,AB9,$AC:$AC,AC9,$AD:$AD,AD9,$AE:$AE,AE9,$AF:$AF,AF9,$AG:$AG,AG9,$AH:$AH,AH9,$AI:$AI,AI9)&gt;1,"Duplicate","Unique")</f>
        <v>Unique</v>
      </c>
    </row>
    <row r="10" spans="1:46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  <c r="W10" t="s">
        <v>103</v>
      </c>
      <c r="Z10" t="s">
        <v>106</v>
      </c>
      <c r="AA10" t="str">
        <v>Aditi Sen</v>
      </c>
      <c r="AB10" t="str">
        <f>TRIM(PROPER(F:F))</f>
        <v>Corporate</v>
      </c>
      <c r="AC10" t="str">
        <f>TRIM(PROPER(G:G))</f>
        <v>South</v>
      </c>
      <c r="AD10" t="str">
        <f>TRIM(PROPER(H:H))</f>
        <v>Telangana</v>
      </c>
      <c r="AE10" t="str">
        <f>TRIM(PROPER(I:I))</f>
        <v>Hyderabad</v>
      </c>
      <c r="AF10" t="str">
        <f>TRIM(PROPER(J:J))</f>
        <v>Office Supplies</v>
      </c>
      <c r="AG10" t="str">
        <f>TRIM(PROPER(K:K))</f>
        <v>Labels</v>
      </c>
      <c r="AH10" t="str">
        <f>TRIM(PROPER(L:L))</f>
        <v>Classic Labels 815</v>
      </c>
      <c r="AI10" t="str">
        <f>TRIM(PROPER(M:M))</f>
        <v>First Class</v>
      </c>
      <c r="AJ10" s="5">
        <f>IF(OR(P10&lt;0,P10&gt;0.5),"invalid",P10)</f>
        <v>0</v>
      </c>
      <c r="AK10" s="6">
        <f>IFERROR(N10*O10*(1-AJ10), "NA")</f>
        <v>25073.599999999999</v>
      </c>
      <c r="AL10" s="6">
        <f>IFERROR(AK10-R10,"NA")</f>
        <v>7726.369999999999</v>
      </c>
      <c r="AM10" s="5">
        <f t="shared" si="0"/>
        <v>0.30814761342607361</v>
      </c>
      <c r="AN10" t="str">
        <v>11-05-24</v>
      </c>
      <c r="AO10" t="str">
        <v>11-10-24</v>
      </c>
      <c r="AP10" t="str">
        <f t="shared" si="1"/>
        <v>May</v>
      </c>
      <c r="AQ10" t="str">
        <f t="shared" si="2"/>
        <v>2024</v>
      </c>
      <c r="AR10" t="str">
        <f t="shared" si="3"/>
        <v xml:space="preserve"> </v>
      </c>
      <c r="AS10">
        <f t="shared" si="4"/>
        <v>153</v>
      </c>
      <c r="AT10" t="str">
        <f>IF(COUNTIFS( $A:$A,A10,$B:$B,B10,$C:$C,C10,$D:$D,D10,$E:$E,E10,$F:$F,F10,$G:$G,G10,$H:$H,H10,$I:$I,I10,$J:$J,J10,$K:$K,K10,$L:$L,L10,$M:$M,M10,$T:$T,T10,$U:$U,U10,$W:$W,W10,$Z:$Z,Z10,$AA:$AA,AA10,$AB:$AB,AB10,$AC:$AC,AC10,$AD:$AD,AD10,$AE:$AE,AE10,$AF:$AF,AF10,$AG:$AG,AG10,$AH:$AH,AH10,$AI:$AI,AI10)&gt;1,"Duplicate","Unique")</f>
        <v>Unique</v>
      </c>
    </row>
    <row r="11" spans="1:46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  <c r="W11" t="s">
        <v>111</v>
      </c>
      <c r="Z11" t="s">
        <v>114</v>
      </c>
      <c r="AA11" t="str">
        <v>Mira Das</v>
      </c>
      <c r="AB11" t="str">
        <f>TRIM(PROPER(F:F))</f>
        <v>Home Office</v>
      </c>
      <c r="AC11" t="str">
        <f>TRIM(PROPER(G:G))</f>
        <v>South</v>
      </c>
      <c r="AD11" t="str">
        <f>TRIM(PROPER(H:H))</f>
        <v>Telangana</v>
      </c>
      <c r="AE11" t="str">
        <f>TRIM(PROPER(I:I))</f>
        <v>Hyderabad</v>
      </c>
      <c r="AF11" t="str">
        <f>TRIM(PROPER(J:J))</f>
        <v>Office Supplies</v>
      </c>
      <c r="AG11" t="str">
        <f>TRIM(PROPER(K:K))</f>
        <v>Paper</v>
      </c>
      <c r="AH11" t="str">
        <f>TRIM(PROPER(L:L))</f>
        <v>Pro Paper 622</v>
      </c>
      <c r="AI11" t="str">
        <f>TRIM(PROPER(M:M))</f>
        <v>Second Class</v>
      </c>
      <c r="AJ11" s="5">
        <f>IF(OR(P11&lt;0,P11&gt;0.5),"invalid",P11)</f>
        <v>0.2</v>
      </c>
      <c r="AK11" s="6">
        <f>IFERROR(N11*O11*(1-AJ11), "NA")</f>
        <v>6134.6880000000001</v>
      </c>
      <c r="AL11" s="6">
        <f>IFERROR(AK11-R11,"NA")</f>
        <v>2334.498</v>
      </c>
      <c r="AM11" s="5">
        <f t="shared" si="0"/>
        <v>0.38054062407085737</v>
      </c>
      <c r="AN11" s="8" t="str">
        <v>07-09-25</v>
      </c>
      <c r="AO11" t="str">
        <v>09-12-25</v>
      </c>
      <c r="AP11" t="str">
        <f t="shared" si="1"/>
        <v>September</v>
      </c>
      <c r="AQ11" t="str">
        <f t="shared" si="2"/>
        <v>2025</v>
      </c>
      <c r="AR11" t="str">
        <f t="shared" si="3"/>
        <v xml:space="preserve"> </v>
      </c>
      <c r="AS11">
        <f t="shared" si="4"/>
        <v>93</v>
      </c>
      <c r="AT11" t="str">
        <f>IF(COUNTIFS( $A:$A,A11,$B:$B,B11,$C:$C,C11,$D:$D,D11,$E:$E,E11,$F:$F,F11,$G:$G,G11,$H:$H,H11,$I:$I,I11,$J:$J,J11,$K:$K,K11,$L:$L,L11,$M:$M,M11,$T:$T,T11,$U:$U,U11,$W:$W,W11,$Z:$Z,Z11,$AA:$AA,AA11,$AB:$AB,AB11,$AC:$AC,AC11,$AD:$AD,AD11,$AE:$AE,AE11,$AF:$AF,AF11,$AG:$AG,AG11,$AH:$AH,AH11,$AI:$AI,AI11)&gt;1,"Duplicate","Unique")</f>
        <v>Unique</v>
      </c>
    </row>
    <row r="12" spans="1:46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  <c r="W12" t="s">
        <v>117</v>
      </c>
      <c r="Z12" t="s">
        <v>120</v>
      </c>
      <c r="AA12" t="str">
        <v>Ananya Rao</v>
      </c>
      <c r="AB12" t="str">
        <f>TRIM(PROPER(F:F))</f>
        <v>Corporate</v>
      </c>
      <c r="AC12" t="str">
        <f>TRIM(PROPER(G:G))</f>
        <v>East</v>
      </c>
      <c r="AD12" t="str">
        <f>TRIM(PROPER(H:H))</f>
        <v>West Bengal</v>
      </c>
      <c r="AE12" t="str">
        <f>TRIM(PROPER(I:I))</f>
        <v>Kolkata</v>
      </c>
      <c r="AF12" t="str">
        <f>TRIM(PROPER(J:J))</f>
        <v>Office Supplies</v>
      </c>
      <c r="AG12" t="str">
        <f>TRIM(PROPER(K:K))</f>
        <v>Labels</v>
      </c>
      <c r="AH12" t="str">
        <f>TRIM(PROPER(L:L))</f>
        <v>Prime Labels 644</v>
      </c>
      <c r="AI12" t="str">
        <f>TRIM(PROPER(M:M))</f>
        <v>Second Class</v>
      </c>
      <c r="AJ12" s="5">
        <f>IF(OR(P12&lt;0,P12&gt;0.5),"invalid",P12)</f>
        <v>0.05</v>
      </c>
      <c r="AK12" s="6">
        <f>IFERROR(N12*O12*(1-AJ12), "NA")</f>
        <v>10074.2655</v>
      </c>
      <c r="AL12" s="6">
        <f>IFERROR(AK12-R12,"NA")</f>
        <v>4025.9954999999991</v>
      </c>
      <c r="AM12" s="5">
        <f t="shared" si="0"/>
        <v>0.39963166545491574</v>
      </c>
      <c r="AN12" t="str">
        <v>20-05-25</v>
      </c>
      <c r="AO12" t="str">
        <v>invalid date</v>
      </c>
      <c r="AP12" t="str">
        <f t="shared" si="1"/>
        <v>May</v>
      </c>
      <c r="AQ12" t="str">
        <f t="shared" si="2"/>
        <v>2025</v>
      </c>
      <c r="AR12" t="str">
        <f t="shared" si="3"/>
        <v>Invalid</v>
      </c>
      <c r="AS12" t="str">
        <f t="shared" si="4"/>
        <v>invalid date</v>
      </c>
      <c r="AT12" t="str">
        <f>IF(COUNTIFS( $A:$A,A12,$B:$B,B12,$C:$C,C12,$D:$D,D12,$E:$E,E12,$F:$F,F12,$G:$G,G12,$H:$H,H12,$I:$I,I12,$J:$J,J12,$K:$K,K12,$L:$L,L12,$M:$M,M12,$T:$T,T12,$U:$U,U12,$W:$W,W12,$Z:$Z,Z12,$AA:$AA,AA12,$AB:$AB,AB12,$AC:$AC,AC12,$AD:$AD,AD12,$AE:$AE,AE12,$AF:$AF,AF12,$AG:$AG,AG12,$AH:$AH,AH12,$AI:$AI,AI12)&gt;1,"Duplicate","Unique")</f>
        <v>Unique</v>
      </c>
    </row>
    <row r="13" spans="1:46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  <c r="W13" t="s">
        <v>126</v>
      </c>
      <c r="Z13" t="s">
        <v>129</v>
      </c>
      <c r="AA13" t="str">
        <v>Vikram Iyer</v>
      </c>
      <c r="AB13" t="str">
        <f>TRIM(PROPER(F:F))</f>
        <v>Small Business</v>
      </c>
      <c r="AC13" t="str">
        <f>TRIM(PROPER(G:G))</f>
        <v>East</v>
      </c>
      <c r="AD13" t="str">
        <f>TRIM(PROPER(H:H))</f>
        <v>Odisha</v>
      </c>
      <c r="AE13" t="str">
        <f>TRIM(PROPER(I:I))</f>
        <v>Bhubaneswar</v>
      </c>
      <c r="AF13" t="str">
        <f>TRIM(PROPER(J:J))</f>
        <v>Technology</v>
      </c>
      <c r="AG13" t="str">
        <f>TRIM(PROPER(K:K))</f>
        <v>Accessories</v>
      </c>
      <c r="AH13" t="str">
        <f>TRIM(PROPER(L:L))</f>
        <v>Smart Accessories 603</v>
      </c>
      <c r="AI13" t="str">
        <f>TRIM(PROPER(M:M))</f>
        <v>Same Day</v>
      </c>
      <c r="AJ13" s="5">
        <f>IF(OR(P13&lt;0,P13&gt;0.5),"invalid",P13)</f>
        <v>0.2</v>
      </c>
      <c r="AK13" s="6">
        <f>IFERROR(N13*O13*(1-AJ13), "NA")</f>
        <v>9628.5600000000013</v>
      </c>
      <c r="AL13" s="6">
        <f>IFERROR(AK13-R13,"NA")</f>
        <v>1589.9700000000012</v>
      </c>
      <c r="AM13" s="5">
        <f t="shared" si="0"/>
        <v>0.16513061143099289</v>
      </c>
      <c r="AN13" t="str">
        <v>22-07-24</v>
      </c>
      <c r="AO13" t="str">
        <v>23-07-24</v>
      </c>
      <c r="AP13" t="str">
        <f t="shared" si="1"/>
        <v>July</v>
      </c>
      <c r="AQ13" t="str">
        <f t="shared" si="2"/>
        <v>2024</v>
      </c>
      <c r="AR13" t="str">
        <f t="shared" si="3"/>
        <v xml:space="preserve"> </v>
      </c>
      <c r="AS13">
        <f t="shared" si="4"/>
        <v>1</v>
      </c>
      <c r="AT13" t="str">
        <f>IF(COUNTIFS( $A:$A,A13,$B:$B,B13,$C:$C,C13,$D:$D,D13,$E:$E,E13,$F:$F,F13,$G:$G,G13,$H:$H,H13,$I:$I,I13,$J:$J,J13,$K:$K,K13,$L:$L,L13,$M:$M,M13,$T:$T,T13,$U:$U,U13,$W:$W,W13,$Z:$Z,Z13,$AA:$AA,AA13,$AB:$AB,AB13,$AC:$AC,AC13,$AD:$AD,AD13,$AE:$AE,AE13,$AF:$AF,AF13,$AG:$AG,AG13,$AH:$AH,AH13,$AI:$AI,AI13)&gt;1,"Duplicate","Unique")</f>
        <v>Unique</v>
      </c>
    </row>
    <row r="14" spans="1:46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  <c r="W14" t="s">
        <v>131</v>
      </c>
      <c r="Z14" t="s">
        <v>134</v>
      </c>
      <c r="AA14" t="str">
        <v>Ananya Rao</v>
      </c>
      <c r="AB14" t="str">
        <f>TRIM(PROPER(F:F))</f>
        <v>Corporate</v>
      </c>
      <c r="AC14" t="str">
        <f>TRIM(PROPER(G:G))</f>
        <v>West</v>
      </c>
      <c r="AD14" t="str">
        <f>TRIM(PROPER(H:H))</f>
        <v>Rajasthan</v>
      </c>
      <c r="AE14" t="str">
        <f>TRIM(PROPER(I:I))</f>
        <v>Udaipur</v>
      </c>
      <c r="AF14" t="str">
        <f>TRIM(PROPER(J:J))</f>
        <v>Office Supplies</v>
      </c>
      <c r="AG14" t="str">
        <f>TRIM(PROPER(K:K))</f>
        <v>Paper</v>
      </c>
      <c r="AH14" t="str">
        <f>TRIM(PROPER(L:L))</f>
        <v>Pro Paper 481</v>
      </c>
      <c r="AI14" t="str">
        <f>TRIM(PROPER(M:M))</f>
        <v>First Class</v>
      </c>
      <c r="AJ14" s="5">
        <f>IF(OR(P14&lt;0,P14&gt;0.5),"invalid",P14)</f>
        <v>0.15</v>
      </c>
      <c r="AK14" s="6">
        <f>IFERROR(N14*O14*(1-AJ14), "NA")</f>
        <v>596.81899999999996</v>
      </c>
      <c r="AL14" s="6">
        <f>IFERROR(AK14-R14,"NA")</f>
        <v>216.56899999999996</v>
      </c>
      <c r="AM14" s="5">
        <f t="shared" si="0"/>
        <v>0.36287216057129545</v>
      </c>
      <c r="AN14" t="str">
        <v>20-12-24</v>
      </c>
      <c r="AO14" t="str">
        <v>invalid date</v>
      </c>
      <c r="AP14" t="str">
        <f t="shared" si="1"/>
        <v>December</v>
      </c>
      <c r="AQ14" t="str">
        <f t="shared" si="2"/>
        <v>2024</v>
      </c>
      <c r="AR14" t="str">
        <f t="shared" si="3"/>
        <v>Invalid</v>
      </c>
      <c r="AS14" t="str">
        <f t="shared" si="4"/>
        <v>invalid date</v>
      </c>
      <c r="AT14" t="str">
        <f>IF(COUNTIFS( $A:$A,A14,$B:$B,B14,$C:$C,C14,$D:$D,D14,$E:$E,E14,$F:$F,F14,$G:$G,G14,$H:$H,H14,$I:$I,I14,$J:$J,J14,$K:$K,K14,$L:$L,L14,$M:$M,M14,$T:$T,T14,$U:$U,U14,$W:$W,W14,$Z:$Z,Z14,$AA:$AA,AA14,$AB:$AB,AB14,$AC:$AC,AC14,$AD:$AD,AD14,$AE:$AE,AE14,$AF:$AF,AF14,$AG:$AG,AG14,$AH:$AH,AH14,$AI:$AI,AI14)&gt;1,"Duplicate","Unique")</f>
        <v>Unique</v>
      </c>
    </row>
    <row r="15" spans="1:46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  <c r="W15" t="s">
        <v>138</v>
      </c>
      <c r="Z15" t="s">
        <v>141</v>
      </c>
      <c r="AA15" t="str">
        <v>Priya Menon</v>
      </c>
      <c r="AB15" t="str">
        <f>TRIM(PROPER(F:F))</f>
        <v>Small Business</v>
      </c>
      <c r="AC15" t="str">
        <f>TRIM(PROPER(G:G))</f>
        <v>West</v>
      </c>
      <c r="AD15" t="str">
        <f>TRIM(PROPER(H:H))</f>
        <v>Maharashtra</v>
      </c>
      <c r="AE15" t="str">
        <f>TRIM(PROPER(I:I))</f>
        <v>Mumbai</v>
      </c>
      <c r="AF15" t="str">
        <f>TRIM(PROPER(J:J))</f>
        <v>Office Supplies</v>
      </c>
      <c r="AG15" t="str">
        <f>TRIM(PROPER(K:K))</f>
        <v>Art</v>
      </c>
      <c r="AH15" t="str">
        <f>TRIM(PROPER(L:L))</f>
        <v>Smart Art 795</v>
      </c>
      <c r="AI15" t="str">
        <f>TRIM(PROPER(M:M))</f>
        <v>Second Class</v>
      </c>
      <c r="AJ15" s="5">
        <f>IF(OR(P15&lt;0,P15&gt;0.5),"invalid",P15)</f>
        <v>0.05</v>
      </c>
      <c r="AK15" s="6">
        <f>IFERROR(N15*O15*(1-AJ15), "NA")</f>
        <v>26365.387999999995</v>
      </c>
      <c r="AL15" s="6">
        <f>IFERROR(AK15-R15,"NA")</f>
        <v>4059.1479999999938</v>
      </c>
      <c r="AM15" s="5">
        <f t="shared" si="0"/>
        <v>0.15395745361304733</v>
      </c>
      <c r="AN15" t="str">
        <v>12-10-25</v>
      </c>
      <c r="AO15" t="str">
        <v>16-10-25</v>
      </c>
      <c r="AP15" t="str">
        <f t="shared" si="1"/>
        <v>October</v>
      </c>
      <c r="AQ15" t="str">
        <f t="shared" si="2"/>
        <v>2025</v>
      </c>
      <c r="AR15" t="str">
        <f t="shared" si="3"/>
        <v xml:space="preserve"> </v>
      </c>
      <c r="AS15">
        <f t="shared" si="4"/>
        <v>4</v>
      </c>
      <c r="AT15" t="str">
        <f>IF(COUNTIFS( $A:$A,A15,$B:$B,B15,$C:$C,C15,$D:$D,D15,$E:$E,E15,$F:$F,F15,$G:$G,G15,$H:$H,H15,$I:$I,I15,$J:$J,J15,$K:$K,K15,$L:$L,L15,$M:$M,M15,$T:$T,T15,$U:$U,U15,$W:$W,W15,$Z:$Z,Z15,$AA:$AA,AA15,$AB:$AB,AB15,$AC:$AC,AC15,$AD:$AD,AD15,$AE:$AE,AE15,$AF:$AF,AF15,$AG:$AG,AG15,$AH:$AH,AH15,$AI:$AI,AI15)&gt;1,"Duplicate","Unique")</f>
        <v>Unique</v>
      </c>
    </row>
    <row r="16" spans="1:46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  <c r="W16" t="s">
        <v>144</v>
      </c>
      <c r="Z16" t="s">
        <v>147</v>
      </c>
      <c r="AA16" t="str">
        <v>Rahul Verma</v>
      </c>
      <c r="AB16" t="str">
        <f>TRIM(PROPER(F:F))</f>
        <v>Consumer</v>
      </c>
      <c r="AC16" t="str">
        <f>TRIM(PROPER(G:G))</f>
        <v>West</v>
      </c>
      <c r="AD16" t="str">
        <f>TRIM(PROPER(H:H))</f>
        <v>Rajasthan</v>
      </c>
      <c r="AE16" t="str">
        <f>TRIM(PROPER(I:I))</f>
        <v>Udaipur</v>
      </c>
      <c r="AF16" t="str">
        <f>TRIM(PROPER(J:J))</f>
        <v>Technology</v>
      </c>
      <c r="AG16" t="str">
        <f>TRIM(PROPER(K:K))</f>
        <v>Copiers</v>
      </c>
      <c r="AH16" t="str">
        <f>TRIM(PROPER(L:L))</f>
        <v>Max Copiers 983</v>
      </c>
      <c r="AI16" t="str">
        <f>TRIM(PROPER(M:M))</f>
        <v>Standard Class</v>
      </c>
      <c r="AJ16" s="5">
        <f>IF(OR(P16&lt;0,P16&gt;0.5),"invalid",P16)</f>
        <v>0.25</v>
      </c>
      <c r="AK16" s="6">
        <f>IFERROR(N16*O16*(1-AJ16), "NA")</f>
        <v>4106.7449999999999</v>
      </c>
      <c r="AL16" s="6">
        <f>IFERROR(AK16-R16,"NA")</f>
        <v>1440.4449999999997</v>
      </c>
      <c r="AM16" s="5">
        <f t="shared" si="0"/>
        <v>0.35075102057712365</v>
      </c>
      <c r="AN16" t="str">
        <v>27-12-24</v>
      </c>
      <c r="AO16" t="str">
        <v>invalid date</v>
      </c>
      <c r="AP16" t="str">
        <f t="shared" si="1"/>
        <v>December</v>
      </c>
      <c r="AQ16" t="str">
        <f t="shared" si="2"/>
        <v>2024</v>
      </c>
      <c r="AR16" t="str">
        <f t="shared" si="3"/>
        <v>Invalid</v>
      </c>
      <c r="AS16" t="str">
        <f t="shared" si="4"/>
        <v>invalid date</v>
      </c>
      <c r="AT16" t="str">
        <f>IF(COUNTIFS( $A:$A,A16,$B:$B,B16,$C:$C,C16,$D:$D,D16,$E:$E,E16,$F:$F,F16,$G:$G,G16,$H:$H,H16,$I:$I,I16,$J:$J,J16,$K:$K,K16,$L:$L,L16,$M:$M,M16,$T:$T,T16,$U:$U,U16,$W:$W,W16,$Z:$Z,Z16,$AA:$AA,AA16,$AB:$AB,AB16,$AC:$AC,AC16,$AD:$AD,AD16,$AE:$AE,AE16,$AF:$AF,AF16,$AG:$AG,AG16,$AH:$AH,AH16,$AI:$AI,AI16)&gt;1,"Duplicate","Unique")</f>
        <v>Unique</v>
      </c>
    </row>
    <row r="17" spans="1:46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  <c r="W17" t="s">
        <v>150</v>
      </c>
      <c r="Z17" t="s">
        <v>153</v>
      </c>
      <c r="AA17" t="str">
        <v>Karan Malhotra</v>
      </c>
      <c r="AB17" t="str">
        <f>TRIM(PROPER(F:F))</f>
        <v>Small Business</v>
      </c>
      <c r="AC17" t="str">
        <f>TRIM(PROPER(G:G))</f>
        <v>North</v>
      </c>
      <c r="AD17" t="str">
        <f>TRIM(PROPER(H:H))</f>
        <v>Punjab</v>
      </c>
      <c r="AE17" t="str">
        <f>TRIM(PROPER(I:I))</f>
        <v>Ludhiana</v>
      </c>
      <c r="AF17" t="str">
        <f>TRIM(PROPER(J:J))</f>
        <v>Office Supplies</v>
      </c>
      <c r="AG17" t="str">
        <f>TRIM(PROPER(K:K))</f>
        <v>Storage</v>
      </c>
      <c r="AH17" t="str">
        <f>TRIM(PROPER(L:L))</f>
        <v>Classic Storage 198</v>
      </c>
      <c r="AI17" t="str">
        <f>TRIM(PROPER(M:M))</f>
        <v>Second Class</v>
      </c>
      <c r="AJ17" s="5">
        <f>IF(OR(P17&lt;0,P17&gt;0.5),"invalid",P17)</f>
        <v>0</v>
      </c>
      <c r="AK17" s="6">
        <f>IFERROR(N17*O17*(1-AJ17), "NA")</f>
        <v>23794.560000000001</v>
      </c>
      <c r="AL17" s="6">
        <f>IFERROR(AK17-R17,"NA")</f>
        <v>8096.090000000002</v>
      </c>
      <c r="AM17" s="5">
        <f t="shared" si="0"/>
        <v>0.34024962008122872</v>
      </c>
      <c r="AN17" t="str">
        <v>07-09-24</v>
      </c>
      <c r="AO17" t="str">
        <v>09-07-24</v>
      </c>
      <c r="AP17" t="str">
        <f t="shared" si="1"/>
        <v>September</v>
      </c>
      <c r="AQ17" t="str">
        <f t="shared" si="2"/>
        <v>2024</v>
      </c>
      <c r="AR17" t="str">
        <f t="shared" si="3"/>
        <v xml:space="preserve"> </v>
      </c>
      <c r="AS17">
        <f t="shared" si="4"/>
        <v>-60</v>
      </c>
      <c r="AT17" t="str">
        <f>IF(COUNTIFS( $A:$A,A17,$B:$B,B17,$C:$C,C17,$D:$D,D17,$E:$E,E17,$F:$F,F17,$G:$G,G17,$H:$H,H17,$I:$I,I17,$J:$J,J17,$K:$K,K17,$L:$L,L17,$M:$M,M17,$T:$T,T17,$U:$U,U17,$W:$W,W17,$Z:$Z,Z17,$AA:$AA,AA17,$AB:$AB,AB17,$AC:$AC,AC17,$AD:$AD,AD17,$AE:$AE,AE17,$AF:$AF,AF17,$AG:$AG,AG17,$AH:$AH,AH17,$AI:$AI,AI17)&gt;1,"Duplicate","Unique")</f>
        <v>Unique</v>
      </c>
    </row>
    <row r="18" spans="1:46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  <c r="W18" t="s">
        <v>158</v>
      </c>
      <c r="Z18" t="s">
        <v>161</v>
      </c>
      <c r="AA18" t="str">
        <v>Aarav Sharma</v>
      </c>
      <c r="AB18" t="str">
        <f>TRIM(PROPER(F:F))</f>
        <v>Consumer</v>
      </c>
      <c r="AC18" t="str">
        <f>TRIM(PROPER(G:G))</f>
        <v>South</v>
      </c>
      <c r="AD18" t="str">
        <f>TRIM(PROPER(H:H))</f>
        <v>Telangana</v>
      </c>
      <c r="AE18" t="str">
        <f>TRIM(PROPER(I:I))</f>
        <v>Hyderabad</v>
      </c>
      <c r="AF18" t="str">
        <f>TRIM(PROPER(J:J))</f>
        <v>Office Supplies</v>
      </c>
      <c r="AG18" t="str">
        <f>TRIM(PROPER(K:K))</f>
        <v>Art</v>
      </c>
      <c r="AH18" t="str">
        <f>TRIM(PROPER(L:L))</f>
        <v>Basic Art 204</v>
      </c>
      <c r="AI18" t="str">
        <f>TRIM(PROPER(M:M))</f>
        <v>First Class</v>
      </c>
      <c r="AJ18" s="5">
        <f>IF(OR(P18&lt;0,P18&gt;0.5),"invalid",P18)</f>
        <v>0.25</v>
      </c>
      <c r="AK18" s="6">
        <f>IFERROR(N18*O18*(1-AJ18), "NA")</f>
        <v>9970.5300000000007</v>
      </c>
      <c r="AL18" s="6">
        <f>IFERROR(AK18-R18,"NA")</f>
        <v>4302.3600000000006</v>
      </c>
      <c r="AM18" s="5">
        <f t="shared" si="0"/>
        <v>0.43150765305354882</v>
      </c>
      <c r="AN18" t="str">
        <v>05-08-24</v>
      </c>
      <c r="AO18" t="str">
        <v>15-05-24</v>
      </c>
      <c r="AP18" t="str">
        <f t="shared" si="1"/>
        <v>August</v>
      </c>
      <c r="AQ18" t="str">
        <f t="shared" si="2"/>
        <v>2024</v>
      </c>
      <c r="AR18" t="str">
        <f t="shared" si="3"/>
        <v xml:space="preserve"> </v>
      </c>
      <c r="AS18">
        <f t="shared" si="4"/>
        <v>-82</v>
      </c>
      <c r="AT18" t="str">
        <f>IF(COUNTIFS( $A:$A,A18,$B:$B,B18,$C:$C,C18,$D:$D,D18,$E:$E,E18,$F:$F,F18,$G:$G,G18,$H:$H,H18,$I:$I,I18,$J:$J,J18,$K:$K,K18,$L:$L,L18,$M:$M,M18,$T:$T,T18,$U:$U,U18,$W:$W,W18,$Z:$Z,Z18,$AA:$AA,AA18,$AB:$AB,AB18,$AC:$AC,AC18,$AD:$AD,AD18,$AE:$AE,AE18,$AF:$AF,AF18,$AG:$AG,AG18,$AH:$AH,AH18,$AI:$AI,AI18)&gt;1,"Duplicate","Unique")</f>
        <v>Unique</v>
      </c>
    </row>
    <row r="19" spans="1:46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  <c r="W19" t="s">
        <v>164</v>
      </c>
      <c r="Z19" t="s">
        <v>167</v>
      </c>
      <c r="AA19" t="str">
        <v>Sneha Kapoor</v>
      </c>
      <c r="AB19" t="str">
        <f>TRIM(PROPER(F:F))</f>
        <v>Small Business</v>
      </c>
      <c r="AC19" t="str">
        <f>TRIM(PROPER(G:G))</f>
        <v>North</v>
      </c>
      <c r="AD19" t="str">
        <f>TRIM(PROPER(H:H))</f>
        <v>Rajasthan</v>
      </c>
      <c r="AE19" t="str">
        <f>TRIM(PROPER(I:I))</f>
        <v>Jaipur</v>
      </c>
      <c r="AF19" t="str">
        <f>TRIM(PROPER(J:J))</f>
        <v>Furniture</v>
      </c>
      <c r="AG19" t="str">
        <f>TRIM(PROPER(K:K))</f>
        <v>Furnishings</v>
      </c>
      <c r="AH19" t="str">
        <f>TRIM(PROPER(L:L))</f>
        <v>Basic Furnishings 434</v>
      </c>
      <c r="AI19" t="str">
        <f>TRIM(PROPER(M:M))</f>
        <v>Same Day</v>
      </c>
      <c r="AJ19" s="5">
        <f>IF(OR(P19&lt;0,P19&gt;0.5),"invalid",P19)</f>
        <v>0</v>
      </c>
      <c r="AK19" s="6">
        <f>IFERROR(N19*O19*(1-AJ19), "NA")</f>
        <v>7633.9</v>
      </c>
      <c r="AL19" s="6">
        <f>IFERROR(AK19-R19,"NA")</f>
        <v>2926.99</v>
      </c>
      <c r="AM19" s="5">
        <f t="shared" si="0"/>
        <v>0.38342000812166782</v>
      </c>
      <c r="AN19" t="str">
        <v>01-07-24</v>
      </c>
      <c r="AO19" t="str">
        <v>08-01-24</v>
      </c>
      <c r="AP19" t="str">
        <f t="shared" si="1"/>
        <v>July</v>
      </c>
      <c r="AQ19" t="str">
        <f t="shared" si="2"/>
        <v>2024</v>
      </c>
      <c r="AR19" t="str">
        <f t="shared" si="3"/>
        <v xml:space="preserve"> </v>
      </c>
      <c r="AS19">
        <f t="shared" si="4"/>
        <v>-175</v>
      </c>
      <c r="AT19" t="str">
        <f>IF(COUNTIFS( $A:$A,A19,$B:$B,B19,$C:$C,C19,$D:$D,D19,$E:$E,E19,$F:$F,F19,$G:$G,G19,$H:$H,H19,$I:$I,I19,$J:$J,J19,$K:$K,K19,$L:$L,L19,$M:$M,M19,$T:$T,T19,$U:$U,U19,$W:$W,W19,$Z:$Z,Z19,$AA:$AA,AA19,$AB:$AB,AB19,$AC:$AC,AC19,$AD:$AD,AD19,$AE:$AE,AE19,$AF:$AF,AF19,$AG:$AG,AG19,$AH:$AH,AH19,$AI:$AI,AI19)&gt;1,"Duplicate","Unique")</f>
        <v>Unique</v>
      </c>
    </row>
    <row r="20" spans="1:46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  <c r="W20" t="s">
        <v>170</v>
      </c>
      <c r="Z20" t="s">
        <v>173</v>
      </c>
      <c r="AA20" t="str">
        <v>Aarav Sharma</v>
      </c>
      <c r="AB20" t="str">
        <f>TRIM(PROPER(F:F))</f>
        <v>Home Office</v>
      </c>
      <c r="AC20" t="str">
        <f>TRIM(PROPER(G:G))</f>
        <v>North</v>
      </c>
      <c r="AD20" t="str">
        <f>TRIM(PROPER(H:H))</f>
        <v>Uttar Pradesh</v>
      </c>
      <c r="AE20" t="str">
        <f>TRIM(PROPER(I:I))</f>
        <v>Noida</v>
      </c>
      <c r="AF20" t="str">
        <f>TRIM(PROPER(J:J))</f>
        <v>Technology</v>
      </c>
      <c r="AG20" t="str">
        <f>TRIM(PROPER(K:K))</f>
        <v>Copiers</v>
      </c>
      <c r="AH20" t="str">
        <f>TRIM(PROPER(L:L))</f>
        <v>Eco Copiers 755</v>
      </c>
      <c r="AI20" s="8" t="str">
        <f>TRIM(PROPER(M:M))</f>
        <v>First Class</v>
      </c>
      <c r="AJ20" s="5">
        <f>IF(OR(P20&lt;0,P20&gt;0.5),"invalid",P20)</f>
        <v>0</v>
      </c>
      <c r="AK20" s="6">
        <f>IFERROR(N20*O20*(1-AJ20), "NA")</f>
        <v>3995.98</v>
      </c>
      <c r="AL20" s="6">
        <f>IFERROR(AK20-R20,"NA")</f>
        <v>1362.7800000000002</v>
      </c>
      <c r="AM20" s="5">
        <f t="shared" si="0"/>
        <v>0.34103774293164635</v>
      </c>
      <c r="AN20" t="str">
        <v>invalid date</v>
      </c>
      <c r="AO20" t="str">
        <v>17-07-25</v>
      </c>
      <c r="AP20" t="str">
        <f t="shared" si="1"/>
        <v>invalid date</v>
      </c>
      <c r="AQ20" t="str">
        <f t="shared" si="2"/>
        <v>invalid date</v>
      </c>
      <c r="AR20" t="str">
        <f t="shared" si="3"/>
        <v>Invalid</v>
      </c>
      <c r="AS20" t="str">
        <f t="shared" si="4"/>
        <v>invalid date</v>
      </c>
      <c r="AT20" t="str">
        <f>IF(COUNTIFS( $A:$A,A20,$B:$B,B20,$C:$C,C20,$D:$D,D20,$E:$E,E20,$F:$F,F20,$G:$G,G20,$H:$H,H20,$I:$I,I20,$J:$J,J20,$K:$K,K20,$L:$L,L20,$M:$M,M20,$T:$T,T20,$U:$U,U20,$W:$W,W20,$Z:$Z,Z20,$AA:$AA,AA20,$AB:$AB,AB20,$AC:$AC,AC20,$AD:$AD,AD20,$AE:$AE,AE20,$AF:$AF,AF20,$AG:$AG,AG20,$AH:$AH,AH20,$AI:$AI,AI20)&gt;1,"Duplicate","Unique")</f>
        <v>Unique</v>
      </c>
    </row>
    <row r="21" spans="1:46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  <c r="W21" t="s">
        <v>177</v>
      </c>
      <c r="Z21" t="s">
        <v>179</v>
      </c>
      <c r="AA21" t="str">
        <v>Rohan Mehta</v>
      </c>
      <c r="AB21" t="str">
        <f>TRIM(PROPER(F:F))</f>
        <v>Home Office</v>
      </c>
      <c r="AC21" t="str">
        <f>TRIM(PROPER(G:G))</f>
        <v>West</v>
      </c>
      <c r="AD21" t="str">
        <f>TRIM(PROPER(H:H))</f>
        <v>Madhya Pradesh</v>
      </c>
      <c r="AE21" t="str">
        <f>TRIM(PROPER(I:I))</f>
        <v>Indore</v>
      </c>
      <c r="AF21" t="str">
        <f>TRIM(PROPER(J:J))</f>
        <v>Office Supplies</v>
      </c>
      <c r="AG21" t="str">
        <f>TRIM(PROPER(K:K))</f>
        <v>Storage</v>
      </c>
      <c r="AH21" t="str">
        <f>TRIM(PROPER(L:L))</f>
        <v>Prime Storage 121</v>
      </c>
      <c r="AI21" t="str">
        <f>TRIM(PROPER(M:M))</f>
        <v>Second Class</v>
      </c>
      <c r="AJ21" s="5" t="str">
        <f>IF(OR(P21&lt;0,P21&gt;0.5),"invalid",P21)</f>
        <v>invalid</v>
      </c>
      <c r="AK21" s="6" t="str">
        <f>IFERROR(N21*O21*(1-AJ21), "NA")</f>
        <v>NA</v>
      </c>
      <c r="AL21" s="6" t="str">
        <f>IFERROR(AK21-R21,"NA")</f>
        <v>NA</v>
      </c>
      <c r="AM21" s="5" t="str">
        <f t="shared" si="0"/>
        <v>NA</v>
      </c>
      <c r="AN21" t="str">
        <v>invalid date</v>
      </c>
      <c r="AO21" t="str">
        <v>31-07-24</v>
      </c>
      <c r="AP21" t="str">
        <f t="shared" si="1"/>
        <v>invalid date</v>
      </c>
      <c r="AQ21" t="str">
        <f t="shared" si="2"/>
        <v>invalid date</v>
      </c>
      <c r="AR21" t="str">
        <f t="shared" si="3"/>
        <v>Invalid</v>
      </c>
      <c r="AS21" t="str">
        <f t="shared" si="4"/>
        <v>invalid date</v>
      </c>
      <c r="AT21" t="str">
        <f>IF(COUNTIFS( $A:$A,A21,$B:$B,B21,$C:$C,C21,$D:$D,D21,$E:$E,E21,$F:$F,F21,$G:$G,G21,$H:$H,H21,$I:$I,I21,$J:$J,J21,$K:$K,K21,$L:$L,L21,$M:$M,M21,$T:$T,T21,$U:$U,U21,$W:$W,W21,$Z:$Z,Z21,$AA:$AA,AA21,$AB:$AB,AB21,$AC:$AC,AC21,$AD:$AD,AD21,$AE:$AE,AE21,$AF:$AF,AF21,$AG:$AG,AG21,$AH:$AH,AH21,$AI:$AI,AI21)&gt;1,"Duplicate","Unique")</f>
        <v>Unique</v>
      </c>
    </row>
    <row r="22" spans="1:46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  <c r="W22" t="s">
        <v>182</v>
      </c>
      <c r="Z22" t="s">
        <v>185</v>
      </c>
      <c r="AA22" t="str">
        <v>Aditi Sen</v>
      </c>
      <c r="AB22" t="str">
        <f>TRIM(PROPER(F:F))</f>
        <v>Home Office</v>
      </c>
      <c r="AC22" t="str">
        <f>TRIM(PROPER(G:G))</f>
        <v>East</v>
      </c>
      <c r="AD22" t="str">
        <f>TRIM(PROPER(H:H))</f>
        <v>Bihar</v>
      </c>
      <c r="AE22" t="str">
        <f>TRIM(PROPER(I:I))</f>
        <v>Patna</v>
      </c>
      <c r="AF22" t="str">
        <f>TRIM(PROPER(J:J))</f>
        <v>Technology</v>
      </c>
      <c r="AG22" t="str">
        <f>TRIM(PROPER(K:K))</f>
        <v>Copiers</v>
      </c>
      <c r="AH22" t="str">
        <f>TRIM(PROPER(L:L))</f>
        <v>Elite Copiers 233</v>
      </c>
      <c r="AI22" t="str">
        <f>TRIM(PROPER(M:M))</f>
        <v>First Class</v>
      </c>
      <c r="AJ22" s="5">
        <f>IF(OR(P22&lt;0,P22&gt;0.5),"invalid",P22)</f>
        <v>0.25</v>
      </c>
      <c r="AK22" s="6">
        <f>IFERROR(N22*O22*(1-AJ22), "NA")</f>
        <v>16398.975000000002</v>
      </c>
      <c r="AL22" s="6">
        <f>IFERROR(AK22-R22,"NA")</f>
        <v>6842.4550000000017</v>
      </c>
      <c r="AM22" s="5">
        <f t="shared" si="0"/>
        <v>0.4172489439126531</v>
      </c>
      <c r="AN22" t="str">
        <v>21-01-25</v>
      </c>
      <c r="AO22" t="str">
        <v>23-01-25</v>
      </c>
      <c r="AP22" t="str">
        <f t="shared" si="1"/>
        <v>January</v>
      </c>
      <c r="AQ22" t="str">
        <f t="shared" si="2"/>
        <v>2025</v>
      </c>
      <c r="AR22" t="str">
        <f t="shared" si="3"/>
        <v xml:space="preserve"> </v>
      </c>
      <c r="AS22">
        <f t="shared" si="4"/>
        <v>2</v>
      </c>
      <c r="AT22" t="str">
        <f>IF(COUNTIFS( $A:$A,A22,$B:$B,B22,$C:$C,C22,$D:$D,D22,$E:$E,E22,$F:$F,F22,$G:$G,G22,$H:$H,H22,$I:$I,I22,$J:$J,J22,$K:$K,K22,$L:$L,L22,$M:$M,M22,$T:$T,T22,$U:$U,U22,$W:$W,W22,$Z:$Z,Z22,$AA:$AA,AA22,$AB:$AB,AB22,$AC:$AC,AC22,$AD:$AD,AD22,$AE:$AE,AE22,$AF:$AF,AF22,$AG:$AG,AG22,$AH:$AH,AH22,$AI:$AI,AI22)&gt;1,"Duplicate","Unique")</f>
        <v>Unique</v>
      </c>
    </row>
    <row r="23" spans="1:46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  <c r="W23" t="s">
        <v>189</v>
      </c>
      <c r="Z23" t="s">
        <v>192</v>
      </c>
      <c r="AA23" t="str">
        <v>Sneha Kapoor</v>
      </c>
      <c r="AB23" t="str">
        <f>TRIM(PROPER(F:F))</f>
        <v>Consumer</v>
      </c>
      <c r="AC23" t="str">
        <f>TRIM(PROPER(G:G))</f>
        <v>West</v>
      </c>
      <c r="AD23" t="str">
        <f>TRIM(PROPER(H:H))</f>
        <v>Madhya Pradesh</v>
      </c>
      <c r="AE23" t="str">
        <f>TRIM(PROPER(I:I))</f>
        <v>Indore</v>
      </c>
      <c r="AF23" t="str">
        <f>TRIM(PROPER(J:J))</f>
        <v>Furniture</v>
      </c>
      <c r="AG23" t="str">
        <f>TRIM(PROPER(K:K))</f>
        <v>Furnishings</v>
      </c>
      <c r="AH23" t="str">
        <f>TRIM(PROPER(L:L))</f>
        <v>Eco Furnishings 897</v>
      </c>
      <c r="AI23" t="str">
        <f>TRIM(PROPER(M:M))</f>
        <v>Second Class</v>
      </c>
      <c r="AJ23" s="5" t="str">
        <f>IF(OR(P23&lt;0,P23&gt;0.5),"invalid",P23)</f>
        <v>invalid</v>
      </c>
      <c r="AK23" s="6" t="str">
        <f>IFERROR(N23*O23*(1-AJ23), "NA")</f>
        <v>NA</v>
      </c>
      <c r="AL23" s="6" t="str">
        <f>IFERROR(AK23-R23,"NA")</f>
        <v>NA</v>
      </c>
      <c r="AM23" s="5" t="str">
        <f t="shared" si="0"/>
        <v>NA</v>
      </c>
      <c r="AN23" t="str">
        <v>24-01-25</v>
      </c>
      <c r="AO23" t="str">
        <v>invalid date</v>
      </c>
      <c r="AP23" t="str">
        <f t="shared" si="1"/>
        <v>January</v>
      </c>
      <c r="AQ23" t="str">
        <f t="shared" si="2"/>
        <v>2025</v>
      </c>
      <c r="AR23" t="str">
        <f t="shared" si="3"/>
        <v>Invalid</v>
      </c>
      <c r="AS23" t="str">
        <f t="shared" si="4"/>
        <v>invalid date</v>
      </c>
      <c r="AT23" t="str">
        <f>IF(COUNTIFS( $A:$A,A23,$B:$B,B23,$C:$C,C23,$D:$D,D23,$E:$E,E23,$F:$F,F23,$G:$G,G23,$H:$H,H23,$I:$I,I23,$J:$J,J23,$K:$K,K23,$L:$L,L23,$M:$M,M23,$T:$T,T23,$U:$U,U23,$W:$W,W23,$Z:$Z,Z23,$AA:$AA,AA23,$AB:$AB,AB23,$AC:$AC,AC23,$AD:$AD,AD23,$AE:$AE,AE23,$AF:$AF,AF23,$AG:$AG,AG23,$AH:$AH,AH23,$AI:$AI,AI23)&gt;1,"Duplicate","Unique")</f>
        <v>Unique</v>
      </c>
    </row>
    <row r="24" spans="1:46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  <c r="W24" t="s">
        <v>194</v>
      </c>
      <c r="Z24" t="s">
        <v>197</v>
      </c>
      <c r="AA24" t="str">
        <v>Mira Das</v>
      </c>
      <c r="AB24" t="str">
        <f>TRIM(PROPER(F:F))</f>
        <v>Consumer</v>
      </c>
      <c r="AC24" t="str">
        <f>TRIM(PROPER(G:G))</f>
        <v>South</v>
      </c>
      <c r="AD24" t="str">
        <f>TRIM(PROPER(H:H))</f>
        <v>Telangana</v>
      </c>
      <c r="AE24" t="str">
        <f>TRIM(PROPER(I:I))</f>
        <v>Hyderabad</v>
      </c>
      <c r="AF24" t="str">
        <f>TRIM(PROPER(J:J))</f>
        <v>Office Supplies</v>
      </c>
      <c r="AG24" t="str">
        <f>TRIM(PROPER(K:K))</f>
        <v>Binders</v>
      </c>
      <c r="AH24" t="str">
        <f>TRIM(PROPER(L:L))</f>
        <v>Max Binders 355</v>
      </c>
      <c r="AI24" t="str">
        <f>TRIM(PROPER(M:M))</f>
        <v>Standard Class</v>
      </c>
      <c r="AJ24" s="5">
        <f>IF(OR(P24&lt;0,P24&gt;0.5),"invalid",P24)</f>
        <v>0.15</v>
      </c>
      <c r="AK24" s="6">
        <f>IFERROR(N24*O24*(1-AJ24), "NA")</f>
        <v>8291.5119999999988</v>
      </c>
      <c r="AL24" s="6">
        <f>IFERROR(AK24-R24,"NA")</f>
        <v>1606.4819999999991</v>
      </c>
      <c r="AM24" s="5">
        <f t="shared" si="0"/>
        <v>0.19375018693816029</v>
      </c>
      <c r="AN24" t="str">
        <v>19-01-25</v>
      </c>
      <c r="AO24" t="str">
        <v>21-01-25</v>
      </c>
      <c r="AP24" t="str">
        <f t="shared" si="1"/>
        <v>January</v>
      </c>
      <c r="AQ24" t="str">
        <f t="shared" si="2"/>
        <v>2025</v>
      </c>
      <c r="AR24" t="str">
        <f t="shared" si="3"/>
        <v xml:space="preserve"> </v>
      </c>
      <c r="AS24">
        <f t="shared" si="4"/>
        <v>2</v>
      </c>
      <c r="AT24" t="str">
        <f>IF(COUNTIFS( $A:$A,A24,$B:$B,B24,$C:$C,C24,$D:$D,D24,$E:$E,E24,$F:$F,F24,$G:$G,G24,$H:$H,H24,$I:$I,I24,$J:$J,J24,$K:$K,K24,$L:$L,L24,$M:$M,M24,$T:$T,T24,$U:$U,U24,$W:$W,W24,$Z:$Z,Z24,$AA:$AA,AA24,$AB:$AB,AB24,$AC:$AC,AC24,$AD:$AD,AD24,$AE:$AE,AE24,$AF:$AF,AF24,$AG:$AG,AG24,$AH:$AH,AH24,$AI:$AI,AI24)&gt;1,"Duplicate","Unique")</f>
        <v>Unique</v>
      </c>
    </row>
    <row r="25" spans="1:46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  <c r="W25" t="s">
        <v>201</v>
      </c>
      <c r="Z25" t="s">
        <v>203</v>
      </c>
      <c r="AA25" t="str">
        <v>Rahul Verma</v>
      </c>
      <c r="AB25" t="str">
        <f>TRIM(PROPER(F:F))</f>
        <v>Home Office</v>
      </c>
      <c r="AC25" t="str">
        <f>TRIM(PROPER(G:G))</f>
        <v>East</v>
      </c>
      <c r="AD25" t="str">
        <f>TRIM(PROPER(H:H))</f>
        <v>Bihar</v>
      </c>
      <c r="AE25" t="str">
        <f>TRIM(PROPER(I:I))</f>
        <v>Patna</v>
      </c>
      <c r="AF25" t="str">
        <f>TRIM(PROPER(J:J))</f>
        <v>Furniture</v>
      </c>
      <c r="AG25" t="str">
        <f>TRIM(PROPER(K:K))</f>
        <v>Bookcases</v>
      </c>
      <c r="AH25" t="str">
        <f>TRIM(PROPER(L:L))</f>
        <v>Pro Bookcases 394</v>
      </c>
      <c r="AI25" t="str">
        <f>TRIM(PROPER(M:M))</f>
        <v>First Class</v>
      </c>
      <c r="AJ25" s="5">
        <f>IF(OR(P25&lt;0,P25&gt;0.5),"invalid",P25)</f>
        <v>0.2</v>
      </c>
      <c r="AK25" s="6">
        <f>IFERROR(N25*O25*(1-AJ25), "NA")</f>
        <v>6265.6320000000005</v>
      </c>
      <c r="AL25" s="6">
        <f>IFERROR(AK25-R25,"NA")</f>
        <v>1943.7720000000008</v>
      </c>
      <c r="AM25" s="5">
        <f t="shared" si="0"/>
        <v>0.31022760353624351</v>
      </c>
      <c r="AN25" t="str">
        <v>29-08-25</v>
      </c>
      <c r="AO25" t="str">
        <v>31-08-25</v>
      </c>
      <c r="AP25" t="str">
        <f t="shared" si="1"/>
        <v>August</v>
      </c>
      <c r="AQ25" t="str">
        <f t="shared" si="2"/>
        <v>2025</v>
      </c>
      <c r="AR25" t="str">
        <f t="shared" si="3"/>
        <v xml:space="preserve"> </v>
      </c>
      <c r="AS25">
        <f t="shared" si="4"/>
        <v>2</v>
      </c>
      <c r="AT25" t="str">
        <f>IF(COUNTIFS( $A:$A,A25,$B:$B,B25,$C:$C,C25,$D:$D,D25,$E:$E,E25,$F:$F,F25,$G:$G,G25,$H:$H,H25,$I:$I,I25,$J:$J,J25,$K:$K,K25,$L:$L,L25,$M:$M,M25,$T:$T,T25,$U:$U,U25,$W:$W,W25,$Z:$Z,Z25,$AA:$AA,AA25,$AB:$AB,AB25,$AC:$AC,AC25,$AD:$AD,AD25,$AE:$AE,AE25,$AF:$AF,AF25,$AG:$AG,AG25,$AH:$AH,AH25,$AI:$AI,AI25)&gt;1,"Duplicate","Unique")</f>
        <v>Unique</v>
      </c>
    </row>
    <row r="26" spans="1:46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  <c r="W26" t="s">
        <v>206</v>
      </c>
      <c r="Z26" t="s">
        <v>209</v>
      </c>
      <c r="AA26" t="str">
        <v>Diya Patel</v>
      </c>
      <c r="AB26" t="str">
        <f>TRIM(PROPER(F:F))</f>
        <v>Consumer</v>
      </c>
      <c r="AC26" t="str">
        <f>TRIM(PROPER(G:G))</f>
        <v>North</v>
      </c>
      <c r="AD26" t="str">
        <f>TRIM(PROPER(H:H))</f>
        <v>Punjab</v>
      </c>
      <c r="AE26" t="str">
        <f>TRIM(PROPER(I:I))</f>
        <v>Ludhiana</v>
      </c>
      <c r="AF26" t="str">
        <f>TRIM(PROPER(J:J))</f>
        <v>Office Supplies</v>
      </c>
      <c r="AG26" t="str">
        <f>TRIM(PROPER(K:K))</f>
        <v>Art</v>
      </c>
      <c r="AH26" t="str">
        <f>TRIM(PROPER(L:L))</f>
        <v>Max Art 215</v>
      </c>
      <c r="AI26" t="str">
        <f>TRIM(PROPER(M:M))</f>
        <v>Standard Class</v>
      </c>
      <c r="AJ26" s="5">
        <f>IF(OR(P26&lt;0,P26&gt;0.5),"invalid",P26)</f>
        <v>0.25</v>
      </c>
      <c r="AK26" s="6">
        <f>IFERROR(N26*O26*(1-AJ26), "NA")</f>
        <v>13478.82</v>
      </c>
      <c r="AL26" s="6">
        <f>IFERROR(AK26-R26,"NA")</f>
        <v>2541.4699999999993</v>
      </c>
      <c r="AM26" s="5">
        <f t="shared" si="0"/>
        <v>0.18855285551702591</v>
      </c>
      <c r="AN26" t="str">
        <v>04-03-24</v>
      </c>
      <c r="AO26" t="str">
        <v>03-01-24</v>
      </c>
      <c r="AP26" t="str">
        <f t="shared" si="1"/>
        <v>March</v>
      </c>
      <c r="AQ26" t="str">
        <f t="shared" si="2"/>
        <v>2024</v>
      </c>
      <c r="AR26" t="str">
        <f t="shared" si="3"/>
        <v>anomaly</v>
      </c>
      <c r="AS26">
        <f t="shared" si="4"/>
        <v>-61</v>
      </c>
      <c r="AT26" t="str">
        <f>IF(COUNTIFS( $A:$A,A26,$B:$B,B26,$C:$C,C26,$D:$D,D26,$E:$E,E26,$F:$F,F26,$G:$G,G26,$H:$H,H26,$I:$I,I26,$J:$J,J26,$K:$K,K26,$L:$L,L26,$M:$M,M26,$T:$T,T26,$U:$U,U26,$W:$W,W26,$Z:$Z,Z26,$AA:$AA,AA26,$AB:$AB,AB26,$AC:$AC,AC26,$AD:$AD,AD26,$AE:$AE,AE26,$AF:$AF,AF26,$AG:$AG,AG26,$AH:$AH,AH26,$AI:$AI,AI26)&gt;1,"Duplicate","Unique")</f>
        <v>Unique</v>
      </c>
    </row>
    <row r="27" spans="1:46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  <c r="W27" t="s">
        <v>212</v>
      </c>
      <c r="Z27" t="s">
        <v>215</v>
      </c>
      <c r="AA27" t="str">
        <v>Arjun Bose</v>
      </c>
      <c r="AB27" t="str">
        <f>TRIM(PROPER(F:F))</f>
        <v>Corporate</v>
      </c>
      <c r="AC27" t="str">
        <f>TRIM(PROPER(G:G))</f>
        <v>East</v>
      </c>
      <c r="AD27" t="str">
        <f>TRIM(PROPER(H:H))</f>
        <v>Assam</v>
      </c>
      <c r="AE27" t="str">
        <f>TRIM(PROPER(I:I))</f>
        <v>Guwahati</v>
      </c>
      <c r="AF27" t="str">
        <f>TRIM(PROPER(J:J))</f>
        <v>Technology</v>
      </c>
      <c r="AG27" t="str">
        <f>TRIM(PROPER(K:K))</f>
        <v>Accessories</v>
      </c>
      <c r="AH27" t="str">
        <f>TRIM(PROPER(L:L))</f>
        <v>Classic Accessories 478</v>
      </c>
      <c r="AI27" t="str">
        <f>TRIM(PROPER(M:M))</f>
        <v>First Class</v>
      </c>
      <c r="AJ27" s="5">
        <f>IF(OR(P27&lt;0,P27&gt;0.5),"invalid",P27)</f>
        <v>0.15</v>
      </c>
      <c r="AK27" s="6">
        <f>IFERROR(N27*O27*(1-AJ27), "NA")</f>
        <v>7335.8399999999992</v>
      </c>
      <c r="AL27" s="6">
        <f>IFERROR(AK27-R27,"NA")</f>
        <v>2367.4299999999994</v>
      </c>
      <c r="AM27" s="5">
        <f t="shared" si="0"/>
        <v>0.32272105171323251</v>
      </c>
      <c r="AN27" t="str">
        <v>11-10-24</v>
      </c>
      <c r="AO27" t="str">
        <v>19-10-24</v>
      </c>
      <c r="AP27" t="str">
        <f t="shared" si="1"/>
        <v>October</v>
      </c>
      <c r="AQ27" t="str">
        <f t="shared" si="2"/>
        <v>2024</v>
      </c>
      <c r="AR27" t="str">
        <f t="shared" si="3"/>
        <v xml:space="preserve"> </v>
      </c>
      <c r="AS27">
        <f t="shared" si="4"/>
        <v>8</v>
      </c>
      <c r="AT27" t="str">
        <f>IF(COUNTIFS( $A:$A,A27,$B:$B,B27,$C:$C,C27,$D:$D,D27,$E:$E,E27,$F:$F,F27,$G:$G,G27,$H:$H,H27,$I:$I,I27,$J:$J,J27,$K:$K,K27,$L:$L,L27,$M:$M,M27,$T:$T,T27,$U:$U,U27,$W:$W,W27,$Z:$Z,Z27,$AA:$AA,AA27,$AB:$AB,AB27,$AC:$AC,AC27,$AD:$AD,AD27,$AE:$AE,AE27,$AF:$AF,AF27,$AG:$AG,AG27,$AH:$AH,AH27,$AI:$AI,AI27)&gt;1,"Duplicate","Unique")</f>
        <v>Unique</v>
      </c>
    </row>
    <row r="28" spans="1:46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  <c r="W28" t="s">
        <v>219</v>
      </c>
      <c r="Z28" t="s">
        <v>222</v>
      </c>
      <c r="AA28" t="str">
        <v>Diya Patel</v>
      </c>
      <c r="AB28" t="str">
        <f>TRIM(PROPER(F:F))</f>
        <v>Corporate</v>
      </c>
      <c r="AC28" t="str">
        <f>TRIM(PROPER(G:G))</f>
        <v>North</v>
      </c>
      <c r="AD28" t="str">
        <f>TRIM(PROPER(H:H))</f>
        <v>Uttar Pradesh</v>
      </c>
      <c r="AE28" t="str">
        <f>TRIM(PROPER(I:I))</f>
        <v>Noida</v>
      </c>
      <c r="AF28" t="str">
        <f>TRIM(PROPER(J:J))</f>
        <v>Technology</v>
      </c>
      <c r="AG28" t="str">
        <f>TRIM(PROPER(K:K))</f>
        <v>Phones</v>
      </c>
      <c r="AH28" t="str">
        <f>TRIM(PROPER(L:L))</f>
        <v>Pro Phones 243</v>
      </c>
      <c r="AI28" t="str">
        <f>TRIM(PROPER(M:M))</f>
        <v>Standard Class</v>
      </c>
      <c r="AJ28" s="5">
        <f>IF(OR(P28&lt;0,P28&gt;0.5),"invalid",P28)</f>
        <v>0.1</v>
      </c>
      <c r="AK28" s="6">
        <f>IFERROR(N28*O28*(1-AJ28), "NA")</f>
        <v>2578.0680000000002</v>
      </c>
      <c r="AL28" s="6">
        <f>IFERROR(AK28-R28,"NA")</f>
        <v>1050.5180000000003</v>
      </c>
      <c r="AM28" s="5">
        <f t="shared" si="0"/>
        <v>0.40748265755596835</v>
      </c>
      <c r="AN28" t="str">
        <v>23-11-24</v>
      </c>
      <c r="AO28" t="str">
        <v>23-11-24</v>
      </c>
      <c r="AP28" t="str">
        <f t="shared" si="1"/>
        <v>November</v>
      </c>
      <c r="AQ28" t="str">
        <f t="shared" si="2"/>
        <v>2024</v>
      </c>
      <c r="AR28" t="str">
        <f t="shared" si="3"/>
        <v xml:space="preserve"> </v>
      </c>
      <c r="AS28">
        <f t="shared" si="4"/>
        <v>0</v>
      </c>
      <c r="AT28" t="str">
        <f>IF(COUNTIFS( $A:$A,A28,$B:$B,B28,$C:$C,C28,$D:$D,D28,$E:$E,E28,$F:$F,F28,$G:$G,G28,$H:$H,H28,$I:$I,I28,$J:$J,J28,$K:$K,K28,$L:$L,L28,$M:$M,M28,$T:$T,T28,$U:$U,U28,$W:$W,W28,$Z:$Z,Z28,$AA:$AA,AA28,$AB:$AB,AB28,$AC:$AC,AC28,$AD:$AD,AD28,$AE:$AE,AE28,$AF:$AF,AF28,$AG:$AG,AG28,$AH:$AH,AH28,$AI:$AI,AI28)&gt;1,"Duplicate","Unique")</f>
        <v>Unique</v>
      </c>
    </row>
    <row r="29" spans="1:46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  <c r="W29" t="s">
        <v>225</v>
      </c>
      <c r="Z29" t="s">
        <v>228</v>
      </c>
      <c r="AA29" t="str">
        <v>Arjun Bose</v>
      </c>
      <c r="AB29" t="str">
        <f>TRIM(PROPER(F:F))</f>
        <v>Small Business</v>
      </c>
      <c r="AC29" t="str">
        <f>TRIM(PROPER(G:G))</f>
        <v>South</v>
      </c>
      <c r="AD29" t="str">
        <f>TRIM(PROPER(H:H))</f>
        <v>Karnataka</v>
      </c>
      <c r="AE29" t="str">
        <f>TRIM(PROPER(I:I))</f>
        <v>Bengaluru</v>
      </c>
      <c r="AF29" t="str">
        <f>TRIM(PROPER(J:J))</f>
        <v>Office Supplies</v>
      </c>
      <c r="AG29" t="str">
        <f>TRIM(PROPER(K:K))</f>
        <v>Paper</v>
      </c>
      <c r="AH29" t="str">
        <f>TRIM(PROPER(L:L))</f>
        <v>Basic Paper 613</v>
      </c>
      <c r="AI29" t="str">
        <f>TRIM(PROPER(M:M))</f>
        <v>Second Class</v>
      </c>
      <c r="AJ29" s="5">
        <f>IF(OR(P29&lt;0,P29&gt;0.5),"invalid",P29)</f>
        <v>0.25</v>
      </c>
      <c r="AK29" s="6">
        <f>IFERROR(N29*O29*(1-AJ29), "NA")</f>
        <v>6774.4124999999995</v>
      </c>
      <c r="AL29" s="6">
        <f>IFERROR(AK29-R29,"NA")</f>
        <v>2064.0524999999998</v>
      </c>
      <c r="AM29" s="5">
        <f t="shared" si="0"/>
        <v>0.30468361647596748</v>
      </c>
      <c r="AN29" t="str">
        <v>29-09-25</v>
      </c>
      <c r="AO29" t="str">
        <v>05-10-25</v>
      </c>
      <c r="AP29" t="str">
        <f t="shared" si="1"/>
        <v>September</v>
      </c>
      <c r="AQ29" t="str">
        <f t="shared" si="2"/>
        <v>2025</v>
      </c>
      <c r="AR29" t="str">
        <f t="shared" si="3"/>
        <v>anomaly</v>
      </c>
      <c r="AS29">
        <f t="shared" si="4"/>
        <v>6</v>
      </c>
      <c r="AT29" t="str">
        <f>IF(COUNTIFS( $A:$A,A29,$B:$B,B29,$C:$C,C29,$D:$D,D29,$E:$E,E29,$F:$F,F29,$G:$G,G29,$H:$H,H29,$I:$I,I29,$J:$J,J29,$K:$K,K29,$L:$L,L29,$M:$M,M29,$T:$T,T29,$U:$U,U29,$W:$W,W29,$Z:$Z,Z29,$AA:$AA,AA29,$AB:$AB,AB29,$AC:$AC,AC29,$AD:$AD,AD29,$AE:$AE,AE29,$AF:$AF,AF29,$AG:$AG,AG29,$AH:$AH,AH29,$AI:$AI,AI29)&gt;1,"Duplicate","Unique")</f>
        <v>Unique</v>
      </c>
    </row>
    <row r="30" spans="1:46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  <c r="W30" t="s">
        <v>232</v>
      </c>
      <c r="Z30" t="s">
        <v>234</v>
      </c>
      <c r="AA30" t="str">
        <v>Ananya Rao</v>
      </c>
      <c r="AB30" t="str">
        <f>TRIM(PROPER(F:F))</f>
        <v>Home Office</v>
      </c>
      <c r="AC30" t="str">
        <f>TRIM(PROPER(G:G))</f>
        <v>West</v>
      </c>
      <c r="AD30" t="str">
        <f>TRIM(PROPER(H:H))</f>
        <v>Gujarat</v>
      </c>
      <c r="AE30" t="str">
        <f>TRIM(PROPER(I:I))</f>
        <v>Ahmedabad</v>
      </c>
      <c r="AF30" t="str">
        <f>TRIM(PROPER(J:J))</f>
        <v>Technology</v>
      </c>
      <c r="AG30" t="str">
        <f>TRIM(PROPER(K:K))</f>
        <v>Phones</v>
      </c>
      <c r="AH30" t="str">
        <f>TRIM(PROPER(L:L))</f>
        <v>Prime Phones 698</v>
      </c>
      <c r="AI30" t="str">
        <f>TRIM(PROPER(M:M))</f>
        <v>Second Class</v>
      </c>
      <c r="AJ30" s="5">
        <f>IF(OR(P30&lt;0,P30&gt;0.5),"invalid",P30)</f>
        <v>0.25</v>
      </c>
      <c r="AK30" s="6">
        <f>IFERROR(N30*O30*(1-AJ30), "NA")</f>
        <v>2913.33</v>
      </c>
      <c r="AL30" s="6">
        <f>IFERROR(AK30-R30,"NA")</f>
        <v>791</v>
      </c>
      <c r="AM30" s="5">
        <f t="shared" si="0"/>
        <v>0.27151060813570727</v>
      </c>
      <c r="AN30" t="str">
        <v>11-10-24</v>
      </c>
      <c r="AO30" t="str">
        <v>18-10-24</v>
      </c>
      <c r="AP30" t="str">
        <f t="shared" si="1"/>
        <v>October</v>
      </c>
      <c r="AQ30" t="str">
        <f t="shared" si="2"/>
        <v>2024</v>
      </c>
      <c r="AR30" t="str">
        <f t="shared" si="3"/>
        <v xml:space="preserve"> </v>
      </c>
      <c r="AS30">
        <f t="shared" si="4"/>
        <v>7</v>
      </c>
      <c r="AT30" t="str">
        <f>IF(COUNTIFS( $A:$A,A30,$B:$B,B30,$C:$C,C30,$D:$D,D30,$E:$E,E30,$F:$F,F30,$G:$G,G30,$H:$H,H30,$I:$I,I30,$J:$J,J30,$K:$K,K30,$L:$L,L30,$M:$M,M30,$T:$T,T30,$U:$U,U30,$W:$W,W30,$Z:$Z,Z30,$AA:$AA,AA30,$AB:$AB,AB30,$AC:$AC,AC30,$AD:$AD,AD30,$AE:$AE,AE30,$AF:$AF,AF30,$AG:$AG,AG30,$AH:$AH,AH30,$AI:$AI,AI30)&gt;1,"Duplicate","Unique")</f>
        <v>Unique</v>
      </c>
    </row>
    <row r="31" spans="1:46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  <c r="W31" t="s">
        <v>238</v>
      </c>
      <c r="Z31" t="s">
        <v>241</v>
      </c>
      <c r="AA31" t="str">
        <v>Rohan Mehta</v>
      </c>
      <c r="AB31" t="str">
        <f>TRIM(PROPER(F:F))</f>
        <v>Home Office</v>
      </c>
      <c r="AC31" t="str">
        <f>TRIM(PROPER(G:G))</f>
        <v>South</v>
      </c>
      <c r="AD31" t="str">
        <f>TRIM(PROPER(H:H))</f>
        <v>Kerala</v>
      </c>
      <c r="AE31" t="str">
        <f>TRIM(PROPER(I:I))</f>
        <v>Kochi</v>
      </c>
      <c r="AF31" t="str">
        <f>TRIM(PROPER(J:J))</f>
        <v>Technology</v>
      </c>
      <c r="AG31" t="str">
        <f>TRIM(PROPER(K:K))</f>
        <v>Phones</v>
      </c>
      <c r="AH31" t="str">
        <f>TRIM(PROPER(L:L))</f>
        <v>Pro Phones 442</v>
      </c>
      <c r="AI31" t="str">
        <f>TRIM(PROPER(M:M))</f>
        <v>Standard Class</v>
      </c>
      <c r="AJ31" s="5">
        <f>IF(OR(P31&lt;0,P31&gt;0.5),"invalid",P31)</f>
        <v>0.15</v>
      </c>
      <c r="AK31" s="6">
        <f>IFERROR(N31*O31*(1-AJ31), "NA")</f>
        <v>217.60849999999999</v>
      </c>
      <c r="AL31" s="6">
        <f>IFERROR(AK31-R31,"NA")</f>
        <v>97.838499999999996</v>
      </c>
      <c r="AM31" s="5">
        <f t="shared" si="0"/>
        <v>0.44960789675035673</v>
      </c>
      <c r="AN31" t="str">
        <v>13-08-25</v>
      </c>
      <c r="AO31" t="str">
        <v>13-08-25</v>
      </c>
      <c r="AP31" t="str">
        <f t="shared" si="1"/>
        <v>August</v>
      </c>
      <c r="AQ31" t="str">
        <f t="shared" si="2"/>
        <v>2025</v>
      </c>
      <c r="AR31" t="str">
        <f t="shared" si="3"/>
        <v xml:space="preserve"> </v>
      </c>
      <c r="AS31">
        <f t="shared" si="4"/>
        <v>0</v>
      </c>
      <c r="AT31" t="str">
        <f>IF(COUNTIFS( $A:$A,A31,$B:$B,B31,$C:$C,C31,$D:$D,D31,$E:$E,E31,$F:$F,F31,$G:$G,G31,$H:$H,H31,$I:$I,I31,$J:$J,J31,$K:$K,K31,$L:$L,L31,$M:$M,M31,$T:$T,T31,$U:$U,U31,$W:$W,W31,$Z:$Z,Z31,$AA:$AA,AA31,$AB:$AB,AB31,$AC:$AC,AC31,$AD:$AD,AD31,$AE:$AE,AE31,$AF:$AF,AF31,$AG:$AG,AG31,$AH:$AH,AH31,$AI:$AI,AI31)&gt;1,"Duplicate","Unique")</f>
        <v>Unique</v>
      </c>
    </row>
    <row r="32" spans="1:46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  <c r="W32" t="s">
        <v>245</v>
      </c>
      <c r="Z32" t="s">
        <v>248</v>
      </c>
      <c r="AA32" t="str">
        <v>Ananya Rao</v>
      </c>
      <c r="AB32" t="str">
        <f>TRIM(PROPER(F:F))</f>
        <v>Corporate</v>
      </c>
      <c r="AC32" t="str">
        <f>TRIM(PROPER(G:G))</f>
        <v>West</v>
      </c>
      <c r="AD32" t="str">
        <f>TRIM(PROPER(H:H))</f>
        <v>Goa</v>
      </c>
      <c r="AE32" t="str">
        <f>TRIM(PROPER(I:I))</f>
        <v>Panaji</v>
      </c>
      <c r="AF32" t="str">
        <f>TRIM(PROPER(J:J))</f>
        <v>Office Supplies</v>
      </c>
      <c r="AG32" t="str">
        <f>TRIM(PROPER(K:K))</f>
        <v>Labels</v>
      </c>
      <c r="AH32" t="str">
        <f>TRIM(PROPER(L:L))</f>
        <v>Pro Labels 355</v>
      </c>
      <c r="AI32" t="str">
        <f>TRIM(PROPER(M:M))</f>
        <v>First Class</v>
      </c>
      <c r="AJ32" s="5">
        <f>IF(OR(P32&lt;0,P32&gt;0.5),"invalid",P32)</f>
        <v>0.1</v>
      </c>
      <c r="AK32" s="6">
        <f>IFERROR(N32*O32*(1-AJ32), "NA")</f>
        <v>3079.5929999999998</v>
      </c>
      <c r="AL32" s="6">
        <f>IFERROR(AK32-R32,"NA")</f>
        <v>1077.7029999999997</v>
      </c>
      <c r="AM32" s="5">
        <f t="shared" si="0"/>
        <v>0.34994981479695525</v>
      </c>
      <c r="AN32" t="str">
        <v>09-02-24</v>
      </c>
      <c r="AO32" t="str">
        <v>02-12-24</v>
      </c>
      <c r="AP32" t="str">
        <f t="shared" si="1"/>
        <v>February</v>
      </c>
      <c r="AQ32" t="str">
        <f t="shared" si="2"/>
        <v>2024</v>
      </c>
      <c r="AR32" t="str">
        <f t="shared" si="3"/>
        <v>anomaly</v>
      </c>
      <c r="AS32">
        <f t="shared" si="4"/>
        <v>297</v>
      </c>
      <c r="AT32" t="str">
        <f>IF(COUNTIFS( $A:$A,A32,$B:$B,B32,$C:$C,C32,$D:$D,D32,$E:$E,E32,$F:$F,F32,$G:$G,G32,$H:$H,H32,$I:$I,I32,$J:$J,J32,$K:$K,K32,$L:$L,L32,$M:$M,M32,$T:$T,T32,$U:$U,U32,$W:$W,W32,$Z:$Z,Z32,$AA:$AA,AA32,$AB:$AB,AB32,$AC:$AC,AC32,$AD:$AD,AD32,$AE:$AE,AE32,$AF:$AF,AF32,$AG:$AG,AG32,$AH:$AH,AH32,$AI:$AI,AI32)&gt;1,"Duplicate","Unique")</f>
        <v>Unique</v>
      </c>
    </row>
    <row r="33" spans="1:46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  <c r="W33" t="s">
        <v>252</v>
      </c>
      <c r="Z33" t="s">
        <v>255</v>
      </c>
      <c r="AA33" t="str">
        <v>Karan Malhotra</v>
      </c>
      <c r="AB33" t="str">
        <f>TRIM(PROPER(F:F))</f>
        <v>Small Business</v>
      </c>
      <c r="AC33" t="str">
        <f>TRIM(PROPER(G:G))</f>
        <v>West</v>
      </c>
      <c r="AD33" t="str">
        <f>TRIM(PROPER(H:H))</f>
        <v>Madhya Pradesh</v>
      </c>
      <c r="AE33" t="str">
        <f>TRIM(PROPER(I:I))</f>
        <v>Indore</v>
      </c>
      <c r="AF33" t="str">
        <f>TRIM(PROPER(J:J))</f>
        <v>Office Supplies</v>
      </c>
      <c r="AG33" t="str">
        <f>TRIM(PROPER(K:K))</f>
        <v>Paper</v>
      </c>
      <c r="AH33" t="str">
        <f>TRIM(PROPER(L:L))</f>
        <v>Pro Paper 959</v>
      </c>
      <c r="AI33" t="str">
        <f>TRIM(PROPER(M:M))</f>
        <v>Second Class</v>
      </c>
      <c r="AJ33" s="5">
        <f>IF(OR(P33&lt;0,P33&gt;0.5),"invalid",P33)</f>
        <v>0</v>
      </c>
      <c r="AK33" s="6">
        <f>IFERROR(N33*O33*(1-AJ33), "NA")</f>
        <v>27832.95</v>
      </c>
      <c r="AL33" s="6">
        <f>IFERROR(AK33-R33,"NA")</f>
        <v>10063.200000000001</v>
      </c>
      <c r="AM33" s="5">
        <f t="shared" si="0"/>
        <v>0.36155707533696574</v>
      </c>
      <c r="AN33" t="str">
        <v>15-06-25</v>
      </c>
      <c r="AO33" t="str">
        <v>19-06-25</v>
      </c>
      <c r="AP33" t="str">
        <f t="shared" si="1"/>
        <v>June</v>
      </c>
      <c r="AQ33" t="str">
        <f t="shared" si="2"/>
        <v>2025</v>
      </c>
      <c r="AR33" t="str">
        <f t="shared" si="3"/>
        <v xml:space="preserve"> </v>
      </c>
      <c r="AS33">
        <f t="shared" si="4"/>
        <v>4</v>
      </c>
      <c r="AT33" t="str">
        <f>IF(COUNTIFS( $A:$A,A33,$B:$B,B33,$C:$C,C33,$D:$D,D33,$E:$E,E33,$F:$F,F33,$G:$G,G33,$H:$H,H33,$I:$I,I33,$J:$J,J33,$K:$K,K33,$L:$L,L33,$M:$M,M33,$T:$T,T33,$U:$U,U33,$W:$W,W33,$Z:$Z,Z33,$AA:$AA,AA33,$AB:$AB,AB33,$AC:$AC,AC33,$AD:$AD,AD33,$AE:$AE,AE33,$AF:$AF,AF33,$AG:$AG,AG33,$AH:$AH,AH33,$AI:$AI,AI33)&gt;1,"Duplicate","Unique")</f>
        <v>Unique</v>
      </c>
    </row>
    <row r="34" spans="1:46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  <c r="W34" t="s">
        <v>257</v>
      </c>
      <c r="Z34" t="s">
        <v>260</v>
      </c>
      <c r="AA34" t="str">
        <v>Aarav Sharma</v>
      </c>
      <c r="AB34" t="str">
        <f>TRIM(PROPER(F:F))</f>
        <v>Corporate</v>
      </c>
      <c r="AC34" t="str">
        <f>TRIM(PROPER(G:G))</f>
        <v>South</v>
      </c>
      <c r="AD34" t="str">
        <f>TRIM(PROPER(H:H))</f>
        <v>Andhra Pradesh</v>
      </c>
      <c r="AE34" t="str">
        <f>TRIM(PROPER(I:I))</f>
        <v>Vijayawada</v>
      </c>
      <c r="AF34" t="str">
        <f>TRIM(PROPER(J:J))</f>
        <v>Technology</v>
      </c>
      <c r="AG34" t="str">
        <f>TRIM(PROPER(K:K))</f>
        <v>Phones</v>
      </c>
      <c r="AH34" t="str">
        <f>TRIM(PROPER(L:L))</f>
        <v>Basic Phones 242</v>
      </c>
      <c r="AI34" t="str">
        <f>TRIM(PROPER(M:M))</f>
        <v>Second Class</v>
      </c>
      <c r="AJ34" s="5">
        <f>IF(OR(P34&lt;0,P34&gt;0.5),"invalid",P34)</f>
        <v>0</v>
      </c>
      <c r="AK34" s="6">
        <f>IFERROR(N34*O34*(1-AJ34), "NA")</f>
        <v>12003.75</v>
      </c>
      <c r="AL34" s="6">
        <f>IFERROR(AK34-R34,"NA")</f>
        <v>4473.83</v>
      </c>
      <c r="AM34" s="5">
        <f t="shared" si="0"/>
        <v>0.37270269707383108</v>
      </c>
      <c r="AN34" t="str">
        <v>22-11-24</v>
      </c>
      <c r="AO34" t="str">
        <v>26-11-24</v>
      </c>
      <c r="AP34" t="str">
        <f t="shared" si="1"/>
        <v>November</v>
      </c>
      <c r="AQ34" t="str">
        <f t="shared" si="2"/>
        <v>2024</v>
      </c>
      <c r="AR34" t="str">
        <f t="shared" si="3"/>
        <v xml:space="preserve"> </v>
      </c>
      <c r="AS34">
        <f t="shared" si="4"/>
        <v>4</v>
      </c>
      <c r="AT34" t="str">
        <f>IF(COUNTIFS( $A:$A,A34,$B:$B,B34,$C:$C,C34,$D:$D,D34,$E:$E,E34,$F:$F,F34,$G:$G,G34,$H:$H,H34,$I:$I,I34,$J:$J,J34,$K:$K,K34,$L:$L,L34,$M:$M,M34,$T:$T,T34,$U:$U,U34,$W:$W,W34,$Z:$Z,Z34,$AA:$AA,AA34,$AB:$AB,AB34,$AC:$AC,AC34,$AD:$AD,AD34,$AE:$AE,AE34,$AF:$AF,AF34,$AG:$AG,AG34,$AH:$AH,AH34,$AI:$AI,AI34)&gt;1,"Duplicate","Unique")</f>
        <v>Unique</v>
      </c>
    </row>
    <row r="35" spans="1:46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  <c r="W35" t="s">
        <v>262</v>
      </c>
      <c r="Z35" t="s">
        <v>265</v>
      </c>
      <c r="AA35" t="str">
        <v>Priya Menon</v>
      </c>
      <c r="AB35" t="str">
        <f>TRIM(PROPER(F:F))</f>
        <v>Home Office</v>
      </c>
      <c r="AC35" t="str">
        <f>TRIM(PROPER(G:G))</f>
        <v>West</v>
      </c>
      <c r="AD35" t="str">
        <f>TRIM(PROPER(H:H))</f>
        <v>Goa</v>
      </c>
      <c r="AE35" t="str">
        <f>TRIM(PROPER(I:I))</f>
        <v>Panaji</v>
      </c>
      <c r="AF35" t="str">
        <f>TRIM(PROPER(J:J))</f>
        <v>Furniture</v>
      </c>
      <c r="AG35" t="str">
        <f>TRIM(PROPER(K:K))</f>
        <v>Tables</v>
      </c>
      <c r="AH35" t="str">
        <f>TRIM(PROPER(L:L))</f>
        <v>Max Tables 836</v>
      </c>
      <c r="AI35" t="str">
        <f>TRIM(PROPER(M:M))</f>
        <v>Same Day</v>
      </c>
      <c r="AJ35" s="5">
        <f>IF(OR(P35&lt;0,P35&gt;0.5),"invalid",P35)</f>
        <v>0.25</v>
      </c>
      <c r="AK35" s="6">
        <f>IFERROR(N35*O35*(1-AJ35), "NA")</f>
        <v>2585.1525000000001</v>
      </c>
      <c r="AL35" s="6">
        <f>IFERROR(AK35-R35,"NA")</f>
        <v>514.42250000000013</v>
      </c>
      <c r="AM35" s="5">
        <f t="shared" si="0"/>
        <v>0.19899116203009304</v>
      </c>
      <c r="AN35" t="str">
        <v>invalid date</v>
      </c>
      <c r="AO35" t="str">
        <v>27-07-24</v>
      </c>
      <c r="AP35" t="str">
        <f t="shared" si="1"/>
        <v>invalid date</v>
      </c>
      <c r="AQ35" t="str">
        <f t="shared" si="2"/>
        <v>invalid date</v>
      </c>
      <c r="AR35" t="str">
        <f t="shared" si="3"/>
        <v>Invalid</v>
      </c>
      <c r="AS35" t="str">
        <f t="shared" si="4"/>
        <v>invalid date</v>
      </c>
      <c r="AT35" t="str">
        <f>IF(COUNTIFS( $A:$A,A35,$B:$B,B35,$C:$C,C35,$D:$D,D35,$E:$E,E35,$F:$F,F35,$G:$G,G35,$H:$H,H35,$I:$I,I35,$J:$J,J35,$K:$K,K35,$L:$L,L35,$M:$M,M35,$T:$T,T35,$U:$U,U35,$W:$W,W35,$Z:$Z,Z35,$AA:$AA,AA35,$AB:$AB,AB35,$AC:$AC,AC35,$AD:$AD,AD35,$AE:$AE,AE35,$AF:$AF,AF35,$AG:$AG,AG35,$AH:$AH,AH35,$AI:$AI,AI35)&gt;1,"Duplicate","Unique")</f>
        <v>Unique</v>
      </c>
    </row>
    <row r="36" spans="1:46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  <c r="W36" t="s">
        <v>267</v>
      </c>
      <c r="Z36" t="s">
        <v>270</v>
      </c>
      <c r="AA36" t="str">
        <v>Priya Menon</v>
      </c>
      <c r="AB36" t="str">
        <f>TRIM(PROPER(F:F))</f>
        <v>Home Office</v>
      </c>
      <c r="AC36" t="str">
        <f>TRIM(PROPER(G:G))</f>
        <v>East</v>
      </c>
      <c r="AD36" t="str">
        <f>TRIM(PROPER(H:H))</f>
        <v>West Bengal</v>
      </c>
      <c r="AE36" t="str">
        <f>TRIM(PROPER(I:I))</f>
        <v>Kolkata</v>
      </c>
      <c r="AF36" t="str">
        <f>TRIM(PROPER(J:J))</f>
        <v>Furniture</v>
      </c>
      <c r="AG36" t="str">
        <f>TRIM(PROPER(K:K))</f>
        <v>Chairs</v>
      </c>
      <c r="AH36" t="str">
        <f>TRIM(PROPER(L:L))</f>
        <v>Elite Chairs 862</v>
      </c>
      <c r="AI36" t="s">
        <v>4095</v>
      </c>
      <c r="AJ36" s="5">
        <f>IF(OR(P36&lt;0,P36&gt;0.5),"invalid",P36)</f>
        <v>0.2</v>
      </c>
      <c r="AK36" s="6">
        <f>IFERROR(N36*O36*(1-AJ36), "NA")</f>
        <v>6655.5039999999999</v>
      </c>
      <c r="AL36" s="6">
        <f>IFERROR(AK36-R36,"NA")</f>
        <v>2315.2939999999999</v>
      </c>
      <c r="AM36" s="5">
        <f t="shared" si="0"/>
        <v>0.34787658455317583</v>
      </c>
      <c r="AN36" t="str">
        <v>31-01-25</v>
      </c>
      <c r="AO36" t="str">
        <v>05-02-25</v>
      </c>
      <c r="AP36" t="str">
        <f t="shared" si="1"/>
        <v>January</v>
      </c>
      <c r="AQ36" t="str">
        <f t="shared" si="2"/>
        <v>2025</v>
      </c>
      <c r="AR36" t="str">
        <f t="shared" si="3"/>
        <v>anomaly</v>
      </c>
      <c r="AS36">
        <f t="shared" si="4"/>
        <v>5</v>
      </c>
      <c r="AT36" t="str">
        <f>IF(COUNTIFS( $A:$A,A36,$B:$B,B36,$C:$C,C36,$D:$D,D36,$E:$E,E36,$F:$F,F36,$G:$G,G36,$H:$H,H36,$I:$I,I36,$J:$J,J36,$K:$K,K36,$L:$L,L36,$M:$M,M36,$T:$T,T36,$U:$U,U36,$W:$W,W36,$Z:$Z,Z36,$AA:$AA,AA36,$AB:$AB,AB36,$AC:$AC,AC36,$AD:$AD,AD36,$AE:$AE,AE36,$AF:$AF,AF36,$AG:$AG,AG36,$AH:$AH,AH36,$AI:$AI,AI36)&gt;1,"Duplicate","Unique")</f>
        <v>Unique</v>
      </c>
    </row>
    <row r="37" spans="1:46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  <c r="W37" t="s">
        <v>272</v>
      </c>
      <c r="Z37" t="s">
        <v>275</v>
      </c>
      <c r="AA37" t="str">
        <v>Sneha Kapoor</v>
      </c>
      <c r="AB37" t="str">
        <f>TRIM(PROPER(F:F))</f>
        <v>Small Business</v>
      </c>
      <c r="AC37" t="str">
        <f>TRIM(PROPER(G:G))</f>
        <v>West</v>
      </c>
      <c r="AD37" t="str">
        <f>TRIM(PROPER(H:H))</f>
        <v>Gujarat</v>
      </c>
      <c r="AE37" t="str">
        <f>TRIM(PROPER(I:I))</f>
        <v>Ahmedabad</v>
      </c>
      <c r="AF37" t="str">
        <f>TRIM(PROPER(J:J))</f>
        <v>Furniture</v>
      </c>
      <c r="AG37" t="str">
        <f>TRIM(PROPER(K:K))</f>
        <v>Bookcases</v>
      </c>
      <c r="AH37" t="str">
        <f>TRIM(PROPER(L:L))</f>
        <v>Prime Bookcases 414</v>
      </c>
      <c r="AI37" t="str">
        <f>TRIM(PROPER(M:M))</f>
        <v>Second Class</v>
      </c>
      <c r="AJ37" s="5">
        <f>IF(OR(P37&lt;0,P37&gt;0.5),"invalid",P37)</f>
        <v>0.05</v>
      </c>
      <c r="AK37" s="6">
        <f>IFERROR(N37*O37*(1-AJ37), "NA")</f>
        <v>19054.111999999997</v>
      </c>
      <c r="AL37" s="6">
        <f>IFERROR(AK37-R37,"NA")</f>
        <v>3740.2819999999974</v>
      </c>
      <c r="AM37" s="5">
        <f t="shared" si="0"/>
        <v>0.19629789097492437</v>
      </c>
      <c r="AN37" t="str">
        <v>29-05-24</v>
      </c>
      <c r="AO37" t="str">
        <v>29-05-24</v>
      </c>
      <c r="AP37" t="str">
        <f t="shared" si="1"/>
        <v>May</v>
      </c>
      <c r="AQ37" t="str">
        <f t="shared" si="2"/>
        <v>2024</v>
      </c>
      <c r="AR37" t="str">
        <f t="shared" si="3"/>
        <v xml:space="preserve"> </v>
      </c>
      <c r="AS37">
        <f t="shared" si="4"/>
        <v>0</v>
      </c>
      <c r="AT37" t="str">
        <f>IF(COUNTIFS( $A:$A,A37,$B:$B,B37,$C:$C,C37,$D:$D,D37,$E:$E,E37,$F:$F,F37,$G:$G,G37,$H:$H,H37,$I:$I,I37,$J:$J,J37,$K:$K,K37,$L:$L,L37,$M:$M,M37,$T:$T,T37,$U:$U,U37,$W:$W,W37,$Z:$Z,Z37,$AA:$AA,AA37,$AB:$AB,AB37,$AC:$AC,AC37,$AD:$AD,AD37,$AE:$AE,AE37,$AF:$AF,AF37,$AG:$AG,AG37,$AH:$AH,AH37,$AI:$AI,AI37)&gt;1,"Duplicate","Unique")</f>
        <v>Unique</v>
      </c>
    </row>
    <row r="38" spans="1:46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  <c r="W38" t="s">
        <v>277</v>
      </c>
      <c r="Z38" t="s">
        <v>280</v>
      </c>
      <c r="AA38" t="str">
        <v>Rohan Mehta</v>
      </c>
      <c r="AB38" t="str">
        <f>TRIM(PROPER(F:F))</f>
        <v>Corporate</v>
      </c>
      <c r="AC38" t="str">
        <f>TRIM(PROPER(G:G))</f>
        <v>West</v>
      </c>
      <c r="AD38" t="str">
        <f>TRIM(PROPER(H:H))</f>
        <v>Maharashtra</v>
      </c>
      <c r="AE38" t="str">
        <f>TRIM(PROPER(I:I))</f>
        <v>Mumbai</v>
      </c>
      <c r="AF38" t="str">
        <f>TRIM(PROPER(J:J))</f>
        <v>Furniture</v>
      </c>
      <c r="AG38" t="str">
        <f>TRIM(PROPER(K:K))</f>
        <v>Bookcases</v>
      </c>
      <c r="AH38" t="str">
        <f>TRIM(PROPER(L:L))</f>
        <v>Eco Bookcases 220</v>
      </c>
      <c r="AI38" t="str">
        <f>TRIM(PROPER(M:M))</f>
        <v>Second Class</v>
      </c>
      <c r="AJ38" s="5">
        <f>IF(OR(P38&lt;0,P38&gt;0.5),"invalid",P38)</f>
        <v>0</v>
      </c>
      <c r="AK38" s="6">
        <f>IFERROR(N38*O38*(1-AJ38), "NA")</f>
        <v>9379.41</v>
      </c>
      <c r="AL38" s="6">
        <f>IFERROR(AK38-R38,"NA")</f>
        <v>2708.5599999999995</v>
      </c>
      <c r="AM38" s="5">
        <f t="shared" si="0"/>
        <v>0.28877722585962223</v>
      </c>
      <c r="AN38" t="str">
        <v>25-10-24</v>
      </c>
      <c r="AO38" t="str">
        <v>28-10-24</v>
      </c>
      <c r="AP38" t="str">
        <f t="shared" si="1"/>
        <v>October</v>
      </c>
      <c r="AQ38" t="str">
        <f t="shared" si="2"/>
        <v>2024</v>
      </c>
      <c r="AR38" t="str">
        <f t="shared" si="3"/>
        <v xml:space="preserve"> </v>
      </c>
      <c r="AS38">
        <f t="shared" si="4"/>
        <v>3</v>
      </c>
      <c r="AT38" t="str">
        <f>IF(COUNTIFS( $A:$A,A38,$B:$B,B38,$C:$C,C38,$D:$D,D38,$E:$E,E38,$F:$F,F38,$G:$G,G38,$H:$H,H38,$I:$I,I38,$J:$J,J38,$K:$K,K38,$L:$L,L38,$M:$M,M38,$T:$T,T38,$U:$U,U38,$W:$W,W38,$Z:$Z,Z38,$AA:$AA,AA38,$AB:$AB,AB38,$AC:$AC,AC38,$AD:$AD,AD38,$AE:$AE,AE38,$AF:$AF,AF38,$AG:$AG,AG38,$AH:$AH,AH38,$AI:$AI,AI38)&gt;1,"Duplicate","Unique")</f>
        <v>Unique</v>
      </c>
    </row>
    <row r="39" spans="1:46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  <c r="W39" t="s">
        <v>282</v>
      </c>
      <c r="Z39" t="s">
        <v>284</v>
      </c>
      <c r="AA39" t="str">
        <v>Diya Patel</v>
      </c>
      <c r="AB39" t="str">
        <f>TRIM(PROPER(F:F))</f>
        <v>Consumer</v>
      </c>
      <c r="AC39" t="str">
        <f>TRIM(PROPER(G:G))</f>
        <v>West</v>
      </c>
      <c r="AD39" t="str">
        <f>TRIM(PROPER(H:H))</f>
        <v>Maharashtra</v>
      </c>
      <c r="AE39" t="str">
        <f>TRIM(PROPER(I:I))</f>
        <v>Mumbai</v>
      </c>
      <c r="AF39" t="str">
        <f>TRIM(PROPER(J:J))</f>
        <v>Technology</v>
      </c>
      <c r="AG39" t="str">
        <f>TRIM(PROPER(K:K))</f>
        <v>Copiers</v>
      </c>
      <c r="AH39" t="str">
        <f>TRIM(PROPER(L:L))</f>
        <v>Pro Copiers 830</v>
      </c>
      <c r="AI39" t="str">
        <f>TRIM(PROPER(M:M))</f>
        <v>Standard Class</v>
      </c>
      <c r="AJ39" s="5">
        <f>IF(OR(P39&lt;0,P39&gt;0.5),"invalid",P39)</f>
        <v>0.2</v>
      </c>
      <c r="AK39" s="6">
        <f>IFERROR(N39*O39*(1-AJ39), "NA")</f>
        <v>4248.1279999999997</v>
      </c>
      <c r="AL39" s="6">
        <f>IFERROR(AK39-R39,"NA")</f>
        <v>927.03799999999956</v>
      </c>
      <c r="AM39" s="5">
        <f t="shared" si="0"/>
        <v>0.21822270892025844</v>
      </c>
      <c r="AN39" t="str">
        <v>29-07-25</v>
      </c>
      <c r="AO39" t="str">
        <v>29-07-25</v>
      </c>
      <c r="AP39" t="str">
        <f t="shared" si="1"/>
        <v>July</v>
      </c>
      <c r="AQ39" t="str">
        <f t="shared" si="2"/>
        <v>2025</v>
      </c>
      <c r="AR39" t="str">
        <f t="shared" si="3"/>
        <v xml:space="preserve"> </v>
      </c>
      <c r="AS39">
        <f t="shared" si="4"/>
        <v>0</v>
      </c>
      <c r="AT39" t="str">
        <f>IF(COUNTIFS( $A:$A,A39,$B:$B,B39,$C:$C,C39,$D:$D,D39,$E:$E,E39,$F:$F,F39,$G:$G,G39,$H:$H,H39,$I:$I,I39,$J:$J,J39,$K:$K,K39,$L:$L,L39,$M:$M,M39,$T:$T,T39,$U:$U,U39,$W:$W,W39,$Z:$Z,Z39,$AA:$AA,AA39,$AB:$AB,AB39,$AC:$AC,AC39,$AD:$AD,AD39,$AE:$AE,AE39,$AF:$AF,AF39,$AG:$AG,AG39,$AH:$AH,AH39,$AI:$AI,AI39)&gt;1,"Duplicate","Unique")</f>
        <v>Unique</v>
      </c>
    </row>
    <row r="40" spans="1:46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  <c r="W40" t="s">
        <v>287</v>
      </c>
      <c r="Z40" t="s">
        <v>290</v>
      </c>
      <c r="AA40" t="str">
        <v>Aarav Sharma</v>
      </c>
      <c r="AB40" t="str">
        <f>TRIM(PROPER(F:F))</f>
        <v>Corporate</v>
      </c>
      <c r="AC40" t="str">
        <f>TRIM(PROPER(G:G))</f>
        <v>West</v>
      </c>
      <c r="AD40" t="str">
        <f>TRIM(PROPER(H:H))</f>
        <v>Gujarat</v>
      </c>
      <c r="AE40" t="str">
        <f>TRIM(PROPER(I:I))</f>
        <v>Ahmedabad</v>
      </c>
      <c r="AF40" t="str">
        <f>TRIM(PROPER(J:J))</f>
        <v>Technology</v>
      </c>
      <c r="AG40" t="str">
        <f>TRIM(PROPER(K:K))</f>
        <v>Phones</v>
      </c>
      <c r="AH40" t="str">
        <f>TRIM(PROPER(L:L))</f>
        <v>Prime Phones 507</v>
      </c>
      <c r="AI40" t="str">
        <f>TRIM(PROPER(M:M))</f>
        <v>First Class</v>
      </c>
      <c r="AJ40" s="5">
        <f>IF(OR(P40&lt;0,P40&gt;0.5),"invalid",P40)</f>
        <v>0.1</v>
      </c>
      <c r="AK40" s="6">
        <f>IFERROR(N40*O40*(1-AJ40), "NA")</f>
        <v>13927.284</v>
      </c>
      <c r="AL40" s="6">
        <f>IFERROR(AK40-R40,"NA")</f>
        <v>3422.4139999999989</v>
      </c>
      <c r="AM40" s="5">
        <f t="shared" si="0"/>
        <v>0.24573448778670692</v>
      </c>
      <c r="AN40" t="str">
        <v>17-06-24</v>
      </c>
      <c r="AO40" t="str">
        <v>22-06-24</v>
      </c>
      <c r="AP40" t="str">
        <f t="shared" si="1"/>
        <v>June</v>
      </c>
      <c r="AQ40" t="str">
        <f t="shared" si="2"/>
        <v>2024</v>
      </c>
      <c r="AR40" t="str">
        <f t="shared" si="3"/>
        <v xml:space="preserve"> </v>
      </c>
      <c r="AS40">
        <f t="shared" si="4"/>
        <v>5</v>
      </c>
      <c r="AT40" t="str">
        <f>IF(COUNTIFS( $A:$A,A40,$B:$B,B40,$C:$C,C40,$D:$D,D40,$E:$E,E40,$F:$F,F40,$G:$G,G40,$H:$H,H40,$I:$I,I40,$J:$J,J40,$K:$K,K40,$L:$L,L40,$M:$M,M40,$T:$T,T40,$U:$U,U40,$W:$W,W40,$Z:$Z,Z40,$AA:$AA,AA40,$AB:$AB,AB40,$AC:$AC,AC40,$AD:$AD,AD40,$AE:$AE,AE40,$AF:$AF,AF40,$AG:$AG,AG40,$AH:$AH,AH40,$AI:$AI,AI40)&gt;1,"Duplicate","Unique")</f>
        <v>Unique</v>
      </c>
    </row>
    <row r="41" spans="1:46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  <c r="W41" t="s">
        <v>292</v>
      </c>
      <c r="Z41" t="s">
        <v>295</v>
      </c>
      <c r="AA41" t="str">
        <v>Mira Das</v>
      </c>
      <c r="AB41" t="str">
        <f>TRIM(PROPER(F:F))</f>
        <v>Small Business</v>
      </c>
      <c r="AC41" t="str">
        <f>TRIM(PROPER(G:G))</f>
        <v>West</v>
      </c>
      <c r="AD41" t="str">
        <f>TRIM(PROPER(H:H))</f>
        <v>Madhya Pradesh</v>
      </c>
      <c r="AE41" t="str">
        <f>TRIM(PROPER(I:I))</f>
        <v>Indore</v>
      </c>
      <c r="AF41" t="str">
        <f>TRIM(PROPER(J:J))</f>
        <v>Technology</v>
      </c>
      <c r="AG41" t="str">
        <f>TRIM(PROPER(K:K))</f>
        <v>Copiers</v>
      </c>
      <c r="AH41" t="str">
        <f>TRIM(PROPER(L:L))</f>
        <v>Classic Copiers 590</v>
      </c>
      <c r="AI41" t="str">
        <f>TRIM(PROPER(M:M))</f>
        <v>First Class</v>
      </c>
      <c r="AJ41" s="5">
        <f>IF(OR(P41&lt;0,P41&gt;0.5),"invalid",P41)</f>
        <v>0.1</v>
      </c>
      <c r="AK41" s="6">
        <f>IFERROR(N41*O41*(1-AJ41), "NA")</f>
        <v>4935.3120000000008</v>
      </c>
      <c r="AL41" s="6">
        <f>IFERROR(AK41-R41,"NA")</f>
        <v>1560.5420000000008</v>
      </c>
      <c r="AM41" s="5">
        <f t="shared" si="0"/>
        <v>0.31619925954022776</v>
      </c>
      <c r="AN41" t="str">
        <v>12-11-24</v>
      </c>
      <c r="AO41" t="str">
        <v>11-12-24</v>
      </c>
      <c r="AP41" t="str">
        <f t="shared" si="1"/>
        <v>November</v>
      </c>
      <c r="AQ41" t="str">
        <f t="shared" si="2"/>
        <v>2024</v>
      </c>
      <c r="AR41" t="str">
        <f t="shared" si="3"/>
        <v>anomaly</v>
      </c>
      <c r="AS41">
        <f t="shared" si="4"/>
        <v>29</v>
      </c>
      <c r="AT41" t="str">
        <f>IF(COUNTIFS( $A:$A,A41,$B:$B,B41,$C:$C,C41,$D:$D,D41,$E:$E,E41,$F:$F,F41,$G:$G,G41,$H:$H,H41,$I:$I,I41,$J:$J,J41,$K:$K,K41,$L:$L,L41,$M:$M,M41,$T:$T,T41,$U:$U,U41,$W:$W,W41,$Z:$Z,Z41,$AA:$AA,AA41,$AB:$AB,AB41,$AC:$AC,AC41,$AD:$AD,AD41,$AE:$AE,AE41,$AF:$AF,AF41,$AG:$AG,AG41,$AH:$AH,AH41,$AI:$AI,AI41)&gt;1,"Duplicate","Unique")</f>
        <v>Unique</v>
      </c>
    </row>
    <row r="42" spans="1:46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  <c r="W42" t="s">
        <v>297</v>
      </c>
      <c r="Z42" t="s">
        <v>300</v>
      </c>
      <c r="AA42" t="str">
        <v>Isha Nair</v>
      </c>
      <c r="AB42" t="str">
        <f>TRIM(PROPER(F:F))</f>
        <v>Home Office</v>
      </c>
      <c r="AC42" t="str">
        <f>TRIM(PROPER(G:G))</f>
        <v>West</v>
      </c>
      <c r="AD42" t="str">
        <f>TRIM(PROPER(H:H))</f>
        <v>Rajasthan</v>
      </c>
      <c r="AE42" t="str">
        <f>TRIM(PROPER(I:I))</f>
        <v>Udaipur</v>
      </c>
      <c r="AF42" t="str">
        <f>TRIM(PROPER(J:J))</f>
        <v>Technology</v>
      </c>
      <c r="AG42" t="str">
        <f>TRIM(PROPER(K:K))</f>
        <v>Copiers</v>
      </c>
      <c r="AH42" t="str">
        <f>TRIM(PROPER(L:L))</f>
        <v>Eco Copiers 865</v>
      </c>
      <c r="AI42" t="str">
        <f>TRIM(PROPER(M:M))</f>
        <v>Standard Class</v>
      </c>
      <c r="AJ42" s="5">
        <f>IF(OR(P42&lt;0,P42&gt;0.5),"invalid",P42)</f>
        <v>0.2</v>
      </c>
      <c r="AK42" s="6">
        <f>IFERROR(N42*O42*(1-AJ42), "NA")</f>
        <v>14051.912</v>
      </c>
      <c r="AL42" s="6">
        <f>IFERROR(AK42-R42,"NA")</f>
        <v>2061.5419999999995</v>
      </c>
      <c r="AM42" s="5">
        <f t="shared" si="0"/>
        <v>0.14670900301681361</v>
      </c>
      <c r="AN42" t="str">
        <v>10-10-24</v>
      </c>
      <c r="AO42" t="str">
        <v>16-10-24</v>
      </c>
      <c r="AP42" t="str">
        <f t="shared" si="1"/>
        <v>October</v>
      </c>
      <c r="AQ42" t="str">
        <f t="shared" si="2"/>
        <v>2024</v>
      </c>
      <c r="AR42" t="str">
        <f t="shared" si="3"/>
        <v xml:space="preserve"> </v>
      </c>
      <c r="AS42">
        <f t="shared" si="4"/>
        <v>6</v>
      </c>
      <c r="AT42" t="str">
        <f>IF(COUNTIFS( $A:$A,A42,$B:$B,B42,$C:$C,C42,$D:$D,D42,$E:$E,E42,$F:$F,F42,$G:$G,G42,$H:$H,H42,$I:$I,I42,$J:$J,J42,$K:$K,K42,$L:$L,L42,$M:$M,M42,$T:$T,T42,$U:$U,U42,$W:$W,W42,$Z:$Z,Z42,$AA:$AA,AA42,$AB:$AB,AB42,$AC:$AC,AC42,$AD:$AD,AD42,$AE:$AE,AE42,$AF:$AF,AF42,$AG:$AG,AG42,$AH:$AH,AH42,$AI:$AI,AI42)&gt;1,"Duplicate","Unique")</f>
        <v>Unique</v>
      </c>
    </row>
    <row r="43" spans="1:46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  <c r="W43" t="s">
        <v>302</v>
      </c>
      <c r="Z43" t="s">
        <v>305</v>
      </c>
      <c r="AA43" t="str">
        <v>Aarav Sharma</v>
      </c>
      <c r="AB43" t="str">
        <f>TRIM(PROPER(F:F))</f>
        <v>Small Business</v>
      </c>
      <c r="AC43" t="str">
        <f>TRIM(PROPER(G:G))</f>
        <v>East</v>
      </c>
      <c r="AD43" t="str">
        <f>TRIM(PROPER(H:H))</f>
        <v>Odisha</v>
      </c>
      <c r="AE43" t="str">
        <f>TRIM(PROPER(I:I))</f>
        <v>Bhubaneswar</v>
      </c>
      <c r="AF43" t="str">
        <f>TRIM(PROPER(J:J))</f>
        <v>Furniture</v>
      </c>
      <c r="AG43" t="str">
        <f>TRIM(PROPER(K:K))</f>
        <v>Bookcases</v>
      </c>
      <c r="AH43" t="str">
        <f>TRIM(PROPER(L:L))</f>
        <v>Classic Bookcases 835</v>
      </c>
      <c r="AI43" t="str">
        <f>TRIM(PROPER(M:M))</f>
        <v>Same Day</v>
      </c>
      <c r="AJ43" s="5">
        <f>IF(OR(P43&lt;0,P43&gt;0.5),"invalid",P43)</f>
        <v>0</v>
      </c>
      <c r="AK43" s="6">
        <f>IFERROR(N43*O43*(1-AJ43), "NA")</f>
        <v>6846.48</v>
      </c>
      <c r="AL43" s="6">
        <f>IFERROR(AK43-R43,"NA")</f>
        <v>2606.5899999999992</v>
      </c>
      <c r="AM43" s="5">
        <f t="shared" si="0"/>
        <v>0.38071972750961069</v>
      </c>
      <c r="AN43" t="str">
        <v>03-12-24</v>
      </c>
      <c r="AO43" t="str">
        <v>17-03-24</v>
      </c>
      <c r="AP43" t="str">
        <f t="shared" si="1"/>
        <v>December</v>
      </c>
      <c r="AQ43" t="str">
        <f t="shared" si="2"/>
        <v>2024</v>
      </c>
      <c r="AR43" t="str">
        <f t="shared" si="3"/>
        <v xml:space="preserve"> </v>
      </c>
      <c r="AS43">
        <f t="shared" si="4"/>
        <v>-261</v>
      </c>
      <c r="AT43" t="str">
        <f>IF(COUNTIFS( $A:$A,A43,$B:$B,B43,$C:$C,C43,$D:$D,D43,$E:$E,E43,$F:$F,F43,$G:$G,G43,$H:$H,H43,$I:$I,I43,$J:$J,J43,$K:$K,K43,$L:$L,L43,$M:$M,M43,$T:$T,T43,$U:$U,U43,$W:$W,W43,$Z:$Z,Z43,$AA:$AA,AA43,$AB:$AB,AB43,$AC:$AC,AC43,$AD:$AD,AD43,$AE:$AE,AE43,$AF:$AF,AF43,$AG:$AG,AG43,$AH:$AH,AH43,$AI:$AI,AI43)&gt;1,"Duplicate","Unique")</f>
        <v>Unique</v>
      </c>
    </row>
    <row r="44" spans="1:46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  <c r="W44" t="s">
        <v>307</v>
      </c>
      <c r="Z44" t="s">
        <v>310</v>
      </c>
      <c r="AA44" t="str">
        <v>Arjun Bose</v>
      </c>
      <c r="AB44" t="str">
        <f>TRIM(PROPER(F:F))</f>
        <v>Corporate</v>
      </c>
      <c r="AC44" t="str">
        <f>TRIM(PROPER(G:G))</f>
        <v>East</v>
      </c>
      <c r="AD44" t="str">
        <f>TRIM(PROPER(H:H))</f>
        <v>Jharkhand</v>
      </c>
      <c r="AE44" t="str">
        <f>TRIM(PROPER(I:I))</f>
        <v>Ranchi</v>
      </c>
      <c r="AF44" t="str">
        <f>TRIM(PROPER(J:J))</f>
        <v>Technology</v>
      </c>
      <c r="AG44" t="str">
        <f>TRIM(PROPER(K:K))</f>
        <v>Phones</v>
      </c>
      <c r="AH44" t="str">
        <f>TRIM(PROPER(L:L))</f>
        <v>Eco Phones 702</v>
      </c>
      <c r="AI44" t="str">
        <f>TRIM(PROPER(M:M))</f>
        <v>Standard Class</v>
      </c>
      <c r="AJ44" s="5">
        <f>IF(OR(P44&lt;0,P44&gt;0.5),"invalid",P44)</f>
        <v>0.05</v>
      </c>
      <c r="AK44" s="6">
        <f>IFERROR(N44*O44*(1-AJ44), "NA")</f>
        <v>7447.0119999999997</v>
      </c>
      <c r="AL44" s="6">
        <f>IFERROR(AK44-R44,"NA")</f>
        <v>2950.7919999999995</v>
      </c>
      <c r="AM44" s="5">
        <f t="shared" si="0"/>
        <v>0.39623838393170302</v>
      </c>
      <c r="AN44" t="str">
        <v>10-10-25</v>
      </c>
      <c r="AO44" t="str">
        <v>15-10-25</v>
      </c>
      <c r="AP44" t="str">
        <f t="shared" si="1"/>
        <v>October</v>
      </c>
      <c r="AQ44" t="str">
        <f t="shared" si="2"/>
        <v>2025</v>
      </c>
      <c r="AR44" t="str">
        <f t="shared" si="3"/>
        <v xml:space="preserve"> </v>
      </c>
      <c r="AS44">
        <f t="shared" si="4"/>
        <v>5</v>
      </c>
      <c r="AT44" t="str">
        <f>IF(COUNTIFS( $A:$A,A44,$B:$B,B44,$C:$C,C44,$D:$D,D44,$E:$E,E44,$F:$F,F44,$G:$G,G44,$H:$H,H44,$I:$I,I44,$J:$J,J44,$K:$K,K44,$L:$L,L44,$M:$M,M44,$T:$T,T44,$U:$U,U44,$W:$W,W44,$Z:$Z,Z44,$AA:$AA,AA44,$AB:$AB,AB44,$AC:$AC,AC44,$AD:$AD,AD44,$AE:$AE,AE44,$AF:$AF,AF44,$AG:$AG,AG44,$AH:$AH,AH44,$AI:$AI,AI44)&gt;1,"Duplicate","Unique")</f>
        <v>Unique</v>
      </c>
    </row>
    <row r="45" spans="1:46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  <c r="W45" t="s">
        <v>314</v>
      </c>
      <c r="Z45" t="s">
        <v>317</v>
      </c>
      <c r="AA45" t="str">
        <v>Priya Menon</v>
      </c>
      <c r="AB45" t="str">
        <f>TRIM(PROPER(F:F))</f>
        <v>Small Business</v>
      </c>
      <c r="AC45" t="str">
        <f>TRIM(PROPER(G:G))</f>
        <v>East</v>
      </c>
      <c r="AD45" t="str">
        <f>TRIM(PROPER(H:H))</f>
        <v>Odisha</v>
      </c>
      <c r="AE45" t="str">
        <f>TRIM(PROPER(I:I))</f>
        <v>Bhubaneswar</v>
      </c>
      <c r="AF45" t="str">
        <f>TRIM(PROPER(J:J))</f>
        <v>Furniture</v>
      </c>
      <c r="AG45" t="str">
        <f>TRIM(PROPER(K:K))</f>
        <v>Furnishings</v>
      </c>
      <c r="AH45" t="str">
        <f>TRIM(PROPER(L:L))</f>
        <v>Smart Furnishings 956</v>
      </c>
      <c r="AI45" t="str">
        <f>TRIM(PROPER(M:M))</f>
        <v>Same Day</v>
      </c>
      <c r="AJ45" s="5">
        <f>IF(OR(P45&lt;0,P45&gt;0.5),"invalid",P45)</f>
        <v>0</v>
      </c>
      <c r="AK45" s="6">
        <f>IFERROR(N45*O45*(1-AJ45), "NA")</f>
        <v>3030.69</v>
      </c>
      <c r="AL45" s="6">
        <f>IFERROR(AK45-R45,"NA")</f>
        <v>1309.6100000000001</v>
      </c>
      <c r="AM45" s="5">
        <f t="shared" si="0"/>
        <v>0.43211611877163292</v>
      </c>
      <c r="AN45" t="str">
        <v>07-08-24</v>
      </c>
      <c r="AO45" t="str">
        <v>invalid date</v>
      </c>
      <c r="AP45" t="str">
        <f t="shared" si="1"/>
        <v>August</v>
      </c>
      <c r="AQ45" t="str">
        <f t="shared" si="2"/>
        <v>2024</v>
      </c>
      <c r="AR45" t="str">
        <f t="shared" si="3"/>
        <v>Invalid</v>
      </c>
      <c r="AS45" t="str">
        <f t="shared" si="4"/>
        <v>invalid date</v>
      </c>
      <c r="AT45" t="str">
        <f>IF(COUNTIFS( $A:$A,A45,$B:$B,B45,$C:$C,C45,$D:$D,D45,$E:$E,E45,$F:$F,F45,$G:$G,G45,$H:$H,H45,$I:$I,I45,$J:$J,J45,$K:$K,K45,$L:$L,L45,$M:$M,M45,$T:$T,T45,$U:$U,U45,$W:$W,W45,$Z:$Z,Z45,$AA:$AA,AA45,$AB:$AB,AB45,$AC:$AC,AC45,$AD:$AD,AD45,$AE:$AE,AE45,$AF:$AF,AF45,$AG:$AG,AG45,$AH:$AH,AH45,$AI:$AI,AI45)&gt;1,"Duplicate","Unique")</f>
        <v>Unique</v>
      </c>
    </row>
    <row r="46" spans="1:46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  <c r="W46" t="s">
        <v>319</v>
      </c>
      <c r="Z46" t="s">
        <v>322</v>
      </c>
      <c r="AA46" t="str">
        <v>Rohan Mehta</v>
      </c>
      <c r="AB46" t="str">
        <f>TRIM(PROPER(F:F))</f>
        <v>Small Business</v>
      </c>
      <c r="AC46" t="str">
        <f>TRIM(PROPER(G:G))</f>
        <v>North</v>
      </c>
      <c r="AD46" t="str">
        <f>TRIM(PROPER(H:H))</f>
        <v>Haryana</v>
      </c>
      <c r="AE46" t="str">
        <f>TRIM(PROPER(I:I))</f>
        <v>Gurugram</v>
      </c>
      <c r="AF46" t="str">
        <f>TRIM(PROPER(J:J))</f>
        <v>Furniture</v>
      </c>
      <c r="AG46" t="str">
        <f>TRIM(PROPER(K:K))</f>
        <v>Chairs</v>
      </c>
      <c r="AH46" t="str">
        <f>TRIM(PROPER(L:L))</f>
        <v>Max Chairs 393</v>
      </c>
      <c r="AI46" t="str">
        <f>TRIM(PROPER(M:M))</f>
        <v>Standard Class</v>
      </c>
      <c r="AJ46" s="5">
        <f>IF(OR(P46&lt;0,P46&gt;0.5),"invalid",P46)</f>
        <v>0.1</v>
      </c>
      <c r="AK46" s="6">
        <f>IFERROR(N46*O46*(1-AJ46), "NA")</f>
        <v>26971.137000000002</v>
      </c>
      <c r="AL46" s="6">
        <f>IFERROR(AK46-R46,"NA")</f>
        <v>9594.9370000000017</v>
      </c>
      <c r="AM46" s="5">
        <f t="shared" si="0"/>
        <v>0.35574833200394929</v>
      </c>
      <c r="AN46" t="str">
        <v>invalid date</v>
      </c>
      <c r="AO46" t="str">
        <v>25-06-24</v>
      </c>
      <c r="AP46" t="str">
        <f t="shared" si="1"/>
        <v>invalid date</v>
      </c>
      <c r="AQ46" t="str">
        <f t="shared" si="2"/>
        <v>invalid date</v>
      </c>
      <c r="AR46" t="str">
        <f t="shared" si="3"/>
        <v>Invalid</v>
      </c>
      <c r="AS46" t="str">
        <f t="shared" si="4"/>
        <v>invalid date</v>
      </c>
      <c r="AT46" t="str">
        <f>IF(COUNTIFS( $A:$A,A46,$B:$B,B46,$C:$C,C46,$D:$D,D46,$E:$E,E46,$F:$F,F46,$G:$G,G46,$H:$H,H46,$I:$I,I46,$J:$J,J46,$K:$K,K46,$L:$L,L46,$M:$M,M46,$T:$T,T46,$U:$U,U46,$W:$W,W46,$Z:$Z,Z46,$AA:$AA,AA46,$AB:$AB,AB46,$AC:$AC,AC46,$AD:$AD,AD46,$AE:$AE,AE46,$AF:$AF,AF46,$AG:$AG,AG46,$AH:$AH,AH46,$AI:$AI,AI46)&gt;1,"Duplicate","Unique")</f>
        <v>Unique</v>
      </c>
    </row>
    <row r="47" spans="1:46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  <c r="W47" t="s">
        <v>326</v>
      </c>
      <c r="Z47" t="s">
        <v>329</v>
      </c>
      <c r="AA47" t="str">
        <v>Isha Nair</v>
      </c>
      <c r="AB47" t="str">
        <f>TRIM(PROPER(F:F))</f>
        <v>Home Office</v>
      </c>
      <c r="AC47" t="str">
        <f>TRIM(PROPER(G:G))</f>
        <v>East</v>
      </c>
      <c r="AD47" t="str">
        <f>TRIM(PROPER(H:H))</f>
        <v>Bihar</v>
      </c>
      <c r="AE47" t="str">
        <f>TRIM(PROPER(I:I))</f>
        <v>Patna</v>
      </c>
      <c r="AF47" t="str">
        <f>TRIM(PROPER(J:J))</f>
        <v>Office Supplies</v>
      </c>
      <c r="AG47" t="str">
        <f>TRIM(PROPER(K:K))</f>
        <v>Art</v>
      </c>
      <c r="AH47" t="str">
        <f>TRIM(PROPER(L:L))</f>
        <v>Prime Art 221</v>
      </c>
      <c r="AI47" t="str">
        <f>TRIM(PROPER(M:M))</f>
        <v>Second Class</v>
      </c>
      <c r="AJ47" s="5">
        <f>IF(OR(P47&lt;0,P47&gt;0.5),"invalid",P47)</f>
        <v>0.05</v>
      </c>
      <c r="AK47" s="6">
        <f>IFERROR(N47*O47*(1-AJ47), "NA")</f>
        <v>29851.432000000001</v>
      </c>
      <c r="AL47" s="6">
        <f>IFERROR(AK47-R47,"NA")</f>
        <v>12363.952000000001</v>
      </c>
      <c r="AM47" s="5">
        <f t="shared" si="0"/>
        <v>0.41418287739094062</v>
      </c>
      <c r="AN47" t="str">
        <v>18-01-24</v>
      </c>
      <c r="AO47" t="str">
        <v>24-01-24</v>
      </c>
      <c r="AP47" t="str">
        <f t="shared" si="1"/>
        <v>January</v>
      </c>
      <c r="AQ47" t="str">
        <f t="shared" si="2"/>
        <v>2024</v>
      </c>
      <c r="AR47" t="str">
        <f t="shared" si="3"/>
        <v xml:space="preserve"> </v>
      </c>
      <c r="AS47">
        <f t="shared" si="4"/>
        <v>6</v>
      </c>
      <c r="AT47" t="str">
        <f>IF(COUNTIFS( $A:$A,A47,$B:$B,B47,$C:$C,C47,$D:$D,D47,$E:$E,E47,$F:$F,F47,$G:$G,G47,$H:$H,H47,$I:$I,I47,$J:$J,J47,$K:$K,K47,$L:$L,L47,$M:$M,M47,$T:$T,T47,$U:$U,U47,$W:$W,W47,$Z:$Z,Z47,$AA:$AA,AA47,$AB:$AB,AB47,$AC:$AC,AC47,$AD:$AD,AD47,$AE:$AE,AE47,$AF:$AF,AF47,$AG:$AG,AG47,$AH:$AH,AH47,$AI:$AI,AI47)&gt;1,"Duplicate","Unique")</f>
        <v>Unique</v>
      </c>
    </row>
    <row r="48" spans="1:46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  <c r="W48" t="s">
        <v>331</v>
      </c>
      <c r="Z48" t="s">
        <v>333</v>
      </c>
      <c r="AA48" t="str">
        <v>Ananya Rao</v>
      </c>
      <c r="AB48" t="str">
        <f>TRIM(PROPER(F:F))</f>
        <v>Small Business</v>
      </c>
      <c r="AC48" t="str">
        <f>TRIM(PROPER(G:G))</f>
        <v>South</v>
      </c>
      <c r="AD48" t="str">
        <f>TRIM(PROPER(H:H))</f>
        <v>Kerala</v>
      </c>
      <c r="AE48" t="str">
        <f>TRIM(PROPER(I:I))</f>
        <v>Kochi</v>
      </c>
      <c r="AF48" t="str">
        <f>TRIM(PROPER(J:J))</f>
        <v>Furniture</v>
      </c>
      <c r="AG48" t="str">
        <f>TRIM(PROPER(K:K))</f>
        <v>Bookcases</v>
      </c>
      <c r="AH48" t="str">
        <f>TRIM(PROPER(L:L))</f>
        <v>Elite Bookcases 671</v>
      </c>
      <c r="AI48" t="str">
        <f>TRIM(PROPER(M:M))</f>
        <v>Standard Class</v>
      </c>
      <c r="AJ48" s="5">
        <f>IF(OR(P48&lt;0,P48&gt;0.5),"invalid",P48)</f>
        <v>0.25</v>
      </c>
      <c r="AK48" s="6">
        <f>IFERROR(N48*O48*(1-AJ48), "NA")</f>
        <v>16110.8325</v>
      </c>
      <c r="AL48" s="6">
        <f>IFERROR(AK48-R48,"NA")</f>
        <v>5430.8024999999998</v>
      </c>
      <c r="AM48" s="5">
        <f t="shared" si="0"/>
        <v>0.33709012243780695</v>
      </c>
      <c r="AN48" t="str">
        <v>19-07-24</v>
      </c>
      <c r="AO48" t="str">
        <v>19-07-24</v>
      </c>
      <c r="AP48" t="str">
        <f t="shared" si="1"/>
        <v>July</v>
      </c>
      <c r="AQ48" t="str">
        <f t="shared" si="2"/>
        <v>2024</v>
      </c>
      <c r="AR48" t="str">
        <f t="shared" si="3"/>
        <v xml:space="preserve"> </v>
      </c>
      <c r="AS48">
        <f t="shared" si="4"/>
        <v>0</v>
      </c>
      <c r="AT48" t="str">
        <f>IF(COUNTIFS( $A:$A,A48,$B:$B,B48,$C:$C,C48,$D:$D,D48,$E:$E,E48,$F:$F,F48,$G:$G,G48,$H:$H,H48,$I:$I,I48,$J:$J,J48,$K:$K,K48,$L:$L,L48,$M:$M,M48,$T:$T,T48,$U:$U,U48,$W:$W,W48,$Z:$Z,Z48,$AA:$AA,AA48,$AB:$AB,AB48,$AC:$AC,AC48,$AD:$AD,AD48,$AE:$AE,AE48,$AF:$AF,AF48,$AG:$AG,AG48,$AH:$AH,AH48,$AI:$AI,AI48)&gt;1,"Duplicate","Unique")</f>
        <v>Unique</v>
      </c>
    </row>
    <row r="49" spans="1:46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  <c r="W49" t="s">
        <v>335</v>
      </c>
      <c r="Z49" t="s">
        <v>338</v>
      </c>
      <c r="AA49" t="str">
        <v>Rahul Verma</v>
      </c>
      <c r="AB49" t="str">
        <f>TRIM(PROPER(F:F))</f>
        <v>Corporate</v>
      </c>
      <c r="AC49" t="str">
        <f>TRIM(PROPER(G:G))</f>
        <v>South</v>
      </c>
      <c r="AD49" t="str">
        <f>TRIM(PROPER(H:H))</f>
        <v>Tamil Nadu</v>
      </c>
      <c r="AE49" t="str">
        <f>TRIM(PROPER(I:I))</f>
        <v>Chennai</v>
      </c>
      <c r="AF49" t="str">
        <f>TRIM(PROPER(J:J))</f>
        <v>Office Supplies</v>
      </c>
      <c r="AG49" t="str">
        <f>TRIM(PROPER(K:K))</f>
        <v>Storage</v>
      </c>
      <c r="AH49" t="str">
        <f>TRIM(PROPER(L:L))</f>
        <v>Max Storage 432</v>
      </c>
      <c r="AI49" t="str">
        <f>TRIM(PROPER(M:M))</f>
        <v>Standard Class</v>
      </c>
      <c r="AJ49" s="5">
        <f>IF(OR(P49&lt;0,P49&gt;0.5),"invalid",P49)</f>
        <v>0.1</v>
      </c>
      <c r="AK49" s="6">
        <f>IFERROR(N49*O49*(1-AJ49), "NA")</f>
        <v>17606.232</v>
      </c>
      <c r="AL49" s="6">
        <f>IFERROR(AK49-R49,"NA")</f>
        <v>5167.2720000000008</v>
      </c>
      <c r="AM49" s="5">
        <f t="shared" si="0"/>
        <v>0.29349107747756592</v>
      </c>
      <c r="AN49" t="str">
        <v>12-08-24</v>
      </c>
      <c r="AO49" t="str">
        <v>12-08-24</v>
      </c>
      <c r="AP49" t="str">
        <f t="shared" si="1"/>
        <v>August</v>
      </c>
      <c r="AQ49" t="str">
        <f t="shared" si="2"/>
        <v>2024</v>
      </c>
      <c r="AR49" t="str">
        <f t="shared" si="3"/>
        <v xml:space="preserve"> </v>
      </c>
      <c r="AS49">
        <f t="shared" si="4"/>
        <v>0</v>
      </c>
      <c r="AT49" t="str">
        <f>IF(COUNTIFS( $A:$A,A49,$B:$B,B49,$C:$C,C49,$D:$D,D49,$E:$E,E49,$F:$F,F49,$G:$G,G49,$H:$H,H49,$I:$I,I49,$J:$J,J49,$K:$K,K49,$L:$L,L49,$M:$M,M49,$T:$T,T49,$U:$U,U49,$W:$W,W49,$Z:$Z,Z49,$AA:$AA,AA49,$AB:$AB,AB49,$AC:$AC,AC49,$AD:$AD,AD49,$AE:$AE,AE49,$AF:$AF,AF49,$AG:$AG,AG49,$AH:$AH,AH49,$AI:$AI,AI49)&gt;1,"Duplicate","Unique")</f>
        <v>Unique</v>
      </c>
    </row>
    <row r="50" spans="1:46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  <c r="W50" t="s">
        <v>342</v>
      </c>
      <c r="Z50" t="s">
        <v>345</v>
      </c>
      <c r="AA50" t="str">
        <v>Neha Gupta</v>
      </c>
      <c r="AB50" t="str">
        <f>TRIM(PROPER(F:F))</f>
        <v>Corporate</v>
      </c>
      <c r="AC50" t="str">
        <f>TRIM(PROPER(G:G))</f>
        <v>West</v>
      </c>
      <c r="AD50" t="str">
        <f>TRIM(PROPER(H:H))</f>
        <v>Maharashtra</v>
      </c>
      <c r="AE50" t="str">
        <f>TRIM(PROPER(I:I))</f>
        <v>Mumbai</v>
      </c>
      <c r="AF50" t="str">
        <f>TRIM(PROPER(J:J))</f>
        <v>Furniture</v>
      </c>
      <c r="AG50" t="str">
        <f>TRIM(PROPER(K:K))</f>
        <v>Chairs</v>
      </c>
      <c r="AH50" t="str">
        <f>TRIM(PROPER(L:L))</f>
        <v>Basic Chairs 837</v>
      </c>
      <c r="AI50" t="str">
        <f>TRIM(PROPER(M:M))</f>
        <v>Second Class</v>
      </c>
      <c r="AJ50" s="5">
        <f>IF(OR(P50&lt;0,P50&gt;0.5),"invalid",P50)</f>
        <v>0</v>
      </c>
      <c r="AK50" s="6">
        <f>IFERROR(N50*O50*(1-AJ50), "NA")</f>
        <v>28445.62</v>
      </c>
      <c r="AL50" s="6">
        <f>IFERROR(AK50-R50,"NA")</f>
        <v>7507.0299999999988</v>
      </c>
      <c r="AM50" s="5">
        <f t="shared" si="0"/>
        <v>0.26390811660986818</v>
      </c>
      <c r="AN50" t="str">
        <v>30-01-25</v>
      </c>
      <c r="AO50" t="str">
        <v>05-02-25</v>
      </c>
      <c r="AP50" t="str">
        <f t="shared" si="1"/>
        <v>January</v>
      </c>
      <c r="AQ50" t="str">
        <f t="shared" si="2"/>
        <v>2025</v>
      </c>
      <c r="AR50" t="str">
        <f t="shared" si="3"/>
        <v>anomaly</v>
      </c>
      <c r="AS50">
        <f t="shared" si="4"/>
        <v>6</v>
      </c>
      <c r="AT50" t="str">
        <f>IF(COUNTIFS( $A:$A,A50,$B:$B,B50,$C:$C,C50,$D:$D,D50,$E:$E,E50,$F:$F,F50,$G:$G,G50,$H:$H,H50,$I:$I,I50,$J:$J,J50,$K:$K,K50,$L:$L,L50,$M:$M,M50,$T:$T,T50,$U:$U,U50,$W:$W,W50,$Z:$Z,Z50,$AA:$AA,AA50,$AB:$AB,AB50,$AC:$AC,AC50,$AD:$AD,AD50,$AE:$AE,AE50,$AF:$AF,AF50,$AG:$AG,AG50,$AH:$AH,AH50,$AI:$AI,AI50)&gt;1,"Duplicate","Unique")</f>
        <v>Unique</v>
      </c>
    </row>
    <row r="51" spans="1:46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  <c r="W51" t="s">
        <v>347</v>
      </c>
      <c r="Z51" t="s">
        <v>350</v>
      </c>
      <c r="AA51" t="str">
        <v>Aarav Sharma</v>
      </c>
      <c r="AB51" t="str">
        <f>TRIM(PROPER(F:F))</f>
        <v>Home Office</v>
      </c>
      <c r="AC51" t="str">
        <f>TRIM(PROPER(G:G))</f>
        <v>North</v>
      </c>
      <c r="AD51" t="str">
        <f>TRIM(PROPER(H:H))</f>
        <v>Uttar Pradesh</v>
      </c>
      <c r="AE51" t="str">
        <f>TRIM(PROPER(I:I))</f>
        <v>Noida</v>
      </c>
      <c r="AF51" t="str">
        <f>TRIM(PROPER(J:J))</f>
        <v>Technology</v>
      </c>
      <c r="AG51" t="str">
        <f>TRIM(PROPER(K:K))</f>
        <v>Copiers</v>
      </c>
      <c r="AH51" t="str">
        <f>TRIM(PROPER(L:L))</f>
        <v>Classic Copiers 295</v>
      </c>
      <c r="AI51" t="str">
        <f>TRIM(PROPER(M:M))</f>
        <v>Second Class</v>
      </c>
      <c r="AJ51" s="5">
        <f>IF(OR(P51&lt;0,P51&gt;0.5),"invalid",P51)</f>
        <v>0.05</v>
      </c>
      <c r="AK51" s="6">
        <f>IFERROR(N51*O51*(1-AJ51), "NA")</f>
        <v>6772.5404999999992</v>
      </c>
      <c r="AL51" s="6">
        <f>IFERROR(AK51-R51,"NA")</f>
        <v>1017.0804999999991</v>
      </c>
      <c r="AM51" s="5">
        <f t="shared" si="0"/>
        <v>0.15017710119267641</v>
      </c>
      <c r="AN51" t="str">
        <v>06-04-24</v>
      </c>
      <c r="AO51" t="str">
        <v>13-04-24</v>
      </c>
      <c r="AP51" t="str">
        <f t="shared" si="1"/>
        <v>April</v>
      </c>
      <c r="AQ51" t="str">
        <f t="shared" si="2"/>
        <v>2024</v>
      </c>
      <c r="AR51" t="str">
        <f t="shared" si="3"/>
        <v xml:space="preserve"> </v>
      </c>
      <c r="AS51">
        <f t="shared" si="4"/>
        <v>7</v>
      </c>
      <c r="AT51" t="str">
        <f>IF(COUNTIFS( $A:$A,A51,$B:$B,B51,$C:$C,C51,$D:$D,D51,$E:$E,E51,$F:$F,F51,$G:$G,G51,$H:$H,H51,$I:$I,I51,$J:$J,J51,$K:$K,K51,$L:$L,L51,$M:$M,M51,$T:$T,T51,$U:$U,U51,$W:$W,W51,$Z:$Z,Z51,$AA:$AA,AA51,$AB:$AB,AB51,$AC:$AC,AC51,$AD:$AD,AD51,$AE:$AE,AE51,$AF:$AF,AF51,$AG:$AG,AG51,$AH:$AH,AH51,$AI:$AI,AI51)&gt;1,"Duplicate","Unique")</f>
        <v>Unique</v>
      </c>
    </row>
    <row r="52" spans="1:46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  <c r="W52" t="s">
        <v>352</v>
      </c>
      <c r="Z52" t="s">
        <v>355</v>
      </c>
      <c r="AA52" t="str">
        <v>Sneha Kapoor</v>
      </c>
      <c r="AB52" t="str">
        <f>TRIM(PROPER(F:F))</f>
        <v>Consumer</v>
      </c>
      <c r="AC52" t="str">
        <f>TRIM(PROPER(G:G))</f>
        <v>East</v>
      </c>
      <c r="AD52" t="str">
        <f>TRIM(PROPER(H:H))</f>
        <v>West Bengal</v>
      </c>
      <c r="AE52" t="str">
        <f>TRIM(PROPER(I:I))</f>
        <v>Kolkata</v>
      </c>
      <c r="AF52" t="str">
        <f>TRIM(PROPER(J:J))</f>
        <v>Technology</v>
      </c>
      <c r="AG52" t="str">
        <f>TRIM(PROPER(K:K))</f>
        <v>Copiers</v>
      </c>
      <c r="AH52" t="str">
        <f>TRIM(PROPER(L:L))</f>
        <v>Pro Copiers 963</v>
      </c>
      <c r="AI52" t="str">
        <f>TRIM(PROPER(M:M))</f>
        <v>Standard Class</v>
      </c>
      <c r="AJ52" s="5">
        <f>IF(OR(P52&lt;0,P52&gt;0.5),"invalid",P52)</f>
        <v>0.15</v>
      </c>
      <c r="AK52" s="6">
        <f>IFERROR(N52*O52*(1-AJ52), "NA")</f>
        <v>2025.38</v>
      </c>
      <c r="AL52" s="6">
        <f>IFERROR(AK52-R52,"NA")</f>
        <v>884.73</v>
      </c>
      <c r="AM52" s="5">
        <f t="shared" si="0"/>
        <v>0.43682173221815163</v>
      </c>
      <c r="AN52" t="str">
        <v>05-11-25</v>
      </c>
      <c r="AO52" t="str">
        <v>19-05-25</v>
      </c>
      <c r="AP52" t="str">
        <f t="shared" si="1"/>
        <v>November</v>
      </c>
      <c r="AQ52" t="str">
        <f t="shared" si="2"/>
        <v>2025</v>
      </c>
      <c r="AR52" t="str">
        <f t="shared" si="3"/>
        <v xml:space="preserve"> </v>
      </c>
      <c r="AS52">
        <f t="shared" si="4"/>
        <v>-170</v>
      </c>
      <c r="AT52" t="str">
        <f>IF(COUNTIFS( $A:$A,A52,$B:$B,B52,$C:$C,C52,$D:$D,D52,$E:$E,E52,$F:$F,F52,$G:$G,G52,$H:$H,H52,$I:$I,I52,$J:$J,J52,$K:$K,K52,$L:$L,L52,$M:$M,M52,$T:$T,T52,$U:$U,U52,$W:$W,W52,$Z:$Z,Z52,$AA:$AA,AA52,$AB:$AB,AB52,$AC:$AC,AC52,$AD:$AD,AD52,$AE:$AE,AE52,$AF:$AF,AF52,$AG:$AG,AG52,$AH:$AH,AH52,$AI:$AI,AI52)&gt;1,"Duplicate","Unique")</f>
        <v>Unique</v>
      </c>
    </row>
    <row r="53" spans="1:46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  <c r="W53" t="s">
        <v>357</v>
      </c>
      <c r="Z53" t="s">
        <v>360</v>
      </c>
      <c r="AA53" t="str">
        <v>Ananya Rao</v>
      </c>
      <c r="AB53" t="str">
        <f>TRIM(PROPER(F:F))</f>
        <v>Corporate</v>
      </c>
      <c r="AC53" t="str">
        <f>TRIM(PROPER(G:G))</f>
        <v>South</v>
      </c>
      <c r="AD53" t="str">
        <f>TRIM(PROPER(H:H))</f>
        <v>Telangana</v>
      </c>
      <c r="AE53" t="str">
        <f>TRIM(PROPER(I:I))</f>
        <v>Hyderabad</v>
      </c>
      <c r="AF53" t="str">
        <f>TRIM(PROPER(J:J))</f>
        <v>Office Supplies</v>
      </c>
      <c r="AG53" t="str">
        <f>TRIM(PROPER(K:K))</f>
        <v>Art</v>
      </c>
      <c r="AH53" t="str">
        <f>TRIM(PROPER(L:L))</f>
        <v>Pro Art 907</v>
      </c>
      <c r="AI53" t="str">
        <f>TRIM(PROPER(M:M))</f>
        <v>Standard Class</v>
      </c>
      <c r="AJ53" s="5">
        <f>IF(OR(P53&lt;0,P53&gt;0.5),"invalid",P53)</f>
        <v>0</v>
      </c>
      <c r="AK53" s="6">
        <f>IFERROR(N53*O53*(1-AJ53), "NA")</f>
        <v>9168.48</v>
      </c>
      <c r="AL53" s="6">
        <f>IFERROR(AK53-R53,"NA")</f>
        <v>1728.7099999999991</v>
      </c>
      <c r="AM53" s="5">
        <f t="shared" si="0"/>
        <v>0.18854924698532355</v>
      </c>
      <c r="AN53" t="str">
        <v>24-04-24</v>
      </c>
      <c r="AO53" t="str">
        <v>29-04-24</v>
      </c>
      <c r="AP53" t="str">
        <f t="shared" si="1"/>
        <v>April</v>
      </c>
      <c r="AQ53" t="str">
        <f t="shared" si="2"/>
        <v>2024</v>
      </c>
      <c r="AR53" t="str">
        <f t="shared" si="3"/>
        <v xml:space="preserve"> </v>
      </c>
      <c r="AS53">
        <f t="shared" si="4"/>
        <v>5</v>
      </c>
      <c r="AT53" t="str">
        <f>IF(COUNTIFS( $A:$A,A53,$B:$B,B53,$C:$C,C53,$D:$D,D53,$E:$E,E53,$F:$F,F53,$G:$G,G53,$H:$H,H53,$I:$I,I53,$J:$J,J53,$K:$K,K53,$L:$L,L53,$M:$M,M53,$T:$T,T53,$U:$U,U53,$W:$W,W53,$Z:$Z,Z53,$AA:$AA,AA53,$AB:$AB,AB53,$AC:$AC,AC53,$AD:$AD,AD53,$AE:$AE,AE53,$AF:$AF,AF53,$AG:$AG,AG53,$AH:$AH,AH53,$AI:$AI,AI53)&gt;1,"Duplicate","Unique")</f>
        <v>Unique</v>
      </c>
    </row>
    <row r="54" spans="1:46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  <c r="W54" t="s">
        <v>362</v>
      </c>
      <c r="Z54" t="s">
        <v>365</v>
      </c>
      <c r="AA54" t="str">
        <v>Kabir Singh</v>
      </c>
      <c r="AB54" t="str">
        <f>TRIM(PROPER(F:F))</f>
        <v>Small Business</v>
      </c>
      <c r="AC54" t="str">
        <f>TRIM(PROPER(G:G))</f>
        <v>North</v>
      </c>
      <c r="AD54" t="str">
        <f>TRIM(PROPER(H:H))</f>
        <v>Rajasthan</v>
      </c>
      <c r="AE54" t="str">
        <f>TRIM(PROPER(I:I))</f>
        <v>Jaipur</v>
      </c>
      <c r="AF54" t="str">
        <f>TRIM(PROPER(J:J))</f>
        <v>Furniture</v>
      </c>
      <c r="AG54" t="str">
        <f>TRIM(PROPER(K:K))</f>
        <v>Chairs</v>
      </c>
      <c r="AH54" t="str">
        <f>TRIM(PROPER(L:L))</f>
        <v>Pro Chairs 526</v>
      </c>
      <c r="AI54" t="str">
        <f>TRIM(PROPER(M:M))</f>
        <v>First Class</v>
      </c>
      <c r="AJ54" s="5">
        <f>IF(OR(P54&lt;0,P54&gt;0.5),"invalid",P54)</f>
        <v>0</v>
      </c>
      <c r="AK54" s="6">
        <f>IFERROR(N54*O54*(1-AJ54), "NA")</f>
        <v>12596.670000000002</v>
      </c>
      <c r="AL54" s="6">
        <f>IFERROR(AK54-R54,"NA")</f>
        <v>1993.380000000001</v>
      </c>
      <c r="AM54" s="5">
        <f t="shared" si="0"/>
        <v>0.15824658421630483</v>
      </c>
      <c r="AN54" t="str">
        <v>26-10-24</v>
      </c>
      <c r="AO54" t="str">
        <v>28-10-24</v>
      </c>
      <c r="AP54" t="str">
        <f t="shared" si="1"/>
        <v>October</v>
      </c>
      <c r="AQ54" t="str">
        <f t="shared" si="2"/>
        <v>2024</v>
      </c>
      <c r="AR54" t="str">
        <f t="shared" si="3"/>
        <v xml:space="preserve"> </v>
      </c>
      <c r="AS54">
        <f t="shared" si="4"/>
        <v>2</v>
      </c>
      <c r="AT54" t="str">
        <f>IF(COUNTIFS( $A:$A,A54,$B:$B,B54,$C:$C,C54,$D:$D,D54,$E:$E,E54,$F:$F,F54,$G:$G,G54,$H:$H,H54,$I:$I,I54,$J:$J,J54,$K:$K,K54,$L:$L,L54,$M:$M,M54,$T:$T,T54,$U:$U,U54,$W:$W,W54,$Z:$Z,Z54,$AA:$AA,AA54,$AB:$AB,AB54,$AC:$AC,AC54,$AD:$AD,AD54,$AE:$AE,AE54,$AF:$AF,AF54,$AG:$AG,AG54,$AH:$AH,AH54,$AI:$AI,AI54)&gt;1,"Duplicate","Unique")</f>
        <v>Unique</v>
      </c>
    </row>
    <row r="55" spans="1:46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  <c r="W55" t="s">
        <v>368</v>
      </c>
      <c r="Z55" t="s">
        <v>371</v>
      </c>
      <c r="AA55" t="str">
        <v>Kabir Singh</v>
      </c>
      <c r="AB55" t="str">
        <f>TRIM(PROPER(F:F))</f>
        <v>Home Office</v>
      </c>
      <c r="AC55" t="str">
        <f>TRIM(PROPER(G:G))</f>
        <v>West</v>
      </c>
      <c r="AD55" t="str">
        <f>TRIM(PROPER(H:H))</f>
        <v>Gujarat</v>
      </c>
      <c r="AE55" t="str">
        <f>TRIM(PROPER(I:I))</f>
        <v>Ahmedabad</v>
      </c>
      <c r="AF55" t="str">
        <f>TRIM(PROPER(J:J))</f>
        <v>Office Supplies</v>
      </c>
      <c r="AG55" t="str">
        <f>TRIM(PROPER(K:K))</f>
        <v>Storage</v>
      </c>
      <c r="AH55" t="str">
        <f>TRIM(PROPER(L:L))</f>
        <v>Elite Storage 924</v>
      </c>
      <c r="AI55" t="str">
        <f>TRIM(PROPER(M:M))</f>
        <v>First Class</v>
      </c>
      <c r="AJ55" s="5">
        <f>IF(OR(P55&lt;0,P55&gt;0.5),"invalid",P55)</f>
        <v>0.15</v>
      </c>
      <c r="AK55" s="6">
        <f>IFERROR(N55*O55*(1-AJ55), "NA")</f>
        <v>5131.7475000000004</v>
      </c>
      <c r="AL55" s="6">
        <f>IFERROR(AK55-R55,"NA")</f>
        <v>2293.0675000000006</v>
      </c>
      <c r="AM55" s="5">
        <f t="shared" si="0"/>
        <v>0.44683950252813498</v>
      </c>
      <c r="AN55" t="str">
        <v>31-03-25</v>
      </c>
      <c r="AO55" t="str">
        <v>31-03-25</v>
      </c>
      <c r="AP55" t="str">
        <f t="shared" si="1"/>
        <v>March</v>
      </c>
      <c r="AQ55" t="str">
        <f t="shared" si="2"/>
        <v>2025</v>
      </c>
      <c r="AR55" t="str">
        <f t="shared" si="3"/>
        <v xml:space="preserve"> </v>
      </c>
      <c r="AS55">
        <f t="shared" si="4"/>
        <v>0</v>
      </c>
      <c r="AT55" t="str">
        <f>IF(COUNTIFS( $A:$A,A55,$B:$B,B55,$C:$C,C55,$D:$D,D55,$E:$E,E55,$F:$F,F55,$G:$G,G55,$H:$H,H55,$I:$I,I55,$J:$J,J55,$K:$K,K55,$L:$L,L55,$M:$M,M55,$T:$T,T55,$U:$U,U55,$W:$W,W55,$Z:$Z,Z55,$AA:$AA,AA55,$AB:$AB,AB55,$AC:$AC,AC55,$AD:$AD,AD55,$AE:$AE,AE55,$AF:$AF,AF55,$AG:$AG,AG55,$AH:$AH,AH55,$AI:$AI,AI55)&gt;1,"Duplicate","Unique")</f>
        <v>Unique</v>
      </c>
    </row>
    <row r="56" spans="1:46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  <c r="W56" t="s">
        <v>373</v>
      </c>
      <c r="Z56" t="s">
        <v>376</v>
      </c>
      <c r="AA56" t="str">
        <v>Arjun Bose</v>
      </c>
      <c r="AB56" t="str">
        <f>TRIM(PROPER(F:F))</f>
        <v>Corporate</v>
      </c>
      <c r="AC56" t="str">
        <f>TRIM(PROPER(G:G))</f>
        <v>South</v>
      </c>
      <c r="AD56" t="str">
        <f>TRIM(PROPER(H:H))</f>
        <v>Tamil Nadu</v>
      </c>
      <c r="AE56" t="str">
        <f>TRIM(PROPER(I:I))</f>
        <v>Chennai</v>
      </c>
      <c r="AF56" t="str">
        <f>TRIM(PROPER(J:J))</f>
        <v>Office Supplies</v>
      </c>
      <c r="AG56" t="str">
        <f>TRIM(PROPER(K:K))</f>
        <v>Labels</v>
      </c>
      <c r="AH56" t="str">
        <f>TRIM(PROPER(L:L))</f>
        <v>Pro Labels 957</v>
      </c>
      <c r="AI56" t="str">
        <f>TRIM(PROPER(M:M))</f>
        <v>Same Day</v>
      </c>
      <c r="AJ56" s="5">
        <f>IF(OR(P56&lt;0,P56&gt;0.5),"invalid",P56)</f>
        <v>0.1</v>
      </c>
      <c r="AK56" s="6">
        <f>IFERROR(N56*O56*(1-AJ56), "NA")</f>
        <v>3415.4639999999999</v>
      </c>
      <c r="AL56" s="6">
        <f>IFERROR(AK56-R56,"NA")</f>
        <v>1422.2339999999999</v>
      </c>
      <c r="AM56" s="5">
        <f t="shared" si="0"/>
        <v>0.4164101861416194</v>
      </c>
      <c r="AN56" t="str">
        <v>30-05-25</v>
      </c>
      <c r="AO56" t="str">
        <v>02-06-25</v>
      </c>
      <c r="AP56" t="str">
        <f t="shared" si="1"/>
        <v>May</v>
      </c>
      <c r="AQ56" t="str">
        <f t="shared" si="2"/>
        <v>2025</v>
      </c>
      <c r="AR56" t="str">
        <f t="shared" si="3"/>
        <v>anomaly</v>
      </c>
      <c r="AS56">
        <f t="shared" si="4"/>
        <v>3</v>
      </c>
      <c r="AT56" t="str">
        <f>IF(COUNTIFS( $A:$A,A56,$B:$B,B56,$C:$C,C56,$D:$D,D56,$E:$E,E56,$F:$F,F56,$G:$G,G56,$H:$H,H56,$I:$I,I56,$J:$J,J56,$K:$K,K56,$L:$L,L56,$M:$M,M56,$T:$T,T56,$U:$U,U56,$W:$W,W56,$Z:$Z,Z56,$AA:$AA,AA56,$AB:$AB,AB56,$AC:$AC,AC56,$AD:$AD,AD56,$AE:$AE,AE56,$AF:$AF,AF56,$AG:$AG,AG56,$AH:$AH,AH56,$AI:$AI,AI56)&gt;1,"Duplicate","Unique")</f>
        <v>Unique</v>
      </c>
    </row>
    <row r="57" spans="1:46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  <c r="W57" t="s">
        <v>378</v>
      </c>
      <c r="Z57" t="s">
        <v>381</v>
      </c>
      <c r="AA57" t="str">
        <v>Mira Das</v>
      </c>
      <c r="AB57" t="str">
        <f>TRIM(PROPER(F:F))</f>
        <v>Small Business</v>
      </c>
      <c r="AC57" t="str">
        <f>TRIM(PROPER(G:G))</f>
        <v>South</v>
      </c>
      <c r="AD57" t="str">
        <f>TRIM(PROPER(H:H))</f>
        <v>Andhra Pradesh</v>
      </c>
      <c r="AE57" t="str">
        <f>TRIM(PROPER(I:I))</f>
        <v>Vijayawada</v>
      </c>
      <c r="AF57" t="str">
        <f>TRIM(PROPER(J:J))</f>
        <v>Technology</v>
      </c>
      <c r="AG57" t="str">
        <f>TRIM(PROPER(K:K))</f>
        <v>Machines</v>
      </c>
      <c r="AH57" t="str">
        <f>TRIM(PROPER(L:L))</f>
        <v>Classic Machines 310</v>
      </c>
      <c r="AI57" t="str">
        <f>TRIM(PROPER(M:M))</f>
        <v>Same Day</v>
      </c>
      <c r="AJ57" s="5">
        <f>IF(OR(P57&lt;0,P57&gt;0.5),"invalid",P57)</f>
        <v>0.25</v>
      </c>
      <c r="AK57" s="6">
        <f>IFERROR(N57*O57*(1-AJ57), "NA")</f>
        <v>3411.54</v>
      </c>
      <c r="AL57" s="6">
        <f>IFERROR(AK57-R57,"NA")</f>
        <v>608.40999999999985</v>
      </c>
      <c r="AM57" s="5">
        <f t="shared" si="0"/>
        <v>0.17833881472883209</v>
      </c>
      <c r="AN57" t="str">
        <v>01-07-25</v>
      </c>
      <c r="AO57" t="str">
        <v>03-07-25</v>
      </c>
      <c r="AP57" t="str">
        <f t="shared" si="1"/>
        <v>July</v>
      </c>
      <c r="AQ57" t="str">
        <f t="shared" si="2"/>
        <v>2025</v>
      </c>
      <c r="AR57" t="str">
        <f t="shared" si="3"/>
        <v xml:space="preserve"> </v>
      </c>
      <c r="AS57">
        <f t="shared" si="4"/>
        <v>2</v>
      </c>
      <c r="AT57" t="str">
        <f>IF(COUNTIFS( $A:$A,A57,$B:$B,B57,$C:$C,C57,$D:$D,D57,$E:$E,E57,$F:$F,F57,$G:$G,G57,$H:$H,H57,$I:$I,I57,$J:$J,J57,$K:$K,K57,$L:$L,L57,$M:$M,M57,$T:$T,T57,$U:$U,U57,$W:$W,W57,$Z:$Z,Z57,$AA:$AA,AA57,$AB:$AB,AB57,$AC:$AC,AC57,$AD:$AD,AD57,$AE:$AE,AE57,$AF:$AF,AF57,$AG:$AG,AG57,$AH:$AH,AH57,$AI:$AI,AI57)&gt;1,"Duplicate","Unique")</f>
        <v>Unique</v>
      </c>
    </row>
    <row r="58" spans="1:46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  <c r="W58" t="s">
        <v>384</v>
      </c>
      <c r="Z58" t="s">
        <v>387</v>
      </c>
      <c r="AA58" t="str">
        <v>Karan Malhotra</v>
      </c>
      <c r="AB58" t="str">
        <f>TRIM(PROPER(F:F))</f>
        <v>Consumer</v>
      </c>
      <c r="AC58" t="str">
        <f>TRIM(PROPER(G:G))</f>
        <v>South</v>
      </c>
      <c r="AD58" t="str">
        <f>TRIM(PROPER(H:H))</f>
        <v>Karnataka</v>
      </c>
      <c r="AE58" t="str">
        <f>TRIM(PROPER(I:I))</f>
        <v>Bengaluru</v>
      </c>
      <c r="AF58" t="str">
        <f>TRIM(PROPER(J:J))</f>
        <v>Office Supplies</v>
      </c>
      <c r="AG58" t="str">
        <f>TRIM(PROPER(K:K))</f>
        <v>Binders</v>
      </c>
      <c r="AH58" t="str">
        <f>TRIM(PROPER(L:L))</f>
        <v>Smart Binders 393</v>
      </c>
      <c r="AI58" t="str">
        <f>TRIM(PROPER(M:M))</f>
        <v>Second Class</v>
      </c>
      <c r="AJ58" s="5">
        <f>IF(OR(P58&lt;0,P58&gt;0.5),"invalid",P58)</f>
        <v>0</v>
      </c>
      <c r="AK58" s="6">
        <f>IFERROR(N58*O58*(1-AJ58), "NA")</f>
        <v>9466.83</v>
      </c>
      <c r="AL58" s="6">
        <f>IFERROR(AK58-R58,"NA")</f>
        <v>2909</v>
      </c>
      <c r="AM58" s="5">
        <f t="shared" si="0"/>
        <v>0.30728343067320318</v>
      </c>
      <c r="AN58" t="str">
        <v>05-01-25</v>
      </c>
      <c r="AO58" t="str">
        <v>06-01-25</v>
      </c>
      <c r="AP58" t="str">
        <f t="shared" si="1"/>
        <v>January</v>
      </c>
      <c r="AQ58" t="str">
        <f t="shared" si="2"/>
        <v>2025</v>
      </c>
      <c r="AR58" t="str">
        <f t="shared" si="3"/>
        <v xml:space="preserve"> </v>
      </c>
      <c r="AS58">
        <f t="shared" si="4"/>
        <v>1</v>
      </c>
      <c r="AT58" t="str">
        <f>IF(COUNTIFS( $A:$A,A58,$B:$B,B58,$C:$C,C58,$D:$D,D58,$E:$E,E58,$F:$F,F58,$G:$G,G58,$H:$H,H58,$I:$I,I58,$J:$J,J58,$K:$K,K58,$L:$L,L58,$M:$M,M58,$T:$T,T58,$U:$U,U58,$W:$W,W58,$Z:$Z,Z58,$AA:$AA,AA58,$AB:$AB,AB58,$AC:$AC,AC58,$AD:$AD,AD58,$AE:$AE,AE58,$AF:$AF,AF58,$AG:$AG,AG58,$AH:$AH,AH58,$AI:$AI,AI58)&gt;1,"Duplicate","Unique")</f>
        <v>Unique</v>
      </c>
    </row>
    <row r="59" spans="1:46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  <c r="W59" t="s">
        <v>389</v>
      </c>
      <c r="Z59" t="s">
        <v>392</v>
      </c>
      <c r="AA59" t="str">
        <v>Priya Menon</v>
      </c>
      <c r="AB59" t="str">
        <f>TRIM(PROPER(F:F))</f>
        <v>Consumer</v>
      </c>
      <c r="AC59" t="str">
        <f>TRIM(PROPER(G:G))</f>
        <v>West</v>
      </c>
      <c r="AD59" t="str">
        <f>TRIM(PROPER(H:H))</f>
        <v>Goa</v>
      </c>
      <c r="AE59" t="str">
        <f>TRIM(PROPER(I:I))</f>
        <v>Panaji</v>
      </c>
      <c r="AF59" t="str">
        <f>TRIM(PROPER(J:J))</f>
        <v>Furniture</v>
      </c>
      <c r="AG59" t="str">
        <f>TRIM(PROPER(K:K))</f>
        <v>Chairs</v>
      </c>
      <c r="AH59" t="str">
        <f>TRIM(PROPER(L:L))</f>
        <v>Max Chairs 813</v>
      </c>
      <c r="AI59" t="str">
        <f>TRIM(PROPER(M:M))</f>
        <v>Same Day</v>
      </c>
      <c r="AJ59" s="5">
        <f>IF(OR(P59&lt;0,P59&gt;0.5),"invalid",P59)</f>
        <v>0</v>
      </c>
      <c r="AK59" s="6">
        <f>IFERROR(N59*O59*(1-AJ59), "NA")</f>
        <v>1279.3499999999999</v>
      </c>
      <c r="AL59" s="6">
        <f>IFERROR(AK59-R59,"NA")</f>
        <v>187.80999999999995</v>
      </c>
      <c r="AM59" s="5">
        <f t="shared" si="0"/>
        <v>0.14680110993864068</v>
      </c>
      <c r="AN59" t="str">
        <v>07-02-24</v>
      </c>
      <c r="AO59" t="str">
        <v>15-02-24</v>
      </c>
      <c r="AP59" t="str">
        <f t="shared" si="1"/>
        <v>February</v>
      </c>
      <c r="AQ59" t="str">
        <f t="shared" si="2"/>
        <v>2024</v>
      </c>
      <c r="AR59" t="str">
        <f t="shared" si="3"/>
        <v xml:space="preserve"> </v>
      </c>
      <c r="AS59">
        <f t="shared" si="4"/>
        <v>8</v>
      </c>
      <c r="AT59" t="str">
        <f>IF(COUNTIFS( $A:$A,A59,$B:$B,B59,$C:$C,C59,$D:$D,D59,$E:$E,E59,$F:$F,F59,$G:$G,G59,$H:$H,H59,$I:$I,I59,$J:$J,J59,$K:$K,K59,$L:$L,L59,$M:$M,M59,$T:$T,T59,$U:$U,U59,$W:$W,W59,$Z:$Z,Z59,$AA:$AA,AA59,$AB:$AB,AB59,$AC:$AC,AC59,$AD:$AD,AD59,$AE:$AE,AE59,$AF:$AF,AF59,$AG:$AG,AG59,$AH:$AH,AH59,$AI:$AI,AI59)&gt;1,"Duplicate","Unique")</f>
        <v>Unique</v>
      </c>
    </row>
    <row r="60" spans="1:46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  <c r="W60" t="s">
        <v>394</v>
      </c>
      <c r="Z60" t="s">
        <v>397</v>
      </c>
      <c r="AA60" t="str">
        <v>Isha Nair</v>
      </c>
      <c r="AB60" t="str">
        <f>TRIM(PROPER(F:F))</f>
        <v>Home Office</v>
      </c>
      <c r="AC60" t="str">
        <f>TRIM(PROPER(G:G))</f>
        <v>North</v>
      </c>
      <c r="AD60" t="str">
        <f>TRIM(PROPER(H:H))</f>
        <v>Rajasthan</v>
      </c>
      <c r="AE60" t="str">
        <f>TRIM(PROPER(I:I))</f>
        <v>Jaipur</v>
      </c>
      <c r="AF60" t="str">
        <f>TRIM(PROPER(J:J))</f>
        <v>Office Supplies</v>
      </c>
      <c r="AG60" t="str">
        <f>TRIM(PROPER(K:K))</f>
        <v>Storage</v>
      </c>
      <c r="AH60" t="str">
        <f>TRIM(PROPER(L:L))</f>
        <v>Basic Storage 872</v>
      </c>
      <c r="AI60" t="s">
        <v>4095</v>
      </c>
      <c r="AJ60" s="5">
        <f>IF(OR(P60&lt;0,P60&gt;0.5),"invalid",P60)</f>
        <v>0.1</v>
      </c>
      <c r="AK60" s="6">
        <f>IFERROR(N60*O60*(1-AJ60), "NA")</f>
        <v>11254.788</v>
      </c>
      <c r="AL60" s="6">
        <f>IFERROR(AK60-R60,"NA")</f>
        <v>4676.7280000000001</v>
      </c>
      <c r="AM60" s="5">
        <f t="shared" si="0"/>
        <v>0.41553230500654476</v>
      </c>
      <c r="AN60" t="str">
        <v>01-09-24</v>
      </c>
      <c r="AO60" t="str">
        <v>07-09-24</v>
      </c>
      <c r="AP60" t="str">
        <f t="shared" si="1"/>
        <v>September</v>
      </c>
      <c r="AQ60" t="str">
        <f t="shared" si="2"/>
        <v>2024</v>
      </c>
      <c r="AR60" t="str">
        <f t="shared" si="3"/>
        <v xml:space="preserve"> </v>
      </c>
      <c r="AS60">
        <f t="shared" si="4"/>
        <v>6</v>
      </c>
      <c r="AT60" t="str">
        <f>IF(COUNTIFS( $A:$A,A60,$B:$B,B60,$C:$C,C60,$D:$D,D60,$E:$E,E60,$F:$F,F60,$G:$G,G60,$H:$H,H60,$I:$I,I60,$J:$J,J60,$K:$K,K60,$L:$L,L60,$M:$M,M60,$T:$T,T60,$U:$U,U60,$W:$W,W60,$Z:$Z,Z60,$AA:$AA,AA60,$AB:$AB,AB60,$AC:$AC,AC60,$AD:$AD,AD60,$AE:$AE,AE60,$AF:$AF,AF60,$AG:$AG,AG60,$AH:$AH,AH60,$AI:$AI,AI60)&gt;1,"Duplicate","Unique")</f>
        <v>Unique</v>
      </c>
    </row>
    <row r="61" spans="1:46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  <c r="W61" t="s">
        <v>399</v>
      </c>
      <c r="Z61" t="s">
        <v>402</v>
      </c>
      <c r="AA61" t="str">
        <v>Priya Menon</v>
      </c>
      <c r="AB61" t="str">
        <f>TRIM(PROPER(F:F))</f>
        <v>Corporate</v>
      </c>
      <c r="AC61" t="str">
        <f>TRIM(PROPER(G:G))</f>
        <v>East</v>
      </c>
      <c r="AD61" t="str">
        <f>TRIM(PROPER(H:H))</f>
        <v>Assam</v>
      </c>
      <c r="AE61" t="str">
        <f>TRIM(PROPER(I:I))</f>
        <v>Guwahati</v>
      </c>
      <c r="AF61" t="str">
        <f>TRIM(PROPER(J:J))</f>
        <v>Office Supplies</v>
      </c>
      <c r="AG61" t="str">
        <f>TRIM(PROPER(K:K))</f>
        <v>Labels</v>
      </c>
      <c r="AH61" t="str">
        <f>TRIM(PROPER(L:L))</f>
        <v>Smart Labels 655</v>
      </c>
      <c r="AI61" t="str">
        <f>TRIM(PROPER(M:M))</f>
        <v>Same Day</v>
      </c>
      <c r="AJ61" s="5">
        <f>IF(OR(P61&lt;0,P61&gt;0.5),"invalid",P61)</f>
        <v>0.2</v>
      </c>
      <c r="AK61" s="6">
        <f>IFERROR(N61*O61*(1-AJ61), "NA")</f>
        <v>16535.400000000001</v>
      </c>
      <c r="AL61" s="6">
        <f>IFERROR(AK61-R61,"NA")</f>
        <v>3545.1900000000023</v>
      </c>
      <c r="AM61" s="5">
        <f t="shared" si="0"/>
        <v>0.21440001451431487</v>
      </c>
      <c r="AN61" t="str">
        <v>20-07-24</v>
      </c>
      <c r="AO61" t="str">
        <v>25-07-24</v>
      </c>
      <c r="AP61" t="str">
        <f t="shared" si="1"/>
        <v>July</v>
      </c>
      <c r="AQ61" t="str">
        <f t="shared" si="2"/>
        <v>2024</v>
      </c>
      <c r="AR61" t="str">
        <f t="shared" si="3"/>
        <v xml:space="preserve"> </v>
      </c>
      <c r="AS61">
        <f t="shared" si="4"/>
        <v>5</v>
      </c>
      <c r="AT61" t="str">
        <f>IF(COUNTIFS( $A:$A,A61,$B:$B,B61,$C:$C,C61,$D:$D,D61,$E:$E,E61,$F:$F,F61,$G:$G,G61,$H:$H,H61,$I:$I,I61,$J:$J,J61,$K:$K,K61,$L:$L,L61,$M:$M,M61,$T:$T,T61,$U:$U,U61,$W:$W,W61,$Z:$Z,Z61,$AA:$AA,AA61,$AB:$AB,AB61,$AC:$AC,AC61,$AD:$AD,AD61,$AE:$AE,AE61,$AF:$AF,AF61,$AG:$AG,AG61,$AH:$AH,AH61,$AI:$AI,AI61)&gt;1,"Duplicate","Unique")</f>
        <v>Unique</v>
      </c>
    </row>
    <row r="62" spans="1:46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  <c r="W62" t="s">
        <v>404</v>
      </c>
      <c r="Z62" t="s">
        <v>407</v>
      </c>
      <c r="AA62" t="str">
        <v>Ananya Rao</v>
      </c>
      <c r="AB62" t="str">
        <f>TRIM(PROPER(F:F))</f>
        <v>Corporate</v>
      </c>
      <c r="AC62" t="str">
        <f>TRIM(PROPER(G:G))</f>
        <v>East</v>
      </c>
      <c r="AD62" t="str">
        <f>TRIM(PROPER(H:H))</f>
        <v>Assam</v>
      </c>
      <c r="AE62" t="str">
        <f>TRIM(PROPER(I:I))</f>
        <v>Guwahati</v>
      </c>
      <c r="AF62" t="str">
        <f>TRIM(PROPER(J:J))</f>
        <v>Office Supplies</v>
      </c>
      <c r="AG62" t="str">
        <f>TRIM(PROPER(K:K))</f>
        <v>Labels</v>
      </c>
      <c r="AH62" t="str">
        <f>TRIM(PROPER(L:L))</f>
        <v>Eco Labels 210</v>
      </c>
      <c r="AI62" t="str">
        <f>TRIM(PROPER(M:M))</f>
        <v>Same Day</v>
      </c>
      <c r="AJ62" s="5">
        <f>IF(OR(P62&lt;0,P62&gt;0.5),"invalid",P62)</f>
        <v>0.2</v>
      </c>
      <c r="AK62" s="6">
        <f>IFERROR(N62*O62*(1-AJ62), "NA")</f>
        <v>661.82400000000007</v>
      </c>
      <c r="AL62" s="6">
        <f>IFERROR(AK62-R62,"NA")</f>
        <v>180.35400000000004</v>
      </c>
      <c r="AM62" s="5">
        <f t="shared" si="0"/>
        <v>0.27251051639106472</v>
      </c>
      <c r="AN62" t="str">
        <v>invalid date</v>
      </c>
      <c r="AO62" t="str">
        <v>19-07-24</v>
      </c>
      <c r="AP62" t="str">
        <f t="shared" si="1"/>
        <v>invalid date</v>
      </c>
      <c r="AQ62" t="str">
        <f t="shared" si="2"/>
        <v>invalid date</v>
      </c>
      <c r="AR62" t="str">
        <f t="shared" si="3"/>
        <v>Invalid</v>
      </c>
      <c r="AS62" t="str">
        <f t="shared" si="4"/>
        <v>invalid date</v>
      </c>
      <c r="AT62" t="str">
        <f>IF(COUNTIFS( $A:$A,A62,$B:$B,B62,$C:$C,C62,$D:$D,D62,$E:$E,E62,$F:$F,F62,$G:$G,G62,$H:$H,H62,$I:$I,I62,$J:$J,J62,$K:$K,K62,$L:$L,L62,$M:$M,M62,$T:$T,T62,$U:$U,U62,$W:$W,W62,$Z:$Z,Z62,$AA:$AA,AA62,$AB:$AB,AB62,$AC:$AC,AC62,$AD:$AD,AD62,$AE:$AE,AE62,$AF:$AF,AF62,$AG:$AG,AG62,$AH:$AH,AH62,$AI:$AI,AI62)&gt;1,"Duplicate","Unique")</f>
        <v>Unique</v>
      </c>
    </row>
    <row r="63" spans="1:46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  <c r="W63" t="s">
        <v>409</v>
      </c>
      <c r="Z63" t="s">
        <v>412</v>
      </c>
      <c r="AA63" t="str">
        <v>Vikram Iyer</v>
      </c>
      <c r="AB63" t="str">
        <f>TRIM(PROPER(F:F))</f>
        <v>Home Office</v>
      </c>
      <c r="AC63" t="str">
        <f>TRIM(PROPER(G:G))</f>
        <v>East</v>
      </c>
      <c r="AD63" t="str">
        <f>TRIM(PROPER(H:H))</f>
        <v>Bihar</v>
      </c>
      <c r="AE63" t="str">
        <f>TRIM(PROPER(I:I))</f>
        <v>Patna</v>
      </c>
      <c r="AF63" t="str">
        <f>TRIM(PROPER(J:J))</f>
        <v>Furniture</v>
      </c>
      <c r="AG63" t="str">
        <f>TRIM(PROPER(K:K))</f>
        <v>Bookcases</v>
      </c>
      <c r="AH63" t="str">
        <f>TRIM(PROPER(L:L))</f>
        <v>Classic Bookcases 296</v>
      </c>
      <c r="AI63" t="str">
        <f>TRIM(PROPER(M:M))</f>
        <v>Standard Class</v>
      </c>
      <c r="AJ63" s="5">
        <f>IF(OR(P63&lt;0,P63&gt;0.5),"invalid",P63)</f>
        <v>0</v>
      </c>
      <c r="AK63" s="6">
        <f>IFERROR(N63*O63*(1-AJ63), "NA")</f>
        <v>949.59</v>
      </c>
      <c r="AL63" s="6">
        <f>IFERROR(AK63-R63,"NA")</f>
        <v>198.34000000000003</v>
      </c>
      <c r="AM63" s="5">
        <f t="shared" si="0"/>
        <v>0.20886909087079689</v>
      </c>
      <c r="AN63" t="str">
        <v>16-04-24</v>
      </c>
      <c r="AO63" t="str">
        <v>invalid date</v>
      </c>
      <c r="AP63" t="str">
        <f t="shared" si="1"/>
        <v>April</v>
      </c>
      <c r="AQ63" t="str">
        <f t="shared" si="2"/>
        <v>2024</v>
      </c>
      <c r="AR63" t="str">
        <f t="shared" si="3"/>
        <v>Invalid</v>
      </c>
      <c r="AS63" t="str">
        <f t="shared" si="4"/>
        <v>invalid date</v>
      </c>
      <c r="AT63" t="str">
        <f>IF(COUNTIFS( $A:$A,A63,$B:$B,B63,$C:$C,C63,$D:$D,D63,$E:$E,E63,$F:$F,F63,$G:$G,G63,$H:$H,H63,$I:$I,I63,$J:$J,J63,$K:$K,K63,$L:$L,L63,$M:$M,M63,$T:$T,T63,$U:$U,U63,$W:$W,W63,$Z:$Z,Z63,$AA:$AA,AA63,$AB:$AB,AB63,$AC:$AC,AC63,$AD:$AD,AD63,$AE:$AE,AE63,$AF:$AF,AF63,$AG:$AG,AG63,$AH:$AH,AH63,$AI:$AI,AI63)&gt;1,"Duplicate","Unique")</f>
        <v>Unique</v>
      </c>
    </row>
    <row r="64" spans="1:46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  <c r="W64" t="s">
        <v>414</v>
      </c>
      <c r="Z64" t="s">
        <v>417</v>
      </c>
      <c r="AA64" t="str">
        <v>Sneha Kapoor</v>
      </c>
      <c r="AB64" t="str">
        <f>TRIM(PROPER(F:F))</f>
        <v>Home Office</v>
      </c>
      <c r="AC64" t="str">
        <f>TRIM(PROPER(G:G))</f>
        <v>North</v>
      </c>
      <c r="AD64" t="str">
        <f>TRIM(PROPER(H:H))</f>
        <v>Rajasthan</v>
      </c>
      <c r="AE64" t="str">
        <f>TRIM(PROPER(I:I))</f>
        <v>Jaipur</v>
      </c>
      <c r="AF64" t="str">
        <f>TRIM(PROPER(J:J))</f>
        <v>Technology</v>
      </c>
      <c r="AG64" t="str">
        <f>TRIM(PROPER(K:K))</f>
        <v>Phones</v>
      </c>
      <c r="AH64" t="str">
        <f>TRIM(PROPER(L:L))</f>
        <v>Basic Phones 230</v>
      </c>
      <c r="AI64" t="str">
        <f>TRIM(PROPER(M:M))</f>
        <v>Standard Class</v>
      </c>
      <c r="AJ64" s="5">
        <f>IF(OR(P64&lt;0,P64&gt;0.5),"invalid",P64)</f>
        <v>0.2</v>
      </c>
      <c r="AK64" s="6">
        <f>IFERROR(N64*O64*(1-AJ64), "NA")</f>
        <v>21904.488000000001</v>
      </c>
      <c r="AL64" s="6">
        <f>IFERROR(AK64-R64,"NA")</f>
        <v>8333.9380000000019</v>
      </c>
      <c r="AM64" s="5">
        <f t="shared" si="0"/>
        <v>0.38046714445003244</v>
      </c>
      <c r="AN64" t="str">
        <v>30-10-24</v>
      </c>
      <c r="AO64" t="str">
        <v>02-11-24</v>
      </c>
      <c r="AP64" t="str">
        <f t="shared" si="1"/>
        <v>October</v>
      </c>
      <c r="AQ64" t="str">
        <f t="shared" si="2"/>
        <v>2024</v>
      </c>
      <c r="AR64" t="str">
        <f t="shared" si="3"/>
        <v>anomaly</v>
      </c>
      <c r="AS64">
        <f t="shared" si="4"/>
        <v>3</v>
      </c>
      <c r="AT64" t="str">
        <f>IF(COUNTIFS( $A:$A,A64,$B:$B,B64,$C:$C,C64,$D:$D,D64,$E:$E,E64,$F:$F,F64,$G:$G,G64,$H:$H,H64,$I:$I,I64,$J:$J,J64,$K:$K,K64,$L:$L,L64,$M:$M,M64,$T:$T,T64,$U:$U,U64,$W:$W,W64,$Z:$Z,Z64,$AA:$AA,AA64,$AB:$AB,AB64,$AC:$AC,AC64,$AD:$AD,AD64,$AE:$AE,AE64,$AF:$AF,AF64,$AG:$AG,AG64,$AH:$AH,AH64,$AI:$AI,AI64)&gt;1,"Duplicate","Unique")</f>
        <v>Unique</v>
      </c>
    </row>
    <row r="65" spans="1:46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  <c r="W65" t="s">
        <v>419</v>
      </c>
      <c r="Z65" t="s">
        <v>422</v>
      </c>
      <c r="AA65" t="str">
        <v>Sneha Kapoor</v>
      </c>
      <c r="AB65" t="str">
        <f>TRIM(PROPER(F:F))</f>
        <v>Home Office</v>
      </c>
      <c r="AC65" t="str">
        <f>TRIM(PROPER(G:G))</f>
        <v>North</v>
      </c>
      <c r="AD65" t="str">
        <f>TRIM(PROPER(H:H))</f>
        <v>Haryana</v>
      </c>
      <c r="AE65" t="str">
        <f>TRIM(PROPER(I:I))</f>
        <v>Gurugram</v>
      </c>
      <c r="AF65" t="str">
        <f>TRIM(PROPER(J:J))</f>
        <v>Office Supplies</v>
      </c>
      <c r="AG65" t="str">
        <f>TRIM(PROPER(K:K))</f>
        <v>Binders</v>
      </c>
      <c r="AH65" t="str">
        <f>TRIM(PROPER(L:L))</f>
        <v>Pro Binders 690</v>
      </c>
      <c r="AI65" t="str">
        <f>TRIM(PROPER(M:M))</f>
        <v>Same Day</v>
      </c>
      <c r="AJ65" s="5">
        <f>IF(OR(P65&lt;0,P65&gt;0.5),"invalid",P65)</f>
        <v>0.15</v>
      </c>
      <c r="AK65" s="6">
        <f>IFERROR(N65*O65*(1-AJ65), "NA")</f>
        <v>4815.7089999999998</v>
      </c>
      <c r="AL65" s="6">
        <f>IFERROR(AK65-R65,"NA")</f>
        <v>1787.9589999999998</v>
      </c>
      <c r="AM65" s="5">
        <f t="shared" si="0"/>
        <v>0.37127637903369992</v>
      </c>
      <c r="AN65" t="str">
        <v>25-01-24</v>
      </c>
      <c r="AO65" t="str">
        <v>01-02-24</v>
      </c>
      <c r="AP65" t="str">
        <f t="shared" si="1"/>
        <v>January</v>
      </c>
      <c r="AQ65" t="str">
        <f t="shared" si="2"/>
        <v>2024</v>
      </c>
      <c r="AR65" t="str">
        <f t="shared" si="3"/>
        <v>anomaly</v>
      </c>
      <c r="AS65">
        <f t="shared" si="4"/>
        <v>7</v>
      </c>
      <c r="AT65" t="str">
        <f>IF(COUNTIFS( $A:$A,A65,$B:$B,B65,$C:$C,C65,$D:$D,D65,$E:$E,E65,$F:$F,F65,$G:$G,G65,$H:$H,H65,$I:$I,I65,$J:$J,J65,$K:$K,K65,$L:$L,L65,$M:$M,M65,$T:$T,T65,$U:$U,U65,$W:$W,W65,$Z:$Z,Z65,$AA:$AA,AA65,$AB:$AB,AB65,$AC:$AC,AC65,$AD:$AD,AD65,$AE:$AE,AE65,$AF:$AF,AF65,$AG:$AG,AG65,$AH:$AH,AH65,$AI:$AI,AI65)&gt;1,"Duplicate","Unique")</f>
        <v>Unique</v>
      </c>
    </row>
    <row r="66" spans="1:46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  <c r="W66" t="s">
        <v>424</v>
      </c>
      <c r="Z66" t="s">
        <v>427</v>
      </c>
      <c r="AA66" t="str">
        <v>Aarav Sharma</v>
      </c>
      <c r="AB66" t="str">
        <f>TRIM(PROPER(F:F))</f>
        <v>Corporate</v>
      </c>
      <c r="AC66" t="str">
        <f>TRIM(PROPER(G:G))</f>
        <v>East</v>
      </c>
      <c r="AD66" t="str">
        <f>TRIM(PROPER(H:H))</f>
        <v>Jharkhand</v>
      </c>
      <c r="AE66" t="str">
        <f>TRIM(PROPER(I:I))</f>
        <v>Ranchi</v>
      </c>
      <c r="AF66" t="str">
        <f>TRIM(PROPER(J:J))</f>
        <v>Office Supplies</v>
      </c>
      <c r="AG66" t="str">
        <f>TRIM(PROPER(K:K))</f>
        <v>Paper</v>
      </c>
      <c r="AH66" t="str">
        <f>TRIM(PROPER(L:L))</f>
        <v>Classic Paper 458</v>
      </c>
      <c r="AI66" t="str">
        <f>TRIM(PROPER(M:M))</f>
        <v>First Class</v>
      </c>
      <c r="AJ66" s="5">
        <f>IF(OR(P66&lt;0,P66&gt;0.5),"invalid",P66)</f>
        <v>0</v>
      </c>
      <c r="AK66" s="6">
        <f>IFERROR(N66*O66*(1-AJ66), "NA")</f>
        <v>3134.8799999999997</v>
      </c>
      <c r="AL66" s="6">
        <f>IFERROR(AK66-R66,"NA")</f>
        <v>767.24999999999955</v>
      </c>
      <c r="AM66" s="5">
        <f t="shared" si="0"/>
        <v>0.24474621038125849</v>
      </c>
      <c r="AN66" t="str">
        <v>23-12-24</v>
      </c>
      <c r="AO66" t="str">
        <v>invalid date</v>
      </c>
      <c r="AP66" t="str">
        <f t="shared" si="1"/>
        <v>December</v>
      </c>
      <c r="AQ66" t="str">
        <f t="shared" si="2"/>
        <v>2024</v>
      </c>
      <c r="AR66" t="str">
        <f t="shared" si="3"/>
        <v>Invalid</v>
      </c>
      <c r="AS66" t="str">
        <f t="shared" si="4"/>
        <v>invalid date</v>
      </c>
      <c r="AT66" t="str">
        <f>IF(COUNTIFS( $A:$A,A66,$B:$B,B66,$C:$C,C66,$D:$D,D66,$E:$E,E66,$F:$F,F66,$G:$G,G66,$H:$H,H66,$I:$I,I66,$J:$J,J66,$K:$K,K66,$L:$L,L66,$M:$M,M66,$T:$T,T66,$U:$U,U66,$W:$W,W66,$Z:$Z,Z66,$AA:$AA,AA66,$AB:$AB,AB66,$AC:$AC,AC66,$AD:$AD,AD66,$AE:$AE,AE66,$AF:$AF,AF66,$AG:$AG,AG66,$AH:$AH,AH66,$AI:$AI,AI66)&gt;1,"Duplicate","Unique")</f>
        <v>Unique</v>
      </c>
    </row>
    <row r="67" spans="1:46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  <c r="W67" t="s">
        <v>429</v>
      </c>
      <c r="Z67" t="s">
        <v>432</v>
      </c>
      <c r="AA67" t="str">
        <v>Mira Das</v>
      </c>
      <c r="AB67" t="str">
        <f>TRIM(PROPER(F:F))</f>
        <v>Home Office</v>
      </c>
      <c r="AC67" t="str">
        <f>TRIM(PROPER(G:G))</f>
        <v>West</v>
      </c>
      <c r="AD67" t="str">
        <f>TRIM(PROPER(H:H))</f>
        <v>Maharashtra</v>
      </c>
      <c r="AE67" t="str">
        <f>TRIM(PROPER(I:I))</f>
        <v>Mumbai</v>
      </c>
      <c r="AF67" t="str">
        <f>TRIM(PROPER(J:J))</f>
        <v>Office Supplies</v>
      </c>
      <c r="AG67" t="str">
        <f>TRIM(PROPER(K:K))</f>
        <v>Paper</v>
      </c>
      <c r="AH67" t="str">
        <f>TRIM(PROPER(L:L))</f>
        <v>Pro Paper 552</v>
      </c>
      <c r="AI67" t="str">
        <f>TRIM(PROPER(M:M))</f>
        <v>Second Class</v>
      </c>
      <c r="AJ67" s="5">
        <f>IF(OR(P67&lt;0,P67&gt;0.5),"invalid",P67)</f>
        <v>0.05</v>
      </c>
      <c r="AK67" s="6">
        <f>IFERROR(N67*O67*(1-AJ67), "NA")</f>
        <v>4066.1804999999995</v>
      </c>
      <c r="AL67" s="6">
        <f>IFERROR(AK67-R67,"NA")</f>
        <v>1437.2604999999994</v>
      </c>
      <c r="AM67" s="5">
        <f t="shared" ref="AM67:AM130" si="5">IFERROR(AL67/AK67,"NA")</f>
        <v>0.35346696980126674</v>
      </c>
      <c r="AN67" t="str">
        <v>22-04-24</v>
      </c>
      <c r="AO67" t="str">
        <v>27-04-24</v>
      </c>
      <c r="AP67" t="str">
        <f t="shared" ref="AP67:AP130" si="6">TEXT(AN67,"mmmm")</f>
        <v>April</v>
      </c>
      <c r="AQ67" t="str">
        <f t="shared" ref="AQ67:AQ130" si="7">TEXT(AN67,"yyyy")</f>
        <v>2024</v>
      </c>
      <c r="AR67" t="str">
        <f t="shared" ref="AR67:AR130" si="8">IF(OR(AN67="Invalid Date",AO67="Invalid Date"),"Invalid",(IF(AO67&lt;AN67,"anomaly"," ")))</f>
        <v xml:space="preserve"> </v>
      </c>
      <c r="AS67">
        <f t="shared" ref="AS67:AS130" si="9">IFERROR(AO67-AN67, "invalid date")</f>
        <v>5</v>
      </c>
      <c r="AT67" t="str">
        <f>IF(COUNTIFS( $A:$A,A67,$B:$B,B67,$C:$C,C67,$D:$D,D67,$E:$E,E67,$F:$F,F67,$G:$G,G67,$H:$H,H67,$I:$I,I67,$J:$J,J67,$K:$K,K67,$L:$L,L67,$M:$M,M67,$T:$T,T67,$U:$U,U67,$W:$W,W67,$Z:$Z,Z67,$AA:$AA,AA67,$AB:$AB,AB67,$AC:$AC,AC67,$AD:$AD,AD67,$AE:$AE,AE67,$AF:$AF,AF67,$AG:$AG,AG67,$AH:$AH,AH67,$AI:$AI,AI67)&gt;1,"Duplicate","Unique")</f>
        <v>Unique</v>
      </c>
    </row>
    <row r="68" spans="1:46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  <c r="W68" t="s">
        <v>434</v>
      </c>
      <c r="Z68" t="s">
        <v>437</v>
      </c>
      <c r="AA68" t="str">
        <v>Karan Malhotra</v>
      </c>
      <c r="AB68" t="str">
        <f>TRIM(PROPER(F:F))</f>
        <v>Small Business</v>
      </c>
      <c r="AC68" t="str">
        <f>TRIM(PROPER(G:G))</f>
        <v>South</v>
      </c>
      <c r="AD68" t="str">
        <f>TRIM(PROPER(H:H))</f>
        <v>Tamil Nadu</v>
      </c>
      <c r="AE68" t="str">
        <f>TRIM(PROPER(I:I))</f>
        <v>Chennai</v>
      </c>
      <c r="AF68" t="str">
        <f>TRIM(PROPER(J:J))</f>
        <v>Technology</v>
      </c>
      <c r="AG68" t="str">
        <f>TRIM(PROPER(K:K))</f>
        <v>Accessories</v>
      </c>
      <c r="AH68" t="str">
        <f>TRIM(PROPER(L:L))</f>
        <v>Elite Accessories 187</v>
      </c>
      <c r="AI68" t="str">
        <f>TRIM(PROPER(M:M))</f>
        <v>Same Day</v>
      </c>
      <c r="AJ68" s="5">
        <f>IF(OR(P68&lt;0,P68&gt;0.5),"invalid",P68)</f>
        <v>0.05</v>
      </c>
      <c r="AK68" s="6">
        <f>IFERROR(N68*O68*(1-AJ68), "NA")</f>
        <v>7032.1089999999995</v>
      </c>
      <c r="AL68" s="6">
        <f>IFERROR(AK68-R68,"NA")</f>
        <v>2421.7689999999993</v>
      </c>
      <c r="AM68" s="5">
        <f t="shared" si="5"/>
        <v>0.34438729547565311</v>
      </c>
      <c r="AN68" t="str">
        <v>invalid date</v>
      </c>
      <c r="AO68" t="str">
        <v>01-09-25</v>
      </c>
      <c r="AP68" t="str">
        <f t="shared" si="6"/>
        <v>invalid date</v>
      </c>
      <c r="AQ68" t="str">
        <f t="shared" si="7"/>
        <v>invalid date</v>
      </c>
      <c r="AR68" t="str">
        <f t="shared" si="8"/>
        <v>Invalid</v>
      </c>
      <c r="AS68" t="str">
        <f t="shared" si="9"/>
        <v>invalid date</v>
      </c>
      <c r="AT68" t="str">
        <f>IF(COUNTIFS( $A:$A,A68,$B:$B,B68,$C:$C,C68,$D:$D,D68,$E:$E,E68,$F:$F,F68,$G:$G,G68,$H:$H,H68,$I:$I,I68,$J:$J,J68,$K:$K,K68,$L:$L,L68,$M:$M,M68,$T:$T,T68,$U:$U,U68,$W:$W,W68,$Z:$Z,Z68,$AA:$AA,AA68,$AB:$AB,AB68,$AC:$AC,AC68,$AD:$AD,AD68,$AE:$AE,AE68,$AF:$AF,AF68,$AG:$AG,AG68,$AH:$AH,AH68,$AI:$AI,AI68)&gt;1,"Duplicate","Unique")</f>
        <v>Unique</v>
      </c>
    </row>
    <row r="69" spans="1:46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  <c r="W69" t="s">
        <v>439</v>
      </c>
      <c r="Z69" t="s">
        <v>442</v>
      </c>
      <c r="AA69" t="str">
        <v>Kabir Singh</v>
      </c>
      <c r="AB69" t="str">
        <f>TRIM(PROPER(F:F))</f>
        <v>Consumer</v>
      </c>
      <c r="AC69" t="str">
        <f>TRIM(PROPER(G:G))</f>
        <v>North</v>
      </c>
      <c r="AD69" t="str">
        <f>TRIM(PROPER(H:H))</f>
        <v>Haryana</v>
      </c>
      <c r="AE69" t="str">
        <f>TRIM(PROPER(I:I))</f>
        <v>Gurugram</v>
      </c>
      <c r="AF69" t="str">
        <f>TRIM(PROPER(J:J))</f>
        <v>Office Supplies</v>
      </c>
      <c r="AG69" t="str">
        <f>TRIM(PROPER(K:K))</f>
        <v>Paper</v>
      </c>
      <c r="AH69" t="str">
        <f>TRIM(PROPER(L:L))</f>
        <v>Eco Paper 922</v>
      </c>
      <c r="AI69" t="str">
        <f>TRIM(PROPER(M:M))</f>
        <v>First Class</v>
      </c>
      <c r="AJ69" s="5">
        <f>IF(OR(P69&lt;0,P69&gt;0.5),"invalid",P69)</f>
        <v>0.05</v>
      </c>
      <c r="AK69" s="6">
        <f>IFERROR(N69*O69*(1-AJ69), "NA")</f>
        <v>24002.111000000001</v>
      </c>
      <c r="AL69" s="6">
        <f>IFERROR(AK69-R69,"NA")</f>
        <v>5294.5410000000011</v>
      </c>
      <c r="AM69" s="5">
        <f t="shared" si="5"/>
        <v>0.2205864725815159</v>
      </c>
      <c r="AN69" t="str">
        <v>03-02-25</v>
      </c>
      <c r="AO69" t="str">
        <v>07-02-25</v>
      </c>
      <c r="AP69" t="str">
        <f t="shared" si="6"/>
        <v>February</v>
      </c>
      <c r="AQ69" t="str">
        <f t="shared" si="7"/>
        <v>2025</v>
      </c>
      <c r="AR69" t="str">
        <f t="shared" si="8"/>
        <v xml:space="preserve"> </v>
      </c>
      <c r="AS69">
        <f t="shared" si="9"/>
        <v>4</v>
      </c>
      <c r="AT69" t="str">
        <f>IF(COUNTIFS( $A:$A,A69,$B:$B,B69,$C:$C,C69,$D:$D,D69,$E:$E,E69,$F:$F,F69,$G:$G,G69,$H:$H,H69,$I:$I,I69,$J:$J,J69,$K:$K,K69,$L:$L,L69,$M:$M,M69,$T:$T,T69,$U:$U,U69,$W:$W,W69,$Z:$Z,Z69,$AA:$AA,AA69,$AB:$AB,AB69,$AC:$AC,AC69,$AD:$AD,AD69,$AE:$AE,AE69,$AF:$AF,AF69,$AG:$AG,AG69,$AH:$AH,AH69,$AI:$AI,AI69)&gt;1,"Duplicate","Unique")</f>
        <v>Unique</v>
      </c>
    </row>
    <row r="70" spans="1:46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  <c r="W70" t="s">
        <v>444</v>
      </c>
      <c r="Z70" t="s">
        <v>446</v>
      </c>
      <c r="AA70" t="str">
        <v>Isha Nair</v>
      </c>
      <c r="AB70" t="str">
        <f>TRIM(PROPER(F:F))</f>
        <v>Corporate</v>
      </c>
      <c r="AC70" t="str">
        <f>TRIM(PROPER(G:G))</f>
        <v>East</v>
      </c>
      <c r="AD70" t="str">
        <f>TRIM(PROPER(H:H))</f>
        <v>Jharkhand</v>
      </c>
      <c r="AE70" t="str">
        <f>TRIM(PROPER(I:I))</f>
        <v>Ranchi</v>
      </c>
      <c r="AF70" t="str">
        <f>TRIM(PROPER(J:J))</f>
        <v>Office Supplies</v>
      </c>
      <c r="AG70" t="str">
        <f>TRIM(PROPER(K:K))</f>
        <v>Storage</v>
      </c>
      <c r="AH70" t="str">
        <f>TRIM(PROPER(L:L))</f>
        <v>Pro Storage 975</v>
      </c>
      <c r="AI70" t="str">
        <f>TRIM(PROPER(M:M))</f>
        <v>Second Class</v>
      </c>
      <c r="AJ70" s="5">
        <f>IF(OR(P70&lt;0,P70&gt;0.5),"invalid",P70)</f>
        <v>0</v>
      </c>
      <c r="AK70" s="6">
        <f>IFERROR(N70*O70*(1-AJ70), "NA")</f>
        <v>19900.079999999998</v>
      </c>
      <c r="AL70" s="6">
        <f>IFERROR(AK70-R70,"NA")</f>
        <v>8937.4199999999983</v>
      </c>
      <c r="AM70" s="5">
        <f t="shared" si="5"/>
        <v>0.44911477742803041</v>
      </c>
      <c r="AN70" t="str">
        <v>11-10-24</v>
      </c>
      <c r="AO70" t="str">
        <v>13-11-24</v>
      </c>
      <c r="AP70" t="str">
        <f t="shared" si="6"/>
        <v>October</v>
      </c>
      <c r="AQ70" t="str">
        <f t="shared" si="7"/>
        <v>2024</v>
      </c>
      <c r="AR70" t="str">
        <f t="shared" si="8"/>
        <v xml:space="preserve"> </v>
      </c>
      <c r="AS70">
        <f t="shared" si="9"/>
        <v>33</v>
      </c>
      <c r="AT70" t="str">
        <f>IF(COUNTIFS( $A:$A,A70,$B:$B,B70,$C:$C,C70,$D:$D,D70,$E:$E,E70,$F:$F,F70,$G:$G,G70,$H:$H,H70,$I:$I,I70,$J:$J,J70,$K:$K,K70,$L:$L,L70,$M:$M,M70,$T:$T,T70,$U:$U,U70,$W:$W,W70,$Z:$Z,Z70,$AA:$AA,AA70,$AB:$AB,AB70,$AC:$AC,AC70,$AD:$AD,AD70,$AE:$AE,AE70,$AF:$AF,AF70,$AG:$AG,AG70,$AH:$AH,AH70,$AI:$AI,AI70)&gt;1,"Duplicate","Unique")</f>
        <v>Unique</v>
      </c>
    </row>
    <row r="71" spans="1:46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  <c r="W71" t="s">
        <v>448</v>
      </c>
      <c r="Z71" t="s">
        <v>451</v>
      </c>
      <c r="AA71" t="str">
        <v>Neha Gupta</v>
      </c>
      <c r="AB71" t="str">
        <f>TRIM(PROPER(F:F))</f>
        <v>Small Business</v>
      </c>
      <c r="AC71" t="str">
        <f>TRIM(PROPER(G:G))</f>
        <v>West</v>
      </c>
      <c r="AD71" t="str">
        <f>TRIM(PROPER(H:H))</f>
        <v>Gujarat</v>
      </c>
      <c r="AE71" t="str">
        <f>TRIM(PROPER(I:I))</f>
        <v>Ahmedabad</v>
      </c>
      <c r="AF71" t="str">
        <f>TRIM(PROPER(J:J))</f>
        <v>Technology</v>
      </c>
      <c r="AG71" t="str">
        <f>TRIM(PROPER(K:K))</f>
        <v>Machines</v>
      </c>
      <c r="AH71" t="str">
        <f>TRIM(PROPER(L:L))</f>
        <v>Prime Machines 782</v>
      </c>
      <c r="AI71" t="str">
        <f>TRIM(PROPER(M:M))</f>
        <v>Same Day</v>
      </c>
      <c r="AJ71" s="5">
        <f>IF(OR(P71&lt;0,P71&gt;0.5),"invalid",P71)</f>
        <v>0.1</v>
      </c>
      <c r="AK71" s="6">
        <f>IFERROR(N71*O71*(1-AJ71), "NA")</f>
        <v>21527.667000000001</v>
      </c>
      <c r="AL71" s="6">
        <f>IFERROR(AK71-R71,"NA")</f>
        <v>3240.0869999999995</v>
      </c>
      <c r="AM71" s="5">
        <f t="shared" si="5"/>
        <v>0.15050804158202555</v>
      </c>
      <c r="AN71" t="str">
        <v>09-04-24</v>
      </c>
      <c r="AO71" t="str">
        <v>invalid date</v>
      </c>
      <c r="AP71" t="str">
        <f t="shared" si="6"/>
        <v>April</v>
      </c>
      <c r="AQ71" t="str">
        <f t="shared" si="7"/>
        <v>2024</v>
      </c>
      <c r="AR71" t="str">
        <f t="shared" si="8"/>
        <v>Invalid</v>
      </c>
      <c r="AS71" t="str">
        <f t="shared" si="9"/>
        <v>invalid date</v>
      </c>
      <c r="AT71" t="str">
        <f>IF(COUNTIFS( $A:$A,A71,$B:$B,B71,$C:$C,C71,$D:$D,D71,$E:$E,E71,$F:$F,F71,$G:$G,G71,$H:$H,H71,$I:$I,I71,$J:$J,J71,$K:$K,K71,$L:$L,L71,$M:$M,M71,$T:$T,T71,$U:$U,U71,$W:$W,W71,$Z:$Z,Z71,$AA:$AA,AA71,$AB:$AB,AB71,$AC:$AC,AC71,$AD:$AD,AD71,$AE:$AE,AE71,$AF:$AF,AF71,$AG:$AG,AG71,$AH:$AH,AH71,$AI:$AI,AI71)&gt;1,"Duplicate","Unique")</f>
        <v>Unique</v>
      </c>
    </row>
    <row r="72" spans="1:46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  <c r="W72" t="s">
        <v>453</v>
      </c>
      <c r="Z72" t="s">
        <v>456</v>
      </c>
      <c r="AA72" t="str">
        <v>Karan Malhotra</v>
      </c>
      <c r="AB72" t="str">
        <f>TRIM(PROPER(F:F))</f>
        <v>Corporate</v>
      </c>
      <c r="AC72" t="str">
        <f>TRIM(PROPER(G:G))</f>
        <v>South</v>
      </c>
      <c r="AD72" t="str">
        <f>TRIM(PROPER(H:H))</f>
        <v>Andhra Pradesh</v>
      </c>
      <c r="AE72" t="str">
        <f>TRIM(PROPER(I:I))</f>
        <v>Vijayawada</v>
      </c>
      <c r="AF72" t="str">
        <f>TRIM(PROPER(J:J))</f>
        <v>Technology</v>
      </c>
      <c r="AG72" t="str">
        <f>TRIM(PROPER(K:K))</f>
        <v>Phones</v>
      </c>
      <c r="AH72" t="str">
        <f>TRIM(PROPER(L:L))</f>
        <v>Max Phones 661</v>
      </c>
      <c r="AI72" t="str">
        <f>TRIM(PROPER(M:M))</f>
        <v>First Class</v>
      </c>
      <c r="AJ72" s="5">
        <f>IF(OR(P72&lt;0,P72&gt;0.5),"invalid",P72)</f>
        <v>0.15</v>
      </c>
      <c r="AK72" s="6">
        <f>IFERROR(N72*O72*(1-AJ72), "NA")</f>
        <v>1539.979</v>
      </c>
      <c r="AL72" s="6">
        <f>IFERROR(AK72-R72,"NA")</f>
        <v>469.779</v>
      </c>
      <c r="AM72" s="5">
        <f t="shared" si="5"/>
        <v>0.30505545854846072</v>
      </c>
      <c r="AN72" t="str">
        <v>22-08-25</v>
      </c>
      <c r="AO72" t="str">
        <v>27-08-25</v>
      </c>
      <c r="AP72" t="str">
        <f t="shared" si="6"/>
        <v>August</v>
      </c>
      <c r="AQ72" t="str">
        <f t="shared" si="7"/>
        <v>2025</v>
      </c>
      <c r="AR72" t="str">
        <f t="shared" si="8"/>
        <v xml:space="preserve"> </v>
      </c>
      <c r="AS72">
        <f t="shared" si="9"/>
        <v>5</v>
      </c>
      <c r="AT72" t="str">
        <f>IF(COUNTIFS( $A:$A,A72,$B:$B,B72,$C:$C,C72,$D:$D,D72,$E:$E,E72,$F:$F,F72,$G:$G,G72,$H:$H,H72,$I:$I,I72,$J:$J,J72,$K:$K,K72,$L:$L,L72,$M:$M,M72,$T:$T,T72,$U:$U,U72,$W:$W,W72,$Z:$Z,Z72,$AA:$AA,AA72,$AB:$AB,AB72,$AC:$AC,AC72,$AD:$AD,AD72,$AE:$AE,AE72,$AF:$AF,AF72,$AG:$AG,AG72,$AH:$AH,AH72,$AI:$AI,AI72)&gt;1,"Duplicate","Unique")</f>
        <v>Unique</v>
      </c>
    </row>
    <row r="73" spans="1:46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  <c r="W73" t="s">
        <v>458</v>
      </c>
      <c r="Z73" t="s">
        <v>460</v>
      </c>
      <c r="AA73" t="str">
        <v>Mira Das</v>
      </c>
      <c r="AB73" t="str">
        <f>TRIM(PROPER(F:F))</f>
        <v>Small Business</v>
      </c>
      <c r="AC73" t="str">
        <f>TRIM(PROPER(G:G))</f>
        <v>West</v>
      </c>
      <c r="AD73" t="str">
        <f>TRIM(PROPER(H:H))</f>
        <v>Goa</v>
      </c>
      <c r="AE73" t="str">
        <f>TRIM(PROPER(I:I))</f>
        <v>Panaji</v>
      </c>
      <c r="AF73" t="str">
        <f>TRIM(PROPER(J:J))</f>
        <v>Technology</v>
      </c>
      <c r="AG73" t="str">
        <f>TRIM(PROPER(K:K))</f>
        <v>Machines</v>
      </c>
      <c r="AH73" t="str">
        <f>TRIM(PROPER(L:L))</f>
        <v>Elite Machines 836</v>
      </c>
      <c r="AI73" t="str">
        <f>TRIM(PROPER(M:M))</f>
        <v>Standard Class</v>
      </c>
      <c r="AJ73" s="5">
        <f>IF(OR(P73&lt;0,P73&gt;0.5),"invalid",P73)</f>
        <v>0.1</v>
      </c>
      <c r="AK73" s="6">
        <f>IFERROR(N73*O73*(1-AJ73), "NA")</f>
        <v>10947.528</v>
      </c>
      <c r="AL73" s="6">
        <f>IFERROR(AK73-R73,"NA")</f>
        <v>4500.1680000000006</v>
      </c>
      <c r="AM73" s="5">
        <f t="shared" si="5"/>
        <v>0.41106704636882413</v>
      </c>
      <c r="AN73" t="str">
        <v>invalid date</v>
      </c>
      <c r="AO73" t="str">
        <v>23-04-25</v>
      </c>
      <c r="AP73" t="str">
        <f t="shared" si="6"/>
        <v>invalid date</v>
      </c>
      <c r="AQ73" t="str">
        <f t="shared" si="7"/>
        <v>invalid date</v>
      </c>
      <c r="AR73" t="str">
        <f t="shared" si="8"/>
        <v>Invalid</v>
      </c>
      <c r="AS73" t="str">
        <f t="shared" si="9"/>
        <v>invalid date</v>
      </c>
      <c r="AT73" t="str">
        <f>IF(COUNTIFS( $A:$A,A73,$B:$B,B73,$C:$C,C73,$D:$D,D73,$E:$E,E73,$F:$F,F73,$G:$G,G73,$H:$H,H73,$I:$I,I73,$J:$J,J73,$K:$K,K73,$L:$L,L73,$M:$M,M73,$T:$T,T73,$U:$U,U73,$W:$W,W73,$Z:$Z,Z73,$AA:$AA,AA73,$AB:$AB,AB73,$AC:$AC,AC73,$AD:$AD,AD73,$AE:$AE,AE73,$AF:$AF,AF73,$AG:$AG,AG73,$AH:$AH,AH73,$AI:$AI,AI73)&gt;1,"Duplicate","Unique")</f>
        <v>Unique</v>
      </c>
    </row>
    <row r="74" spans="1:46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  <c r="W74" t="s">
        <v>462</v>
      </c>
      <c r="Z74" t="s">
        <v>465</v>
      </c>
      <c r="AA74" t="str">
        <v>Karan Malhotra</v>
      </c>
      <c r="AB74" t="str">
        <f>TRIM(PROPER(F:F))</f>
        <v>Home Office</v>
      </c>
      <c r="AC74" t="str">
        <f>TRIM(PROPER(G:G))</f>
        <v>South</v>
      </c>
      <c r="AD74" t="str">
        <f>TRIM(PROPER(H:H))</f>
        <v>Tamil Nadu</v>
      </c>
      <c r="AE74" t="str">
        <f>TRIM(PROPER(I:I))</f>
        <v>Chennai</v>
      </c>
      <c r="AF74" t="str">
        <f>TRIM(PROPER(J:J))</f>
        <v>Furniture</v>
      </c>
      <c r="AG74" t="str">
        <f>TRIM(PROPER(K:K))</f>
        <v>Tables</v>
      </c>
      <c r="AH74" t="str">
        <f>TRIM(PROPER(L:L))</f>
        <v>Prime Tables 902</v>
      </c>
      <c r="AI74" t="str">
        <f>TRIM(PROPER(M:M))</f>
        <v>First Class</v>
      </c>
      <c r="AJ74" s="5">
        <f>IF(OR(P74&lt;0,P74&gt;0.5),"invalid",P74)</f>
        <v>0.15</v>
      </c>
      <c r="AK74" s="6">
        <f>IFERROR(N74*O74*(1-AJ74), "NA")</f>
        <v>13610.446499999998</v>
      </c>
      <c r="AL74" s="6">
        <f>IFERROR(AK74-R74,"NA")</f>
        <v>3571.3964999999989</v>
      </c>
      <c r="AM74" s="5">
        <f t="shared" si="5"/>
        <v>0.26240112695788487</v>
      </c>
      <c r="AN74" t="str">
        <v>11-02-24</v>
      </c>
      <c r="AO74" t="str">
        <v>07-02-24</v>
      </c>
      <c r="AP74" t="str">
        <f t="shared" si="6"/>
        <v>February</v>
      </c>
      <c r="AQ74" t="str">
        <f t="shared" si="7"/>
        <v>2024</v>
      </c>
      <c r="AR74" t="str">
        <f t="shared" si="8"/>
        <v>anomaly</v>
      </c>
      <c r="AS74">
        <f t="shared" si="9"/>
        <v>-4</v>
      </c>
      <c r="AT74" t="str">
        <f>IF(COUNTIFS( $A:$A,A74,$B:$B,B74,$C:$C,C74,$D:$D,D74,$E:$E,E74,$F:$F,F74,$G:$G,G74,$H:$H,H74,$I:$I,I74,$J:$J,J74,$K:$K,K74,$L:$L,L74,$M:$M,M74,$T:$T,T74,$U:$U,U74,$W:$W,W74,$Z:$Z,Z74,$AA:$AA,AA74,$AB:$AB,AB74,$AC:$AC,AC74,$AD:$AD,AD74,$AE:$AE,AE74,$AF:$AF,AF74,$AG:$AG,AG74,$AH:$AH,AH74,$AI:$AI,AI74)&gt;1,"Duplicate","Unique")</f>
        <v>Unique</v>
      </c>
    </row>
    <row r="75" spans="1:46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  <c r="W75" t="s">
        <v>467</v>
      </c>
      <c r="Z75" t="s">
        <v>470</v>
      </c>
      <c r="AA75" t="str">
        <v>Sneha Kapoor</v>
      </c>
      <c r="AB75" t="str">
        <f>TRIM(PROPER(F:F))</f>
        <v>Corporate</v>
      </c>
      <c r="AC75" t="str">
        <f>TRIM(PROPER(G:G))</f>
        <v>East</v>
      </c>
      <c r="AD75" t="str">
        <f>TRIM(PROPER(H:H))</f>
        <v>West Bengal</v>
      </c>
      <c r="AE75" t="str">
        <f>TRIM(PROPER(I:I))</f>
        <v>Kolkata</v>
      </c>
      <c r="AF75" t="str">
        <f>TRIM(PROPER(J:J))</f>
        <v>Furniture</v>
      </c>
      <c r="AG75" t="str">
        <f>TRIM(PROPER(K:K))</f>
        <v>Bookcases</v>
      </c>
      <c r="AH75" t="str">
        <f>TRIM(PROPER(L:L))</f>
        <v>Smart Bookcases 167</v>
      </c>
      <c r="AI75" t="str">
        <f>TRIM(PROPER(M:M))</f>
        <v>First Class</v>
      </c>
      <c r="AJ75" s="5">
        <f>IF(OR(P75&lt;0,P75&gt;0.5),"invalid",P75)</f>
        <v>0</v>
      </c>
      <c r="AK75" s="6">
        <f>IFERROR(N75*O75*(1-AJ75), "NA")</f>
        <v>7128.7</v>
      </c>
      <c r="AL75" s="6">
        <f>IFERROR(AK75-R75,"NA")</f>
        <v>2746.55</v>
      </c>
      <c r="AM75" s="5">
        <f t="shared" si="5"/>
        <v>0.38528062620113068</v>
      </c>
      <c r="AN75" t="str">
        <v>29-03-25</v>
      </c>
      <c r="AO75" t="str">
        <v>04-03-25</v>
      </c>
      <c r="AP75" t="str">
        <f t="shared" si="6"/>
        <v>March</v>
      </c>
      <c r="AQ75" t="str">
        <f t="shared" si="7"/>
        <v>2025</v>
      </c>
      <c r="AR75" t="str">
        <f t="shared" si="8"/>
        <v>anomaly</v>
      </c>
      <c r="AS75">
        <f t="shared" si="9"/>
        <v>-25</v>
      </c>
      <c r="AT75" t="str">
        <f>IF(COUNTIFS( $A:$A,A75,$B:$B,B75,$C:$C,C75,$D:$D,D75,$E:$E,E75,$F:$F,F75,$G:$G,G75,$H:$H,H75,$I:$I,I75,$J:$J,J75,$K:$K,K75,$L:$L,L75,$M:$M,M75,$T:$T,T75,$U:$U,U75,$W:$W,W75,$Z:$Z,Z75,$AA:$AA,AA75,$AB:$AB,AB75,$AC:$AC,AC75,$AD:$AD,AD75,$AE:$AE,AE75,$AF:$AF,AF75,$AG:$AG,AG75,$AH:$AH,AH75,$AI:$AI,AI75)&gt;1,"Duplicate","Unique")</f>
        <v>Unique</v>
      </c>
    </row>
    <row r="76" spans="1:46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  <c r="W76" t="s">
        <v>472</v>
      </c>
      <c r="Z76" t="s">
        <v>475</v>
      </c>
      <c r="AA76" t="str">
        <v>Vikram Iyer</v>
      </c>
      <c r="AB76" t="str">
        <f>TRIM(PROPER(F:F))</f>
        <v>Small Business</v>
      </c>
      <c r="AC76" t="str">
        <f>TRIM(PROPER(G:G))</f>
        <v>East</v>
      </c>
      <c r="AD76" t="str">
        <f>TRIM(PROPER(H:H))</f>
        <v>West Bengal</v>
      </c>
      <c r="AE76" t="str">
        <f>TRIM(PROPER(I:I))</f>
        <v>Kolkata</v>
      </c>
      <c r="AF76" t="str">
        <f>TRIM(PROPER(J:J))</f>
        <v>Furniture</v>
      </c>
      <c r="AG76" t="str">
        <f>TRIM(PROPER(K:K))</f>
        <v>Chairs</v>
      </c>
      <c r="AH76" t="str">
        <f>TRIM(PROPER(L:L))</f>
        <v>Max Chairs 244</v>
      </c>
      <c r="AI76" t="str">
        <f>TRIM(PROPER(M:M))</f>
        <v>Standard Class</v>
      </c>
      <c r="AJ76" s="5">
        <f>IF(OR(P76&lt;0,P76&gt;0.5),"invalid",P76)</f>
        <v>0</v>
      </c>
      <c r="AK76" s="6">
        <f>IFERROR(N76*O76*(1-AJ76), "NA")</f>
        <v>3309.84</v>
      </c>
      <c r="AL76" s="6">
        <f>IFERROR(AK76-R76,"NA")</f>
        <v>638.76000000000022</v>
      </c>
      <c r="AM76" s="5">
        <f t="shared" si="5"/>
        <v>0.19298818069755644</v>
      </c>
      <c r="AN76" t="str">
        <v>invalid date</v>
      </c>
      <c r="AO76" t="str">
        <v>01-03-25</v>
      </c>
      <c r="AP76" t="str">
        <f t="shared" si="6"/>
        <v>invalid date</v>
      </c>
      <c r="AQ76" t="str">
        <f t="shared" si="7"/>
        <v>invalid date</v>
      </c>
      <c r="AR76" t="str">
        <f t="shared" si="8"/>
        <v>Invalid</v>
      </c>
      <c r="AS76" t="str">
        <f t="shared" si="9"/>
        <v>invalid date</v>
      </c>
      <c r="AT76" t="str">
        <f>IF(COUNTIFS( $A:$A,A76,$B:$B,B76,$C:$C,C76,$D:$D,D76,$E:$E,E76,$F:$F,F76,$G:$G,G76,$H:$H,H76,$I:$I,I76,$J:$J,J76,$K:$K,K76,$L:$L,L76,$M:$M,M76,$T:$T,T76,$U:$U,U76,$W:$W,W76,$Z:$Z,Z76,$AA:$AA,AA76,$AB:$AB,AB76,$AC:$AC,AC76,$AD:$AD,AD76,$AE:$AE,AE76,$AF:$AF,AF76,$AG:$AG,AG76,$AH:$AH,AH76,$AI:$AI,AI76)&gt;1,"Duplicate","Unique")</f>
        <v>Unique</v>
      </c>
    </row>
    <row r="77" spans="1:46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  <c r="W77" t="s">
        <v>477</v>
      </c>
      <c r="Z77" t="s">
        <v>480</v>
      </c>
      <c r="AA77" t="str">
        <v>Priya Menon</v>
      </c>
      <c r="AB77" t="str">
        <f>TRIM(PROPER(F:F))</f>
        <v>Small Business</v>
      </c>
      <c r="AC77" t="str">
        <f>TRIM(PROPER(G:G))</f>
        <v>East</v>
      </c>
      <c r="AD77" t="str">
        <f>TRIM(PROPER(H:H))</f>
        <v>Odisha</v>
      </c>
      <c r="AE77" t="str">
        <f>TRIM(PROPER(I:I))</f>
        <v>Bhubaneswar</v>
      </c>
      <c r="AF77" t="str">
        <f>TRIM(PROPER(J:J))</f>
        <v>Office Supplies</v>
      </c>
      <c r="AG77" t="str">
        <f>TRIM(PROPER(K:K))</f>
        <v>Labels</v>
      </c>
      <c r="AH77" t="str">
        <f>TRIM(PROPER(L:L))</f>
        <v>Eco Labels 653</v>
      </c>
      <c r="AI77" t="str">
        <f>TRIM(PROPER(M:M))</f>
        <v>First Class</v>
      </c>
      <c r="AJ77" s="5">
        <f>IF(OR(P77&lt;0,P77&gt;0.5),"invalid",P77)</f>
        <v>0.2</v>
      </c>
      <c r="AK77" s="6">
        <f>IFERROR(N77*O77*(1-AJ77), "NA")</f>
        <v>7907.5680000000011</v>
      </c>
      <c r="AL77" s="6">
        <f>IFERROR(AK77-R77,"NA")</f>
        <v>2516.3880000000008</v>
      </c>
      <c r="AM77" s="5">
        <f t="shared" si="5"/>
        <v>0.31822527482533197</v>
      </c>
      <c r="AN77" t="str">
        <v>22-08-25</v>
      </c>
      <c r="AO77" t="str">
        <v>invalid date</v>
      </c>
      <c r="AP77" t="str">
        <f t="shared" si="6"/>
        <v>August</v>
      </c>
      <c r="AQ77" t="str">
        <f t="shared" si="7"/>
        <v>2025</v>
      </c>
      <c r="AR77" t="str">
        <f t="shared" si="8"/>
        <v>Invalid</v>
      </c>
      <c r="AS77" t="str">
        <f t="shared" si="9"/>
        <v>invalid date</v>
      </c>
      <c r="AT77" t="str">
        <f>IF(COUNTIFS( $A:$A,A77,$B:$B,B77,$C:$C,C77,$D:$D,D77,$E:$E,E77,$F:$F,F77,$G:$G,G77,$H:$H,H77,$I:$I,I77,$J:$J,J77,$K:$K,K77,$L:$L,L77,$M:$M,M77,$T:$T,T77,$U:$U,U77,$W:$W,W77,$Z:$Z,Z77,$AA:$AA,AA77,$AB:$AB,AB77,$AC:$AC,AC77,$AD:$AD,AD77,$AE:$AE,AE77,$AF:$AF,AF77,$AG:$AG,AG77,$AH:$AH,AH77,$AI:$AI,AI77)&gt;1,"Duplicate","Unique")</f>
        <v>Unique</v>
      </c>
    </row>
    <row r="78" spans="1:46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  <c r="W78" t="s">
        <v>482</v>
      </c>
      <c r="Z78" t="s">
        <v>485</v>
      </c>
      <c r="AA78" t="str">
        <v>Ananya Rao</v>
      </c>
      <c r="AB78" t="str">
        <f>TRIM(PROPER(F:F))</f>
        <v>Corporate</v>
      </c>
      <c r="AC78" t="str">
        <f>TRIM(PROPER(G:G))</f>
        <v>East</v>
      </c>
      <c r="AD78" t="str">
        <f>TRIM(PROPER(H:H))</f>
        <v>Jharkhand</v>
      </c>
      <c r="AE78" t="str">
        <f>TRIM(PROPER(I:I))</f>
        <v>Ranchi</v>
      </c>
      <c r="AF78" t="str">
        <f>TRIM(PROPER(J:J))</f>
        <v>Office Supplies</v>
      </c>
      <c r="AG78" t="str">
        <f>TRIM(PROPER(K:K))</f>
        <v>Labels</v>
      </c>
      <c r="AH78" t="str">
        <f>TRIM(PROPER(L:L))</f>
        <v>Max Labels 617</v>
      </c>
      <c r="AI78" t="str">
        <f>TRIM(PROPER(M:M))</f>
        <v>Second Class</v>
      </c>
      <c r="AJ78" s="5">
        <f>IF(OR(P78&lt;0,P78&gt;0.5),"invalid",P78)</f>
        <v>0</v>
      </c>
      <c r="AK78" s="6">
        <f>IFERROR(N78*O78*(1-AJ78), "NA")</f>
        <v>10218.81</v>
      </c>
      <c r="AL78" s="6">
        <f>IFERROR(AK78-R78,"NA")</f>
        <v>2601.8399999999992</v>
      </c>
      <c r="AM78" s="5">
        <f t="shared" si="5"/>
        <v>0.2546128169522674</v>
      </c>
      <c r="AN78" t="str">
        <v>03-11-24</v>
      </c>
      <c r="AO78" t="str">
        <v>11-11-24</v>
      </c>
      <c r="AP78" t="str">
        <f t="shared" si="6"/>
        <v>November</v>
      </c>
      <c r="AQ78" t="str">
        <f t="shared" si="7"/>
        <v>2024</v>
      </c>
      <c r="AR78" t="str">
        <f t="shared" si="8"/>
        <v xml:space="preserve"> </v>
      </c>
      <c r="AS78">
        <f t="shared" si="9"/>
        <v>8</v>
      </c>
      <c r="AT78" t="str">
        <f>IF(COUNTIFS( $A:$A,A78,$B:$B,B78,$C:$C,C78,$D:$D,D78,$E:$E,E78,$F:$F,F78,$G:$G,G78,$H:$H,H78,$I:$I,I78,$J:$J,J78,$K:$K,K78,$L:$L,L78,$M:$M,M78,$T:$T,T78,$U:$U,U78,$W:$W,W78,$Z:$Z,Z78,$AA:$AA,AA78,$AB:$AB,AB78,$AC:$AC,AC78,$AD:$AD,AD78,$AE:$AE,AE78,$AF:$AF,AF78,$AG:$AG,AG78,$AH:$AH,AH78,$AI:$AI,AI78)&gt;1,"Duplicate","Unique")</f>
        <v>Unique</v>
      </c>
    </row>
    <row r="79" spans="1:46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  <c r="W79" t="s">
        <v>487</v>
      </c>
      <c r="Z79" t="s">
        <v>490</v>
      </c>
      <c r="AA79" t="str">
        <v>Rohan Mehta</v>
      </c>
      <c r="AB79" t="str">
        <f>TRIM(PROPER(F:F))</f>
        <v>Home Office</v>
      </c>
      <c r="AC79" t="str">
        <f>TRIM(PROPER(G:G))</f>
        <v>North</v>
      </c>
      <c r="AD79" t="str">
        <f>TRIM(PROPER(H:H))</f>
        <v>Uttar Pradesh</v>
      </c>
      <c r="AE79" t="str">
        <f>TRIM(PROPER(I:I))</f>
        <v>Noida</v>
      </c>
      <c r="AF79" t="str">
        <f>TRIM(PROPER(J:J))</f>
        <v>Furniture</v>
      </c>
      <c r="AG79" t="str">
        <f>TRIM(PROPER(K:K))</f>
        <v>Furnishings</v>
      </c>
      <c r="AH79" t="str">
        <f>TRIM(PROPER(L:L))</f>
        <v>Pro Furnishings 529</v>
      </c>
      <c r="AI79" t="str">
        <f>TRIM(PROPER(M:M))</f>
        <v>Standard Class</v>
      </c>
      <c r="AJ79" s="5">
        <f>IF(OR(P79&lt;0,P79&gt;0.5),"invalid",P79)</f>
        <v>0.15</v>
      </c>
      <c r="AK79" s="6">
        <f>IFERROR(N79*O79*(1-AJ79), "NA")</f>
        <v>2194.87</v>
      </c>
      <c r="AL79" s="6">
        <f>IFERROR(AK79-R79,"NA")</f>
        <v>971.69999999999982</v>
      </c>
      <c r="AM79" s="5">
        <f t="shared" si="5"/>
        <v>0.44271414707932583</v>
      </c>
      <c r="AN79" t="str">
        <v>07-08-25</v>
      </c>
      <c r="AO79" t="str">
        <v>12-07-25</v>
      </c>
      <c r="AP79" t="str">
        <f t="shared" si="6"/>
        <v>August</v>
      </c>
      <c r="AQ79" t="str">
        <f t="shared" si="7"/>
        <v>2025</v>
      </c>
      <c r="AR79" t="str">
        <f t="shared" si="8"/>
        <v xml:space="preserve"> </v>
      </c>
      <c r="AS79">
        <f t="shared" si="9"/>
        <v>-26</v>
      </c>
      <c r="AT79" t="str">
        <f>IF(COUNTIFS( $A:$A,A79,$B:$B,B79,$C:$C,C79,$D:$D,D79,$E:$E,E79,$F:$F,F79,$G:$G,G79,$H:$H,H79,$I:$I,I79,$J:$J,J79,$K:$K,K79,$L:$L,L79,$M:$M,M79,$T:$T,T79,$U:$U,U79,$W:$W,W79,$Z:$Z,Z79,$AA:$AA,AA79,$AB:$AB,AB79,$AC:$AC,AC79,$AD:$AD,AD79,$AE:$AE,AE79,$AF:$AF,AF79,$AG:$AG,AG79,$AH:$AH,AH79,$AI:$AI,AI79)&gt;1,"Duplicate","Unique")</f>
        <v>Unique</v>
      </c>
    </row>
    <row r="80" spans="1:46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  <c r="W80" t="s">
        <v>492</v>
      </c>
      <c r="Z80" t="s">
        <v>495</v>
      </c>
      <c r="AA80" t="str">
        <v>Sneha Kapoor</v>
      </c>
      <c r="AB80" t="str">
        <f>TRIM(PROPER(F:F))</f>
        <v>Corporate</v>
      </c>
      <c r="AC80" t="str">
        <f>TRIM(PROPER(G:G))</f>
        <v>East</v>
      </c>
      <c r="AD80" t="str">
        <f>TRIM(PROPER(H:H))</f>
        <v>West Bengal</v>
      </c>
      <c r="AE80" t="str">
        <f>TRIM(PROPER(I:I))</f>
        <v>Kolkata</v>
      </c>
      <c r="AF80" t="str">
        <f>TRIM(PROPER(J:J))</f>
        <v>Furniture</v>
      </c>
      <c r="AG80" t="str">
        <f>TRIM(PROPER(K:K))</f>
        <v>Tables</v>
      </c>
      <c r="AH80" t="str">
        <f>TRIM(PROPER(L:L))</f>
        <v>Smart Tables 561</v>
      </c>
      <c r="AI80" t="str">
        <f>TRIM(PROPER(M:M))</f>
        <v>First Class</v>
      </c>
      <c r="AJ80" s="5">
        <f>IF(OR(P80&lt;0,P80&gt;0.5),"invalid",P80)</f>
        <v>0.15</v>
      </c>
      <c r="AK80" s="6">
        <f>IFERROR(N80*O80*(1-AJ80), "NA")</f>
        <v>9050.4175000000014</v>
      </c>
      <c r="AL80" s="6">
        <f>IFERROR(AK80-R80,"NA")</f>
        <v>2271.567500000001</v>
      </c>
      <c r="AM80" s="5">
        <f t="shared" si="5"/>
        <v>0.25099035486484472</v>
      </c>
      <c r="AN80" t="str">
        <v>invalid date</v>
      </c>
      <c r="AO80" t="str">
        <v>21-07-25</v>
      </c>
      <c r="AP80" t="str">
        <f t="shared" si="6"/>
        <v>invalid date</v>
      </c>
      <c r="AQ80" t="str">
        <f t="shared" si="7"/>
        <v>invalid date</v>
      </c>
      <c r="AR80" t="str">
        <f t="shared" si="8"/>
        <v>Invalid</v>
      </c>
      <c r="AS80" t="str">
        <f t="shared" si="9"/>
        <v>invalid date</v>
      </c>
      <c r="AT80" t="str">
        <f>IF(COUNTIFS( $A:$A,A80,$B:$B,B80,$C:$C,C80,$D:$D,D80,$E:$E,E80,$F:$F,F80,$G:$G,G80,$H:$H,H80,$I:$I,I80,$J:$J,J80,$K:$K,K80,$L:$L,L80,$M:$M,M80,$T:$T,T80,$U:$U,U80,$W:$W,W80,$Z:$Z,Z80,$AA:$AA,AA80,$AB:$AB,AB80,$AC:$AC,AC80,$AD:$AD,AD80,$AE:$AE,AE80,$AF:$AF,AF80,$AG:$AG,AG80,$AH:$AH,AH80,$AI:$AI,AI80)&gt;1,"Duplicate","Unique")</f>
        <v>Unique</v>
      </c>
    </row>
    <row r="81" spans="1:46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  <c r="W81" t="s">
        <v>497</v>
      </c>
      <c r="Z81" t="s">
        <v>500</v>
      </c>
      <c r="AA81" t="str">
        <v>Diya Patel</v>
      </c>
      <c r="AB81" t="str">
        <f>TRIM(PROPER(F:F))</f>
        <v>Home Office</v>
      </c>
      <c r="AC81" t="str">
        <f>TRIM(PROPER(G:G))</f>
        <v>South</v>
      </c>
      <c r="AD81" t="str">
        <f>TRIM(PROPER(H:H))</f>
        <v>Tamil Nadu</v>
      </c>
      <c r="AE81" t="str">
        <f>TRIM(PROPER(I:I))</f>
        <v>Chennai</v>
      </c>
      <c r="AF81" t="str">
        <f>TRIM(PROPER(J:J))</f>
        <v>Furniture</v>
      </c>
      <c r="AG81" t="str">
        <f>TRIM(PROPER(K:K))</f>
        <v>Chairs</v>
      </c>
      <c r="AH81" t="str">
        <f>TRIM(PROPER(L:L))</f>
        <v>Prime Chairs 838</v>
      </c>
      <c r="AI81" t="str">
        <f>TRIM(PROPER(M:M))</f>
        <v>Same Day</v>
      </c>
      <c r="AJ81" s="5">
        <f>IF(OR(P81&lt;0,P81&gt;0.5),"invalid",P81)</f>
        <v>0.1</v>
      </c>
      <c r="AK81" s="6">
        <f>IFERROR(N81*O81*(1-AJ81), "NA")</f>
        <v>33465.312000000005</v>
      </c>
      <c r="AL81" s="6">
        <f>IFERROR(AK81-R81,"NA")</f>
        <v>8684.052000000007</v>
      </c>
      <c r="AM81" s="5">
        <f t="shared" si="5"/>
        <v>0.25949412932411942</v>
      </c>
      <c r="AN81" t="str">
        <v>27-09-25</v>
      </c>
      <c r="AO81" t="str">
        <v>03-10-25</v>
      </c>
      <c r="AP81" t="str">
        <f t="shared" si="6"/>
        <v>September</v>
      </c>
      <c r="AQ81" t="str">
        <f t="shared" si="7"/>
        <v>2025</v>
      </c>
      <c r="AR81" t="str">
        <f t="shared" si="8"/>
        <v>anomaly</v>
      </c>
      <c r="AS81">
        <f t="shared" si="9"/>
        <v>6</v>
      </c>
      <c r="AT81" t="str">
        <f>IF(COUNTIFS( $A:$A,A81,$B:$B,B81,$C:$C,C81,$D:$D,D81,$E:$E,E81,$F:$F,F81,$G:$G,G81,$H:$H,H81,$I:$I,I81,$J:$J,J81,$K:$K,K81,$L:$L,L81,$M:$M,M81,$T:$T,T81,$U:$U,U81,$W:$W,W81,$Z:$Z,Z81,$AA:$AA,AA81,$AB:$AB,AB81,$AC:$AC,AC81,$AD:$AD,AD81,$AE:$AE,AE81,$AF:$AF,AF81,$AG:$AG,AG81,$AH:$AH,AH81,$AI:$AI,AI81)&gt;1,"Duplicate","Unique")</f>
        <v>Unique</v>
      </c>
    </row>
    <row r="82" spans="1:46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  <c r="W82" t="s">
        <v>502</v>
      </c>
      <c r="Z82" t="s">
        <v>505</v>
      </c>
      <c r="AA82" t="str">
        <v>Aarav Sharma</v>
      </c>
      <c r="AB82" t="str">
        <f>TRIM(PROPER(F:F))</f>
        <v>Small Business</v>
      </c>
      <c r="AC82" t="str">
        <f>TRIM(PROPER(G:G))</f>
        <v>North</v>
      </c>
      <c r="AD82" t="str">
        <f>TRIM(PROPER(H:H))</f>
        <v>Delhi</v>
      </c>
      <c r="AE82" t="str">
        <f>TRIM(PROPER(I:I))</f>
        <v>New Delhi</v>
      </c>
      <c r="AF82" t="str">
        <f>TRIM(PROPER(J:J))</f>
        <v>Office Supplies</v>
      </c>
      <c r="AG82" t="str">
        <f>TRIM(PROPER(K:K))</f>
        <v>Storage</v>
      </c>
      <c r="AH82" t="str">
        <f>TRIM(PROPER(L:L))</f>
        <v>Elite Storage 371</v>
      </c>
      <c r="AI82" t="str">
        <f>TRIM(PROPER(M:M))</f>
        <v>Second Class</v>
      </c>
      <c r="AJ82" s="5">
        <f>IF(OR(P82&lt;0,P82&gt;0.5),"invalid",P82)</f>
        <v>0.1</v>
      </c>
      <c r="AK82" s="6">
        <f>IFERROR(N82*O82*(1-AJ82), "NA")</f>
        <v>4256.3519999999999</v>
      </c>
      <c r="AL82" s="6">
        <f>IFERROR(AK82-R82,"NA")</f>
        <v>1761.0219999999999</v>
      </c>
      <c r="AM82" s="5">
        <f t="shared" si="5"/>
        <v>0.41373974708858663</v>
      </c>
      <c r="AN82" t="str">
        <v>10-08-24</v>
      </c>
      <c r="AO82" t="str">
        <v>14-08-24</v>
      </c>
      <c r="AP82" t="str">
        <f t="shared" si="6"/>
        <v>August</v>
      </c>
      <c r="AQ82" t="str">
        <f t="shared" si="7"/>
        <v>2024</v>
      </c>
      <c r="AR82" t="str">
        <f t="shared" si="8"/>
        <v xml:space="preserve"> </v>
      </c>
      <c r="AS82">
        <f t="shared" si="9"/>
        <v>4</v>
      </c>
      <c r="AT82" t="str">
        <f>IF(COUNTIFS( $A:$A,A82,$B:$B,B82,$C:$C,C82,$D:$D,D82,$E:$E,E82,$F:$F,F82,$G:$G,G82,$H:$H,H82,$I:$I,I82,$J:$J,J82,$K:$K,K82,$L:$L,L82,$M:$M,M82,$T:$T,T82,$U:$U,U82,$W:$W,W82,$Z:$Z,Z82,$AA:$AA,AA82,$AB:$AB,AB82,$AC:$AC,AC82,$AD:$AD,AD82,$AE:$AE,AE82,$AF:$AF,AF82,$AG:$AG,AG82,$AH:$AH,AH82,$AI:$AI,AI82)&gt;1,"Duplicate","Unique")</f>
        <v>Unique</v>
      </c>
    </row>
    <row r="83" spans="1:46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  <c r="W83" t="s">
        <v>509</v>
      </c>
      <c r="Z83" t="s">
        <v>512</v>
      </c>
      <c r="AA83" t="str">
        <v>Karan Malhotra</v>
      </c>
      <c r="AB83" t="str">
        <f>TRIM(PROPER(F:F))</f>
        <v>Home Office</v>
      </c>
      <c r="AC83" t="str">
        <f>TRIM(PROPER(G:G))</f>
        <v>West</v>
      </c>
      <c r="AD83" t="str">
        <f>TRIM(PROPER(H:H))</f>
        <v>Goa</v>
      </c>
      <c r="AE83" t="str">
        <f>TRIM(PROPER(I:I))</f>
        <v>Panaji</v>
      </c>
      <c r="AF83" t="str">
        <f>TRIM(PROPER(J:J))</f>
        <v>Office Supplies</v>
      </c>
      <c r="AG83" t="str">
        <f>TRIM(PROPER(K:K))</f>
        <v>Labels</v>
      </c>
      <c r="AH83" t="str">
        <f>TRIM(PROPER(L:L))</f>
        <v>Eco Labels 662</v>
      </c>
      <c r="AI83" t="str">
        <f>TRIM(PROPER(M:M))</f>
        <v>Same Day</v>
      </c>
      <c r="AJ83" s="5">
        <f>IF(OR(P83&lt;0,P83&gt;0.5),"invalid",P83)</f>
        <v>0</v>
      </c>
      <c r="AK83" s="6">
        <f>IFERROR(N83*O83*(1-AJ83), "NA")</f>
        <v>5525.7300000000005</v>
      </c>
      <c r="AL83" s="6">
        <f>IFERROR(AK83-R83,"NA")</f>
        <v>2432.3100000000004</v>
      </c>
      <c r="AM83" s="5">
        <f t="shared" si="5"/>
        <v>0.44017894468242208</v>
      </c>
      <c r="AN83" t="str">
        <v>16-03-25</v>
      </c>
      <c r="AO83" t="str">
        <v>17-03-25</v>
      </c>
      <c r="AP83" t="str">
        <f t="shared" si="6"/>
        <v>March</v>
      </c>
      <c r="AQ83" t="str">
        <f t="shared" si="7"/>
        <v>2025</v>
      </c>
      <c r="AR83" t="str">
        <f t="shared" si="8"/>
        <v xml:space="preserve"> </v>
      </c>
      <c r="AS83">
        <f t="shared" si="9"/>
        <v>1</v>
      </c>
      <c r="AT83" t="str">
        <f>IF(COUNTIFS( $A:$A,A83,$B:$B,B83,$C:$C,C83,$D:$D,D83,$E:$E,E83,$F:$F,F83,$G:$G,G83,$H:$H,H83,$I:$I,I83,$J:$J,J83,$K:$K,K83,$L:$L,L83,$M:$M,M83,$T:$T,T83,$U:$U,U83,$W:$W,W83,$Z:$Z,Z83,$AA:$AA,AA83,$AB:$AB,AB83,$AC:$AC,AC83,$AD:$AD,AD83,$AE:$AE,AE83,$AF:$AF,AF83,$AG:$AG,AG83,$AH:$AH,AH83,$AI:$AI,AI83)&gt;1,"Duplicate","Unique")</f>
        <v>Unique</v>
      </c>
    </row>
    <row r="84" spans="1:46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  <c r="W84" t="s">
        <v>514</v>
      </c>
      <c r="Z84" t="s">
        <v>517</v>
      </c>
      <c r="AA84" t="str">
        <v>Arjun Bose</v>
      </c>
      <c r="AB84" t="str">
        <f>TRIM(PROPER(F:F))</f>
        <v>Consumer</v>
      </c>
      <c r="AC84" t="str">
        <f>TRIM(PROPER(G:G))</f>
        <v>North</v>
      </c>
      <c r="AD84" t="str">
        <f>TRIM(PROPER(H:H))</f>
        <v>Uttar Pradesh</v>
      </c>
      <c r="AE84" t="str">
        <f>TRIM(PROPER(I:I))</f>
        <v>Noida</v>
      </c>
      <c r="AF84" t="str">
        <f>TRIM(PROPER(J:J))</f>
        <v>Technology</v>
      </c>
      <c r="AG84" t="str">
        <f>TRIM(PROPER(K:K))</f>
        <v>Copiers</v>
      </c>
      <c r="AH84" t="str">
        <f>TRIM(PROPER(L:L))</f>
        <v>Smart Copiers 702</v>
      </c>
      <c r="AI84" t="str">
        <f>TRIM(PROPER(M:M))</f>
        <v>Second Class</v>
      </c>
      <c r="AJ84" s="5">
        <f>IF(OR(P84&lt;0,P84&gt;0.5),"invalid",P84)</f>
        <v>0</v>
      </c>
      <c r="AK84" s="6">
        <f>IFERROR(N84*O84*(1-AJ84), "NA")</f>
        <v>6010.38</v>
      </c>
      <c r="AL84" s="6">
        <f>IFERROR(AK84-R84,"NA")</f>
        <v>2247.5300000000002</v>
      </c>
      <c r="AM84" s="5">
        <f t="shared" si="5"/>
        <v>0.37394141468592673</v>
      </c>
      <c r="AN84" t="str">
        <v>03-08-24</v>
      </c>
      <c r="AO84" t="str">
        <v>04-08-24</v>
      </c>
      <c r="AP84" t="str">
        <f t="shared" si="6"/>
        <v>August</v>
      </c>
      <c r="AQ84" t="str">
        <f t="shared" si="7"/>
        <v>2024</v>
      </c>
      <c r="AR84" t="str">
        <f t="shared" si="8"/>
        <v xml:space="preserve"> </v>
      </c>
      <c r="AS84">
        <f t="shared" si="9"/>
        <v>1</v>
      </c>
      <c r="AT84" t="str">
        <f>IF(COUNTIFS( $A:$A,A84,$B:$B,B84,$C:$C,C84,$D:$D,D84,$E:$E,E84,$F:$F,F84,$G:$G,G84,$H:$H,H84,$I:$I,I84,$J:$J,J84,$K:$K,K84,$L:$L,L84,$M:$M,M84,$T:$T,T84,$U:$U,U84,$W:$W,W84,$Z:$Z,Z84,$AA:$AA,AA84,$AB:$AB,AB84,$AC:$AC,AC84,$AD:$AD,AD84,$AE:$AE,AE84,$AF:$AF,AF84,$AG:$AG,AG84,$AH:$AH,AH84,$AI:$AI,AI84)&gt;1,"Duplicate","Unique")</f>
        <v>Unique</v>
      </c>
    </row>
    <row r="85" spans="1:46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  <c r="W85" t="s">
        <v>519</v>
      </c>
      <c r="Z85" t="s">
        <v>521</v>
      </c>
      <c r="AA85" t="str">
        <v>Aditi Sen</v>
      </c>
      <c r="AB85" t="str">
        <f>TRIM(PROPER(F:F))</f>
        <v>Home Office</v>
      </c>
      <c r="AC85" t="str">
        <f>TRIM(PROPER(G:G))</f>
        <v>West</v>
      </c>
      <c r="AD85" t="str">
        <f>TRIM(PROPER(H:H))</f>
        <v>Maharashtra</v>
      </c>
      <c r="AE85" t="str">
        <f>TRIM(PROPER(I:I))</f>
        <v>Mumbai</v>
      </c>
      <c r="AF85" t="str">
        <f>TRIM(PROPER(J:J))</f>
        <v>Furniture</v>
      </c>
      <c r="AG85" t="str">
        <f>TRIM(PROPER(K:K))</f>
        <v>Tables</v>
      </c>
      <c r="AH85" t="str">
        <f>TRIM(PROPER(L:L))</f>
        <v>Elite Tables 362</v>
      </c>
      <c r="AI85" t="str">
        <f>TRIM(PROPER(M:M))</f>
        <v>Second Class</v>
      </c>
      <c r="AJ85" s="5">
        <f>IF(OR(P85&lt;0,P85&gt;0.5),"invalid",P85)</f>
        <v>0.2</v>
      </c>
      <c r="AK85" s="6">
        <f>IFERROR(N85*O85*(1-AJ85), "NA")</f>
        <v>948.52800000000013</v>
      </c>
      <c r="AL85" s="6">
        <f>IFERROR(AK85-R85,"NA")</f>
        <v>273.90800000000013</v>
      </c>
      <c r="AM85" s="5">
        <f t="shared" si="5"/>
        <v>0.28877165460587362</v>
      </c>
      <c r="AN85" t="str">
        <v>26-10-24</v>
      </c>
      <c r="AO85" t="str">
        <v>29-10-24</v>
      </c>
      <c r="AP85" t="str">
        <f t="shared" si="6"/>
        <v>October</v>
      </c>
      <c r="AQ85" t="str">
        <f t="shared" si="7"/>
        <v>2024</v>
      </c>
      <c r="AR85" t="str">
        <f t="shared" si="8"/>
        <v xml:space="preserve"> </v>
      </c>
      <c r="AS85">
        <f t="shared" si="9"/>
        <v>3</v>
      </c>
      <c r="AT85" t="str">
        <f>IF(COUNTIFS( $A:$A,A85,$B:$B,B85,$C:$C,C85,$D:$D,D85,$E:$E,E85,$F:$F,F85,$G:$G,G85,$H:$H,H85,$I:$I,I85,$J:$J,J85,$K:$K,K85,$L:$L,L85,$M:$M,M85,$T:$T,T85,$U:$U,U85,$W:$W,W85,$Z:$Z,Z85,$AA:$AA,AA85,$AB:$AB,AB85,$AC:$AC,AC85,$AD:$AD,AD85,$AE:$AE,AE85,$AF:$AF,AF85,$AG:$AG,AG85,$AH:$AH,AH85,$AI:$AI,AI85)&gt;1,"Duplicate","Unique")</f>
        <v>Unique</v>
      </c>
    </row>
    <row r="86" spans="1:46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  <c r="W86" t="s">
        <v>523</v>
      </c>
      <c r="Z86" t="s">
        <v>526</v>
      </c>
      <c r="AA86" t="str">
        <v>Rohan Mehta</v>
      </c>
      <c r="AB86" t="str">
        <f>TRIM(PROPER(F:F))</f>
        <v>Corporate</v>
      </c>
      <c r="AC86" t="str">
        <f>TRIM(PROPER(G:G))</f>
        <v>South</v>
      </c>
      <c r="AD86" t="str">
        <f>TRIM(PROPER(H:H))</f>
        <v>Tamil Nadu</v>
      </c>
      <c r="AE86" t="str">
        <f>TRIM(PROPER(I:I))</f>
        <v>Chennai</v>
      </c>
      <c r="AF86" t="str">
        <f>TRIM(PROPER(J:J))</f>
        <v>Technology</v>
      </c>
      <c r="AG86" t="str">
        <f>TRIM(PROPER(K:K))</f>
        <v>Phones</v>
      </c>
      <c r="AH86" t="str">
        <f>TRIM(PROPER(L:L))</f>
        <v>Elite Phones 781</v>
      </c>
      <c r="AI86" t="str">
        <f>TRIM(PROPER(M:M))</f>
        <v>Second Class</v>
      </c>
      <c r="AJ86" s="5">
        <f>IF(OR(P86&lt;0,P86&gt;0.5),"invalid",P86)</f>
        <v>0.2</v>
      </c>
      <c r="AK86" s="6">
        <f>IFERROR(N86*O86*(1-AJ86), "NA")</f>
        <v>2737.3440000000001</v>
      </c>
      <c r="AL86" s="6">
        <f>IFERROR(AK86-R86,"NA")</f>
        <v>651.904</v>
      </c>
      <c r="AM86" s="5">
        <f t="shared" si="5"/>
        <v>0.23815201889130486</v>
      </c>
      <c r="AN86" t="str">
        <v>01-10-24</v>
      </c>
      <c r="AO86" t="str">
        <v>03-10-24</v>
      </c>
      <c r="AP86" t="str">
        <f t="shared" si="6"/>
        <v>October</v>
      </c>
      <c r="AQ86" t="str">
        <f t="shared" si="7"/>
        <v>2024</v>
      </c>
      <c r="AR86" t="str">
        <f t="shared" si="8"/>
        <v xml:space="preserve"> </v>
      </c>
      <c r="AS86">
        <f t="shared" si="9"/>
        <v>2</v>
      </c>
      <c r="AT86" t="str">
        <f>IF(COUNTIFS( $A:$A,A86,$B:$B,B86,$C:$C,C86,$D:$D,D86,$E:$E,E86,$F:$F,F86,$G:$G,G86,$H:$H,H86,$I:$I,I86,$J:$J,J86,$K:$K,K86,$L:$L,L86,$M:$M,M86,$T:$T,T86,$U:$U,U86,$W:$W,W86,$Z:$Z,Z86,$AA:$AA,AA86,$AB:$AB,AB86,$AC:$AC,AC86,$AD:$AD,AD86,$AE:$AE,AE86,$AF:$AF,AF86,$AG:$AG,AG86,$AH:$AH,AH86,$AI:$AI,AI86)&gt;1,"Duplicate","Unique")</f>
        <v>Unique</v>
      </c>
    </row>
    <row r="87" spans="1:46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  <c r="W87" t="s">
        <v>528</v>
      </c>
      <c r="Z87" t="s">
        <v>531</v>
      </c>
      <c r="AA87" t="str">
        <v>Kabir Singh</v>
      </c>
      <c r="AB87" t="str">
        <f>TRIM(PROPER(F:F))</f>
        <v>Corporate</v>
      </c>
      <c r="AC87" t="str">
        <f>TRIM(PROPER(G:G))</f>
        <v>North</v>
      </c>
      <c r="AD87" t="str">
        <f>TRIM(PROPER(H:H))</f>
        <v>Delhi</v>
      </c>
      <c r="AE87" t="str">
        <f>TRIM(PROPER(I:I))</f>
        <v>New Delhi</v>
      </c>
      <c r="AF87" t="str">
        <f>TRIM(PROPER(J:J))</f>
        <v>Office Supplies</v>
      </c>
      <c r="AG87" t="str">
        <f>TRIM(PROPER(K:K))</f>
        <v>Binders</v>
      </c>
      <c r="AH87" t="str">
        <f>TRIM(PROPER(L:L))</f>
        <v>Eco Binders 456</v>
      </c>
      <c r="AI87" t="str">
        <f>TRIM(PROPER(M:M))</f>
        <v>Standard Class</v>
      </c>
      <c r="AJ87" s="5">
        <f>IF(OR(P87&lt;0,P87&gt;0.5),"invalid",P87)</f>
        <v>0</v>
      </c>
      <c r="AK87" s="6">
        <f>IFERROR(N87*O87*(1-AJ87), "NA")</f>
        <v>608.64</v>
      </c>
      <c r="AL87" s="6">
        <f>IFERROR(AK87-R87,"NA")</f>
        <v>264.64999999999998</v>
      </c>
      <c r="AM87" s="5">
        <f t="shared" si="5"/>
        <v>0.43482189800210302</v>
      </c>
      <c r="AN87" t="str">
        <v>30-07-24</v>
      </c>
      <c r="AO87" t="str">
        <v>08-05-24</v>
      </c>
      <c r="AP87" t="str">
        <f t="shared" si="6"/>
        <v>July</v>
      </c>
      <c r="AQ87" t="str">
        <f t="shared" si="7"/>
        <v>2024</v>
      </c>
      <c r="AR87" t="str">
        <f t="shared" si="8"/>
        <v>anomaly</v>
      </c>
      <c r="AS87">
        <f t="shared" si="9"/>
        <v>-83</v>
      </c>
      <c r="AT87" t="str">
        <f>IF(COUNTIFS( $A:$A,A87,$B:$B,B87,$C:$C,C87,$D:$D,D87,$E:$E,E87,$F:$F,F87,$G:$G,G87,$H:$H,H87,$I:$I,I87,$J:$J,J87,$K:$K,K87,$L:$L,L87,$M:$M,M87,$T:$T,T87,$U:$U,U87,$W:$W,W87,$Z:$Z,Z87,$AA:$AA,AA87,$AB:$AB,AB87,$AC:$AC,AC87,$AD:$AD,AD87,$AE:$AE,AE87,$AF:$AF,AF87,$AG:$AG,AG87,$AH:$AH,AH87,$AI:$AI,AI87)&gt;1,"Duplicate","Unique")</f>
        <v>Unique</v>
      </c>
    </row>
    <row r="88" spans="1:46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  <c r="W88" t="s">
        <v>533</v>
      </c>
      <c r="Z88" t="s">
        <v>535</v>
      </c>
      <c r="AA88" t="str">
        <v>Ananya Rao</v>
      </c>
      <c r="AB88" t="str">
        <f>TRIM(PROPER(F:F))</f>
        <v>Small Business</v>
      </c>
      <c r="AC88" t="str">
        <f>TRIM(PROPER(G:G))</f>
        <v>North</v>
      </c>
      <c r="AD88" t="str">
        <f>TRIM(PROPER(H:H))</f>
        <v>Delhi</v>
      </c>
      <c r="AE88" t="str">
        <f>TRIM(PROPER(I:I))</f>
        <v>New Delhi</v>
      </c>
      <c r="AF88" t="str">
        <f>TRIM(PROPER(J:J))</f>
        <v>Technology</v>
      </c>
      <c r="AG88" t="str">
        <f>TRIM(PROPER(K:K))</f>
        <v>Copiers</v>
      </c>
      <c r="AH88" t="str">
        <f>TRIM(PROPER(L:L))</f>
        <v>Basic Copiers 525</v>
      </c>
      <c r="AI88" t="str">
        <f>TRIM(PROPER(M:M))</f>
        <v>Second Class</v>
      </c>
      <c r="AJ88" s="5">
        <f>IF(OR(P88&lt;0,P88&gt;0.5),"invalid",P88)</f>
        <v>0.1</v>
      </c>
      <c r="AK88" s="6">
        <f>IFERROR(N88*O88*(1-AJ88), "NA")</f>
        <v>2390.2560000000003</v>
      </c>
      <c r="AL88" s="6">
        <f>IFERROR(AK88-R88,"NA")</f>
        <v>894.31600000000026</v>
      </c>
      <c r="AM88" s="5">
        <f t="shared" si="5"/>
        <v>0.37415071858411825</v>
      </c>
      <c r="AN88" t="str">
        <v>01-07-24</v>
      </c>
      <c r="AO88" t="str">
        <v>01-07-24</v>
      </c>
      <c r="AP88" t="str">
        <f t="shared" si="6"/>
        <v>July</v>
      </c>
      <c r="AQ88" t="str">
        <f t="shared" si="7"/>
        <v>2024</v>
      </c>
      <c r="AR88" t="str">
        <f t="shared" si="8"/>
        <v xml:space="preserve"> </v>
      </c>
      <c r="AS88">
        <f t="shared" si="9"/>
        <v>0</v>
      </c>
      <c r="AT88" t="str">
        <f>IF(COUNTIFS( $A:$A,A88,$B:$B,B88,$C:$C,C88,$D:$D,D88,$E:$E,E88,$F:$F,F88,$G:$G,G88,$H:$H,H88,$I:$I,I88,$J:$J,J88,$K:$K,K88,$L:$L,L88,$M:$M,M88,$T:$T,T88,$U:$U,U88,$W:$W,W88,$Z:$Z,Z88,$AA:$AA,AA88,$AB:$AB,AB88,$AC:$AC,AC88,$AD:$AD,AD88,$AE:$AE,AE88,$AF:$AF,AF88,$AG:$AG,AG88,$AH:$AH,AH88,$AI:$AI,AI88)&gt;1,"Duplicate","Unique")</f>
        <v>Unique</v>
      </c>
    </row>
    <row r="89" spans="1:46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  <c r="W89" t="s">
        <v>537</v>
      </c>
      <c r="Z89" t="s">
        <v>539</v>
      </c>
      <c r="AA89" t="str">
        <v>Vikram Iyer</v>
      </c>
      <c r="AB89" t="str">
        <f>TRIM(PROPER(F:F))</f>
        <v>Consumer</v>
      </c>
      <c r="AC89" t="str">
        <f>TRIM(PROPER(G:G))</f>
        <v>East</v>
      </c>
      <c r="AD89" t="str">
        <f>TRIM(PROPER(H:H))</f>
        <v>Assam</v>
      </c>
      <c r="AE89" t="str">
        <f>TRIM(PROPER(I:I))</f>
        <v>Guwahati</v>
      </c>
      <c r="AF89" t="str">
        <f>TRIM(PROPER(J:J))</f>
        <v>Office Supplies</v>
      </c>
      <c r="AG89" t="str">
        <f>TRIM(PROPER(K:K))</f>
        <v>Binders</v>
      </c>
      <c r="AH89" t="str">
        <f>TRIM(PROPER(L:L))</f>
        <v>Eco Binders 258</v>
      </c>
      <c r="AI89" t="str">
        <f>TRIM(PROPER(M:M))</f>
        <v>Standard Class</v>
      </c>
      <c r="AJ89" s="5">
        <f>IF(OR(P89&lt;0,P89&gt;0.5),"invalid",P89)</f>
        <v>0</v>
      </c>
      <c r="AK89" s="6">
        <f>IFERROR(N89*O89*(1-AJ89), "NA")</f>
        <v>23416.539999999997</v>
      </c>
      <c r="AL89" s="6">
        <f>IFERROR(AK89-R89,"NA")</f>
        <v>7925.6499999999978</v>
      </c>
      <c r="AM89" s="5">
        <f t="shared" si="5"/>
        <v>0.33846375254414185</v>
      </c>
      <c r="AN89" t="str">
        <v>02-08-24</v>
      </c>
      <c r="AO89" t="str">
        <v>03-08-24</v>
      </c>
      <c r="AP89" t="str">
        <f t="shared" si="6"/>
        <v>August</v>
      </c>
      <c r="AQ89" t="str">
        <f t="shared" si="7"/>
        <v>2024</v>
      </c>
      <c r="AR89" t="str">
        <f t="shared" si="8"/>
        <v xml:space="preserve"> </v>
      </c>
      <c r="AS89">
        <f t="shared" si="9"/>
        <v>1</v>
      </c>
      <c r="AT89" t="str">
        <f>IF(COUNTIFS( $A:$A,A89,$B:$B,B89,$C:$C,C89,$D:$D,D89,$E:$E,E89,$F:$F,F89,$G:$G,G89,$H:$H,H89,$I:$I,I89,$J:$J,J89,$K:$K,K89,$L:$L,L89,$M:$M,M89,$T:$T,T89,$U:$U,U89,$W:$W,W89,$Z:$Z,Z89,$AA:$AA,AA89,$AB:$AB,AB89,$AC:$AC,AC89,$AD:$AD,AD89,$AE:$AE,AE89,$AF:$AF,AF89,$AG:$AG,AG89,$AH:$AH,AH89,$AI:$AI,AI89)&gt;1,"Duplicate","Unique")</f>
        <v>Unique</v>
      </c>
    </row>
    <row r="90" spans="1:46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  <c r="W90" t="s">
        <v>541</v>
      </c>
      <c r="Z90" t="s">
        <v>544</v>
      </c>
      <c r="AA90" t="str">
        <v>Rohan Mehta</v>
      </c>
      <c r="AB90" t="str">
        <f>TRIM(PROPER(F:F))</f>
        <v>Small Business</v>
      </c>
      <c r="AC90" t="str">
        <f>TRIM(PROPER(G:G))</f>
        <v>West</v>
      </c>
      <c r="AD90" t="str">
        <f>TRIM(PROPER(H:H))</f>
        <v>Maharashtra</v>
      </c>
      <c r="AE90" t="str">
        <f>TRIM(PROPER(I:I))</f>
        <v>Mumbai</v>
      </c>
      <c r="AF90" t="str">
        <f>TRIM(PROPER(J:J))</f>
        <v>Furniture</v>
      </c>
      <c r="AG90" t="str">
        <f>TRIM(PROPER(K:K))</f>
        <v>Bookcases</v>
      </c>
      <c r="AH90" t="str">
        <f>TRIM(PROPER(L:L))</f>
        <v>Max Bookcases 398</v>
      </c>
      <c r="AI90" t="str">
        <f>TRIM(PROPER(M:M))</f>
        <v>Standard Class</v>
      </c>
      <c r="AJ90" s="5">
        <f>IF(OR(P90&lt;0,P90&gt;0.5),"invalid",P90)</f>
        <v>0.05</v>
      </c>
      <c r="AK90" s="6">
        <f>IFERROR(N90*O90*(1-AJ90), "NA")</f>
        <v>6241.0249999999996</v>
      </c>
      <c r="AL90" s="6">
        <f>IFERROR(AK90-R90,"NA")</f>
        <v>895.14499999999953</v>
      </c>
      <c r="AM90" s="5">
        <f t="shared" si="5"/>
        <v>0.14342916427990587</v>
      </c>
      <c r="AN90" t="str">
        <v>invalid date</v>
      </c>
      <c r="AO90" t="str">
        <v>27-03-24</v>
      </c>
      <c r="AP90" t="str">
        <f t="shared" si="6"/>
        <v>invalid date</v>
      </c>
      <c r="AQ90" t="str">
        <f t="shared" si="7"/>
        <v>invalid date</v>
      </c>
      <c r="AR90" t="str">
        <f t="shared" si="8"/>
        <v>Invalid</v>
      </c>
      <c r="AS90" t="str">
        <f t="shared" si="9"/>
        <v>invalid date</v>
      </c>
      <c r="AT90" t="str">
        <f>IF(COUNTIFS( $A:$A,A90,$B:$B,B90,$C:$C,C90,$D:$D,D90,$E:$E,E90,$F:$F,F90,$G:$G,G90,$H:$H,H90,$I:$I,I90,$J:$J,J90,$K:$K,K90,$L:$L,L90,$M:$M,M90,$T:$T,T90,$U:$U,U90,$W:$W,W90,$Z:$Z,Z90,$AA:$AA,AA90,$AB:$AB,AB90,$AC:$AC,AC90,$AD:$AD,AD90,$AE:$AE,AE90,$AF:$AF,AF90,$AG:$AG,AG90,$AH:$AH,AH90,$AI:$AI,AI90)&gt;1,"Duplicate","Unique")</f>
        <v>Unique</v>
      </c>
    </row>
    <row r="91" spans="1:46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  <c r="W91" t="s">
        <v>546</v>
      </c>
      <c r="Z91" t="s">
        <v>547</v>
      </c>
      <c r="AA91" t="str">
        <v>Kabir Singh</v>
      </c>
      <c r="AB91" t="str">
        <f>TRIM(PROPER(F:F))</f>
        <v>Consumer</v>
      </c>
      <c r="AC91" t="str">
        <f>TRIM(PROPER(G:G))</f>
        <v>South</v>
      </c>
      <c r="AD91" t="str">
        <f>TRIM(PROPER(H:H))</f>
        <v>Andhra Pradesh</v>
      </c>
      <c r="AE91" t="str">
        <f>TRIM(PROPER(I:I))</f>
        <v>Vijayawada</v>
      </c>
      <c r="AF91" t="str">
        <f>TRIM(PROPER(J:J))</f>
        <v>Furniture</v>
      </c>
      <c r="AG91" t="str">
        <f>TRIM(PROPER(K:K))</f>
        <v>Bookcases</v>
      </c>
      <c r="AH91" t="str">
        <f>TRIM(PROPER(L:L))</f>
        <v>Smart Bookcases 857</v>
      </c>
      <c r="AI91" t="str">
        <f>TRIM(PROPER(M:M))</f>
        <v>Standard Class</v>
      </c>
      <c r="AJ91" s="5">
        <f>IF(OR(P91&lt;0,P91&gt;0.5),"invalid",P91)</f>
        <v>0.2</v>
      </c>
      <c r="AK91" s="6">
        <f>IFERROR(N91*O91*(1-AJ91), "NA")</f>
        <v>21062.104000000003</v>
      </c>
      <c r="AL91" s="6">
        <f>IFERROR(AK91-R91,"NA")</f>
        <v>9004.9740000000038</v>
      </c>
      <c r="AM91" s="5">
        <f t="shared" si="5"/>
        <v>0.42754389589947911</v>
      </c>
      <c r="AN91" t="str">
        <v>05-09-24</v>
      </c>
      <c r="AO91" t="str">
        <v>05-09-24</v>
      </c>
      <c r="AP91" t="str">
        <f t="shared" si="6"/>
        <v>September</v>
      </c>
      <c r="AQ91" t="str">
        <f t="shared" si="7"/>
        <v>2024</v>
      </c>
      <c r="AR91" t="str">
        <f t="shared" si="8"/>
        <v xml:space="preserve"> </v>
      </c>
      <c r="AS91">
        <f t="shared" si="9"/>
        <v>0</v>
      </c>
      <c r="AT91" t="str">
        <f>IF(COUNTIFS( $A:$A,A91,$B:$B,B91,$C:$C,C91,$D:$D,D91,$E:$E,E91,$F:$F,F91,$G:$G,G91,$H:$H,H91,$I:$I,I91,$J:$J,J91,$K:$K,K91,$L:$L,L91,$M:$M,M91,$T:$T,T91,$U:$U,U91,$W:$W,W91,$Z:$Z,Z91,$AA:$AA,AA91,$AB:$AB,AB91,$AC:$AC,AC91,$AD:$AD,AD91,$AE:$AE,AE91,$AF:$AF,AF91,$AG:$AG,AG91,$AH:$AH,AH91,$AI:$AI,AI91)&gt;1,"Duplicate","Unique")</f>
        <v>Unique</v>
      </c>
    </row>
    <row r="92" spans="1:46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  <c r="W92" t="s">
        <v>549</v>
      </c>
      <c r="Z92" t="s">
        <v>551</v>
      </c>
      <c r="AA92" t="str">
        <v>Aarav Sharma</v>
      </c>
      <c r="AB92" t="str">
        <f>TRIM(PROPER(F:F))</f>
        <v>Small Business</v>
      </c>
      <c r="AC92" t="str">
        <f>TRIM(PROPER(G:G))</f>
        <v>East</v>
      </c>
      <c r="AD92" t="str">
        <f>TRIM(PROPER(H:H))</f>
        <v>Bihar</v>
      </c>
      <c r="AE92" t="str">
        <f>TRIM(PROPER(I:I))</f>
        <v>Patna</v>
      </c>
      <c r="AF92" t="str">
        <f>TRIM(PROPER(J:J))</f>
        <v>Technology</v>
      </c>
      <c r="AG92" t="str">
        <f>TRIM(PROPER(K:K))</f>
        <v>Copiers</v>
      </c>
      <c r="AH92" t="str">
        <f>TRIM(PROPER(L:L))</f>
        <v>Smart Copiers 556</v>
      </c>
      <c r="AI92" t="str">
        <f>TRIM(PROPER(M:M))</f>
        <v>First Class</v>
      </c>
      <c r="AJ92" s="5">
        <f>IF(OR(P92&lt;0,P92&gt;0.5),"invalid",P92)</f>
        <v>0.15</v>
      </c>
      <c r="AK92" s="6">
        <f>IFERROR(N92*O92*(1-AJ92), "NA")</f>
        <v>9445.098</v>
      </c>
      <c r="AL92" s="6">
        <f>IFERROR(AK92-R92,"NA")</f>
        <v>3858.8180000000002</v>
      </c>
      <c r="AM92" s="5">
        <f t="shared" si="5"/>
        <v>0.40855245758170006</v>
      </c>
      <c r="AN92" t="str">
        <v>invalid date</v>
      </c>
      <c r="AO92" t="str">
        <v>29-08-25</v>
      </c>
      <c r="AP92" t="str">
        <f t="shared" si="6"/>
        <v>invalid date</v>
      </c>
      <c r="AQ92" t="str">
        <f t="shared" si="7"/>
        <v>invalid date</v>
      </c>
      <c r="AR92" t="str">
        <f t="shared" si="8"/>
        <v>Invalid</v>
      </c>
      <c r="AS92" t="str">
        <f t="shared" si="9"/>
        <v>invalid date</v>
      </c>
      <c r="AT92" t="str">
        <f>IF(COUNTIFS( $A:$A,A92,$B:$B,B92,$C:$C,C92,$D:$D,D92,$E:$E,E92,$F:$F,F92,$G:$G,G92,$H:$H,H92,$I:$I,I92,$J:$J,J92,$K:$K,K92,$L:$L,L92,$M:$M,M92,$T:$T,T92,$U:$U,U92,$W:$W,W92,$Z:$Z,Z92,$AA:$AA,AA92,$AB:$AB,AB92,$AC:$AC,AC92,$AD:$AD,AD92,$AE:$AE,AE92,$AF:$AF,AF92,$AG:$AG,AG92,$AH:$AH,AH92,$AI:$AI,AI92)&gt;1,"Duplicate","Unique")</f>
        <v>Unique</v>
      </c>
    </row>
    <row r="93" spans="1:46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  <c r="W93" t="s">
        <v>553</v>
      </c>
      <c r="Z93" t="s">
        <v>556</v>
      </c>
      <c r="AA93" t="str">
        <v>Sneha Kapoor</v>
      </c>
      <c r="AB93" t="str">
        <f>TRIM(PROPER(F:F))</f>
        <v>Corporate</v>
      </c>
      <c r="AC93" t="str">
        <f>TRIM(PROPER(G:G))</f>
        <v>West</v>
      </c>
      <c r="AD93" t="str">
        <f>TRIM(PROPER(H:H))</f>
        <v>Madhya Pradesh</v>
      </c>
      <c r="AE93" t="str">
        <f>TRIM(PROPER(I:I))</f>
        <v>Indore</v>
      </c>
      <c r="AF93" t="str">
        <f>TRIM(PROPER(J:J))</f>
        <v>Technology</v>
      </c>
      <c r="AG93" t="str">
        <f>TRIM(PROPER(K:K))</f>
        <v>Copiers</v>
      </c>
      <c r="AH93" t="str">
        <f>TRIM(PROPER(L:L))</f>
        <v>Prime Copiers 575</v>
      </c>
      <c r="AI93" t="str">
        <f>TRIM(PROPER(M:M))</f>
        <v>Second Class</v>
      </c>
      <c r="AJ93" s="5">
        <f>IF(OR(P93&lt;0,P93&gt;0.5),"invalid",P93)</f>
        <v>0</v>
      </c>
      <c r="AK93" s="6">
        <f>IFERROR(N93*O93*(1-AJ93), "NA")</f>
        <v>2427.12</v>
      </c>
      <c r="AL93" s="6">
        <f>IFERROR(AK93-R93,"NA")</f>
        <v>888.77</v>
      </c>
      <c r="AM93" s="5">
        <f t="shared" si="5"/>
        <v>0.36618296581957216</v>
      </c>
      <c r="AN93" t="str">
        <v>02-03-25</v>
      </c>
      <c r="AO93" t="str">
        <v>03-08-25</v>
      </c>
      <c r="AP93" t="str">
        <f t="shared" si="6"/>
        <v>March</v>
      </c>
      <c r="AQ93" t="str">
        <f t="shared" si="7"/>
        <v>2025</v>
      </c>
      <c r="AR93" t="str">
        <f t="shared" si="8"/>
        <v xml:space="preserve"> </v>
      </c>
      <c r="AS93">
        <f t="shared" si="9"/>
        <v>154</v>
      </c>
      <c r="AT93" t="str">
        <f>IF(COUNTIFS( $A:$A,A93,$B:$B,B93,$C:$C,C93,$D:$D,D93,$E:$E,E93,$F:$F,F93,$G:$G,G93,$H:$H,H93,$I:$I,I93,$J:$J,J93,$K:$K,K93,$L:$L,L93,$M:$M,M93,$T:$T,T93,$U:$U,U93,$W:$W,W93,$Z:$Z,Z93,$AA:$AA,AA93,$AB:$AB,AB93,$AC:$AC,AC93,$AD:$AD,AD93,$AE:$AE,AE93,$AF:$AF,AF93,$AG:$AG,AG93,$AH:$AH,AH93,$AI:$AI,AI93)&gt;1,"Duplicate","Unique")</f>
        <v>Unique</v>
      </c>
    </row>
    <row r="94" spans="1:46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  <c r="W94" t="s">
        <v>558</v>
      </c>
      <c r="Z94" t="s">
        <v>560</v>
      </c>
      <c r="AA94" t="str">
        <v>Aarav Sharma</v>
      </c>
      <c r="AB94" t="str">
        <f>TRIM(PROPER(F:F))</f>
        <v>Consumer</v>
      </c>
      <c r="AC94" t="str">
        <f>TRIM(PROPER(G:G))</f>
        <v>West</v>
      </c>
      <c r="AD94" t="str">
        <f>TRIM(PROPER(H:H))</f>
        <v>Madhya Pradesh</v>
      </c>
      <c r="AE94" t="str">
        <f>TRIM(PROPER(I:I))</f>
        <v>Indore</v>
      </c>
      <c r="AF94" t="str">
        <f>TRIM(PROPER(J:J))</f>
        <v>Office Supplies</v>
      </c>
      <c r="AG94" t="str">
        <f>TRIM(PROPER(K:K))</f>
        <v>Paper</v>
      </c>
      <c r="AH94" t="str">
        <f>TRIM(PROPER(L:L))</f>
        <v>Elite Paper 669</v>
      </c>
      <c r="AI94" t="str">
        <f>TRIM(PROPER(M:M))</f>
        <v>Standard Class</v>
      </c>
      <c r="AJ94" s="5">
        <f>IF(OR(P94&lt;0,P94&gt;0.5),"invalid",P94)</f>
        <v>0.1</v>
      </c>
      <c r="AK94" s="6">
        <f>IFERROR(N94*O94*(1-AJ94), "NA")</f>
        <v>36111.906000000003</v>
      </c>
      <c r="AL94" s="6">
        <f>IFERROR(AK94-R94,"NA")</f>
        <v>6917.4060000000027</v>
      </c>
      <c r="AM94" s="5">
        <f t="shared" si="5"/>
        <v>0.19155471882320479</v>
      </c>
      <c r="AN94" t="str">
        <v>23-01-25</v>
      </c>
      <c r="AO94" t="str">
        <v>invalid date</v>
      </c>
      <c r="AP94" t="str">
        <f t="shared" si="6"/>
        <v>January</v>
      </c>
      <c r="AQ94" t="str">
        <f t="shared" si="7"/>
        <v>2025</v>
      </c>
      <c r="AR94" t="str">
        <f t="shared" si="8"/>
        <v>Invalid</v>
      </c>
      <c r="AS94" t="str">
        <f t="shared" si="9"/>
        <v>invalid date</v>
      </c>
      <c r="AT94" t="str">
        <f>IF(COUNTIFS( $A:$A,A94,$B:$B,B94,$C:$C,C94,$D:$D,D94,$E:$E,E94,$F:$F,F94,$G:$G,G94,$H:$H,H94,$I:$I,I94,$J:$J,J94,$K:$K,K94,$L:$L,L94,$M:$M,M94,$T:$T,T94,$U:$U,U94,$W:$W,W94,$Z:$Z,Z94,$AA:$AA,AA94,$AB:$AB,AB94,$AC:$AC,AC94,$AD:$AD,AD94,$AE:$AE,AE94,$AF:$AF,AF94,$AG:$AG,AG94,$AH:$AH,AH94,$AI:$AI,AI94)&gt;1,"Duplicate","Unique")</f>
        <v>Unique</v>
      </c>
    </row>
    <row r="95" spans="1:46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  <c r="W95" t="s">
        <v>562</v>
      </c>
      <c r="Z95" t="s">
        <v>564</v>
      </c>
      <c r="AA95" t="str">
        <v>Rohan Mehta</v>
      </c>
      <c r="AB95" t="str">
        <f>TRIM(PROPER(F:F))</f>
        <v>Corporate</v>
      </c>
      <c r="AC95" t="str">
        <f>TRIM(PROPER(G:G))</f>
        <v>North</v>
      </c>
      <c r="AD95" t="str">
        <f>TRIM(PROPER(H:H))</f>
        <v>Uttar Pradesh</v>
      </c>
      <c r="AE95" t="str">
        <f>TRIM(PROPER(I:I))</f>
        <v>Noida</v>
      </c>
      <c r="AF95" t="str">
        <f>TRIM(PROPER(J:J))</f>
        <v>Office Supplies</v>
      </c>
      <c r="AG95" t="str">
        <f>TRIM(PROPER(K:K))</f>
        <v>Binders</v>
      </c>
      <c r="AH95" t="str">
        <f>TRIM(PROPER(L:L))</f>
        <v>Eco Binders 780</v>
      </c>
      <c r="AI95" t="str">
        <f>TRIM(PROPER(M:M))</f>
        <v>Standard Class</v>
      </c>
      <c r="AJ95" s="5" t="str">
        <f>IF(OR(P95&lt;0,P95&gt;0.5),"invalid",P95)</f>
        <v>invalid</v>
      </c>
      <c r="AK95" s="6" t="str">
        <f>IFERROR(N95*O95*(1-AJ95), "NA")</f>
        <v>NA</v>
      </c>
      <c r="AL95" s="6" t="str">
        <f>IFERROR(AK95-R95,"NA")</f>
        <v>NA</v>
      </c>
      <c r="AM95" s="5" t="str">
        <f t="shared" si="5"/>
        <v>NA</v>
      </c>
      <c r="AN95" t="str">
        <v>01-07-24</v>
      </c>
      <c r="AO95" t="str">
        <v>13-01-24</v>
      </c>
      <c r="AP95" t="str">
        <f t="shared" si="6"/>
        <v>July</v>
      </c>
      <c r="AQ95" t="str">
        <f t="shared" si="7"/>
        <v>2024</v>
      </c>
      <c r="AR95" t="str">
        <f t="shared" si="8"/>
        <v xml:space="preserve"> </v>
      </c>
      <c r="AS95">
        <f t="shared" si="9"/>
        <v>-170</v>
      </c>
      <c r="AT95" t="str">
        <f>IF(COUNTIFS( $A:$A,A95,$B:$B,B95,$C:$C,C95,$D:$D,D95,$E:$E,E95,$F:$F,F95,$G:$G,G95,$H:$H,H95,$I:$I,I95,$J:$J,J95,$K:$K,K95,$L:$L,L95,$M:$M,M95,$T:$T,T95,$U:$U,U95,$W:$W,W95,$Z:$Z,Z95,$AA:$AA,AA95,$AB:$AB,AB95,$AC:$AC,AC95,$AD:$AD,AD95,$AE:$AE,AE95,$AF:$AF,AF95,$AG:$AG,AG95,$AH:$AH,AH95,$AI:$AI,AI95)&gt;1,"Duplicate","Unique")</f>
        <v>Unique</v>
      </c>
    </row>
    <row r="96" spans="1:46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  <c r="W96" t="s">
        <v>566</v>
      </c>
      <c r="Z96" t="s">
        <v>569</v>
      </c>
      <c r="AA96" t="str">
        <v>Diya Patel</v>
      </c>
      <c r="AB96" t="str">
        <f>TRIM(PROPER(F:F))</f>
        <v>Consumer</v>
      </c>
      <c r="AC96" t="str">
        <f>TRIM(PROPER(G:G))</f>
        <v>North</v>
      </c>
      <c r="AD96" t="str">
        <f>TRIM(PROPER(H:H))</f>
        <v>Haryana</v>
      </c>
      <c r="AE96" t="str">
        <f>TRIM(PROPER(I:I))</f>
        <v>Gurugram</v>
      </c>
      <c r="AF96" t="str">
        <f>TRIM(PROPER(J:J))</f>
        <v>Technology</v>
      </c>
      <c r="AG96" t="str">
        <f>TRIM(PROPER(K:K))</f>
        <v>Phones</v>
      </c>
      <c r="AH96" t="str">
        <f>TRIM(PROPER(L:L))</f>
        <v>Elite Phones 723</v>
      </c>
      <c r="AI96" t="str">
        <f>TRIM(PROPER(M:M))</f>
        <v>Second Class</v>
      </c>
      <c r="AJ96" s="5">
        <f>IF(OR(P96&lt;0,P96&gt;0.5),"invalid",P96)</f>
        <v>0</v>
      </c>
      <c r="AK96" s="6">
        <f>IFERROR(N96*O96*(1-AJ96), "NA")</f>
        <v>26470.710000000003</v>
      </c>
      <c r="AL96" s="6">
        <f>IFERROR(AK96-R96,"NA")</f>
        <v>5103.1100000000042</v>
      </c>
      <c r="AM96" s="5">
        <f t="shared" si="5"/>
        <v>0.19278326875251944</v>
      </c>
      <c r="AN96" t="str">
        <v>09-06-24</v>
      </c>
      <c r="AO96" t="str">
        <v>09-09-24</v>
      </c>
      <c r="AP96" t="str">
        <f t="shared" si="6"/>
        <v>June</v>
      </c>
      <c r="AQ96" t="str">
        <f t="shared" si="7"/>
        <v>2024</v>
      </c>
      <c r="AR96" t="str">
        <f t="shared" si="8"/>
        <v xml:space="preserve"> </v>
      </c>
      <c r="AS96">
        <f t="shared" si="9"/>
        <v>92</v>
      </c>
      <c r="AT96" t="str">
        <f>IF(COUNTIFS( $A:$A,A96,$B:$B,B96,$C:$C,C96,$D:$D,D96,$E:$E,E96,$F:$F,F96,$G:$G,G96,$H:$H,H96,$I:$I,I96,$J:$J,J96,$K:$K,K96,$L:$L,L96,$M:$M,M96,$T:$T,T96,$U:$U,U96,$W:$W,W96,$Z:$Z,Z96,$AA:$AA,AA96,$AB:$AB,AB96,$AC:$AC,AC96,$AD:$AD,AD96,$AE:$AE,AE96,$AF:$AF,AF96,$AG:$AG,AG96,$AH:$AH,AH96,$AI:$AI,AI96)&gt;1,"Duplicate","Unique")</f>
        <v>Unique</v>
      </c>
    </row>
    <row r="97" spans="1:46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  <c r="W97" t="s">
        <v>571</v>
      </c>
      <c r="Z97" t="s">
        <v>574</v>
      </c>
      <c r="AA97" t="str">
        <v>Sneha Kapoor</v>
      </c>
      <c r="AB97" t="str">
        <f>TRIM(PROPER(F:F))</f>
        <v>Corporate</v>
      </c>
      <c r="AC97" t="str">
        <f>TRIM(PROPER(G:G))</f>
        <v>West</v>
      </c>
      <c r="AD97" t="str">
        <f>TRIM(PROPER(H:H))</f>
        <v>Goa</v>
      </c>
      <c r="AE97" t="str">
        <f>TRIM(PROPER(I:I))</f>
        <v>Panaji</v>
      </c>
      <c r="AF97" t="str">
        <f>TRIM(PROPER(J:J))</f>
        <v>Furniture</v>
      </c>
      <c r="AG97" t="str">
        <f>TRIM(PROPER(K:K))</f>
        <v>Bookcases</v>
      </c>
      <c r="AH97" t="str">
        <f>TRIM(PROPER(L:L))</f>
        <v>Classic Bookcases 988</v>
      </c>
      <c r="AI97" t="str">
        <f>TRIM(PROPER(M:M))</f>
        <v>Same Day</v>
      </c>
      <c r="AJ97" s="5">
        <f>IF(OR(P97&lt;0,P97&gt;0.5),"invalid",P97)</f>
        <v>0</v>
      </c>
      <c r="AK97" s="6">
        <f>IFERROR(N97*O97*(1-AJ97), "NA")</f>
        <v>10524.78</v>
      </c>
      <c r="AL97" s="6">
        <f>IFERROR(AK97-R97,"NA")</f>
        <v>1683.7300000000014</v>
      </c>
      <c r="AM97" s="5">
        <f t="shared" si="5"/>
        <v>0.15997769074507984</v>
      </c>
      <c r="AN97" t="str">
        <v>05-09-25</v>
      </c>
      <c r="AO97" t="str">
        <v>09-10-25</v>
      </c>
      <c r="AP97" t="str">
        <f t="shared" si="6"/>
        <v>September</v>
      </c>
      <c r="AQ97" t="str">
        <f t="shared" si="7"/>
        <v>2025</v>
      </c>
      <c r="AR97" t="str">
        <f t="shared" si="8"/>
        <v xml:space="preserve"> </v>
      </c>
      <c r="AS97">
        <f t="shared" si="9"/>
        <v>34</v>
      </c>
      <c r="AT97" t="str">
        <f>IF(COUNTIFS( $A:$A,A97,$B:$B,B97,$C:$C,C97,$D:$D,D97,$E:$E,E97,$F:$F,F97,$G:$G,G97,$H:$H,H97,$I:$I,I97,$J:$J,J97,$K:$K,K97,$L:$L,L97,$M:$M,M97,$T:$T,T97,$U:$U,U97,$W:$W,W97,$Z:$Z,Z97,$AA:$AA,AA97,$AB:$AB,AB97,$AC:$AC,AC97,$AD:$AD,AD97,$AE:$AE,AE97,$AF:$AF,AF97,$AG:$AG,AG97,$AH:$AH,AH97,$AI:$AI,AI97)&gt;1,"Duplicate","Unique")</f>
        <v>Unique</v>
      </c>
    </row>
    <row r="98" spans="1:46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  <c r="W98" t="s">
        <v>576</v>
      </c>
      <c r="Z98" t="s">
        <v>579</v>
      </c>
      <c r="AA98" t="str">
        <v>Rahul Verma</v>
      </c>
      <c r="AB98" t="str">
        <f>TRIM(PROPER(F:F))</f>
        <v>Home Office</v>
      </c>
      <c r="AC98" t="str">
        <f>TRIM(PROPER(G:G))</f>
        <v>East</v>
      </c>
      <c r="AD98" t="str">
        <f>TRIM(PROPER(H:H))</f>
        <v>Odisha</v>
      </c>
      <c r="AE98" t="str">
        <f>TRIM(PROPER(I:I))</f>
        <v>Bhubaneswar</v>
      </c>
      <c r="AF98" t="str">
        <f>TRIM(PROPER(J:J))</f>
        <v>Technology</v>
      </c>
      <c r="AG98" t="str">
        <f>TRIM(PROPER(K:K))</f>
        <v>Copiers</v>
      </c>
      <c r="AH98" t="str">
        <f>TRIM(PROPER(L:L))</f>
        <v>Smart Copiers 547</v>
      </c>
      <c r="AI98" t="str">
        <f>TRIM(PROPER(M:M))</f>
        <v>Second Class</v>
      </c>
      <c r="AJ98" s="5">
        <f>IF(OR(P98&lt;0,P98&gt;0.5),"invalid",P98)</f>
        <v>0.15</v>
      </c>
      <c r="AK98" s="6">
        <f>IFERROR(N98*O98*(1-AJ98), "NA")</f>
        <v>3840.7079999999996</v>
      </c>
      <c r="AL98" s="6">
        <f>IFERROR(AK98-R98,"NA")</f>
        <v>1324.4179999999997</v>
      </c>
      <c r="AM98" s="5">
        <f t="shared" si="5"/>
        <v>0.34483694152224009</v>
      </c>
      <c r="AN98" t="str">
        <v>05-06-24</v>
      </c>
      <c r="AO98" t="str">
        <v>07-06-24</v>
      </c>
      <c r="AP98" t="str">
        <f t="shared" si="6"/>
        <v>June</v>
      </c>
      <c r="AQ98" t="str">
        <f t="shared" si="7"/>
        <v>2024</v>
      </c>
      <c r="AR98" t="str">
        <f t="shared" si="8"/>
        <v xml:space="preserve"> </v>
      </c>
      <c r="AS98">
        <f t="shared" si="9"/>
        <v>2</v>
      </c>
      <c r="AT98" t="str">
        <f>IF(COUNTIFS( $A:$A,A98,$B:$B,B98,$C:$C,C98,$D:$D,D98,$E:$E,E98,$F:$F,F98,$G:$G,G98,$H:$H,H98,$I:$I,I98,$J:$J,J98,$K:$K,K98,$L:$L,L98,$M:$M,M98,$T:$T,T98,$U:$U,U98,$W:$W,W98,$Z:$Z,Z98,$AA:$AA,AA98,$AB:$AB,AB98,$AC:$AC,AC98,$AD:$AD,AD98,$AE:$AE,AE98,$AF:$AF,AF98,$AG:$AG,AG98,$AH:$AH,AH98,$AI:$AI,AI98)&gt;1,"Duplicate","Unique")</f>
        <v>Unique</v>
      </c>
    </row>
    <row r="99" spans="1:46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  <c r="W99" t="s">
        <v>581</v>
      </c>
      <c r="Z99" t="s">
        <v>584</v>
      </c>
      <c r="AA99" t="str">
        <v>Diya Patel</v>
      </c>
      <c r="AB99" t="str">
        <f>TRIM(PROPER(F:F))</f>
        <v>Small Business</v>
      </c>
      <c r="AC99" t="str">
        <f>TRIM(PROPER(G:G))</f>
        <v>West</v>
      </c>
      <c r="AD99" t="str">
        <f>TRIM(PROPER(H:H))</f>
        <v>Gujarat</v>
      </c>
      <c r="AE99" t="str">
        <f>TRIM(PROPER(I:I))</f>
        <v>Ahmedabad</v>
      </c>
      <c r="AF99" t="str">
        <f>TRIM(PROPER(J:J))</f>
        <v>Office Supplies</v>
      </c>
      <c r="AG99" t="str">
        <f>TRIM(PROPER(K:K))</f>
        <v>Storage</v>
      </c>
      <c r="AH99" t="str">
        <f>TRIM(PROPER(L:L))</f>
        <v>Basic Storage 656</v>
      </c>
      <c r="AI99" t="str">
        <f>TRIM(PROPER(M:M))</f>
        <v>Same Day</v>
      </c>
      <c r="AJ99" s="5">
        <f>IF(OR(P99&lt;0,P99&gt;0.5),"invalid",P99)</f>
        <v>0.2</v>
      </c>
      <c r="AK99" s="6">
        <f>IFERROR(N99*O99*(1-AJ99), "NA")</f>
        <v>14409.44</v>
      </c>
      <c r="AL99" s="6">
        <f>IFERROR(AK99-R99,"NA")</f>
        <v>5599.4700000000012</v>
      </c>
      <c r="AM99" s="5">
        <f t="shared" si="5"/>
        <v>0.38859733619071951</v>
      </c>
      <c r="AN99" t="str">
        <v>08-08-25</v>
      </c>
      <c r="AO99" t="str">
        <v>11-08-25</v>
      </c>
      <c r="AP99" t="str">
        <f t="shared" si="6"/>
        <v>August</v>
      </c>
      <c r="AQ99" t="str">
        <f t="shared" si="7"/>
        <v>2025</v>
      </c>
      <c r="AR99" t="str">
        <f t="shared" si="8"/>
        <v xml:space="preserve"> </v>
      </c>
      <c r="AS99">
        <f t="shared" si="9"/>
        <v>3</v>
      </c>
      <c r="AT99" t="str">
        <f>IF(COUNTIFS( $A:$A,A99,$B:$B,B99,$C:$C,C99,$D:$D,D99,$E:$E,E99,$F:$F,F99,$G:$G,G99,$H:$H,H99,$I:$I,I99,$J:$J,J99,$K:$K,K99,$L:$L,L99,$M:$M,M99,$T:$T,T99,$U:$U,U99,$W:$W,W99,$Z:$Z,Z99,$AA:$AA,AA99,$AB:$AB,AB99,$AC:$AC,AC99,$AD:$AD,AD99,$AE:$AE,AE99,$AF:$AF,AF99,$AG:$AG,AG99,$AH:$AH,AH99,$AI:$AI,AI99)&gt;1,"Duplicate","Unique")</f>
        <v>Unique</v>
      </c>
    </row>
    <row r="100" spans="1:46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  <c r="W100" t="s">
        <v>586</v>
      </c>
      <c r="Z100" t="s">
        <v>589</v>
      </c>
      <c r="AA100" t="str">
        <v>Rohan Mehta</v>
      </c>
      <c r="AB100" t="str">
        <f>TRIM(PROPER(F:F))</f>
        <v>Home Office</v>
      </c>
      <c r="AC100" t="str">
        <f>TRIM(PROPER(G:G))</f>
        <v>South</v>
      </c>
      <c r="AD100" t="str">
        <f>TRIM(PROPER(H:H))</f>
        <v>Kerala</v>
      </c>
      <c r="AE100" t="str">
        <f>TRIM(PROPER(I:I))</f>
        <v>Kochi</v>
      </c>
      <c r="AF100" t="str">
        <f>TRIM(PROPER(J:J))</f>
        <v>Technology</v>
      </c>
      <c r="AG100" t="str">
        <f>TRIM(PROPER(K:K))</f>
        <v>Copiers</v>
      </c>
      <c r="AH100" t="str">
        <f>TRIM(PROPER(L:L))</f>
        <v>Elite Copiers 785</v>
      </c>
      <c r="AI100" t="s">
        <v>4095</v>
      </c>
      <c r="AJ100" s="5">
        <f>IF(OR(P100&lt;0,P100&gt;0.5),"invalid",P100)</f>
        <v>0.1</v>
      </c>
      <c r="AK100" s="6">
        <f>IFERROR(N100*O100*(1-AJ100), "NA")</f>
        <v>15184.295999999998</v>
      </c>
      <c r="AL100" s="6">
        <f>IFERROR(AK100-R100,"NA")</f>
        <v>3913.5559999999987</v>
      </c>
      <c r="AM100" s="5">
        <f t="shared" si="5"/>
        <v>0.25773707256497103</v>
      </c>
      <c r="AN100" t="str">
        <v>26-01-24</v>
      </c>
      <c r="AO100" t="str">
        <v>02-01-24</v>
      </c>
      <c r="AP100" t="str">
        <f t="shared" si="6"/>
        <v>January</v>
      </c>
      <c r="AQ100" t="str">
        <f t="shared" si="7"/>
        <v>2024</v>
      </c>
      <c r="AR100" t="str">
        <f t="shared" si="8"/>
        <v>anomaly</v>
      </c>
      <c r="AS100">
        <f t="shared" si="9"/>
        <v>-24</v>
      </c>
      <c r="AT100" t="str">
        <f>IF(COUNTIFS( $A:$A,A100,$B:$B,B100,$C:$C,C100,$D:$D,D100,$E:$E,E100,$F:$F,F100,$G:$G,G100,$H:$H,H100,$I:$I,I100,$J:$J,J100,$K:$K,K100,$L:$L,L100,$M:$M,M100,$T:$T,T100,$U:$U,U100,$W:$W,W100,$Z:$Z,Z100,$AA:$AA,AA100,$AB:$AB,AB100,$AC:$AC,AC100,$AD:$AD,AD100,$AE:$AE,AE100,$AF:$AF,AF100,$AG:$AG,AG100,$AH:$AH,AH100,$AI:$AI,AI100)&gt;1,"Duplicate","Unique")</f>
        <v>Unique</v>
      </c>
    </row>
    <row r="101" spans="1:46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  <c r="W101" t="s">
        <v>591</v>
      </c>
      <c r="Z101" t="s">
        <v>593</v>
      </c>
      <c r="AA101" t="str">
        <v>Aditi Sen</v>
      </c>
      <c r="AB101" t="str">
        <f>TRIM(PROPER(F:F))</f>
        <v>Small Business</v>
      </c>
      <c r="AC101" t="str">
        <f>TRIM(PROPER(G:G))</f>
        <v>West</v>
      </c>
      <c r="AD101" t="str">
        <f>TRIM(PROPER(H:H))</f>
        <v>Rajasthan</v>
      </c>
      <c r="AE101" t="str">
        <f>TRIM(PROPER(I:I))</f>
        <v>Udaipur</v>
      </c>
      <c r="AF101" t="str">
        <f>TRIM(PROPER(J:J))</f>
        <v>Technology</v>
      </c>
      <c r="AG101" t="str">
        <f>TRIM(PROPER(K:K))</f>
        <v>Accessories</v>
      </c>
      <c r="AH101" t="str">
        <f>TRIM(PROPER(L:L))</f>
        <v>Smart Accessories 542</v>
      </c>
      <c r="AI101" t="str">
        <f>TRIM(PROPER(M:M))</f>
        <v>Same Day</v>
      </c>
      <c r="AJ101" s="5">
        <f>IF(OR(P101&lt;0,P101&gt;0.5),"invalid",P101)</f>
        <v>0</v>
      </c>
      <c r="AK101" s="6">
        <f>IFERROR(N101*O101*(1-AJ101), "NA")</f>
        <v>6495.87</v>
      </c>
      <c r="AL101" s="6">
        <f>IFERROR(AK101-R101,"NA")</f>
        <v>1794.9799999999996</v>
      </c>
      <c r="AM101" s="5">
        <f t="shared" si="5"/>
        <v>0.27632634273777024</v>
      </c>
      <c r="AN101" t="str">
        <v>11-01-25</v>
      </c>
      <c r="AO101" t="str">
        <v>11-01-25</v>
      </c>
      <c r="AP101" t="str">
        <f t="shared" si="6"/>
        <v>January</v>
      </c>
      <c r="AQ101" t="str">
        <f t="shared" si="7"/>
        <v>2025</v>
      </c>
      <c r="AR101" t="str">
        <f t="shared" si="8"/>
        <v xml:space="preserve"> </v>
      </c>
      <c r="AS101">
        <f t="shared" si="9"/>
        <v>0</v>
      </c>
      <c r="AT101" t="str">
        <f>IF(COUNTIFS( $A:$A,A101,$B:$B,B101,$C:$C,C101,$D:$D,D101,$E:$E,E101,$F:$F,F101,$G:$G,G101,$H:$H,H101,$I:$I,I101,$J:$J,J101,$K:$K,K101,$L:$L,L101,$M:$M,M101,$T:$T,T101,$U:$U,U101,$W:$W,W101,$Z:$Z,Z101,$AA:$AA,AA101,$AB:$AB,AB101,$AC:$AC,AC101,$AD:$AD,AD101,$AE:$AE,AE101,$AF:$AF,AF101,$AG:$AG,AG101,$AH:$AH,AH101,$AI:$AI,AI101)&gt;1,"Duplicate","Unique")</f>
        <v>Unique</v>
      </c>
    </row>
    <row r="102" spans="1:46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  <c r="W102" t="s">
        <v>595</v>
      </c>
      <c r="Z102" t="s">
        <v>598</v>
      </c>
      <c r="AA102" t="str">
        <v>Aarav Sharma</v>
      </c>
      <c r="AB102" t="str">
        <f>TRIM(PROPER(F:F))</f>
        <v>Home Office</v>
      </c>
      <c r="AC102" t="str">
        <f>TRIM(PROPER(G:G))</f>
        <v>South</v>
      </c>
      <c r="AD102" t="str">
        <f>TRIM(PROPER(H:H))</f>
        <v>Kerala</v>
      </c>
      <c r="AE102" t="str">
        <f>TRIM(PROPER(I:I))</f>
        <v>Kochi</v>
      </c>
      <c r="AF102" t="str">
        <f>TRIM(PROPER(J:J))</f>
        <v>Office Supplies</v>
      </c>
      <c r="AG102" t="str">
        <f>TRIM(PROPER(K:K))</f>
        <v>Storage</v>
      </c>
      <c r="AH102" t="str">
        <f>TRIM(PROPER(L:L))</f>
        <v>Eco Storage 936</v>
      </c>
      <c r="AI102" t="str">
        <f>TRIM(PROPER(M:M))</f>
        <v>Standard Class</v>
      </c>
      <c r="AJ102" s="5">
        <f>IF(OR(P102&lt;0,P102&gt;0.5),"invalid",P102)</f>
        <v>0.05</v>
      </c>
      <c r="AK102" s="6">
        <f>IFERROR(N102*O102*(1-AJ102), "NA")</f>
        <v>9540.659999999998</v>
      </c>
      <c r="AL102" s="6">
        <f>IFERROR(AK102-R102,"NA")</f>
        <v>3979.1699999999983</v>
      </c>
      <c r="AM102" s="5">
        <f t="shared" si="5"/>
        <v>0.41707491934520241</v>
      </c>
      <c r="AN102" t="str">
        <v>12-09-25</v>
      </c>
      <c r="AO102" t="str">
        <v>18-09-25</v>
      </c>
      <c r="AP102" t="str">
        <f t="shared" si="6"/>
        <v>September</v>
      </c>
      <c r="AQ102" t="str">
        <f t="shared" si="7"/>
        <v>2025</v>
      </c>
      <c r="AR102" t="str">
        <f t="shared" si="8"/>
        <v xml:space="preserve"> </v>
      </c>
      <c r="AS102">
        <f t="shared" si="9"/>
        <v>6</v>
      </c>
      <c r="AT102" t="str">
        <f>IF(COUNTIFS( $A:$A,A102,$B:$B,B102,$C:$C,C102,$D:$D,D102,$E:$E,E102,$F:$F,F102,$G:$G,G102,$H:$H,H102,$I:$I,I102,$J:$J,J102,$K:$K,K102,$L:$L,L102,$M:$M,M102,$T:$T,T102,$U:$U,U102,$W:$W,W102,$Z:$Z,Z102,$AA:$AA,AA102,$AB:$AB,AB102,$AC:$AC,AC102,$AD:$AD,AD102,$AE:$AE,AE102,$AF:$AF,AF102,$AG:$AG,AG102,$AH:$AH,AH102,$AI:$AI,AI102)&gt;1,"Duplicate","Unique")</f>
        <v>Unique</v>
      </c>
    </row>
    <row r="103" spans="1:46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  <c r="W103" t="s">
        <v>600</v>
      </c>
      <c r="Z103" t="s">
        <v>602</v>
      </c>
      <c r="AA103" t="str">
        <v>Rohan Mehta</v>
      </c>
      <c r="AB103" t="str">
        <f>TRIM(PROPER(F:F))</f>
        <v>Home Office</v>
      </c>
      <c r="AC103" t="str">
        <f>TRIM(PROPER(G:G))</f>
        <v>East</v>
      </c>
      <c r="AD103" t="str">
        <f>TRIM(PROPER(H:H))</f>
        <v>Bihar</v>
      </c>
      <c r="AE103" t="str">
        <f>TRIM(PROPER(I:I))</f>
        <v>Patna</v>
      </c>
      <c r="AF103" t="str">
        <f>TRIM(PROPER(J:J))</f>
        <v>Furniture</v>
      </c>
      <c r="AG103" t="str">
        <f>TRIM(PROPER(K:K))</f>
        <v>Furnishings</v>
      </c>
      <c r="AH103" t="str">
        <f>TRIM(PROPER(L:L))</f>
        <v>Classic Furnishings 682</v>
      </c>
      <c r="AI103" t="str">
        <f>TRIM(PROPER(M:M))</f>
        <v>First Class</v>
      </c>
      <c r="AJ103" s="5">
        <f>IF(OR(P103&lt;0,P103&gt;0.5),"invalid",P103)</f>
        <v>0.25</v>
      </c>
      <c r="AK103" s="6">
        <f>IFERROR(N103*O103*(1-AJ103), "NA")</f>
        <v>16486.95</v>
      </c>
      <c r="AL103" s="6">
        <f>IFERROR(AK103-R103,"NA")</f>
        <v>4432.8100000000013</v>
      </c>
      <c r="AM103" s="5">
        <f t="shared" si="5"/>
        <v>0.26886780150361356</v>
      </c>
      <c r="AN103" t="str">
        <v>invalid date</v>
      </c>
      <c r="AO103" t="str">
        <v>26-06-24</v>
      </c>
      <c r="AP103" t="str">
        <f t="shared" si="6"/>
        <v>invalid date</v>
      </c>
      <c r="AQ103" t="str">
        <f t="shared" si="7"/>
        <v>invalid date</v>
      </c>
      <c r="AR103" t="str">
        <f t="shared" si="8"/>
        <v>Invalid</v>
      </c>
      <c r="AS103" t="str">
        <f t="shared" si="9"/>
        <v>invalid date</v>
      </c>
      <c r="AT103" t="str">
        <f>IF(COUNTIFS( $A:$A,A103,$B:$B,B103,$C:$C,C103,$D:$D,D103,$E:$E,E103,$F:$F,F103,$G:$G,G103,$H:$H,H103,$I:$I,I103,$J:$J,J103,$K:$K,K103,$L:$L,L103,$M:$M,M103,$T:$T,T103,$U:$U,U103,$W:$W,W103,$Z:$Z,Z103,$AA:$AA,AA103,$AB:$AB,AB103,$AC:$AC,AC103,$AD:$AD,AD103,$AE:$AE,AE103,$AF:$AF,AF103,$AG:$AG,AG103,$AH:$AH,AH103,$AI:$AI,AI103)&gt;1,"Duplicate","Unique")</f>
        <v>Unique</v>
      </c>
    </row>
    <row r="104" spans="1:46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  <c r="W104" t="s">
        <v>604</v>
      </c>
      <c r="Z104" t="s">
        <v>607</v>
      </c>
      <c r="AA104" t="str">
        <v>Vikram Iyer</v>
      </c>
      <c r="AB104" t="str">
        <f>TRIM(PROPER(F:F))</f>
        <v>Consumer</v>
      </c>
      <c r="AC104" t="str">
        <f>TRIM(PROPER(G:G))</f>
        <v>South</v>
      </c>
      <c r="AD104" t="str">
        <f>TRIM(PROPER(H:H))</f>
        <v>Karnataka</v>
      </c>
      <c r="AE104" t="str">
        <f>TRIM(PROPER(I:I))</f>
        <v>Bengaluru</v>
      </c>
      <c r="AF104" t="str">
        <f>TRIM(PROPER(J:J))</f>
        <v>Furniture</v>
      </c>
      <c r="AG104" t="str">
        <f>TRIM(PROPER(K:K))</f>
        <v>Chairs</v>
      </c>
      <c r="AH104" t="str">
        <f>TRIM(PROPER(L:L))</f>
        <v>Classic Chairs 604</v>
      </c>
      <c r="AI104" t="str">
        <f>TRIM(PROPER(M:M))</f>
        <v>First Class</v>
      </c>
      <c r="AJ104" s="5">
        <f>IF(OR(P104&lt;0,P104&gt;0.5),"invalid",P104)</f>
        <v>0</v>
      </c>
      <c r="AK104" s="6">
        <f>IFERROR(N104*O104*(1-AJ104), "NA")</f>
        <v>11462.84</v>
      </c>
      <c r="AL104" s="6">
        <f>IFERROR(AK104-R104,"NA")</f>
        <v>2483.0599999999995</v>
      </c>
      <c r="AM104" s="5">
        <f t="shared" si="5"/>
        <v>0.21661822026653077</v>
      </c>
      <c r="AN104" t="str">
        <v>12-07-25</v>
      </c>
      <c r="AO104" t="str">
        <v>16-07-25</v>
      </c>
      <c r="AP104" t="str">
        <f t="shared" si="6"/>
        <v>July</v>
      </c>
      <c r="AQ104" t="str">
        <f t="shared" si="7"/>
        <v>2025</v>
      </c>
      <c r="AR104" t="str">
        <f t="shared" si="8"/>
        <v xml:space="preserve"> </v>
      </c>
      <c r="AS104">
        <f t="shared" si="9"/>
        <v>4</v>
      </c>
      <c r="AT104" t="str">
        <f>IF(COUNTIFS( $A:$A,A104,$B:$B,B104,$C:$C,C104,$D:$D,D104,$E:$E,E104,$F:$F,F104,$G:$G,G104,$H:$H,H104,$I:$I,I104,$J:$J,J104,$K:$K,K104,$L:$L,L104,$M:$M,M104,$T:$T,T104,$U:$U,U104,$W:$W,W104,$Z:$Z,Z104,$AA:$AA,AA104,$AB:$AB,AB104,$AC:$AC,AC104,$AD:$AD,AD104,$AE:$AE,AE104,$AF:$AF,AF104,$AG:$AG,AG104,$AH:$AH,AH104,$AI:$AI,AI104)&gt;1,"Duplicate","Unique")</f>
        <v>Unique</v>
      </c>
    </row>
    <row r="105" spans="1:46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  <c r="W105" t="s">
        <v>609</v>
      </c>
      <c r="Z105" t="s">
        <v>612</v>
      </c>
      <c r="AA105" t="str">
        <v>Kabir Singh</v>
      </c>
      <c r="AB105" t="str">
        <f>TRIM(PROPER(F:F))</f>
        <v>Corporate</v>
      </c>
      <c r="AC105" t="str">
        <f>TRIM(PROPER(G:G))</f>
        <v>West</v>
      </c>
      <c r="AD105" t="str">
        <f>TRIM(PROPER(H:H))</f>
        <v>Maharashtra</v>
      </c>
      <c r="AE105" t="str">
        <f>TRIM(PROPER(I:I))</f>
        <v>Mumbai</v>
      </c>
      <c r="AF105" t="str">
        <f>TRIM(PROPER(J:J))</f>
        <v>Furniture</v>
      </c>
      <c r="AG105" t="str">
        <f>TRIM(PROPER(K:K))</f>
        <v>Tables</v>
      </c>
      <c r="AH105" t="str">
        <f>TRIM(PROPER(L:L))</f>
        <v>Prime Tables 377</v>
      </c>
      <c r="AI105" t="str">
        <f>TRIM(PROPER(M:M))</f>
        <v>First Class</v>
      </c>
      <c r="AJ105" s="5">
        <f>IF(OR(P105&lt;0,P105&gt;0.5),"invalid",P105)</f>
        <v>0.2</v>
      </c>
      <c r="AK105" s="6">
        <f>IFERROR(N105*O105*(1-AJ105), "NA")</f>
        <v>7809.0880000000006</v>
      </c>
      <c r="AL105" s="6">
        <f>IFERROR(AK105-R105,"NA")</f>
        <v>1151.3380000000006</v>
      </c>
      <c r="AM105" s="5">
        <f t="shared" si="5"/>
        <v>0.14743565445798543</v>
      </c>
      <c r="AN105" t="str">
        <v>05-02-25</v>
      </c>
      <c r="AO105" t="str">
        <v>05-10-25</v>
      </c>
      <c r="AP105" t="str">
        <f t="shared" si="6"/>
        <v>February</v>
      </c>
      <c r="AQ105" t="str">
        <f t="shared" si="7"/>
        <v>2025</v>
      </c>
      <c r="AR105" t="str">
        <f t="shared" si="8"/>
        <v xml:space="preserve"> </v>
      </c>
      <c r="AS105">
        <f t="shared" si="9"/>
        <v>242</v>
      </c>
      <c r="AT105" t="str">
        <f>IF(COUNTIFS( $A:$A,A105,$B:$B,B105,$C:$C,C105,$D:$D,D105,$E:$E,E105,$F:$F,F105,$G:$G,G105,$H:$H,H105,$I:$I,I105,$J:$J,J105,$K:$K,K105,$L:$L,L105,$M:$M,M105,$T:$T,T105,$U:$U,U105,$W:$W,W105,$Z:$Z,Z105,$AA:$AA,AA105,$AB:$AB,AB105,$AC:$AC,AC105,$AD:$AD,AD105,$AE:$AE,AE105,$AF:$AF,AF105,$AG:$AG,AG105,$AH:$AH,AH105,$AI:$AI,AI105)&gt;1,"Duplicate","Unique")</f>
        <v>Unique</v>
      </c>
    </row>
    <row r="106" spans="1:46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  <c r="W106" t="s">
        <v>614</v>
      </c>
      <c r="Z106" t="s">
        <v>617</v>
      </c>
      <c r="AA106" t="str">
        <v>Ananya Rao</v>
      </c>
      <c r="AB106" t="str">
        <f>TRIM(PROPER(F:F))</f>
        <v>Consumer</v>
      </c>
      <c r="AC106" t="str">
        <f>TRIM(PROPER(G:G))</f>
        <v>South</v>
      </c>
      <c r="AD106" t="str">
        <f>TRIM(PROPER(H:H))</f>
        <v>Karnataka</v>
      </c>
      <c r="AE106" t="str">
        <f>TRIM(PROPER(I:I))</f>
        <v>Bengaluru</v>
      </c>
      <c r="AF106" t="str">
        <f>TRIM(PROPER(J:J))</f>
        <v>Office Supplies</v>
      </c>
      <c r="AG106" t="str">
        <f>TRIM(PROPER(K:K))</f>
        <v>Labels</v>
      </c>
      <c r="AH106" t="str">
        <f>TRIM(PROPER(L:L))</f>
        <v>Prime Labels 807</v>
      </c>
      <c r="AI106" t="str">
        <f>TRIM(PROPER(M:M))</f>
        <v>Same Day</v>
      </c>
      <c r="AJ106" s="5">
        <f>IF(OR(P106&lt;0,P106&gt;0.5),"invalid",P106)</f>
        <v>0.25</v>
      </c>
      <c r="AK106" s="6">
        <f>IFERROR(N106*O106*(1-AJ106), "NA")</f>
        <v>7922.0250000000005</v>
      </c>
      <c r="AL106" s="6">
        <f>IFERROR(AK106-R106,"NA")</f>
        <v>2302.0750000000007</v>
      </c>
      <c r="AM106" s="5">
        <f t="shared" si="5"/>
        <v>0.29059173633004193</v>
      </c>
      <c r="AN106" t="str">
        <v>01-02-25</v>
      </c>
      <c r="AO106" t="str">
        <v>02-08-25</v>
      </c>
      <c r="AP106" t="str">
        <f t="shared" si="6"/>
        <v>February</v>
      </c>
      <c r="AQ106" t="str">
        <f t="shared" si="7"/>
        <v>2025</v>
      </c>
      <c r="AR106" t="str">
        <f t="shared" si="8"/>
        <v xml:space="preserve"> </v>
      </c>
      <c r="AS106">
        <f t="shared" si="9"/>
        <v>182</v>
      </c>
      <c r="AT106" t="str">
        <f>IF(COUNTIFS( $A:$A,A106,$B:$B,B106,$C:$C,C106,$D:$D,D106,$E:$E,E106,$F:$F,F106,$G:$G,G106,$H:$H,H106,$I:$I,I106,$J:$J,J106,$K:$K,K106,$L:$L,L106,$M:$M,M106,$T:$T,T106,$U:$U,U106,$W:$W,W106,$Z:$Z,Z106,$AA:$AA,AA106,$AB:$AB,AB106,$AC:$AC,AC106,$AD:$AD,AD106,$AE:$AE,AE106,$AF:$AF,AF106,$AG:$AG,AG106,$AH:$AH,AH106,$AI:$AI,AI106)&gt;1,"Duplicate","Unique")</f>
        <v>Unique</v>
      </c>
    </row>
    <row r="107" spans="1:46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  <c r="W107" t="s">
        <v>619</v>
      </c>
      <c r="Z107" t="s">
        <v>622</v>
      </c>
      <c r="AA107" t="str">
        <v>Mira Das</v>
      </c>
      <c r="AB107" t="str">
        <f>TRIM(PROPER(F:F))</f>
        <v>Home Office</v>
      </c>
      <c r="AC107" t="str">
        <f>TRIM(PROPER(G:G))</f>
        <v>East</v>
      </c>
      <c r="AD107" t="str">
        <f>TRIM(PROPER(H:H))</f>
        <v>West Bengal</v>
      </c>
      <c r="AE107" t="str">
        <f>TRIM(PROPER(I:I))</f>
        <v>Kolkata</v>
      </c>
      <c r="AF107" t="str">
        <f>TRIM(PROPER(J:J))</f>
        <v>Furniture</v>
      </c>
      <c r="AG107" t="str">
        <f>TRIM(PROPER(K:K))</f>
        <v>Tables</v>
      </c>
      <c r="AH107" t="str">
        <f>TRIM(PROPER(L:L))</f>
        <v>Eco Tables 575</v>
      </c>
      <c r="AI107" t="str">
        <f>TRIM(PROPER(M:M))</f>
        <v>Second Class</v>
      </c>
      <c r="AJ107" s="5">
        <f>IF(OR(P107&lt;0,P107&gt;0.5),"invalid",P107)</f>
        <v>0.1</v>
      </c>
      <c r="AK107" s="6">
        <f>IFERROR(N107*O107*(1-AJ107), "NA")</f>
        <v>1233</v>
      </c>
      <c r="AL107" s="6">
        <f>IFERROR(AK107-R107,"NA")</f>
        <v>226.10000000000002</v>
      </c>
      <c r="AM107" s="5">
        <f t="shared" si="5"/>
        <v>0.18337388483373887</v>
      </c>
      <c r="AN107" t="str">
        <v>invalid date</v>
      </c>
      <c r="AO107" t="str">
        <v>29-06-24</v>
      </c>
      <c r="AP107" t="str">
        <f t="shared" si="6"/>
        <v>invalid date</v>
      </c>
      <c r="AQ107" t="str">
        <f t="shared" si="7"/>
        <v>invalid date</v>
      </c>
      <c r="AR107" t="str">
        <f t="shared" si="8"/>
        <v>Invalid</v>
      </c>
      <c r="AS107" t="str">
        <f t="shared" si="9"/>
        <v>invalid date</v>
      </c>
      <c r="AT107" t="str">
        <f>IF(COUNTIFS( $A:$A,A107,$B:$B,B107,$C:$C,C107,$D:$D,D107,$E:$E,E107,$F:$F,F107,$G:$G,G107,$H:$H,H107,$I:$I,I107,$J:$J,J107,$K:$K,K107,$L:$L,L107,$M:$M,M107,$T:$T,T107,$U:$U,U107,$W:$W,W107,$Z:$Z,Z107,$AA:$AA,AA107,$AB:$AB,AB107,$AC:$AC,AC107,$AD:$AD,AD107,$AE:$AE,AE107,$AF:$AF,AF107,$AG:$AG,AG107,$AH:$AH,AH107,$AI:$AI,AI107)&gt;1,"Duplicate","Unique")</f>
        <v>Unique</v>
      </c>
    </row>
    <row r="108" spans="1:46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  <c r="W108" t="s">
        <v>624</v>
      </c>
      <c r="Z108" t="s">
        <v>627</v>
      </c>
      <c r="AA108" t="str">
        <v>Arjun Bose</v>
      </c>
      <c r="AB108" t="str">
        <f>TRIM(PROPER(F:F))</f>
        <v>Home Office</v>
      </c>
      <c r="AC108" t="str">
        <f>TRIM(PROPER(G:G))</f>
        <v>East</v>
      </c>
      <c r="AD108" t="str">
        <f>TRIM(PROPER(H:H))</f>
        <v>West Bengal</v>
      </c>
      <c r="AE108" t="str">
        <f>TRIM(PROPER(I:I))</f>
        <v>Kolkata</v>
      </c>
      <c r="AF108" t="str">
        <f>TRIM(PROPER(J:J))</f>
        <v>Office Supplies</v>
      </c>
      <c r="AG108" t="str">
        <f>TRIM(PROPER(K:K))</f>
        <v>Paper</v>
      </c>
      <c r="AH108" t="str">
        <f>TRIM(PROPER(L:L))</f>
        <v>Eco Paper 918</v>
      </c>
      <c r="AI108" t="str">
        <f>TRIM(PROPER(M:M))</f>
        <v>Standard Class</v>
      </c>
      <c r="AJ108" s="5">
        <f>IF(OR(P108&lt;0,P108&gt;0.5),"invalid",P108)</f>
        <v>0</v>
      </c>
      <c r="AK108" s="6">
        <f>IFERROR(N108*O108*(1-AJ108), "NA")</f>
        <v>8008.08</v>
      </c>
      <c r="AL108" s="6">
        <f>IFERROR(AK108-R108,"NA")</f>
        <v>2298.6899999999996</v>
      </c>
      <c r="AM108" s="5">
        <f t="shared" si="5"/>
        <v>0.28704633320346445</v>
      </c>
      <c r="AN108" t="str">
        <v>20-02-24</v>
      </c>
      <c r="AO108" t="str">
        <v>28-02-24</v>
      </c>
      <c r="AP108" t="str">
        <f t="shared" si="6"/>
        <v>February</v>
      </c>
      <c r="AQ108" t="str">
        <f t="shared" si="7"/>
        <v>2024</v>
      </c>
      <c r="AR108" t="str">
        <f t="shared" si="8"/>
        <v xml:space="preserve"> </v>
      </c>
      <c r="AS108">
        <f t="shared" si="9"/>
        <v>8</v>
      </c>
      <c r="AT108" t="str">
        <f>IF(COUNTIFS( $A:$A,A108,$B:$B,B108,$C:$C,C108,$D:$D,D108,$E:$E,E108,$F:$F,F108,$G:$G,G108,$H:$H,H108,$I:$I,I108,$J:$J,J108,$K:$K,K108,$L:$L,L108,$M:$M,M108,$T:$T,T108,$U:$U,U108,$W:$W,W108,$Z:$Z,Z108,$AA:$AA,AA108,$AB:$AB,AB108,$AC:$AC,AC108,$AD:$AD,AD108,$AE:$AE,AE108,$AF:$AF,AF108,$AG:$AG,AG108,$AH:$AH,AH108,$AI:$AI,AI108)&gt;1,"Duplicate","Unique")</f>
        <v>Unique</v>
      </c>
    </row>
    <row r="109" spans="1:46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  <c r="W109" t="s">
        <v>629</v>
      </c>
      <c r="Z109" t="s">
        <v>632</v>
      </c>
      <c r="AA109" t="str">
        <v>Rohan Mehta</v>
      </c>
      <c r="AB109" t="str">
        <f>TRIM(PROPER(F:F))</f>
        <v>Home Office</v>
      </c>
      <c r="AC109" t="str">
        <f>TRIM(PROPER(G:G))</f>
        <v>East</v>
      </c>
      <c r="AD109" t="str">
        <f>TRIM(PROPER(H:H))</f>
        <v>West Bengal</v>
      </c>
      <c r="AE109" t="str">
        <f>TRIM(PROPER(I:I))</f>
        <v>Kolkata</v>
      </c>
      <c r="AF109" t="str">
        <f>TRIM(PROPER(J:J))</f>
        <v>Furniture</v>
      </c>
      <c r="AG109" t="str">
        <f>TRIM(PROPER(K:K))</f>
        <v>Furnishings</v>
      </c>
      <c r="AH109" t="str">
        <f>TRIM(PROPER(L:L))</f>
        <v>Prime Furnishings 952</v>
      </c>
      <c r="AI109" t="str">
        <f>TRIM(PROPER(M:M))</f>
        <v>First Class</v>
      </c>
      <c r="AJ109" s="5">
        <f>IF(OR(P109&lt;0,P109&gt;0.5),"invalid",P109)</f>
        <v>0.05</v>
      </c>
      <c r="AK109" s="6">
        <f>IFERROR(N109*O109*(1-AJ109), "NA")</f>
        <v>12263.236500000001</v>
      </c>
      <c r="AL109" s="6">
        <f>IFERROR(AK109-R109,"NA")</f>
        <v>3337.6665000000012</v>
      </c>
      <c r="AM109" s="5">
        <f t="shared" si="5"/>
        <v>0.27216848504878799</v>
      </c>
      <c r="AN109" t="str">
        <v>29-10-24</v>
      </c>
      <c r="AO109" t="str">
        <v>04-11-24</v>
      </c>
      <c r="AP109" t="str">
        <f t="shared" si="6"/>
        <v>October</v>
      </c>
      <c r="AQ109" t="str">
        <f t="shared" si="7"/>
        <v>2024</v>
      </c>
      <c r="AR109" t="str">
        <f t="shared" si="8"/>
        <v>anomaly</v>
      </c>
      <c r="AS109">
        <f t="shared" si="9"/>
        <v>6</v>
      </c>
      <c r="AT109" t="str">
        <f>IF(COUNTIFS( $A:$A,A109,$B:$B,B109,$C:$C,C109,$D:$D,D109,$E:$E,E109,$F:$F,F109,$G:$G,G109,$H:$H,H109,$I:$I,I109,$J:$J,J109,$K:$K,K109,$L:$L,L109,$M:$M,M109,$T:$T,T109,$U:$U,U109,$W:$W,W109,$Z:$Z,Z109,$AA:$AA,AA109,$AB:$AB,AB109,$AC:$AC,AC109,$AD:$AD,AD109,$AE:$AE,AE109,$AF:$AF,AF109,$AG:$AG,AG109,$AH:$AH,AH109,$AI:$AI,AI109)&gt;1,"Duplicate","Unique")</f>
        <v>Unique</v>
      </c>
    </row>
    <row r="110" spans="1:46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  <c r="W110" t="s">
        <v>634</v>
      </c>
      <c r="Z110" t="s">
        <v>637</v>
      </c>
      <c r="AA110" t="str">
        <v>Aditi Sen</v>
      </c>
      <c r="AB110" t="str">
        <f>TRIM(PROPER(F:F))</f>
        <v>Small Business</v>
      </c>
      <c r="AC110" t="str">
        <f>TRIM(PROPER(G:G))</f>
        <v>East</v>
      </c>
      <c r="AD110" t="str">
        <f>TRIM(PROPER(H:H))</f>
        <v>Odisha</v>
      </c>
      <c r="AE110" t="str">
        <f>TRIM(PROPER(I:I))</f>
        <v>Bhubaneswar</v>
      </c>
      <c r="AF110" t="str">
        <f>TRIM(PROPER(J:J))</f>
        <v>Furniture</v>
      </c>
      <c r="AG110" t="str">
        <f>TRIM(PROPER(K:K))</f>
        <v>Bookcases</v>
      </c>
      <c r="AH110" t="str">
        <f>TRIM(PROPER(L:L))</f>
        <v>Prime Bookcases 631</v>
      </c>
      <c r="AI110" t="str">
        <f>TRIM(PROPER(M:M))</f>
        <v>Same Day</v>
      </c>
      <c r="AJ110" s="5">
        <f>IF(OR(P110&lt;0,P110&gt;0.5),"invalid",P110)</f>
        <v>0.25</v>
      </c>
      <c r="AK110" s="6">
        <f>IFERROR(N110*O110*(1-AJ110), "NA")</f>
        <v>806.31</v>
      </c>
      <c r="AL110" s="6">
        <f>IFERROR(AK110-R110,"NA")</f>
        <v>307.80999999999995</v>
      </c>
      <c r="AM110" s="5">
        <f t="shared" si="5"/>
        <v>0.38175143555208291</v>
      </c>
      <c r="AN110" t="str">
        <v>15-08-24</v>
      </c>
      <c r="AO110" t="str">
        <v>invalid date</v>
      </c>
      <c r="AP110" t="str">
        <f t="shared" si="6"/>
        <v>August</v>
      </c>
      <c r="AQ110" t="str">
        <f t="shared" si="7"/>
        <v>2024</v>
      </c>
      <c r="AR110" t="str">
        <f t="shared" si="8"/>
        <v>Invalid</v>
      </c>
      <c r="AS110" t="str">
        <f t="shared" si="9"/>
        <v>invalid date</v>
      </c>
      <c r="AT110" t="str">
        <f>IF(COUNTIFS( $A:$A,A110,$B:$B,B110,$C:$C,C110,$D:$D,D110,$E:$E,E110,$F:$F,F110,$G:$G,G110,$H:$H,H110,$I:$I,I110,$J:$J,J110,$K:$K,K110,$L:$L,L110,$M:$M,M110,$T:$T,T110,$U:$U,U110,$W:$W,W110,$Z:$Z,Z110,$AA:$AA,AA110,$AB:$AB,AB110,$AC:$AC,AC110,$AD:$AD,AD110,$AE:$AE,AE110,$AF:$AF,AF110,$AG:$AG,AG110,$AH:$AH,AH110,$AI:$AI,AI110)&gt;1,"Duplicate","Unique")</f>
        <v>Unique</v>
      </c>
    </row>
    <row r="111" spans="1:46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  <c r="W111" t="s">
        <v>639</v>
      </c>
      <c r="Z111" t="s">
        <v>641</v>
      </c>
      <c r="AA111" t="str">
        <v>Sneha Kapoor</v>
      </c>
      <c r="AB111" t="str">
        <f>TRIM(PROPER(F:F))</f>
        <v>Consumer</v>
      </c>
      <c r="AC111" t="str">
        <f>TRIM(PROPER(G:G))</f>
        <v>North</v>
      </c>
      <c r="AD111" t="str">
        <f>TRIM(PROPER(H:H))</f>
        <v>Delhi</v>
      </c>
      <c r="AE111" t="str">
        <f>TRIM(PROPER(I:I))</f>
        <v>New Delhi</v>
      </c>
      <c r="AF111" t="str">
        <f>TRIM(PROPER(J:J))</f>
        <v>Office Supplies</v>
      </c>
      <c r="AG111" t="str">
        <f>TRIM(PROPER(K:K))</f>
        <v>Binders</v>
      </c>
      <c r="AH111" t="str">
        <f>TRIM(PROPER(L:L))</f>
        <v>Classic Binders 660</v>
      </c>
      <c r="AI111" t="str">
        <f>TRIM(PROPER(M:M))</f>
        <v>Second Class</v>
      </c>
      <c r="AJ111" s="5">
        <f>IF(OR(P111&lt;0,P111&gt;0.5),"invalid",P111)</f>
        <v>0.25</v>
      </c>
      <c r="AK111" s="6">
        <f>IFERROR(N111*O111*(1-AJ111), "NA")</f>
        <v>2091.4650000000001</v>
      </c>
      <c r="AL111" s="6">
        <f>IFERROR(AK111-R111,"NA")</f>
        <v>774.24500000000012</v>
      </c>
      <c r="AM111" s="5">
        <f t="shared" si="5"/>
        <v>0.37019266399389905</v>
      </c>
      <c r="AN111" t="str">
        <v>23-08-25</v>
      </c>
      <c r="AO111" t="str">
        <v>invalid date</v>
      </c>
      <c r="AP111" t="str">
        <f t="shared" si="6"/>
        <v>August</v>
      </c>
      <c r="AQ111" t="str">
        <f t="shared" si="7"/>
        <v>2025</v>
      </c>
      <c r="AR111" t="str">
        <f t="shared" si="8"/>
        <v>Invalid</v>
      </c>
      <c r="AS111" t="str">
        <f t="shared" si="9"/>
        <v>invalid date</v>
      </c>
      <c r="AT111" t="str">
        <f>IF(COUNTIFS( $A:$A,A111,$B:$B,B111,$C:$C,C111,$D:$D,D111,$E:$E,E111,$F:$F,F111,$G:$G,G111,$H:$H,H111,$I:$I,I111,$J:$J,J111,$K:$K,K111,$L:$L,L111,$M:$M,M111,$T:$T,T111,$U:$U,U111,$W:$W,W111,$Z:$Z,Z111,$AA:$AA,AA111,$AB:$AB,AB111,$AC:$AC,AC111,$AD:$AD,AD111,$AE:$AE,AE111,$AF:$AF,AF111,$AG:$AG,AG111,$AH:$AH,AH111,$AI:$AI,AI111)&gt;1,"Duplicate","Unique")</f>
        <v>Unique</v>
      </c>
    </row>
    <row r="112" spans="1:46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  <c r="W112" t="s">
        <v>643</v>
      </c>
      <c r="Z112" t="s">
        <v>646</v>
      </c>
      <c r="AA112" t="str">
        <v>Vikram Iyer</v>
      </c>
      <c r="AB112" t="str">
        <f>TRIM(PROPER(F:F))</f>
        <v>Corporate</v>
      </c>
      <c r="AC112" t="str">
        <f>TRIM(PROPER(G:G))</f>
        <v>South</v>
      </c>
      <c r="AD112" t="str">
        <f>TRIM(PROPER(H:H))</f>
        <v>Kerala</v>
      </c>
      <c r="AE112" t="str">
        <f>TRIM(PROPER(I:I))</f>
        <v>Kochi</v>
      </c>
      <c r="AF112" t="str">
        <f>TRIM(PROPER(J:J))</f>
        <v>Office Supplies</v>
      </c>
      <c r="AG112" t="str">
        <f>TRIM(PROPER(K:K))</f>
        <v>Labels</v>
      </c>
      <c r="AH112" t="str">
        <f>TRIM(PROPER(L:L))</f>
        <v>Pro Labels 255</v>
      </c>
      <c r="AI112" t="str">
        <f>TRIM(PROPER(M:M))</f>
        <v>First Class</v>
      </c>
      <c r="AJ112" s="5">
        <f>IF(OR(P112&lt;0,P112&gt;0.5),"invalid",P112)</f>
        <v>0</v>
      </c>
      <c r="AK112" s="6">
        <f>IFERROR(N112*O112*(1-AJ112), "NA")</f>
        <v>4500.9399999999996</v>
      </c>
      <c r="AL112" s="6">
        <f>IFERROR(AK112-R112,"NA")</f>
        <v>1893.2099999999996</v>
      </c>
      <c r="AM112" s="5">
        <f t="shared" si="5"/>
        <v>0.42062546934640316</v>
      </c>
      <c r="AN112" t="str">
        <v>invalid date</v>
      </c>
      <c r="AO112" t="str">
        <v>24-10-24</v>
      </c>
      <c r="AP112" t="str">
        <f t="shared" si="6"/>
        <v>invalid date</v>
      </c>
      <c r="AQ112" t="str">
        <f t="shared" si="7"/>
        <v>invalid date</v>
      </c>
      <c r="AR112" t="str">
        <f t="shared" si="8"/>
        <v>Invalid</v>
      </c>
      <c r="AS112" t="str">
        <f t="shared" si="9"/>
        <v>invalid date</v>
      </c>
      <c r="AT112" t="str">
        <f>IF(COUNTIFS( $A:$A,A112,$B:$B,B112,$C:$C,C112,$D:$D,D112,$E:$E,E112,$F:$F,F112,$G:$G,G112,$H:$H,H112,$I:$I,I112,$J:$J,J112,$K:$K,K112,$L:$L,L112,$M:$M,M112,$T:$T,T112,$U:$U,U112,$W:$W,W112,$Z:$Z,Z112,$AA:$AA,AA112,$AB:$AB,AB112,$AC:$AC,AC112,$AD:$AD,AD112,$AE:$AE,AE112,$AF:$AF,AF112,$AG:$AG,AG112,$AH:$AH,AH112,$AI:$AI,AI112)&gt;1,"Duplicate","Unique")</f>
        <v>Unique</v>
      </c>
    </row>
    <row r="113" spans="1:46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  <c r="W113" t="s">
        <v>648</v>
      </c>
      <c r="Z113" t="s">
        <v>651</v>
      </c>
      <c r="AA113" t="str">
        <v>Neha Gupta</v>
      </c>
      <c r="AB113" t="str">
        <f>TRIM(PROPER(F:F))</f>
        <v>Corporate</v>
      </c>
      <c r="AC113" t="str">
        <f>TRIM(PROPER(G:G))</f>
        <v>East</v>
      </c>
      <c r="AD113" t="str">
        <f>TRIM(PROPER(H:H))</f>
        <v>Bihar</v>
      </c>
      <c r="AE113" t="str">
        <f>TRIM(PROPER(I:I))</f>
        <v>Patna</v>
      </c>
      <c r="AF113" t="str">
        <f>TRIM(PROPER(J:J))</f>
        <v>Technology</v>
      </c>
      <c r="AG113" t="str">
        <f>TRIM(PROPER(K:K))</f>
        <v>Accessories</v>
      </c>
      <c r="AH113" t="str">
        <f>TRIM(PROPER(L:L))</f>
        <v>Basic Accessories 187</v>
      </c>
      <c r="AI113" t="str">
        <f>TRIM(PROPER(M:M))</f>
        <v>First Class</v>
      </c>
      <c r="AJ113" s="5">
        <f>IF(OR(P113&lt;0,P113&gt;0.5),"invalid",P113)</f>
        <v>0.05</v>
      </c>
      <c r="AK113" s="6">
        <f>IFERROR(N113*O113*(1-AJ113), "NA")</f>
        <v>1623.018</v>
      </c>
      <c r="AL113" s="6">
        <f>IFERROR(AK113-R113,"NA")</f>
        <v>545.55799999999999</v>
      </c>
      <c r="AM113" s="5">
        <f t="shared" si="5"/>
        <v>0.3361379849145234</v>
      </c>
      <c r="AN113" t="str">
        <v>invalid date</v>
      </c>
      <c r="AO113" t="str">
        <v>30-06-25</v>
      </c>
      <c r="AP113" t="str">
        <f t="shared" si="6"/>
        <v>invalid date</v>
      </c>
      <c r="AQ113" t="str">
        <f t="shared" si="7"/>
        <v>invalid date</v>
      </c>
      <c r="AR113" t="str">
        <f t="shared" si="8"/>
        <v>Invalid</v>
      </c>
      <c r="AS113" t="str">
        <f t="shared" si="9"/>
        <v>invalid date</v>
      </c>
      <c r="AT113" t="str">
        <f>IF(COUNTIFS( $A:$A,A113,$B:$B,B113,$C:$C,C113,$D:$D,D113,$E:$E,E113,$F:$F,F113,$G:$G,G113,$H:$H,H113,$I:$I,I113,$J:$J,J113,$K:$K,K113,$L:$L,L113,$M:$M,M113,$T:$T,T113,$U:$U,U113,$W:$W,W113,$Z:$Z,Z113,$AA:$AA,AA113,$AB:$AB,AB113,$AC:$AC,AC113,$AD:$AD,AD113,$AE:$AE,AE113,$AF:$AF,AF113,$AG:$AG,AG113,$AH:$AH,AH113,$AI:$AI,AI113)&gt;1,"Duplicate","Unique")</f>
        <v>Unique</v>
      </c>
    </row>
    <row r="114" spans="1:46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  <c r="W114" t="s">
        <v>653</v>
      </c>
      <c r="Z114" t="s">
        <v>656</v>
      </c>
      <c r="AA114" t="str">
        <v>Sneha Kapoor</v>
      </c>
      <c r="AB114" t="str">
        <f>TRIM(PROPER(F:F))</f>
        <v>Consumer</v>
      </c>
      <c r="AC114" t="s">
        <v>4111</v>
      </c>
      <c r="AD114" t="str">
        <f>TRIM(PROPER(H:H))</f>
        <v>Gujarat</v>
      </c>
      <c r="AE114" t="str">
        <f>TRIM(PROPER(I:I))</f>
        <v>Ahmedabad</v>
      </c>
      <c r="AF114" t="str">
        <f>TRIM(PROPER(J:J))</f>
        <v>Technology</v>
      </c>
      <c r="AG114" t="str">
        <f>TRIM(PROPER(K:K))</f>
        <v>Accessories</v>
      </c>
      <c r="AH114" t="str">
        <f>TRIM(PROPER(L:L))</f>
        <v>Max Accessories 451</v>
      </c>
      <c r="AI114" t="str">
        <f>TRIM(PROPER(M:M))</f>
        <v>Standard Class</v>
      </c>
      <c r="AJ114" s="5">
        <f>IF(OR(P114&lt;0,P114&gt;0.5),"invalid",P114)</f>
        <v>0.05</v>
      </c>
      <c r="AK114" s="6">
        <f>IFERROR(N114*O114*(1-AJ114), "NA")</f>
        <v>10914.018</v>
      </c>
      <c r="AL114" s="6">
        <f>IFERROR(AK114-R114,"NA")</f>
        <v>4365.2780000000002</v>
      </c>
      <c r="AM114" s="5">
        <f t="shared" si="5"/>
        <v>0.39996983695647198</v>
      </c>
      <c r="AN114" t="str">
        <v>10-01-24</v>
      </c>
      <c r="AO114" t="str">
        <v>14-01-24</v>
      </c>
      <c r="AP114" t="str">
        <f t="shared" si="6"/>
        <v>January</v>
      </c>
      <c r="AQ114" t="str">
        <f t="shared" si="7"/>
        <v>2024</v>
      </c>
      <c r="AR114" t="str">
        <f t="shared" si="8"/>
        <v xml:space="preserve"> </v>
      </c>
      <c r="AS114">
        <f t="shared" si="9"/>
        <v>4</v>
      </c>
      <c r="AT114" t="str">
        <f>IF(COUNTIFS( $A:$A,A114,$B:$B,B114,$C:$C,C114,$D:$D,D114,$E:$E,E114,$F:$F,F114,$G:$G,G114,$H:$H,H114,$I:$I,I114,$J:$J,J114,$K:$K,K114,$L:$L,L114,$M:$M,M114,$T:$T,T114,$U:$U,U114,$W:$W,W114,$Z:$Z,Z114,$AA:$AA,AA114,$AB:$AB,AB114,$AC:$AC,AC114,$AD:$AD,AD114,$AE:$AE,AE114,$AF:$AF,AF114,$AG:$AG,AG114,$AH:$AH,AH114,$AI:$AI,AI114)&gt;1,"Duplicate","Unique")</f>
        <v>Unique</v>
      </c>
    </row>
    <row r="115" spans="1:46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  <c r="W115" t="s">
        <v>658</v>
      </c>
      <c r="Z115" t="s">
        <v>521</v>
      </c>
      <c r="AA115" t="str">
        <v>Isha Nair</v>
      </c>
      <c r="AB115" t="str">
        <f>TRIM(PROPER(F:F))</f>
        <v>Home Office</v>
      </c>
      <c r="AC115" t="str">
        <f>TRIM(PROPER(G:G))</f>
        <v>South</v>
      </c>
      <c r="AD115" t="str">
        <f>TRIM(PROPER(H:H))</f>
        <v>Tamil Nadu</v>
      </c>
      <c r="AE115" t="str">
        <f>TRIM(PROPER(I:I))</f>
        <v>Chennai</v>
      </c>
      <c r="AF115" t="str">
        <f>TRIM(PROPER(J:J))</f>
        <v>Furniture</v>
      </c>
      <c r="AG115" t="str">
        <f>TRIM(PROPER(K:K))</f>
        <v>Tables</v>
      </c>
      <c r="AH115" t="str">
        <f>TRIM(PROPER(L:L))</f>
        <v>Classic Tables 752</v>
      </c>
      <c r="AI115" t="str">
        <f>TRIM(PROPER(M:M))</f>
        <v>Standard Class</v>
      </c>
      <c r="AJ115" s="5">
        <f>IF(OR(P115&lt;0,P115&gt;0.5),"invalid",P115)</f>
        <v>0.25</v>
      </c>
      <c r="AK115" s="6">
        <f>IFERROR(N115*O115*(1-AJ115), "NA")</f>
        <v>2450.5875000000001</v>
      </c>
      <c r="AL115" s="6">
        <f>IFERROR(AK115-R115,"NA")</f>
        <v>810.69749999999999</v>
      </c>
      <c r="AM115" s="5">
        <f t="shared" si="5"/>
        <v>0.33081761006289306</v>
      </c>
      <c r="AN115" t="str">
        <v>12-02-24</v>
      </c>
      <c r="AO115" t="str">
        <v>12-02-24</v>
      </c>
      <c r="AP115" t="str">
        <f t="shared" si="6"/>
        <v>February</v>
      </c>
      <c r="AQ115" t="str">
        <f t="shared" si="7"/>
        <v>2024</v>
      </c>
      <c r="AR115" t="str">
        <f t="shared" si="8"/>
        <v xml:space="preserve"> </v>
      </c>
      <c r="AS115">
        <f t="shared" si="9"/>
        <v>0</v>
      </c>
      <c r="AT115" t="str">
        <f>IF(COUNTIFS( $A:$A,A115,$B:$B,B115,$C:$C,C115,$D:$D,D115,$E:$E,E115,$F:$F,F115,$G:$G,G115,$H:$H,H115,$I:$I,I115,$J:$J,J115,$K:$K,K115,$L:$L,L115,$M:$M,M115,$T:$T,T115,$U:$U,U115,$W:$W,W115,$Z:$Z,Z115,$AA:$AA,AA115,$AB:$AB,AB115,$AC:$AC,AC115,$AD:$AD,AD115,$AE:$AE,AE115,$AF:$AF,AF115,$AG:$AG,AG115,$AH:$AH,AH115,$AI:$AI,AI115)&gt;1,"Duplicate","Unique")</f>
        <v>Unique</v>
      </c>
    </row>
    <row r="116" spans="1:46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  <c r="W116" t="s">
        <v>661</v>
      </c>
      <c r="Z116" t="s">
        <v>664</v>
      </c>
      <c r="AA116" t="str">
        <v>Neha Gupta</v>
      </c>
      <c r="AB116" t="str">
        <f>TRIM(PROPER(F:F))</f>
        <v>Small Business</v>
      </c>
      <c r="AC116" t="str">
        <f>TRIM(PROPER(G:G))</f>
        <v>North</v>
      </c>
      <c r="AD116" t="str">
        <f>TRIM(PROPER(H:H))</f>
        <v>Rajasthan</v>
      </c>
      <c r="AE116" t="str">
        <f>TRIM(PROPER(I:I))</f>
        <v>Jaipur</v>
      </c>
      <c r="AF116" t="str">
        <f>TRIM(PROPER(J:J))</f>
        <v>Technology</v>
      </c>
      <c r="AG116" t="str">
        <f>TRIM(PROPER(K:K))</f>
        <v>Accessories</v>
      </c>
      <c r="AH116" t="str">
        <f>TRIM(PROPER(L:L))</f>
        <v>Eco Accessories 452</v>
      </c>
      <c r="AI116" t="str">
        <f>TRIM(PROPER(M:M))</f>
        <v>Second Class</v>
      </c>
      <c r="AJ116" s="5">
        <f>IF(OR(P116&lt;0,P116&gt;0.5),"invalid",P116)</f>
        <v>0.1</v>
      </c>
      <c r="AK116" s="6">
        <f>IFERROR(N116*O116*(1-AJ116), "NA")</f>
        <v>3949.56</v>
      </c>
      <c r="AL116" s="6">
        <f>IFERROR(AK116-R116,"NA")</f>
        <v>762.82999999999993</v>
      </c>
      <c r="AM116" s="5">
        <f t="shared" si="5"/>
        <v>0.19314303365438173</v>
      </c>
      <c r="AN116" t="str">
        <v>25-09-24</v>
      </c>
      <c r="AO116" t="str">
        <v>30-09-24</v>
      </c>
      <c r="AP116" t="str">
        <f t="shared" si="6"/>
        <v>September</v>
      </c>
      <c r="AQ116" t="str">
        <f t="shared" si="7"/>
        <v>2024</v>
      </c>
      <c r="AR116" t="str">
        <f t="shared" si="8"/>
        <v xml:space="preserve"> </v>
      </c>
      <c r="AS116">
        <f t="shared" si="9"/>
        <v>5</v>
      </c>
      <c r="AT116" t="str">
        <f>IF(COUNTIFS( $A:$A,A116,$B:$B,B116,$C:$C,C116,$D:$D,D116,$E:$E,E116,$F:$F,F116,$G:$G,G116,$H:$H,H116,$I:$I,I116,$J:$J,J116,$K:$K,K116,$L:$L,L116,$M:$M,M116,$T:$T,T116,$U:$U,U116,$W:$W,W116,$Z:$Z,Z116,$AA:$AA,AA116,$AB:$AB,AB116,$AC:$AC,AC116,$AD:$AD,AD116,$AE:$AE,AE116,$AF:$AF,AF116,$AG:$AG,AG116,$AH:$AH,AH116,$AI:$AI,AI116)&gt;1,"Duplicate","Unique")</f>
        <v>Unique</v>
      </c>
    </row>
    <row r="117" spans="1:46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  <c r="W117" t="s">
        <v>666</v>
      </c>
      <c r="Z117" t="s">
        <v>669</v>
      </c>
      <c r="AA117" t="str">
        <v>Kabir Singh</v>
      </c>
      <c r="AB117" t="str">
        <f>TRIM(PROPER(F:F))</f>
        <v>Corporate</v>
      </c>
      <c r="AC117" t="str">
        <f>TRIM(PROPER(G:G))</f>
        <v>South</v>
      </c>
      <c r="AD117" t="str">
        <f>TRIM(PROPER(H:H))</f>
        <v>Tamil Nadu</v>
      </c>
      <c r="AE117" t="str">
        <f>TRIM(PROPER(I:I))</f>
        <v>Chennai</v>
      </c>
      <c r="AF117" t="str">
        <f>TRIM(PROPER(J:J))</f>
        <v>Office Supplies</v>
      </c>
      <c r="AG117" t="str">
        <f>TRIM(PROPER(K:K))</f>
        <v>Binders</v>
      </c>
      <c r="AH117" t="str">
        <f>TRIM(PROPER(L:L))</f>
        <v>Classic Binders 203</v>
      </c>
      <c r="AI117" t="str">
        <f>TRIM(PROPER(M:M))</f>
        <v>Same Day</v>
      </c>
      <c r="AJ117" s="5">
        <f>IF(OR(P117&lt;0,P117&gt;0.5),"invalid",P117)</f>
        <v>0.15</v>
      </c>
      <c r="AK117" s="6">
        <f>IFERROR(N117*O117*(1-AJ117), "NA")</f>
        <v>758.77799999999991</v>
      </c>
      <c r="AL117" s="6">
        <f>IFERROR(AK117-R117,"NA")</f>
        <v>268.0379999999999</v>
      </c>
      <c r="AM117" s="5">
        <f t="shared" si="5"/>
        <v>0.35324956706704719</v>
      </c>
      <c r="AN117" t="str">
        <v>27-12-24</v>
      </c>
      <c r="AO117" t="str">
        <v>01-01-25</v>
      </c>
      <c r="AP117" t="str">
        <f t="shared" si="6"/>
        <v>December</v>
      </c>
      <c r="AQ117" t="str">
        <f t="shared" si="7"/>
        <v>2024</v>
      </c>
      <c r="AR117" t="str">
        <f t="shared" si="8"/>
        <v>anomaly</v>
      </c>
      <c r="AS117">
        <f t="shared" si="9"/>
        <v>5</v>
      </c>
      <c r="AT117" t="str">
        <f>IF(COUNTIFS( $A:$A,A117,$B:$B,B117,$C:$C,C117,$D:$D,D117,$E:$E,E117,$F:$F,F117,$G:$G,G117,$H:$H,H117,$I:$I,I117,$J:$J,J117,$K:$K,K117,$L:$L,L117,$M:$M,M117,$T:$T,T117,$U:$U,U117,$W:$W,W117,$Z:$Z,Z117,$AA:$AA,AA117,$AB:$AB,AB117,$AC:$AC,AC117,$AD:$AD,AD117,$AE:$AE,AE117,$AF:$AF,AF117,$AG:$AG,AG117,$AH:$AH,AH117,$AI:$AI,AI117)&gt;1,"Duplicate","Unique")</f>
        <v>Unique</v>
      </c>
    </row>
    <row r="118" spans="1:46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  <c r="W118" t="s">
        <v>671</v>
      </c>
      <c r="Z118" t="s">
        <v>674</v>
      </c>
      <c r="AA118" t="str">
        <v>Ananya Rao</v>
      </c>
      <c r="AB118" t="str">
        <f>TRIM(PROPER(F:F))</f>
        <v>Small Business</v>
      </c>
      <c r="AC118" t="s">
        <v>4111</v>
      </c>
      <c r="AD118" t="str">
        <f>TRIM(PROPER(H:H))</f>
        <v>Madhya Pradesh</v>
      </c>
      <c r="AE118" t="str">
        <f>TRIM(PROPER(I:I))</f>
        <v>Indore</v>
      </c>
      <c r="AF118" t="str">
        <f>TRIM(PROPER(J:J))</f>
        <v>Office Supplies</v>
      </c>
      <c r="AG118" t="str">
        <f>TRIM(PROPER(K:K))</f>
        <v>Binders</v>
      </c>
      <c r="AH118" t="str">
        <f>TRIM(PROPER(L:L))</f>
        <v>Basic Binders 859</v>
      </c>
      <c r="AI118" t="str">
        <f>TRIM(PROPER(M:M))</f>
        <v>First Class</v>
      </c>
      <c r="AJ118" s="5">
        <f>IF(OR(P118&lt;0,P118&gt;0.5),"invalid",P118)</f>
        <v>0.25</v>
      </c>
      <c r="AK118" s="6">
        <f>IFERROR(N118*O118*(1-AJ118), "NA")</f>
        <v>3590.9324999999999</v>
      </c>
      <c r="AL118" s="6">
        <f>IFERROR(AK118-R118,"NA")</f>
        <v>529.54250000000002</v>
      </c>
      <c r="AM118" s="5">
        <f t="shared" si="5"/>
        <v>0.14746657031286442</v>
      </c>
      <c r="AN118" t="str">
        <v>15-02-25</v>
      </c>
      <c r="AO118" t="str">
        <v>19-02-25</v>
      </c>
      <c r="AP118" t="str">
        <f t="shared" si="6"/>
        <v>February</v>
      </c>
      <c r="AQ118" t="str">
        <f t="shared" si="7"/>
        <v>2025</v>
      </c>
      <c r="AR118" t="str">
        <f t="shared" si="8"/>
        <v xml:space="preserve"> </v>
      </c>
      <c r="AS118">
        <f t="shared" si="9"/>
        <v>4</v>
      </c>
      <c r="AT118" t="str">
        <f>IF(COUNTIFS( $A:$A,A118,$B:$B,B118,$C:$C,C118,$D:$D,D118,$E:$E,E118,$F:$F,F118,$G:$G,G118,$H:$H,H118,$I:$I,I118,$J:$J,J118,$K:$K,K118,$L:$L,L118,$M:$M,M118,$T:$T,T118,$U:$U,U118,$W:$W,W118,$Z:$Z,Z118,$AA:$AA,AA118,$AB:$AB,AB118,$AC:$AC,AC118,$AD:$AD,AD118,$AE:$AE,AE118,$AF:$AF,AF118,$AG:$AG,AG118,$AH:$AH,AH118,$AI:$AI,AI118)&gt;1,"Duplicate","Unique")</f>
        <v>Unique</v>
      </c>
    </row>
    <row r="119" spans="1:46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  <c r="W119" t="s">
        <v>676</v>
      </c>
      <c r="Z119" t="s">
        <v>679</v>
      </c>
      <c r="AA119" t="str">
        <v>Mira Das</v>
      </c>
      <c r="AB119" t="str">
        <f>TRIM(PROPER(F:F))</f>
        <v>Home Office</v>
      </c>
      <c r="AC119" t="str">
        <f>TRIM(PROPER(G:G))</f>
        <v>South</v>
      </c>
      <c r="AD119" t="str">
        <f>TRIM(PROPER(H:H))</f>
        <v>Tamil Nadu</v>
      </c>
      <c r="AE119" t="str">
        <f>TRIM(PROPER(I:I))</f>
        <v>Chennai</v>
      </c>
      <c r="AF119" t="str">
        <f>TRIM(PROPER(J:J))</f>
        <v>Technology</v>
      </c>
      <c r="AG119" t="str">
        <f>TRIM(PROPER(K:K))</f>
        <v>Machines</v>
      </c>
      <c r="AH119" t="str">
        <f>TRIM(PROPER(L:L))</f>
        <v>Elite Machines 705</v>
      </c>
      <c r="AI119" t="str">
        <f>TRIM(PROPER(M:M))</f>
        <v>Standard Class</v>
      </c>
      <c r="AJ119" s="5" t="str">
        <f>IF(OR(P119&lt;0,P119&gt;0.5),"invalid",P119)</f>
        <v>invalid</v>
      </c>
      <c r="AK119" s="6" t="str">
        <f>IFERROR(N119*O119*(1-AJ119), "NA")</f>
        <v>NA</v>
      </c>
      <c r="AL119" s="6" t="str">
        <f>IFERROR(AK119-R119,"NA")</f>
        <v>NA</v>
      </c>
      <c r="AM119" s="5" t="str">
        <f t="shared" si="5"/>
        <v>NA</v>
      </c>
      <c r="AN119" t="str">
        <v>15-02-24</v>
      </c>
      <c r="AO119" t="str">
        <v>17-02-24</v>
      </c>
      <c r="AP119" t="str">
        <f t="shared" si="6"/>
        <v>February</v>
      </c>
      <c r="AQ119" t="str">
        <f t="shared" si="7"/>
        <v>2024</v>
      </c>
      <c r="AR119" t="str">
        <f t="shared" si="8"/>
        <v xml:space="preserve"> </v>
      </c>
      <c r="AS119">
        <f t="shared" si="9"/>
        <v>2</v>
      </c>
      <c r="AT119" t="str">
        <f>IF(COUNTIFS( $A:$A,A119,$B:$B,B119,$C:$C,C119,$D:$D,D119,$E:$E,E119,$F:$F,F119,$G:$G,G119,$H:$H,H119,$I:$I,I119,$J:$J,J119,$K:$K,K119,$L:$L,L119,$M:$M,M119,$T:$T,T119,$U:$U,U119,$W:$W,W119,$Z:$Z,Z119,$AA:$AA,AA119,$AB:$AB,AB119,$AC:$AC,AC119,$AD:$AD,AD119,$AE:$AE,AE119,$AF:$AF,AF119,$AG:$AG,AG119,$AH:$AH,AH119,$AI:$AI,AI119)&gt;1,"Duplicate","Unique")</f>
        <v>Unique</v>
      </c>
    </row>
    <row r="120" spans="1:46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  <c r="W120" t="s">
        <v>682</v>
      </c>
      <c r="Z120" t="s">
        <v>685</v>
      </c>
      <c r="AA120" t="str">
        <v>Vikram Iyer</v>
      </c>
      <c r="AB120" t="str">
        <f>TRIM(PROPER(F:F))</f>
        <v>Home Office</v>
      </c>
      <c r="AC120" t="str">
        <f>TRIM(PROPER(G:G))</f>
        <v>South</v>
      </c>
      <c r="AD120" t="str">
        <f>TRIM(PROPER(H:H))</f>
        <v>Andhra Pradesh</v>
      </c>
      <c r="AE120" t="str">
        <f>TRIM(PROPER(I:I))</f>
        <v>Vijayawada</v>
      </c>
      <c r="AF120" t="str">
        <f>TRIM(PROPER(J:J))</f>
        <v>Technology</v>
      </c>
      <c r="AG120" t="str">
        <f>TRIM(PROPER(K:K))</f>
        <v>Copiers</v>
      </c>
      <c r="AH120" t="str">
        <f>TRIM(PROPER(L:L))</f>
        <v>Pro Copiers 208</v>
      </c>
      <c r="AI120" t="str">
        <f>TRIM(PROPER(M:M))</f>
        <v>Same Day</v>
      </c>
      <c r="AJ120" s="5">
        <f>IF(OR(P120&lt;0,P120&gt;0.5),"invalid",P120)</f>
        <v>0.2</v>
      </c>
      <c r="AK120" s="6">
        <f>IFERROR(N120*O120*(1-AJ120), "NA")</f>
        <v>6321.0800000000008</v>
      </c>
      <c r="AL120" s="6">
        <f>IFERROR(AK120-R120,"NA")</f>
        <v>1913.8600000000006</v>
      </c>
      <c r="AM120" s="5">
        <f t="shared" si="5"/>
        <v>0.30277420947053357</v>
      </c>
      <c r="AN120" t="str">
        <v>06-10-24</v>
      </c>
      <c r="AO120" t="str">
        <v>18-06-24</v>
      </c>
      <c r="AP120" t="str">
        <f t="shared" si="6"/>
        <v>October</v>
      </c>
      <c r="AQ120" t="str">
        <f t="shared" si="7"/>
        <v>2024</v>
      </c>
      <c r="AR120" t="str">
        <f t="shared" si="8"/>
        <v xml:space="preserve"> </v>
      </c>
      <c r="AS120">
        <f t="shared" si="9"/>
        <v>-110</v>
      </c>
      <c r="AT120" t="str">
        <f>IF(COUNTIFS( $A:$A,A120,$B:$B,B120,$C:$C,C120,$D:$D,D120,$E:$E,E120,$F:$F,F120,$G:$G,G120,$H:$H,H120,$I:$I,I120,$J:$J,J120,$K:$K,K120,$L:$L,L120,$M:$M,M120,$T:$T,T120,$U:$U,U120,$W:$W,W120,$Z:$Z,Z120,$AA:$AA,AA120,$AB:$AB,AB120,$AC:$AC,AC120,$AD:$AD,AD120,$AE:$AE,AE120,$AF:$AF,AF120,$AG:$AG,AG120,$AH:$AH,AH120,$AI:$AI,AI120)&gt;1,"Duplicate","Unique")</f>
        <v>Unique</v>
      </c>
    </row>
    <row r="121" spans="1:46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  <c r="W121" t="s">
        <v>688</v>
      </c>
      <c r="Z121" t="s">
        <v>691</v>
      </c>
      <c r="AA121" t="str">
        <v>Aditi Sen</v>
      </c>
      <c r="AB121" t="str">
        <f>TRIM(PROPER(F:F))</f>
        <v>Small Business</v>
      </c>
      <c r="AC121" t="str">
        <f>TRIM(PROPER(G:G))</f>
        <v>South</v>
      </c>
      <c r="AD121" t="str">
        <f>TRIM(PROPER(H:H))</f>
        <v>Kerala</v>
      </c>
      <c r="AE121" t="str">
        <f>TRIM(PROPER(I:I))</f>
        <v>Kochi</v>
      </c>
      <c r="AF121" t="str">
        <f>TRIM(PROPER(J:J))</f>
        <v>Furniture</v>
      </c>
      <c r="AG121" t="str">
        <f>TRIM(PROPER(K:K))</f>
        <v>Chairs</v>
      </c>
      <c r="AH121" t="str">
        <f>TRIM(PROPER(L:L))</f>
        <v>Elite Chairs 921</v>
      </c>
      <c r="AI121" t="str">
        <f>TRIM(PROPER(M:M))</f>
        <v>Standard Class</v>
      </c>
      <c r="AJ121" s="5">
        <f>IF(OR(P121&lt;0,P121&gt;0.5),"invalid",P121)</f>
        <v>0.25</v>
      </c>
      <c r="AK121" s="6">
        <f>IFERROR(N121*O121*(1-AJ121), "NA")</f>
        <v>1884.3000000000002</v>
      </c>
      <c r="AL121" s="6">
        <f>IFERROR(AK121-R121,"NA")</f>
        <v>366.61000000000013</v>
      </c>
      <c r="AM121" s="5">
        <f t="shared" si="5"/>
        <v>0.19456031417502526</v>
      </c>
      <c r="AN121" t="str">
        <v>12-06-24</v>
      </c>
      <c r="AO121" t="str">
        <v>19-06-24</v>
      </c>
      <c r="AP121" t="str">
        <f t="shared" si="6"/>
        <v>June</v>
      </c>
      <c r="AQ121" t="str">
        <f t="shared" si="7"/>
        <v>2024</v>
      </c>
      <c r="AR121" t="str">
        <f t="shared" si="8"/>
        <v xml:space="preserve"> </v>
      </c>
      <c r="AS121">
        <f t="shared" si="9"/>
        <v>7</v>
      </c>
      <c r="AT121" t="str">
        <f>IF(COUNTIFS( $A:$A,A121,$B:$B,B121,$C:$C,C121,$D:$D,D121,$E:$E,E121,$F:$F,F121,$G:$G,G121,$H:$H,H121,$I:$I,I121,$J:$J,J121,$K:$K,K121,$L:$L,L121,$M:$M,M121,$T:$T,T121,$U:$U,U121,$W:$W,W121,$Z:$Z,Z121,$AA:$AA,AA121,$AB:$AB,AB121,$AC:$AC,AC121,$AD:$AD,AD121,$AE:$AE,AE121,$AF:$AF,AF121,$AG:$AG,AG121,$AH:$AH,AH121,$AI:$AI,AI121)&gt;1,"Duplicate","Unique")</f>
        <v>Unique</v>
      </c>
    </row>
    <row r="122" spans="1:46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  <c r="W122" t="s">
        <v>693</v>
      </c>
      <c r="Z122" t="s">
        <v>695</v>
      </c>
      <c r="AA122" t="str">
        <v>Sneha Kapoor</v>
      </c>
      <c r="AB122" t="str">
        <f>TRIM(PROPER(F:F))</f>
        <v>Small Business</v>
      </c>
      <c r="AC122" t="str">
        <f>TRIM(PROPER(G:G))</f>
        <v>East</v>
      </c>
      <c r="AD122" t="str">
        <f>TRIM(PROPER(H:H))</f>
        <v>Bihar</v>
      </c>
      <c r="AE122" t="str">
        <f>TRIM(PROPER(I:I))</f>
        <v>Patna</v>
      </c>
      <c r="AF122" t="str">
        <f>TRIM(PROPER(J:J))</f>
        <v>Technology</v>
      </c>
      <c r="AG122" t="str">
        <f>TRIM(PROPER(K:K))</f>
        <v>Phones</v>
      </c>
      <c r="AH122" t="str">
        <f>TRIM(PROPER(L:L))</f>
        <v>Prime Phones 540</v>
      </c>
      <c r="AI122" t="str">
        <f>TRIM(PROPER(M:M))</f>
        <v>Standard Class</v>
      </c>
      <c r="AJ122" s="5">
        <f>IF(OR(P122&lt;0,P122&gt;0.5),"invalid",P122)</f>
        <v>0.2</v>
      </c>
      <c r="AK122" s="6">
        <f>IFERROR(N122*O122*(1-AJ122), "NA")</f>
        <v>1458.9360000000001</v>
      </c>
      <c r="AL122" s="6">
        <f>IFERROR(AK122-R122,"NA")</f>
        <v>565.7360000000001</v>
      </c>
      <c r="AM122" s="5">
        <f t="shared" si="5"/>
        <v>0.38777300717783375</v>
      </c>
      <c r="AN122" t="str">
        <v>10-08-24</v>
      </c>
      <c r="AO122" t="str">
        <v>18-08-24</v>
      </c>
      <c r="AP122" t="str">
        <f t="shared" si="6"/>
        <v>August</v>
      </c>
      <c r="AQ122" t="str">
        <f t="shared" si="7"/>
        <v>2024</v>
      </c>
      <c r="AR122" t="str">
        <f t="shared" si="8"/>
        <v xml:space="preserve"> </v>
      </c>
      <c r="AS122">
        <f t="shared" si="9"/>
        <v>8</v>
      </c>
      <c r="AT122" t="str">
        <f>IF(COUNTIFS( $A:$A,A122,$B:$B,B122,$C:$C,C122,$D:$D,D122,$E:$E,E122,$F:$F,F122,$G:$G,G122,$H:$H,H122,$I:$I,I122,$J:$J,J122,$K:$K,K122,$L:$L,L122,$M:$M,M122,$T:$T,T122,$U:$U,U122,$W:$W,W122,$Z:$Z,Z122,$AA:$AA,AA122,$AB:$AB,AB122,$AC:$AC,AC122,$AD:$AD,AD122,$AE:$AE,AE122,$AF:$AF,AF122,$AG:$AG,AG122,$AH:$AH,AH122,$AI:$AI,AI122)&gt;1,"Duplicate","Unique")</f>
        <v>Unique</v>
      </c>
    </row>
    <row r="123" spans="1:46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  <c r="W123" t="s">
        <v>697</v>
      </c>
      <c r="Z123" t="s">
        <v>700</v>
      </c>
      <c r="AA123" t="str">
        <v>Kabir Singh</v>
      </c>
      <c r="AB123" t="str">
        <f>TRIM(PROPER(F:F))</f>
        <v>Small Business</v>
      </c>
      <c r="AC123" t="str">
        <f>TRIM(PROPER(G:G))</f>
        <v>South</v>
      </c>
      <c r="AD123" t="str">
        <f>TRIM(PROPER(H:H))</f>
        <v>Andhra Pradesh</v>
      </c>
      <c r="AE123" t="str">
        <f>TRIM(PROPER(I:I))</f>
        <v>Vijayawada</v>
      </c>
      <c r="AF123" t="str">
        <f>TRIM(PROPER(J:J))</f>
        <v>Technology</v>
      </c>
      <c r="AG123" t="str">
        <f>TRIM(PROPER(K:K))</f>
        <v>Machines</v>
      </c>
      <c r="AH123" t="str">
        <f>TRIM(PROPER(L:L))</f>
        <v>Max Machines 948</v>
      </c>
      <c r="AI123" t="str">
        <f>TRIM(PROPER(M:M))</f>
        <v>Second Class</v>
      </c>
      <c r="AJ123" s="5">
        <f>IF(OR(P123&lt;0,P123&gt;0.5),"invalid",P123)</f>
        <v>0</v>
      </c>
      <c r="AK123" s="6">
        <f>IFERROR(N123*O123*(1-AJ123), "NA")</f>
        <v>17414.599999999999</v>
      </c>
      <c r="AL123" s="6">
        <f>IFERROR(AK123-R123,"NA")</f>
        <v>5653.6899999999987</v>
      </c>
      <c r="AM123" s="5">
        <f t="shared" si="5"/>
        <v>0.3246523032398102</v>
      </c>
      <c r="AN123" t="str">
        <v>invalid date</v>
      </c>
      <c r="AO123" t="str">
        <v>invalid date</v>
      </c>
      <c r="AP123" t="str">
        <f t="shared" si="6"/>
        <v>invalid date</v>
      </c>
      <c r="AQ123" t="str">
        <f t="shared" si="7"/>
        <v>invalid date</v>
      </c>
      <c r="AR123" t="str">
        <f t="shared" si="8"/>
        <v>Invalid</v>
      </c>
      <c r="AS123" t="str">
        <f t="shared" si="9"/>
        <v>invalid date</v>
      </c>
      <c r="AT123" t="str">
        <f>IF(COUNTIFS( $A:$A,A123,$B:$B,B123,$C:$C,C123,$D:$D,D123,$E:$E,E123,$F:$F,F123,$G:$G,G123,$H:$H,H123,$I:$I,I123,$J:$J,J123,$K:$K,K123,$L:$L,L123,$M:$M,M123,$T:$T,T123,$U:$U,U123,$W:$W,W123,$Z:$Z,Z123,$AA:$AA,AA123,$AB:$AB,AB123,$AC:$AC,AC123,$AD:$AD,AD123,$AE:$AE,AE123,$AF:$AF,AF123,$AG:$AG,AG123,$AH:$AH,AH123,$AI:$AI,AI123)&gt;1,"Duplicate","Unique")</f>
        <v>Unique</v>
      </c>
    </row>
    <row r="124" spans="1:46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  <c r="W124" t="s">
        <v>703</v>
      </c>
      <c r="Z124" t="s">
        <v>706</v>
      </c>
      <c r="AA124" t="str">
        <v>Ananya Rao</v>
      </c>
      <c r="AB124" t="str">
        <f>TRIM(PROPER(F:F))</f>
        <v>Small Business</v>
      </c>
      <c r="AC124" t="str">
        <f>TRIM(PROPER(G:G))</f>
        <v>East</v>
      </c>
      <c r="AD124" t="str">
        <f>TRIM(PROPER(H:H))</f>
        <v>Assam</v>
      </c>
      <c r="AE124" t="str">
        <f>TRIM(PROPER(I:I))</f>
        <v>Guwahati</v>
      </c>
      <c r="AF124" t="str">
        <f>TRIM(PROPER(J:J))</f>
        <v>Furniture</v>
      </c>
      <c r="AG124" t="str">
        <f>TRIM(PROPER(K:K))</f>
        <v>Chairs</v>
      </c>
      <c r="AH124" t="str">
        <f>TRIM(PROPER(L:L))</f>
        <v>Max Chairs 786</v>
      </c>
      <c r="AI124" t="str">
        <f>TRIM(PROPER(M:M))</f>
        <v>Second Class</v>
      </c>
      <c r="AJ124" s="5">
        <f>IF(OR(P124&lt;0,P124&gt;0.5),"invalid",P124)</f>
        <v>0</v>
      </c>
      <c r="AK124" s="6">
        <f>IFERROR(N124*O124*(1-AJ124), "NA")</f>
        <v>511.04999999999995</v>
      </c>
      <c r="AL124" s="6">
        <f>IFERROR(AK124-R124,"NA")</f>
        <v>143.86999999999995</v>
      </c>
      <c r="AM124" s="5">
        <f t="shared" si="5"/>
        <v>0.28151844242246349</v>
      </c>
      <c r="AN124" t="str">
        <v>invalid date</v>
      </c>
      <c r="AO124" t="str">
        <v>04-12-24</v>
      </c>
      <c r="AP124" t="str">
        <f t="shared" si="6"/>
        <v>invalid date</v>
      </c>
      <c r="AQ124" t="str">
        <f t="shared" si="7"/>
        <v>invalid date</v>
      </c>
      <c r="AR124" t="str">
        <f t="shared" si="8"/>
        <v>Invalid</v>
      </c>
      <c r="AS124" t="str">
        <f t="shared" si="9"/>
        <v>invalid date</v>
      </c>
      <c r="AT124" t="str">
        <f>IF(COUNTIFS( $A:$A,A124,$B:$B,B124,$C:$C,C124,$D:$D,D124,$E:$E,E124,$F:$F,F124,$G:$G,G124,$H:$H,H124,$I:$I,I124,$J:$J,J124,$K:$K,K124,$L:$L,L124,$M:$M,M124,$T:$T,T124,$U:$U,U124,$W:$W,W124,$Z:$Z,Z124,$AA:$AA,AA124,$AB:$AB,AB124,$AC:$AC,AC124,$AD:$AD,AD124,$AE:$AE,AE124,$AF:$AF,AF124,$AG:$AG,AG124,$AH:$AH,AH124,$AI:$AI,AI124)&gt;1,"Duplicate","Unique")</f>
        <v>Unique</v>
      </c>
    </row>
    <row r="125" spans="1:46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  <c r="W125" t="s">
        <v>708</v>
      </c>
      <c r="Z125" t="s">
        <v>711</v>
      </c>
      <c r="AA125" t="str">
        <v>Sneha Kapoor</v>
      </c>
      <c r="AB125" t="str">
        <f>TRIM(PROPER(F:F))</f>
        <v>Small Business</v>
      </c>
      <c r="AC125" t="str">
        <f>TRIM(PROPER(G:G))</f>
        <v>North</v>
      </c>
      <c r="AD125" t="str">
        <f>TRIM(PROPER(H:H))</f>
        <v>Punjab</v>
      </c>
      <c r="AE125" t="str">
        <f>TRIM(PROPER(I:I))</f>
        <v>Ludhiana</v>
      </c>
      <c r="AF125" t="str">
        <f>TRIM(PROPER(J:J))</f>
        <v>Technology</v>
      </c>
      <c r="AG125" t="str">
        <f>TRIM(PROPER(K:K))</f>
        <v>Copiers</v>
      </c>
      <c r="AH125" t="str">
        <f>TRIM(PROPER(L:L))</f>
        <v>Max Copiers 970</v>
      </c>
      <c r="AI125" t="str">
        <f>TRIM(PROPER(M:M))</f>
        <v>Same Day</v>
      </c>
      <c r="AJ125" s="5">
        <f>IF(OR(P125&lt;0,P125&gt;0.5),"invalid",P125)</f>
        <v>0</v>
      </c>
      <c r="AK125" s="6">
        <f>IFERROR(N125*O125*(1-AJ125), "NA")</f>
        <v>634.13</v>
      </c>
      <c r="AL125" s="6">
        <f>IFERROR(AK125-R125,"NA")</f>
        <v>180.77999999999997</v>
      </c>
      <c r="AM125" s="5">
        <f t="shared" si="5"/>
        <v>0.28508350022865969</v>
      </c>
      <c r="AN125" t="str">
        <v>invalid date</v>
      </c>
      <c r="AO125" t="str">
        <v>25-05-24</v>
      </c>
      <c r="AP125" t="str">
        <f t="shared" si="6"/>
        <v>invalid date</v>
      </c>
      <c r="AQ125" t="str">
        <f t="shared" si="7"/>
        <v>invalid date</v>
      </c>
      <c r="AR125" t="str">
        <f t="shared" si="8"/>
        <v>Invalid</v>
      </c>
      <c r="AS125" t="str">
        <f t="shared" si="9"/>
        <v>invalid date</v>
      </c>
      <c r="AT125" t="str">
        <f>IF(COUNTIFS( $A:$A,A125,$B:$B,B125,$C:$C,C125,$D:$D,D125,$E:$E,E125,$F:$F,F125,$G:$G,G125,$H:$H,H125,$I:$I,I125,$J:$J,J125,$K:$K,K125,$L:$L,L125,$M:$M,M125,$T:$T,T125,$U:$U,U125,$W:$W,W125,$Z:$Z,Z125,$AA:$AA,AA125,$AB:$AB,AB125,$AC:$AC,AC125,$AD:$AD,AD125,$AE:$AE,AE125,$AF:$AF,AF125,$AG:$AG,AG125,$AH:$AH,AH125,$AI:$AI,AI125)&gt;1,"Duplicate","Unique")</f>
        <v>Unique</v>
      </c>
    </row>
    <row r="126" spans="1:46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  <c r="W126" t="s">
        <v>714</v>
      </c>
      <c r="Z126" t="s">
        <v>716</v>
      </c>
      <c r="AA126" t="str">
        <v>Isha Nair</v>
      </c>
      <c r="AB126" t="str">
        <f>TRIM(PROPER(F:F))</f>
        <v>Corporate</v>
      </c>
      <c r="AC126" t="str">
        <f>TRIM(PROPER(G:G))</f>
        <v>South</v>
      </c>
      <c r="AD126" t="str">
        <f>TRIM(PROPER(H:H))</f>
        <v>Karnataka</v>
      </c>
      <c r="AE126" t="str">
        <f>TRIM(PROPER(I:I))</f>
        <v>Bengaluru</v>
      </c>
      <c r="AF126" t="str">
        <f>TRIM(PROPER(J:J))</f>
        <v>Technology</v>
      </c>
      <c r="AG126" t="str">
        <f>TRIM(PROPER(K:K))</f>
        <v>Copiers</v>
      </c>
      <c r="AH126" t="str">
        <f>TRIM(PROPER(L:L))</f>
        <v>Pro Copiers 769</v>
      </c>
      <c r="AI126" t="str">
        <f>TRIM(PROPER(M:M))</f>
        <v>Standard Class</v>
      </c>
      <c r="AJ126" s="5" t="str">
        <f>IF(OR(P126&lt;0,P126&gt;0.5),"invalid",P126)</f>
        <v>invalid</v>
      </c>
      <c r="AK126" s="6" t="str">
        <f>IFERROR(N126*O126*(1-AJ126), "NA")</f>
        <v>NA</v>
      </c>
      <c r="AL126" s="6" t="str">
        <f>IFERROR(AK126-R126,"NA")</f>
        <v>NA</v>
      </c>
      <c r="AM126" s="5" t="str">
        <f t="shared" si="5"/>
        <v>NA</v>
      </c>
      <c r="AN126" t="str">
        <v>21-07-24</v>
      </c>
      <c r="AO126" t="str">
        <v>invalid date</v>
      </c>
      <c r="AP126" t="str">
        <f t="shared" si="6"/>
        <v>July</v>
      </c>
      <c r="AQ126" t="str">
        <f t="shared" si="7"/>
        <v>2024</v>
      </c>
      <c r="AR126" t="str">
        <f t="shared" si="8"/>
        <v>Invalid</v>
      </c>
      <c r="AS126" t="str">
        <f t="shared" si="9"/>
        <v>invalid date</v>
      </c>
      <c r="AT126" t="str">
        <f>IF(COUNTIFS( $A:$A,A126,$B:$B,B126,$C:$C,C126,$D:$D,D126,$E:$E,E126,$F:$F,F126,$G:$G,G126,$H:$H,H126,$I:$I,I126,$J:$J,J126,$K:$K,K126,$L:$L,L126,$M:$M,M126,$T:$T,T126,$U:$U,U126,$W:$W,W126,$Z:$Z,Z126,$AA:$AA,AA126,$AB:$AB,AB126,$AC:$AC,AC126,$AD:$AD,AD126,$AE:$AE,AE126,$AF:$AF,AF126,$AG:$AG,AG126,$AH:$AH,AH126,$AI:$AI,AI126)&gt;1,"Duplicate","Unique")</f>
        <v>Unique</v>
      </c>
    </row>
    <row r="127" spans="1:46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  <c r="W127" t="s">
        <v>718</v>
      </c>
      <c r="Z127" t="s">
        <v>721</v>
      </c>
      <c r="AA127" t="str">
        <v>Neha Gupta</v>
      </c>
      <c r="AB127" t="str">
        <f>TRIM(PROPER(F:F))</f>
        <v>Small Business</v>
      </c>
      <c r="AC127" t="str">
        <f>TRIM(PROPER(G:G))</f>
        <v>West</v>
      </c>
      <c r="AD127" t="str">
        <f>TRIM(PROPER(H:H))</f>
        <v>Rajasthan</v>
      </c>
      <c r="AE127" t="str">
        <f>TRIM(PROPER(I:I))</f>
        <v>Udaipur</v>
      </c>
      <c r="AF127" t="str">
        <f>TRIM(PROPER(J:J))</f>
        <v>Furniture</v>
      </c>
      <c r="AG127" t="str">
        <f>TRIM(PROPER(K:K))</f>
        <v>Tables</v>
      </c>
      <c r="AH127" t="str">
        <f>TRIM(PROPER(L:L))</f>
        <v>Basic Tables 753</v>
      </c>
      <c r="AI127" t="str">
        <f>TRIM(PROPER(M:M))</f>
        <v>Same Day</v>
      </c>
      <c r="AJ127" s="5">
        <f>IF(OR(P127&lt;0,P127&gt;0.5),"invalid",P127)</f>
        <v>0.25</v>
      </c>
      <c r="AK127" s="6">
        <f>IFERROR(N127*O127*(1-AJ127), "NA")</f>
        <v>14558.715</v>
      </c>
      <c r="AL127" s="6">
        <f>IFERROR(AK127-R127,"NA")</f>
        <v>4967.2350000000006</v>
      </c>
      <c r="AM127" s="5">
        <f t="shared" si="5"/>
        <v>0.34118636157105903</v>
      </c>
      <c r="AN127" t="str">
        <v>17-07-25</v>
      </c>
      <c r="AO127" t="str">
        <v>18-07-25</v>
      </c>
      <c r="AP127" t="str">
        <f t="shared" si="6"/>
        <v>July</v>
      </c>
      <c r="AQ127" t="str">
        <f t="shared" si="7"/>
        <v>2025</v>
      </c>
      <c r="AR127" t="str">
        <f t="shared" si="8"/>
        <v xml:space="preserve"> </v>
      </c>
      <c r="AS127">
        <f t="shared" si="9"/>
        <v>1</v>
      </c>
      <c r="AT127" t="str">
        <f>IF(COUNTIFS( $A:$A,A127,$B:$B,B127,$C:$C,C127,$D:$D,D127,$E:$E,E127,$F:$F,F127,$G:$G,G127,$H:$H,H127,$I:$I,I127,$J:$J,J127,$K:$K,K127,$L:$L,L127,$M:$M,M127,$T:$T,T127,$U:$U,U127,$W:$W,W127,$Z:$Z,Z127,$AA:$AA,AA127,$AB:$AB,AB127,$AC:$AC,AC127,$AD:$AD,AD127,$AE:$AE,AE127,$AF:$AF,AF127,$AG:$AG,AG127,$AH:$AH,AH127,$AI:$AI,AI127)&gt;1,"Duplicate","Unique")</f>
        <v>Unique</v>
      </c>
    </row>
    <row r="128" spans="1:46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  <c r="W128" t="s">
        <v>723</v>
      </c>
      <c r="Z128" t="s">
        <v>726</v>
      </c>
      <c r="AA128" t="str">
        <v>Priya Menon</v>
      </c>
      <c r="AB128" t="str">
        <f>TRIM(PROPER(F:F))</f>
        <v>Corporate</v>
      </c>
      <c r="AC128" t="str">
        <f>TRIM(PROPER(G:G))</f>
        <v>North</v>
      </c>
      <c r="AD128" t="str">
        <f>TRIM(PROPER(H:H))</f>
        <v>Delhi</v>
      </c>
      <c r="AE128" t="str">
        <f>TRIM(PROPER(I:I))</f>
        <v>New Delhi</v>
      </c>
      <c r="AF128" t="str">
        <f>TRIM(PROPER(J:J))</f>
        <v>Technology</v>
      </c>
      <c r="AG128" t="str">
        <f>TRIM(PROPER(K:K))</f>
        <v>Copiers</v>
      </c>
      <c r="AH128" t="str">
        <f>TRIM(PROPER(L:L))</f>
        <v>Prime Copiers 651</v>
      </c>
      <c r="AI128" t="str">
        <f>TRIM(PROPER(M:M))</f>
        <v>Standard Class</v>
      </c>
      <c r="AJ128" s="5">
        <f>IF(OR(P128&lt;0,P128&gt;0.5),"invalid",P128)</f>
        <v>0.1</v>
      </c>
      <c r="AK128" s="6">
        <f>IFERROR(N128*O128*(1-AJ128), "NA")</f>
        <v>4303.4220000000005</v>
      </c>
      <c r="AL128" s="6">
        <f>IFERROR(AK128-R128,"NA")</f>
        <v>1734.8520000000003</v>
      </c>
      <c r="AM128" s="5">
        <f t="shared" si="5"/>
        <v>0.40313313451481175</v>
      </c>
      <c r="AN128" t="str">
        <v>24-09-25</v>
      </c>
      <c r="AO128" t="str">
        <v>26-09-25</v>
      </c>
      <c r="AP128" t="str">
        <f t="shared" si="6"/>
        <v>September</v>
      </c>
      <c r="AQ128" t="str">
        <f t="shared" si="7"/>
        <v>2025</v>
      </c>
      <c r="AR128" t="str">
        <f t="shared" si="8"/>
        <v xml:space="preserve"> </v>
      </c>
      <c r="AS128">
        <f t="shared" si="9"/>
        <v>2</v>
      </c>
      <c r="AT128" t="str">
        <f>IF(COUNTIFS( $A:$A,A128,$B:$B,B128,$C:$C,C128,$D:$D,D128,$E:$E,E128,$F:$F,F128,$G:$G,G128,$H:$H,H128,$I:$I,I128,$J:$J,J128,$K:$K,K128,$L:$L,L128,$M:$M,M128,$T:$T,T128,$U:$U,U128,$W:$W,W128,$Z:$Z,Z128,$AA:$AA,AA128,$AB:$AB,AB128,$AC:$AC,AC128,$AD:$AD,AD128,$AE:$AE,AE128,$AF:$AF,AF128,$AG:$AG,AG128,$AH:$AH,AH128,$AI:$AI,AI128)&gt;1,"Duplicate","Unique")</f>
        <v>Unique</v>
      </c>
    </row>
    <row r="129" spans="1:46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  <c r="W129" t="s">
        <v>728</v>
      </c>
      <c r="Z129" t="s">
        <v>730</v>
      </c>
      <c r="AA129" t="str">
        <v>Priya Menon</v>
      </c>
      <c r="AB129" t="str">
        <f>TRIM(PROPER(F:F))</f>
        <v>Corporate</v>
      </c>
      <c r="AC129" t="str">
        <f>TRIM(PROPER(G:G))</f>
        <v>West</v>
      </c>
      <c r="AD129" t="str">
        <f>TRIM(PROPER(H:H))</f>
        <v>Madhya Pradesh</v>
      </c>
      <c r="AE129" t="str">
        <f>TRIM(PROPER(I:I))</f>
        <v>Indore</v>
      </c>
      <c r="AF129" t="str">
        <f>TRIM(PROPER(J:J))</f>
        <v>Office Supplies</v>
      </c>
      <c r="AG129" t="str">
        <f>TRIM(PROPER(K:K))</f>
        <v>Storage</v>
      </c>
      <c r="AH129" t="str">
        <f>TRIM(PROPER(L:L))</f>
        <v>Basic Storage 321</v>
      </c>
      <c r="AI129" t="str">
        <f>TRIM(PROPER(M:M))</f>
        <v>Second Class</v>
      </c>
      <c r="AJ129" s="5">
        <f>IF(OR(P129&lt;0,P129&gt;0.5),"invalid",P129)</f>
        <v>0.05</v>
      </c>
      <c r="AK129" s="6">
        <f>IFERROR(N129*O129*(1-AJ129), "NA")</f>
        <v>5774.67</v>
      </c>
      <c r="AL129" s="6">
        <f>IFERROR(AK129-R129,"NA")</f>
        <v>2256.31</v>
      </c>
      <c r="AM129" s="5">
        <f t="shared" si="5"/>
        <v>0.39072535746631409</v>
      </c>
      <c r="AN129" t="str">
        <v>invalid date</v>
      </c>
      <c r="AO129" t="str">
        <v>26-01-25</v>
      </c>
      <c r="AP129" t="str">
        <f t="shared" si="6"/>
        <v>invalid date</v>
      </c>
      <c r="AQ129" t="str">
        <f t="shared" si="7"/>
        <v>invalid date</v>
      </c>
      <c r="AR129" t="str">
        <f t="shared" si="8"/>
        <v>Invalid</v>
      </c>
      <c r="AS129" t="str">
        <f t="shared" si="9"/>
        <v>invalid date</v>
      </c>
      <c r="AT129" t="str">
        <f>IF(COUNTIFS( $A:$A,A129,$B:$B,B129,$C:$C,C129,$D:$D,D129,$E:$E,E129,$F:$F,F129,$G:$G,G129,$H:$H,H129,$I:$I,I129,$J:$J,J129,$K:$K,K129,$L:$L,L129,$M:$M,M129,$T:$T,T129,$U:$U,U129,$W:$W,W129,$Z:$Z,Z129,$AA:$AA,AA129,$AB:$AB,AB129,$AC:$AC,AC129,$AD:$AD,AD129,$AE:$AE,AE129,$AF:$AF,AF129,$AG:$AG,AG129,$AH:$AH,AH129,$AI:$AI,AI129)&gt;1,"Duplicate","Unique")</f>
        <v>Unique</v>
      </c>
    </row>
    <row r="130" spans="1:46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  <c r="W130" t="s">
        <v>732</v>
      </c>
      <c r="Z130" t="s">
        <v>735</v>
      </c>
      <c r="AA130" t="str">
        <v>Neha Gupta</v>
      </c>
      <c r="AB130" t="str">
        <f>TRIM(PROPER(F:F))</f>
        <v>Small Business</v>
      </c>
      <c r="AC130" t="str">
        <f>TRIM(PROPER(G:G))</f>
        <v>East</v>
      </c>
      <c r="AD130" t="str">
        <f>TRIM(PROPER(H:H))</f>
        <v>Odisha</v>
      </c>
      <c r="AE130" t="str">
        <f>TRIM(PROPER(I:I))</f>
        <v>Bhubaneswar</v>
      </c>
      <c r="AF130" t="str">
        <f>TRIM(PROPER(J:J))</f>
        <v>Furniture</v>
      </c>
      <c r="AG130" t="str">
        <f>TRIM(PROPER(K:K))</f>
        <v>Furnishings</v>
      </c>
      <c r="AH130" t="str">
        <f>TRIM(PROPER(L:L))</f>
        <v>Prime Furnishings 710</v>
      </c>
      <c r="AI130" t="str">
        <f>TRIM(PROPER(M:M))</f>
        <v>Standard Class</v>
      </c>
      <c r="AJ130" s="5">
        <f>IF(OR(P130&lt;0,P130&gt;0.5),"invalid",P130)</f>
        <v>0.05</v>
      </c>
      <c r="AK130" s="6">
        <f>IFERROR(N130*O130*(1-AJ130), "NA")</f>
        <v>4386.3874999999998</v>
      </c>
      <c r="AL130" s="6">
        <f>IFERROR(AK130-R130,"NA")</f>
        <v>1019.5074999999997</v>
      </c>
      <c r="AM130" s="5">
        <f t="shared" si="5"/>
        <v>0.2324253158208206</v>
      </c>
      <c r="AN130" t="str">
        <v>13-12-24</v>
      </c>
      <c r="AO130" t="str">
        <v>16-12-24</v>
      </c>
      <c r="AP130" t="str">
        <f t="shared" si="6"/>
        <v>December</v>
      </c>
      <c r="AQ130" t="str">
        <f t="shared" si="7"/>
        <v>2024</v>
      </c>
      <c r="AR130" t="str">
        <f t="shared" si="8"/>
        <v xml:space="preserve"> </v>
      </c>
      <c r="AS130">
        <f t="shared" si="9"/>
        <v>3</v>
      </c>
      <c r="AT130" t="str">
        <f>IF(COUNTIFS( $A:$A,A130,$B:$B,B130,$C:$C,C130,$D:$D,D130,$E:$E,E130,$F:$F,F130,$G:$G,G130,$H:$H,H130,$I:$I,I130,$J:$J,J130,$K:$K,K130,$L:$L,L130,$M:$M,M130,$T:$T,T130,$U:$U,U130,$W:$W,W130,$Z:$Z,Z130,$AA:$AA,AA130,$AB:$AB,AB130,$AC:$AC,AC130,$AD:$AD,AD130,$AE:$AE,AE130,$AF:$AF,AF130,$AG:$AG,AG130,$AH:$AH,AH130,$AI:$AI,AI130)&gt;1,"Duplicate","Unique")</f>
        <v>Unique</v>
      </c>
    </row>
    <row r="131" spans="1:46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  <c r="W131" t="s">
        <v>737</v>
      </c>
      <c r="Z131" t="s">
        <v>739</v>
      </c>
      <c r="AA131" t="str">
        <v>Isha Nair</v>
      </c>
      <c r="AB131" t="str">
        <f>TRIM(PROPER(F:F))</f>
        <v>Small Business</v>
      </c>
      <c r="AC131" t="str">
        <f>TRIM(PROPER(G:G))</f>
        <v>West</v>
      </c>
      <c r="AD131" t="str">
        <f>TRIM(PROPER(H:H))</f>
        <v>Goa</v>
      </c>
      <c r="AE131" t="str">
        <f>TRIM(PROPER(I:I))</f>
        <v>Panaji</v>
      </c>
      <c r="AF131" t="str">
        <f>TRIM(PROPER(J:J))</f>
        <v>Office Supplies</v>
      </c>
      <c r="AG131" t="str">
        <f>TRIM(PROPER(K:K))</f>
        <v>Binders</v>
      </c>
      <c r="AH131" t="str">
        <f>TRIM(PROPER(L:L))</f>
        <v>Elite Binders 723</v>
      </c>
      <c r="AI131" t="str">
        <f>TRIM(PROPER(M:M))</f>
        <v>Standard Class</v>
      </c>
      <c r="AJ131" s="5">
        <f>IF(OR(P131&lt;0,P131&gt;0.5),"invalid",P131)</f>
        <v>0.05</v>
      </c>
      <c r="AK131" s="6">
        <f>IFERROR(N131*O131*(1-AJ131), "NA")</f>
        <v>18229.5785</v>
      </c>
      <c r="AL131" s="6">
        <f>IFERROR(AK131-R131,"NA")</f>
        <v>3090.4285</v>
      </c>
      <c r="AM131" s="5">
        <f t="shared" ref="AM131:AM194" si="10">IFERROR(AL131/AK131,"NA")</f>
        <v>0.16952824773211295</v>
      </c>
      <c r="AN131" t="str">
        <v>19-07-24</v>
      </c>
      <c r="AO131" t="str">
        <v>25-07-24</v>
      </c>
      <c r="AP131" t="str">
        <f t="shared" ref="AP131:AP194" si="11">TEXT(AN131,"mmmm")</f>
        <v>July</v>
      </c>
      <c r="AQ131" t="str">
        <f t="shared" ref="AQ131:AQ194" si="12">TEXT(AN131,"yyyy")</f>
        <v>2024</v>
      </c>
      <c r="AR131" t="str">
        <f t="shared" ref="AR131:AR194" si="13">IF(OR(AN131="Invalid Date",AO131="Invalid Date"),"Invalid",(IF(AO131&lt;AN131,"anomaly"," ")))</f>
        <v xml:space="preserve"> </v>
      </c>
      <c r="AS131">
        <f t="shared" ref="AS131:AS194" si="14">IFERROR(AO131-AN131, "invalid date")</f>
        <v>6</v>
      </c>
      <c r="AT131" t="str">
        <f>IF(COUNTIFS( $A:$A,A131,$B:$B,B131,$C:$C,C131,$D:$D,D131,$E:$E,E131,$F:$F,F131,$G:$G,G131,$H:$H,H131,$I:$I,I131,$J:$J,J131,$K:$K,K131,$L:$L,L131,$M:$M,M131,$T:$T,T131,$U:$U,U131,$W:$W,W131,$Z:$Z,Z131,$AA:$AA,AA131,$AB:$AB,AB131,$AC:$AC,AC131,$AD:$AD,AD131,$AE:$AE,AE131,$AF:$AF,AF131,$AG:$AG,AG131,$AH:$AH,AH131,$AI:$AI,AI131)&gt;1,"Duplicate","Unique")</f>
        <v>Unique</v>
      </c>
    </row>
    <row r="132" spans="1:46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  <c r="W132" t="s">
        <v>741</v>
      </c>
      <c r="Z132" t="s">
        <v>744</v>
      </c>
      <c r="AA132" t="str">
        <v>Arjun Bose</v>
      </c>
      <c r="AB132" t="str">
        <f>TRIM(PROPER(F:F))</f>
        <v>Consumer</v>
      </c>
      <c r="AC132" t="str">
        <f>TRIM(PROPER(G:G))</f>
        <v>West</v>
      </c>
      <c r="AD132" t="str">
        <f>TRIM(PROPER(H:H))</f>
        <v>Gujarat</v>
      </c>
      <c r="AE132" t="str">
        <f>TRIM(PROPER(I:I))</f>
        <v>Ahmedabad</v>
      </c>
      <c r="AF132" t="str">
        <f>TRIM(PROPER(J:J))</f>
        <v>Office Supplies</v>
      </c>
      <c r="AG132" t="str">
        <f>TRIM(PROPER(K:K))</f>
        <v>Labels</v>
      </c>
      <c r="AH132" t="str">
        <f>TRIM(PROPER(L:L))</f>
        <v>Smart Labels 878</v>
      </c>
      <c r="AI132" t="str">
        <f>TRIM(PROPER(M:M))</f>
        <v>Same Day</v>
      </c>
      <c r="AJ132" s="5">
        <f>IF(OR(P132&lt;0,P132&gt;0.5),"invalid",P132)</f>
        <v>0.2</v>
      </c>
      <c r="AK132" s="6">
        <f>IFERROR(N132*O132*(1-AJ132), "NA")</f>
        <v>873.68</v>
      </c>
      <c r="AL132" s="6">
        <f>IFERROR(AK132-R132,"NA")</f>
        <v>211.95999999999992</v>
      </c>
      <c r="AM132" s="5">
        <f t="shared" si="10"/>
        <v>0.24260598846259493</v>
      </c>
      <c r="AN132" t="str">
        <v>27-01-24</v>
      </c>
      <c r="AO132" t="str">
        <v>02-02-24</v>
      </c>
      <c r="AP132" t="str">
        <f t="shared" si="11"/>
        <v>January</v>
      </c>
      <c r="AQ132" t="str">
        <f t="shared" si="12"/>
        <v>2024</v>
      </c>
      <c r="AR132" t="str">
        <f t="shared" si="13"/>
        <v>anomaly</v>
      </c>
      <c r="AS132">
        <f t="shared" si="14"/>
        <v>6</v>
      </c>
      <c r="AT132" t="str">
        <f>IF(COUNTIFS( $A:$A,A132,$B:$B,B132,$C:$C,C132,$D:$D,D132,$E:$E,E132,$F:$F,F132,$G:$G,G132,$H:$H,H132,$I:$I,I132,$J:$J,J132,$K:$K,K132,$L:$L,L132,$M:$M,M132,$T:$T,T132,$U:$U,U132,$W:$W,W132,$Z:$Z,Z132,$AA:$AA,AA132,$AB:$AB,AB132,$AC:$AC,AC132,$AD:$AD,AD132,$AE:$AE,AE132,$AF:$AF,AF132,$AG:$AG,AG132,$AH:$AH,AH132,$AI:$AI,AI132)&gt;1,"Duplicate","Unique")</f>
        <v>Unique</v>
      </c>
    </row>
    <row r="133" spans="1:46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  <c r="W133" t="s">
        <v>746</v>
      </c>
      <c r="Z133" t="s">
        <v>749</v>
      </c>
      <c r="AA133" t="str">
        <v>Ananya Rao</v>
      </c>
      <c r="AB133" t="str">
        <f>TRIM(PROPER(F:F))</f>
        <v>Home Office</v>
      </c>
      <c r="AC133" t="str">
        <f>TRIM(PROPER(G:G))</f>
        <v>East</v>
      </c>
      <c r="AD133" t="str">
        <f>TRIM(PROPER(H:H))</f>
        <v>Jharkhand</v>
      </c>
      <c r="AE133" t="str">
        <f>TRIM(PROPER(I:I))</f>
        <v>Ranchi</v>
      </c>
      <c r="AF133" t="str">
        <f>TRIM(PROPER(J:J))</f>
        <v>Office Supplies</v>
      </c>
      <c r="AG133" t="str">
        <f>TRIM(PROPER(K:K))</f>
        <v>Paper</v>
      </c>
      <c r="AH133" t="str">
        <f>TRIM(PROPER(L:L))</f>
        <v>Pro Paper 934</v>
      </c>
      <c r="AI133" t="str">
        <f>TRIM(PROPER(M:M))</f>
        <v>Same Day</v>
      </c>
      <c r="AJ133" s="5">
        <f>IF(OR(P133&lt;0,P133&gt;0.5),"invalid",P133)</f>
        <v>0.2</v>
      </c>
      <c r="AK133" s="6">
        <f>IFERROR(N133*O133*(1-AJ133), "NA")</f>
        <v>2692.152</v>
      </c>
      <c r="AL133" s="6">
        <f>IFERROR(AK133-R133,"NA")</f>
        <v>647.66200000000003</v>
      </c>
      <c r="AM133" s="5">
        <f t="shared" si="10"/>
        <v>0.24057408348414205</v>
      </c>
      <c r="AN133" t="str">
        <v>invalid date</v>
      </c>
      <c r="AO133" t="str">
        <v>04-10-25</v>
      </c>
      <c r="AP133" t="str">
        <f t="shared" si="11"/>
        <v>invalid date</v>
      </c>
      <c r="AQ133" t="str">
        <f t="shared" si="12"/>
        <v>invalid date</v>
      </c>
      <c r="AR133" t="str">
        <f t="shared" si="13"/>
        <v>Invalid</v>
      </c>
      <c r="AS133" t="str">
        <f t="shared" si="14"/>
        <v>invalid date</v>
      </c>
      <c r="AT133" t="str">
        <f>IF(COUNTIFS( $A:$A,A133,$B:$B,B133,$C:$C,C133,$D:$D,D133,$E:$E,E133,$F:$F,F133,$G:$G,G133,$H:$H,H133,$I:$I,I133,$J:$J,J133,$K:$K,K133,$L:$L,L133,$M:$M,M133,$T:$T,T133,$U:$U,U133,$W:$W,W133,$Z:$Z,Z133,$AA:$AA,AA133,$AB:$AB,AB133,$AC:$AC,AC133,$AD:$AD,AD133,$AE:$AE,AE133,$AF:$AF,AF133,$AG:$AG,AG133,$AH:$AH,AH133,$AI:$AI,AI133)&gt;1,"Duplicate","Unique")</f>
        <v>Unique</v>
      </c>
    </row>
    <row r="134" spans="1:46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  <c r="W134" t="s">
        <v>751</v>
      </c>
      <c r="Z134" t="s">
        <v>753</v>
      </c>
      <c r="AA134" t="str">
        <v>Kabir Singh</v>
      </c>
      <c r="AB134" t="str">
        <f>TRIM(PROPER(F:F))</f>
        <v>Corporate</v>
      </c>
      <c r="AC134" t="str">
        <f>TRIM(PROPER(G:G))</f>
        <v>East</v>
      </c>
      <c r="AD134" t="str">
        <f>TRIM(PROPER(H:H))</f>
        <v>Assam</v>
      </c>
      <c r="AE134" t="str">
        <f>TRIM(PROPER(I:I))</f>
        <v>Guwahati</v>
      </c>
      <c r="AF134" t="str">
        <f>TRIM(PROPER(J:J))</f>
        <v>Technology</v>
      </c>
      <c r="AG134" t="str">
        <f>TRIM(PROPER(K:K))</f>
        <v>Machines</v>
      </c>
      <c r="AH134" t="str">
        <f>TRIM(PROPER(L:L))</f>
        <v>Classic Machines 886</v>
      </c>
      <c r="AI134" t="str">
        <f>TRIM(PROPER(M:M))</f>
        <v>First Class</v>
      </c>
      <c r="AJ134" s="5">
        <f>IF(OR(P134&lt;0,P134&gt;0.5),"invalid",P134)</f>
        <v>0</v>
      </c>
      <c r="AK134" s="6">
        <f>IFERROR(N134*O134*(1-AJ134), "NA")</f>
        <v>1066.1600000000001</v>
      </c>
      <c r="AL134" s="6">
        <f>IFERROR(AK134-R134,"NA")</f>
        <v>409.86000000000013</v>
      </c>
      <c r="AM134" s="5">
        <f t="shared" si="10"/>
        <v>0.38442635251744589</v>
      </c>
      <c r="AN134" t="str">
        <v>04-11-24</v>
      </c>
      <c r="AO134" t="str">
        <v>04-11-24</v>
      </c>
      <c r="AP134" t="str">
        <f t="shared" si="11"/>
        <v>November</v>
      </c>
      <c r="AQ134" t="str">
        <f t="shared" si="12"/>
        <v>2024</v>
      </c>
      <c r="AR134" t="str">
        <f t="shared" si="13"/>
        <v xml:space="preserve"> </v>
      </c>
      <c r="AS134">
        <f t="shared" si="14"/>
        <v>0</v>
      </c>
      <c r="AT134" t="str">
        <f>IF(COUNTIFS( $A:$A,A134,$B:$B,B134,$C:$C,C134,$D:$D,D134,$E:$E,E134,$F:$F,F134,$G:$G,G134,$H:$H,H134,$I:$I,I134,$J:$J,J134,$K:$K,K134,$L:$L,L134,$M:$M,M134,$T:$T,T134,$U:$U,U134,$W:$W,W134,$Z:$Z,Z134,$AA:$AA,AA134,$AB:$AB,AB134,$AC:$AC,AC134,$AD:$AD,AD134,$AE:$AE,AE134,$AF:$AF,AF134,$AG:$AG,AG134,$AH:$AH,AH134,$AI:$AI,AI134)&gt;1,"Duplicate","Unique")</f>
        <v>Unique</v>
      </c>
    </row>
    <row r="135" spans="1:46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  <c r="W135" t="s">
        <v>755</v>
      </c>
      <c r="Z135" t="s">
        <v>758</v>
      </c>
      <c r="AA135" t="str">
        <v>Karan Malhotra</v>
      </c>
      <c r="AB135" t="str">
        <f>TRIM(PROPER(F:F))</f>
        <v>Consumer</v>
      </c>
      <c r="AC135" t="str">
        <f>TRIM(PROPER(G:G))</f>
        <v>West</v>
      </c>
      <c r="AD135" t="str">
        <f>TRIM(PROPER(H:H))</f>
        <v>Goa</v>
      </c>
      <c r="AE135" t="str">
        <f>TRIM(PROPER(I:I))</f>
        <v>Panaji</v>
      </c>
      <c r="AF135" t="str">
        <f>TRIM(PROPER(J:J))</f>
        <v>Technology</v>
      </c>
      <c r="AG135" t="str">
        <f>TRIM(PROPER(K:K))</f>
        <v>Phones</v>
      </c>
      <c r="AH135" t="str">
        <f>TRIM(PROPER(L:L))</f>
        <v>Prime Phones 419</v>
      </c>
      <c r="AI135" t="str">
        <f>TRIM(PROPER(M:M))</f>
        <v>Second Class</v>
      </c>
      <c r="AJ135" s="5">
        <f>IF(OR(P135&lt;0,P135&gt;0.5),"invalid",P135)</f>
        <v>0.15</v>
      </c>
      <c r="AK135" s="6">
        <f>IFERROR(N135*O135*(1-AJ135), "NA")</f>
        <v>22930.62</v>
      </c>
      <c r="AL135" s="6">
        <f>IFERROR(AK135-R135,"NA")</f>
        <v>6055.07</v>
      </c>
      <c r="AM135" s="5">
        <f t="shared" si="10"/>
        <v>0.26406045715292475</v>
      </c>
      <c r="AN135" t="str">
        <v>13-12-24</v>
      </c>
      <c r="AO135" t="str">
        <v>invalid date</v>
      </c>
      <c r="AP135" t="str">
        <f t="shared" si="11"/>
        <v>December</v>
      </c>
      <c r="AQ135" t="str">
        <f t="shared" si="12"/>
        <v>2024</v>
      </c>
      <c r="AR135" t="str">
        <f t="shared" si="13"/>
        <v>Invalid</v>
      </c>
      <c r="AS135" t="str">
        <f t="shared" si="14"/>
        <v>invalid date</v>
      </c>
      <c r="AT135" t="str">
        <f>IF(COUNTIFS( $A:$A,A135,$B:$B,B135,$C:$C,C135,$D:$D,D135,$E:$E,E135,$F:$F,F135,$G:$G,G135,$H:$H,H135,$I:$I,I135,$J:$J,J135,$K:$K,K135,$L:$L,L135,$M:$M,M135,$T:$T,T135,$U:$U,U135,$W:$W,W135,$Z:$Z,Z135,$AA:$AA,AA135,$AB:$AB,AB135,$AC:$AC,AC135,$AD:$AD,AD135,$AE:$AE,AE135,$AF:$AF,AF135,$AG:$AG,AG135,$AH:$AH,AH135,$AI:$AI,AI135)&gt;1,"Duplicate","Unique")</f>
        <v>Unique</v>
      </c>
    </row>
    <row r="136" spans="1:46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  <c r="W136" t="s">
        <v>760</v>
      </c>
      <c r="Z136" t="s">
        <v>763</v>
      </c>
      <c r="AA136" t="str">
        <v>Vikram Iyer</v>
      </c>
      <c r="AB136" t="str">
        <f>TRIM(PROPER(F:F))</f>
        <v>Home Office</v>
      </c>
      <c r="AC136" t="str">
        <f>TRIM(PROPER(G:G))</f>
        <v>East</v>
      </c>
      <c r="AD136" t="str">
        <f>TRIM(PROPER(H:H))</f>
        <v>West Bengal</v>
      </c>
      <c r="AE136" t="str">
        <f>TRIM(PROPER(I:I))</f>
        <v>Kolkata</v>
      </c>
      <c r="AF136" t="str">
        <f>TRIM(PROPER(J:J))</f>
        <v>Furniture</v>
      </c>
      <c r="AG136" t="str">
        <f>TRIM(PROPER(K:K))</f>
        <v>Bookcases</v>
      </c>
      <c r="AH136" t="str">
        <f>TRIM(PROPER(L:L))</f>
        <v>Elite Bookcases 266</v>
      </c>
      <c r="AI136" t="s">
        <v>4095</v>
      </c>
      <c r="AJ136" s="5">
        <f>IF(OR(P136&lt;0,P136&gt;0.5),"invalid",P136)</f>
        <v>0.25</v>
      </c>
      <c r="AK136" s="6">
        <f>IFERROR(N136*O136*(1-AJ136), "NA")</f>
        <v>1436.625</v>
      </c>
      <c r="AL136" s="6">
        <f>IFERROR(AK136-R136,"NA")</f>
        <v>524.10500000000002</v>
      </c>
      <c r="AM136" s="5">
        <f t="shared" si="10"/>
        <v>0.36481684503610895</v>
      </c>
      <c r="AN136" t="str">
        <v>invalid date</v>
      </c>
      <c r="AO136" t="str">
        <v>14-07-25</v>
      </c>
      <c r="AP136" t="str">
        <f t="shared" si="11"/>
        <v>invalid date</v>
      </c>
      <c r="AQ136" t="str">
        <f t="shared" si="12"/>
        <v>invalid date</v>
      </c>
      <c r="AR136" t="str">
        <f t="shared" si="13"/>
        <v>Invalid</v>
      </c>
      <c r="AS136" t="str">
        <f t="shared" si="14"/>
        <v>invalid date</v>
      </c>
      <c r="AT136" t="str">
        <f>IF(COUNTIFS( $A:$A,A136,$B:$B,B136,$C:$C,C136,$D:$D,D136,$E:$E,E136,$F:$F,F136,$G:$G,G136,$H:$H,H136,$I:$I,I136,$J:$J,J136,$K:$K,K136,$L:$L,L136,$M:$M,M136,$T:$T,T136,$U:$U,U136,$W:$W,W136,$Z:$Z,Z136,$AA:$AA,AA136,$AB:$AB,AB136,$AC:$AC,AC136,$AD:$AD,AD136,$AE:$AE,AE136,$AF:$AF,AF136,$AG:$AG,AG136,$AH:$AH,AH136,$AI:$AI,AI136)&gt;1,"Duplicate","Unique")</f>
        <v>Unique</v>
      </c>
    </row>
    <row r="137" spans="1:46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  <c r="W137" t="s">
        <v>765</v>
      </c>
      <c r="Z137" t="s">
        <v>767</v>
      </c>
      <c r="AA137" t="str">
        <v>Diya Patel</v>
      </c>
      <c r="AB137" t="str">
        <f>TRIM(PROPER(F:F))</f>
        <v>Small Business</v>
      </c>
      <c r="AC137" t="str">
        <f>TRIM(PROPER(G:G))</f>
        <v>South</v>
      </c>
      <c r="AD137" t="str">
        <f>TRIM(PROPER(H:H))</f>
        <v>Kerala</v>
      </c>
      <c r="AE137" t="str">
        <f>TRIM(PROPER(I:I))</f>
        <v>Kochi</v>
      </c>
      <c r="AF137" t="str">
        <f>TRIM(PROPER(J:J))</f>
        <v>Furniture</v>
      </c>
      <c r="AG137" t="str">
        <f>TRIM(PROPER(K:K))</f>
        <v>Bookcases</v>
      </c>
      <c r="AH137" t="str">
        <f>TRIM(PROPER(L:L))</f>
        <v>Prime Bookcases 954</v>
      </c>
      <c r="AI137" t="str">
        <f>TRIM(PROPER(M:M))</f>
        <v>Standard Class</v>
      </c>
      <c r="AJ137" s="5">
        <f>IF(OR(P137&lt;0,P137&gt;0.5),"invalid",P137)</f>
        <v>0</v>
      </c>
      <c r="AK137" s="6">
        <f>IFERROR(N137*O137*(1-AJ137), "NA")</f>
        <v>3424.78</v>
      </c>
      <c r="AL137" s="6">
        <f>IFERROR(AK137-R137,"NA")</f>
        <v>1473.3300000000002</v>
      </c>
      <c r="AM137" s="5">
        <f t="shared" si="10"/>
        <v>0.43019697615613267</v>
      </c>
      <c r="AN137" t="str">
        <v>24-08-25</v>
      </c>
      <c r="AO137" t="str">
        <v>24-08-25</v>
      </c>
      <c r="AP137" t="str">
        <f t="shared" si="11"/>
        <v>August</v>
      </c>
      <c r="AQ137" t="str">
        <f t="shared" si="12"/>
        <v>2025</v>
      </c>
      <c r="AR137" t="str">
        <f t="shared" si="13"/>
        <v xml:space="preserve"> </v>
      </c>
      <c r="AS137">
        <f t="shared" si="14"/>
        <v>0</v>
      </c>
      <c r="AT137" t="str">
        <f>IF(COUNTIFS( $A:$A,A137,$B:$B,B137,$C:$C,C137,$D:$D,D137,$E:$E,E137,$F:$F,F137,$G:$G,G137,$H:$H,H137,$I:$I,I137,$J:$J,J137,$K:$K,K137,$L:$L,L137,$M:$M,M137,$T:$T,T137,$U:$U,U137,$W:$W,W137,$Z:$Z,Z137,$AA:$AA,AA137,$AB:$AB,AB137,$AC:$AC,AC137,$AD:$AD,AD137,$AE:$AE,AE137,$AF:$AF,AF137,$AG:$AG,AG137,$AH:$AH,AH137,$AI:$AI,AI137)&gt;1,"Duplicate","Unique")</f>
        <v>Unique</v>
      </c>
    </row>
    <row r="138" spans="1:46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  <c r="W138" t="s">
        <v>769</v>
      </c>
      <c r="Z138" t="s">
        <v>772</v>
      </c>
      <c r="AA138" t="str">
        <v>Mira Das</v>
      </c>
      <c r="AB138" t="str">
        <f>TRIM(PROPER(F:F))</f>
        <v>Home Office</v>
      </c>
      <c r="AC138" t="str">
        <f>TRIM(PROPER(G:G))</f>
        <v>East</v>
      </c>
      <c r="AD138" t="str">
        <f>TRIM(PROPER(H:H))</f>
        <v>Jharkhand</v>
      </c>
      <c r="AE138" t="str">
        <f>TRIM(PROPER(I:I))</f>
        <v>Ranchi</v>
      </c>
      <c r="AF138" t="str">
        <f>TRIM(PROPER(J:J))</f>
        <v>Office Supplies</v>
      </c>
      <c r="AG138" t="str">
        <f>TRIM(PROPER(K:K))</f>
        <v>Binders</v>
      </c>
      <c r="AH138" t="str">
        <f>TRIM(PROPER(L:L))</f>
        <v>Max Binders 362</v>
      </c>
      <c r="AI138" t="str">
        <f>TRIM(PROPER(M:M))</f>
        <v>Standard Class</v>
      </c>
      <c r="AJ138" s="5">
        <f>IF(OR(P138&lt;0,P138&gt;0.5),"invalid",P138)</f>
        <v>0.2</v>
      </c>
      <c r="AK138" s="6">
        <f>IFERROR(N138*O138*(1-AJ138), "NA")</f>
        <v>31178.376000000004</v>
      </c>
      <c r="AL138" s="6">
        <f>IFERROR(AK138-R138,"NA")</f>
        <v>9757.2860000000037</v>
      </c>
      <c r="AM138" s="5">
        <f t="shared" si="10"/>
        <v>0.31295042435821552</v>
      </c>
      <c r="AN138" t="str">
        <v>09-02-25</v>
      </c>
      <c r="AO138" t="str">
        <v>15-02-25</v>
      </c>
      <c r="AP138" t="str">
        <f t="shared" si="11"/>
        <v>February</v>
      </c>
      <c r="AQ138" t="str">
        <f t="shared" si="12"/>
        <v>2025</v>
      </c>
      <c r="AR138" t="str">
        <f t="shared" si="13"/>
        <v xml:space="preserve"> </v>
      </c>
      <c r="AS138">
        <f t="shared" si="14"/>
        <v>6</v>
      </c>
      <c r="AT138" t="str">
        <f>IF(COUNTIFS( $A:$A,A138,$B:$B,B138,$C:$C,C138,$D:$D,D138,$E:$E,E138,$F:$F,F138,$G:$G,G138,$H:$H,H138,$I:$I,I138,$J:$J,J138,$K:$K,K138,$L:$L,L138,$M:$M,M138,$T:$T,T138,$U:$U,U138,$W:$W,W138,$Z:$Z,Z138,$AA:$AA,AA138,$AB:$AB,AB138,$AC:$AC,AC138,$AD:$AD,AD138,$AE:$AE,AE138,$AF:$AF,AF138,$AG:$AG,AG138,$AH:$AH,AH138,$AI:$AI,AI138)&gt;1,"Duplicate","Unique")</f>
        <v>Unique</v>
      </c>
    </row>
    <row r="139" spans="1:46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  <c r="W139" t="s">
        <v>775</v>
      </c>
      <c r="Z139" t="s">
        <v>778</v>
      </c>
      <c r="AA139" t="str">
        <v>Sneha Kapoor</v>
      </c>
      <c r="AB139" t="str">
        <f>TRIM(PROPER(F:F))</f>
        <v>Small Business</v>
      </c>
      <c r="AC139" t="str">
        <f>TRIM(PROPER(G:G))</f>
        <v>North</v>
      </c>
      <c r="AD139" t="str">
        <f>TRIM(PROPER(H:H))</f>
        <v>Rajasthan</v>
      </c>
      <c r="AE139" t="str">
        <f>TRIM(PROPER(I:I))</f>
        <v>Jaipur</v>
      </c>
      <c r="AF139" t="str">
        <f>TRIM(PROPER(J:J))</f>
        <v>Furniture</v>
      </c>
      <c r="AG139" t="str">
        <f>TRIM(PROPER(K:K))</f>
        <v>Chairs</v>
      </c>
      <c r="AH139" t="str">
        <f>TRIM(PROPER(L:L))</f>
        <v>Prime Chairs 261</v>
      </c>
      <c r="AI139" t="str">
        <f>TRIM(PROPER(M:M))</f>
        <v>Same Day</v>
      </c>
      <c r="AJ139" s="5">
        <f>IF(OR(P139&lt;0,P139&gt;0.5),"invalid",P139)</f>
        <v>0.1</v>
      </c>
      <c r="AK139" s="6">
        <f>IFERROR(N139*O139*(1-AJ139), "NA")</f>
        <v>19202.904000000002</v>
      </c>
      <c r="AL139" s="6">
        <f>IFERROR(AK139-R139,"NA")</f>
        <v>3676.2840000000015</v>
      </c>
      <c r="AM139" s="5">
        <f t="shared" si="10"/>
        <v>0.19144416906942829</v>
      </c>
      <c r="AN139" t="str">
        <v>01-09-25</v>
      </c>
      <c r="AO139" t="str">
        <v>09-01-25</v>
      </c>
      <c r="AP139" t="str">
        <f t="shared" si="11"/>
        <v>September</v>
      </c>
      <c r="AQ139" t="str">
        <f t="shared" si="12"/>
        <v>2025</v>
      </c>
      <c r="AR139" t="str">
        <f t="shared" si="13"/>
        <v xml:space="preserve"> </v>
      </c>
      <c r="AS139">
        <f t="shared" si="14"/>
        <v>-235</v>
      </c>
      <c r="AT139" t="str">
        <f>IF(COUNTIFS( $A:$A,A139,$B:$B,B139,$C:$C,C139,$D:$D,D139,$E:$E,E139,$F:$F,F139,$G:$G,G139,$H:$H,H139,$I:$I,I139,$J:$J,J139,$K:$K,K139,$L:$L,L139,$M:$M,M139,$T:$T,T139,$U:$U,U139,$W:$W,W139,$Z:$Z,Z139,$AA:$AA,AA139,$AB:$AB,AB139,$AC:$AC,AC139,$AD:$AD,AD139,$AE:$AE,AE139,$AF:$AF,AF139,$AG:$AG,AG139,$AH:$AH,AH139,$AI:$AI,AI139)&gt;1,"Duplicate","Unique")</f>
        <v>Unique</v>
      </c>
    </row>
    <row r="140" spans="1:46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  <c r="W140" t="s">
        <v>780</v>
      </c>
      <c r="Z140" t="s">
        <v>783</v>
      </c>
      <c r="AA140" t="str">
        <v>Diya Patel</v>
      </c>
      <c r="AB140" t="str">
        <f>TRIM(PROPER(F:F))</f>
        <v>Home Office</v>
      </c>
      <c r="AC140" t="str">
        <f>TRIM(PROPER(G:G))</f>
        <v>East</v>
      </c>
      <c r="AD140" t="str">
        <f>TRIM(PROPER(H:H))</f>
        <v>Jharkhand</v>
      </c>
      <c r="AE140" t="str">
        <f>TRIM(PROPER(I:I))</f>
        <v>Ranchi</v>
      </c>
      <c r="AF140" t="str">
        <f>TRIM(PROPER(J:J))</f>
        <v>Technology</v>
      </c>
      <c r="AG140" t="str">
        <f>TRIM(PROPER(K:K))</f>
        <v>Machines</v>
      </c>
      <c r="AH140" t="str">
        <f>TRIM(PROPER(L:L))</f>
        <v>Basic Machines 185</v>
      </c>
      <c r="AI140" t="str">
        <f>TRIM(PROPER(M:M))</f>
        <v>Standard Class</v>
      </c>
      <c r="AJ140" s="5">
        <f>IF(OR(P140&lt;0,P140&gt;0.5),"invalid",P140)</f>
        <v>0.25</v>
      </c>
      <c r="AK140" s="6">
        <f>IFERROR(N140*O140*(1-AJ140), "NA")</f>
        <v>24018.300000000003</v>
      </c>
      <c r="AL140" s="6">
        <f>IFERROR(AK140-R140,"NA")</f>
        <v>9947.5200000000023</v>
      </c>
      <c r="AM140" s="5">
        <f t="shared" si="10"/>
        <v>0.41416419979765434</v>
      </c>
      <c r="AN140" t="str">
        <v>20-01-24</v>
      </c>
      <c r="AO140" t="str">
        <v>26-01-24</v>
      </c>
      <c r="AP140" t="str">
        <f t="shared" si="11"/>
        <v>January</v>
      </c>
      <c r="AQ140" t="str">
        <f t="shared" si="12"/>
        <v>2024</v>
      </c>
      <c r="AR140" t="str">
        <f t="shared" si="13"/>
        <v xml:space="preserve"> </v>
      </c>
      <c r="AS140">
        <f t="shared" si="14"/>
        <v>6</v>
      </c>
      <c r="AT140" t="str">
        <f>IF(COUNTIFS( $A:$A,A140,$B:$B,B140,$C:$C,C140,$D:$D,D140,$E:$E,E140,$F:$F,F140,$G:$G,G140,$H:$H,H140,$I:$I,I140,$J:$J,J140,$K:$K,K140,$L:$L,L140,$M:$M,M140,$T:$T,T140,$U:$U,U140,$W:$W,W140,$Z:$Z,Z140,$AA:$AA,AA140,$AB:$AB,AB140,$AC:$AC,AC140,$AD:$AD,AD140,$AE:$AE,AE140,$AF:$AF,AF140,$AG:$AG,AG140,$AH:$AH,AH140,$AI:$AI,AI140)&gt;1,"Duplicate","Unique")</f>
        <v>Unique</v>
      </c>
    </row>
    <row r="141" spans="1:46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  <c r="W141" t="s">
        <v>785</v>
      </c>
      <c r="Z141" t="s">
        <v>788</v>
      </c>
      <c r="AA141" t="str">
        <v>Neha Gupta</v>
      </c>
      <c r="AB141" t="str">
        <f>TRIM(PROPER(F:F))</f>
        <v>Home Office</v>
      </c>
      <c r="AC141" t="str">
        <f>TRIM(PROPER(G:G))</f>
        <v>South</v>
      </c>
      <c r="AD141" t="str">
        <f>TRIM(PROPER(H:H))</f>
        <v>Karnataka</v>
      </c>
      <c r="AE141" t="str">
        <f>TRIM(PROPER(I:I))</f>
        <v>Bengaluru</v>
      </c>
      <c r="AF141" t="str">
        <f>TRIM(PROPER(J:J))</f>
        <v>Office Supplies</v>
      </c>
      <c r="AG141" t="str">
        <f>TRIM(PROPER(K:K))</f>
        <v>Labels</v>
      </c>
      <c r="AH141" t="str">
        <f>TRIM(PROPER(L:L))</f>
        <v>Basic Labels 509</v>
      </c>
      <c r="AI141" t="str">
        <f>TRIM(PROPER(M:M))</f>
        <v>Standard Class</v>
      </c>
      <c r="AJ141" s="5">
        <f>IF(OR(P141&lt;0,P141&gt;0.5),"invalid",P141)</f>
        <v>0</v>
      </c>
      <c r="AK141" s="6">
        <f>IFERROR(N141*O141*(1-AJ141), "NA")</f>
        <v>10301.040000000001</v>
      </c>
      <c r="AL141" s="6">
        <f>IFERROR(AK141-R141,"NA")</f>
        <v>3736.9800000000005</v>
      </c>
      <c r="AM141" s="5">
        <f t="shared" si="10"/>
        <v>0.3627769623261341</v>
      </c>
      <c r="AN141" t="str">
        <v>03-02-25</v>
      </c>
      <c r="AO141" t="str">
        <v>07-03-25</v>
      </c>
      <c r="AP141" t="str">
        <f t="shared" si="11"/>
        <v>February</v>
      </c>
      <c r="AQ141" t="str">
        <f t="shared" si="12"/>
        <v>2025</v>
      </c>
      <c r="AR141" t="str">
        <f t="shared" si="13"/>
        <v xml:space="preserve"> </v>
      </c>
      <c r="AS141">
        <f t="shared" si="14"/>
        <v>32</v>
      </c>
      <c r="AT141" t="str">
        <f>IF(COUNTIFS( $A:$A,A141,$B:$B,B141,$C:$C,C141,$D:$D,D141,$E:$E,E141,$F:$F,F141,$G:$G,G141,$H:$H,H141,$I:$I,I141,$J:$J,J141,$K:$K,K141,$L:$L,L141,$M:$M,M141,$T:$T,T141,$U:$U,U141,$W:$W,W141,$Z:$Z,Z141,$AA:$AA,AA141,$AB:$AB,AB141,$AC:$AC,AC141,$AD:$AD,AD141,$AE:$AE,AE141,$AF:$AF,AF141,$AG:$AG,AG141,$AH:$AH,AH141,$AI:$AI,AI141)&gt;1,"Duplicate","Unique")</f>
        <v>Unique</v>
      </c>
    </row>
    <row r="142" spans="1:46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  <c r="W142" t="s">
        <v>790</v>
      </c>
      <c r="Z142" t="s">
        <v>793</v>
      </c>
      <c r="AA142" t="str">
        <v>Mira Das</v>
      </c>
      <c r="AB142" t="str">
        <f>TRIM(PROPER(F:F))</f>
        <v>Corporate</v>
      </c>
      <c r="AC142" t="str">
        <f>TRIM(PROPER(G:G))</f>
        <v>South</v>
      </c>
      <c r="AD142" t="str">
        <f>TRIM(PROPER(H:H))</f>
        <v>Karnataka</v>
      </c>
      <c r="AE142" t="str">
        <f>TRIM(PROPER(I:I))</f>
        <v>Bengaluru</v>
      </c>
      <c r="AF142" t="str">
        <f>TRIM(PROPER(J:J))</f>
        <v>Furniture</v>
      </c>
      <c r="AG142" t="str">
        <f>TRIM(PROPER(K:K))</f>
        <v>Bookcases</v>
      </c>
      <c r="AH142" t="str">
        <f>TRIM(PROPER(L:L))</f>
        <v>Elite Bookcases 696</v>
      </c>
      <c r="AI142" t="str">
        <f>TRIM(PROPER(M:M))</f>
        <v>Same Day</v>
      </c>
      <c r="AJ142" s="5">
        <f>IF(OR(P142&lt;0,P142&gt;0.5),"invalid",P142)</f>
        <v>0</v>
      </c>
      <c r="AK142" s="6">
        <f>IFERROR(N142*O142*(1-AJ142), "NA")</f>
        <v>8743.6500000000015</v>
      </c>
      <c r="AL142" s="6">
        <f>IFERROR(AK142-R142,"NA")</f>
        <v>2139.8900000000012</v>
      </c>
      <c r="AM142" s="5">
        <f t="shared" si="10"/>
        <v>0.24473646589239059</v>
      </c>
      <c r="AN142" t="str">
        <v>31-05-24</v>
      </c>
      <c r="AO142" t="str">
        <v>01-06-24</v>
      </c>
      <c r="AP142" t="str">
        <f t="shared" si="11"/>
        <v>May</v>
      </c>
      <c r="AQ142" t="str">
        <f t="shared" si="12"/>
        <v>2024</v>
      </c>
      <c r="AR142" t="str">
        <f t="shared" si="13"/>
        <v>anomaly</v>
      </c>
      <c r="AS142">
        <f t="shared" si="14"/>
        <v>1</v>
      </c>
      <c r="AT142" t="str">
        <f>IF(COUNTIFS( $A:$A,A142,$B:$B,B142,$C:$C,C142,$D:$D,D142,$E:$E,E142,$F:$F,F142,$G:$G,G142,$H:$H,H142,$I:$I,I142,$J:$J,J142,$K:$K,K142,$L:$L,L142,$M:$M,M142,$T:$T,T142,$U:$U,U142,$W:$W,W142,$Z:$Z,Z142,$AA:$AA,AA142,$AB:$AB,AB142,$AC:$AC,AC142,$AD:$AD,AD142,$AE:$AE,AE142,$AF:$AF,AF142,$AG:$AG,AG142,$AH:$AH,AH142,$AI:$AI,AI142)&gt;1,"Duplicate","Unique")</f>
        <v>Unique</v>
      </c>
    </row>
    <row r="143" spans="1:46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  <c r="W143" t="s">
        <v>795</v>
      </c>
      <c r="Z143" t="s">
        <v>798</v>
      </c>
      <c r="AA143" t="str">
        <v>Priya Menon</v>
      </c>
      <c r="AB143" t="str">
        <f>TRIM(PROPER(F:F))</f>
        <v>Corporate</v>
      </c>
      <c r="AC143" t="str">
        <f>TRIM(PROPER(G:G))</f>
        <v>North</v>
      </c>
      <c r="AD143" t="str">
        <f>TRIM(PROPER(H:H))</f>
        <v>Delhi</v>
      </c>
      <c r="AE143" t="str">
        <f>TRIM(PROPER(I:I))</f>
        <v>New Delhi</v>
      </c>
      <c r="AF143" t="str">
        <f>TRIM(PROPER(J:J))</f>
        <v>Furniture</v>
      </c>
      <c r="AG143" t="str">
        <f>TRIM(PROPER(K:K))</f>
        <v>Bookcases</v>
      </c>
      <c r="AH143" t="str">
        <f>TRIM(PROPER(L:L))</f>
        <v>Elite Bookcases 772</v>
      </c>
      <c r="AI143" t="str">
        <f>TRIM(PROPER(M:M))</f>
        <v>Same Day</v>
      </c>
      <c r="AJ143" s="5">
        <f>IF(OR(P143&lt;0,P143&gt;0.5),"invalid",P143)</f>
        <v>0.1</v>
      </c>
      <c r="AK143" s="6">
        <f>IFERROR(N143*O143*(1-AJ143), "NA")</f>
        <v>3996.027</v>
      </c>
      <c r="AL143" s="6">
        <f>IFERROR(AK143-R143,"NA")</f>
        <v>1136.5169999999998</v>
      </c>
      <c r="AM143" s="5">
        <f t="shared" si="10"/>
        <v>0.28441174196270441</v>
      </c>
      <c r="AN143" t="str">
        <v>invalid date</v>
      </c>
      <c r="AO143" t="str">
        <v>29-03-24</v>
      </c>
      <c r="AP143" t="str">
        <f t="shared" si="11"/>
        <v>invalid date</v>
      </c>
      <c r="AQ143" t="str">
        <f t="shared" si="12"/>
        <v>invalid date</v>
      </c>
      <c r="AR143" t="str">
        <f t="shared" si="13"/>
        <v>Invalid</v>
      </c>
      <c r="AS143" t="str">
        <f t="shared" si="14"/>
        <v>invalid date</v>
      </c>
      <c r="AT143" t="str">
        <f>IF(COUNTIFS( $A:$A,A143,$B:$B,B143,$C:$C,C143,$D:$D,D143,$E:$E,E143,$F:$F,F143,$G:$G,G143,$H:$H,H143,$I:$I,I143,$J:$J,J143,$K:$K,K143,$L:$L,L143,$M:$M,M143,$T:$T,T143,$U:$U,U143,$W:$W,W143,$Z:$Z,Z143,$AA:$AA,AA143,$AB:$AB,AB143,$AC:$AC,AC143,$AD:$AD,AD143,$AE:$AE,AE143,$AF:$AF,AF143,$AG:$AG,AG143,$AH:$AH,AH143,$AI:$AI,AI143)&gt;1,"Duplicate","Unique")</f>
        <v>Unique</v>
      </c>
    </row>
    <row r="144" spans="1:46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  <c r="W144" t="s">
        <v>800</v>
      </c>
      <c r="Z144" t="s">
        <v>803</v>
      </c>
      <c r="AA144" t="str">
        <v>Aditi Sen</v>
      </c>
      <c r="AB144" t="str">
        <f>TRIM(PROPER(F:F))</f>
        <v>Home Office</v>
      </c>
      <c r="AC144" t="str">
        <f>TRIM(PROPER(G:G))</f>
        <v>North</v>
      </c>
      <c r="AD144" t="str">
        <f>TRIM(PROPER(H:H))</f>
        <v>Rajasthan</v>
      </c>
      <c r="AE144" t="str">
        <f>TRIM(PROPER(I:I))</f>
        <v>Jaipur</v>
      </c>
      <c r="AF144" t="str">
        <f>TRIM(PROPER(J:J))</f>
        <v>Technology</v>
      </c>
      <c r="AG144" t="str">
        <f>TRIM(PROPER(K:K))</f>
        <v>Phones</v>
      </c>
      <c r="AH144" t="str">
        <f>TRIM(PROPER(L:L))</f>
        <v>Classic Phones 142</v>
      </c>
      <c r="AI144" t="str">
        <f>TRIM(PROPER(M:M))</f>
        <v>Second Class</v>
      </c>
      <c r="AJ144" s="5">
        <f>IF(OR(P144&lt;0,P144&gt;0.5),"invalid",P144)</f>
        <v>0.15</v>
      </c>
      <c r="AK144" s="6">
        <f>IFERROR(N144*O144*(1-AJ144), "NA")</f>
        <v>3857.0449999999996</v>
      </c>
      <c r="AL144" s="6">
        <f>IFERROR(AK144-R144,"NA")</f>
        <v>1087.7849999999994</v>
      </c>
      <c r="AM144" s="5">
        <f t="shared" si="10"/>
        <v>0.28202548842442843</v>
      </c>
      <c r="AN144" t="str">
        <v>30-03-24</v>
      </c>
      <c r="AO144" t="str">
        <v>26-03-24</v>
      </c>
      <c r="AP144" t="str">
        <f t="shared" si="11"/>
        <v>March</v>
      </c>
      <c r="AQ144" t="str">
        <f t="shared" si="12"/>
        <v>2024</v>
      </c>
      <c r="AR144" t="str">
        <f t="shared" si="13"/>
        <v>anomaly</v>
      </c>
      <c r="AS144">
        <f t="shared" si="14"/>
        <v>-4</v>
      </c>
      <c r="AT144" t="str">
        <f>IF(COUNTIFS( $A:$A,A144,$B:$B,B144,$C:$C,C144,$D:$D,D144,$E:$E,E144,$F:$F,F144,$G:$G,G144,$H:$H,H144,$I:$I,I144,$J:$J,J144,$K:$K,K144,$L:$L,L144,$M:$M,M144,$T:$T,T144,$U:$U,U144,$W:$W,W144,$Z:$Z,Z144,$AA:$AA,AA144,$AB:$AB,AB144,$AC:$AC,AC144,$AD:$AD,AD144,$AE:$AE,AE144,$AF:$AF,AF144,$AG:$AG,AG144,$AH:$AH,AH144,$AI:$AI,AI144)&gt;1,"Duplicate","Unique")</f>
        <v>Unique</v>
      </c>
    </row>
    <row r="145" spans="1:46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  <c r="W145" t="s">
        <v>805</v>
      </c>
      <c r="Z145" t="s">
        <v>807</v>
      </c>
      <c r="AA145" t="str">
        <v>Priya Menon</v>
      </c>
      <c r="AB145" t="str">
        <f>TRIM(PROPER(F:F))</f>
        <v>Consumer</v>
      </c>
      <c r="AC145" t="str">
        <f>TRIM(PROPER(G:G))</f>
        <v>West</v>
      </c>
      <c r="AD145" t="str">
        <f>TRIM(PROPER(H:H))</f>
        <v>Gujarat</v>
      </c>
      <c r="AE145" t="str">
        <f>TRIM(PROPER(I:I))</f>
        <v>Ahmedabad</v>
      </c>
      <c r="AF145" t="str">
        <f>TRIM(PROPER(J:J))</f>
        <v>Office Supplies</v>
      </c>
      <c r="AG145" t="str">
        <f>TRIM(PROPER(K:K))</f>
        <v>Paper</v>
      </c>
      <c r="AH145" t="str">
        <f>TRIM(PROPER(L:L))</f>
        <v>Pro Paper 575</v>
      </c>
      <c r="AI145" t="str">
        <f>TRIM(PROPER(M:M))</f>
        <v>Second Class</v>
      </c>
      <c r="AJ145" s="5">
        <f>IF(OR(P145&lt;0,P145&gt;0.5),"invalid",P145)</f>
        <v>0.1</v>
      </c>
      <c r="AK145" s="6">
        <f>IFERROR(N145*O145*(1-AJ145), "NA")</f>
        <v>3068.55</v>
      </c>
      <c r="AL145" s="6">
        <f>IFERROR(AK145-R145,"NA")</f>
        <v>1152.3900000000001</v>
      </c>
      <c r="AM145" s="5">
        <f t="shared" si="10"/>
        <v>0.3755487119323459</v>
      </c>
      <c r="AN145" t="str">
        <v>invalid date</v>
      </c>
      <c r="AO145" t="str">
        <v>26-03-24</v>
      </c>
      <c r="AP145" t="str">
        <f t="shared" si="11"/>
        <v>invalid date</v>
      </c>
      <c r="AQ145" t="str">
        <f t="shared" si="12"/>
        <v>invalid date</v>
      </c>
      <c r="AR145" t="str">
        <f t="shared" si="13"/>
        <v>Invalid</v>
      </c>
      <c r="AS145" t="str">
        <f t="shared" si="14"/>
        <v>invalid date</v>
      </c>
      <c r="AT145" t="str">
        <f>IF(COUNTIFS( $A:$A,A145,$B:$B,B145,$C:$C,C145,$D:$D,D145,$E:$E,E145,$F:$F,F145,$G:$G,G145,$H:$H,H145,$I:$I,I145,$J:$J,J145,$K:$K,K145,$L:$L,L145,$M:$M,M145,$T:$T,T145,$U:$U,U145,$W:$W,W145,$Z:$Z,Z145,$AA:$AA,AA145,$AB:$AB,AB145,$AC:$AC,AC145,$AD:$AD,AD145,$AE:$AE,AE145,$AF:$AF,AF145,$AG:$AG,AG145,$AH:$AH,AH145,$AI:$AI,AI145)&gt;1,"Duplicate","Unique")</f>
        <v>Unique</v>
      </c>
    </row>
    <row r="146" spans="1:46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  <c r="W146" t="s">
        <v>809</v>
      </c>
      <c r="Z146" t="s">
        <v>811</v>
      </c>
      <c r="AA146" t="str">
        <v>Kabir Singh</v>
      </c>
      <c r="AB146" t="str">
        <f>TRIM(PROPER(F:F))</f>
        <v>Small Business</v>
      </c>
      <c r="AC146" t="str">
        <f>TRIM(PROPER(G:G))</f>
        <v>South</v>
      </c>
      <c r="AD146" t="str">
        <f>TRIM(PROPER(H:H))</f>
        <v>Telangana</v>
      </c>
      <c r="AE146" t="str">
        <f>TRIM(PROPER(I:I))</f>
        <v>Hyderabad</v>
      </c>
      <c r="AF146" t="str">
        <f>TRIM(PROPER(J:J))</f>
        <v>Technology</v>
      </c>
      <c r="AG146" t="str">
        <f>TRIM(PROPER(K:K))</f>
        <v>Accessories</v>
      </c>
      <c r="AH146" t="str">
        <f>TRIM(PROPER(L:L))</f>
        <v>Elite Accessories 905</v>
      </c>
      <c r="AI146" t="str">
        <f>TRIM(PROPER(M:M))</f>
        <v>First Class</v>
      </c>
      <c r="AJ146" s="5">
        <f>IF(OR(P146&lt;0,P146&gt;0.5),"invalid",P146)</f>
        <v>0.25</v>
      </c>
      <c r="AK146" s="6">
        <f>IFERROR(N146*O146*(1-AJ146), "NA")</f>
        <v>11276.947499999998</v>
      </c>
      <c r="AL146" s="6">
        <f>IFERROR(AK146-R146,"NA")</f>
        <v>4368.1874999999982</v>
      </c>
      <c r="AM146" s="5">
        <f t="shared" si="10"/>
        <v>0.38735548782150481</v>
      </c>
      <c r="AN146" t="str">
        <v>07-06-24</v>
      </c>
      <c r="AO146" t="str">
        <v>15-06-24</v>
      </c>
      <c r="AP146" t="str">
        <f t="shared" si="11"/>
        <v>June</v>
      </c>
      <c r="AQ146" t="str">
        <f t="shared" si="12"/>
        <v>2024</v>
      </c>
      <c r="AR146" t="str">
        <f t="shared" si="13"/>
        <v xml:space="preserve"> </v>
      </c>
      <c r="AS146">
        <f t="shared" si="14"/>
        <v>8</v>
      </c>
      <c r="AT146" t="str">
        <f>IF(COUNTIFS( $A:$A,A146,$B:$B,B146,$C:$C,C146,$D:$D,D146,$E:$E,E146,$F:$F,F146,$G:$G,G146,$H:$H,H146,$I:$I,I146,$J:$J,J146,$K:$K,K146,$L:$L,L146,$M:$M,M146,$T:$T,T146,$U:$U,U146,$W:$W,W146,$Z:$Z,Z146,$AA:$AA,AA146,$AB:$AB,AB146,$AC:$AC,AC146,$AD:$AD,AD146,$AE:$AE,AE146,$AF:$AF,AF146,$AG:$AG,AG146,$AH:$AH,AH146,$AI:$AI,AI146)&gt;1,"Duplicate","Unique")</f>
        <v>Unique</v>
      </c>
    </row>
    <row r="147" spans="1:46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  <c r="W147" t="s">
        <v>813</v>
      </c>
      <c r="Z147" t="s">
        <v>816</v>
      </c>
      <c r="AA147" t="str">
        <v>Mira Das</v>
      </c>
      <c r="AB147" t="str">
        <f>TRIM(PROPER(F:F))</f>
        <v>Small Business</v>
      </c>
      <c r="AC147" t="str">
        <f>TRIM(PROPER(G:G))</f>
        <v>West</v>
      </c>
      <c r="AD147" t="str">
        <f>TRIM(PROPER(H:H))</f>
        <v>Goa</v>
      </c>
      <c r="AE147" t="str">
        <f>TRIM(PROPER(I:I))</f>
        <v>Panaji</v>
      </c>
      <c r="AF147" t="str">
        <f>TRIM(PROPER(J:J))</f>
        <v>Office Supplies</v>
      </c>
      <c r="AG147" t="str">
        <f>TRIM(PROPER(K:K))</f>
        <v>Paper</v>
      </c>
      <c r="AH147" t="str">
        <f>TRIM(PROPER(L:L))</f>
        <v>Smart Paper 899</v>
      </c>
      <c r="AI147" t="str">
        <f>TRIM(PROPER(M:M))</f>
        <v>Standard Class</v>
      </c>
      <c r="AJ147" s="5">
        <f>IF(OR(P147&lt;0,P147&gt;0.5),"invalid",P147)</f>
        <v>0.1</v>
      </c>
      <c r="AK147" s="6">
        <f>IFERROR(N147*O147*(1-AJ147), "NA")</f>
        <v>15055.74</v>
      </c>
      <c r="AL147" s="6">
        <f>IFERROR(AK147-R147,"NA")</f>
        <v>5246.91</v>
      </c>
      <c r="AM147" s="5">
        <f t="shared" si="10"/>
        <v>0.34849897779850075</v>
      </c>
      <c r="AN147" t="str">
        <v>11-04-25</v>
      </c>
      <c r="AO147" t="str">
        <v>invalid date</v>
      </c>
      <c r="AP147" t="str">
        <f t="shared" si="11"/>
        <v>April</v>
      </c>
      <c r="AQ147" t="str">
        <f t="shared" si="12"/>
        <v>2025</v>
      </c>
      <c r="AR147" t="str">
        <f t="shared" si="13"/>
        <v>Invalid</v>
      </c>
      <c r="AS147" t="str">
        <f t="shared" si="14"/>
        <v>invalid date</v>
      </c>
      <c r="AT147" t="str">
        <f>IF(COUNTIFS( $A:$A,A147,$B:$B,B147,$C:$C,C147,$D:$D,D147,$E:$E,E147,$F:$F,F147,$G:$G,G147,$H:$H,H147,$I:$I,I147,$J:$J,J147,$K:$K,K147,$L:$L,L147,$M:$M,M147,$T:$T,T147,$U:$U,U147,$W:$W,W147,$Z:$Z,Z147,$AA:$AA,AA147,$AB:$AB,AB147,$AC:$AC,AC147,$AD:$AD,AD147,$AE:$AE,AE147,$AF:$AF,AF147,$AG:$AG,AG147,$AH:$AH,AH147,$AI:$AI,AI147)&gt;1,"Duplicate","Unique")</f>
        <v>Unique</v>
      </c>
    </row>
    <row r="148" spans="1:46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  <c r="W148" t="s">
        <v>818</v>
      </c>
      <c r="Z148" t="s">
        <v>821</v>
      </c>
      <c r="AA148" t="str">
        <v>Sneha Kapoor</v>
      </c>
      <c r="AB148" t="str">
        <f>TRIM(PROPER(F:F))</f>
        <v>Small Business</v>
      </c>
      <c r="AC148" t="str">
        <f>TRIM(PROPER(G:G))</f>
        <v>South</v>
      </c>
      <c r="AD148" t="str">
        <f>TRIM(PROPER(H:H))</f>
        <v>Tamil Nadu</v>
      </c>
      <c r="AE148" t="str">
        <f>TRIM(PROPER(I:I))</f>
        <v>Chennai</v>
      </c>
      <c r="AF148" t="str">
        <f>TRIM(PROPER(J:J))</f>
        <v>Office Supplies</v>
      </c>
      <c r="AG148" t="str">
        <f>TRIM(PROPER(K:K))</f>
        <v>Storage</v>
      </c>
      <c r="AH148" t="str">
        <f>TRIM(PROPER(L:L))</f>
        <v>Classic Storage 423</v>
      </c>
      <c r="AI148" t="str">
        <f>TRIM(PROPER(M:M))</f>
        <v>Same Day</v>
      </c>
      <c r="AJ148" s="5">
        <f>IF(OR(P148&lt;0,P148&gt;0.5),"invalid",P148)</f>
        <v>0.1</v>
      </c>
      <c r="AK148" s="6">
        <f>IFERROR(N148*O148*(1-AJ148), "NA")</f>
        <v>25639.983</v>
      </c>
      <c r="AL148" s="6">
        <f>IFERROR(AK148-R148,"NA")</f>
        <v>4004.9029999999984</v>
      </c>
      <c r="AM148" s="5">
        <f t="shared" si="10"/>
        <v>0.1561975684617263</v>
      </c>
      <c r="AN148" t="str">
        <v>30-07-25</v>
      </c>
      <c r="AO148" t="str">
        <v>08-01-25</v>
      </c>
      <c r="AP148" t="str">
        <f t="shared" si="11"/>
        <v>July</v>
      </c>
      <c r="AQ148" t="str">
        <f t="shared" si="12"/>
        <v>2025</v>
      </c>
      <c r="AR148" t="str">
        <f t="shared" si="13"/>
        <v>anomaly</v>
      </c>
      <c r="AS148">
        <f t="shared" si="14"/>
        <v>-203</v>
      </c>
      <c r="AT148" t="str">
        <f>IF(COUNTIFS( $A:$A,A148,$B:$B,B148,$C:$C,C148,$D:$D,D148,$E:$E,E148,$F:$F,F148,$G:$G,G148,$H:$H,H148,$I:$I,I148,$J:$J,J148,$K:$K,K148,$L:$L,L148,$M:$M,M148,$T:$T,T148,$U:$U,U148,$W:$W,W148,$Z:$Z,Z148,$AA:$AA,AA148,$AB:$AB,AB148,$AC:$AC,AC148,$AD:$AD,AD148,$AE:$AE,AE148,$AF:$AF,AF148,$AG:$AG,AG148,$AH:$AH,AH148,$AI:$AI,AI148)&gt;1,"Duplicate","Unique")</f>
        <v>Unique</v>
      </c>
    </row>
    <row r="149" spans="1:46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  <c r="W149" t="s">
        <v>823</v>
      </c>
      <c r="Z149" t="s">
        <v>826</v>
      </c>
      <c r="AA149" t="str">
        <v>Priya Menon</v>
      </c>
      <c r="AB149" t="str">
        <f>TRIM(PROPER(F:F))</f>
        <v>Home Office</v>
      </c>
      <c r="AC149" t="str">
        <f>TRIM(PROPER(G:G))</f>
        <v>West</v>
      </c>
      <c r="AD149" t="str">
        <f>TRIM(PROPER(H:H))</f>
        <v>Goa</v>
      </c>
      <c r="AE149" t="str">
        <f>TRIM(PROPER(I:I))</f>
        <v>Panaji</v>
      </c>
      <c r="AF149" t="str">
        <f>TRIM(PROPER(J:J))</f>
        <v>Furniture</v>
      </c>
      <c r="AG149" t="str">
        <f>TRIM(PROPER(K:K))</f>
        <v>Furnishings</v>
      </c>
      <c r="AH149" t="str">
        <f>TRIM(PROPER(L:L))</f>
        <v>Classic Furnishings 743</v>
      </c>
      <c r="AI149" t="str">
        <f>TRIM(PROPER(M:M))</f>
        <v>First Class</v>
      </c>
      <c r="AJ149" s="5">
        <f>IF(OR(P149&lt;0,P149&gt;0.5),"invalid",P149)</f>
        <v>0.1</v>
      </c>
      <c r="AK149" s="6">
        <f>IFERROR(N149*O149*(1-AJ149), "NA")</f>
        <v>2779.92</v>
      </c>
      <c r="AL149" s="6">
        <f>IFERROR(AK149-R149,"NA")</f>
        <v>1035.8700000000001</v>
      </c>
      <c r="AM149" s="5">
        <f t="shared" si="10"/>
        <v>0.37262583095916435</v>
      </c>
      <c r="AN149" t="str">
        <v>23-12-24</v>
      </c>
      <c r="AO149" t="str">
        <v>30-12-24</v>
      </c>
      <c r="AP149" t="str">
        <f t="shared" si="11"/>
        <v>December</v>
      </c>
      <c r="AQ149" t="str">
        <f t="shared" si="12"/>
        <v>2024</v>
      </c>
      <c r="AR149" t="str">
        <f t="shared" si="13"/>
        <v xml:space="preserve"> </v>
      </c>
      <c r="AS149">
        <f t="shared" si="14"/>
        <v>7</v>
      </c>
      <c r="AT149" t="str">
        <f>IF(COUNTIFS( $A:$A,A149,$B:$B,B149,$C:$C,C149,$D:$D,D149,$E:$E,E149,$F:$F,F149,$G:$G,G149,$H:$H,H149,$I:$I,I149,$J:$J,J149,$K:$K,K149,$L:$L,L149,$M:$M,M149,$T:$T,T149,$U:$U,U149,$W:$W,W149,$Z:$Z,Z149,$AA:$AA,AA149,$AB:$AB,AB149,$AC:$AC,AC149,$AD:$AD,AD149,$AE:$AE,AE149,$AF:$AF,AF149,$AG:$AG,AG149,$AH:$AH,AH149,$AI:$AI,AI149)&gt;1,"Duplicate","Unique")</f>
        <v>Unique</v>
      </c>
    </row>
    <row r="150" spans="1:46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  <c r="W150" t="s">
        <v>828</v>
      </c>
      <c r="Z150" t="s">
        <v>831</v>
      </c>
      <c r="AA150" t="str">
        <v>Mira Das</v>
      </c>
      <c r="AB150" t="str">
        <f>TRIM(PROPER(F:F))</f>
        <v>Home Office</v>
      </c>
      <c r="AC150" t="str">
        <f>TRIM(PROPER(G:G))</f>
        <v>West</v>
      </c>
      <c r="AD150" t="str">
        <f>TRIM(PROPER(H:H))</f>
        <v>Madhya Pradesh</v>
      </c>
      <c r="AE150" t="str">
        <f>TRIM(PROPER(I:I))</f>
        <v>Indore</v>
      </c>
      <c r="AF150" t="str">
        <f>TRIM(PROPER(J:J))</f>
        <v>Technology</v>
      </c>
      <c r="AG150" t="str">
        <f>TRIM(PROPER(K:K))</f>
        <v>Phones</v>
      </c>
      <c r="AH150" t="str">
        <f>TRIM(PROPER(L:L))</f>
        <v>Smart Phones 336</v>
      </c>
      <c r="AI150" t="s">
        <v>4095</v>
      </c>
      <c r="AJ150" s="5">
        <f>IF(OR(P150&lt;0,P150&gt;0.5),"invalid",P150)</f>
        <v>0.25</v>
      </c>
      <c r="AK150" s="6">
        <f>IFERROR(N150*O150*(1-AJ150), "NA")</f>
        <v>10176.42</v>
      </c>
      <c r="AL150" s="6">
        <f>IFERROR(AK150-R150,"NA")</f>
        <v>2571.9499999999998</v>
      </c>
      <c r="AM150" s="5">
        <f t="shared" si="10"/>
        <v>0.252736227474888</v>
      </c>
      <c r="AN150" t="str">
        <v>09-02-25</v>
      </c>
      <c r="AO150" t="str">
        <v>13-02-25</v>
      </c>
      <c r="AP150" t="str">
        <f t="shared" si="11"/>
        <v>February</v>
      </c>
      <c r="AQ150" t="str">
        <f t="shared" si="12"/>
        <v>2025</v>
      </c>
      <c r="AR150" t="str">
        <f t="shared" si="13"/>
        <v xml:space="preserve"> </v>
      </c>
      <c r="AS150">
        <f t="shared" si="14"/>
        <v>4</v>
      </c>
      <c r="AT150" t="str">
        <f>IF(COUNTIFS( $A:$A,A150,$B:$B,B150,$C:$C,C150,$D:$D,D150,$E:$E,E150,$F:$F,F150,$G:$G,G150,$H:$H,H150,$I:$I,I150,$J:$J,J150,$K:$K,K150,$L:$L,L150,$M:$M,M150,$T:$T,T150,$U:$U,U150,$W:$W,W150,$Z:$Z,Z150,$AA:$AA,AA150,$AB:$AB,AB150,$AC:$AC,AC150,$AD:$AD,AD150,$AE:$AE,AE150,$AF:$AF,AF150,$AG:$AG,AG150,$AH:$AH,AH150,$AI:$AI,AI150)&gt;1,"Duplicate","Unique")</f>
        <v>Unique</v>
      </c>
    </row>
    <row r="151" spans="1:46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  <c r="W151" t="s">
        <v>833</v>
      </c>
      <c r="Z151" t="s">
        <v>835</v>
      </c>
      <c r="AA151" t="str">
        <v>Aarav Sharma</v>
      </c>
      <c r="AB151" t="str">
        <f>TRIM(PROPER(F:F))</f>
        <v>Small Business</v>
      </c>
      <c r="AC151" t="str">
        <f>TRIM(PROPER(G:G))</f>
        <v>West</v>
      </c>
      <c r="AD151" t="str">
        <f>TRIM(PROPER(H:H))</f>
        <v>Rajasthan</v>
      </c>
      <c r="AE151" t="str">
        <f>TRIM(PROPER(I:I))</f>
        <v>Udaipur</v>
      </c>
      <c r="AF151" t="str">
        <f>TRIM(PROPER(J:J))</f>
        <v>Technology</v>
      </c>
      <c r="AG151" t="str">
        <f>TRIM(PROPER(K:K))</f>
        <v>Copiers</v>
      </c>
      <c r="AH151" t="str">
        <f>TRIM(PROPER(L:L))</f>
        <v>Eco Copiers 381</v>
      </c>
      <c r="AI151" t="str">
        <f>TRIM(PROPER(M:M))</f>
        <v>Same Day</v>
      </c>
      <c r="AJ151" s="5">
        <f>IF(OR(P151&lt;0,P151&gt;0.5),"invalid",P151)</f>
        <v>0.25</v>
      </c>
      <c r="AK151" s="6">
        <f>IFERROR(N151*O151*(1-AJ151), "NA")</f>
        <v>13269.952499999999</v>
      </c>
      <c r="AL151" s="6">
        <f>IFERROR(AK151-R151,"NA")</f>
        <v>4292.8524999999991</v>
      </c>
      <c r="AM151" s="5">
        <f t="shared" si="10"/>
        <v>0.32350172315989822</v>
      </c>
      <c r="AN151" t="str">
        <v>30-01-24</v>
      </c>
      <c r="AO151" t="str">
        <v>30-01-24</v>
      </c>
      <c r="AP151" t="str">
        <f t="shared" si="11"/>
        <v>January</v>
      </c>
      <c r="AQ151" t="str">
        <f t="shared" si="12"/>
        <v>2024</v>
      </c>
      <c r="AR151" t="str">
        <f t="shared" si="13"/>
        <v xml:space="preserve"> </v>
      </c>
      <c r="AS151">
        <f t="shared" si="14"/>
        <v>0</v>
      </c>
      <c r="AT151" t="str">
        <f>IF(COUNTIFS( $A:$A,A151,$B:$B,B151,$C:$C,C151,$D:$D,D151,$E:$E,E151,$F:$F,F151,$G:$G,G151,$H:$H,H151,$I:$I,I151,$J:$J,J151,$K:$K,K151,$L:$L,L151,$M:$M,M151,$T:$T,T151,$U:$U,U151,$W:$W,W151,$Z:$Z,Z151,$AA:$AA,AA151,$AB:$AB,AB151,$AC:$AC,AC151,$AD:$AD,AD151,$AE:$AE,AE151,$AF:$AF,AF151,$AG:$AG,AG151,$AH:$AH,AH151,$AI:$AI,AI151)&gt;1,"Duplicate","Unique")</f>
        <v>Unique</v>
      </c>
    </row>
    <row r="152" spans="1:46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  <c r="W152" t="s">
        <v>838</v>
      </c>
      <c r="Z152" t="s">
        <v>841</v>
      </c>
      <c r="AA152" t="str">
        <v>Arjun Bose</v>
      </c>
      <c r="AB152" t="str">
        <f>TRIM(PROPER(F:F))</f>
        <v>Consumer</v>
      </c>
      <c r="AC152" t="s">
        <v>4111</v>
      </c>
      <c r="AD152" t="str">
        <f>TRIM(PROPER(H:H))</f>
        <v>Gujarat</v>
      </c>
      <c r="AE152" t="str">
        <f>TRIM(PROPER(I:I))</f>
        <v>Ahmedabad</v>
      </c>
      <c r="AF152" t="str">
        <f>TRIM(PROPER(J:J))</f>
        <v>Furniture</v>
      </c>
      <c r="AG152" t="str">
        <f>TRIM(PROPER(K:K))</f>
        <v>Bookcases</v>
      </c>
      <c r="AH152" t="str">
        <f>TRIM(PROPER(L:L))</f>
        <v>Max Bookcases 595</v>
      </c>
      <c r="AI152" t="str">
        <f>TRIM(PROPER(M:M))</f>
        <v>First Class</v>
      </c>
      <c r="AJ152" s="5">
        <f>IF(OR(P152&lt;0,P152&gt;0.5),"invalid",P152)</f>
        <v>0.1</v>
      </c>
      <c r="AK152" s="6">
        <f>IFERROR(N152*O152*(1-AJ152), "NA")</f>
        <v>1398.7079999999999</v>
      </c>
      <c r="AL152" s="6">
        <f>IFERROR(AK152-R152,"NA")</f>
        <v>341.78799999999978</v>
      </c>
      <c r="AM152" s="5">
        <f t="shared" si="10"/>
        <v>0.24435979489643286</v>
      </c>
      <c r="AN152" t="str">
        <v>04-03-24</v>
      </c>
      <c r="AO152" t="str">
        <v>12-03-24</v>
      </c>
      <c r="AP152" t="str">
        <f t="shared" si="11"/>
        <v>March</v>
      </c>
      <c r="AQ152" t="str">
        <f t="shared" si="12"/>
        <v>2024</v>
      </c>
      <c r="AR152" t="str">
        <f t="shared" si="13"/>
        <v xml:space="preserve"> </v>
      </c>
      <c r="AS152">
        <f t="shared" si="14"/>
        <v>8</v>
      </c>
      <c r="AT152" t="str">
        <f>IF(COUNTIFS( $A:$A,A152,$B:$B,B152,$C:$C,C152,$D:$D,D152,$E:$E,E152,$F:$F,F152,$G:$G,G152,$H:$H,H152,$I:$I,I152,$J:$J,J152,$K:$K,K152,$L:$L,L152,$M:$M,M152,$T:$T,T152,$U:$U,U152,$W:$W,W152,$Z:$Z,Z152,$AA:$AA,AA152,$AB:$AB,AB152,$AC:$AC,AC152,$AD:$AD,AD152,$AE:$AE,AE152,$AF:$AF,AF152,$AG:$AG,AG152,$AH:$AH,AH152,$AI:$AI,AI152)&gt;1,"Duplicate","Unique")</f>
        <v>Unique</v>
      </c>
    </row>
    <row r="153" spans="1:46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  <c r="W153" t="s">
        <v>843</v>
      </c>
      <c r="Z153" t="s">
        <v>846</v>
      </c>
      <c r="AA153" t="str">
        <v>Neha Gupta</v>
      </c>
      <c r="AB153" t="str">
        <f>TRIM(PROPER(F:F))</f>
        <v>Home Office</v>
      </c>
      <c r="AC153" t="s">
        <v>4111</v>
      </c>
      <c r="AD153" t="str">
        <f>TRIM(PROPER(H:H))</f>
        <v>Madhya Pradesh</v>
      </c>
      <c r="AE153" t="str">
        <f>TRIM(PROPER(I:I))</f>
        <v>Indore</v>
      </c>
      <c r="AF153" t="str">
        <f>TRIM(PROPER(J:J))</f>
        <v>Technology</v>
      </c>
      <c r="AG153" t="str">
        <f>TRIM(PROPER(K:K))</f>
        <v>Copiers</v>
      </c>
      <c r="AH153" t="str">
        <f>TRIM(PROPER(L:L))</f>
        <v>Max Copiers 992</v>
      </c>
      <c r="AI153" t="str">
        <f>TRIM(PROPER(M:M))</f>
        <v>Standard Class</v>
      </c>
      <c r="AJ153" s="5">
        <f>IF(OR(P153&lt;0,P153&gt;0.5),"invalid",P153)</f>
        <v>0</v>
      </c>
      <c r="AK153" s="6">
        <f>IFERROR(N153*O153*(1-AJ153), "NA")</f>
        <v>7718.22</v>
      </c>
      <c r="AL153" s="6">
        <f>IFERROR(AK153-R153,"NA")</f>
        <v>2362.29</v>
      </c>
      <c r="AM153" s="5">
        <f t="shared" si="10"/>
        <v>0.30606668376905555</v>
      </c>
      <c r="AN153" t="str">
        <v>27-06-24</v>
      </c>
      <c r="AO153" t="str">
        <v>invalid date</v>
      </c>
      <c r="AP153" t="str">
        <f t="shared" si="11"/>
        <v>June</v>
      </c>
      <c r="AQ153" t="str">
        <f t="shared" si="12"/>
        <v>2024</v>
      </c>
      <c r="AR153" t="str">
        <f t="shared" si="13"/>
        <v>Invalid</v>
      </c>
      <c r="AS153" t="str">
        <f t="shared" si="14"/>
        <v>invalid date</v>
      </c>
      <c r="AT153" t="str">
        <f>IF(COUNTIFS( $A:$A,A153,$B:$B,B153,$C:$C,C153,$D:$D,D153,$E:$E,E153,$F:$F,F153,$G:$G,G153,$H:$H,H153,$I:$I,I153,$J:$J,J153,$K:$K,K153,$L:$L,L153,$M:$M,M153,$T:$T,T153,$U:$U,U153,$W:$W,W153,$Z:$Z,Z153,$AA:$AA,AA153,$AB:$AB,AB153,$AC:$AC,AC153,$AD:$AD,AD153,$AE:$AE,AE153,$AF:$AF,AF153,$AG:$AG,AG153,$AH:$AH,AH153,$AI:$AI,AI153)&gt;1,"Duplicate","Unique")</f>
        <v>Unique</v>
      </c>
    </row>
    <row r="154" spans="1:46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  <c r="W154" t="s">
        <v>848</v>
      </c>
      <c r="Z154" t="s">
        <v>851</v>
      </c>
      <c r="AA154" t="str">
        <v>Kabir Singh</v>
      </c>
      <c r="AB154" t="str">
        <f>TRIM(PROPER(F:F))</f>
        <v>Small Business</v>
      </c>
      <c r="AC154" t="str">
        <f>TRIM(PROPER(G:G))</f>
        <v>South</v>
      </c>
      <c r="AD154" t="str">
        <f>TRIM(PROPER(H:H))</f>
        <v>Kerala</v>
      </c>
      <c r="AE154" t="str">
        <f>TRIM(PROPER(I:I))</f>
        <v>Kochi</v>
      </c>
      <c r="AF154" t="str">
        <f>TRIM(PROPER(J:J))</f>
        <v>Furniture</v>
      </c>
      <c r="AG154" t="str">
        <f>TRIM(PROPER(K:K))</f>
        <v>Tables</v>
      </c>
      <c r="AH154" t="str">
        <f>TRIM(PROPER(L:L))</f>
        <v>Pro Tables 407</v>
      </c>
      <c r="AI154" t="str">
        <f>TRIM(PROPER(M:M))</f>
        <v>Second Class</v>
      </c>
      <c r="AJ154" s="5">
        <f>IF(OR(P154&lt;0,P154&gt;0.5),"invalid",P154)</f>
        <v>0.1</v>
      </c>
      <c r="AK154" s="6">
        <f>IFERROR(N154*O154*(1-AJ154), "NA")</f>
        <v>5875.4160000000002</v>
      </c>
      <c r="AL154" s="6">
        <f>IFERROR(AK154-R154,"NA")</f>
        <v>1494.866</v>
      </c>
      <c r="AM154" s="5">
        <f t="shared" si="10"/>
        <v>0.25442726098032886</v>
      </c>
      <c r="AN154" t="str">
        <v>14-06-24</v>
      </c>
      <c r="AO154" t="str">
        <v>invalid date</v>
      </c>
      <c r="AP154" t="str">
        <f t="shared" si="11"/>
        <v>June</v>
      </c>
      <c r="AQ154" t="str">
        <f t="shared" si="12"/>
        <v>2024</v>
      </c>
      <c r="AR154" t="str">
        <f t="shared" si="13"/>
        <v>Invalid</v>
      </c>
      <c r="AS154" t="str">
        <f t="shared" si="14"/>
        <v>invalid date</v>
      </c>
      <c r="AT154" t="str">
        <f>IF(COUNTIFS( $A:$A,A154,$B:$B,B154,$C:$C,C154,$D:$D,D154,$E:$E,E154,$F:$F,F154,$G:$G,G154,$H:$H,H154,$I:$I,I154,$J:$J,J154,$K:$K,K154,$L:$L,L154,$M:$M,M154,$T:$T,T154,$U:$U,U154,$W:$W,W154,$Z:$Z,Z154,$AA:$AA,AA154,$AB:$AB,AB154,$AC:$AC,AC154,$AD:$AD,AD154,$AE:$AE,AE154,$AF:$AF,AF154,$AG:$AG,AG154,$AH:$AH,AH154,$AI:$AI,AI154)&gt;1,"Duplicate","Unique")</f>
        <v>Unique</v>
      </c>
    </row>
    <row r="155" spans="1:46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  <c r="W155" t="s">
        <v>853</v>
      </c>
      <c r="Z155" t="s">
        <v>856</v>
      </c>
      <c r="AA155" t="str">
        <v>Aditi Sen</v>
      </c>
      <c r="AB155" t="str">
        <f>TRIM(PROPER(F:F))</f>
        <v>Consumer</v>
      </c>
      <c r="AC155" t="str">
        <f>TRIM(PROPER(G:G))</f>
        <v>East</v>
      </c>
      <c r="AD155" t="str">
        <f>TRIM(PROPER(H:H))</f>
        <v>Odisha</v>
      </c>
      <c r="AE155" t="str">
        <f>TRIM(PROPER(I:I))</f>
        <v>Bhubaneswar</v>
      </c>
      <c r="AF155" t="str">
        <f>TRIM(PROPER(J:J))</f>
        <v>Office Supplies</v>
      </c>
      <c r="AG155" t="str">
        <f>TRIM(PROPER(K:K))</f>
        <v>Labels</v>
      </c>
      <c r="AH155" t="str">
        <f>TRIM(PROPER(L:L))</f>
        <v>Prime Labels 559</v>
      </c>
      <c r="AI155" t="str">
        <f>TRIM(PROPER(M:M))</f>
        <v>Standard Class</v>
      </c>
      <c r="AJ155" s="5">
        <f>IF(OR(P155&lt;0,P155&gt;0.5),"invalid",P155)</f>
        <v>0</v>
      </c>
      <c r="AK155" s="6">
        <f>IFERROR(N155*O155*(1-AJ155), "NA")</f>
        <v>22962.17</v>
      </c>
      <c r="AL155" s="6">
        <f>IFERROR(AK155-R155,"NA")</f>
        <v>7245.6699999999983</v>
      </c>
      <c r="AM155" s="5">
        <f t="shared" si="10"/>
        <v>0.31554813852523517</v>
      </c>
      <c r="AN155" t="str">
        <v>23-09-25</v>
      </c>
      <c r="AO155" t="str">
        <v>25-09-25</v>
      </c>
      <c r="AP155" t="str">
        <f t="shared" si="11"/>
        <v>September</v>
      </c>
      <c r="AQ155" t="str">
        <f t="shared" si="12"/>
        <v>2025</v>
      </c>
      <c r="AR155" t="str">
        <f t="shared" si="13"/>
        <v xml:space="preserve"> </v>
      </c>
      <c r="AS155">
        <f t="shared" si="14"/>
        <v>2</v>
      </c>
      <c r="AT155" t="str">
        <f>IF(COUNTIFS( $A:$A,A155,$B:$B,B155,$C:$C,C155,$D:$D,D155,$E:$E,E155,$F:$F,F155,$G:$G,G155,$H:$H,H155,$I:$I,I155,$J:$J,J155,$K:$K,K155,$L:$L,L155,$M:$M,M155,$T:$T,T155,$U:$U,U155,$W:$W,W155,$Z:$Z,Z155,$AA:$AA,AA155,$AB:$AB,AB155,$AC:$AC,AC155,$AD:$AD,AD155,$AE:$AE,AE155,$AF:$AF,AF155,$AG:$AG,AG155,$AH:$AH,AH155,$AI:$AI,AI155)&gt;1,"Duplicate","Unique")</f>
        <v>Unique</v>
      </c>
    </row>
    <row r="156" spans="1:46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  <c r="W156" t="s">
        <v>858</v>
      </c>
      <c r="Z156" t="s">
        <v>669</v>
      </c>
      <c r="AA156" t="str">
        <v>Priya Menon</v>
      </c>
      <c r="AB156" t="str">
        <f>TRIM(PROPER(F:F))</f>
        <v>Consumer</v>
      </c>
      <c r="AC156" t="str">
        <f>TRIM(PROPER(G:G))</f>
        <v>South</v>
      </c>
      <c r="AD156" t="str">
        <f>TRIM(PROPER(H:H))</f>
        <v>Tamil Nadu</v>
      </c>
      <c r="AE156" t="str">
        <f>TRIM(PROPER(I:I))</f>
        <v>Chennai</v>
      </c>
      <c r="AF156" t="str">
        <f>TRIM(PROPER(J:J))</f>
        <v>Furniture</v>
      </c>
      <c r="AG156" t="str">
        <f>TRIM(PROPER(K:K))</f>
        <v>Bookcases</v>
      </c>
      <c r="AH156" t="str">
        <f>TRIM(PROPER(L:L))</f>
        <v>Classic Bookcases 847</v>
      </c>
      <c r="AI156" t="str">
        <f>TRIM(PROPER(M:M))</f>
        <v>Same Day</v>
      </c>
      <c r="AJ156" s="5">
        <f>IF(OR(P156&lt;0,P156&gt;0.5),"invalid",P156)</f>
        <v>0.15</v>
      </c>
      <c r="AK156" s="6">
        <f>IFERROR(N156*O156*(1-AJ156), "NA")</f>
        <v>2209.252</v>
      </c>
      <c r="AL156" s="6">
        <f>IFERROR(AK156-R156,"NA")</f>
        <v>685.47199999999998</v>
      </c>
      <c r="AM156" s="5">
        <f t="shared" si="10"/>
        <v>0.31027334138432372</v>
      </c>
      <c r="AN156" t="str">
        <v>12-02-24</v>
      </c>
      <c r="AO156" t="str">
        <v>02-11-24</v>
      </c>
      <c r="AP156" t="str">
        <f t="shared" si="11"/>
        <v>February</v>
      </c>
      <c r="AQ156" t="str">
        <f t="shared" si="12"/>
        <v>2024</v>
      </c>
      <c r="AR156" t="str">
        <f t="shared" si="13"/>
        <v>anomaly</v>
      </c>
      <c r="AS156">
        <f t="shared" si="14"/>
        <v>264</v>
      </c>
      <c r="AT156" t="str">
        <f>IF(COUNTIFS( $A:$A,A156,$B:$B,B156,$C:$C,C156,$D:$D,D156,$E:$E,E156,$F:$F,F156,$G:$G,G156,$H:$H,H156,$I:$I,I156,$J:$J,J156,$K:$K,K156,$L:$L,L156,$M:$M,M156,$T:$T,T156,$U:$U,U156,$W:$W,W156,$Z:$Z,Z156,$AA:$AA,AA156,$AB:$AB,AB156,$AC:$AC,AC156,$AD:$AD,AD156,$AE:$AE,AE156,$AF:$AF,AF156,$AG:$AG,AG156,$AH:$AH,AH156,$AI:$AI,AI156)&gt;1,"Duplicate","Unique")</f>
        <v>Unique</v>
      </c>
    </row>
    <row r="157" spans="1:46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  <c r="W157" t="s">
        <v>862</v>
      </c>
      <c r="Z157" t="s">
        <v>863</v>
      </c>
      <c r="AA157" t="str">
        <v>Karan Malhotra</v>
      </c>
      <c r="AB157" t="str">
        <f>TRIM(PROPER(F:F))</f>
        <v>Corporate</v>
      </c>
      <c r="AC157" t="str">
        <f>TRIM(PROPER(G:G))</f>
        <v>West</v>
      </c>
      <c r="AD157" t="str">
        <f>TRIM(PROPER(H:H))</f>
        <v>Rajasthan</v>
      </c>
      <c r="AE157" t="str">
        <f>TRIM(PROPER(I:I))</f>
        <v>Udaipur</v>
      </c>
      <c r="AF157" t="str">
        <f>TRIM(PROPER(J:J))</f>
        <v>Furniture</v>
      </c>
      <c r="AG157" t="str">
        <f>TRIM(PROPER(K:K))</f>
        <v>Furnishings</v>
      </c>
      <c r="AH157" t="str">
        <f>TRIM(PROPER(L:L))</f>
        <v>Classic Furnishings 655</v>
      </c>
      <c r="AI157" t="str">
        <f>TRIM(PROPER(M:M))</f>
        <v>Same Day</v>
      </c>
      <c r="AJ157" s="5">
        <f>IF(OR(P157&lt;0,P157&gt;0.5),"invalid",P157)</f>
        <v>0.1</v>
      </c>
      <c r="AK157" s="6">
        <f>IFERROR(N157*O157*(1-AJ157), "NA")</f>
        <v>7720.1640000000007</v>
      </c>
      <c r="AL157" s="6">
        <f>IFERROR(AK157-R157,"NA")</f>
        <v>1839.1640000000007</v>
      </c>
      <c r="AM157" s="5">
        <f t="shared" si="10"/>
        <v>0.23822861794127695</v>
      </c>
      <c r="AN157" t="str">
        <v>invalid date</v>
      </c>
      <c r="AO157" t="str">
        <v>03-02-25</v>
      </c>
      <c r="AP157" t="str">
        <f t="shared" si="11"/>
        <v>invalid date</v>
      </c>
      <c r="AQ157" t="str">
        <f t="shared" si="12"/>
        <v>invalid date</v>
      </c>
      <c r="AR157" t="str">
        <f t="shared" si="13"/>
        <v>Invalid</v>
      </c>
      <c r="AS157" t="str">
        <f t="shared" si="14"/>
        <v>invalid date</v>
      </c>
      <c r="AT157" t="str">
        <f>IF(COUNTIFS( $A:$A,A157,$B:$B,B157,$C:$C,C157,$D:$D,D157,$E:$E,E157,$F:$F,F157,$G:$G,G157,$H:$H,H157,$I:$I,I157,$J:$J,J157,$K:$K,K157,$L:$L,L157,$M:$M,M157,$T:$T,T157,$U:$U,U157,$W:$W,W157,$Z:$Z,Z157,$AA:$AA,AA157,$AB:$AB,AB157,$AC:$AC,AC157,$AD:$AD,AD157,$AE:$AE,AE157,$AF:$AF,AF157,$AG:$AG,AG157,$AH:$AH,AH157,$AI:$AI,AI157)&gt;1,"Duplicate","Unique")</f>
        <v>Unique</v>
      </c>
    </row>
    <row r="158" spans="1:46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  <c r="W158" t="s">
        <v>865</v>
      </c>
      <c r="Z158" t="s">
        <v>868</v>
      </c>
      <c r="AA158" t="str">
        <v>Vikram Iyer</v>
      </c>
      <c r="AB158" t="str">
        <f>TRIM(PROPER(F:F))</f>
        <v>Small Business</v>
      </c>
      <c r="AC158" t="str">
        <f>TRIM(PROPER(G:G))</f>
        <v>East</v>
      </c>
      <c r="AD158" t="str">
        <f>TRIM(PROPER(H:H))</f>
        <v>Bihar</v>
      </c>
      <c r="AE158" t="str">
        <f>TRIM(PROPER(I:I))</f>
        <v>Patna</v>
      </c>
      <c r="AF158" t="str">
        <f>TRIM(PROPER(J:J))</f>
        <v>Technology</v>
      </c>
      <c r="AG158" t="str">
        <f>TRIM(PROPER(K:K))</f>
        <v>Machines</v>
      </c>
      <c r="AH158" t="str">
        <f>TRIM(PROPER(L:L))</f>
        <v>Eco Machines 657</v>
      </c>
      <c r="AI158" t="str">
        <f>TRIM(PROPER(M:M))</f>
        <v>Second Class</v>
      </c>
      <c r="AJ158" s="5">
        <f>IF(OR(P158&lt;0,P158&gt;0.5),"invalid",P158)</f>
        <v>0.25</v>
      </c>
      <c r="AK158" s="6">
        <f>IFERROR(N158*O158*(1-AJ158), "NA")</f>
        <v>12103.192500000001</v>
      </c>
      <c r="AL158" s="6">
        <f>IFERROR(AK158-R158,"NA")</f>
        <v>5385.3225000000011</v>
      </c>
      <c r="AM158" s="5">
        <f t="shared" si="10"/>
        <v>0.44495057812225997</v>
      </c>
      <c r="AN158" t="str">
        <v>27-03-25</v>
      </c>
      <c r="AO158" t="str">
        <v>27-03-25</v>
      </c>
      <c r="AP158" t="str">
        <f t="shared" si="11"/>
        <v>March</v>
      </c>
      <c r="AQ158" t="str">
        <f t="shared" si="12"/>
        <v>2025</v>
      </c>
      <c r="AR158" t="str">
        <f t="shared" si="13"/>
        <v xml:space="preserve"> </v>
      </c>
      <c r="AS158">
        <f t="shared" si="14"/>
        <v>0</v>
      </c>
      <c r="AT158" t="str">
        <f>IF(COUNTIFS( $A:$A,A158,$B:$B,B158,$C:$C,C158,$D:$D,D158,$E:$E,E158,$F:$F,F158,$G:$G,G158,$H:$H,H158,$I:$I,I158,$J:$J,J158,$K:$K,K158,$L:$L,L158,$M:$M,M158,$T:$T,T158,$U:$U,U158,$W:$W,W158,$Z:$Z,Z158,$AA:$AA,AA158,$AB:$AB,AB158,$AC:$AC,AC158,$AD:$AD,AD158,$AE:$AE,AE158,$AF:$AF,AF158,$AG:$AG,AG158,$AH:$AH,AH158,$AI:$AI,AI158)&gt;1,"Duplicate","Unique")</f>
        <v>Unique</v>
      </c>
    </row>
    <row r="159" spans="1:46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  <c r="W159" t="s">
        <v>870</v>
      </c>
      <c r="Z159" t="s">
        <v>873</v>
      </c>
      <c r="AA159" t="str">
        <v>Rohan Mehta</v>
      </c>
      <c r="AB159" t="str">
        <f>TRIM(PROPER(F:F))</f>
        <v>Small Business</v>
      </c>
      <c r="AC159" t="str">
        <f>TRIM(PROPER(G:G))</f>
        <v>South</v>
      </c>
      <c r="AD159" t="str">
        <f>TRIM(PROPER(H:H))</f>
        <v>Andhra Pradesh</v>
      </c>
      <c r="AE159" t="str">
        <f>TRIM(PROPER(I:I))</f>
        <v>Vijayawada</v>
      </c>
      <c r="AF159" t="str">
        <f>TRIM(PROPER(J:J))</f>
        <v>Furniture</v>
      </c>
      <c r="AG159" t="str">
        <f>TRIM(PROPER(K:K))</f>
        <v>Bookcases</v>
      </c>
      <c r="AH159" t="str">
        <f>TRIM(PROPER(L:L))</f>
        <v>Pro Bookcases 430</v>
      </c>
      <c r="AI159" t="str">
        <f>TRIM(PROPER(M:M))</f>
        <v>Standard Class</v>
      </c>
      <c r="AJ159" s="5">
        <f>IF(OR(P159&lt;0,P159&gt;0.5),"invalid",P159)</f>
        <v>0.15</v>
      </c>
      <c r="AK159" s="6">
        <f>IFERROR(N159*O159*(1-AJ159), "NA")</f>
        <v>2335.3919999999998</v>
      </c>
      <c r="AL159" s="6">
        <f>IFERROR(AK159-R159,"NA")</f>
        <v>869.24199999999973</v>
      </c>
      <c r="AM159" s="5">
        <f t="shared" si="10"/>
        <v>0.3722038955344541</v>
      </c>
      <c r="AN159" t="str">
        <v>invalid date</v>
      </c>
      <c r="AO159" t="str">
        <v>24-10-24</v>
      </c>
      <c r="AP159" t="str">
        <f t="shared" si="11"/>
        <v>invalid date</v>
      </c>
      <c r="AQ159" t="str">
        <f t="shared" si="12"/>
        <v>invalid date</v>
      </c>
      <c r="AR159" t="str">
        <f t="shared" si="13"/>
        <v>Invalid</v>
      </c>
      <c r="AS159" t="str">
        <f t="shared" si="14"/>
        <v>invalid date</v>
      </c>
      <c r="AT159" t="str">
        <f>IF(COUNTIFS( $A:$A,A159,$B:$B,B159,$C:$C,C159,$D:$D,D159,$E:$E,E159,$F:$F,F159,$G:$G,G159,$H:$H,H159,$I:$I,I159,$J:$J,J159,$K:$K,K159,$L:$L,L159,$M:$M,M159,$T:$T,T159,$U:$U,U159,$W:$W,W159,$Z:$Z,Z159,$AA:$AA,AA159,$AB:$AB,AB159,$AC:$AC,AC159,$AD:$AD,AD159,$AE:$AE,AE159,$AF:$AF,AF159,$AG:$AG,AG159,$AH:$AH,AH159,$AI:$AI,AI159)&gt;1,"Duplicate","Unique")</f>
        <v>Unique</v>
      </c>
    </row>
    <row r="160" spans="1:46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  <c r="W160" t="s">
        <v>875</v>
      </c>
      <c r="Z160" t="s">
        <v>878</v>
      </c>
      <c r="AA160" t="str">
        <v>Neha Gupta</v>
      </c>
      <c r="AB160" t="str">
        <f>TRIM(PROPER(F:F))</f>
        <v>Home Office</v>
      </c>
      <c r="AC160" t="str">
        <f>TRIM(PROPER(G:G))</f>
        <v>South</v>
      </c>
      <c r="AD160" t="str">
        <f>TRIM(PROPER(H:H))</f>
        <v>Telangana</v>
      </c>
      <c r="AE160" t="str">
        <f>TRIM(PROPER(I:I))</f>
        <v>Hyderabad</v>
      </c>
      <c r="AF160" t="str">
        <f>TRIM(PROPER(J:J))</f>
        <v>Furniture</v>
      </c>
      <c r="AG160" t="str">
        <f>TRIM(PROPER(K:K))</f>
        <v>Bookcases</v>
      </c>
      <c r="AH160" t="str">
        <f>TRIM(PROPER(L:L))</f>
        <v>Max Bookcases 881</v>
      </c>
      <c r="AI160" t="str">
        <f>TRIM(PROPER(M:M))</f>
        <v>First Class</v>
      </c>
      <c r="AJ160" s="5">
        <f>IF(OR(P160&lt;0,P160&gt;0.5),"invalid",P160)</f>
        <v>0.05</v>
      </c>
      <c r="AK160" s="6">
        <f>IFERROR(N160*O160*(1-AJ160), "NA")</f>
        <v>3989.5629999999996</v>
      </c>
      <c r="AL160" s="6">
        <f>IFERROR(AK160-R160,"NA")</f>
        <v>1608.1829999999995</v>
      </c>
      <c r="AM160" s="5">
        <f t="shared" si="10"/>
        <v>0.40309753223598666</v>
      </c>
      <c r="AN160" t="str">
        <v>09-09-24</v>
      </c>
      <c r="AO160" t="str">
        <v>09-11-24</v>
      </c>
      <c r="AP160" t="str">
        <f t="shared" si="11"/>
        <v>September</v>
      </c>
      <c r="AQ160" t="str">
        <f t="shared" si="12"/>
        <v>2024</v>
      </c>
      <c r="AR160" t="str">
        <f t="shared" si="13"/>
        <v xml:space="preserve"> </v>
      </c>
      <c r="AS160">
        <f t="shared" si="14"/>
        <v>61</v>
      </c>
      <c r="AT160" t="str">
        <f>IF(COUNTIFS( $A:$A,A160,$B:$B,B160,$C:$C,C160,$D:$D,D160,$E:$E,E160,$F:$F,F160,$G:$G,G160,$H:$H,H160,$I:$I,I160,$J:$J,J160,$K:$K,K160,$L:$L,L160,$M:$M,M160,$T:$T,T160,$U:$U,U160,$W:$W,W160,$Z:$Z,Z160,$AA:$AA,AA160,$AB:$AB,AB160,$AC:$AC,AC160,$AD:$AD,AD160,$AE:$AE,AE160,$AF:$AF,AF160,$AG:$AG,AG160,$AH:$AH,AH160,$AI:$AI,AI160)&gt;1,"Duplicate","Unique")</f>
        <v>Unique</v>
      </c>
    </row>
    <row r="161" spans="1:46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  <c r="W161" t="s">
        <v>880</v>
      </c>
      <c r="Z161" t="s">
        <v>883</v>
      </c>
      <c r="AA161" t="str">
        <v>Priya Menon</v>
      </c>
      <c r="AB161" t="str">
        <f>TRIM(PROPER(F:F))</f>
        <v>Corporate</v>
      </c>
      <c r="AC161" t="str">
        <f>TRIM(PROPER(G:G))</f>
        <v>North</v>
      </c>
      <c r="AD161" t="str">
        <f>TRIM(PROPER(H:H))</f>
        <v>Haryana</v>
      </c>
      <c r="AE161" t="str">
        <f>TRIM(PROPER(I:I))</f>
        <v>Gurugram</v>
      </c>
      <c r="AF161" t="str">
        <f>TRIM(PROPER(J:J))</f>
        <v>Furniture</v>
      </c>
      <c r="AG161" t="str">
        <f>TRIM(PROPER(K:K))</f>
        <v>Chairs</v>
      </c>
      <c r="AH161" t="str">
        <f>TRIM(PROPER(L:L))</f>
        <v>Elite Chairs 998</v>
      </c>
      <c r="AI161" t="str">
        <f>TRIM(PROPER(M:M))</f>
        <v>Same Day</v>
      </c>
      <c r="AJ161" s="5">
        <f>IF(OR(P161&lt;0,P161&gt;0.5),"invalid",P161)</f>
        <v>0.15</v>
      </c>
      <c r="AK161" s="6">
        <f>IFERROR(N161*O161*(1-AJ161), "NA")</f>
        <v>33893.324999999997</v>
      </c>
      <c r="AL161" s="6">
        <f>IFERROR(AK161-R161,"NA")</f>
        <v>8142.9749999999985</v>
      </c>
      <c r="AM161" s="5">
        <f t="shared" si="10"/>
        <v>0.24025305867748292</v>
      </c>
      <c r="AN161" t="str">
        <v>30-01-25</v>
      </c>
      <c r="AO161" t="str">
        <v>04-02-25</v>
      </c>
      <c r="AP161" t="str">
        <f t="shared" si="11"/>
        <v>January</v>
      </c>
      <c r="AQ161" t="str">
        <f t="shared" si="12"/>
        <v>2025</v>
      </c>
      <c r="AR161" t="str">
        <f t="shared" si="13"/>
        <v>anomaly</v>
      </c>
      <c r="AS161">
        <f t="shared" si="14"/>
        <v>5</v>
      </c>
      <c r="AT161" t="str">
        <f>IF(COUNTIFS( $A:$A,A161,$B:$B,B161,$C:$C,C161,$D:$D,D161,$E:$E,E161,$F:$F,F161,$G:$G,G161,$H:$H,H161,$I:$I,I161,$J:$J,J161,$K:$K,K161,$L:$L,L161,$M:$M,M161,$T:$T,T161,$U:$U,U161,$W:$W,W161,$Z:$Z,Z161,$AA:$AA,AA161,$AB:$AB,AB161,$AC:$AC,AC161,$AD:$AD,AD161,$AE:$AE,AE161,$AF:$AF,AF161,$AG:$AG,AG161,$AH:$AH,AH161,$AI:$AI,AI161)&gt;1,"Duplicate","Unique")</f>
        <v>Unique</v>
      </c>
    </row>
    <row r="162" spans="1:46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  <c r="W162" t="s">
        <v>885</v>
      </c>
      <c r="Z162" t="s">
        <v>888</v>
      </c>
      <c r="AA162" t="str">
        <v>Vikram Iyer</v>
      </c>
      <c r="AB162" t="str">
        <f>TRIM(PROPER(F:F))</f>
        <v>Small Business</v>
      </c>
      <c r="AC162" t="str">
        <f>TRIM(PROPER(G:G))</f>
        <v>West</v>
      </c>
      <c r="AD162" t="str">
        <f>TRIM(PROPER(H:H))</f>
        <v>Maharashtra</v>
      </c>
      <c r="AE162" t="str">
        <f>TRIM(PROPER(I:I))</f>
        <v>Mumbai</v>
      </c>
      <c r="AF162" t="str">
        <f>TRIM(PROPER(J:J))</f>
        <v>Office Supplies</v>
      </c>
      <c r="AG162" t="str">
        <f>TRIM(PROPER(K:K))</f>
        <v>Paper</v>
      </c>
      <c r="AH162" t="str">
        <f>TRIM(PROPER(L:L))</f>
        <v>Max Paper 113</v>
      </c>
      <c r="AI162" t="str">
        <f>TRIM(PROPER(M:M))</f>
        <v>Second Class</v>
      </c>
      <c r="AJ162" s="5">
        <f>IF(OR(P162&lt;0,P162&gt;0.5),"invalid",P162)</f>
        <v>0.05</v>
      </c>
      <c r="AK162" s="6">
        <f>IFERROR(N162*O162*(1-AJ162), "NA")</f>
        <v>4789.5960000000005</v>
      </c>
      <c r="AL162" s="6">
        <f>IFERROR(AK162-R162,"NA")</f>
        <v>751.95600000000059</v>
      </c>
      <c r="AM162" s="5">
        <f t="shared" si="10"/>
        <v>0.1569977927157114</v>
      </c>
      <c r="AN162" t="str">
        <v>08-10-25</v>
      </c>
      <c r="AO162" t="str">
        <v>10-06-25</v>
      </c>
      <c r="AP162" t="str">
        <f t="shared" si="11"/>
        <v>October</v>
      </c>
      <c r="AQ162" t="str">
        <f t="shared" si="12"/>
        <v>2025</v>
      </c>
      <c r="AR162" t="str">
        <f t="shared" si="13"/>
        <v xml:space="preserve"> </v>
      </c>
      <c r="AS162">
        <f t="shared" si="14"/>
        <v>-120</v>
      </c>
      <c r="AT162" t="str">
        <f>IF(COUNTIFS( $A:$A,A162,$B:$B,B162,$C:$C,C162,$D:$D,D162,$E:$E,E162,$F:$F,F162,$G:$G,G162,$H:$H,H162,$I:$I,I162,$J:$J,J162,$K:$K,K162,$L:$L,L162,$M:$M,M162,$T:$T,T162,$U:$U,U162,$W:$W,W162,$Z:$Z,Z162,$AA:$AA,AA162,$AB:$AB,AB162,$AC:$AC,AC162,$AD:$AD,AD162,$AE:$AE,AE162,$AF:$AF,AF162,$AG:$AG,AG162,$AH:$AH,AH162,$AI:$AI,AI162)&gt;1,"Duplicate","Unique")</f>
        <v>Unique</v>
      </c>
    </row>
    <row r="163" spans="1:46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  <c r="W163" t="s">
        <v>890</v>
      </c>
      <c r="Z163" t="s">
        <v>893</v>
      </c>
      <c r="AA163" t="str">
        <v>Arjun Bose</v>
      </c>
      <c r="AB163" t="str">
        <f>TRIM(PROPER(F:F))</f>
        <v>Consumer</v>
      </c>
      <c r="AC163" t="str">
        <f>TRIM(PROPER(G:G))</f>
        <v>West</v>
      </c>
      <c r="AD163" t="str">
        <f>TRIM(PROPER(H:H))</f>
        <v>Rajasthan</v>
      </c>
      <c r="AE163" t="str">
        <f>TRIM(PROPER(I:I))</f>
        <v>Udaipur</v>
      </c>
      <c r="AF163" t="str">
        <f>TRIM(PROPER(J:J))</f>
        <v>Office Supplies</v>
      </c>
      <c r="AG163" t="str">
        <f>TRIM(PROPER(K:K))</f>
        <v>Binders</v>
      </c>
      <c r="AH163" t="str">
        <f>TRIM(PROPER(L:L))</f>
        <v>Smart Binders 267</v>
      </c>
      <c r="AI163" t="str">
        <f>TRIM(PROPER(M:M))</f>
        <v>Standard Class</v>
      </c>
      <c r="AJ163" s="5">
        <f>IF(OR(P163&lt;0,P163&gt;0.5),"invalid",P163)</f>
        <v>0</v>
      </c>
      <c r="AK163" s="6">
        <f>IFERROR(N163*O163*(1-AJ163), "NA")</f>
        <v>1643.41</v>
      </c>
      <c r="AL163" s="6">
        <f>IFERROR(AK163-R163,"NA")</f>
        <v>736.0100000000001</v>
      </c>
      <c r="AM163" s="5">
        <f t="shared" si="10"/>
        <v>0.44785537388722235</v>
      </c>
      <c r="AN163" t="str">
        <v>24-07-25</v>
      </c>
      <c r="AO163" t="str">
        <v>30-07-25</v>
      </c>
      <c r="AP163" t="str">
        <f t="shared" si="11"/>
        <v>July</v>
      </c>
      <c r="AQ163" t="str">
        <f t="shared" si="12"/>
        <v>2025</v>
      </c>
      <c r="AR163" t="str">
        <f t="shared" si="13"/>
        <v xml:space="preserve"> </v>
      </c>
      <c r="AS163">
        <f t="shared" si="14"/>
        <v>6</v>
      </c>
      <c r="AT163" t="str">
        <f>IF(COUNTIFS( $A:$A,A163,$B:$B,B163,$C:$C,C163,$D:$D,D163,$E:$E,E163,$F:$F,F163,$G:$G,G163,$H:$H,H163,$I:$I,I163,$J:$J,J163,$K:$K,K163,$L:$L,L163,$M:$M,M163,$T:$T,T163,$U:$U,U163,$W:$W,W163,$Z:$Z,Z163,$AA:$AA,AA163,$AB:$AB,AB163,$AC:$AC,AC163,$AD:$AD,AD163,$AE:$AE,AE163,$AF:$AF,AF163,$AG:$AG,AG163,$AH:$AH,AH163,$AI:$AI,AI163)&gt;1,"Duplicate","Unique")</f>
        <v>Unique</v>
      </c>
    </row>
    <row r="164" spans="1:46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  <c r="W164" t="s">
        <v>896</v>
      </c>
      <c r="Z164" t="s">
        <v>899</v>
      </c>
      <c r="AA164" t="str">
        <v>Neha Gupta</v>
      </c>
      <c r="AB164" t="str">
        <f>TRIM(PROPER(F:F))</f>
        <v>Small Business</v>
      </c>
      <c r="AC164" t="str">
        <f>TRIM(PROPER(G:G))</f>
        <v>West</v>
      </c>
      <c r="AD164" t="str">
        <f>TRIM(PROPER(H:H))</f>
        <v>Goa</v>
      </c>
      <c r="AE164" t="str">
        <f>TRIM(PROPER(I:I))</f>
        <v>Panaji</v>
      </c>
      <c r="AF164" t="str">
        <f>TRIM(PROPER(J:J))</f>
        <v>Furniture</v>
      </c>
      <c r="AG164" t="str">
        <f>TRIM(PROPER(K:K))</f>
        <v>Furnishings</v>
      </c>
      <c r="AH164" t="str">
        <f>TRIM(PROPER(L:L))</f>
        <v>Pro Furnishings 108</v>
      </c>
      <c r="AI164" t="str">
        <f>TRIM(PROPER(M:M))</f>
        <v>Second Class</v>
      </c>
      <c r="AJ164" s="5">
        <f>IF(OR(P164&lt;0,P164&gt;0.5),"invalid",P164)</f>
        <v>0</v>
      </c>
      <c r="AK164" s="6">
        <f>IFERROR(N164*O164*(1-AJ164), "NA")</f>
        <v>35782.720000000001</v>
      </c>
      <c r="AL164" s="6">
        <f>IFERROR(AK164-R164,"NA")</f>
        <v>9358.3100000000013</v>
      </c>
      <c r="AM164" s="5">
        <f t="shared" si="10"/>
        <v>0.2615315437171909</v>
      </c>
      <c r="AN164" t="str">
        <v>09-03-24</v>
      </c>
      <c r="AO164" t="str">
        <v>14-03-24</v>
      </c>
      <c r="AP164" t="str">
        <f t="shared" si="11"/>
        <v>March</v>
      </c>
      <c r="AQ164" t="str">
        <f t="shared" si="12"/>
        <v>2024</v>
      </c>
      <c r="AR164" t="str">
        <f t="shared" si="13"/>
        <v xml:space="preserve"> </v>
      </c>
      <c r="AS164">
        <f t="shared" si="14"/>
        <v>5</v>
      </c>
      <c r="AT164" t="str">
        <f>IF(COUNTIFS( $A:$A,A164,$B:$B,B164,$C:$C,C164,$D:$D,D164,$E:$E,E164,$F:$F,F164,$G:$G,G164,$H:$H,H164,$I:$I,I164,$J:$J,J164,$K:$K,K164,$L:$L,L164,$M:$M,M164,$T:$T,T164,$U:$U,U164,$W:$W,W164,$Z:$Z,Z164,$AA:$AA,AA164,$AB:$AB,AB164,$AC:$AC,AC164,$AD:$AD,AD164,$AE:$AE,AE164,$AF:$AF,AF164,$AG:$AG,AG164,$AH:$AH,AH164,$AI:$AI,AI164)&gt;1,"Duplicate","Unique")</f>
        <v>Unique</v>
      </c>
    </row>
    <row r="165" spans="1:46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  <c r="W165" t="s">
        <v>901</v>
      </c>
      <c r="Z165" t="s">
        <v>903</v>
      </c>
      <c r="AA165" t="str">
        <v>Rohan Mehta</v>
      </c>
      <c r="AB165" t="str">
        <f>TRIM(PROPER(F:F))</f>
        <v>Home Office</v>
      </c>
      <c r="AC165" t="str">
        <f>TRIM(PROPER(G:G))</f>
        <v>West</v>
      </c>
      <c r="AD165" t="str">
        <f>TRIM(PROPER(H:H))</f>
        <v>Gujarat</v>
      </c>
      <c r="AE165" t="str">
        <f>TRIM(PROPER(I:I))</f>
        <v>Ahmedabad</v>
      </c>
      <c r="AF165" t="str">
        <f>TRIM(PROPER(J:J))</f>
        <v>Furniture</v>
      </c>
      <c r="AG165" t="str">
        <f>TRIM(PROPER(K:K))</f>
        <v>Tables</v>
      </c>
      <c r="AH165" t="str">
        <f>TRIM(PROPER(L:L))</f>
        <v>Elite Tables 389</v>
      </c>
      <c r="AI165" t="s">
        <v>4095</v>
      </c>
      <c r="AJ165" s="5">
        <f>IF(OR(P165&lt;0,P165&gt;0.5),"invalid",P165)</f>
        <v>0.1</v>
      </c>
      <c r="AK165" s="6">
        <f>IFERROR(N165*O165*(1-AJ165), "NA")</f>
        <v>15679.332</v>
      </c>
      <c r="AL165" s="6">
        <f>IFERROR(AK165-R165,"NA")</f>
        <v>3201.5120000000006</v>
      </c>
      <c r="AM165" s="5">
        <f t="shared" si="10"/>
        <v>0.20418675999717339</v>
      </c>
      <c r="AN165" t="str">
        <v>invalid date</v>
      </c>
      <c r="AO165" t="str">
        <v>26-09-25</v>
      </c>
      <c r="AP165" t="str">
        <f t="shared" si="11"/>
        <v>invalid date</v>
      </c>
      <c r="AQ165" t="str">
        <f t="shared" si="12"/>
        <v>invalid date</v>
      </c>
      <c r="AR165" t="str">
        <f t="shared" si="13"/>
        <v>Invalid</v>
      </c>
      <c r="AS165" t="str">
        <f t="shared" si="14"/>
        <v>invalid date</v>
      </c>
      <c r="AT165" t="str">
        <f>IF(COUNTIFS( $A:$A,A165,$B:$B,B165,$C:$C,C165,$D:$D,D165,$E:$E,E165,$F:$F,F165,$G:$G,G165,$H:$H,H165,$I:$I,I165,$J:$J,J165,$K:$K,K165,$L:$L,L165,$M:$M,M165,$T:$T,T165,$U:$U,U165,$W:$W,W165,$Z:$Z,Z165,$AA:$AA,AA165,$AB:$AB,AB165,$AC:$AC,AC165,$AD:$AD,AD165,$AE:$AE,AE165,$AF:$AF,AF165,$AG:$AG,AG165,$AH:$AH,AH165,$AI:$AI,AI165)&gt;1,"Duplicate","Unique")</f>
        <v>Unique</v>
      </c>
    </row>
    <row r="166" spans="1:46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  <c r="W166" t="s">
        <v>905</v>
      </c>
      <c r="Z166" t="s">
        <v>908</v>
      </c>
      <c r="AA166" t="str">
        <v>Rahul Verma</v>
      </c>
      <c r="AB166" t="str">
        <f>TRIM(PROPER(F:F))</f>
        <v>Small Business</v>
      </c>
      <c r="AC166" t="str">
        <f>TRIM(PROPER(G:G))</f>
        <v>East</v>
      </c>
      <c r="AD166" t="str">
        <f>TRIM(PROPER(H:H))</f>
        <v>West Bengal</v>
      </c>
      <c r="AE166" t="str">
        <f>TRIM(PROPER(I:I))</f>
        <v>Kolkata</v>
      </c>
      <c r="AF166" t="str">
        <f>TRIM(PROPER(J:J))</f>
        <v>Furniture</v>
      </c>
      <c r="AG166" t="str">
        <f>TRIM(PROPER(K:K))</f>
        <v>Bookcases</v>
      </c>
      <c r="AH166" t="str">
        <f>TRIM(PROPER(L:L))</f>
        <v>Pro Bookcases 595</v>
      </c>
      <c r="AI166" t="str">
        <f>TRIM(PROPER(M:M))</f>
        <v>Second Class</v>
      </c>
      <c r="AJ166" s="5">
        <f>IF(OR(P166&lt;0,P166&gt;0.5),"invalid",P166)</f>
        <v>0.25</v>
      </c>
      <c r="AK166" s="6">
        <f>IFERROR(N166*O166*(1-AJ166), "NA")</f>
        <v>2365.8150000000001</v>
      </c>
      <c r="AL166" s="6">
        <f>IFERROR(AK166-R166,"NA")</f>
        <v>817.82500000000005</v>
      </c>
      <c r="AM166" s="5">
        <f t="shared" si="10"/>
        <v>0.34568425679945392</v>
      </c>
      <c r="AN166" t="str">
        <v>09-09-25</v>
      </c>
      <c r="AO166" t="str">
        <v>invalid date</v>
      </c>
      <c r="AP166" t="str">
        <f t="shared" si="11"/>
        <v>September</v>
      </c>
      <c r="AQ166" t="str">
        <f t="shared" si="12"/>
        <v>2025</v>
      </c>
      <c r="AR166" t="str">
        <f t="shared" si="13"/>
        <v>Invalid</v>
      </c>
      <c r="AS166" t="str">
        <f t="shared" si="14"/>
        <v>invalid date</v>
      </c>
      <c r="AT166" t="str">
        <f>IF(COUNTIFS( $A:$A,A166,$B:$B,B166,$C:$C,C166,$D:$D,D166,$E:$E,E166,$F:$F,F166,$G:$G,G166,$H:$H,H166,$I:$I,I166,$J:$J,J166,$K:$K,K166,$L:$L,L166,$M:$M,M166,$T:$T,T166,$U:$U,U166,$W:$W,W166,$Z:$Z,Z166,$AA:$AA,AA166,$AB:$AB,AB166,$AC:$AC,AC166,$AD:$AD,AD166,$AE:$AE,AE166,$AF:$AF,AF166,$AG:$AG,AG166,$AH:$AH,AH166,$AI:$AI,AI166)&gt;1,"Duplicate","Unique")</f>
        <v>Unique</v>
      </c>
    </row>
    <row r="167" spans="1:46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  <c r="W167" t="s">
        <v>910</v>
      </c>
      <c r="Z167" t="s">
        <v>913</v>
      </c>
      <c r="AA167" t="str">
        <v>Mira Das</v>
      </c>
      <c r="AB167" t="str">
        <f>TRIM(PROPER(F:F))</f>
        <v>Home Office</v>
      </c>
      <c r="AC167" t="str">
        <f>TRIM(PROPER(G:G))</f>
        <v>East</v>
      </c>
      <c r="AD167" t="str">
        <f>TRIM(PROPER(H:H))</f>
        <v>Bihar</v>
      </c>
      <c r="AE167" t="str">
        <f>TRIM(PROPER(I:I))</f>
        <v>Patna</v>
      </c>
      <c r="AF167" t="str">
        <f>TRIM(PROPER(J:J))</f>
        <v>Furniture</v>
      </c>
      <c r="AG167" t="str">
        <f>TRIM(PROPER(K:K))</f>
        <v>Chairs</v>
      </c>
      <c r="AH167" t="str">
        <f>TRIM(PROPER(L:L))</f>
        <v>Max Chairs 148</v>
      </c>
      <c r="AI167" t="str">
        <f>TRIM(PROPER(M:M))</f>
        <v>Standard Class</v>
      </c>
      <c r="AJ167" s="5">
        <f>IF(OR(P167&lt;0,P167&gt;0.5),"invalid",P167)</f>
        <v>0.25</v>
      </c>
      <c r="AK167" s="6">
        <f>IFERROR(N167*O167*(1-AJ167), "NA")</f>
        <v>10268.969999999999</v>
      </c>
      <c r="AL167" s="6">
        <f>IFERROR(AK167-R167,"NA")</f>
        <v>3798.0499999999993</v>
      </c>
      <c r="AM167" s="5">
        <f t="shared" si="10"/>
        <v>0.36985695741637181</v>
      </c>
      <c r="AN167" t="str">
        <v>invalid date</v>
      </c>
      <c r="AO167" t="str">
        <v>29-11-24</v>
      </c>
      <c r="AP167" t="str">
        <f t="shared" si="11"/>
        <v>invalid date</v>
      </c>
      <c r="AQ167" t="str">
        <f t="shared" si="12"/>
        <v>invalid date</v>
      </c>
      <c r="AR167" t="str">
        <f t="shared" si="13"/>
        <v>Invalid</v>
      </c>
      <c r="AS167" t="str">
        <f t="shared" si="14"/>
        <v>invalid date</v>
      </c>
      <c r="AT167" t="str">
        <f>IF(COUNTIFS( $A:$A,A167,$B:$B,B167,$C:$C,C167,$D:$D,D167,$E:$E,E167,$F:$F,F167,$G:$G,G167,$H:$H,H167,$I:$I,I167,$J:$J,J167,$K:$K,K167,$L:$L,L167,$M:$M,M167,$T:$T,T167,$U:$U,U167,$W:$W,W167,$Z:$Z,Z167,$AA:$AA,AA167,$AB:$AB,AB167,$AC:$AC,AC167,$AD:$AD,AD167,$AE:$AE,AE167,$AF:$AF,AF167,$AG:$AG,AG167,$AH:$AH,AH167,$AI:$AI,AI167)&gt;1,"Duplicate","Unique")</f>
        <v>Unique</v>
      </c>
    </row>
    <row r="168" spans="1:46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  <c r="W168" t="s">
        <v>915</v>
      </c>
      <c r="Z168" t="s">
        <v>917</v>
      </c>
      <c r="AA168" t="str">
        <v>Karan Malhotra</v>
      </c>
      <c r="AB168" t="str">
        <f>TRIM(PROPER(F:F))</f>
        <v>Small Business</v>
      </c>
      <c r="AC168" t="str">
        <f>TRIM(PROPER(G:G))</f>
        <v>West</v>
      </c>
      <c r="AD168" t="str">
        <f>TRIM(PROPER(H:H))</f>
        <v>Gujarat</v>
      </c>
      <c r="AE168" t="str">
        <f>TRIM(PROPER(I:I))</f>
        <v>Ahmedabad</v>
      </c>
      <c r="AF168" t="str">
        <f>TRIM(PROPER(J:J))</f>
        <v>Office Supplies</v>
      </c>
      <c r="AG168" t="str">
        <f>TRIM(PROPER(K:K))</f>
        <v>Labels</v>
      </c>
      <c r="AH168" t="str">
        <f>TRIM(PROPER(L:L))</f>
        <v>Basic Labels 671</v>
      </c>
      <c r="AI168" t="str">
        <f>TRIM(PROPER(M:M))</f>
        <v>First Class</v>
      </c>
      <c r="AJ168" s="5">
        <f>IF(OR(P168&lt;0,P168&gt;0.5),"invalid",P168)</f>
        <v>0.2</v>
      </c>
      <c r="AK168" s="6">
        <f>IFERROR(N168*O168*(1-AJ168), "NA")</f>
        <v>2046.28</v>
      </c>
      <c r="AL168" s="6">
        <f>IFERROR(AK168-R168,"NA")</f>
        <v>596.74</v>
      </c>
      <c r="AM168" s="5">
        <f t="shared" si="10"/>
        <v>0.29162186992982386</v>
      </c>
      <c r="AN168" t="str">
        <v>20-02-25</v>
      </c>
      <c r="AO168" t="str">
        <v>26-02-25</v>
      </c>
      <c r="AP168" t="str">
        <f t="shared" si="11"/>
        <v>February</v>
      </c>
      <c r="AQ168" t="str">
        <f t="shared" si="12"/>
        <v>2025</v>
      </c>
      <c r="AR168" t="str">
        <f t="shared" si="13"/>
        <v xml:space="preserve"> </v>
      </c>
      <c r="AS168">
        <f t="shared" si="14"/>
        <v>6</v>
      </c>
      <c r="AT168" t="str">
        <f>IF(COUNTIFS( $A:$A,A168,$B:$B,B168,$C:$C,C168,$D:$D,D168,$E:$E,E168,$F:$F,F168,$G:$G,G168,$H:$H,H168,$I:$I,I168,$J:$J,J168,$K:$K,K168,$L:$L,L168,$M:$M,M168,$T:$T,T168,$U:$U,U168,$W:$W,W168,$Z:$Z,Z168,$AA:$AA,AA168,$AB:$AB,AB168,$AC:$AC,AC168,$AD:$AD,AD168,$AE:$AE,AE168,$AF:$AF,AF168,$AG:$AG,AG168,$AH:$AH,AH168,$AI:$AI,AI168)&gt;1,"Duplicate","Unique")</f>
        <v>Unique</v>
      </c>
    </row>
    <row r="169" spans="1:46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  <c r="W169" t="s">
        <v>920</v>
      </c>
      <c r="Z169" t="s">
        <v>923</v>
      </c>
      <c r="AA169" t="str">
        <v>Arjun Bose</v>
      </c>
      <c r="AB169" t="str">
        <f>TRIM(PROPER(F:F))</f>
        <v>Home Office</v>
      </c>
      <c r="AC169" t="str">
        <f>TRIM(PROPER(G:G))</f>
        <v>South</v>
      </c>
      <c r="AD169" t="str">
        <f>TRIM(PROPER(H:H))</f>
        <v>Karnataka</v>
      </c>
      <c r="AE169" t="str">
        <f>TRIM(PROPER(I:I))</f>
        <v>Bengaluru</v>
      </c>
      <c r="AF169" t="str">
        <f>TRIM(PROPER(J:J))</f>
        <v>Office Supplies</v>
      </c>
      <c r="AG169" t="str">
        <f>TRIM(PROPER(K:K))</f>
        <v>Storage</v>
      </c>
      <c r="AH169" t="str">
        <f>TRIM(PROPER(L:L))</f>
        <v>Elite Storage 628</v>
      </c>
      <c r="AI169" t="str">
        <f>TRIM(PROPER(M:M))</f>
        <v>First Class</v>
      </c>
      <c r="AJ169" s="5">
        <f>IF(OR(P169&lt;0,P169&gt;0.5),"invalid",P169)</f>
        <v>0.15</v>
      </c>
      <c r="AK169" s="6">
        <f>IFERROR(N169*O169*(1-AJ169), "NA")</f>
        <v>23186.6145</v>
      </c>
      <c r="AL169" s="6">
        <f>IFERROR(AK169-R169,"NA")</f>
        <v>5280.0744999999988</v>
      </c>
      <c r="AM169" s="5">
        <f t="shared" si="10"/>
        <v>0.22772080417345961</v>
      </c>
      <c r="AN169" t="str">
        <v>18-08-25</v>
      </c>
      <c r="AO169" t="str">
        <v>invalid date</v>
      </c>
      <c r="AP169" t="str">
        <f t="shared" si="11"/>
        <v>August</v>
      </c>
      <c r="AQ169" t="str">
        <f t="shared" si="12"/>
        <v>2025</v>
      </c>
      <c r="AR169" t="str">
        <f t="shared" si="13"/>
        <v>Invalid</v>
      </c>
      <c r="AS169" t="str">
        <f t="shared" si="14"/>
        <v>invalid date</v>
      </c>
      <c r="AT169" t="str">
        <f>IF(COUNTIFS( $A:$A,A169,$B:$B,B169,$C:$C,C169,$D:$D,D169,$E:$E,E169,$F:$F,F169,$G:$G,G169,$H:$H,H169,$I:$I,I169,$J:$J,J169,$K:$K,K169,$L:$L,L169,$M:$M,M169,$T:$T,T169,$U:$U,U169,$W:$W,W169,$Z:$Z,Z169,$AA:$AA,AA169,$AB:$AB,AB169,$AC:$AC,AC169,$AD:$AD,AD169,$AE:$AE,AE169,$AF:$AF,AF169,$AG:$AG,AG169,$AH:$AH,AH169,$AI:$AI,AI169)&gt;1,"Duplicate","Unique")</f>
        <v>Unique</v>
      </c>
    </row>
    <row r="170" spans="1:46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  <c r="W170" t="s">
        <v>925</v>
      </c>
      <c r="Z170" t="s">
        <v>927</v>
      </c>
      <c r="AA170" t="str">
        <v>Kabir Singh</v>
      </c>
      <c r="AB170" t="str">
        <f>TRIM(PROPER(F:F))</f>
        <v>Consumer</v>
      </c>
      <c r="AC170" t="str">
        <f>TRIM(PROPER(G:G))</f>
        <v>West</v>
      </c>
      <c r="AD170" t="str">
        <f>TRIM(PROPER(H:H))</f>
        <v>Maharashtra</v>
      </c>
      <c r="AE170" t="str">
        <f>TRIM(PROPER(I:I))</f>
        <v>Mumbai</v>
      </c>
      <c r="AF170" t="str">
        <f>TRIM(PROPER(J:J))</f>
        <v>Technology</v>
      </c>
      <c r="AG170" t="str">
        <f>TRIM(PROPER(K:K))</f>
        <v>Accessories</v>
      </c>
      <c r="AH170" t="str">
        <f>TRIM(PROPER(L:L))</f>
        <v>Eco Accessories 590</v>
      </c>
      <c r="AI170" t="str">
        <f>TRIM(PROPER(M:M))</f>
        <v>Same Day</v>
      </c>
      <c r="AJ170" s="5">
        <f>IF(OR(P170&lt;0,P170&gt;0.5),"invalid",P170)</f>
        <v>0.2</v>
      </c>
      <c r="AK170" s="6">
        <f>IFERROR(N170*O170*(1-AJ170), "NA")</f>
        <v>2557.08</v>
      </c>
      <c r="AL170" s="6">
        <f>IFERROR(AK170-R170,"NA")</f>
        <v>531.38999999999987</v>
      </c>
      <c r="AM170" s="5">
        <f t="shared" si="10"/>
        <v>0.2078112534609789</v>
      </c>
      <c r="AN170" t="str">
        <v>invalid date</v>
      </c>
      <c r="AO170" t="str">
        <v>23-01-25</v>
      </c>
      <c r="AP170" t="str">
        <f t="shared" si="11"/>
        <v>invalid date</v>
      </c>
      <c r="AQ170" t="str">
        <f t="shared" si="12"/>
        <v>invalid date</v>
      </c>
      <c r="AR170" t="str">
        <f t="shared" si="13"/>
        <v>Invalid</v>
      </c>
      <c r="AS170" t="str">
        <f t="shared" si="14"/>
        <v>invalid date</v>
      </c>
      <c r="AT170" t="str">
        <f>IF(COUNTIFS( $A:$A,A170,$B:$B,B170,$C:$C,C170,$D:$D,D170,$E:$E,E170,$F:$F,F170,$G:$G,G170,$H:$H,H170,$I:$I,I170,$J:$J,J170,$K:$K,K170,$L:$L,L170,$M:$M,M170,$T:$T,T170,$U:$U,U170,$W:$W,W170,$Z:$Z,Z170,$AA:$AA,AA170,$AB:$AB,AB170,$AC:$AC,AC170,$AD:$AD,AD170,$AE:$AE,AE170,$AF:$AF,AF170,$AG:$AG,AG170,$AH:$AH,AH170,$AI:$AI,AI170)&gt;1,"Duplicate","Unique")</f>
        <v>Unique</v>
      </c>
    </row>
    <row r="171" spans="1:46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  <c r="W171" t="s">
        <v>929</v>
      </c>
      <c r="Z171" t="s">
        <v>932</v>
      </c>
      <c r="AA171" t="str">
        <v>Diya Patel</v>
      </c>
      <c r="AB171" t="str">
        <f>TRIM(PROPER(F:F))</f>
        <v>Consumer</v>
      </c>
      <c r="AC171" t="str">
        <f>TRIM(PROPER(G:G))</f>
        <v>East</v>
      </c>
      <c r="AD171" t="str">
        <f>TRIM(PROPER(H:H))</f>
        <v>Assam</v>
      </c>
      <c r="AE171" t="str">
        <f>TRIM(PROPER(I:I))</f>
        <v>Guwahati</v>
      </c>
      <c r="AF171" t="str">
        <f>TRIM(PROPER(J:J))</f>
        <v>Office Supplies</v>
      </c>
      <c r="AG171" t="str">
        <f>TRIM(PROPER(K:K))</f>
        <v>Art</v>
      </c>
      <c r="AH171" t="str">
        <f>TRIM(PROPER(L:L))</f>
        <v>Pro Art 734</v>
      </c>
      <c r="AI171" t="str">
        <f>TRIM(PROPER(M:M))</f>
        <v>Standard Class</v>
      </c>
      <c r="AJ171" s="5">
        <f>IF(OR(P171&lt;0,P171&gt;0.5),"invalid",P171)</f>
        <v>0.05</v>
      </c>
      <c r="AK171" s="6">
        <f>IFERROR(N171*O171*(1-AJ171), "NA")</f>
        <v>5577.6399999999994</v>
      </c>
      <c r="AL171" s="6">
        <f>IFERROR(AK171-R171,"NA")</f>
        <v>2036.3499999999995</v>
      </c>
      <c r="AM171" s="5">
        <f t="shared" si="10"/>
        <v>0.36509168752375548</v>
      </c>
      <c r="AN171" t="str">
        <v>13-09-25</v>
      </c>
      <c r="AO171" t="str">
        <v>invalid date</v>
      </c>
      <c r="AP171" t="str">
        <f t="shared" si="11"/>
        <v>September</v>
      </c>
      <c r="AQ171" t="str">
        <f t="shared" si="12"/>
        <v>2025</v>
      </c>
      <c r="AR171" t="str">
        <f t="shared" si="13"/>
        <v>Invalid</v>
      </c>
      <c r="AS171" t="str">
        <f t="shared" si="14"/>
        <v>invalid date</v>
      </c>
      <c r="AT171" t="str">
        <f>IF(COUNTIFS( $A:$A,A171,$B:$B,B171,$C:$C,C171,$D:$D,D171,$E:$E,E171,$F:$F,F171,$G:$G,G171,$H:$H,H171,$I:$I,I171,$J:$J,J171,$K:$K,K171,$L:$L,L171,$M:$M,M171,$T:$T,T171,$U:$U,U171,$W:$W,W171,$Z:$Z,Z171,$AA:$AA,AA171,$AB:$AB,AB171,$AC:$AC,AC171,$AD:$AD,AD171,$AE:$AE,AE171,$AF:$AF,AF171,$AG:$AG,AG171,$AH:$AH,AH171,$AI:$AI,AI171)&gt;1,"Duplicate","Unique")</f>
        <v>Unique</v>
      </c>
    </row>
    <row r="172" spans="1:46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  <c r="W172" t="s">
        <v>934</v>
      </c>
      <c r="Z172" t="s">
        <v>936</v>
      </c>
      <c r="AA172" t="str">
        <v>Rohan Mehta</v>
      </c>
      <c r="AB172" t="str">
        <f>TRIM(PROPER(F:F))</f>
        <v>Corporate</v>
      </c>
      <c r="AC172" t="str">
        <f>TRIM(PROPER(G:G))</f>
        <v>East</v>
      </c>
      <c r="AD172" t="str">
        <f>TRIM(PROPER(H:H))</f>
        <v>Bihar</v>
      </c>
      <c r="AE172" t="str">
        <f>TRIM(PROPER(I:I))</f>
        <v>Patna</v>
      </c>
      <c r="AF172" t="str">
        <f>TRIM(PROPER(J:J))</f>
        <v>Technology</v>
      </c>
      <c r="AG172" t="str">
        <f>TRIM(PROPER(K:K))</f>
        <v>Copiers</v>
      </c>
      <c r="AH172" t="str">
        <f>TRIM(PROPER(L:L))</f>
        <v>Eco Copiers 102</v>
      </c>
      <c r="AI172" t="str">
        <f>TRIM(PROPER(M:M))</f>
        <v>Standard Class</v>
      </c>
      <c r="AJ172" s="5">
        <f>IF(OR(P172&lt;0,P172&gt;0.5),"invalid",P172)</f>
        <v>0</v>
      </c>
      <c r="AK172" s="6">
        <f>IFERROR(N172*O172*(1-AJ172), "NA")</f>
        <v>5133.96</v>
      </c>
      <c r="AL172" s="6">
        <f>IFERROR(AK172-R172,"NA")</f>
        <v>1203.96</v>
      </c>
      <c r="AM172" s="5">
        <f t="shared" si="10"/>
        <v>0.23450903396208775</v>
      </c>
      <c r="AN172" t="str">
        <v>07-09-25</v>
      </c>
      <c r="AO172" t="str">
        <v>invalid date</v>
      </c>
      <c r="AP172" t="str">
        <f t="shared" si="11"/>
        <v>September</v>
      </c>
      <c r="AQ172" t="str">
        <f t="shared" si="12"/>
        <v>2025</v>
      </c>
      <c r="AR172" t="str">
        <f t="shared" si="13"/>
        <v>Invalid</v>
      </c>
      <c r="AS172" t="str">
        <f t="shared" si="14"/>
        <v>invalid date</v>
      </c>
      <c r="AT172" t="str">
        <f>IF(COUNTIFS( $A:$A,A172,$B:$B,B172,$C:$C,C172,$D:$D,D172,$E:$E,E172,$F:$F,F172,$G:$G,G172,$H:$H,H172,$I:$I,I172,$J:$J,J172,$K:$K,K172,$L:$L,L172,$M:$M,M172,$T:$T,T172,$U:$U,U172,$W:$W,W172,$Z:$Z,Z172,$AA:$AA,AA172,$AB:$AB,AB172,$AC:$AC,AC172,$AD:$AD,AD172,$AE:$AE,AE172,$AF:$AF,AF172,$AG:$AG,AG172,$AH:$AH,AH172,$AI:$AI,AI172)&gt;1,"Duplicate","Unique")</f>
        <v>Unique</v>
      </c>
    </row>
    <row r="173" spans="1:46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  <c r="W173" t="s">
        <v>938</v>
      </c>
      <c r="Z173" t="s">
        <v>940</v>
      </c>
      <c r="AA173" t="str">
        <v>Karan Malhotra</v>
      </c>
      <c r="AB173" t="str">
        <f>TRIM(PROPER(F:F))</f>
        <v>Corporate</v>
      </c>
      <c r="AC173" t="str">
        <f>TRIM(PROPER(G:G))</f>
        <v>East</v>
      </c>
      <c r="AD173" t="str">
        <f>TRIM(PROPER(H:H))</f>
        <v>Bihar</v>
      </c>
      <c r="AE173" t="str">
        <f>TRIM(PROPER(I:I))</f>
        <v>Patna</v>
      </c>
      <c r="AF173" t="str">
        <f>TRIM(PROPER(J:J))</f>
        <v>Office Supplies</v>
      </c>
      <c r="AG173" t="str">
        <f>TRIM(PROPER(K:K))</f>
        <v>Labels</v>
      </c>
      <c r="AH173" t="str">
        <f>TRIM(PROPER(L:L))</f>
        <v>Basic Labels 876</v>
      </c>
      <c r="AI173" t="str">
        <f>TRIM(PROPER(M:M))</f>
        <v>Same Day</v>
      </c>
      <c r="AJ173" s="5">
        <f>IF(OR(P173&lt;0,P173&gt;0.5),"invalid",P173)</f>
        <v>0.25</v>
      </c>
      <c r="AK173" s="6">
        <f>IFERROR(N173*O173*(1-AJ173), "NA")</f>
        <v>15923.512500000001</v>
      </c>
      <c r="AL173" s="6">
        <f>IFERROR(AK173-R173,"NA")</f>
        <v>4631.7125000000015</v>
      </c>
      <c r="AM173" s="5">
        <f t="shared" si="10"/>
        <v>0.29087253832971849</v>
      </c>
      <c r="AN173" t="str">
        <v>23-02-25</v>
      </c>
      <c r="AO173" t="str">
        <v>invalid date</v>
      </c>
      <c r="AP173" t="str">
        <f t="shared" si="11"/>
        <v>February</v>
      </c>
      <c r="AQ173" t="str">
        <f t="shared" si="12"/>
        <v>2025</v>
      </c>
      <c r="AR173" t="str">
        <f t="shared" si="13"/>
        <v>Invalid</v>
      </c>
      <c r="AS173" t="str">
        <f t="shared" si="14"/>
        <v>invalid date</v>
      </c>
      <c r="AT173" t="str">
        <f>IF(COUNTIFS( $A:$A,A173,$B:$B,B173,$C:$C,C173,$D:$D,D173,$E:$E,E173,$F:$F,F173,$G:$G,G173,$H:$H,H173,$I:$I,I173,$J:$J,J173,$K:$K,K173,$L:$L,L173,$M:$M,M173,$T:$T,T173,$U:$U,U173,$W:$W,W173,$Z:$Z,Z173,$AA:$AA,AA173,$AB:$AB,AB173,$AC:$AC,AC173,$AD:$AD,AD173,$AE:$AE,AE173,$AF:$AF,AF173,$AG:$AG,AG173,$AH:$AH,AH173,$AI:$AI,AI173)&gt;1,"Duplicate","Unique")</f>
        <v>Unique</v>
      </c>
    </row>
    <row r="174" spans="1:46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  <c r="W174" t="s">
        <v>942</v>
      </c>
      <c r="Z174" t="s">
        <v>945</v>
      </c>
      <c r="AA174" t="str">
        <v>Karan Malhotra</v>
      </c>
      <c r="AB174" t="str">
        <f>TRIM(PROPER(F:F))</f>
        <v>Corporate</v>
      </c>
      <c r="AC174" t="str">
        <f>TRIM(PROPER(G:G))</f>
        <v>North</v>
      </c>
      <c r="AD174" t="str">
        <f>TRIM(PROPER(H:H))</f>
        <v>Delhi</v>
      </c>
      <c r="AE174" t="str">
        <f>TRIM(PROPER(I:I))</f>
        <v>New Delhi</v>
      </c>
      <c r="AF174" t="str">
        <f>TRIM(PROPER(J:J))</f>
        <v>Furniture</v>
      </c>
      <c r="AG174" t="str">
        <f>TRIM(PROPER(K:K))</f>
        <v>Furnishings</v>
      </c>
      <c r="AH174" t="str">
        <f>TRIM(PROPER(L:L))</f>
        <v>Prime Furnishings 381</v>
      </c>
      <c r="AI174" t="str">
        <f>TRIM(PROPER(M:M))</f>
        <v>Same Day</v>
      </c>
      <c r="AJ174" s="5">
        <f>IF(OR(P174&lt;0,P174&gt;0.5),"invalid",P174)</f>
        <v>0.1</v>
      </c>
      <c r="AK174" s="6">
        <f>IFERROR(N174*O174*(1-AJ174), "NA")</f>
        <v>23997.221999999998</v>
      </c>
      <c r="AL174" s="6">
        <f>IFERROR(AK174-R174,"NA")</f>
        <v>7862.5919999999987</v>
      </c>
      <c r="AM174" s="5">
        <f t="shared" si="10"/>
        <v>0.32764592501582057</v>
      </c>
      <c r="AN174" t="str">
        <v>02-08-25</v>
      </c>
      <c r="AO174" t="str">
        <v>10-08-25</v>
      </c>
      <c r="AP174" t="str">
        <f t="shared" si="11"/>
        <v>August</v>
      </c>
      <c r="AQ174" t="str">
        <f t="shared" si="12"/>
        <v>2025</v>
      </c>
      <c r="AR174" t="str">
        <f t="shared" si="13"/>
        <v xml:space="preserve"> </v>
      </c>
      <c r="AS174">
        <f t="shared" si="14"/>
        <v>8</v>
      </c>
      <c r="AT174" t="str">
        <f>IF(COUNTIFS( $A:$A,A174,$B:$B,B174,$C:$C,C174,$D:$D,D174,$E:$E,E174,$F:$F,F174,$G:$G,G174,$H:$H,H174,$I:$I,I174,$J:$J,J174,$K:$K,K174,$L:$L,L174,$M:$M,M174,$T:$T,T174,$U:$U,U174,$W:$W,W174,$Z:$Z,Z174,$AA:$AA,AA174,$AB:$AB,AB174,$AC:$AC,AC174,$AD:$AD,AD174,$AE:$AE,AE174,$AF:$AF,AF174,$AG:$AG,AG174,$AH:$AH,AH174,$AI:$AI,AI174)&gt;1,"Duplicate","Unique")</f>
        <v>Unique</v>
      </c>
    </row>
    <row r="175" spans="1:46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  <c r="W175" t="s">
        <v>947</v>
      </c>
      <c r="Z175" t="s">
        <v>950</v>
      </c>
      <c r="AA175" t="str">
        <v>PRIYA MENON</v>
      </c>
      <c r="AB175" t="str">
        <f>TRIM(PROPER(F:F))</f>
        <v>Home Office</v>
      </c>
      <c r="AC175" t="str">
        <f>TRIM(PROPER(G:G))</f>
        <v>North</v>
      </c>
      <c r="AD175" t="str">
        <f>TRIM(PROPER(H:H))</f>
        <v>Punjab</v>
      </c>
      <c r="AE175" t="str">
        <f>TRIM(PROPER(I:I))</f>
        <v>Ludhiana</v>
      </c>
      <c r="AF175" t="str">
        <f>TRIM(PROPER(J:J))</f>
        <v>Technology</v>
      </c>
      <c r="AG175" t="str">
        <f>TRIM(PROPER(K:K))</f>
        <v>Copiers</v>
      </c>
      <c r="AH175" t="str">
        <f>TRIM(PROPER(L:L))</f>
        <v>Prime Copiers 440</v>
      </c>
      <c r="AI175" t="str">
        <f>TRIM(PROPER(M:M))</f>
        <v>Second Class</v>
      </c>
      <c r="AJ175" s="5">
        <f>IF(OR(P175&lt;0,P175&gt;0.5),"invalid",P175)</f>
        <v>0.25</v>
      </c>
      <c r="AK175" s="6">
        <f>IFERROR(N175*O175*(1-AJ175), "NA")</f>
        <v>1734.1875</v>
      </c>
      <c r="AL175" s="6">
        <f>IFERROR(AK175-R175,"NA")</f>
        <v>348.11750000000006</v>
      </c>
      <c r="AM175" s="5">
        <f t="shared" si="10"/>
        <v>0.20073809781237614</v>
      </c>
      <c r="AN175" t="str">
        <v>02-05-24</v>
      </c>
      <c r="AO175" t="str">
        <v>08-05-24</v>
      </c>
      <c r="AP175" t="str">
        <f t="shared" si="11"/>
        <v>May</v>
      </c>
      <c r="AQ175" t="str">
        <f t="shared" si="12"/>
        <v>2024</v>
      </c>
      <c r="AR175" t="str">
        <f t="shared" si="13"/>
        <v xml:space="preserve"> </v>
      </c>
      <c r="AS175">
        <f t="shared" si="14"/>
        <v>6</v>
      </c>
      <c r="AT175" t="str">
        <f>IF(COUNTIFS( $A:$A,A175,$B:$B,B175,$C:$C,C175,$D:$D,D175,$E:$E,E175,$F:$F,F175,$G:$G,G175,$H:$H,H175,$I:$I,I175,$J:$J,J175,$K:$K,K175,$L:$L,L175,$M:$M,M175,$T:$T,T175,$U:$U,U175,$W:$W,W175,$Z:$Z,Z175,$AA:$AA,AA175,$AB:$AB,AB175,$AC:$AC,AC175,$AD:$AD,AD175,$AE:$AE,AE175,$AF:$AF,AF175,$AG:$AG,AG175,$AH:$AH,AH175,$AI:$AI,AI175)&gt;1,"Duplicate","Unique")</f>
        <v>Unique</v>
      </c>
    </row>
    <row r="176" spans="1:46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  <c r="W176" t="s">
        <v>953</v>
      </c>
      <c r="Z176" t="s">
        <v>956</v>
      </c>
      <c r="AA176" t="str">
        <v>Karan Malhotra</v>
      </c>
      <c r="AB176" t="str">
        <f>TRIM(PROPER(F:F))</f>
        <v>Small Business</v>
      </c>
      <c r="AC176" t="str">
        <f>TRIM(PROPER(G:G))</f>
        <v>South</v>
      </c>
      <c r="AD176" t="str">
        <f>TRIM(PROPER(H:H))</f>
        <v>Karnataka</v>
      </c>
      <c r="AE176" t="str">
        <f>TRIM(PROPER(I:I))</f>
        <v>Bengaluru</v>
      </c>
      <c r="AF176" t="str">
        <f>TRIM(PROPER(J:J))</f>
        <v>Furniture</v>
      </c>
      <c r="AG176" t="str">
        <f>TRIM(PROPER(K:K))</f>
        <v>Bookcases</v>
      </c>
      <c r="AH176" t="str">
        <f>TRIM(PROPER(L:L))</f>
        <v>Pro Bookcases 319</v>
      </c>
      <c r="AI176" t="str">
        <f>TRIM(PROPER(M:M))</f>
        <v>First Class</v>
      </c>
      <c r="AJ176" s="5">
        <f>IF(OR(P176&lt;0,P176&gt;0.5),"invalid",P176)</f>
        <v>0.15</v>
      </c>
      <c r="AK176" s="6">
        <f>IFERROR(N176*O176*(1-AJ176), "NA")</f>
        <v>8264.7029999999995</v>
      </c>
      <c r="AL176" s="6">
        <f>IFERROR(AK176-R176,"NA")</f>
        <v>3495.9529999999995</v>
      </c>
      <c r="AM176" s="5">
        <f t="shared" si="10"/>
        <v>0.42299801940856191</v>
      </c>
      <c r="AN176" t="str">
        <v>28-09-25</v>
      </c>
      <c r="AO176" t="str">
        <v>04-10-25</v>
      </c>
      <c r="AP176" t="str">
        <f t="shared" si="11"/>
        <v>September</v>
      </c>
      <c r="AQ176" t="str">
        <f t="shared" si="12"/>
        <v>2025</v>
      </c>
      <c r="AR176" t="str">
        <f t="shared" si="13"/>
        <v>anomaly</v>
      </c>
      <c r="AS176">
        <f t="shared" si="14"/>
        <v>6</v>
      </c>
      <c r="AT176" t="str">
        <f>IF(COUNTIFS( $A:$A,A176,$B:$B,B176,$C:$C,C176,$D:$D,D176,$E:$E,E176,$F:$F,F176,$G:$G,G176,$H:$H,H176,$I:$I,I176,$J:$J,J176,$K:$K,K176,$L:$L,L176,$M:$M,M176,$T:$T,T176,$U:$U,U176,$W:$W,W176,$Z:$Z,Z176,$AA:$AA,AA176,$AB:$AB,AB176,$AC:$AC,AC176,$AD:$AD,AD176,$AE:$AE,AE176,$AF:$AF,AF176,$AG:$AG,AG176,$AH:$AH,AH176,$AI:$AI,AI176)&gt;1,"Duplicate","Unique")</f>
        <v>Unique</v>
      </c>
    </row>
    <row r="177" spans="1:46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  <c r="W177" t="s">
        <v>958</v>
      </c>
      <c r="Z177" t="s">
        <v>960</v>
      </c>
      <c r="AA177" t="str">
        <v>Arjun Bose</v>
      </c>
      <c r="AB177" t="str">
        <f>TRIM(PROPER(F:F))</f>
        <v>Small Business</v>
      </c>
      <c r="AC177" t="str">
        <f>TRIM(PROPER(G:G))</f>
        <v>East</v>
      </c>
      <c r="AD177" t="str">
        <f>TRIM(PROPER(H:H))</f>
        <v>Bihar</v>
      </c>
      <c r="AE177" t="str">
        <f>TRIM(PROPER(I:I))</f>
        <v>Patna</v>
      </c>
      <c r="AF177" t="str">
        <f>TRIM(PROPER(J:J))</f>
        <v>Technology</v>
      </c>
      <c r="AG177" t="str">
        <f>TRIM(PROPER(K:K))</f>
        <v>Machines</v>
      </c>
      <c r="AH177" t="str">
        <f>TRIM(PROPER(L:L))</f>
        <v>Basic Machines 584</v>
      </c>
      <c r="AI177" t="str">
        <f>TRIM(PROPER(M:M))</f>
        <v>Same Day</v>
      </c>
      <c r="AJ177" s="5">
        <f>IF(OR(P177&lt;0,P177&gt;0.5),"invalid",P177)</f>
        <v>0.15</v>
      </c>
      <c r="AK177" s="6">
        <f>IFERROR(N177*O177*(1-AJ177), "NA")</f>
        <v>15906.849000000002</v>
      </c>
      <c r="AL177" s="6">
        <f>IFERROR(AK177-R177,"NA")</f>
        <v>4892.3890000000029</v>
      </c>
      <c r="AM177" s="5">
        <f t="shared" si="10"/>
        <v>0.30756493633654297</v>
      </c>
      <c r="AN177" t="str">
        <v>27-01-24</v>
      </c>
      <c r="AO177" t="str">
        <v>03-02-24</v>
      </c>
      <c r="AP177" t="str">
        <f t="shared" si="11"/>
        <v>January</v>
      </c>
      <c r="AQ177" t="str">
        <f t="shared" si="12"/>
        <v>2024</v>
      </c>
      <c r="AR177" t="str">
        <f t="shared" si="13"/>
        <v>anomaly</v>
      </c>
      <c r="AS177">
        <f t="shared" si="14"/>
        <v>7</v>
      </c>
      <c r="AT177" t="str">
        <f>IF(COUNTIFS( $A:$A,A177,$B:$B,B177,$C:$C,C177,$D:$D,D177,$E:$E,E177,$F:$F,F177,$G:$G,G177,$H:$H,H177,$I:$I,I177,$J:$J,J177,$K:$K,K177,$L:$L,L177,$M:$M,M177,$T:$T,T177,$U:$U,U177,$W:$W,W177,$Z:$Z,Z177,$AA:$AA,AA177,$AB:$AB,AB177,$AC:$AC,AC177,$AD:$AD,AD177,$AE:$AE,AE177,$AF:$AF,AF177,$AG:$AG,AG177,$AH:$AH,AH177,$AI:$AI,AI177)&gt;1,"Duplicate","Unique")</f>
        <v>Unique</v>
      </c>
    </row>
    <row r="178" spans="1:46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  <c r="W178" t="s">
        <v>962</v>
      </c>
      <c r="Z178" t="s">
        <v>965</v>
      </c>
      <c r="AA178" t="str">
        <v>Vikram Iyer</v>
      </c>
      <c r="AB178" t="str">
        <f>TRIM(PROPER(F:F))</f>
        <v>Corporate</v>
      </c>
      <c r="AC178" t="str">
        <f>TRIM(PROPER(G:G))</f>
        <v>East</v>
      </c>
      <c r="AD178" t="str">
        <f>TRIM(PROPER(H:H))</f>
        <v>Jharkhand</v>
      </c>
      <c r="AE178" t="str">
        <f>TRIM(PROPER(I:I))</f>
        <v>Ranchi</v>
      </c>
      <c r="AF178" t="str">
        <f>TRIM(PROPER(J:J))</f>
        <v>Furniture</v>
      </c>
      <c r="AG178" t="str">
        <f>TRIM(PROPER(K:K))</f>
        <v>Bookcases</v>
      </c>
      <c r="AH178" t="str">
        <f>TRIM(PROPER(L:L))</f>
        <v>Pro Bookcases 612</v>
      </c>
      <c r="AI178" t="str">
        <f>TRIM(PROPER(M:M))</f>
        <v>Standard Class</v>
      </c>
      <c r="AJ178" s="5">
        <f>IF(OR(P178&lt;0,P178&gt;0.5),"invalid",P178)</f>
        <v>0.15</v>
      </c>
      <c r="AK178" s="6">
        <f>IFERROR(N178*O178*(1-AJ178), "NA")</f>
        <v>24229.011999999999</v>
      </c>
      <c r="AL178" s="6">
        <f>IFERROR(AK178-R178,"NA")</f>
        <v>10318.371999999999</v>
      </c>
      <c r="AM178" s="5">
        <f t="shared" si="10"/>
        <v>0.42586845885420338</v>
      </c>
      <c r="AN178" t="str">
        <v>18-03-25</v>
      </c>
      <c r="AO178" t="str">
        <v>invalid date</v>
      </c>
      <c r="AP178" t="str">
        <f t="shared" si="11"/>
        <v>March</v>
      </c>
      <c r="AQ178" t="str">
        <f t="shared" si="12"/>
        <v>2025</v>
      </c>
      <c r="AR178" t="str">
        <f t="shared" si="13"/>
        <v>Invalid</v>
      </c>
      <c r="AS178" t="str">
        <f t="shared" si="14"/>
        <v>invalid date</v>
      </c>
      <c r="AT178" t="str">
        <f>IF(COUNTIFS( $A:$A,A178,$B:$B,B178,$C:$C,C178,$D:$D,D178,$E:$E,E178,$F:$F,F178,$G:$G,G178,$H:$H,H178,$I:$I,I178,$J:$J,J178,$K:$K,K178,$L:$L,L178,$M:$M,M178,$T:$T,T178,$U:$U,U178,$W:$W,W178,$Z:$Z,Z178,$AA:$AA,AA178,$AB:$AB,AB178,$AC:$AC,AC178,$AD:$AD,AD178,$AE:$AE,AE178,$AF:$AF,AF178,$AG:$AG,AG178,$AH:$AH,AH178,$AI:$AI,AI178)&gt;1,"Duplicate","Unique")</f>
        <v>Unique</v>
      </c>
    </row>
    <row r="179" spans="1:46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  <c r="W179" t="s">
        <v>967</v>
      </c>
      <c r="Z179" t="s">
        <v>970</v>
      </c>
      <c r="AA179" t="str">
        <v>Sneha Kapoor</v>
      </c>
      <c r="AB179" t="str">
        <f>TRIM(PROPER(F:F))</f>
        <v>Home Office</v>
      </c>
      <c r="AC179" t="s">
        <v>4111</v>
      </c>
      <c r="AD179" t="str">
        <f>TRIM(PROPER(H:H))</f>
        <v>Bihar</v>
      </c>
      <c r="AE179" t="str">
        <f>TRIM(PROPER(I:I))</f>
        <v>Patna</v>
      </c>
      <c r="AF179" t="str">
        <f>TRIM(PROPER(J:J))</f>
        <v>Office Supplies</v>
      </c>
      <c r="AG179" t="str">
        <f>TRIM(PROPER(K:K))</f>
        <v>Art</v>
      </c>
      <c r="AH179" t="str">
        <f>TRIM(PROPER(L:L))</f>
        <v>Classic Art 573</v>
      </c>
      <c r="AI179" t="str">
        <f>TRIM(PROPER(M:M))</f>
        <v>Same Day</v>
      </c>
      <c r="AJ179" s="5">
        <f>IF(OR(P179&lt;0,P179&gt;0.5),"invalid",P179)</f>
        <v>0</v>
      </c>
      <c r="AK179" s="6">
        <f>IFERROR(N179*O179*(1-AJ179), "NA")</f>
        <v>31039.599999999999</v>
      </c>
      <c r="AL179" s="6">
        <f>IFERROR(AK179-R179,"NA")</f>
        <v>10172.879999999997</v>
      </c>
      <c r="AM179" s="5">
        <f t="shared" si="10"/>
        <v>0.32773875952009685</v>
      </c>
      <c r="AN179" t="str">
        <v>01-06-24</v>
      </c>
      <c r="AO179" t="str">
        <v>06-03-24</v>
      </c>
      <c r="AP179" t="str">
        <f t="shared" si="11"/>
        <v>June</v>
      </c>
      <c r="AQ179" t="str">
        <f t="shared" si="12"/>
        <v>2024</v>
      </c>
      <c r="AR179" t="str">
        <f t="shared" si="13"/>
        <v xml:space="preserve"> </v>
      </c>
      <c r="AS179">
        <f t="shared" si="14"/>
        <v>-87</v>
      </c>
      <c r="AT179" t="str">
        <f>IF(COUNTIFS( $A:$A,A179,$B:$B,B179,$C:$C,C179,$D:$D,D179,$E:$E,E179,$F:$F,F179,$G:$G,G179,$H:$H,H179,$I:$I,I179,$J:$J,J179,$K:$K,K179,$L:$L,L179,$M:$M,M179,$T:$T,T179,$U:$U,U179,$W:$W,W179,$Z:$Z,Z179,$AA:$AA,AA179,$AB:$AB,AB179,$AC:$AC,AC179,$AD:$AD,AD179,$AE:$AE,AE179,$AF:$AF,AF179,$AG:$AG,AG179,$AH:$AH,AH179,$AI:$AI,AI179)&gt;1,"Duplicate","Unique")</f>
        <v>Unique</v>
      </c>
    </row>
    <row r="180" spans="1:46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  <c r="W180" t="s">
        <v>972</v>
      </c>
      <c r="Z180" t="s">
        <v>975</v>
      </c>
      <c r="AA180" t="str">
        <v>Isha Nair</v>
      </c>
      <c r="AB180" t="str">
        <f>TRIM(PROPER(F:F))</f>
        <v>Corporate</v>
      </c>
      <c r="AC180" t="str">
        <f>TRIM(PROPER(G:G))</f>
        <v>South</v>
      </c>
      <c r="AD180" t="str">
        <f>TRIM(PROPER(H:H))</f>
        <v>Telangana</v>
      </c>
      <c r="AE180" t="str">
        <f>TRIM(PROPER(I:I))</f>
        <v>Hyderabad</v>
      </c>
      <c r="AF180" t="str">
        <f>TRIM(PROPER(J:J))</f>
        <v>Office Supplies</v>
      </c>
      <c r="AG180" t="str">
        <f>TRIM(PROPER(K:K))</f>
        <v>Art</v>
      </c>
      <c r="AH180" t="str">
        <f>TRIM(PROPER(L:L))</f>
        <v>Eco Art 854</v>
      </c>
      <c r="AI180" t="str">
        <f>TRIM(PROPER(M:M))</f>
        <v>Standard Class</v>
      </c>
      <c r="AJ180" s="5">
        <f>IF(OR(P180&lt;0,P180&gt;0.5),"invalid",P180)</f>
        <v>0</v>
      </c>
      <c r="AK180" s="6">
        <f>IFERROR(N180*O180*(1-AJ180), "NA")</f>
        <v>13126.96</v>
      </c>
      <c r="AL180" s="6">
        <f>IFERROR(AK180-R180,"NA")</f>
        <v>2394.5199999999986</v>
      </c>
      <c r="AM180" s="5">
        <f t="shared" si="10"/>
        <v>0.18241237879905162</v>
      </c>
      <c r="AN180" t="str">
        <v>30-09-24</v>
      </c>
      <c r="AO180" t="str">
        <v>30-09-24</v>
      </c>
      <c r="AP180" t="str">
        <f t="shared" si="11"/>
        <v>September</v>
      </c>
      <c r="AQ180" t="str">
        <f t="shared" si="12"/>
        <v>2024</v>
      </c>
      <c r="AR180" t="str">
        <f t="shared" si="13"/>
        <v xml:space="preserve"> </v>
      </c>
      <c r="AS180">
        <f t="shared" si="14"/>
        <v>0</v>
      </c>
      <c r="AT180" t="str">
        <f>IF(COUNTIFS( $A:$A,A180,$B:$B,B180,$C:$C,C180,$D:$D,D180,$E:$E,E180,$F:$F,F180,$G:$G,G180,$H:$H,H180,$I:$I,I180,$J:$J,J180,$K:$K,K180,$L:$L,L180,$M:$M,M180,$T:$T,T180,$U:$U,U180,$W:$W,W180,$Z:$Z,Z180,$AA:$AA,AA180,$AB:$AB,AB180,$AC:$AC,AC180,$AD:$AD,AD180,$AE:$AE,AE180,$AF:$AF,AF180,$AG:$AG,AG180,$AH:$AH,AH180,$AI:$AI,AI180)&gt;1,"Duplicate","Unique")</f>
        <v>Unique</v>
      </c>
    </row>
    <row r="181" spans="1:46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  <c r="W181" t="s">
        <v>977</v>
      </c>
      <c r="Z181" t="s">
        <v>980</v>
      </c>
      <c r="AA181" t="str">
        <v>Ananya Rao</v>
      </c>
      <c r="AB181" t="str">
        <f>TRIM(PROPER(F:F))</f>
        <v>Small Business</v>
      </c>
      <c r="AC181" t="str">
        <f>TRIM(PROPER(G:G))</f>
        <v>South</v>
      </c>
      <c r="AD181" t="str">
        <f>TRIM(PROPER(H:H))</f>
        <v>Tamil Nadu</v>
      </c>
      <c r="AE181" t="str">
        <f>TRIM(PROPER(I:I))</f>
        <v>Chennai</v>
      </c>
      <c r="AF181" t="str">
        <f>TRIM(PROPER(J:J))</f>
        <v>Furniture</v>
      </c>
      <c r="AG181" t="str">
        <f>TRIM(PROPER(K:K))</f>
        <v>Furnishings</v>
      </c>
      <c r="AH181" t="str">
        <f>TRIM(PROPER(L:L))</f>
        <v>Classic Furnishings 996</v>
      </c>
      <c r="AI181" t="str">
        <f>TRIM(PROPER(M:M))</f>
        <v>Standard Class</v>
      </c>
      <c r="AJ181" s="5">
        <f>IF(OR(P181&lt;0,P181&gt;0.5),"invalid",P181)</f>
        <v>0.25</v>
      </c>
      <c r="AK181" s="6">
        <f>IFERROR(N181*O181*(1-AJ181), "NA")</f>
        <v>9558.9000000000015</v>
      </c>
      <c r="AL181" s="6">
        <f>IFERROR(AK181-R181,"NA")</f>
        <v>4042.1400000000012</v>
      </c>
      <c r="AM181" s="5">
        <f t="shared" si="10"/>
        <v>0.42286664783604816</v>
      </c>
      <c r="AN181" t="str">
        <v>15-03-24</v>
      </c>
      <c r="AO181" t="str">
        <v>invalid date</v>
      </c>
      <c r="AP181" t="str">
        <f t="shared" si="11"/>
        <v>March</v>
      </c>
      <c r="AQ181" t="str">
        <f t="shared" si="12"/>
        <v>2024</v>
      </c>
      <c r="AR181" t="str">
        <f t="shared" si="13"/>
        <v>Invalid</v>
      </c>
      <c r="AS181" t="str">
        <f t="shared" si="14"/>
        <v>invalid date</v>
      </c>
      <c r="AT181" t="str">
        <f>IF(COUNTIFS( $A:$A,A181,$B:$B,B181,$C:$C,C181,$D:$D,D181,$E:$E,E181,$F:$F,F181,$G:$G,G181,$H:$H,H181,$I:$I,I181,$J:$J,J181,$K:$K,K181,$L:$L,L181,$M:$M,M181,$T:$T,T181,$U:$U,U181,$W:$W,W181,$Z:$Z,Z181,$AA:$AA,AA181,$AB:$AB,AB181,$AC:$AC,AC181,$AD:$AD,AD181,$AE:$AE,AE181,$AF:$AF,AF181,$AG:$AG,AG181,$AH:$AH,AH181,$AI:$AI,AI181)&gt;1,"Duplicate","Unique")</f>
        <v>Unique</v>
      </c>
    </row>
    <row r="182" spans="1:46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  <c r="W182" t="s">
        <v>982</v>
      </c>
      <c r="Z182" t="s">
        <v>985</v>
      </c>
      <c r="AA182" t="str">
        <v>Mira Das</v>
      </c>
      <c r="AB182" t="str">
        <f>TRIM(PROPER(F:F))</f>
        <v>Home Office</v>
      </c>
      <c r="AC182" t="str">
        <f>TRIM(PROPER(G:G))</f>
        <v>North</v>
      </c>
      <c r="AD182" t="str">
        <f>TRIM(PROPER(H:H))</f>
        <v>Uttar Pradesh</v>
      </c>
      <c r="AE182" t="str">
        <f>TRIM(PROPER(I:I))</f>
        <v>Noida</v>
      </c>
      <c r="AF182" t="str">
        <f>TRIM(PROPER(J:J))</f>
        <v>Office Supplies</v>
      </c>
      <c r="AG182" t="str">
        <f>TRIM(PROPER(K:K))</f>
        <v>Binders</v>
      </c>
      <c r="AH182" t="str">
        <f>TRIM(PROPER(L:L))</f>
        <v>Prime Binders 735</v>
      </c>
      <c r="AI182" t="str">
        <f>TRIM(PROPER(M:M))</f>
        <v>First Class</v>
      </c>
      <c r="AJ182" s="5">
        <f>IF(OR(P182&lt;0,P182&gt;0.5),"invalid",P182)</f>
        <v>0.1</v>
      </c>
      <c r="AK182" s="6">
        <f>IFERROR(N182*O182*(1-AJ182), "NA")</f>
        <v>5320.9170000000004</v>
      </c>
      <c r="AL182" s="6">
        <f>IFERROR(AK182-R182,"NA")</f>
        <v>2279.4170000000004</v>
      </c>
      <c r="AM182" s="5">
        <f t="shared" si="10"/>
        <v>0.42838800154183954</v>
      </c>
      <c r="AN182" t="str">
        <v>26-08-24</v>
      </c>
      <c r="AO182" t="str">
        <v>26-08-24</v>
      </c>
      <c r="AP182" t="str">
        <f t="shared" si="11"/>
        <v>August</v>
      </c>
      <c r="AQ182" t="str">
        <f t="shared" si="12"/>
        <v>2024</v>
      </c>
      <c r="AR182" t="str">
        <f t="shared" si="13"/>
        <v xml:space="preserve"> </v>
      </c>
      <c r="AS182">
        <f t="shared" si="14"/>
        <v>0</v>
      </c>
      <c r="AT182" t="str">
        <f>IF(COUNTIFS( $A:$A,A182,$B:$B,B182,$C:$C,C182,$D:$D,D182,$E:$E,E182,$F:$F,F182,$G:$G,G182,$H:$H,H182,$I:$I,I182,$J:$J,J182,$K:$K,K182,$L:$L,L182,$M:$M,M182,$T:$T,T182,$U:$U,U182,$W:$W,W182,$Z:$Z,Z182,$AA:$AA,AA182,$AB:$AB,AB182,$AC:$AC,AC182,$AD:$AD,AD182,$AE:$AE,AE182,$AF:$AF,AF182,$AG:$AG,AG182,$AH:$AH,AH182,$AI:$AI,AI182)&gt;1,"Duplicate","Unique")</f>
        <v>Unique</v>
      </c>
    </row>
    <row r="183" spans="1:46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  <c r="W183" t="s">
        <v>987</v>
      </c>
      <c r="Z183" t="s">
        <v>990</v>
      </c>
      <c r="AA183" t="str">
        <v>Priya Menon</v>
      </c>
      <c r="AB183" t="str">
        <f>TRIM(PROPER(F:F))</f>
        <v>Home Office</v>
      </c>
      <c r="AC183" t="str">
        <f>TRIM(PROPER(G:G))</f>
        <v>South</v>
      </c>
      <c r="AD183" t="str">
        <f>TRIM(PROPER(H:H))</f>
        <v>Tamil Nadu</v>
      </c>
      <c r="AE183" t="str">
        <f>TRIM(PROPER(I:I))</f>
        <v>Chennai</v>
      </c>
      <c r="AF183" t="str">
        <f>TRIM(PROPER(J:J))</f>
        <v>Office Supplies</v>
      </c>
      <c r="AG183" t="str">
        <f>TRIM(PROPER(K:K))</f>
        <v>Art</v>
      </c>
      <c r="AH183" t="str">
        <f>TRIM(PROPER(L:L))</f>
        <v>Pro Art 587</v>
      </c>
      <c r="AI183" t="str">
        <f>TRIM(PROPER(M:M))</f>
        <v>Second Class</v>
      </c>
      <c r="AJ183" s="5">
        <f>IF(OR(P183&lt;0,P183&gt;0.5),"invalid",P183)</f>
        <v>0</v>
      </c>
      <c r="AK183" s="6">
        <f>IFERROR(N183*O183*(1-AJ183), "NA")</f>
        <v>10205.799999999999</v>
      </c>
      <c r="AL183" s="6">
        <f>IFERROR(AK183-R183,"NA")</f>
        <v>4219.4899999999989</v>
      </c>
      <c r="AM183" s="5">
        <f t="shared" si="10"/>
        <v>0.41344039663720622</v>
      </c>
      <c r="AN183" t="str">
        <v>09-09-25</v>
      </c>
      <c r="AO183" t="str">
        <v>10-09-25</v>
      </c>
      <c r="AP183" t="str">
        <f t="shared" si="11"/>
        <v>September</v>
      </c>
      <c r="AQ183" t="str">
        <f t="shared" si="12"/>
        <v>2025</v>
      </c>
      <c r="AR183" t="str">
        <f t="shared" si="13"/>
        <v xml:space="preserve"> </v>
      </c>
      <c r="AS183">
        <f t="shared" si="14"/>
        <v>1</v>
      </c>
      <c r="AT183" t="str">
        <f>IF(COUNTIFS( $A:$A,A183,$B:$B,B183,$C:$C,C183,$D:$D,D183,$E:$E,E183,$F:$F,F183,$G:$G,G183,$H:$H,H183,$I:$I,I183,$J:$J,J183,$K:$K,K183,$L:$L,L183,$M:$M,M183,$T:$T,T183,$U:$U,U183,$W:$W,W183,$Z:$Z,Z183,$AA:$AA,AA183,$AB:$AB,AB183,$AC:$AC,AC183,$AD:$AD,AD183,$AE:$AE,AE183,$AF:$AF,AF183,$AG:$AG,AG183,$AH:$AH,AH183,$AI:$AI,AI183)&gt;1,"Duplicate","Unique")</f>
        <v>Unique</v>
      </c>
    </row>
    <row r="184" spans="1:46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  <c r="W184" t="s">
        <v>992</v>
      </c>
      <c r="Z184" t="s">
        <v>993</v>
      </c>
      <c r="AA184" t="str">
        <v>Ananya Rao</v>
      </c>
      <c r="AB184" t="str">
        <f>TRIM(PROPER(F:F))</f>
        <v>Home Office</v>
      </c>
      <c r="AC184" t="str">
        <f>TRIM(PROPER(G:G))</f>
        <v>East</v>
      </c>
      <c r="AD184" t="str">
        <f>TRIM(PROPER(H:H))</f>
        <v>Bihar</v>
      </c>
      <c r="AE184" t="str">
        <f>TRIM(PROPER(I:I))</f>
        <v>Patna</v>
      </c>
      <c r="AF184" t="str">
        <f>TRIM(PROPER(J:J))</f>
        <v>Technology</v>
      </c>
      <c r="AG184" t="str">
        <f>TRIM(PROPER(K:K))</f>
        <v>Machines</v>
      </c>
      <c r="AH184" t="str">
        <f>TRIM(PROPER(L:L))</f>
        <v>Basic Machines 575</v>
      </c>
      <c r="AI184" t="str">
        <f>TRIM(PROPER(M:M))</f>
        <v>Standard Class</v>
      </c>
      <c r="AJ184" s="5">
        <f>IF(OR(P184&lt;0,P184&gt;0.5),"invalid",P184)</f>
        <v>0</v>
      </c>
      <c r="AK184" s="6">
        <f>IFERROR(N184*O184*(1-AJ184), "NA")</f>
        <v>5430.3899999999994</v>
      </c>
      <c r="AL184" s="6">
        <f>IFERROR(AK184-R184,"NA")</f>
        <v>1722.7299999999996</v>
      </c>
      <c r="AM184" s="5">
        <f t="shared" si="10"/>
        <v>0.31723872502711586</v>
      </c>
      <c r="AN184" t="str">
        <v>16-10-24</v>
      </c>
      <c r="AO184" t="str">
        <v>16-10-24</v>
      </c>
      <c r="AP184" t="str">
        <f t="shared" si="11"/>
        <v>October</v>
      </c>
      <c r="AQ184" t="str">
        <f t="shared" si="12"/>
        <v>2024</v>
      </c>
      <c r="AR184" t="str">
        <f t="shared" si="13"/>
        <v xml:space="preserve"> </v>
      </c>
      <c r="AS184">
        <f t="shared" si="14"/>
        <v>0</v>
      </c>
      <c r="AT184" t="str">
        <f>IF(COUNTIFS( $A:$A,A184,$B:$B,B184,$C:$C,C184,$D:$D,D184,$E:$E,E184,$F:$F,F184,$G:$G,G184,$H:$H,H184,$I:$I,I184,$J:$J,J184,$K:$K,K184,$L:$L,L184,$M:$M,M184,$T:$T,T184,$U:$U,U184,$W:$W,W184,$Z:$Z,Z184,$AA:$AA,AA184,$AB:$AB,AB184,$AC:$AC,AC184,$AD:$AD,AD184,$AE:$AE,AE184,$AF:$AF,AF184,$AG:$AG,AG184,$AH:$AH,AH184,$AI:$AI,AI184)&gt;1,"Duplicate","Unique")</f>
        <v>Unique</v>
      </c>
    </row>
    <row r="185" spans="1:46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  <c r="W185" t="s">
        <v>995</v>
      </c>
      <c r="Z185" t="s">
        <v>998</v>
      </c>
      <c r="AA185" t="str">
        <v>Vikram Iyer</v>
      </c>
      <c r="AB185" t="str">
        <f>TRIM(PROPER(F:F))</f>
        <v>Home Office</v>
      </c>
      <c r="AC185" t="str">
        <f>TRIM(PROPER(G:G))</f>
        <v>South</v>
      </c>
      <c r="AD185" t="str">
        <f>TRIM(PROPER(H:H))</f>
        <v>Telangana</v>
      </c>
      <c r="AE185" t="str">
        <f>TRIM(PROPER(I:I))</f>
        <v>Hyderabad</v>
      </c>
      <c r="AF185" t="str">
        <f>TRIM(PROPER(J:J))</f>
        <v>Technology</v>
      </c>
      <c r="AG185" t="str">
        <f>TRIM(PROPER(K:K))</f>
        <v>Copiers</v>
      </c>
      <c r="AH185" t="str">
        <f>TRIM(PROPER(L:L))</f>
        <v>Elite Copiers 788</v>
      </c>
      <c r="AI185" t="str">
        <f>TRIM(PROPER(M:M))</f>
        <v>Standard Class</v>
      </c>
      <c r="AJ185" s="5">
        <f>IF(OR(P185&lt;0,P185&gt;0.5),"invalid",P185)</f>
        <v>0.2</v>
      </c>
      <c r="AK185" s="6">
        <f>IFERROR(N185*O185*(1-AJ185), "NA")</f>
        <v>12907.216</v>
      </c>
      <c r="AL185" s="6">
        <f>IFERROR(AK185-R185,"NA")</f>
        <v>4579.3260000000009</v>
      </c>
      <c r="AM185" s="5">
        <f t="shared" si="10"/>
        <v>0.3547880503433119</v>
      </c>
      <c r="AN185" t="str">
        <v>24-06-25</v>
      </c>
      <c r="AO185" t="str">
        <v>27-06-25</v>
      </c>
      <c r="AP185" t="str">
        <f t="shared" si="11"/>
        <v>June</v>
      </c>
      <c r="AQ185" t="str">
        <f t="shared" si="12"/>
        <v>2025</v>
      </c>
      <c r="AR185" t="str">
        <f t="shared" si="13"/>
        <v xml:space="preserve"> </v>
      </c>
      <c r="AS185">
        <f t="shared" si="14"/>
        <v>3</v>
      </c>
      <c r="AT185" t="str">
        <f>IF(COUNTIFS( $A:$A,A185,$B:$B,B185,$C:$C,C185,$D:$D,D185,$E:$E,E185,$F:$F,F185,$G:$G,G185,$H:$H,H185,$I:$I,I185,$J:$J,J185,$K:$K,K185,$L:$L,L185,$M:$M,M185,$T:$T,T185,$U:$U,U185,$W:$W,W185,$Z:$Z,Z185,$AA:$AA,AA185,$AB:$AB,AB185,$AC:$AC,AC185,$AD:$AD,AD185,$AE:$AE,AE185,$AF:$AF,AF185,$AG:$AG,AG185,$AH:$AH,AH185,$AI:$AI,AI185)&gt;1,"Duplicate","Unique")</f>
        <v>Unique</v>
      </c>
    </row>
    <row r="186" spans="1:46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  <c r="W186" t="s">
        <v>1000</v>
      </c>
      <c r="Z186" t="s">
        <v>1002</v>
      </c>
      <c r="AA186" t="str">
        <v>Vikram Iyer</v>
      </c>
      <c r="AB186" t="str">
        <f>TRIM(PROPER(F:F))</f>
        <v>Corporate</v>
      </c>
      <c r="AC186" t="str">
        <f>TRIM(PROPER(G:G))</f>
        <v>West</v>
      </c>
      <c r="AD186" t="str">
        <f>TRIM(PROPER(H:H))</f>
        <v>Madhya Pradesh</v>
      </c>
      <c r="AE186" t="str">
        <f>TRIM(PROPER(I:I))</f>
        <v>Indore</v>
      </c>
      <c r="AF186" t="str">
        <f>TRIM(PROPER(J:J))</f>
        <v>Furniture</v>
      </c>
      <c r="AG186" t="str">
        <f>TRIM(PROPER(K:K))</f>
        <v>Bookcases</v>
      </c>
      <c r="AH186" t="str">
        <f>TRIM(PROPER(L:L))</f>
        <v>Max Bookcases 472</v>
      </c>
      <c r="AI186" t="str">
        <f>TRIM(PROPER(M:M))</f>
        <v>Standard Class</v>
      </c>
      <c r="AJ186" s="5">
        <f>IF(OR(P186&lt;0,P186&gt;0.5),"invalid",P186)</f>
        <v>0</v>
      </c>
      <c r="AK186" s="6">
        <f>IFERROR(N186*O186*(1-AJ186), "NA")</f>
        <v>1777.96</v>
      </c>
      <c r="AL186" s="6">
        <f>IFERROR(AK186-R186,"NA")</f>
        <v>756.80000000000007</v>
      </c>
      <c r="AM186" s="5">
        <f t="shared" si="10"/>
        <v>0.42565637022205227</v>
      </c>
      <c r="AN186" t="str">
        <v>02-04-24</v>
      </c>
      <c r="AO186" t="str">
        <v>06-04-24</v>
      </c>
      <c r="AP186" t="str">
        <f t="shared" si="11"/>
        <v>April</v>
      </c>
      <c r="AQ186" t="str">
        <f t="shared" si="12"/>
        <v>2024</v>
      </c>
      <c r="AR186" t="str">
        <f t="shared" si="13"/>
        <v xml:space="preserve"> </v>
      </c>
      <c r="AS186">
        <f t="shared" si="14"/>
        <v>4</v>
      </c>
      <c r="AT186" t="str">
        <f>IF(COUNTIFS( $A:$A,A186,$B:$B,B186,$C:$C,C186,$D:$D,D186,$E:$E,E186,$F:$F,F186,$G:$G,G186,$H:$H,H186,$I:$I,I186,$J:$J,J186,$K:$K,K186,$L:$L,L186,$M:$M,M186,$T:$T,T186,$U:$U,U186,$W:$W,W186,$Z:$Z,Z186,$AA:$AA,AA186,$AB:$AB,AB186,$AC:$AC,AC186,$AD:$AD,AD186,$AE:$AE,AE186,$AF:$AF,AF186,$AG:$AG,AG186,$AH:$AH,AH186,$AI:$AI,AI186)&gt;1,"Duplicate","Unique")</f>
        <v>Unique</v>
      </c>
    </row>
    <row r="187" spans="1:46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  <c r="W187" t="s">
        <v>1004</v>
      </c>
      <c r="Z187" t="s">
        <v>1006</v>
      </c>
      <c r="AA187" t="str">
        <v>Arjun Bose</v>
      </c>
      <c r="AB187" t="str">
        <f>TRIM(PROPER(F:F))</f>
        <v>Consumer</v>
      </c>
      <c r="AC187" t="s">
        <v>4111</v>
      </c>
      <c r="AD187" t="str">
        <f>TRIM(PROPER(H:H))</f>
        <v>Punjab</v>
      </c>
      <c r="AE187" t="str">
        <f>TRIM(PROPER(I:I))</f>
        <v>Ludhiana</v>
      </c>
      <c r="AF187" t="str">
        <f>TRIM(PROPER(J:J))</f>
        <v>Office Supplies</v>
      </c>
      <c r="AG187" t="str">
        <f>TRIM(PROPER(K:K))</f>
        <v>Labels</v>
      </c>
      <c r="AH187" t="str">
        <f>TRIM(PROPER(L:L))</f>
        <v>Smart Labels 475</v>
      </c>
      <c r="AI187" t="str">
        <f>TRIM(PROPER(M:M))</f>
        <v>Second Class</v>
      </c>
      <c r="AJ187" s="5">
        <f>IF(OR(P187&lt;0,P187&gt;0.5),"invalid",P187)</f>
        <v>0.2</v>
      </c>
      <c r="AK187" s="6">
        <f>IFERROR(N187*O187*(1-AJ187), "NA")</f>
        <v>1605.0720000000001</v>
      </c>
      <c r="AL187" s="6">
        <f>IFERROR(AK187-R187,"NA")</f>
        <v>267.79200000000014</v>
      </c>
      <c r="AM187" s="5">
        <f t="shared" si="10"/>
        <v>0.16684111366966722</v>
      </c>
      <c r="AN187" t="str">
        <v>11-05-24</v>
      </c>
      <c r="AO187" t="str">
        <v>13-11-24</v>
      </c>
      <c r="AP187" t="str">
        <f t="shared" si="11"/>
        <v>May</v>
      </c>
      <c r="AQ187" t="str">
        <f t="shared" si="12"/>
        <v>2024</v>
      </c>
      <c r="AR187" t="str">
        <f t="shared" si="13"/>
        <v xml:space="preserve"> </v>
      </c>
      <c r="AS187">
        <f t="shared" si="14"/>
        <v>186</v>
      </c>
      <c r="AT187" t="str">
        <f>IF(COUNTIFS( $A:$A,A187,$B:$B,B187,$C:$C,C187,$D:$D,D187,$E:$E,E187,$F:$F,F187,$G:$G,G187,$H:$H,H187,$I:$I,I187,$J:$J,J187,$K:$K,K187,$L:$L,L187,$M:$M,M187,$T:$T,T187,$U:$U,U187,$W:$W,W187,$Z:$Z,Z187,$AA:$AA,AA187,$AB:$AB,AB187,$AC:$AC,AC187,$AD:$AD,AD187,$AE:$AE,AE187,$AF:$AF,AF187,$AG:$AG,AG187,$AH:$AH,AH187,$AI:$AI,AI187)&gt;1,"Duplicate","Unique")</f>
        <v>Unique</v>
      </c>
    </row>
    <row r="188" spans="1:46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  <c r="W188" t="s">
        <v>1008</v>
      </c>
      <c r="Z188" t="s">
        <v>365</v>
      </c>
      <c r="AA188" t="str">
        <v>Vikram Iyer</v>
      </c>
      <c r="AB188" t="str">
        <f>TRIM(PROPER(F:F))</f>
        <v>Consumer</v>
      </c>
      <c r="AC188" t="str">
        <f>TRIM(PROPER(G:G))</f>
        <v>South</v>
      </c>
      <c r="AD188" t="str">
        <f>TRIM(PROPER(H:H))</f>
        <v>Tamil Nadu</v>
      </c>
      <c r="AE188" t="str">
        <f>TRIM(PROPER(I:I))</f>
        <v>Chennai</v>
      </c>
      <c r="AF188" t="str">
        <f>TRIM(PROPER(J:J))</f>
        <v>Furniture</v>
      </c>
      <c r="AG188" t="str">
        <f>TRIM(PROPER(K:K))</f>
        <v>Tables</v>
      </c>
      <c r="AH188" t="str">
        <f>TRIM(PROPER(L:L))</f>
        <v>Basic Tables 417</v>
      </c>
      <c r="AI188" t="str">
        <f>TRIM(PROPER(M:M))</f>
        <v>First Class</v>
      </c>
      <c r="AJ188" s="5">
        <f>IF(OR(P188&lt;0,P188&gt;0.5),"invalid",P188)</f>
        <v>0.05</v>
      </c>
      <c r="AK188" s="6">
        <f>IFERROR(N188*O188*(1-AJ188), "NA")</f>
        <v>23996.059499999996</v>
      </c>
      <c r="AL188" s="6">
        <f>IFERROR(AK188-R188,"NA")</f>
        <v>3828.7794999999969</v>
      </c>
      <c r="AM188" s="5">
        <f t="shared" si="10"/>
        <v>0.15955867670689838</v>
      </c>
      <c r="AN188" t="str">
        <v>19-07-24</v>
      </c>
      <c r="AO188" t="str">
        <v>20-07-24</v>
      </c>
      <c r="AP188" t="str">
        <f t="shared" si="11"/>
        <v>July</v>
      </c>
      <c r="AQ188" t="str">
        <f t="shared" si="12"/>
        <v>2024</v>
      </c>
      <c r="AR188" t="str">
        <f t="shared" si="13"/>
        <v xml:space="preserve"> </v>
      </c>
      <c r="AS188">
        <f t="shared" si="14"/>
        <v>1</v>
      </c>
      <c r="AT188" t="str">
        <f>IF(COUNTIFS( $A:$A,A188,$B:$B,B188,$C:$C,C188,$D:$D,D188,$E:$E,E188,$F:$F,F188,$G:$G,G188,$H:$H,H188,$I:$I,I188,$J:$J,J188,$K:$K,K188,$L:$L,L188,$M:$M,M188,$T:$T,T188,$U:$U,U188,$W:$W,W188,$Z:$Z,Z188,$AA:$AA,AA188,$AB:$AB,AB188,$AC:$AC,AC188,$AD:$AD,AD188,$AE:$AE,AE188,$AF:$AF,AF188,$AG:$AG,AG188,$AH:$AH,AH188,$AI:$AI,AI188)&gt;1,"Duplicate","Unique")</f>
        <v>Unique</v>
      </c>
    </row>
    <row r="189" spans="1:46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  <c r="W189" t="s">
        <v>1011</v>
      </c>
      <c r="Z189" t="s">
        <v>1014</v>
      </c>
      <c r="AA189" t="str">
        <v>Mira Das</v>
      </c>
      <c r="AB189" t="str">
        <f>TRIM(PROPER(F:F))</f>
        <v>Consumer</v>
      </c>
      <c r="AC189" t="str">
        <f>TRIM(PROPER(G:G))</f>
        <v>West</v>
      </c>
      <c r="AD189" t="str">
        <f>TRIM(PROPER(H:H))</f>
        <v>Madhya Pradesh</v>
      </c>
      <c r="AE189" t="str">
        <f>TRIM(PROPER(I:I))</f>
        <v>Indore</v>
      </c>
      <c r="AF189" t="str">
        <f>TRIM(PROPER(J:J))</f>
        <v>Furniture</v>
      </c>
      <c r="AG189" t="str">
        <f>TRIM(PROPER(K:K))</f>
        <v>Chairs</v>
      </c>
      <c r="AH189" t="str">
        <f>TRIM(PROPER(L:L))</f>
        <v>Pro Chairs 844</v>
      </c>
      <c r="AI189" t="str">
        <f>TRIM(PROPER(M:M))</f>
        <v>Same Day</v>
      </c>
      <c r="AJ189" s="5">
        <f>IF(OR(P189&lt;0,P189&gt;0.5),"invalid",P189)</f>
        <v>0</v>
      </c>
      <c r="AK189" s="6">
        <f>IFERROR(N189*O189*(1-AJ189), "NA")</f>
        <v>8717.2199999999993</v>
      </c>
      <c r="AL189" s="6">
        <f>IFERROR(AK189-R189,"NA")</f>
        <v>2501.2599999999993</v>
      </c>
      <c r="AM189" s="5">
        <f t="shared" si="10"/>
        <v>0.28693321953558582</v>
      </c>
      <c r="AN189" t="str">
        <v>01-05-25</v>
      </c>
      <c r="AO189" t="str">
        <v>02-05-25</v>
      </c>
      <c r="AP189" t="str">
        <f t="shared" si="11"/>
        <v>May</v>
      </c>
      <c r="AQ189" t="str">
        <f t="shared" si="12"/>
        <v>2025</v>
      </c>
      <c r="AR189" t="str">
        <f t="shared" si="13"/>
        <v xml:space="preserve"> </v>
      </c>
      <c r="AS189">
        <f t="shared" si="14"/>
        <v>1</v>
      </c>
      <c r="AT189" t="str">
        <f>IF(COUNTIFS( $A:$A,A189,$B:$B,B189,$C:$C,C189,$D:$D,D189,$E:$E,E189,$F:$F,F189,$G:$G,G189,$H:$H,H189,$I:$I,I189,$J:$J,J189,$K:$K,K189,$L:$L,L189,$M:$M,M189,$T:$T,T189,$U:$U,U189,$W:$W,W189,$Z:$Z,Z189,$AA:$AA,AA189,$AB:$AB,AB189,$AC:$AC,AC189,$AD:$AD,AD189,$AE:$AE,AE189,$AF:$AF,AF189,$AG:$AG,AG189,$AH:$AH,AH189,$AI:$AI,AI189)&gt;1,"Duplicate","Unique")</f>
        <v>Unique</v>
      </c>
    </row>
    <row r="190" spans="1:46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  <c r="W190" t="s">
        <v>1016</v>
      </c>
      <c r="Z190" t="s">
        <v>1019</v>
      </c>
      <c r="AA190" t="str">
        <v>Priya Menon</v>
      </c>
      <c r="AB190" t="str">
        <f>TRIM(PROPER(F:F))</f>
        <v>Corporate</v>
      </c>
      <c r="AC190" t="str">
        <f>TRIM(PROPER(G:G))</f>
        <v>East</v>
      </c>
      <c r="AD190" t="str">
        <f>TRIM(PROPER(H:H))</f>
        <v>West Bengal</v>
      </c>
      <c r="AE190" t="str">
        <f>TRIM(PROPER(I:I))</f>
        <v>Kolkata</v>
      </c>
      <c r="AF190" t="str">
        <f>TRIM(PROPER(J:J))</f>
        <v>Furniture</v>
      </c>
      <c r="AG190" t="str">
        <f>TRIM(PROPER(K:K))</f>
        <v>Bookcases</v>
      </c>
      <c r="AH190" t="str">
        <f>TRIM(PROPER(L:L))</f>
        <v>Elite Bookcases 883</v>
      </c>
      <c r="AI190" t="str">
        <f>TRIM(PROPER(M:M))</f>
        <v>Same Day</v>
      </c>
      <c r="AJ190" s="5">
        <f>IF(OR(P190&lt;0,P190&gt;0.5),"invalid",P190)</f>
        <v>0.1</v>
      </c>
      <c r="AK190" s="6">
        <f>IFERROR(N190*O190*(1-AJ190), "NA")</f>
        <v>6407.2260000000006</v>
      </c>
      <c r="AL190" s="6">
        <f>IFERROR(AK190-R190,"NA")</f>
        <v>1484.1360000000004</v>
      </c>
      <c r="AM190" s="5">
        <f t="shared" si="10"/>
        <v>0.23163471992403581</v>
      </c>
      <c r="AN190" t="str">
        <v>21-05-25</v>
      </c>
      <c r="AO190" t="str">
        <v>28-05-25</v>
      </c>
      <c r="AP190" t="str">
        <f t="shared" si="11"/>
        <v>May</v>
      </c>
      <c r="AQ190" t="str">
        <f t="shared" si="12"/>
        <v>2025</v>
      </c>
      <c r="AR190" t="str">
        <f t="shared" si="13"/>
        <v xml:space="preserve"> </v>
      </c>
      <c r="AS190">
        <f t="shared" si="14"/>
        <v>7</v>
      </c>
      <c r="AT190" t="str">
        <f>IF(COUNTIFS( $A:$A,A190,$B:$B,B190,$C:$C,C190,$D:$D,D190,$E:$E,E190,$F:$F,F190,$G:$G,G190,$H:$H,H190,$I:$I,I190,$J:$J,J190,$K:$K,K190,$L:$L,L190,$M:$M,M190,$T:$T,T190,$U:$U,U190,$W:$W,W190,$Z:$Z,Z190,$AA:$AA,AA190,$AB:$AB,AB190,$AC:$AC,AC190,$AD:$AD,AD190,$AE:$AE,AE190,$AF:$AF,AF190,$AG:$AG,AG190,$AH:$AH,AH190,$AI:$AI,AI190)&gt;1,"Duplicate","Unique")</f>
        <v>Unique</v>
      </c>
    </row>
    <row r="191" spans="1:46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  <c r="W191" t="s">
        <v>1021</v>
      </c>
      <c r="Z191" t="s">
        <v>1024</v>
      </c>
      <c r="AA191" t="str">
        <v>Arjun Bose</v>
      </c>
      <c r="AB191" t="str">
        <f>TRIM(PROPER(F:F))</f>
        <v>Consumer</v>
      </c>
      <c r="AC191" t="str">
        <f>TRIM(PROPER(G:G))</f>
        <v>West</v>
      </c>
      <c r="AD191" t="str">
        <f>TRIM(PROPER(H:H))</f>
        <v>Rajasthan</v>
      </c>
      <c r="AE191" t="str">
        <f>TRIM(PROPER(I:I))</f>
        <v>Udaipur</v>
      </c>
      <c r="AF191" t="str">
        <f>TRIM(PROPER(J:J))</f>
        <v>Furniture</v>
      </c>
      <c r="AG191" t="str">
        <f>TRIM(PROPER(K:K))</f>
        <v>Bookcases</v>
      </c>
      <c r="AH191" t="str">
        <f>TRIM(PROPER(L:L))</f>
        <v>Basic Bookcases 754</v>
      </c>
      <c r="AI191" t="str">
        <f>TRIM(PROPER(M:M))</f>
        <v>First Class</v>
      </c>
      <c r="AJ191" s="5">
        <f>IF(OR(P191&lt;0,P191&gt;0.5),"invalid",P191)</f>
        <v>0</v>
      </c>
      <c r="AK191" s="6">
        <f>IFERROR(N191*O191*(1-AJ191), "NA")</f>
        <v>29864.159999999996</v>
      </c>
      <c r="AL191" s="6">
        <f>IFERROR(AK191-R191,"NA")</f>
        <v>12991.769999999997</v>
      </c>
      <c r="AM191" s="5">
        <f t="shared" si="10"/>
        <v>0.43502881045373448</v>
      </c>
      <c r="AN191" t="str">
        <v>06-05-25</v>
      </c>
      <c r="AO191" t="str">
        <v>07-05-25</v>
      </c>
      <c r="AP191" t="str">
        <f t="shared" si="11"/>
        <v>May</v>
      </c>
      <c r="AQ191" t="str">
        <f t="shared" si="12"/>
        <v>2025</v>
      </c>
      <c r="AR191" t="str">
        <f t="shared" si="13"/>
        <v xml:space="preserve"> </v>
      </c>
      <c r="AS191">
        <f t="shared" si="14"/>
        <v>1</v>
      </c>
      <c r="AT191" t="str">
        <f>IF(COUNTIFS( $A:$A,A191,$B:$B,B191,$C:$C,C191,$D:$D,D191,$E:$E,E191,$F:$F,F191,$G:$G,G191,$H:$H,H191,$I:$I,I191,$J:$J,J191,$K:$K,K191,$L:$L,L191,$M:$M,M191,$T:$T,T191,$U:$U,U191,$W:$W,W191,$Z:$Z,Z191,$AA:$AA,AA191,$AB:$AB,AB191,$AC:$AC,AC191,$AD:$AD,AD191,$AE:$AE,AE191,$AF:$AF,AF191,$AG:$AG,AG191,$AH:$AH,AH191,$AI:$AI,AI191)&gt;1,"Duplicate","Unique")</f>
        <v>Unique</v>
      </c>
    </row>
    <row r="192" spans="1:46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  <c r="W192" t="s">
        <v>1027</v>
      </c>
      <c r="Z192" t="s">
        <v>1030</v>
      </c>
      <c r="AA192" t="str">
        <v>Aditi Sen</v>
      </c>
      <c r="AB192" t="str">
        <f>TRIM(PROPER(F:F))</f>
        <v>Consumer</v>
      </c>
      <c r="AC192" t="str">
        <f>TRIM(PROPER(G:G))</f>
        <v>South</v>
      </c>
      <c r="AD192" t="str">
        <f>TRIM(PROPER(H:H))</f>
        <v>Tamil Nadu</v>
      </c>
      <c r="AE192" t="str">
        <f>TRIM(PROPER(I:I))</f>
        <v>Chennai</v>
      </c>
      <c r="AF192" t="str">
        <f>TRIM(PROPER(J:J))</f>
        <v>Office Supplies</v>
      </c>
      <c r="AG192" t="str">
        <f>TRIM(PROPER(K:K))</f>
        <v>Storage</v>
      </c>
      <c r="AH192" t="str">
        <f>TRIM(PROPER(L:L))</f>
        <v>Eco Storage 158</v>
      </c>
      <c r="AI192" t="str">
        <f>TRIM(PROPER(M:M))</f>
        <v>First Class</v>
      </c>
      <c r="AJ192" s="5">
        <f>IF(OR(P192&lt;0,P192&gt;0.5),"invalid",P192)</f>
        <v>0.1</v>
      </c>
      <c r="AK192" s="6">
        <f>IFERROR(N192*O192*(1-AJ192), "NA")</f>
        <v>1458.2429999999999</v>
      </c>
      <c r="AL192" s="6">
        <f>IFERROR(AK192-R192,"NA")</f>
        <v>514.92299999999989</v>
      </c>
      <c r="AM192" s="5">
        <f t="shared" si="10"/>
        <v>0.35311192990468659</v>
      </c>
      <c r="AN192" t="str">
        <v>20-04-25</v>
      </c>
      <c r="AO192" t="str">
        <v>invalid date</v>
      </c>
      <c r="AP192" t="str">
        <f t="shared" si="11"/>
        <v>April</v>
      </c>
      <c r="AQ192" t="str">
        <f t="shared" si="12"/>
        <v>2025</v>
      </c>
      <c r="AR192" t="str">
        <f t="shared" si="13"/>
        <v>Invalid</v>
      </c>
      <c r="AS192" t="str">
        <f t="shared" si="14"/>
        <v>invalid date</v>
      </c>
      <c r="AT192" t="str">
        <f>IF(COUNTIFS( $A:$A,A192,$B:$B,B192,$C:$C,C192,$D:$D,D192,$E:$E,E192,$F:$F,F192,$G:$G,G192,$H:$H,H192,$I:$I,I192,$J:$J,J192,$K:$K,K192,$L:$L,L192,$M:$M,M192,$T:$T,T192,$U:$U,U192,$W:$W,W192,$Z:$Z,Z192,$AA:$AA,AA192,$AB:$AB,AB192,$AC:$AC,AC192,$AD:$AD,AD192,$AE:$AE,AE192,$AF:$AF,AF192,$AG:$AG,AG192,$AH:$AH,AH192,$AI:$AI,AI192)&gt;1,"Duplicate","Unique")</f>
        <v>Unique</v>
      </c>
    </row>
    <row r="193" spans="1:46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  <c r="W193" t="s">
        <v>1032</v>
      </c>
      <c r="Z193" t="s">
        <v>1034</v>
      </c>
      <c r="AA193" t="str">
        <v>Sneha Kapoor</v>
      </c>
      <c r="AB193" t="str">
        <f>TRIM(PROPER(F:F))</f>
        <v>Small Business</v>
      </c>
      <c r="AC193" t="str">
        <f>TRIM(PROPER(G:G))</f>
        <v>South</v>
      </c>
      <c r="AD193" t="str">
        <f>TRIM(PROPER(H:H))</f>
        <v>Tamil Nadu</v>
      </c>
      <c r="AE193" t="str">
        <f>TRIM(PROPER(I:I))</f>
        <v>Chennai</v>
      </c>
      <c r="AF193" t="str">
        <f>TRIM(PROPER(J:J))</f>
        <v>Furniture</v>
      </c>
      <c r="AG193" t="str">
        <f>TRIM(PROPER(K:K))</f>
        <v>Bookcases</v>
      </c>
      <c r="AH193" t="str">
        <f>TRIM(PROPER(L:L))</f>
        <v>Prime Bookcases 602</v>
      </c>
      <c r="AI193" t="str">
        <f>TRIM(PROPER(M:M))</f>
        <v>Second Class</v>
      </c>
      <c r="AJ193" s="5" t="str">
        <f>IF(OR(P193&lt;0,P193&gt;0.5),"invalid",P193)</f>
        <v>invalid</v>
      </c>
      <c r="AK193" s="6" t="str">
        <f>IFERROR(N193*O193*(1-AJ193), "NA")</f>
        <v>NA</v>
      </c>
      <c r="AL193" s="6" t="str">
        <f>IFERROR(AK193-R193,"NA")</f>
        <v>NA</v>
      </c>
      <c r="AM193" s="5" t="str">
        <f t="shared" si="10"/>
        <v>NA</v>
      </c>
      <c r="AN193" t="str">
        <v>19-10-24</v>
      </c>
      <c r="AO193" t="str">
        <v>24-10-24</v>
      </c>
      <c r="AP193" t="str">
        <f t="shared" si="11"/>
        <v>October</v>
      </c>
      <c r="AQ193" t="str">
        <f t="shared" si="12"/>
        <v>2024</v>
      </c>
      <c r="AR193" t="str">
        <f t="shared" si="13"/>
        <v xml:space="preserve"> </v>
      </c>
      <c r="AS193">
        <f t="shared" si="14"/>
        <v>5</v>
      </c>
      <c r="AT193" t="str">
        <f>IF(COUNTIFS( $A:$A,A193,$B:$B,B193,$C:$C,C193,$D:$D,D193,$E:$E,E193,$F:$F,F193,$G:$G,G193,$H:$H,H193,$I:$I,I193,$J:$J,J193,$K:$K,K193,$L:$L,L193,$M:$M,M193,$T:$T,T193,$U:$U,U193,$W:$W,W193,$Z:$Z,Z193,$AA:$AA,AA193,$AB:$AB,AB193,$AC:$AC,AC193,$AD:$AD,AD193,$AE:$AE,AE193,$AF:$AF,AF193,$AG:$AG,AG193,$AH:$AH,AH193,$AI:$AI,AI193)&gt;1,"Duplicate","Unique")</f>
        <v>Unique</v>
      </c>
    </row>
    <row r="194" spans="1:46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  <c r="W194" t="s">
        <v>1036</v>
      </c>
      <c r="Z194" t="s">
        <v>1039</v>
      </c>
      <c r="AA194" t="str">
        <v>Isha Nair</v>
      </c>
      <c r="AB194" t="str">
        <f>TRIM(PROPER(F:F))</f>
        <v>Home Office</v>
      </c>
      <c r="AC194" t="str">
        <f>TRIM(PROPER(G:G))</f>
        <v>West</v>
      </c>
      <c r="AD194" t="str">
        <f>TRIM(PROPER(H:H))</f>
        <v>Gujarat</v>
      </c>
      <c r="AE194" t="str">
        <f>TRIM(PROPER(I:I))</f>
        <v>Ahmedabad</v>
      </c>
      <c r="AF194" t="str">
        <f>TRIM(PROPER(J:J))</f>
        <v>Furniture</v>
      </c>
      <c r="AG194" t="str">
        <f>TRIM(PROPER(K:K))</f>
        <v>Chairs</v>
      </c>
      <c r="AH194" t="str">
        <f>TRIM(PROPER(L:L))</f>
        <v>Eco Chairs 438</v>
      </c>
      <c r="AI194" t="str">
        <f>TRIM(PROPER(M:M))</f>
        <v>First Class</v>
      </c>
      <c r="AJ194" s="5">
        <f>IF(OR(P194&lt;0,P194&gt;0.5),"invalid",P194)</f>
        <v>0</v>
      </c>
      <c r="AK194" s="6">
        <f>IFERROR(N194*O194*(1-AJ194), "NA")</f>
        <v>8764.1200000000008</v>
      </c>
      <c r="AL194" s="6">
        <f>IFERROR(AK194-R194,"NA")</f>
        <v>1544.0700000000006</v>
      </c>
      <c r="AM194" s="5">
        <f t="shared" si="10"/>
        <v>0.17618083732308554</v>
      </c>
      <c r="AN194" t="str">
        <v>09-12-24</v>
      </c>
      <c r="AO194" t="str">
        <v>invalid date</v>
      </c>
      <c r="AP194" t="str">
        <f t="shared" si="11"/>
        <v>December</v>
      </c>
      <c r="AQ194" t="str">
        <f t="shared" si="12"/>
        <v>2024</v>
      </c>
      <c r="AR194" t="str">
        <f t="shared" si="13"/>
        <v>Invalid</v>
      </c>
      <c r="AS194" t="str">
        <f t="shared" si="14"/>
        <v>invalid date</v>
      </c>
      <c r="AT194" t="str">
        <f>IF(COUNTIFS( $A:$A,A194,$B:$B,B194,$C:$C,C194,$D:$D,D194,$E:$E,E194,$F:$F,F194,$G:$G,G194,$H:$H,H194,$I:$I,I194,$J:$J,J194,$K:$K,K194,$L:$L,L194,$M:$M,M194,$T:$T,T194,$U:$U,U194,$W:$W,W194,$Z:$Z,Z194,$AA:$AA,AA194,$AB:$AB,AB194,$AC:$AC,AC194,$AD:$AD,AD194,$AE:$AE,AE194,$AF:$AF,AF194,$AG:$AG,AG194,$AH:$AH,AH194,$AI:$AI,AI194)&gt;1,"Duplicate","Unique")</f>
        <v>Unique</v>
      </c>
    </row>
    <row r="195" spans="1:46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  <c r="W195" t="s">
        <v>1041</v>
      </c>
      <c r="Z195" t="s">
        <v>1044</v>
      </c>
      <c r="AA195" t="str">
        <v>Priya Menon</v>
      </c>
      <c r="AB195" t="str">
        <f>TRIM(PROPER(F:F))</f>
        <v>Small Business</v>
      </c>
      <c r="AC195" t="str">
        <f>TRIM(PROPER(G:G))</f>
        <v>North</v>
      </c>
      <c r="AD195" t="str">
        <f>TRIM(PROPER(H:H))</f>
        <v>Punjab</v>
      </c>
      <c r="AE195" t="str">
        <f>TRIM(PROPER(I:I))</f>
        <v>Ludhiana</v>
      </c>
      <c r="AF195" t="str">
        <f>TRIM(PROPER(J:J))</f>
        <v>Technology</v>
      </c>
      <c r="AG195" t="str">
        <f>TRIM(PROPER(K:K))</f>
        <v>Copiers</v>
      </c>
      <c r="AH195" t="str">
        <f>TRIM(PROPER(L:L))</f>
        <v>Prime Copiers 142</v>
      </c>
      <c r="AI195" t="str">
        <f>TRIM(PROPER(M:M))</f>
        <v>Same Day</v>
      </c>
      <c r="AJ195" s="5">
        <f>IF(OR(P195&lt;0,P195&gt;0.5),"invalid",P195)</f>
        <v>0.2</v>
      </c>
      <c r="AK195" s="6">
        <f>IFERROR(N195*O195*(1-AJ195), "NA")</f>
        <v>9391.8240000000005</v>
      </c>
      <c r="AL195" s="6">
        <f>IFERROR(AK195-R195,"NA")</f>
        <v>3378.6040000000003</v>
      </c>
      <c r="AM195" s="5">
        <f t="shared" ref="AM195:AM258" si="15">IFERROR(AL195/AK195,"NA")</f>
        <v>0.35973885370935399</v>
      </c>
      <c r="AN195" t="str">
        <v>23-06-24</v>
      </c>
      <c r="AO195" t="str">
        <v>28-06-24</v>
      </c>
      <c r="AP195" t="str">
        <f t="shared" ref="AP195:AP258" si="16">TEXT(AN195,"mmmm")</f>
        <v>June</v>
      </c>
      <c r="AQ195" t="str">
        <f t="shared" ref="AQ195:AQ258" si="17">TEXT(AN195,"yyyy")</f>
        <v>2024</v>
      </c>
      <c r="AR195" t="str">
        <f t="shared" ref="AR195:AR258" si="18">IF(OR(AN195="Invalid Date",AO195="Invalid Date"),"Invalid",(IF(AO195&lt;AN195,"anomaly"," ")))</f>
        <v xml:space="preserve"> </v>
      </c>
      <c r="AS195">
        <f t="shared" ref="AS195:AS258" si="19">IFERROR(AO195-AN195, "invalid date")</f>
        <v>5</v>
      </c>
      <c r="AT195" t="str">
        <f>IF(COUNTIFS( $A:$A,A195,$B:$B,B195,$C:$C,C195,$D:$D,D195,$E:$E,E195,$F:$F,F195,$G:$G,G195,$H:$H,H195,$I:$I,I195,$J:$J,J195,$K:$K,K195,$L:$L,L195,$M:$M,M195,$T:$T,T195,$U:$U,U195,$W:$W,W195,$Z:$Z,Z195,$AA:$AA,AA195,$AB:$AB,AB195,$AC:$AC,AC195,$AD:$AD,AD195,$AE:$AE,AE195,$AF:$AF,AF195,$AG:$AG,AG195,$AH:$AH,AH195,$AI:$AI,AI195)&gt;1,"Duplicate","Unique")</f>
        <v>Unique</v>
      </c>
    </row>
    <row r="196" spans="1:46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  <c r="W196" t="s">
        <v>1046</v>
      </c>
      <c r="Z196" t="s">
        <v>1049</v>
      </c>
      <c r="AA196" t="str">
        <v>Priya Menon</v>
      </c>
      <c r="AB196" t="str">
        <f>TRIM(PROPER(F:F))</f>
        <v>Consumer</v>
      </c>
      <c r="AC196" t="str">
        <f>TRIM(PROPER(G:G))</f>
        <v>West</v>
      </c>
      <c r="AD196" t="str">
        <f>TRIM(PROPER(H:H))</f>
        <v>Maharashtra</v>
      </c>
      <c r="AE196" t="str">
        <f>TRIM(PROPER(I:I))</f>
        <v>Mumbai</v>
      </c>
      <c r="AF196" t="str">
        <f>TRIM(PROPER(J:J))</f>
        <v>Furniture</v>
      </c>
      <c r="AG196" t="str">
        <f>TRIM(PROPER(K:K))</f>
        <v>Furnishings</v>
      </c>
      <c r="AH196" t="str">
        <f>TRIM(PROPER(L:L))</f>
        <v>Prime Furnishings 433</v>
      </c>
      <c r="AI196" t="str">
        <f>TRIM(PROPER(M:M))</f>
        <v>First Class</v>
      </c>
      <c r="AJ196" s="5">
        <f>IF(OR(P196&lt;0,P196&gt;0.5),"invalid",P196)</f>
        <v>0.05</v>
      </c>
      <c r="AK196" s="6">
        <f>IFERROR(N196*O196*(1-AJ196), "NA")</f>
        <v>7339.2344999999996</v>
      </c>
      <c r="AL196" s="6">
        <f>IFERROR(AK196-R196,"NA")</f>
        <v>1905.1144999999997</v>
      </c>
      <c r="AM196" s="5">
        <f t="shared" si="15"/>
        <v>0.25957945614082772</v>
      </c>
      <c r="AN196" t="str">
        <v>28-01-25</v>
      </c>
      <c r="AO196" t="str">
        <v>invalid date</v>
      </c>
      <c r="AP196" t="str">
        <f t="shared" si="16"/>
        <v>January</v>
      </c>
      <c r="AQ196" t="str">
        <f t="shared" si="17"/>
        <v>2025</v>
      </c>
      <c r="AR196" t="str">
        <f t="shared" si="18"/>
        <v>Invalid</v>
      </c>
      <c r="AS196" t="str">
        <f t="shared" si="19"/>
        <v>invalid date</v>
      </c>
      <c r="AT196" t="str">
        <f>IF(COUNTIFS( $A:$A,A196,$B:$B,B196,$C:$C,C196,$D:$D,D196,$E:$E,E196,$F:$F,F196,$G:$G,G196,$H:$H,H196,$I:$I,I196,$J:$J,J196,$K:$K,K196,$L:$L,L196,$M:$M,M196,$T:$T,T196,$U:$U,U196,$W:$W,W196,$Z:$Z,Z196,$AA:$AA,AA196,$AB:$AB,AB196,$AC:$AC,AC196,$AD:$AD,AD196,$AE:$AE,AE196,$AF:$AF,AF196,$AG:$AG,AG196,$AH:$AH,AH196,$AI:$AI,AI196)&gt;1,"Duplicate","Unique")</f>
        <v>Unique</v>
      </c>
    </row>
    <row r="197" spans="1:46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  <c r="W197" t="s">
        <v>1052</v>
      </c>
      <c r="Z197" t="s">
        <v>1055</v>
      </c>
      <c r="AA197" t="str">
        <v>Neha Gupta</v>
      </c>
      <c r="AB197" t="str">
        <f>TRIM(PROPER(F:F))</f>
        <v>Home Office</v>
      </c>
      <c r="AC197" t="str">
        <f>TRIM(PROPER(G:G))</f>
        <v>South</v>
      </c>
      <c r="AD197" t="str">
        <f>TRIM(PROPER(H:H))</f>
        <v>Andhra Pradesh</v>
      </c>
      <c r="AE197" t="str">
        <f>TRIM(PROPER(I:I))</f>
        <v>Vijayawada</v>
      </c>
      <c r="AF197" t="str">
        <f>TRIM(PROPER(J:J))</f>
        <v>Furniture</v>
      </c>
      <c r="AG197" t="str">
        <f>TRIM(PROPER(K:K))</f>
        <v>Furnishings</v>
      </c>
      <c r="AH197" t="str">
        <f>TRIM(PROPER(L:L))</f>
        <v>Smart Furnishings 685</v>
      </c>
      <c r="AI197" t="str">
        <f>TRIM(PROPER(M:M))</f>
        <v>Same Day</v>
      </c>
      <c r="AJ197" s="5">
        <f>IF(OR(P197&lt;0,P197&gt;0.5),"invalid",P197)</f>
        <v>0</v>
      </c>
      <c r="AK197" s="6">
        <f>IFERROR(N197*O197*(1-AJ197), "NA")</f>
        <v>9614.15</v>
      </c>
      <c r="AL197" s="6">
        <f>IFERROR(AK197-R197,"NA")</f>
        <v>2037.3099999999995</v>
      </c>
      <c r="AM197" s="5">
        <f t="shared" si="15"/>
        <v>0.21190744891644084</v>
      </c>
      <c r="AN197" t="str">
        <v>22-07-25</v>
      </c>
      <c r="AO197" t="str">
        <v>invalid date</v>
      </c>
      <c r="AP197" t="str">
        <f t="shared" si="16"/>
        <v>July</v>
      </c>
      <c r="AQ197" t="str">
        <f t="shared" si="17"/>
        <v>2025</v>
      </c>
      <c r="AR197" t="str">
        <f t="shared" si="18"/>
        <v>Invalid</v>
      </c>
      <c r="AS197" t="str">
        <f t="shared" si="19"/>
        <v>invalid date</v>
      </c>
      <c r="AT197" t="str">
        <f>IF(COUNTIFS( $A:$A,A197,$B:$B,B197,$C:$C,C197,$D:$D,D197,$E:$E,E197,$F:$F,F197,$G:$G,G197,$H:$H,H197,$I:$I,I197,$J:$J,J197,$K:$K,K197,$L:$L,L197,$M:$M,M197,$T:$T,T197,$U:$U,U197,$W:$W,W197,$Z:$Z,Z197,$AA:$AA,AA197,$AB:$AB,AB197,$AC:$AC,AC197,$AD:$AD,AD197,$AE:$AE,AE197,$AF:$AF,AF197,$AG:$AG,AG197,$AH:$AH,AH197,$AI:$AI,AI197)&gt;1,"Duplicate","Unique")</f>
        <v>Unique</v>
      </c>
    </row>
    <row r="198" spans="1:46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  <c r="W198" t="s">
        <v>1057</v>
      </c>
      <c r="Z198" t="s">
        <v>1060</v>
      </c>
      <c r="AA198" t="str">
        <v>Kabir Singh</v>
      </c>
      <c r="AB198" t="str">
        <f>TRIM(PROPER(F:F))</f>
        <v>Home Office</v>
      </c>
      <c r="AC198" t="str">
        <f>TRIM(PROPER(G:G))</f>
        <v>North</v>
      </c>
      <c r="AD198" t="str">
        <f>TRIM(PROPER(H:H))</f>
        <v>Uttar Pradesh</v>
      </c>
      <c r="AE198" t="str">
        <f>TRIM(PROPER(I:I))</f>
        <v>Noida</v>
      </c>
      <c r="AF198" t="str">
        <f>TRIM(PROPER(J:J))</f>
        <v>Office Supplies</v>
      </c>
      <c r="AG198" t="str">
        <f>TRIM(PROPER(K:K))</f>
        <v>Storage</v>
      </c>
      <c r="AH198" t="str">
        <f>TRIM(PROPER(L:L))</f>
        <v>Elite Storage 915</v>
      </c>
      <c r="AI198" t="str">
        <f>TRIM(PROPER(M:M))</f>
        <v>First Class</v>
      </c>
      <c r="AJ198" s="5">
        <f>IF(OR(P198&lt;0,P198&gt;0.5),"invalid",P198)</f>
        <v>0.1</v>
      </c>
      <c r="AK198" s="6">
        <f>IFERROR(N198*O198*(1-AJ198), "NA")</f>
        <v>3272.4810000000002</v>
      </c>
      <c r="AL198" s="6">
        <f>IFERROR(AK198-R198,"NA")</f>
        <v>755.04100000000017</v>
      </c>
      <c r="AM198" s="5">
        <f t="shared" si="15"/>
        <v>0.23072433422837293</v>
      </c>
      <c r="AN198" t="str">
        <v>22-01-24</v>
      </c>
      <c r="AO198" t="str">
        <v>25-01-24</v>
      </c>
      <c r="AP198" t="str">
        <f t="shared" si="16"/>
        <v>January</v>
      </c>
      <c r="AQ198" t="str">
        <f t="shared" si="17"/>
        <v>2024</v>
      </c>
      <c r="AR198" t="str">
        <f t="shared" si="18"/>
        <v xml:space="preserve"> </v>
      </c>
      <c r="AS198">
        <f t="shared" si="19"/>
        <v>3</v>
      </c>
      <c r="AT198" t="str">
        <f>IF(COUNTIFS( $A:$A,A198,$B:$B,B198,$C:$C,C198,$D:$D,D198,$E:$E,E198,$F:$F,F198,$G:$G,G198,$H:$H,H198,$I:$I,I198,$J:$J,J198,$K:$K,K198,$L:$L,L198,$M:$M,M198,$T:$T,T198,$U:$U,U198,$W:$W,W198,$Z:$Z,Z198,$AA:$AA,AA198,$AB:$AB,AB198,$AC:$AC,AC198,$AD:$AD,AD198,$AE:$AE,AE198,$AF:$AF,AF198,$AG:$AG,AG198,$AH:$AH,AH198,$AI:$AI,AI198)&gt;1,"Duplicate","Unique")</f>
        <v>Unique</v>
      </c>
    </row>
    <row r="199" spans="1:46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  <c r="W199" t="s">
        <v>1062</v>
      </c>
      <c r="Z199" t="s">
        <v>564</v>
      </c>
      <c r="AA199" t="str">
        <v>Rahul Verma</v>
      </c>
      <c r="AB199" t="str">
        <f>TRIM(PROPER(F:F))</f>
        <v>Small Business</v>
      </c>
      <c r="AC199" t="str">
        <f>TRIM(PROPER(G:G))</f>
        <v>East</v>
      </c>
      <c r="AD199" t="str">
        <f>TRIM(PROPER(H:H))</f>
        <v>Bihar</v>
      </c>
      <c r="AE199" t="str">
        <f>TRIM(PROPER(I:I))</f>
        <v>Patna</v>
      </c>
      <c r="AF199" t="str">
        <f>TRIM(PROPER(J:J))</f>
        <v>Office Supplies</v>
      </c>
      <c r="AG199" t="str">
        <f>TRIM(PROPER(K:K))</f>
        <v>Storage</v>
      </c>
      <c r="AH199" t="str">
        <f>TRIM(PROPER(L:L))</f>
        <v>Basic Storage 961</v>
      </c>
      <c r="AI199" t="str">
        <f>TRIM(PROPER(M:M))</f>
        <v>Second Class</v>
      </c>
      <c r="AJ199" s="5">
        <f>IF(OR(P199&lt;0,P199&gt;0.5),"invalid",P199)</f>
        <v>0.15</v>
      </c>
      <c r="AK199" s="6">
        <f>IFERROR(N199*O199*(1-AJ199), "NA")</f>
        <v>17409.869999999995</v>
      </c>
      <c r="AL199" s="6">
        <f>IFERROR(AK199-R199,"NA")</f>
        <v>3333.6199999999953</v>
      </c>
      <c r="AM199" s="5">
        <f t="shared" si="15"/>
        <v>0.19147874165631312</v>
      </c>
      <c r="AN199" t="str">
        <v>31-03-25</v>
      </c>
      <c r="AO199" t="str">
        <v>07-04-25</v>
      </c>
      <c r="AP199" t="str">
        <f t="shared" si="16"/>
        <v>March</v>
      </c>
      <c r="AQ199" t="str">
        <f t="shared" si="17"/>
        <v>2025</v>
      </c>
      <c r="AR199" t="str">
        <f t="shared" si="18"/>
        <v>anomaly</v>
      </c>
      <c r="AS199">
        <f t="shared" si="19"/>
        <v>7</v>
      </c>
      <c r="AT199" t="str">
        <f>IF(COUNTIFS( $A:$A,A199,$B:$B,B199,$C:$C,C199,$D:$D,D199,$E:$E,E199,$F:$F,F199,$G:$G,G199,$H:$H,H199,$I:$I,I199,$J:$J,J199,$K:$K,K199,$L:$L,L199,$M:$M,M199,$T:$T,T199,$U:$U,U199,$W:$W,W199,$Z:$Z,Z199,$AA:$AA,AA199,$AB:$AB,AB199,$AC:$AC,AC199,$AD:$AD,AD199,$AE:$AE,AE199,$AF:$AF,AF199,$AG:$AG,AG199,$AH:$AH,AH199,$AI:$AI,AI199)&gt;1,"Duplicate","Unique")</f>
        <v>Unique</v>
      </c>
    </row>
    <row r="200" spans="1:46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  <c r="W200" t="s">
        <v>1065</v>
      </c>
      <c r="Z200" t="s">
        <v>1068</v>
      </c>
      <c r="AA200" t="str">
        <v>Sneha Kapoor</v>
      </c>
      <c r="AB200" t="str">
        <f>TRIM(PROPER(F:F))</f>
        <v>Consumer</v>
      </c>
      <c r="AC200" t="str">
        <f>TRIM(PROPER(G:G))</f>
        <v>West</v>
      </c>
      <c r="AD200" t="str">
        <f>TRIM(PROPER(H:H))</f>
        <v>Gujarat</v>
      </c>
      <c r="AE200" t="str">
        <f>TRIM(PROPER(I:I))</f>
        <v>Ahmedabad</v>
      </c>
      <c r="AF200" t="str">
        <f>TRIM(PROPER(J:J))</f>
        <v>Office Supplies</v>
      </c>
      <c r="AG200" t="str">
        <f>TRIM(PROPER(K:K))</f>
        <v>Art</v>
      </c>
      <c r="AH200" t="str">
        <f>TRIM(PROPER(L:L))</f>
        <v>Classic Art 968</v>
      </c>
      <c r="AI200" t="str">
        <f>TRIM(PROPER(M:M))</f>
        <v>Second Class</v>
      </c>
      <c r="AJ200" s="5">
        <f>IF(OR(P200&lt;0,P200&gt;0.5),"invalid",P200)</f>
        <v>0.05</v>
      </c>
      <c r="AK200" s="6">
        <f>IFERROR(N200*O200*(1-AJ200), "NA")</f>
        <v>1125.3509999999999</v>
      </c>
      <c r="AL200" s="6">
        <f>IFERROR(AK200-R200,"NA")</f>
        <v>448.38099999999986</v>
      </c>
      <c r="AM200" s="5">
        <f t="shared" si="15"/>
        <v>0.39843657667696558</v>
      </c>
      <c r="AN200" t="str">
        <v>05-06-24</v>
      </c>
      <c r="AO200" t="str">
        <v>06-06-24</v>
      </c>
      <c r="AP200" t="str">
        <f t="shared" si="16"/>
        <v>June</v>
      </c>
      <c r="AQ200" t="str">
        <f t="shared" si="17"/>
        <v>2024</v>
      </c>
      <c r="AR200" t="str">
        <f t="shared" si="18"/>
        <v xml:space="preserve"> </v>
      </c>
      <c r="AS200">
        <f t="shared" si="19"/>
        <v>1</v>
      </c>
      <c r="AT200" t="str">
        <f>IF(COUNTIFS( $A:$A,A200,$B:$B,B200,$C:$C,C200,$D:$D,D200,$E:$E,E200,$F:$F,F200,$G:$G,G200,$H:$H,H200,$I:$I,I200,$J:$J,J200,$K:$K,K200,$L:$L,L200,$M:$M,M200,$T:$T,T200,$U:$U,U200,$W:$W,W200,$Z:$Z,Z200,$AA:$AA,AA200,$AB:$AB,AB200,$AC:$AC,AC200,$AD:$AD,AD200,$AE:$AE,AE200,$AF:$AF,AF200,$AG:$AG,AG200,$AH:$AH,AH200,$AI:$AI,AI200)&gt;1,"Duplicate","Unique")</f>
        <v>Unique</v>
      </c>
    </row>
    <row r="201" spans="1:46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  <c r="W201" t="s">
        <v>1070</v>
      </c>
      <c r="Z201" t="s">
        <v>1072</v>
      </c>
      <c r="AA201" t="str">
        <v>Rahul Verma</v>
      </c>
      <c r="AB201" t="str">
        <f>TRIM(PROPER(F:F))</f>
        <v>Home Office</v>
      </c>
      <c r="AC201" t="str">
        <f>TRIM(PROPER(G:G))</f>
        <v>East</v>
      </c>
      <c r="AD201" t="str">
        <f>TRIM(PROPER(H:H))</f>
        <v>Bihar</v>
      </c>
      <c r="AE201" t="str">
        <f>TRIM(PROPER(I:I))</f>
        <v>Patna</v>
      </c>
      <c r="AF201" t="str">
        <f>TRIM(PROPER(J:J))</f>
        <v>Technology</v>
      </c>
      <c r="AG201" t="str">
        <f>TRIM(PROPER(K:K))</f>
        <v>Machines</v>
      </c>
      <c r="AH201" t="str">
        <f>TRIM(PROPER(L:L))</f>
        <v>Prime Machines 806</v>
      </c>
      <c r="AI201" t="s">
        <v>4095</v>
      </c>
      <c r="AJ201" s="5">
        <f>IF(OR(P201&lt;0,P201&gt;0.5),"invalid",P201)</f>
        <v>0.25</v>
      </c>
      <c r="AK201" s="6">
        <f>IFERROR(N201*O201*(1-AJ201), "NA")</f>
        <v>9835.11</v>
      </c>
      <c r="AL201" s="6">
        <f>IFERROR(AK201-R201,"NA")</f>
        <v>4397.47</v>
      </c>
      <c r="AM201" s="5">
        <f t="shared" si="15"/>
        <v>0.44711955433136996</v>
      </c>
      <c r="AN201" t="str">
        <v>03-12-24</v>
      </c>
      <c r="AO201" t="str">
        <v>12-03-24</v>
      </c>
      <c r="AP201" t="str">
        <f t="shared" si="16"/>
        <v>December</v>
      </c>
      <c r="AQ201" t="str">
        <f t="shared" si="17"/>
        <v>2024</v>
      </c>
      <c r="AR201" t="str">
        <f t="shared" si="18"/>
        <v xml:space="preserve"> </v>
      </c>
      <c r="AS201">
        <f t="shared" si="19"/>
        <v>-266</v>
      </c>
      <c r="AT201" t="str">
        <f>IF(COUNTIFS( $A:$A,A201,$B:$B,B201,$C:$C,C201,$D:$D,D201,$E:$E,E201,$F:$F,F201,$G:$G,G201,$H:$H,H201,$I:$I,I201,$J:$J,J201,$K:$K,K201,$L:$L,L201,$M:$M,M201,$T:$T,T201,$U:$U,U201,$W:$W,W201,$Z:$Z,Z201,$AA:$AA,AA201,$AB:$AB,AB201,$AC:$AC,AC201,$AD:$AD,AD201,$AE:$AE,AE201,$AF:$AF,AF201,$AG:$AG,AG201,$AH:$AH,AH201,$AI:$AI,AI201)&gt;1,"Duplicate","Unique")</f>
        <v>Unique</v>
      </c>
    </row>
    <row r="202" spans="1:46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  <c r="W202" t="s">
        <v>1074</v>
      </c>
      <c r="Z202" t="s">
        <v>1076</v>
      </c>
      <c r="AA202" t="str">
        <v>Priya Menon</v>
      </c>
      <c r="AB202" t="str">
        <f>TRIM(PROPER(F:F))</f>
        <v>Small Business</v>
      </c>
      <c r="AC202" t="str">
        <f>TRIM(PROPER(G:G))</f>
        <v>North</v>
      </c>
      <c r="AD202" t="str">
        <f>TRIM(PROPER(H:H))</f>
        <v>Rajasthan</v>
      </c>
      <c r="AE202" t="str">
        <f>TRIM(PROPER(I:I))</f>
        <v>Jaipur</v>
      </c>
      <c r="AF202" t="str">
        <f>TRIM(PROPER(J:J))</f>
        <v>Technology</v>
      </c>
      <c r="AG202" t="str">
        <f>TRIM(PROPER(K:K))</f>
        <v>Copiers</v>
      </c>
      <c r="AH202" t="str">
        <f>TRIM(PROPER(L:L))</f>
        <v>Classic Copiers 479</v>
      </c>
      <c r="AI202" t="str">
        <f>TRIM(PROPER(M:M))</f>
        <v>First Class</v>
      </c>
      <c r="AJ202" s="5">
        <f>IF(OR(P202&lt;0,P202&gt;0.5),"invalid",P202)</f>
        <v>0.1</v>
      </c>
      <c r="AK202" s="6">
        <f>IFERROR(N202*O202*(1-AJ202), "NA")</f>
        <v>12907.980000000001</v>
      </c>
      <c r="AL202" s="6">
        <f>IFERROR(AK202-R202,"NA")</f>
        <v>3710.9000000000015</v>
      </c>
      <c r="AM202" s="5">
        <f t="shared" si="15"/>
        <v>0.28748882474252369</v>
      </c>
      <c r="AN202" t="str">
        <v>27-06-25</v>
      </c>
      <c r="AO202" t="str">
        <v>05-07-25</v>
      </c>
      <c r="AP202" t="str">
        <f t="shared" si="16"/>
        <v>June</v>
      </c>
      <c r="AQ202" t="str">
        <f t="shared" si="17"/>
        <v>2025</v>
      </c>
      <c r="AR202" t="str">
        <f t="shared" si="18"/>
        <v>anomaly</v>
      </c>
      <c r="AS202">
        <f t="shared" si="19"/>
        <v>8</v>
      </c>
      <c r="AT202" t="str">
        <f>IF(COUNTIFS( $A:$A,A202,$B:$B,B202,$C:$C,C202,$D:$D,D202,$E:$E,E202,$F:$F,F202,$G:$G,G202,$H:$H,H202,$I:$I,I202,$J:$J,J202,$K:$K,K202,$L:$L,L202,$M:$M,M202,$T:$T,T202,$U:$U,U202,$W:$W,W202,$Z:$Z,Z202,$AA:$AA,AA202,$AB:$AB,AB202,$AC:$AC,AC202,$AD:$AD,AD202,$AE:$AE,AE202,$AF:$AF,AF202,$AG:$AG,AG202,$AH:$AH,AH202,$AI:$AI,AI202)&gt;1,"Duplicate","Unique")</f>
        <v>Unique</v>
      </c>
    </row>
    <row r="203" spans="1:46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  <c r="W203" t="s">
        <v>1078</v>
      </c>
      <c r="Z203" t="s">
        <v>1081</v>
      </c>
      <c r="AA203" t="str">
        <v>Vikram Iyer</v>
      </c>
      <c r="AB203" t="str">
        <f>TRIM(PROPER(F:F))</f>
        <v>Consumer</v>
      </c>
      <c r="AC203" t="str">
        <f>TRIM(PROPER(G:G))</f>
        <v>West</v>
      </c>
      <c r="AD203" t="str">
        <f>TRIM(PROPER(H:H))</f>
        <v>Madhya Pradesh</v>
      </c>
      <c r="AE203" t="str">
        <f>TRIM(PROPER(I:I))</f>
        <v>Indore</v>
      </c>
      <c r="AF203" t="str">
        <f>TRIM(PROPER(J:J))</f>
        <v>Office Supplies</v>
      </c>
      <c r="AG203" t="str">
        <f>TRIM(PROPER(K:K))</f>
        <v>Labels</v>
      </c>
      <c r="AH203" t="str">
        <f>TRIM(PROPER(L:L))</f>
        <v>Basic Labels 511</v>
      </c>
      <c r="AI203" t="str">
        <f>TRIM(PROPER(M:M))</f>
        <v>Second Class</v>
      </c>
      <c r="AJ203" s="5" t="str">
        <f>IF(OR(P203&lt;0,P203&gt;0.5),"invalid",P203)</f>
        <v>invalid</v>
      </c>
      <c r="AK203" s="6" t="str">
        <f>IFERROR(N203*O203*(1-AJ203), "NA")</f>
        <v>NA</v>
      </c>
      <c r="AL203" s="6" t="str">
        <f>IFERROR(AK203-R203,"NA")</f>
        <v>NA</v>
      </c>
      <c r="AM203" s="5" t="str">
        <f t="shared" si="15"/>
        <v>NA</v>
      </c>
      <c r="AN203" t="str">
        <v>26-07-25</v>
      </c>
      <c r="AO203" t="str">
        <v>08-03-25</v>
      </c>
      <c r="AP203" t="str">
        <f t="shared" si="16"/>
        <v>July</v>
      </c>
      <c r="AQ203" t="str">
        <f t="shared" si="17"/>
        <v>2025</v>
      </c>
      <c r="AR203" t="str">
        <f t="shared" si="18"/>
        <v>anomaly</v>
      </c>
      <c r="AS203">
        <f t="shared" si="19"/>
        <v>-140</v>
      </c>
      <c r="AT203" t="str">
        <f>IF(COUNTIFS( $A:$A,A203,$B:$B,B203,$C:$C,C203,$D:$D,D203,$E:$E,E203,$F:$F,F203,$G:$G,G203,$H:$H,H203,$I:$I,I203,$J:$J,J203,$K:$K,K203,$L:$L,L203,$M:$M,M203,$T:$T,T203,$U:$U,U203,$W:$W,W203,$Z:$Z,Z203,$AA:$AA,AA203,$AB:$AB,AB203,$AC:$AC,AC203,$AD:$AD,AD203,$AE:$AE,AE203,$AF:$AF,AF203,$AG:$AG,AG203,$AH:$AH,AH203,$AI:$AI,AI203)&gt;1,"Duplicate","Unique")</f>
        <v>Unique</v>
      </c>
    </row>
    <row r="204" spans="1:46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  <c r="W204" t="s">
        <v>1083</v>
      </c>
      <c r="Z204" t="s">
        <v>1086</v>
      </c>
      <c r="AA204" t="str">
        <v>Sneha Kapoor</v>
      </c>
      <c r="AB204" t="str">
        <f>TRIM(PROPER(F:F))</f>
        <v>Corporate</v>
      </c>
      <c r="AC204" t="str">
        <f>TRIM(PROPER(G:G))</f>
        <v>West</v>
      </c>
      <c r="AD204" t="str">
        <f>TRIM(PROPER(H:H))</f>
        <v>Goa</v>
      </c>
      <c r="AE204" t="str">
        <f>TRIM(PROPER(I:I))</f>
        <v>Panaji</v>
      </c>
      <c r="AF204" t="str">
        <f>TRIM(PROPER(J:J))</f>
        <v>Technology</v>
      </c>
      <c r="AG204" t="str">
        <f>TRIM(PROPER(K:K))</f>
        <v>Accessories</v>
      </c>
      <c r="AH204" t="str">
        <f>TRIM(PROPER(L:L))</f>
        <v>Prime Accessories 733</v>
      </c>
      <c r="AI204" t="str">
        <f>TRIM(PROPER(M:M))</f>
        <v>Standard Class</v>
      </c>
      <c r="AJ204" s="5">
        <f>IF(OR(P204&lt;0,P204&gt;0.5),"invalid",P204)</f>
        <v>0.05</v>
      </c>
      <c r="AK204" s="6">
        <f>IFERROR(N204*O204*(1-AJ204), "NA")</f>
        <v>13231.144</v>
      </c>
      <c r="AL204" s="6">
        <f>IFERROR(AK204-R204,"NA")</f>
        <v>1941.0840000000007</v>
      </c>
      <c r="AM204" s="5">
        <f t="shared" si="15"/>
        <v>0.14670568168557463</v>
      </c>
      <c r="AN204" t="str">
        <v>28-03-25</v>
      </c>
      <c r="AO204" t="str">
        <v>28-03-25</v>
      </c>
      <c r="AP204" t="str">
        <f t="shared" si="16"/>
        <v>March</v>
      </c>
      <c r="AQ204" t="str">
        <f t="shared" si="17"/>
        <v>2025</v>
      </c>
      <c r="AR204" t="str">
        <f t="shared" si="18"/>
        <v xml:space="preserve"> </v>
      </c>
      <c r="AS204">
        <f t="shared" si="19"/>
        <v>0</v>
      </c>
      <c r="AT204" t="str">
        <f>IF(COUNTIFS( $A:$A,A204,$B:$B,B204,$C:$C,C204,$D:$D,D204,$E:$E,E204,$F:$F,F204,$G:$G,G204,$H:$H,H204,$I:$I,I204,$J:$J,J204,$K:$K,K204,$L:$L,L204,$M:$M,M204,$T:$T,T204,$U:$U,U204,$W:$W,W204,$Z:$Z,Z204,$AA:$AA,AA204,$AB:$AB,AB204,$AC:$AC,AC204,$AD:$AD,AD204,$AE:$AE,AE204,$AF:$AF,AF204,$AG:$AG,AG204,$AH:$AH,AH204,$AI:$AI,AI204)&gt;1,"Duplicate","Unique")</f>
        <v>Unique</v>
      </c>
    </row>
    <row r="205" spans="1:46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  <c r="W205" t="s">
        <v>1088</v>
      </c>
      <c r="Z205" t="s">
        <v>1091</v>
      </c>
      <c r="AA205" t="str">
        <v>Sneha Kapoor</v>
      </c>
      <c r="AB205" t="str">
        <f>TRIM(PROPER(F:F))</f>
        <v>Corporate</v>
      </c>
      <c r="AC205" t="str">
        <f>TRIM(PROPER(G:G))</f>
        <v>West</v>
      </c>
      <c r="AD205" t="str">
        <f>TRIM(PROPER(H:H))</f>
        <v>Rajasthan</v>
      </c>
      <c r="AE205" t="str">
        <f>TRIM(PROPER(I:I))</f>
        <v>Udaipur</v>
      </c>
      <c r="AF205" t="str">
        <f>TRIM(PROPER(J:J))</f>
        <v>Technology</v>
      </c>
      <c r="AG205" t="str">
        <f>TRIM(PROPER(K:K))</f>
        <v>Accessories</v>
      </c>
      <c r="AH205" t="str">
        <f>TRIM(PROPER(L:L))</f>
        <v>Max Accessories 186</v>
      </c>
      <c r="AI205" t="str">
        <f>TRIM(PROPER(M:M))</f>
        <v>Second Class</v>
      </c>
      <c r="AJ205" s="5">
        <f>IF(OR(P205&lt;0,P205&gt;0.5),"invalid",P205)</f>
        <v>0.15</v>
      </c>
      <c r="AK205" s="6">
        <f>IFERROR(N205*O205*(1-AJ205), "NA")</f>
        <v>484.78899999999999</v>
      </c>
      <c r="AL205" s="6">
        <f>IFERROR(AK205-R205,"NA")</f>
        <v>151.24899999999997</v>
      </c>
      <c r="AM205" s="5">
        <f t="shared" si="15"/>
        <v>0.3119893396921134</v>
      </c>
      <c r="AN205" t="str">
        <v>28-03-24</v>
      </c>
      <c r="AO205" t="str">
        <v>30-03-24</v>
      </c>
      <c r="AP205" t="str">
        <f t="shared" si="16"/>
        <v>March</v>
      </c>
      <c r="AQ205" t="str">
        <f t="shared" si="17"/>
        <v>2024</v>
      </c>
      <c r="AR205" t="str">
        <f t="shared" si="18"/>
        <v xml:space="preserve"> </v>
      </c>
      <c r="AS205">
        <f t="shared" si="19"/>
        <v>2</v>
      </c>
      <c r="AT205" t="str">
        <f>IF(COUNTIFS( $A:$A,A205,$B:$B,B205,$C:$C,C205,$D:$D,D205,$E:$E,E205,$F:$F,F205,$G:$G,G205,$H:$H,H205,$I:$I,I205,$J:$J,J205,$K:$K,K205,$L:$L,L205,$M:$M,M205,$T:$T,T205,$U:$U,U205,$W:$W,W205,$Z:$Z,Z205,$AA:$AA,AA205,$AB:$AB,AB205,$AC:$AC,AC205,$AD:$AD,AD205,$AE:$AE,AE205,$AF:$AF,AF205,$AG:$AG,AG205,$AH:$AH,AH205,$AI:$AI,AI205)&gt;1,"Duplicate","Unique")</f>
        <v>Unique</v>
      </c>
    </row>
    <row r="206" spans="1:46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  <c r="W206" t="s">
        <v>1093</v>
      </c>
      <c r="Z206" t="s">
        <v>1096</v>
      </c>
      <c r="AA206" t="str">
        <v>Mira Das</v>
      </c>
      <c r="AB206" t="str">
        <f>TRIM(PROPER(F:F))</f>
        <v>Home Office</v>
      </c>
      <c r="AC206" t="str">
        <f>TRIM(PROPER(G:G))</f>
        <v>East</v>
      </c>
      <c r="AD206" t="str">
        <f>TRIM(PROPER(H:H))</f>
        <v>West Bengal</v>
      </c>
      <c r="AE206" t="str">
        <f>TRIM(PROPER(I:I))</f>
        <v>Kolkata</v>
      </c>
      <c r="AF206" t="str">
        <f>TRIM(PROPER(J:J))</f>
        <v>Furniture</v>
      </c>
      <c r="AG206" t="str">
        <f>TRIM(PROPER(K:K))</f>
        <v>Tables</v>
      </c>
      <c r="AH206" t="str">
        <f>TRIM(PROPER(L:L))</f>
        <v>Elite Tables 318</v>
      </c>
      <c r="AI206" t="str">
        <f>TRIM(PROPER(M:M))</f>
        <v>Second Class</v>
      </c>
      <c r="AJ206" s="5">
        <f>IF(OR(P206&lt;0,P206&gt;0.5),"invalid",P206)</f>
        <v>0.15</v>
      </c>
      <c r="AK206" s="6">
        <f>IFERROR(N206*O206*(1-AJ206), "NA")</f>
        <v>1624.146</v>
      </c>
      <c r="AL206" s="6">
        <f>IFERROR(AK206-R206,"NA")</f>
        <v>406.15599999999995</v>
      </c>
      <c r="AM206" s="5">
        <f t="shared" si="15"/>
        <v>0.25007357712914968</v>
      </c>
      <c r="AN206" t="str">
        <v>20-07-25</v>
      </c>
      <c r="AO206" t="str">
        <v>23-07-25</v>
      </c>
      <c r="AP206" t="str">
        <f t="shared" si="16"/>
        <v>July</v>
      </c>
      <c r="AQ206" t="str">
        <f t="shared" si="17"/>
        <v>2025</v>
      </c>
      <c r="AR206" t="str">
        <f t="shared" si="18"/>
        <v xml:space="preserve"> </v>
      </c>
      <c r="AS206">
        <f t="shared" si="19"/>
        <v>3</v>
      </c>
      <c r="AT206" t="str">
        <f>IF(COUNTIFS( $A:$A,A206,$B:$B,B206,$C:$C,C206,$D:$D,D206,$E:$E,E206,$F:$F,F206,$G:$G,G206,$H:$H,H206,$I:$I,I206,$J:$J,J206,$K:$K,K206,$L:$L,L206,$M:$M,M206,$T:$T,T206,$U:$U,U206,$W:$W,W206,$Z:$Z,Z206,$AA:$AA,AA206,$AB:$AB,AB206,$AC:$AC,AC206,$AD:$AD,AD206,$AE:$AE,AE206,$AF:$AF,AF206,$AG:$AG,AG206,$AH:$AH,AH206,$AI:$AI,AI206)&gt;1,"Duplicate","Unique")</f>
        <v>Unique</v>
      </c>
    </row>
    <row r="207" spans="1:46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  <c r="W207" t="s">
        <v>1098</v>
      </c>
      <c r="Z207" t="s">
        <v>1101</v>
      </c>
      <c r="AA207" t="str">
        <v>Ananya Rao</v>
      </c>
      <c r="AB207" t="str">
        <f>TRIM(PROPER(F:F))</f>
        <v>Consumer</v>
      </c>
      <c r="AC207" t="str">
        <f>TRIM(PROPER(G:G))</f>
        <v>West</v>
      </c>
      <c r="AD207" t="str">
        <f>TRIM(PROPER(H:H))</f>
        <v>Maharashtra</v>
      </c>
      <c r="AE207" t="str">
        <f>TRIM(PROPER(I:I))</f>
        <v>Mumbai</v>
      </c>
      <c r="AF207" t="str">
        <f>TRIM(PROPER(J:J))</f>
        <v>Office Supplies</v>
      </c>
      <c r="AG207" t="str">
        <f>TRIM(PROPER(K:K))</f>
        <v>Labels</v>
      </c>
      <c r="AH207" t="str">
        <f>TRIM(PROPER(L:L))</f>
        <v>Smart Labels 354</v>
      </c>
      <c r="AI207" t="str">
        <f>TRIM(PROPER(M:M))</f>
        <v>Same Day</v>
      </c>
      <c r="AJ207" s="5">
        <f>IF(OR(P207&lt;0,P207&gt;0.5),"invalid",P207)</f>
        <v>0.2</v>
      </c>
      <c r="AK207" s="6">
        <f>IFERROR(N207*O207*(1-AJ207), "NA")</f>
        <v>4193.232</v>
      </c>
      <c r="AL207" s="6">
        <f>IFERROR(AK207-R207,"NA")</f>
        <v>863.24200000000019</v>
      </c>
      <c r="AM207" s="5">
        <f t="shared" si="15"/>
        <v>0.2058655471483572</v>
      </c>
      <c r="AN207" t="str">
        <v>21-04-25</v>
      </c>
      <c r="AO207" t="str">
        <v>invalid date</v>
      </c>
      <c r="AP207" t="str">
        <f t="shared" si="16"/>
        <v>April</v>
      </c>
      <c r="AQ207" t="str">
        <f t="shared" si="17"/>
        <v>2025</v>
      </c>
      <c r="AR207" t="str">
        <f t="shared" si="18"/>
        <v>Invalid</v>
      </c>
      <c r="AS207" t="str">
        <f t="shared" si="19"/>
        <v>invalid date</v>
      </c>
      <c r="AT207" t="str">
        <f>IF(COUNTIFS( $A:$A,A207,$B:$B,B207,$C:$C,C207,$D:$D,D207,$E:$E,E207,$F:$F,F207,$G:$G,G207,$H:$H,H207,$I:$I,I207,$J:$J,J207,$K:$K,K207,$L:$L,L207,$M:$M,M207,$T:$T,T207,$U:$U,U207,$W:$W,W207,$Z:$Z,Z207,$AA:$AA,AA207,$AB:$AB,AB207,$AC:$AC,AC207,$AD:$AD,AD207,$AE:$AE,AE207,$AF:$AF,AF207,$AG:$AG,AG207,$AH:$AH,AH207,$AI:$AI,AI207)&gt;1,"Duplicate","Unique")</f>
        <v>Unique</v>
      </c>
    </row>
    <row r="208" spans="1:46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  <c r="W208" t="s">
        <v>1103</v>
      </c>
      <c r="Z208" t="s">
        <v>1105</v>
      </c>
      <c r="AA208" t="str">
        <v>Diya Patel</v>
      </c>
      <c r="AB208" t="str">
        <f>TRIM(PROPER(F:F))</f>
        <v>Small Business</v>
      </c>
      <c r="AC208" t="str">
        <f>TRIM(PROPER(G:G))</f>
        <v>North</v>
      </c>
      <c r="AD208" t="str">
        <f>TRIM(PROPER(H:H))</f>
        <v>Uttar Pradesh</v>
      </c>
      <c r="AE208" t="str">
        <f>TRIM(PROPER(I:I))</f>
        <v>Noida</v>
      </c>
      <c r="AF208" t="str">
        <f>TRIM(PROPER(J:J))</f>
        <v>Furniture</v>
      </c>
      <c r="AG208" t="str">
        <f>TRIM(PROPER(K:K))</f>
        <v>Furnishings</v>
      </c>
      <c r="AH208" t="str">
        <f>TRIM(PROPER(L:L))</f>
        <v>Pro Furnishings 981</v>
      </c>
      <c r="AI208" t="str">
        <f>TRIM(PROPER(M:M))</f>
        <v>First Class</v>
      </c>
      <c r="AJ208" s="5">
        <f>IF(OR(P208&lt;0,P208&gt;0.5),"invalid",P208)</f>
        <v>0</v>
      </c>
      <c r="AK208" s="6">
        <f>IFERROR(N208*O208*(1-AJ208), "NA")</f>
        <v>430.26</v>
      </c>
      <c r="AL208" s="6">
        <f>IFERROR(AK208-R208,"NA")</f>
        <v>143.88</v>
      </c>
      <c r="AM208" s="5">
        <f t="shared" si="15"/>
        <v>0.33440245432994004</v>
      </c>
      <c r="AN208" t="str">
        <v>invalid date</v>
      </c>
      <c r="AO208" t="str">
        <v>20-05-25</v>
      </c>
      <c r="AP208" t="str">
        <f t="shared" si="16"/>
        <v>invalid date</v>
      </c>
      <c r="AQ208" t="str">
        <f t="shared" si="17"/>
        <v>invalid date</v>
      </c>
      <c r="AR208" t="str">
        <f t="shared" si="18"/>
        <v>Invalid</v>
      </c>
      <c r="AS208" t="str">
        <f t="shared" si="19"/>
        <v>invalid date</v>
      </c>
      <c r="AT208" t="str">
        <f>IF(COUNTIFS( $A:$A,A208,$B:$B,B208,$C:$C,C208,$D:$D,D208,$E:$E,E208,$F:$F,F208,$G:$G,G208,$H:$H,H208,$I:$I,I208,$J:$J,J208,$K:$K,K208,$L:$L,L208,$M:$M,M208,$T:$T,T208,$U:$U,U208,$W:$W,W208,$Z:$Z,Z208,$AA:$AA,AA208,$AB:$AB,AB208,$AC:$AC,AC208,$AD:$AD,AD208,$AE:$AE,AE208,$AF:$AF,AF208,$AG:$AG,AG208,$AH:$AH,AH208,$AI:$AI,AI208)&gt;1,"Duplicate","Unique")</f>
        <v>Unique</v>
      </c>
    </row>
    <row r="209" spans="1:46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  <c r="W209" t="s">
        <v>1107</v>
      </c>
      <c r="Z209" t="s">
        <v>1110</v>
      </c>
      <c r="AA209" t="str">
        <v>Aarav Sharma</v>
      </c>
      <c r="AB209" t="str">
        <f>TRIM(PROPER(F:F))</f>
        <v>Home Office</v>
      </c>
      <c r="AC209" t="str">
        <f>TRIM(PROPER(G:G))</f>
        <v>West</v>
      </c>
      <c r="AD209" t="str">
        <f>TRIM(PROPER(H:H))</f>
        <v>Goa</v>
      </c>
      <c r="AE209" t="str">
        <f>TRIM(PROPER(I:I))</f>
        <v>Panaji</v>
      </c>
      <c r="AF209" t="str">
        <f>TRIM(PROPER(J:J))</f>
        <v>Furniture</v>
      </c>
      <c r="AG209" t="str">
        <f>TRIM(PROPER(K:K))</f>
        <v>Bookcases</v>
      </c>
      <c r="AH209" t="str">
        <f>TRIM(PROPER(L:L))</f>
        <v>Eco Bookcases 671</v>
      </c>
      <c r="AI209" t="str">
        <f>TRIM(PROPER(M:M))</f>
        <v>Second Class</v>
      </c>
      <c r="AJ209" s="5">
        <f>IF(OR(P209&lt;0,P209&gt;0.5),"invalid",P209)</f>
        <v>0.2</v>
      </c>
      <c r="AK209" s="6">
        <f>IFERROR(N209*O209*(1-AJ209), "NA")</f>
        <v>1752.7200000000003</v>
      </c>
      <c r="AL209" s="6">
        <f>IFERROR(AK209-R209,"NA")</f>
        <v>756.31000000000029</v>
      </c>
      <c r="AM209" s="5">
        <f t="shared" si="15"/>
        <v>0.43150645853302305</v>
      </c>
      <c r="AN209" t="str">
        <v>10-07-24</v>
      </c>
      <c r="AO209" t="str">
        <v>16-07-24</v>
      </c>
      <c r="AP209" t="str">
        <f t="shared" si="16"/>
        <v>July</v>
      </c>
      <c r="AQ209" t="str">
        <f t="shared" si="17"/>
        <v>2024</v>
      </c>
      <c r="AR209" t="str">
        <f t="shared" si="18"/>
        <v xml:space="preserve"> </v>
      </c>
      <c r="AS209">
        <f t="shared" si="19"/>
        <v>6</v>
      </c>
      <c r="AT209" t="str">
        <f>IF(COUNTIFS( $A:$A,A209,$B:$B,B209,$C:$C,C209,$D:$D,D209,$E:$E,E209,$F:$F,F209,$G:$G,G209,$H:$H,H209,$I:$I,I209,$J:$J,J209,$K:$K,K209,$L:$L,L209,$M:$M,M209,$T:$T,T209,$U:$U,U209,$W:$W,W209,$Z:$Z,Z209,$AA:$AA,AA209,$AB:$AB,AB209,$AC:$AC,AC209,$AD:$AD,AD209,$AE:$AE,AE209,$AF:$AF,AF209,$AG:$AG,AG209,$AH:$AH,AH209,$AI:$AI,AI209)&gt;1,"Duplicate","Unique")</f>
        <v>Unique</v>
      </c>
    </row>
    <row r="210" spans="1:46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  <c r="W210" t="s">
        <v>1112</v>
      </c>
      <c r="Z210" t="s">
        <v>1115</v>
      </c>
      <c r="AA210" t="str">
        <v>Diya Patel</v>
      </c>
      <c r="AB210" t="str">
        <f>TRIM(PROPER(F:F))</f>
        <v>Consumer</v>
      </c>
      <c r="AC210" t="str">
        <f>TRIM(PROPER(G:G))</f>
        <v>North</v>
      </c>
      <c r="AD210" t="str">
        <f>TRIM(PROPER(H:H))</f>
        <v>Punjab</v>
      </c>
      <c r="AE210" t="str">
        <f>TRIM(PROPER(I:I))</f>
        <v>Ludhiana</v>
      </c>
      <c r="AF210" t="str">
        <f>TRIM(PROPER(J:J))</f>
        <v>Furniture</v>
      </c>
      <c r="AG210" t="str">
        <f>TRIM(PROPER(K:K))</f>
        <v>Chairs</v>
      </c>
      <c r="AH210" t="str">
        <f>TRIM(PROPER(L:L))</f>
        <v>Max Chairs 151</v>
      </c>
      <c r="AI210" t="str">
        <f>TRIM(PROPER(M:M))</f>
        <v>Same Day</v>
      </c>
      <c r="AJ210" s="5">
        <f>IF(OR(P210&lt;0,P210&gt;0.5),"invalid",P210)</f>
        <v>0</v>
      </c>
      <c r="AK210" s="6">
        <f>IFERROR(N210*O210*(1-AJ210), "NA")</f>
        <v>999.83</v>
      </c>
      <c r="AL210" s="6">
        <f>IFERROR(AK210-R210,"NA")</f>
        <v>364.92000000000007</v>
      </c>
      <c r="AM210" s="5">
        <f t="shared" si="15"/>
        <v>0.3649820469479812</v>
      </c>
      <c r="AN210" t="str">
        <v>invalid date</v>
      </c>
      <c r="AO210" t="str">
        <v>05-07-25</v>
      </c>
      <c r="AP210" t="str">
        <f t="shared" si="16"/>
        <v>invalid date</v>
      </c>
      <c r="AQ210" t="str">
        <f t="shared" si="17"/>
        <v>invalid date</v>
      </c>
      <c r="AR210" t="str">
        <f t="shared" si="18"/>
        <v>Invalid</v>
      </c>
      <c r="AS210" t="str">
        <f t="shared" si="19"/>
        <v>invalid date</v>
      </c>
      <c r="AT210" t="str">
        <f>IF(COUNTIFS( $A:$A,A210,$B:$B,B210,$C:$C,C210,$D:$D,D210,$E:$E,E210,$F:$F,F210,$G:$G,G210,$H:$H,H210,$I:$I,I210,$J:$J,J210,$K:$K,K210,$L:$L,L210,$M:$M,M210,$T:$T,T210,$U:$U,U210,$W:$W,W210,$Z:$Z,Z210,$AA:$AA,AA210,$AB:$AB,AB210,$AC:$AC,AC210,$AD:$AD,AD210,$AE:$AE,AE210,$AF:$AF,AF210,$AG:$AG,AG210,$AH:$AH,AH210,$AI:$AI,AI210)&gt;1,"Duplicate","Unique")</f>
        <v>Unique</v>
      </c>
    </row>
    <row r="211" spans="1:46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  <c r="W211" t="s">
        <v>1117</v>
      </c>
      <c r="Z211" t="s">
        <v>1120</v>
      </c>
      <c r="AA211" t="str">
        <v>Rohan Mehta</v>
      </c>
      <c r="AB211" t="str">
        <f>TRIM(PROPER(F:F))</f>
        <v>Small Business</v>
      </c>
      <c r="AC211" t="str">
        <f>TRIM(PROPER(G:G))</f>
        <v>South</v>
      </c>
      <c r="AD211" t="str">
        <f>TRIM(PROPER(H:H))</f>
        <v>Andhra Pradesh</v>
      </c>
      <c r="AE211" t="str">
        <f>TRIM(PROPER(I:I))</f>
        <v>Vijayawada</v>
      </c>
      <c r="AF211" t="str">
        <f>TRIM(PROPER(J:J))</f>
        <v>Office Supplies</v>
      </c>
      <c r="AG211" t="str">
        <f>TRIM(PROPER(K:K))</f>
        <v>Paper</v>
      </c>
      <c r="AH211" t="str">
        <f>TRIM(PROPER(L:L))</f>
        <v>Prime Paper 903</v>
      </c>
      <c r="AI211" t="str">
        <f>TRIM(PROPER(M:M))</f>
        <v>First Class</v>
      </c>
      <c r="AJ211" s="5">
        <f>IF(OR(P211&lt;0,P211&gt;0.5),"invalid",P211)</f>
        <v>0.1</v>
      </c>
      <c r="AK211" s="6">
        <f>IFERROR(N211*O211*(1-AJ211), "NA")</f>
        <v>7006.3379999999997</v>
      </c>
      <c r="AL211" s="6">
        <f>IFERROR(AK211-R211,"NA")</f>
        <v>2365.4579999999996</v>
      </c>
      <c r="AM211" s="5">
        <f t="shared" si="15"/>
        <v>0.33761688345609359</v>
      </c>
      <c r="AN211" t="str">
        <v>invalid date</v>
      </c>
      <c r="AO211" t="str">
        <v>invalid date</v>
      </c>
      <c r="AP211" t="str">
        <f t="shared" si="16"/>
        <v>invalid date</v>
      </c>
      <c r="AQ211" t="str">
        <f t="shared" si="17"/>
        <v>invalid date</v>
      </c>
      <c r="AR211" t="str">
        <f t="shared" si="18"/>
        <v>Invalid</v>
      </c>
      <c r="AS211" t="str">
        <f t="shared" si="19"/>
        <v>invalid date</v>
      </c>
      <c r="AT211" t="str">
        <f>IF(COUNTIFS( $A:$A,A211,$B:$B,B211,$C:$C,C211,$D:$D,D211,$E:$E,E211,$F:$F,F211,$G:$G,G211,$H:$H,H211,$I:$I,I211,$J:$J,J211,$K:$K,K211,$L:$L,L211,$M:$M,M211,$T:$T,T211,$U:$U,U211,$W:$W,W211,$Z:$Z,Z211,$AA:$AA,AA211,$AB:$AB,AB211,$AC:$AC,AC211,$AD:$AD,AD211,$AE:$AE,AE211,$AF:$AF,AF211,$AG:$AG,AG211,$AH:$AH,AH211,$AI:$AI,AI211)&gt;1,"Duplicate","Unique")</f>
        <v>Unique</v>
      </c>
    </row>
    <row r="212" spans="1:46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  <c r="W212" t="s">
        <v>1122</v>
      </c>
      <c r="Z212" t="s">
        <v>1125</v>
      </c>
      <c r="AA212" t="str">
        <v>Kabir Singh</v>
      </c>
      <c r="AB212" t="str">
        <f>TRIM(PROPER(F:F))</f>
        <v>Home Office</v>
      </c>
      <c r="AC212" t="str">
        <f>TRIM(PROPER(G:G))</f>
        <v>South</v>
      </c>
      <c r="AD212" t="str">
        <f>TRIM(PROPER(H:H))</f>
        <v>Karnataka</v>
      </c>
      <c r="AE212" t="str">
        <f>TRIM(PROPER(I:I))</f>
        <v>Bengaluru</v>
      </c>
      <c r="AF212" t="str">
        <f>TRIM(PROPER(J:J))</f>
        <v>Technology</v>
      </c>
      <c r="AG212" t="str">
        <f>TRIM(PROPER(K:K))</f>
        <v>Machines</v>
      </c>
      <c r="AH212" t="str">
        <f>TRIM(PROPER(L:L))</f>
        <v>Classic Machines 944</v>
      </c>
      <c r="AI212" t="str">
        <f>TRIM(PROPER(M:M))</f>
        <v>Second Class</v>
      </c>
      <c r="AJ212" s="5">
        <f>IF(OR(P212&lt;0,P212&gt;0.5),"invalid",P212)</f>
        <v>0</v>
      </c>
      <c r="AK212" s="6">
        <f>IFERROR(N212*O212*(1-AJ212), "NA")</f>
        <v>4131.3599999999997</v>
      </c>
      <c r="AL212" s="6">
        <f>IFERROR(AK212-R212,"NA")</f>
        <v>1194.2899999999995</v>
      </c>
      <c r="AM212" s="5">
        <f t="shared" si="15"/>
        <v>0.28907914100925591</v>
      </c>
      <c r="AN212" t="str">
        <v>invalid date</v>
      </c>
      <c r="AO212" t="str">
        <v>18-03-24</v>
      </c>
      <c r="AP212" t="str">
        <f t="shared" si="16"/>
        <v>invalid date</v>
      </c>
      <c r="AQ212" t="str">
        <f t="shared" si="17"/>
        <v>invalid date</v>
      </c>
      <c r="AR212" t="str">
        <f t="shared" si="18"/>
        <v>Invalid</v>
      </c>
      <c r="AS212" t="str">
        <f t="shared" si="19"/>
        <v>invalid date</v>
      </c>
      <c r="AT212" t="str">
        <f>IF(COUNTIFS( $A:$A,A212,$B:$B,B212,$C:$C,C212,$D:$D,D212,$E:$E,E212,$F:$F,F212,$G:$G,G212,$H:$H,H212,$I:$I,I212,$J:$J,J212,$K:$K,K212,$L:$L,L212,$M:$M,M212,$T:$T,T212,$U:$U,U212,$W:$W,W212,$Z:$Z,Z212,$AA:$AA,AA212,$AB:$AB,AB212,$AC:$AC,AC212,$AD:$AD,AD212,$AE:$AE,AE212,$AF:$AF,AF212,$AG:$AG,AG212,$AH:$AH,AH212,$AI:$AI,AI212)&gt;1,"Duplicate","Unique")</f>
        <v>Unique</v>
      </c>
    </row>
    <row r="213" spans="1:46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  <c r="W213" t="s">
        <v>1127</v>
      </c>
      <c r="Z213" t="s">
        <v>1130</v>
      </c>
      <c r="AA213" t="str">
        <v>Rohan Mehta</v>
      </c>
      <c r="AB213" t="str">
        <f>TRIM(PROPER(F:F))</f>
        <v>Corporate</v>
      </c>
      <c r="AC213" t="str">
        <f>TRIM(PROPER(G:G))</f>
        <v>East</v>
      </c>
      <c r="AD213" t="str">
        <f>TRIM(PROPER(H:H))</f>
        <v>West Bengal</v>
      </c>
      <c r="AE213" t="str">
        <f>TRIM(PROPER(I:I))</f>
        <v>Kolkata</v>
      </c>
      <c r="AF213" t="str">
        <f>TRIM(PROPER(J:J))</f>
        <v>Technology</v>
      </c>
      <c r="AG213" t="str">
        <f>TRIM(PROPER(K:K))</f>
        <v>Copiers</v>
      </c>
      <c r="AH213" t="str">
        <f>TRIM(PROPER(L:L))</f>
        <v>Basic Copiers 222</v>
      </c>
      <c r="AI213" t="str">
        <f>TRIM(PROPER(M:M))</f>
        <v>Second Class</v>
      </c>
      <c r="AJ213" s="5">
        <f>IF(OR(P213&lt;0,P213&gt;0.5),"invalid",P213)</f>
        <v>0.2</v>
      </c>
      <c r="AK213" s="6">
        <f>IFERROR(N213*O213*(1-AJ213), "NA")</f>
        <v>27020.48</v>
      </c>
      <c r="AL213" s="6">
        <f>IFERROR(AK213-R213,"NA")</f>
        <v>4135.239999999998</v>
      </c>
      <c r="AM213" s="5">
        <f t="shared" si="15"/>
        <v>0.15304095264036752</v>
      </c>
      <c r="AN213" t="str">
        <v>invalid date</v>
      </c>
      <c r="AO213" t="str">
        <v>invalid date</v>
      </c>
      <c r="AP213" t="str">
        <f t="shared" si="16"/>
        <v>invalid date</v>
      </c>
      <c r="AQ213" t="str">
        <f t="shared" si="17"/>
        <v>invalid date</v>
      </c>
      <c r="AR213" t="str">
        <f t="shared" si="18"/>
        <v>Invalid</v>
      </c>
      <c r="AS213" t="str">
        <f t="shared" si="19"/>
        <v>invalid date</v>
      </c>
      <c r="AT213" t="str">
        <f>IF(COUNTIFS( $A:$A,A213,$B:$B,B213,$C:$C,C213,$D:$D,D213,$E:$E,E213,$F:$F,F213,$G:$G,G213,$H:$H,H213,$I:$I,I213,$J:$J,J213,$K:$K,K213,$L:$L,L213,$M:$M,M213,$T:$T,T213,$U:$U,U213,$W:$W,W213,$Z:$Z,Z213,$AA:$AA,AA213,$AB:$AB,AB213,$AC:$AC,AC213,$AD:$AD,AD213,$AE:$AE,AE213,$AF:$AF,AF213,$AG:$AG,AG213,$AH:$AH,AH213,$AI:$AI,AI213)&gt;1,"Duplicate","Unique")</f>
        <v>Unique</v>
      </c>
    </row>
    <row r="214" spans="1:46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  <c r="W214" t="s">
        <v>1133</v>
      </c>
      <c r="Z214" t="s">
        <v>1136</v>
      </c>
      <c r="AA214" t="str">
        <v>Ananya Rao</v>
      </c>
      <c r="AB214" t="str">
        <f>TRIM(PROPER(F:F))</f>
        <v>Small Business</v>
      </c>
      <c r="AC214" t="str">
        <f>TRIM(PROPER(G:G))</f>
        <v>East</v>
      </c>
      <c r="AD214" t="str">
        <f>TRIM(PROPER(H:H))</f>
        <v>Odisha</v>
      </c>
      <c r="AE214" t="str">
        <f>TRIM(PROPER(I:I))</f>
        <v>Bhubaneswar</v>
      </c>
      <c r="AF214" t="str">
        <f>TRIM(PROPER(J:J))</f>
        <v>Technology</v>
      </c>
      <c r="AG214" t="str">
        <f>TRIM(PROPER(K:K))</f>
        <v>Phones</v>
      </c>
      <c r="AH214" t="str">
        <f>TRIM(PROPER(L:L))</f>
        <v>Max Phones 329</v>
      </c>
      <c r="AI214" t="str">
        <f>TRIM(PROPER(M:M))</f>
        <v>Same Day</v>
      </c>
      <c r="AJ214" s="5">
        <f>IF(OR(P214&lt;0,P214&gt;0.5),"invalid",P214)</f>
        <v>0.15</v>
      </c>
      <c r="AK214" s="6">
        <f>IFERROR(N214*O214*(1-AJ214), "NA")</f>
        <v>364.65</v>
      </c>
      <c r="AL214" s="6">
        <f>IFERROR(AK214-R214,"NA")</f>
        <v>83.909999999999968</v>
      </c>
      <c r="AM214" s="5">
        <f t="shared" si="15"/>
        <v>0.23011106540518297</v>
      </c>
      <c r="AN214" t="str">
        <v>invalid date</v>
      </c>
      <c r="AO214" t="str">
        <v>21-09-24</v>
      </c>
      <c r="AP214" t="str">
        <f t="shared" si="16"/>
        <v>invalid date</v>
      </c>
      <c r="AQ214" t="str">
        <f t="shared" si="17"/>
        <v>invalid date</v>
      </c>
      <c r="AR214" t="str">
        <f t="shared" si="18"/>
        <v>Invalid</v>
      </c>
      <c r="AS214" t="str">
        <f t="shared" si="19"/>
        <v>invalid date</v>
      </c>
      <c r="AT214" t="str">
        <f>IF(COUNTIFS( $A:$A,A214,$B:$B,B214,$C:$C,C214,$D:$D,D214,$E:$E,E214,$F:$F,F214,$G:$G,G214,$H:$H,H214,$I:$I,I214,$J:$J,J214,$K:$K,K214,$L:$L,L214,$M:$M,M214,$T:$T,T214,$U:$U,U214,$W:$W,W214,$Z:$Z,Z214,$AA:$AA,AA214,$AB:$AB,AB214,$AC:$AC,AC214,$AD:$AD,AD214,$AE:$AE,AE214,$AF:$AF,AF214,$AG:$AG,AG214,$AH:$AH,AH214,$AI:$AI,AI214)&gt;1,"Duplicate","Unique")</f>
        <v>Unique</v>
      </c>
    </row>
    <row r="215" spans="1:46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  <c r="W215" t="s">
        <v>1138</v>
      </c>
      <c r="Z215" t="s">
        <v>1141</v>
      </c>
      <c r="AA215" t="str">
        <v>Isha Nair</v>
      </c>
      <c r="AB215" t="str">
        <f>TRIM(PROPER(F:F))</f>
        <v>Small Business</v>
      </c>
      <c r="AC215" t="str">
        <f>TRIM(PROPER(G:G))</f>
        <v>East</v>
      </c>
      <c r="AD215" t="str">
        <f>TRIM(PROPER(H:H))</f>
        <v>Bihar</v>
      </c>
      <c r="AE215" t="str">
        <f>TRIM(PROPER(I:I))</f>
        <v>Patna</v>
      </c>
      <c r="AF215" t="str">
        <f>TRIM(PROPER(J:J))</f>
        <v>Technology</v>
      </c>
      <c r="AG215" t="str">
        <f>TRIM(PROPER(K:K))</f>
        <v>Accessories</v>
      </c>
      <c r="AH215" t="str">
        <f>TRIM(PROPER(L:L))</f>
        <v>Classic Accessories 840</v>
      </c>
      <c r="AI215" t="str">
        <f>TRIM(PROPER(M:M))</f>
        <v>Second Class</v>
      </c>
      <c r="AJ215" s="5">
        <f>IF(OR(P215&lt;0,P215&gt;0.5),"invalid",P215)</f>
        <v>0.2</v>
      </c>
      <c r="AK215" s="6">
        <f>IFERROR(N215*O215*(1-AJ215), "NA")</f>
        <v>13864.735999999999</v>
      </c>
      <c r="AL215" s="6">
        <f>IFERROR(AK215-R215,"NA")</f>
        <v>2570.6759999999995</v>
      </c>
      <c r="AM215" s="5">
        <f t="shared" si="15"/>
        <v>0.18541110339208763</v>
      </c>
      <c r="AN215" t="str">
        <v>15-05-24</v>
      </c>
      <c r="AO215" t="str">
        <v>21-05-24</v>
      </c>
      <c r="AP215" t="str">
        <f t="shared" si="16"/>
        <v>May</v>
      </c>
      <c r="AQ215" t="str">
        <f t="shared" si="17"/>
        <v>2024</v>
      </c>
      <c r="AR215" t="str">
        <f t="shared" si="18"/>
        <v xml:space="preserve"> </v>
      </c>
      <c r="AS215">
        <f t="shared" si="19"/>
        <v>6</v>
      </c>
      <c r="AT215" t="str">
        <f>IF(COUNTIFS( $A:$A,A215,$B:$B,B215,$C:$C,C215,$D:$D,D215,$E:$E,E215,$F:$F,F215,$G:$G,G215,$H:$H,H215,$I:$I,I215,$J:$J,J215,$K:$K,K215,$L:$L,L215,$M:$M,M215,$T:$T,T215,$U:$U,U215,$W:$W,W215,$Z:$Z,Z215,$AA:$AA,AA215,$AB:$AB,AB215,$AC:$AC,AC215,$AD:$AD,AD215,$AE:$AE,AE215,$AF:$AF,AF215,$AG:$AG,AG215,$AH:$AH,AH215,$AI:$AI,AI215)&gt;1,"Duplicate","Unique")</f>
        <v>Unique</v>
      </c>
    </row>
    <row r="216" spans="1:46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  <c r="W216" t="s">
        <v>1143</v>
      </c>
      <c r="Z216" t="s">
        <v>1146</v>
      </c>
      <c r="AA216" t="str">
        <v>Rahul Verma</v>
      </c>
      <c r="AB216" t="str">
        <f>TRIM(PROPER(F:F))</f>
        <v>Consumer</v>
      </c>
      <c r="AC216" t="str">
        <f>TRIM(PROPER(G:G))</f>
        <v>North</v>
      </c>
      <c r="AD216" t="str">
        <f>TRIM(PROPER(H:H))</f>
        <v>Haryana</v>
      </c>
      <c r="AE216" t="str">
        <f>TRIM(PROPER(I:I))</f>
        <v>Gurugram</v>
      </c>
      <c r="AF216" t="str">
        <f>TRIM(PROPER(J:J))</f>
        <v>Technology</v>
      </c>
      <c r="AG216" t="str">
        <f>TRIM(PROPER(K:K))</f>
        <v>Accessories</v>
      </c>
      <c r="AH216" t="str">
        <f>TRIM(PROPER(L:L))</f>
        <v>Classic Accessories 757</v>
      </c>
      <c r="AI216" t="str">
        <f>TRIM(PROPER(M:M))</f>
        <v>First Class</v>
      </c>
      <c r="AJ216" s="5">
        <f>IF(OR(P216&lt;0,P216&gt;0.5),"invalid",P216)</f>
        <v>0.05</v>
      </c>
      <c r="AK216" s="6">
        <f>IFERROR(N216*O216*(1-AJ216), "NA")</f>
        <v>707.31299999999999</v>
      </c>
      <c r="AL216" s="6">
        <f>IFERROR(AK216-R216,"NA")</f>
        <v>138.31299999999999</v>
      </c>
      <c r="AM216" s="5">
        <f t="shared" si="15"/>
        <v>0.19554709159876885</v>
      </c>
      <c r="AN216" t="str">
        <v>17-03-24</v>
      </c>
      <c r="AO216" t="str">
        <v>23-03-24</v>
      </c>
      <c r="AP216" t="str">
        <f t="shared" si="16"/>
        <v>March</v>
      </c>
      <c r="AQ216" t="str">
        <f t="shared" si="17"/>
        <v>2024</v>
      </c>
      <c r="AR216" t="str">
        <f t="shared" si="18"/>
        <v xml:space="preserve"> </v>
      </c>
      <c r="AS216">
        <f t="shared" si="19"/>
        <v>6</v>
      </c>
      <c r="AT216" t="str">
        <f>IF(COUNTIFS( $A:$A,A216,$B:$B,B216,$C:$C,C216,$D:$D,D216,$E:$E,E216,$F:$F,F216,$G:$G,G216,$H:$H,H216,$I:$I,I216,$J:$J,J216,$K:$K,K216,$L:$L,L216,$M:$M,M216,$T:$T,T216,$U:$U,U216,$W:$W,W216,$Z:$Z,Z216,$AA:$AA,AA216,$AB:$AB,AB216,$AC:$AC,AC216,$AD:$AD,AD216,$AE:$AE,AE216,$AF:$AF,AF216,$AG:$AG,AG216,$AH:$AH,AH216,$AI:$AI,AI216)&gt;1,"Duplicate","Unique")</f>
        <v>Unique</v>
      </c>
    </row>
    <row r="217" spans="1:46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  <c r="W217" t="s">
        <v>1148</v>
      </c>
      <c r="Z217" t="s">
        <v>1150</v>
      </c>
      <c r="AA217" t="str">
        <v>Mira Das</v>
      </c>
      <c r="AB217" t="str">
        <f>TRIM(PROPER(F:F))</f>
        <v>Consumer</v>
      </c>
      <c r="AC217" t="str">
        <f>TRIM(PROPER(G:G))</f>
        <v>West</v>
      </c>
      <c r="AD217" t="str">
        <f>TRIM(PROPER(H:H))</f>
        <v>Madhya Pradesh</v>
      </c>
      <c r="AE217" t="str">
        <f>TRIM(PROPER(I:I))</f>
        <v>Indore</v>
      </c>
      <c r="AF217" t="str">
        <f>TRIM(PROPER(J:J))</f>
        <v>Office Supplies</v>
      </c>
      <c r="AG217" t="str">
        <f>TRIM(PROPER(K:K))</f>
        <v>Paper</v>
      </c>
      <c r="AH217" t="str">
        <f>TRIM(PROPER(L:L))</f>
        <v>Prime Paper 286</v>
      </c>
      <c r="AI217" t="str">
        <f>TRIM(PROPER(M:M))</f>
        <v>First Class</v>
      </c>
      <c r="AJ217" s="5">
        <f>IF(OR(P217&lt;0,P217&gt;0.5),"invalid",P217)</f>
        <v>0.25</v>
      </c>
      <c r="AK217" s="6">
        <f>IFERROR(N217*O217*(1-AJ217), "NA")</f>
        <v>19214.400000000001</v>
      </c>
      <c r="AL217" s="6">
        <f>IFERROR(AK217-R217,"NA")</f>
        <v>8298.3900000000012</v>
      </c>
      <c r="AM217" s="5">
        <f t="shared" si="15"/>
        <v>0.43188389957531853</v>
      </c>
      <c r="AN217" t="str">
        <v>01-03-24</v>
      </c>
      <c r="AO217" t="str">
        <v>04-03-24</v>
      </c>
      <c r="AP217" t="str">
        <f t="shared" si="16"/>
        <v>March</v>
      </c>
      <c r="AQ217" t="str">
        <f t="shared" si="17"/>
        <v>2024</v>
      </c>
      <c r="AR217" t="str">
        <f t="shared" si="18"/>
        <v xml:space="preserve"> </v>
      </c>
      <c r="AS217">
        <f t="shared" si="19"/>
        <v>3</v>
      </c>
      <c r="AT217" t="str">
        <f>IF(COUNTIFS( $A:$A,A217,$B:$B,B217,$C:$C,C217,$D:$D,D217,$E:$E,E217,$F:$F,F217,$G:$G,G217,$H:$H,H217,$I:$I,I217,$J:$J,J217,$K:$K,K217,$L:$L,L217,$M:$M,M217,$T:$T,T217,$U:$U,U217,$W:$W,W217,$Z:$Z,Z217,$AA:$AA,AA217,$AB:$AB,AB217,$AC:$AC,AC217,$AD:$AD,AD217,$AE:$AE,AE217,$AF:$AF,AF217,$AG:$AG,AG217,$AH:$AH,AH217,$AI:$AI,AI217)&gt;1,"Duplicate","Unique")</f>
        <v>Unique</v>
      </c>
    </row>
    <row r="218" spans="1:46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  <c r="W218" t="s">
        <v>1152</v>
      </c>
      <c r="Z218" t="s">
        <v>1154</v>
      </c>
      <c r="AA218" t="str">
        <v>Isha Nair</v>
      </c>
      <c r="AB218" t="str">
        <f>TRIM(PROPER(F:F))</f>
        <v>Consumer</v>
      </c>
      <c r="AC218" t="str">
        <f>TRIM(PROPER(G:G))</f>
        <v>West</v>
      </c>
      <c r="AD218" t="str">
        <f>TRIM(PROPER(H:H))</f>
        <v>Gujarat</v>
      </c>
      <c r="AE218" t="str">
        <f>TRIM(PROPER(I:I))</f>
        <v>Ahmedabad</v>
      </c>
      <c r="AF218" t="str">
        <f>TRIM(PROPER(J:J))</f>
        <v>Furniture</v>
      </c>
      <c r="AG218" t="str">
        <f>TRIM(PROPER(K:K))</f>
        <v>Tables</v>
      </c>
      <c r="AH218" t="str">
        <f>TRIM(PROPER(L:L))</f>
        <v>Basic Tables 400</v>
      </c>
      <c r="AI218" t="str">
        <f>TRIM(PROPER(M:M))</f>
        <v>Standard Class</v>
      </c>
      <c r="AJ218" s="5">
        <f>IF(OR(P218&lt;0,P218&gt;0.5),"invalid",P218)</f>
        <v>0.25</v>
      </c>
      <c r="AK218" s="6">
        <f>IFERROR(N218*O218*(1-AJ218), "NA")</f>
        <v>11039.22</v>
      </c>
      <c r="AL218" s="6">
        <f>IFERROR(AK218-R218,"NA")</f>
        <v>3396.3099999999995</v>
      </c>
      <c r="AM218" s="5">
        <f t="shared" si="15"/>
        <v>0.30765851210502188</v>
      </c>
      <c r="AN218" t="str">
        <v>04-10-25</v>
      </c>
      <c r="AO218" t="str">
        <v>15-04-25</v>
      </c>
      <c r="AP218" t="str">
        <f t="shared" si="16"/>
        <v>October</v>
      </c>
      <c r="AQ218" t="str">
        <f t="shared" si="17"/>
        <v>2025</v>
      </c>
      <c r="AR218" t="str">
        <f t="shared" si="18"/>
        <v xml:space="preserve"> </v>
      </c>
      <c r="AS218">
        <f t="shared" si="19"/>
        <v>-172</v>
      </c>
      <c r="AT218" t="str">
        <f>IF(COUNTIFS( $A:$A,A218,$B:$B,B218,$C:$C,C218,$D:$D,D218,$E:$E,E218,$F:$F,F218,$G:$G,G218,$H:$H,H218,$I:$I,I218,$J:$J,J218,$K:$K,K218,$L:$L,L218,$M:$M,M218,$T:$T,T218,$U:$U,U218,$W:$W,W218,$Z:$Z,Z218,$AA:$AA,AA218,$AB:$AB,AB218,$AC:$AC,AC218,$AD:$AD,AD218,$AE:$AE,AE218,$AF:$AF,AF218,$AG:$AG,AG218,$AH:$AH,AH218,$AI:$AI,AI218)&gt;1,"Duplicate","Unique")</f>
        <v>Unique</v>
      </c>
    </row>
    <row r="219" spans="1:46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  <c r="W219" t="s">
        <v>1156</v>
      </c>
      <c r="Z219" t="s">
        <v>1159</v>
      </c>
      <c r="AA219" t="str">
        <v>Aditi Sen</v>
      </c>
      <c r="AB219" t="str">
        <f>TRIM(PROPER(F:F))</f>
        <v>Consumer</v>
      </c>
      <c r="AC219" t="str">
        <f>TRIM(PROPER(G:G))</f>
        <v>East</v>
      </c>
      <c r="AD219" t="str">
        <f>TRIM(PROPER(H:H))</f>
        <v>Odisha</v>
      </c>
      <c r="AE219" t="str">
        <f>TRIM(PROPER(I:I))</f>
        <v>Bhubaneswar</v>
      </c>
      <c r="AF219" t="str">
        <f>TRIM(PROPER(J:J))</f>
        <v>Furniture</v>
      </c>
      <c r="AG219" t="str">
        <f>TRIM(PROPER(K:K))</f>
        <v>Bookcases</v>
      </c>
      <c r="AH219" t="str">
        <f>TRIM(PROPER(L:L))</f>
        <v>Basic Bookcases 405</v>
      </c>
      <c r="AI219" t="str">
        <f>TRIM(PROPER(M:M))</f>
        <v>Second Class</v>
      </c>
      <c r="AJ219" s="5">
        <f>IF(OR(P219&lt;0,P219&gt;0.5),"invalid",P219)</f>
        <v>0.1</v>
      </c>
      <c r="AK219" s="6">
        <f>IFERROR(N219*O219*(1-AJ219), "NA")</f>
        <v>4595.76</v>
      </c>
      <c r="AL219" s="6">
        <f>IFERROR(AK219-R219,"NA")</f>
        <v>1198.96</v>
      </c>
      <c r="AM219" s="5">
        <f t="shared" si="15"/>
        <v>0.26088394520166414</v>
      </c>
      <c r="AN219" t="str">
        <v>01-04-25</v>
      </c>
      <c r="AO219" t="str">
        <v>04-08-25</v>
      </c>
      <c r="AP219" t="str">
        <f t="shared" si="16"/>
        <v>April</v>
      </c>
      <c r="AQ219" t="str">
        <f t="shared" si="17"/>
        <v>2025</v>
      </c>
      <c r="AR219" t="str">
        <f t="shared" si="18"/>
        <v xml:space="preserve"> </v>
      </c>
      <c r="AS219">
        <f t="shared" si="19"/>
        <v>125</v>
      </c>
      <c r="AT219" t="str">
        <f>IF(COUNTIFS( $A:$A,A219,$B:$B,B219,$C:$C,C219,$D:$D,D219,$E:$E,E219,$F:$F,F219,$G:$G,G219,$H:$H,H219,$I:$I,I219,$J:$J,J219,$K:$K,K219,$L:$L,L219,$M:$M,M219,$T:$T,T219,$U:$U,U219,$W:$W,W219,$Z:$Z,Z219,$AA:$AA,AA219,$AB:$AB,AB219,$AC:$AC,AC219,$AD:$AD,AD219,$AE:$AE,AE219,$AF:$AF,AF219,$AG:$AG,AG219,$AH:$AH,AH219,$AI:$AI,AI219)&gt;1,"Duplicate","Unique")</f>
        <v>Unique</v>
      </c>
    </row>
    <row r="220" spans="1:46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  <c r="W220" t="s">
        <v>1161</v>
      </c>
      <c r="Z220" t="s">
        <v>1164</v>
      </c>
      <c r="AA220" t="str">
        <v>Priya Menon</v>
      </c>
      <c r="AB220" t="str">
        <f>TRIM(PROPER(F:F))</f>
        <v>Corporate</v>
      </c>
      <c r="AC220" t="str">
        <f>TRIM(PROPER(G:G))</f>
        <v>West</v>
      </c>
      <c r="AD220" t="str">
        <f>TRIM(PROPER(H:H))</f>
        <v>Gujarat</v>
      </c>
      <c r="AE220" t="str">
        <f>TRIM(PROPER(I:I))</f>
        <v>Ahmedabad</v>
      </c>
      <c r="AF220" t="str">
        <f>TRIM(PROPER(J:J))</f>
        <v>Furniture</v>
      </c>
      <c r="AG220" t="str">
        <f>TRIM(PROPER(K:K))</f>
        <v>Bookcases</v>
      </c>
      <c r="AH220" t="str">
        <f>TRIM(PROPER(L:L))</f>
        <v>Classic Bookcases 139</v>
      </c>
      <c r="AI220" t="str">
        <f>TRIM(PROPER(M:M))</f>
        <v>Standard Class</v>
      </c>
      <c r="AJ220" s="5">
        <f>IF(OR(P220&lt;0,P220&gt;0.5),"invalid",P220)</f>
        <v>0</v>
      </c>
      <c r="AK220" s="6">
        <f>IFERROR(N220*O220*(1-AJ220), "NA")</f>
        <v>1291.3999999999999</v>
      </c>
      <c r="AL220" s="6">
        <f>IFERROR(AK220-R220,"NA")</f>
        <v>534.46999999999991</v>
      </c>
      <c r="AM220" s="5">
        <f t="shared" si="15"/>
        <v>0.41386866966083319</v>
      </c>
      <c r="AN220" t="str">
        <v>26-02-25</v>
      </c>
      <c r="AO220" t="str">
        <v>27-02-25</v>
      </c>
      <c r="AP220" t="str">
        <f t="shared" si="16"/>
        <v>February</v>
      </c>
      <c r="AQ220" t="str">
        <f t="shared" si="17"/>
        <v>2025</v>
      </c>
      <c r="AR220" t="str">
        <f t="shared" si="18"/>
        <v xml:space="preserve"> </v>
      </c>
      <c r="AS220">
        <f t="shared" si="19"/>
        <v>1</v>
      </c>
      <c r="AT220" t="str">
        <f>IF(COUNTIFS( $A:$A,A220,$B:$B,B220,$C:$C,C220,$D:$D,D220,$E:$E,E220,$F:$F,F220,$G:$G,G220,$H:$H,H220,$I:$I,I220,$J:$J,J220,$K:$K,K220,$L:$L,L220,$M:$M,M220,$T:$T,T220,$U:$U,U220,$W:$W,W220,$Z:$Z,Z220,$AA:$AA,AA220,$AB:$AB,AB220,$AC:$AC,AC220,$AD:$AD,AD220,$AE:$AE,AE220,$AF:$AF,AF220,$AG:$AG,AG220,$AH:$AH,AH220,$AI:$AI,AI220)&gt;1,"Duplicate","Unique")</f>
        <v>Unique</v>
      </c>
    </row>
    <row r="221" spans="1:46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  <c r="W221" t="s">
        <v>1166</v>
      </c>
      <c r="Z221" t="s">
        <v>1168</v>
      </c>
      <c r="AA221" t="str">
        <v>Rahul Verma</v>
      </c>
      <c r="AB221" t="str">
        <f>TRIM(PROPER(F:F))</f>
        <v>Consumer</v>
      </c>
      <c r="AC221" t="str">
        <f>TRIM(PROPER(G:G))</f>
        <v>East</v>
      </c>
      <c r="AD221" t="str">
        <f>TRIM(PROPER(H:H))</f>
        <v>Bihar</v>
      </c>
      <c r="AE221" t="str">
        <f>TRIM(PROPER(I:I))</f>
        <v>Patna</v>
      </c>
      <c r="AF221" t="str">
        <f>TRIM(PROPER(J:J))</f>
        <v>Technology</v>
      </c>
      <c r="AG221" t="str">
        <f>TRIM(PROPER(K:K))</f>
        <v>Machines</v>
      </c>
      <c r="AH221" t="str">
        <f>TRIM(PROPER(L:L))</f>
        <v>Elite Machines 290</v>
      </c>
      <c r="AI221" t="str">
        <f>TRIM(PROPER(M:M))</f>
        <v>First Class</v>
      </c>
      <c r="AJ221" s="5" t="str">
        <f>IF(OR(P221&lt;0,P221&gt;0.5),"invalid",P221)</f>
        <v>invalid</v>
      </c>
      <c r="AK221" s="6" t="str">
        <f>IFERROR(N221*O221*(1-AJ221), "NA")</f>
        <v>NA</v>
      </c>
      <c r="AL221" s="6" t="str">
        <f>IFERROR(AK221-R221,"NA")</f>
        <v>NA</v>
      </c>
      <c r="AM221" s="5" t="str">
        <f t="shared" si="15"/>
        <v>NA</v>
      </c>
      <c r="AN221" t="str">
        <v>18-06-24</v>
      </c>
      <c r="AO221" t="str">
        <v>invalid date</v>
      </c>
      <c r="AP221" t="str">
        <f t="shared" si="16"/>
        <v>June</v>
      </c>
      <c r="AQ221" t="str">
        <f t="shared" si="17"/>
        <v>2024</v>
      </c>
      <c r="AR221" t="str">
        <f t="shared" si="18"/>
        <v>Invalid</v>
      </c>
      <c r="AS221" t="str">
        <f t="shared" si="19"/>
        <v>invalid date</v>
      </c>
      <c r="AT221" t="str">
        <f>IF(COUNTIFS( $A:$A,A221,$B:$B,B221,$C:$C,C221,$D:$D,D221,$E:$E,E221,$F:$F,F221,$G:$G,G221,$H:$H,H221,$I:$I,I221,$J:$J,J221,$K:$K,K221,$L:$L,L221,$M:$M,M221,$T:$T,T221,$U:$U,U221,$W:$W,W221,$Z:$Z,Z221,$AA:$AA,AA221,$AB:$AB,AB221,$AC:$AC,AC221,$AD:$AD,AD221,$AE:$AE,AE221,$AF:$AF,AF221,$AG:$AG,AG221,$AH:$AH,AH221,$AI:$AI,AI221)&gt;1,"Duplicate","Unique")</f>
        <v>Unique</v>
      </c>
    </row>
    <row r="222" spans="1:46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  <c r="W222" t="s">
        <v>1171</v>
      </c>
      <c r="Z222" t="s">
        <v>1173</v>
      </c>
      <c r="AA222" t="str">
        <v>Sneha Kapoor</v>
      </c>
      <c r="AB222" t="str">
        <f>TRIM(PROPER(F:F))</f>
        <v>Consumer</v>
      </c>
      <c r="AC222" t="str">
        <f>TRIM(PROPER(G:G))</f>
        <v>South</v>
      </c>
      <c r="AD222" t="str">
        <f>TRIM(PROPER(H:H))</f>
        <v>Kerala</v>
      </c>
      <c r="AE222" t="str">
        <f>TRIM(PROPER(I:I))</f>
        <v>Kochi</v>
      </c>
      <c r="AF222" t="str">
        <f>TRIM(PROPER(J:J))</f>
        <v>Office Supplies</v>
      </c>
      <c r="AG222" t="str">
        <f>TRIM(PROPER(K:K))</f>
        <v>Storage</v>
      </c>
      <c r="AH222" t="str">
        <f>TRIM(PROPER(L:L))</f>
        <v>Elite Storage 925</v>
      </c>
      <c r="AI222" t="str">
        <f>TRIM(PROPER(M:M))</f>
        <v>First Class</v>
      </c>
      <c r="AJ222" s="5">
        <f>IF(OR(P222&lt;0,P222&gt;0.5),"invalid",P222)</f>
        <v>0.15</v>
      </c>
      <c r="AK222" s="6">
        <f>IFERROR(N222*O222*(1-AJ222), "NA")</f>
        <v>9554.5779999999995</v>
      </c>
      <c r="AL222" s="6">
        <f>IFERROR(AK222-R222,"NA")</f>
        <v>3486.1079999999993</v>
      </c>
      <c r="AM222" s="5">
        <f t="shared" si="15"/>
        <v>0.36486258210462036</v>
      </c>
      <c r="AN222" t="str">
        <v>09-03-24</v>
      </c>
      <c r="AO222" t="str">
        <v>09-03-24</v>
      </c>
      <c r="AP222" t="str">
        <f t="shared" si="16"/>
        <v>March</v>
      </c>
      <c r="AQ222" t="str">
        <f t="shared" si="17"/>
        <v>2024</v>
      </c>
      <c r="AR222" t="str">
        <f t="shared" si="18"/>
        <v xml:space="preserve"> </v>
      </c>
      <c r="AS222">
        <f t="shared" si="19"/>
        <v>0</v>
      </c>
      <c r="AT222" t="str">
        <f>IF(COUNTIFS( $A:$A,A222,$B:$B,B222,$C:$C,C222,$D:$D,D222,$E:$E,E222,$F:$F,F222,$G:$G,G222,$H:$H,H222,$I:$I,I222,$J:$J,J222,$K:$K,K222,$L:$L,L222,$M:$M,M222,$T:$T,T222,$U:$U,U222,$W:$W,W222,$Z:$Z,Z222,$AA:$AA,AA222,$AB:$AB,AB222,$AC:$AC,AC222,$AD:$AD,AD222,$AE:$AE,AE222,$AF:$AF,AF222,$AG:$AG,AG222,$AH:$AH,AH222,$AI:$AI,AI222)&gt;1,"Duplicate","Unique")</f>
        <v>Unique</v>
      </c>
    </row>
    <row r="223" spans="1:46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  <c r="W223" t="s">
        <v>1175</v>
      </c>
      <c r="Z223" t="s">
        <v>1178</v>
      </c>
      <c r="AA223" t="str">
        <v>Mira Das</v>
      </c>
      <c r="AB223" t="str">
        <f>TRIM(PROPER(F:F))</f>
        <v>Corporate</v>
      </c>
      <c r="AC223" t="str">
        <f>TRIM(PROPER(G:G))</f>
        <v>South</v>
      </c>
      <c r="AD223" t="str">
        <f>TRIM(PROPER(H:H))</f>
        <v>Karnataka</v>
      </c>
      <c r="AE223" t="str">
        <f>TRIM(PROPER(I:I))</f>
        <v>Bengaluru</v>
      </c>
      <c r="AF223" t="str">
        <f>TRIM(PROPER(J:J))</f>
        <v>Furniture</v>
      </c>
      <c r="AG223" t="str">
        <f>TRIM(PROPER(K:K))</f>
        <v>Chairs</v>
      </c>
      <c r="AH223" t="str">
        <f>TRIM(PROPER(L:L))</f>
        <v>Classic Chairs 231</v>
      </c>
      <c r="AI223" t="str">
        <f>TRIM(PROPER(M:M))</f>
        <v>Same Day</v>
      </c>
      <c r="AJ223" s="5">
        <f>IF(OR(P223&lt;0,P223&gt;0.5),"invalid",P223)</f>
        <v>0.2</v>
      </c>
      <c r="AK223" s="6">
        <f>IFERROR(N223*O223*(1-AJ223), "NA")</f>
        <v>4900.8959999999997</v>
      </c>
      <c r="AL223" s="6">
        <f>IFERROR(AK223-R223,"NA")</f>
        <v>1348.2059999999997</v>
      </c>
      <c r="AM223" s="5">
        <f t="shared" si="15"/>
        <v>0.27509377877024932</v>
      </c>
      <c r="AN223" t="str">
        <v>12-01-25</v>
      </c>
      <c r="AO223" t="str">
        <v>15-01-25</v>
      </c>
      <c r="AP223" t="str">
        <f t="shared" si="16"/>
        <v>January</v>
      </c>
      <c r="AQ223" t="str">
        <f t="shared" si="17"/>
        <v>2025</v>
      </c>
      <c r="AR223" t="str">
        <f t="shared" si="18"/>
        <v xml:space="preserve"> </v>
      </c>
      <c r="AS223">
        <f t="shared" si="19"/>
        <v>3</v>
      </c>
      <c r="AT223" t="str">
        <f>IF(COUNTIFS( $A:$A,A223,$B:$B,B223,$C:$C,C223,$D:$D,D223,$E:$E,E223,$F:$F,F223,$G:$G,G223,$H:$H,H223,$I:$I,I223,$J:$J,J223,$K:$K,K223,$L:$L,L223,$M:$M,M223,$T:$T,T223,$U:$U,U223,$W:$W,W223,$Z:$Z,Z223,$AA:$AA,AA223,$AB:$AB,AB223,$AC:$AC,AC223,$AD:$AD,AD223,$AE:$AE,AE223,$AF:$AF,AF223,$AG:$AG,AG223,$AH:$AH,AH223,$AI:$AI,AI223)&gt;1,"Duplicate","Unique")</f>
        <v>Unique</v>
      </c>
    </row>
    <row r="224" spans="1:46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  <c r="W224" t="s">
        <v>1180</v>
      </c>
      <c r="Z224" t="s">
        <v>1182</v>
      </c>
      <c r="AA224" t="str">
        <v>Vikram Iyer</v>
      </c>
      <c r="AB224" t="str">
        <f>TRIM(PROPER(F:F))</f>
        <v>Small Business</v>
      </c>
      <c r="AC224" t="str">
        <f>TRIM(PROPER(G:G))</f>
        <v>West</v>
      </c>
      <c r="AD224" t="str">
        <f>TRIM(PROPER(H:H))</f>
        <v>Goa</v>
      </c>
      <c r="AE224" t="str">
        <f>TRIM(PROPER(I:I))</f>
        <v>Panaji</v>
      </c>
      <c r="AF224" t="str">
        <f>TRIM(PROPER(J:J))</f>
        <v>Office Supplies</v>
      </c>
      <c r="AG224" t="str">
        <f>TRIM(PROPER(K:K))</f>
        <v>Storage</v>
      </c>
      <c r="AH224" t="str">
        <f>TRIM(PROPER(L:L))</f>
        <v>Prime Storage 818</v>
      </c>
      <c r="AI224" t="str">
        <f>TRIM(PROPER(M:M))</f>
        <v>First Class</v>
      </c>
      <c r="AJ224" s="5">
        <f>IF(OR(P224&lt;0,P224&gt;0.5),"invalid",P224)</f>
        <v>0</v>
      </c>
      <c r="AK224" s="6">
        <f>IFERROR(N224*O224*(1-AJ224), "NA")</f>
        <v>25848.54</v>
      </c>
      <c r="AL224" s="6">
        <f>IFERROR(AK224-R224,"NA")</f>
        <v>8119.4500000000007</v>
      </c>
      <c r="AM224" s="5">
        <f t="shared" si="15"/>
        <v>0.31411638723115504</v>
      </c>
      <c r="AN224" t="str">
        <v>invalid date</v>
      </c>
      <c r="AO224" t="str">
        <v>02-05-25</v>
      </c>
      <c r="AP224" t="str">
        <f t="shared" si="16"/>
        <v>invalid date</v>
      </c>
      <c r="AQ224" t="str">
        <f t="shared" si="17"/>
        <v>invalid date</v>
      </c>
      <c r="AR224" t="str">
        <f t="shared" si="18"/>
        <v>Invalid</v>
      </c>
      <c r="AS224" t="str">
        <f t="shared" si="19"/>
        <v>invalid date</v>
      </c>
      <c r="AT224" t="str">
        <f>IF(COUNTIFS( $A:$A,A224,$B:$B,B224,$C:$C,C224,$D:$D,D224,$E:$E,E224,$F:$F,F224,$G:$G,G224,$H:$H,H224,$I:$I,I224,$J:$J,J224,$K:$K,K224,$L:$L,L224,$M:$M,M224,$T:$T,T224,$U:$U,U224,$W:$W,W224,$Z:$Z,Z224,$AA:$AA,AA224,$AB:$AB,AB224,$AC:$AC,AC224,$AD:$AD,AD224,$AE:$AE,AE224,$AF:$AF,AF224,$AG:$AG,AG224,$AH:$AH,AH224,$AI:$AI,AI224)&gt;1,"Duplicate","Unique")</f>
        <v>Unique</v>
      </c>
    </row>
    <row r="225" spans="1:46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  <c r="W225" t="s">
        <v>1184</v>
      </c>
      <c r="Z225" t="s">
        <v>1187</v>
      </c>
      <c r="AA225" t="str">
        <v>Mira Das</v>
      </c>
      <c r="AB225" t="str">
        <f>TRIM(PROPER(F:F))</f>
        <v>Corporate</v>
      </c>
      <c r="AC225" t="str">
        <f>TRIM(PROPER(G:G))</f>
        <v>West</v>
      </c>
      <c r="AD225" t="str">
        <f>TRIM(PROPER(H:H))</f>
        <v>Maharashtra</v>
      </c>
      <c r="AE225" t="str">
        <f>TRIM(PROPER(I:I))</f>
        <v>Mumbai</v>
      </c>
      <c r="AF225" t="str">
        <f>TRIM(PROPER(J:J))</f>
        <v>Furniture</v>
      </c>
      <c r="AG225" t="str">
        <f>TRIM(PROPER(K:K))</f>
        <v>Furnishings</v>
      </c>
      <c r="AH225" t="str">
        <f>TRIM(PROPER(L:L))</f>
        <v>Elite Furnishings 449</v>
      </c>
      <c r="AI225" t="str">
        <f>TRIM(PROPER(M:M))</f>
        <v>First Class</v>
      </c>
      <c r="AJ225" s="5">
        <f>IF(OR(P225&lt;0,P225&gt;0.5),"invalid",P225)</f>
        <v>0.2</v>
      </c>
      <c r="AK225" s="6">
        <f>IFERROR(N225*O225*(1-AJ225), "NA")</f>
        <v>1176.72</v>
      </c>
      <c r="AL225" s="6">
        <f>IFERROR(AK225-R225,"NA")</f>
        <v>522.39</v>
      </c>
      <c r="AM225" s="5">
        <f t="shared" si="15"/>
        <v>0.44393738527432181</v>
      </c>
      <c r="AN225" t="str">
        <v>19-02-25</v>
      </c>
      <c r="AO225" t="str">
        <v>invalid date</v>
      </c>
      <c r="AP225" t="str">
        <f t="shared" si="16"/>
        <v>February</v>
      </c>
      <c r="AQ225" t="str">
        <f t="shared" si="17"/>
        <v>2025</v>
      </c>
      <c r="AR225" t="str">
        <f t="shared" si="18"/>
        <v>Invalid</v>
      </c>
      <c r="AS225" t="str">
        <f t="shared" si="19"/>
        <v>invalid date</v>
      </c>
      <c r="AT225" t="str">
        <f>IF(COUNTIFS( $A:$A,A225,$B:$B,B225,$C:$C,C225,$D:$D,D225,$E:$E,E225,$F:$F,F225,$G:$G,G225,$H:$H,H225,$I:$I,I225,$J:$J,J225,$K:$K,K225,$L:$L,L225,$M:$M,M225,$T:$T,T225,$U:$U,U225,$W:$W,W225,$Z:$Z,Z225,$AA:$AA,AA225,$AB:$AB,AB225,$AC:$AC,AC225,$AD:$AD,AD225,$AE:$AE,AE225,$AF:$AF,AF225,$AG:$AG,AG225,$AH:$AH,AH225,$AI:$AI,AI225)&gt;1,"Duplicate","Unique")</f>
        <v>Unique</v>
      </c>
    </row>
    <row r="226" spans="1:46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  <c r="W226" t="s">
        <v>1189</v>
      </c>
      <c r="Z226" t="s">
        <v>1192</v>
      </c>
      <c r="AA226" t="str">
        <v>Isha Nair</v>
      </c>
      <c r="AB226" t="str">
        <f>TRIM(PROPER(F:F))</f>
        <v>Small Business</v>
      </c>
      <c r="AC226" t="str">
        <f>TRIM(PROPER(G:G))</f>
        <v>North</v>
      </c>
      <c r="AD226" t="str">
        <f>TRIM(PROPER(H:H))</f>
        <v>Punjab</v>
      </c>
      <c r="AE226" t="str">
        <f>TRIM(PROPER(I:I))</f>
        <v>Ludhiana</v>
      </c>
      <c r="AF226" t="str">
        <f>TRIM(PROPER(J:J))</f>
        <v>Furniture</v>
      </c>
      <c r="AG226" t="str">
        <f>TRIM(PROPER(K:K))</f>
        <v>Furnishings</v>
      </c>
      <c r="AH226" t="str">
        <f>TRIM(PROPER(L:L))</f>
        <v>Classic Furnishings 109</v>
      </c>
      <c r="AI226" t="str">
        <f>TRIM(PROPER(M:M))</f>
        <v>Standard Class</v>
      </c>
      <c r="AJ226" s="5">
        <f>IF(OR(P226&lt;0,P226&gt;0.5),"invalid",P226)</f>
        <v>0.25</v>
      </c>
      <c r="AK226" s="6">
        <f>IFERROR(N226*O226*(1-AJ226), "NA")</f>
        <v>11833.92</v>
      </c>
      <c r="AL226" s="6">
        <f>IFERROR(AK226-R226,"NA")</f>
        <v>5151</v>
      </c>
      <c r="AM226" s="5">
        <f t="shared" si="15"/>
        <v>0.43527419485681834</v>
      </c>
      <c r="AN226" t="str">
        <v>10-02-25</v>
      </c>
      <c r="AO226" t="str">
        <v>08-10-25</v>
      </c>
      <c r="AP226" t="str">
        <f t="shared" si="16"/>
        <v>February</v>
      </c>
      <c r="AQ226" t="str">
        <f t="shared" si="17"/>
        <v>2025</v>
      </c>
      <c r="AR226" t="str">
        <f t="shared" si="18"/>
        <v>anomaly</v>
      </c>
      <c r="AS226">
        <f t="shared" si="19"/>
        <v>240</v>
      </c>
      <c r="AT226" t="str">
        <f>IF(COUNTIFS( $A:$A,A226,$B:$B,B226,$C:$C,C226,$D:$D,D226,$E:$E,E226,$F:$F,F226,$G:$G,G226,$H:$H,H226,$I:$I,I226,$J:$J,J226,$K:$K,K226,$L:$L,L226,$M:$M,M226,$T:$T,T226,$U:$U,U226,$W:$W,W226,$Z:$Z,Z226,$AA:$AA,AA226,$AB:$AB,AB226,$AC:$AC,AC226,$AD:$AD,AD226,$AE:$AE,AE226,$AF:$AF,AF226,$AG:$AG,AG226,$AH:$AH,AH226,$AI:$AI,AI226)&gt;1,"Duplicate","Unique")</f>
        <v>Unique</v>
      </c>
    </row>
    <row r="227" spans="1:46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  <c r="W227" t="s">
        <v>1194</v>
      </c>
      <c r="Z227" t="s">
        <v>1197</v>
      </c>
      <c r="AA227" t="str">
        <v>Mira Das</v>
      </c>
      <c r="AB227" t="str">
        <f>TRIM(PROPER(F:F))</f>
        <v>Corporate</v>
      </c>
      <c r="AC227" t="str">
        <f>TRIM(PROPER(G:G))</f>
        <v>West</v>
      </c>
      <c r="AD227" t="str">
        <f>TRIM(PROPER(H:H))</f>
        <v>Goa</v>
      </c>
      <c r="AE227" t="str">
        <f>TRIM(PROPER(I:I))</f>
        <v>Panaji</v>
      </c>
      <c r="AF227" t="str">
        <f>TRIM(PROPER(J:J))</f>
        <v>Technology</v>
      </c>
      <c r="AG227" t="str">
        <f>TRIM(PROPER(K:K))</f>
        <v>Phones</v>
      </c>
      <c r="AH227" t="str">
        <f>TRIM(PROPER(L:L))</f>
        <v>Classic Phones 548</v>
      </c>
      <c r="AI227" t="str">
        <f>TRIM(PROPER(M:M))</f>
        <v>Standard Class</v>
      </c>
      <c r="AJ227" s="5">
        <f>IF(OR(P227&lt;0,P227&gt;0.5),"invalid",P227)</f>
        <v>0.15</v>
      </c>
      <c r="AK227" s="6">
        <f>IFERROR(N227*O227*(1-AJ227), "NA")</f>
        <v>5265.5969999999998</v>
      </c>
      <c r="AL227" s="6">
        <f>IFERROR(AK227-R227,"NA")</f>
        <v>972.48700000000008</v>
      </c>
      <c r="AM227" s="5">
        <f t="shared" si="15"/>
        <v>0.18468694053114967</v>
      </c>
      <c r="AN227" t="str">
        <v>02-09-24</v>
      </c>
      <c r="AO227" t="str">
        <v>10-09-24</v>
      </c>
      <c r="AP227" t="str">
        <f t="shared" si="16"/>
        <v>September</v>
      </c>
      <c r="AQ227" t="str">
        <f t="shared" si="17"/>
        <v>2024</v>
      </c>
      <c r="AR227" t="str">
        <f t="shared" si="18"/>
        <v xml:space="preserve"> </v>
      </c>
      <c r="AS227">
        <f t="shared" si="19"/>
        <v>8</v>
      </c>
      <c r="AT227" t="str">
        <f>IF(COUNTIFS( $A:$A,A227,$B:$B,B227,$C:$C,C227,$D:$D,D227,$E:$E,E227,$F:$F,F227,$G:$G,G227,$H:$H,H227,$I:$I,I227,$J:$J,J227,$K:$K,K227,$L:$L,L227,$M:$M,M227,$T:$T,T227,$U:$U,U227,$W:$W,W227,$Z:$Z,Z227,$AA:$AA,AA227,$AB:$AB,AB227,$AC:$AC,AC227,$AD:$AD,AD227,$AE:$AE,AE227,$AF:$AF,AF227,$AG:$AG,AG227,$AH:$AH,AH227,$AI:$AI,AI227)&gt;1,"Duplicate","Unique")</f>
        <v>Unique</v>
      </c>
    </row>
    <row r="228" spans="1:46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  <c r="W228" t="s">
        <v>1199</v>
      </c>
      <c r="Z228" t="s">
        <v>1201</v>
      </c>
      <c r="AA228" t="str">
        <v>Diya Patel</v>
      </c>
      <c r="AB228" t="str">
        <f>TRIM(PROPER(F:F))</f>
        <v>Home Office</v>
      </c>
      <c r="AC228" t="s">
        <v>4111</v>
      </c>
      <c r="AD228" t="str">
        <f>TRIM(PROPER(H:H))</f>
        <v>Kerala</v>
      </c>
      <c r="AE228" t="str">
        <f>TRIM(PROPER(I:I))</f>
        <v>Kochi</v>
      </c>
      <c r="AF228" t="str">
        <f>TRIM(PROPER(J:J))</f>
        <v>Technology</v>
      </c>
      <c r="AG228" t="str">
        <f>TRIM(PROPER(K:K))</f>
        <v>Copiers</v>
      </c>
      <c r="AH228" t="str">
        <f>TRIM(PROPER(L:L))</f>
        <v>Max Copiers 363</v>
      </c>
      <c r="AI228" t="str">
        <f>TRIM(PROPER(M:M))</f>
        <v>Same Day</v>
      </c>
      <c r="AJ228" s="5">
        <f>IF(OR(P228&lt;0,P228&gt;0.5),"invalid",P228)</f>
        <v>0.1</v>
      </c>
      <c r="AK228" s="6">
        <f>IFERROR(N228*O228*(1-AJ228), "NA")</f>
        <v>1987.443</v>
      </c>
      <c r="AL228" s="6">
        <f>IFERROR(AK228-R228,"NA")</f>
        <v>877.21299999999997</v>
      </c>
      <c r="AM228" s="5">
        <f t="shared" si="15"/>
        <v>0.44137768982556985</v>
      </c>
      <c r="AN228" t="str">
        <v>10-04-25</v>
      </c>
      <c r="AO228" t="str">
        <v>15-04-25</v>
      </c>
      <c r="AP228" t="str">
        <f t="shared" si="16"/>
        <v>April</v>
      </c>
      <c r="AQ228" t="str">
        <f t="shared" si="17"/>
        <v>2025</v>
      </c>
      <c r="AR228" t="str">
        <f t="shared" si="18"/>
        <v xml:space="preserve"> </v>
      </c>
      <c r="AS228">
        <f t="shared" si="19"/>
        <v>5</v>
      </c>
      <c r="AT228" t="str">
        <f>IF(COUNTIFS( $A:$A,A228,$B:$B,B228,$C:$C,C228,$D:$D,D228,$E:$E,E228,$F:$F,F228,$G:$G,G228,$H:$H,H228,$I:$I,I228,$J:$J,J228,$K:$K,K228,$L:$L,L228,$M:$M,M228,$T:$T,T228,$U:$U,U228,$W:$W,W228,$Z:$Z,Z228,$AA:$AA,AA228,$AB:$AB,AB228,$AC:$AC,AC228,$AD:$AD,AD228,$AE:$AE,AE228,$AF:$AF,AF228,$AG:$AG,AG228,$AH:$AH,AH228,$AI:$AI,AI228)&gt;1,"Duplicate","Unique")</f>
        <v>Unique</v>
      </c>
    </row>
    <row r="229" spans="1:46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  <c r="W229" t="s">
        <v>1203</v>
      </c>
      <c r="Z229" t="s">
        <v>1206</v>
      </c>
      <c r="AA229" t="str">
        <v>Ananya Rao</v>
      </c>
      <c r="AB229" t="str">
        <f>TRIM(PROPER(F:F))</f>
        <v>Small Business</v>
      </c>
      <c r="AC229" t="str">
        <f>TRIM(PROPER(G:G))</f>
        <v>West</v>
      </c>
      <c r="AD229" t="str">
        <f>TRIM(PROPER(H:H))</f>
        <v>Goa</v>
      </c>
      <c r="AE229" t="str">
        <f>TRIM(PROPER(I:I))</f>
        <v>Panaji</v>
      </c>
      <c r="AF229" t="str">
        <f>TRIM(PROPER(J:J))</f>
        <v>Office Supplies</v>
      </c>
      <c r="AG229" t="str">
        <f>TRIM(PROPER(K:K))</f>
        <v>Binders</v>
      </c>
      <c r="AH229" t="str">
        <f>TRIM(PROPER(L:L))</f>
        <v>Prime Binders 507</v>
      </c>
      <c r="AI229" t="str">
        <f>TRIM(PROPER(M:M))</f>
        <v>First Class</v>
      </c>
      <c r="AJ229" s="5">
        <f>IF(OR(P229&lt;0,P229&gt;0.5),"invalid",P229)</f>
        <v>0.15</v>
      </c>
      <c r="AK229" s="6">
        <f>IFERROR(N229*O229*(1-AJ229), "NA")</f>
        <v>1473.2625</v>
      </c>
      <c r="AL229" s="6">
        <f>IFERROR(AK229-R229,"NA")</f>
        <v>573.40250000000003</v>
      </c>
      <c r="AM229" s="5">
        <f t="shared" si="15"/>
        <v>0.38920592901808065</v>
      </c>
      <c r="AN229" t="str">
        <v>05-07-24</v>
      </c>
      <c r="AO229" t="str">
        <v>12-07-24</v>
      </c>
      <c r="AP229" t="str">
        <f t="shared" si="16"/>
        <v>July</v>
      </c>
      <c r="AQ229" t="str">
        <f t="shared" si="17"/>
        <v>2024</v>
      </c>
      <c r="AR229" t="str">
        <f t="shared" si="18"/>
        <v xml:space="preserve"> </v>
      </c>
      <c r="AS229">
        <f t="shared" si="19"/>
        <v>7</v>
      </c>
      <c r="AT229" t="str">
        <f>IF(COUNTIFS( $A:$A,A229,$B:$B,B229,$C:$C,C229,$D:$D,D229,$E:$E,E229,$F:$F,F229,$G:$G,G229,$H:$H,H229,$I:$I,I229,$J:$J,J229,$K:$K,K229,$L:$L,L229,$M:$M,M229,$T:$T,T229,$U:$U,U229,$W:$W,W229,$Z:$Z,Z229,$AA:$AA,AA229,$AB:$AB,AB229,$AC:$AC,AC229,$AD:$AD,AD229,$AE:$AE,AE229,$AF:$AF,AF229,$AG:$AG,AG229,$AH:$AH,AH229,$AI:$AI,AI229)&gt;1,"Duplicate","Unique")</f>
        <v>Unique</v>
      </c>
    </row>
    <row r="230" spans="1:46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  <c r="W230" t="s">
        <v>1209</v>
      </c>
      <c r="Z230" t="s">
        <v>1212</v>
      </c>
      <c r="AA230" t="str">
        <v>Karan Malhotra</v>
      </c>
      <c r="AB230" t="str">
        <f>TRIM(PROPER(F:F))</f>
        <v>Small Business</v>
      </c>
      <c r="AC230" t="str">
        <f>TRIM(PROPER(G:G))</f>
        <v>South</v>
      </c>
      <c r="AD230" t="str">
        <f>TRIM(PROPER(H:H))</f>
        <v>Telangana</v>
      </c>
      <c r="AE230" t="str">
        <f>TRIM(PROPER(I:I))</f>
        <v>Hyderabad</v>
      </c>
      <c r="AF230" t="str">
        <f>TRIM(PROPER(J:J))</f>
        <v>Office Supplies</v>
      </c>
      <c r="AG230" t="str">
        <f>TRIM(PROPER(K:K))</f>
        <v>Labels</v>
      </c>
      <c r="AH230" t="str">
        <f>TRIM(PROPER(L:L))</f>
        <v>Smart Labels 914</v>
      </c>
      <c r="AI230" t="str">
        <f>TRIM(PROPER(M:M))</f>
        <v>Second Class</v>
      </c>
      <c r="AJ230" s="5">
        <f>IF(OR(P230&lt;0,P230&gt;0.5),"invalid",P230)</f>
        <v>0.15</v>
      </c>
      <c r="AK230" s="6">
        <f>IFERROR(N230*O230*(1-AJ230), "NA")</f>
        <v>2715.2145</v>
      </c>
      <c r="AL230" s="6">
        <f>IFERROR(AK230-R230,"NA")</f>
        <v>1163.6645000000001</v>
      </c>
      <c r="AM230" s="5">
        <f t="shared" si="15"/>
        <v>0.42857184948003191</v>
      </c>
      <c r="AN230" t="str">
        <v>24-04-24</v>
      </c>
      <c r="AO230" t="str">
        <v>28-04-24</v>
      </c>
      <c r="AP230" t="str">
        <f t="shared" si="16"/>
        <v>April</v>
      </c>
      <c r="AQ230" t="str">
        <f t="shared" si="17"/>
        <v>2024</v>
      </c>
      <c r="AR230" t="str">
        <f t="shared" si="18"/>
        <v xml:space="preserve"> </v>
      </c>
      <c r="AS230">
        <f t="shared" si="19"/>
        <v>4</v>
      </c>
      <c r="AT230" t="str">
        <f>IF(COUNTIFS( $A:$A,A230,$B:$B,B230,$C:$C,C230,$D:$D,D230,$E:$E,E230,$F:$F,F230,$G:$G,G230,$H:$H,H230,$I:$I,I230,$J:$J,J230,$K:$K,K230,$L:$L,L230,$M:$M,M230,$T:$T,T230,$U:$U,U230,$W:$W,W230,$Z:$Z,Z230,$AA:$AA,AA230,$AB:$AB,AB230,$AC:$AC,AC230,$AD:$AD,AD230,$AE:$AE,AE230,$AF:$AF,AF230,$AG:$AG,AG230,$AH:$AH,AH230,$AI:$AI,AI230)&gt;1,"Duplicate","Unique")</f>
        <v>Unique</v>
      </c>
    </row>
    <row r="231" spans="1:46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  <c r="W231" t="s">
        <v>1214</v>
      </c>
      <c r="Z231" t="s">
        <v>1217</v>
      </c>
      <c r="AA231" t="str">
        <v>Rohan Mehta</v>
      </c>
      <c r="AB231" t="str">
        <f>TRIM(PROPER(F:F))</f>
        <v>Consumer</v>
      </c>
      <c r="AC231" t="str">
        <f>TRIM(PROPER(G:G))</f>
        <v>South</v>
      </c>
      <c r="AD231" t="str">
        <f>TRIM(PROPER(H:H))</f>
        <v>Telangana</v>
      </c>
      <c r="AE231" t="str">
        <f>TRIM(PROPER(I:I))</f>
        <v>Hyderabad</v>
      </c>
      <c r="AF231" t="str">
        <f>TRIM(PROPER(J:J))</f>
        <v>Furniture</v>
      </c>
      <c r="AG231" t="str">
        <f>TRIM(PROPER(K:K))</f>
        <v>Bookcases</v>
      </c>
      <c r="AH231" t="str">
        <f>TRIM(PROPER(L:L))</f>
        <v>Smart Bookcases 662</v>
      </c>
      <c r="AI231" t="str">
        <f>TRIM(PROPER(M:M))</f>
        <v>First Class</v>
      </c>
      <c r="AJ231" s="5">
        <f>IF(OR(P231&lt;0,P231&gt;0.5),"invalid",P231)</f>
        <v>0</v>
      </c>
      <c r="AK231" s="6">
        <f>IFERROR(N231*O231*(1-AJ231), "NA")</f>
        <v>8658.69</v>
      </c>
      <c r="AL231" s="6">
        <f>IFERROR(AK231-R231,"NA")</f>
        <v>3122.7500000000009</v>
      </c>
      <c r="AM231" s="5">
        <f t="shared" si="15"/>
        <v>0.36064924370776652</v>
      </c>
      <c r="AN231" t="str">
        <v>28-06-25</v>
      </c>
      <c r="AO231" t="str">
        <v>07-04-25</v>
      </c>
      <c r="AP231" t="str">
        <f t="shared" si="16"/>
        <v>June</v>
      </c>
      <c r="AQ231" t="str">
        <f t="shared" si="17"/>
        <v>2025</v>
      </c>
      <c r="AR231" t="str">
        <f t="shared" si="18"/>
        <v>anomaly</v>
      </c>
      <c r="AS231">
        <f t="shared" si="19"/>
        <v>-82</v>
      </c>
      <c r="AT231" t="str">
        <f>IF(COUNTIFS( $A:$A,A231,$B:$B,B231,$C:$C,C231,$D:$D,D231,$E:$E,E231,$F:$F,F231,$G:$G,G231,$H:$H,H231,$I:$I,I231,$J:$J,J231,$K:$K,K231,$L:$L,L231,$M:$M,M231,$T:$T,T231,$U:$U,U231,$W:$W,W231,$Z:$Z,Z231,$AA:$AA,AA231,$AB:$AB,AB231,$AC:$AC,AC231,$AD:$AD,AD231,$AE:$AE,AE231,$AF:$AF,AF231,$AG:$AG,AG231,$AH:$AH,AH231,$AI:$AI,AI231)&gt;1,"Duplicate","Unique")</f>
        <v>Unique</v>
      </c>
    </row>
    <row r="232" spans="1:46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  <c r="W232" t="s">
        <v>1219</v>
      </c>
      <c r="Z232" t="s">
        <v>1221</v>
      </c>
      <c r="AA232" t="str">
        <v>Neha Gupta</v>
      </c>
      <c r="AB232" t="str">
        <f>TRIM(PROPER(F:F))</f>
        <v>Small Business</v>
      </c>
      <c r="AC232" t="str">
        <f>TRIM(PROPER(G:G))</f>
        <v>North</v>
      </c>
      <c r="AD232" t="str">
        <f>TRIM(PROPER(H:H))</f>
        <v>Rajasthan</v>
      </c>
      <c r="AE232" t="str">
        <f>TRIM(PROPER(I:I))</f>
        <v>Jaipur</v>
      </c>
      <c r="AF232" t="str">
        <f>TRIM(PROPER(J:J))</f>
        <v>Office Supplies</v>
      </c>
      <c r="AG232" t="str">
        <f>TRIM(PROPER(K:K))</f>
        <v>Paper</v>
      </c>
      <c r="AH232" t="str">
        <f>TRIM(PROPER(L:L))</f>
        <v>Eco Paper 937</v>
      </c>
      <c r="AI232" t="str">
        <f>TRIM(PROPER(M:M))</f>
        <v>Standard Class</v>
      </c>
      <c r="AJ232" s="5">
        <f>IF(OR(P232&lt;0,P232&gt;0.5),"invalid",P232)</f>
        <v>0.1</v>
      </c>
      <c r="AK232" s="6">
        <f>IFERROR(N232*O232*(1-AJ232), "NA")</f>
        <v>11090.376</v>
      </c>
      <c r="AL232" s="6">
        <f>IFERROR(AK232-R232,"NA")</f>
        <v>2249.4259999999995</v>
      </c>
      <c r="AM232" s="5">
        <f t="shared" si="15"/>
        <v>0.20282684734944958</v>
      </c>
      <c r="AN232" t="str">
        <v>28-05-24</v>
      </c>
      <c r="AO232" t="str">
        <v>03-06-24</v>
      </c>
      <c r="AP232" t="str">
        <f t="shared" si="16"/>
        <v>May</v>
      </c>
      <c r="AQ232" t="str">
        <f t="shared" si="17"/>
        <v>2024</v>
      </c>
      <c r="AR232" t="str">
        <f t="shared" si="18"/>
        <v>anomaly</v>
      </c>
      <c r="AS232">
        <f t="shared" si="19"/>
        <v>6</v>
      </c>
      <c r="AT232" t="str">
        <f>IF(COUNTIFS( $A:$A,A232,$B:$B,B232,$C:$C,C232,$D:$D,D232,$E:$E,E232,$F:$F,F232,$G:$G,G232,$H:$H,H232,$I:$I,I232,$J:$J,J232,$K:$K,K232,$L:$L,L232,$M:$M,M232,$T:$T,T232,$U:$U,U232,$W:$W,W232,$Z:$Z,Z232,$AA:$AA,AA232,$AB:$AB,AB232,$AC:$AC,AC232,$AD:$AD,AD232,$AE:$AE,AE232,$AF:$AF,AF232,$AG:$AG,AG232,$AH:$AH,AH232,$AI:$AI,AI232)&gt;1,"Duplicate","Unique")</f>
        <v>Unique</v>
      </c>
    </row>
    <row r="233" spans="1:46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  <c r="W233" t="s">
        <v>1223</v>
      </c>
      <c r="Z233" t="s">
        <v>1226</v>
      </c>
      <c r="AA233" t="str">
        <v>Ananya Rao</v>
      </c>
      <c r="AB233" t="str">
        <f>TRIM(PROPER(F:F))</f>
        <v>Corporate</v>
      </c>
      <c r="AC233" t="str">
        <f>TRIM(PROPER(G:G))</f>
        <v>North</v>
      </c>
      <c r="AD233" t="str">
        <f>TRIM(PROPER(H:H))</f>
        <v>Rajasthan</v>
      </c>
      <c r="AE233" t="str">
        <f>TRIM(PROPER(I:I))</f>
        <v>Jaipur</v>
      </c>
      <c r="AF233" t="str">
        <f>TRIM(PROPER(J:J))</f>
        <v>Office Supplies</v>
      </c>
      <c r="AG233" t="str">
        <f>TRIM(PROPER(K:K))</f>
        <v>Labels</v>
      </c>
      <c r="AH233" t="str">
        <f>TRIM(PROPER(L:L))</f>
        <v>Max Labels 370</v>
      </c>
      <c r="AI233" t="str">
        <f>TRIM(PROPER(M:M))</f>
        <v>First Class</v>
      </c>
      <c r="AJ233" s="5">
        <f>IF(OR(P233&lt;0,P233&gt;0.5),"invalid",P233)</f>
        <v>0.25</v>
      </c>
      <c r="AK233" s="6">
        <f>IFERROR(N233*O233*(1-AJ233), "NA")</f>
        <v>11462.744999999999</v>
      </c>
      <c r="AL233" s="6">
        <f>IFERROR(AK233-R233,"NA")</f>
        <v>4299.204999999999</v>
      </c>
      <c r="AM233" s="5">
        <f t="shared" si="15"/>
        <v>0.37505894094302888</v>
      </c>
      <c r="AN233" t="str">
        <v>02-05-24</v>
      </c>
      <c r="AO233" t="str">
        <v>05-02-24</v>
      </c>
      <c r="AP233" t="str">
        <f t="shared" si="16"/>
        <v>May</v>
      </c>
      <c r="AQ233" t="str">
        <f t="shared" si="17"/>
        <v>2024</v>
      </c>
      <c r="AR233" t="str">
        <f t="shared" si="18"/>
        <v xml:space="preserve"> </v>
      </c>
      <c r="AS233">
        <f t="shared" si="19"/>
        <v>-87</v>
      </c>
      <c r="AT233" t="str">
        <f>IF(COUNTIFS( $A:$A,A233,$B:$B,B233,$C:$C,C233,$D:$D,D233,$E:$E,E233,$F:$F,F233,$G:$G,G233,$H:$H,H233,$I:$I,I233,$J:$J,J233,$K:$K,K233,$L:$L,L233,$M:$M,M233,$T:$T,T233,$U:$U,U233,$W:$W,W233,$Z:$Z,Z233,$AA:$AA,AA233,$AB:$AB,AB233,$AC:$AC,AC233,$AD:$AD,AD233,$AE:$AE,AE233,$AF:$AF,AF233,$AG:$AG,AG233,$AH:$AH,AH233,$AI:$AI,AI233)&gt;1,"Duplicate","Unique")</f>
        <v>Unique</v>
      </c>
    </row>
    <row r="234" spans="1:46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  <c r="W234" t="s">
        <v>1229</v>
      </c>
      <c r="Z234" t="s">
        <v>1232</v>
      </c>
      <c r="AA234" t="str">
        <v>Rahul Verma</v>
      </c>
      <c r="AB234" t="str">
        <f>TRIM(PROPER(F:F))</f>
        <v>Consumer</v>
      </c>
      <c r="AC234" t="str">
        <f>TRIM(PROPER(G:G))</f>
        <v>South</v>
      </c>
      <c r="AD234" t="str">
        <f>TRIM(PROPER(H:H))</f>
        <v>Andhra Pradesh</v>
      </c>
      <c r="AE234" t="str">
        <f>TRIM(PROPER(I:I))</f>
        <v>Vijayawada</v>
      </c>
      <c r="AF234" t="str">
        <f>TRIM(PROPER(J:J))</f>
        <v>Technology</v>
      </c>
      <c r="AG234" t="str">
        <f>TRIM(PROPER(K:K))</f>
        <v>Phones</v>
      </c>
      <c r="AH234" t="str">
        <f>TRIM(PROPER(L:L))</f>
        <v>Classic Phones 530</v>
      </c>
      <c r="AI234" t="str">
        <f>TRIM(PROPER(M:M))</f>
        <v>Standard Class</v>
      </c>
      <c r="AJ234" s="5">
        <f>IF(OR(P234&lt;0,P234&gt;0.5),"invalid",P234)</f>
        <v>0.25</v>
      </c>
      <c r="AK234" s="6">
        <f>IFERROR(N234*O234*(1-AJ234), "NA")</f>
        <v>670.11</v>
      </c>
      <c r="AL234" s="6">
        <f>IFERROR(AK234-R234,"NA")</f>
        <v>110.53999999999996</v>
      </c>
      <c r="AM234" s="5">
        <f t="shared" si="15"/>
        <v>0.16495799197146732</v>
      </c>
      <c r="AN234" t="str">
        <v>04-06-25</v>
      </c>
      <c r="AO234" t="str">
        <v>10-06-25</v>
      </c>
      <c r="AP234" t="str">
        <f t="shared" si="16"/>
        <v>June</v>
      </c>
      <c r="AQ234" t="str">
        <f t="shared" si="17"/>
        <v>2025</v>
      </c>
      <c r="AR234" t="str">
        <f t="shared" si="18"/>
        <v xml:space="preserve"> </v>
      </c>
      <c r="AS234">
        <f t="shared" si="19"/>
        <v>6</v>
      </c>
      <c r="AT234" t="str">
        <f>IF(COUNTIFS( $A:$A,A234,$B:$B,B234,$C:$C,C234,$D:$D,D234,$E:$E,E234,$F:$F,F234,$G:$G,G234,$H:$H,H234,$I:$I,I234,$J:$J,J234,$K:$K,K234,$L:$L,L234,$M:$M,M234,$T:$T,T234,$U:$U,U234,$W:$W,W234,$Z:$Z,Z234,$AA:$AA,AA234,$AB:$AB,AB234,$AC:$AC,AC234,$AD:$AD,AD234,$AE:$AE,AE234,$AF:$AF,AF234,$AG:$AG,AG234,$AH:$AH,AH234,$AI:$AI,AI234)&gt;1,"Duplicate","Unique")</f>
        <v>Unique</v>
      </c>
    </row>
    <row r="235" spans="1:46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  <c r="W235" t="s">
        <v>1234</v>
      </c>
      <c r="Z235" t="s">
        <v>1237</v>
      </c>
      <c r="AA235" t="str">
        <v>Vikram Iyer</v>
      </c>
      <c r="AB235" t="str">
        <f>TRIM(PROPER(F:F))</f>
        <v>Corporate</v>
      </c>
      <c r="AC235" t="str">
        <f>TRIM(PROPER(G:G))</f>
        <v>South</v>
      </c>
      <c r="AD235" t="str">
        <f>TRIM(PROPER(H:H))</f>
        <v>Karnataka</v>
      </c>
      <c r="AE235" t="str">
        <f>TRIM(PROPER(I:I))</f>
        <v>Bengaluru</v>
      </c>
      <c r="AF235" t="str">
        <f>TRIM(PROPER(J:J))</f>
        <v>Furniture</v>
      </c>
      <c r="AG235" t="str">
        <f>TRIM(PROPER(K:K))</f>
        <v>Bookcases</v>
      </c>
      <c r="AH235" t="str">
        <f>TRIM(PROPER(L:L))</f>
        <v>Smart Bookcases 328</v>
      </c>
      <c r="AI235" t="s">
        <v>4095</v>
      </c>
      <c r="AJ235" s="5">
        <f>IF(OR(P235&lt;0,P235&gt;0.5),"invalid",P235)</f>
        <v>0</v>
      </c>
      <c r="AK235" s="6">
        <f>IFERROR(N235*O235*(1-AJ235), "NA")</f>
        <v>31236.720000000001</v>
      </c>
      <c r="AL235" s="6">
        <f>IFERROR(AK235-R235,"NA")</f>
        <v>4859.0200000000004</v>
      </c>
      <c r="AM235" s="5">
        <f t="shared" si="15"/>
        <v>0.15555474454424154</v>
      </c>
      <c r="AN235" t="str">
        <v>14-10-24</v>
      </c>
      <c r="AO235" t="str">
        <v>invalid date</v>
      </c>
      <c r="AP235" t="str">
        <f t="shared" si="16"/>
        <v>October</v>
      </c>
      <c r="AQ235" t="str">
        <f t="shared" si="17"/>
        <v>2024</v>
      </c>
      <c r="AR235" t="str">
        <f t="shared" si="18"/>
        <v>Invalid</v>
      </c>
      <c r="AS235" t="str">
        <f t="shared" si="19"/>
        <v>invalid date</v>
      </c>
      <c r="AT235" t="str">
        <f>IF(COUNTIFS( $A:$A,A235,$B:$B,B235,$C:$C,C235,$D:$D,D235,$E:$E,E235,$F:$F,F235,$G:$G,G235,$H:$H,H235,$I:$I,I235,$J:$J,J235,$K:$K,K235,$L:$L,L235,$M:$M,M235,$T:$T,T235,$U:$U,U235,$W:$W,W235,$Z:$Z,Z235,$AA:$AA,AA235,$AB:$AB,AB235,$AC:$AC,AC235,$AD:$AD,AD235,$AE:$AE,AE235,$AF:$AF,AF235,$AG:$AG,AG235,$AH:$AH,AH235,$AI:$AI,AI235)&gt;1,"Duplicate","Unique")</f>
        <v>Unique</v>
      </c>
    </row>
    <row r="236" spans="1:46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  <c r="W236" t="s">
        <v>1239</v>
      </c>
      <c r="Z236" t="s">
        <v>1242</v>
      </c>
      <c r="AA236" t="str">
        <v>Kabir Singh</v>
      </c>
      <c r="AB236" t="str">
        <f>TRIM(PROPER(F:F))</f>
        <v>Home Office</v>
      </c>
      <c r="AC236" t="str">
        <f>TRIM(PROPER(G:G))</f>
        <v>North</v>
      </c>
      <c r="AD236" t="str">
        <f>TRIM(PROPER(H:H))</f>
        <v>Delhi</v>
      </c>
      <c r="AE236" t="str">
        <f>TRIM(PROPER(I:I))</f>
        <v>New Delhi</v>
      </c>
      <c r="AF236" t="str">
        <f>TRIM(PROPER(J:J))</f>
        <v>Furniture</v>
      </c>
      <c r="AG236" t="str">
        <f>TRIM(PROPER(K:K))</f>
        <v>Furnishings</v>
      </c>
      <c r="AH236" t="str">
        <f>TRIM(PROPER(L:L))</f>
        <v>Eco Furnishings 981</v>
      </c>
      <c r="AI236" t="str">
        <f>TRIM(PROPER(M:M))</f>
        <v>First Class</v>
      </c>
      <c r="AJ236" s="5">
        <f>IF(OR(P236&lt;0,P236&gt;0.5),"invalid",P236)</f>
        <v>0.1</v>
      </c>
      <c r="AK236" s="6">
        <f>IFERROR(N236*O236*(1-AJ236), "NA")</f>
        <v>10964.241</v>
      </c>
      <c r="AL236" s="6">
        <f>IFERROR(AK236-R236,"NA")</f>
        <v>1701.7710000000006</v>
      </c>
      <c r="AM236" s="5">
        <f t="shared" si="15"/>
        <v>0.15521101734265058</v>
      </c>
      <c r="AN236" t="str">
        <v>09-02-24</v>
      </c>
      <c r="AO236" t="str">
        <v>03-09-24</v>
      </c>
      <c r="AP236" t="str">
        <f t="shared" si="16"/>
        <v>February</v>
      </c>
      <c r="AQ236" t="str">
        <f t="shared" si="17"/>
        <v>2024</v>
      </c>
      <c r="AR236" t="str">
        <f t="shared" si="18"/>
        <v>anomaly</v>
      </c>
      <c r="AS236">
        <f t="shared" si="19"/>
        <v>207</v>
      </c>
      <c r="AT236" t="str">
        <f>IF(COUNTIFS( $A:$A,A236,$B:$B,B236,$C:$C,C236,$D:$D,D236,$E:$E,E236,$F:$F,F236,$G:$G,G236,$H:$H,H236,$I:$I,I236,$J:$J,J236,$K:$K,K236,$L:$L,L236,$M:$M,M236,$T:$T,T236,$U:$U,U236,$W:$W,W236,$Z:$Z,Z236,$AA:$AA,AA236,$AB:$AB,AB236,$AC:$AC,AC236,$AD:$AD,AD236,$AE:$AE,AE236,$AF:$AF,AF236,$AG:$AG,AG236,$AH:$AH,AH236,$AI:$AI,AI236)&gt;1,"Duplicate","Unique")</f>
        <v>Unique</v>
      </c>
    </row>
    <row r="237" spans="1:46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  <c r="W237" t="s">
        <v>1244</v>
      </c>
      <c r="Z237" t="s">
        <v>1247</v>
      </c>
      <c r="AA237" t="str">
        <v>Rahul Verma</v>
      </c>
      <c r="AB237" t="str">
        <f>TRIM(PROPER(F:F))</f>
        <v>Small Business</v>
      </c>
      <c r="AC237" t="str">
        <f>TRIM(PROPER(G:G))</f>
        <v>West</v>
      </c>
      <c r="AD237" t="str">
        <f>TRIM(PROPER(H:H))</f>
        <v>Rajasthan</v>
      </c>
      <c r="AE237" t="str">
        <f>TRIM(PROPER(I:I))</f>
        <v>Udaipur</v>
      </c>
      <c r="AF237" t="str">
        <f>TRIM(PROPER(J:J))</f>
        <v>Office Supplies</v>
      </c>
      <c r="AG237" t="str">
        <f>TRIM(PROPER(K:K))</f>
        <v>Storage</v>
      </c>
      <c r="AH237" t="str">
        <f>TRIM(PROPER(L:L))</f>
        <v>Basic Storage 195</v>
      </c>
      <c r="AI237" t="str">
        <f>TRIM(PROPER(M:M))</f>
        <v>Standard Class</v>
      </c>
      <c r="AJ237" s="5">
        <f>IF(OR(P237&lt;0,P237&gt;0.5),"invalid",P237)</f>
        <v>0.05</v>
      </c>
      <c r="AK237" s="6">
        <f>IFERROR(N237*O237*(1-AJ237), "NA")</f>
        <v>15226.352999999999</v>
      </c>
      <c r="AL237" s="6">
        <f>IFERROR(AK237-R237,"NA")</f>
        <v>4081.0729999999985</v>
      </c>
      <c r="AM237" s="5">
        <f t="shared" si="15"/>
        <v>0.26802695300706603</v>
      </c>
      <c r="AN237" t="str">
        <v>11-02-24</v>
      </c>
      <c r="AO237" t="str">
        <v>11-03-24</v>
      </c>
      <c r="AP237" t="str">
        <f t="shared" si="16"/>
        <v>February</v>
      </c>
      <c r="AQ237" t="str">
        <f t="shared" si="17"/>
        <v>2024</v>
      </c>
      <c r="AR237" t="str">
        <f t="shared" si="18"/>
        <v xml:space="preserve"> </v>
      </c>
      <c r="AS237">
        <f t="shared" si="19"/>
        <v>29</v>
      </c>
      <c r="AT237" t="str">
        <f>IF(COUNTIFS( $A:$A,A237,$B:$B,B237,$C:$C,C237,$D:$D,D237,$E:$E,E237,$F:$F,F237,$G:$G,G237,$H:$H,H237,$I:$I,I237,$J:$J,J237,$K:$K,K237,$L:$L,L237,$M:$M,M237,$T:$T,T237,$U:$U,U237,$W:$W,W237,$Z:$Z,Z237,$AA:$AA,AA237,$AB:$AB,AB237,$AC:$AC,AC237,$AD:$AD,AD237,$AE:$AE,AE237,$AF:$AF,AF237,$AG:$AG,AG237,$AH:$AH,AH237,$AI:$AI,AI237)&gt;1,"Duplicate","Unique")</f>
        <v>Unique</v>
      </c>
    </row>
    <row r="238" spans="1:46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  <c r="W238" t="s">
        <v>1249</v>
      </c>
      <c r="Z238" t="s">
        <v>1251</v>
      </c>
      <c r="AA238" t="str">
        <v>Priya Menon</v>
      </c>
      <c r="AB238" t="str">
        <f>TRIM(PROPER(F:F))</f>
        <v>Corporate</v>
      </c>
      <c r="AC238" t="str">
        <f>TRIM(PROPER(G:G))</f>
        <v>North</v>
      </c>
      <c r="AD238" t="str">
        <f>TRIM(PROPER(H:H))</f>
        <v>Uttar Pradesh</v>
      </c>
      <c r="AE238" t="str">
        <f>TRIM(PROPER(I:I))</f>
        <v>Noida</v>
      </c>
      <c r="AF238" t="str">
        <f>TRIM(PROPER(J:J))</f>
        <v>Furniture</v>
      </c>
      <c r="AG238" t="str">
        <f>TRIM(PROPER(K:K))</f>
        <v>Bookcases</v>
      </c>
      <c r="AH238" t="str">
        <f>TRIM(PROPER(L:L))</f>
        <v>Elite Bookcases 907</v>
      </c>
      <c r="AI238" t="str">
        <f>TRIM(PROPER(M:M))</f>
        <v>First Class</v>
      </c>
      <c r="AJ238" s="5">
        <f>IF(OR(P238&lt;0,P238&gt;0.5),"invalid",P238)</f>
        <v>0</v>
      </c>
      <c r="AK238" s="6">
        <f>IFERROR(N238*O238*(1-AJ238), "NA")</f>
        <v>24376.68</v>
      </c>
      <c r="AL238" s="6">
        <f>IFERROR(AK238-R238,"NA")</f>
        <v>5843.2900000000009</v>
      </c>
      <c r="AM238" s="5">
        <f t="shared" si="15"/>
        <v>0.23970819652224998</v>
      </c>
      <c r="AN238" t="str">
        <v>invalid date</v>
      </c>
      <c r="AO238" t="str">
        <v>21-10-24</v>
      </c>
      <c r="AP238" t="str">
        <f t="shared" si="16"/>
        <v>invalid date</v>
      </c>
      <c r="AQ238" t="str">
        <f t="shared" si="17"/>
        <v>invalid date</v>
      </c>
      <c r="AR238" t="str">
        <f t="shared" si="18"/>
        <v>Invalid</v>
      </c>
      <c r="AS238" t="str">
        <f t="shared" si="19"/>
        <v>invalid date</v>
      </c>
      <c r="AT238" t="str">
        <f>IF(COUNTIFS( $A:$A,A238,$B:$B,B238,$C:$C,C238,$D:$D,D238,$E:$E,E238,$F:$F,F238,$G:$G,G238,$H:$H,H238,$I:$I,I238,$J:$J,J238,$K:$K,K238,$L:$L,L238,$M:$M,M238,$T:$T,T238,$U:$U,U238,$W:$W,W238,$Z:$Z,Z238,$AA:$AA,AA238,$AB:$AB,AB238,$AC:$AC,AC238,$AD:$AD,AD238,$AE:$AE,AE238,$AF:$AF,AF238,$AG:$AG,AG238,$AH:$AH,AH238,$AI:$AI,AI238)&gt;1,"Duplicate","Unique")</f>
        <v>Unique</v>
      </c>
    </row>
    <row r="239" spans="1:46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  <c r="W239" t="s">
        <v>1253</v>
      </c>
      <c r="Z239" t="s">
        <v>1255</v>
      </c>
      <c r="AA239" t="str">
        <v>Mira Das</v>
      </c>
      <c r="AB239" t="str">
        <f>TRIM(PROPER(F:F))</f>
        <v>Consumer</v>
      </c>
      <c r="AC239" t="str">
        <f>TRIM(PROPER(G:G))</f>
        <v>North</v>
      </c>
      <c r="AD239" t="str">
        <f>TRIM(PROPER(H:H))</f>
        <v>Haryana</v>
      </c>
      <c r="AE239" t="str">
        <f>TRIM(PROPER(I:I))</f>
        <v>Gurugram</v>
      </c>
      <c r="AF239" t="str">
        <f>TRIM(PROPER(J:J))</f>
        <v>Technology</v>
      </c>
      <c r="AG239" t="str">
        <f>TRIM(PROPER(K:K))</f>
        <v>Copiers</v>
      </c>
      <c r="AH239" t="str">
        <f>TRIM(PROPER(L:L))</f>
        <v>Smart Copiers 471</v>
      </c>
      <c r="AI239" t="str">
        <f>TRIM(PROPER(M:M))</f>
        <v>Standard Class</v>
      </c>
      <c r="AJ239" s="5">
        <f>IF(OR(P239&lt;0,P239&gt;0.5),"invalid",P239)</f>
        <v>0</v>
      </c>
      <c r="AK239" s="6">
        <f>IFERROR(N239*O239*(1-AJ239), "NA")</f>
        <v>20972.7</v>
      </c>
      <c r="AL239" s="6">
        <f>IFERROR(AK239-R239,"NA")</f>
        <v>7467.8200000000015</v>
      </c>
      <c r="AM239" s="5">
        <f t="shared" si="15"/>
        <v>0.35607337157352181</v>
      </c>
      <c r="AN239" t="str">
        <v>27-08-24</v>
      </c>
      <c r="AO239" t="str">
        <v>27-08-24</v>
      </c>
      <c r="AP239" t="str">
        <f t="shared" si="16"/>
        <v>August</v>
      </c>
      <c r="AQ239" t="str">
        <f t="shared" si="17"/>
        <v>2024</v>
      </c>
      <c r="AR239" t="str">
        <f t="shared" si="18"/>
        <v xml:space="preserve"> </v>
      </c>
      <c r="AS239">
        <f t="shared" si="19"/>
        <v>0</v>
      </c>
      <c r="AT239" t="str">
        <f>IF(COUNTIFS( $A:$A,A239,$B:$B,B239,$C:$C,C239,$D:$D,D239,$E:$E,E239,$F:$F,F239,$G:$G,G239,$H:$H,H239,$I:$I,I239,$J:$J,J239,$K:$K,K239,$L:$L,L239,$M:$M,M239,$T:$T,T239,$U:$U,U239,$W:$W,W239,$Z:$Z,Z239,$AA:$AA,AA239,$AB:$AB,AB239,$AC:$AC,AC239,$AD:$AD,AD239,$AE:$AE,AE239,$AF:$AF,AF239,$AG:$AG,AG239,$AH:$AH,AH239,$AI:$AI,AI239)&gt;1,"Duplicate","Unique")</f>
        <v>Unique</v>
      </c>
    </row>
    <row r="240" spans="1:46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  <c r="W240" t="s">
        <v>1257</v>
      </c>
      <c r="Z240" t="s">
        <v>1260</v>
      </c>
      <c r="AA240" t="str">
        <v>Arjun Bose</v>
      </c>
      <c r="AB240" t="str">
        <f>TRIM(PROPER(F:F))</f>
        <v>Consumer</v>
      </c>
      <c r="AC240" t="str">
        <f>TRIM(PROPER(G:G))</f>
        <v>South</v>
      </c>
      <c r="AD240" t="str">
        <f>TRIM(PROPER(H:H))</f>
        <v>Andhra Pradesh</v>
      </c>
      <c r="AE240" t="str">
        <f>TRIM(PROPER(I:I))</f>
        <v>Vijayawada</v>
      </c>
      <c r="AF240" t="str">
        <f>TRIM(PROPER(J:J))</f>
        <v>Office Supplies</v>
      </c>
      <c r="AG240" t="str">
        <f>TRIM(PROPER(K:K))</f>
        <v>Storage</v>
      </c>
      <c r="AH240" t="str">
        <f>TRIM(PROPER(L:L))</f>
        <v>Prime Storage 625</v>
      </c>
      <c r="AI240" t="str">
        <f>TRIM(PROPER(M:M))</f>
        <v>First Class</v>
      </c>
      <c r="AJ240" s="5" t="str">
        <f>IF(OR(P240&lt;0,P240&gt;0.5),"invalid",P240)</f>
        <v>invalid</v>
      </c>
      <c r="AK240" s="6" t="str">
        <f>IFERROR(N240*O240*(1-AJ240), "NA")</f>
        <v>NA</v>
      </c>
      <c r="AL240" s="6" t="str">
        <f>IFERROR(AK240-R240,"NA")</f>
        <v>NA</v>
      </c>
      <c r="AM240" s="5" t="str">
        <f t="shared" si="15"/>
        <v>NA</v>
      </c>
      <c r="AN240" t="str">
        <v>01-12-24</v>
      </c>
      <c r="AO240" t="str">
        <v>invalid date</v>
      </c>
      <c r="AP240" t="str">
        <f t="shared" si="16"/>
        <v>December</v>
      </c>
      <c r="AQ240" t="str">
        <f t="shared" si="17"/>
        <v>2024</v>
      </c>
      <c r="AR240" t="str">
        <f t="shared" si="18"/>
        <v>Invalid</v>
      </c>
      <c r="AS240" t="str">
        <f t="shared" si="19"/>
        <v>invalid date</v>
      </c>
      <c r="AT240" t="str">
        <f>IF(COUNTIFS( $A:$A,A240,$B:$B,B240,$C:$C,C240,$D:$D,D240,$E:$E,E240,$F:$F,F240,$G:$G,G240,$H:$H,H240,$I:$I,I240,$J:$J,J240,$K:$K,K240,$L:$L,L240,$M:$M,M240,$T:$T,T240,$U:$U,U240,$W:$W,W240,$Z:$Z,Z240,$AA:$AA,AA240,$AB:$AB,AB240,$AC:$AC,AC240,$AD:$AD,AD240,$AE:$AE,AE240,$AF:$AF,AF240,$AG:$AG,AG240,$AH:$AH,AH240,$AI:$AI,AI240)&gt;1,"Duplicate","Unique")</f>
        <v>Unique</v>
      </c>
    </row>
    <row r="241" spans="1:46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  <c r="W241" t="s">
        <v>1262</v>
      </c>
      <c r="Z241" t="s">
        <v>1264</v>
      </c>
      <c r="AA241" t="str">
        <v>Kabir Singh</v>
      </c>
      <c r="AB241" t="str">
        <f>TRIM(PROPER(F:F))</f>
        <v>Corporate</v>
      </c>
      <c r="AC241" t="str">
        <f>TRIM(PROPER(G:G))</f>
        <v>South</v>
      </c>
      <c r="AD241" t="str">
        <f>TRIM(PROPER(H:H))</f>
        <v>Karnataka</v>
      </c>
      <c r="AE241" t="str">
        <f>TRIM(PROPER(I:I))</f>
        <v>Bengaluru</v>
      </c>
      <c r="AF241" t="str">
        <f>TRIM(PROPER(J:J))</f>
        <v>Technology</v>
      </c>
      <c r="AG241" t="str">
        <f>TRIM(PROPER(K:K))</f>
        <v>Machines</v>
      </c>
      <c r="AH241" t="str">
        <f>TRIM(PROPER(L:L))</f>
        <v>Smart Machines 801</v>
      </c>
      <c r="AI241" t="str">
        <f>TRIM(PROPER(M:M))</f>
        <v>First Class</v>
      </c>
      <c r="AJ241" s="5">
        <f>IF(OR(P241&lt;0,P241&gt;0.5),"invalid",P241)</f>
        <v>0.2</v>
      </c>
      <c r="AK241" s="6">
        <f>IFERROR(N241*O241*(1-AJ241), "NA")</f>
        <v>3136.096</v>
      </c>
      <c r="AL241" s="6">
        <f>IFERROR(AK241-R241,"NA")</f>
        <v>856.60600000000022</v>
      </c>
      <c r="AM241" s="5">
        <f t="shared" si="15"/>
        <v>0.273144061916472</v>
      </c>
      <c r="AN241" t="str">
        <v>21-09-24</v>
      </c>
      <c r="AO241" t="str">
        <v>invalid date</v>
      </c>
      <c r="AP241" t="str">
        <f t="shared" si="16"/>
        <v>September</v>
      </c>
      <c r="AQ241" t="str">
        <f t="shared" si="17"/>
        <v>2024</v>
      </c>
      <c r="AR241" t="str">
        <f t="shared" si="18"/>
        <v>Invalid</v>
      </c>
      <c r="AS241" t="str">
        <f t="shared" si="19"/>
        <v>invalid date</v>
      </c>
      <c r="AT241" t="str">
        <f>IF(COUNTIFS( $A:$A,A241,$B:$B,B241,$C:$C,C241,$D:$D,D241,$E:$E,E241,$F:$F,F241,$G:$G,G241,$H:$H,H241,$I:$I,I241,$J:$J,J241,$K:$K,K241,$L:$L,L241,$M:$M,M241,$T:$T,T241,$U:$U,U241,$W:$W,W241,$Z:$Z,Z241,$AA:$AA,AA241,$AB:$AB,AB241,$AC:$AC,AC241,$AD:$AD,AD241,$AE:$AE,AE241,$AF:$AF,AF241,$AG:$AG,AG241,$AH:$AH,AH241,$AI:$AI,AI241)&gt;1,"Duplicate","Unique")</f>
        <v>Unique</v>
      </c>
    </row>
    <row r="242" spans="1:46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  <c r="W242" t="s">
        <v>1266</v>
      </c>
      <c r="Z242" t="s">
        <v>1268</v>
      </c>
      <c r="AA242" t="str">
        <v>Aarav Sharma</v>
      </c>
      <c r="AB242" t="str">
        <f>TRIM(PROPER(F:F))</f>
        <v>Corporate</v>
      </c>
      <c r="AC242" t="str">
        <f>TRIM(PROPER(G:G))</f>
        <v>South</v>
      </c>
      <c r="AD242" t="str">
        <f>TRIM(PROPER(H:H))</f>
        <v>Telangana</v>
      </c>
      <c r="AE242" t="str">
        <f>TRIM(PROPER(I:I))</f>
        <v>Hyderabad</v>
      </c>
      <c r="AF242" t="str">
        <f>TRIM(PROPER(J:J))</f>
        <v>Office Supplies</v>
      </c>
      <c r="AG242" t="str">
        <f>TRIM(PROPER(K:K))</f>
        <v>Binders</v>
      </c>
      <c r="AH242" t="str">
        <f>TRIM(PROPER(L:L))</f>
        <v>Max Binders 170</v>
      </c>
      <c r="AI242" t="str">
        <f>TRIM(PROPER(M:M))</f>
        <v>First Class</v>
      </c>
      <c r="AJ242" s="5">
        <f>IF(OR(P242&lt;0,P242&gt;0.5),"invalid",P242)</f>
        <v>0</v>
      </c>
      <c r="AK242" s="6">
        <f>IFERROR(N242*O242*(1-AJ242), "NA")</f>
        <v>20835.899999999998</v>
      </c>
      <c r="AL242" s="6">
        <f>IFERROR(AK242-R242,"NA")</f>
        <v>6907.7099999999973</v>
      </c>
      <c r="AM242" s="5">
        <f t="shared" si="15"/>
        <v>0.33152923559817421</v>
      </c>
      <c r="AN242" t="str">
        <v>17-12-24</v>
      </c>
      <c r="AO242" t="str">
        <v>23-12-24</v>
      </c>
      <c r="AP242" t="str">
        <f t="shared" si="16"/>
        <v>December</v>
      </c>
      <c r="AQ242" t="str">
        <f t="shared" si="17"/>
        <v>2024</v>
      </c>
      <c r="AR242" t="str">
        <f t="shared" si="18"/>
        <v xml:space="preserve"> </v>
      </c>
      <c r="AS242">
        <f t="shared" si="19"/>
        <v>6</v>
      </c>
      <c r="AT242" t="str">
        <f>IF(COUNTIFS( $A:$A,A242,$B:$B,B242,$C:$C,C242,$D:$D,D242,$E:$E,E242,$F:$F,F242,$G:$G,G242,$H:$H,H242,$I:$I,I242,$J:$J,J242,$K:$K,K242,$L:$L,L242,$M:$M,M242,$T:$T,T242,$U:$U,U242,$W:$W,W242,$Z:$Z,Z242,$AA:$AA,AA242,$AB:$AB,AB242,$AC:$AC,AC242,$AD:$AD,AD242,$AE:$AE,AE242,$AF:$AF,AF242,$AG:$AG,AG242,$AH:$AH,AH242,$AI:$AI,AI242)&gt;1,"Duplicate","Unique")</f>
        <v>Unique</v>
      </c>
    </row>
    <row r="243" spans="1:46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  <c r="W243" t="s">
        <v>1270</v>
      </c>
      <c r="Z243" t="s">
        <v>1273</v>
      </c>
      <c r="AA243" t="str">
        <v>Sneha Kapoor</v>
      </c>
      <c r="AB243" t="str">
        <f>TRIM(PROPER(F:F))</f>
        <v>Corporate</v>
      </c>
      <c r="AC243" t="str">
        <f>TRIM(PROPER(G:G))</f>
        <v>North</v>
      </c>
      <c r="AD243" t="str">
        <f>TRIM(PROPER(H:H))</f>
        <v>Haryana</v>
      </c>
      <c r="AE243" t="str">
        <f>TRIM(PROPER(I:I))</f>
        <v>Gurugram</v>
      </c>
      <c r="AF243" t="str">
        <f>TRIM(PROPER(J:J))</f>
        <v>Office Supplies</v>
      </c>
      <c r="AG243" t="str">
        <f>TRIM(PROPER(K:K))</f>
        <v>Storage</v>
      </c>
      <c r="AH243" t="str">
        <f>TRIM(PROPER(L:L))</f>
        <v>Basic Storage 737</v>
      </c>
      <c r="AI243" t="str">
        <f>TRIM(PROPER(M:M))</f>
        <v>Standard Class</v>
      </c>
      <c r="AJ243" s="5">
        <f>IF(OR(P243&lt;0,P243&gt;0.5),"invalid",P243)</f>
        <v>0.25</v>
      </c>
      <c r="AK243" s="6">
        <f>IFERROR(N243*O243*(1-AJ243), "NA")</f>
        <v>1212.9000000000001</v>
      </c>
      <c r="AL243" s="6">
        <f>IFERROR(AK243-R243,"NA")</f>
        <v>522.38000000000011</v>
      </c>
      <c r="AM243" s="5">
        <f t="shared" si="15"/>
        <v>0.4306867837414462</v>
      </c>
      <c r="AN243" t="str">
        <v>07-06-25</v>
      </c>
      <c r="AO243" t="str">
        <v>06-07-25</v>
      </c>
      <c r="AP243" t="str">
        <f t="shared" si="16"/>
        <v>June</v>
      </c>
      <c r="AQ243" t="str">
        <f t="shared" si="17"/>
        <v>2025</v>
      </c>
      <c r="AR243" t="str">
        <f t="shared" si="18"/>
        <v>anomaly</v>
      </c>
      <c r="AS243">
        <f t="shared" si="19"/>
        <v>29</v>
      </c>
      <c r="AT243" t="str">
        <f>IF(COUNTIFS( $A:$A,A243,$B:$B,B243,$C:$C,C243,$D:$D,D243,$E:$E,E243,$F:$F,F243,$G:$G,G243,$H:$H,H243,$I:$I,I243,$J:$J,J243,$K:$K,K243,$L:$L,L243,$M:$M,M243,$T:$T,T243,$U:$U,U243,$W:$W,W243,$Z:$Z,Z243,$AA:$AA,AA243,$AB:$AB,AB243,$AC:$AC,AC243,$AD:$AD,AD243,$AE:$AE,AE243,$AF:$AF,AF243,$AG:$AG,AG243,$AH:$AH,AH243,$AI:$AI,AI243)&gt;1,"Duplicate","Unique")</f>
        <v>Unique</v>
      </c>
    </row>
    <row r="244" spans="1:46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  <c r="W244" t="s">
        <v>1275</v>
      </c>
      <c r="Z244" t="s">
        <v>1278</v>
      </c>
      <c r="AA244" t="str">
        <v>Arjun Bose</v>
      </c>
      <c r="AB244" t="str">
        <f>TRIM(PROPER(F:F))</f>
        <v>Consumer</v>
      </c>
      <c r="AC244" t="str">
        <f>TRIM(PROPER(G:G))</f>
        <v>North</v>
      </c>
      <c r="AD244" t="str">
        <f>TRIM(PROPER(H:H))</f>
        <v>Uttar Pradesh</v>
      </c>
      <c r="AE244" t="str">
        <f>TRIM(PROPER(I:I))</f>
        <v>Noida</v>
      </c>
      <c r="AF244" t="str">
        <f>TRIM(PROPER(J:J))</f>
        <v>Office Supplies</v>
      </c>
      <c r="AG244" t="str">
        <f>TRIM(PROPER(K:K))</f>
        <v>Art</v>
      </c>
      <c r="AH244" t="str">
        <f>TRIM(PROPER(L:L))</f>
        <v>Classic Art 126</v>
      </c>
      <c r="AI244" t="str">
        <f>TRIM(PROPER(M:M))</f>
        <v>Second Class</v>
      </c>
      <c r="AJ244" s="5">
        <f>IF(OR(P244&lt;0,P244&gt;0.5),"invalid",P244)</f>
        <v>0.05</v>
      </c>
      <c r="AK244" s="6">
        <f>IFERROR(N244*O244*(1-AJ244), "NA")</f>
        <v>5697.8339999999998</v>
      </c>
      <c r="AL244" s="6">
        <f>IFERROR(AK244-R244,"NA")</f>
        <v>1446.3339999999998</v>
      </c>
      <c r="AM244" s="5">
        <f t="shared" si="15"/>
        <v>0.25383926593860051</v>
      </c>
      <c r="AN244" t="str">
        <v>07-02-25</v>
      </c>
      <c r="AO244" t="str">
        <v>07-02-25</v>
      </c>
      <c r="AP244" t="str">
        <f t="shared" si="16"/>
        <v>February</v>
      </c>
      <c r="AQ244" t="str">
        <f t="shared" si="17"/>
        <v>2025</v>
      </c>
      <c r="AR244" t="str">
        <f t="shared" si="18"/>
        <v xml:space="preserve"> </v>
      </c>
      <c r="AS244">
        <f t="shared" si="19"/>
        <v>0</v>
      </c>
      <c r="AT244" t="str">
        <f>IF(COUNTIFS( $A:$A,A244,$B:$B,B244,$C:$C,C244,$D:$D,D244,$E:$E,E244,$F:$F,F244,$G:$G,G244,$H:$H,H244,$I:$I,I244,$J:$J,J244,$K:$K,K244,$L:$L,L244,$M:$M,M244,$T:$T,T244,$U:$U,U244,$W:$W,W244,$Z:$Z,Z244,$AA:$AA,AA244,$AB:$AB,AB244,$AC:$AC,AC244,$AD:$AD,AD244,$AE:$AE,AE244,$AF:$AF,AF244,$AG:$AG,AG244,$AH:$AH,AH244,$AI:$AI,AI244)&gt;1,"Duplicate","Unique")</f>
        <v>Unique</v>
      </c>
    </row>
    <row r="245" spans="1:46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  <c r="W245" t="s">
        <v>1280</v>
      </c>
      <c r="Z245" t="s">
        <v>1282</v>
      </c>
      <c r="AA245" t="str">
        <v>Sneha Kapoor</v>
      </c>
      <c r="AB245" t="str">
        <f>TRIM(PROPER(F:F))</f>
        <v>Small Business</v>
      </c>
      <c r="AC245" t="s">
        <v>4111</v>
      </c>
      <c r="AD245" t="str">
        <f>TRIM(PROPER(H:H))</f>
        <v>Madhya Pradesh</v>
      </c>
      <c r="AE245" t="str">
        <f>TRIM(PROPER(I:I))</f>
        <v>Indore</v>
      </c>
      <c r="AF245" t="str">
        <f>TRIM(PROPER(J:J))</f>
        <v>Technology</v>
      </c>
      <c r="AG245" t="str">
        <f>TRIM(PROPER(K:K))</f>
        <v>Accessories</v>
      </c>
      <c r="AH245" t="str">
        <f>TRIM(PROPER(L:L))</f>
        <v>Prime Accessories 243</v>
      </c>
      <c r="AI245" t="str">
        <f>TRIM(PROPER(M:M))</f>
        <v>First Class</v>
      </c>
      <c r="AJ245" s="5">
        <f>IF(OR(P245&lt;0,P245&gt;0.5),"invalid",P245)</f>
        <v>0.1</v>
      </c>
      <c r="AK245" s="6">
        <f>IFERROR(N245*O245*(1-AJ245), "NA")</f>
        <v>4049.5140000000001</v>
      </c>
      <c r="AL245" s="6">
        <f>IFERROR(AK245-R245,"NA")</f>
        <v>1540.3140000000003</v>
      </c>
      <c r="AM245" s="5">
        <f t="shared" si="15"/>
        <v>0.38037008885510715</v>
      </c>
      <c r="AN245" t="str">
        <v>29-07-25</v>
      </c>
      <c r="AO245" t="str">
        <v>02-08-25</v>
      </c>
      <c r="AP245" t="str">
        <f t="shared" si="16"/>
        <v>July</v>
      </c>
      <c r="AQ245" t="str">
        <f t="shared" si="17"/>
        <v>2025</v>
      </c>
      <c r="AR245" t="str">
        <f t="shared" si="18"/>
        <v>anomaly</v>
      </c>
      <c r="AS245">
        <f t="shared" si="19"/>
        <v>4</v>
      </c>
      <c r="AT245" t="str">
        <f>IF(COUNTIFS( $A:$A,A245,$B:$B,B245,$C:$C,C245,$D:$D,D245,$E:$E,E245,$F:$F,F245,$G:$G,G245,$H:$H,H245,$I:$I,I245,$J:$J,J245,$K:$K,K245,$L:$L,L245,$M:$M,M245,$T:$T,T245,$U:$U,U245,$W:$W,W245,$Z:$Z,Z245,$AA:$AA,AA245,$AB:$AB,AB245,$AC:$AC,AC245,$AD:$AD,AD245,$AE:$AE,AE245,$AF:$AF,AF245,$AG:$AG,AG245,$AH:$AH,AH245,$AI:$AI,AI245)&gt;1,"Duplicate","Unique")</f>
        <v>Unique</v>
      </c>
    </row>
    <row r="246" spans="1:46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  <c r="W246" t="s">
        <v>1284</v>
      </c>
      <c r="Z246" t="s">
        <v>1286</v>
      </c>
      <c r="AA246" t="str">
        <v>Neha Gupta</v>
      </c>
      <c r="AB246" t="str">
        <f>TRIM(PROPER(F:F))</f>
        <v>Consumer</v>
      </c>
      <c r="AC246" t="str">
        <f>TRIM(PROPER(G:G))</f>
        <v>South</v>
      </c>
      <c r="AD246" t="str">
        <f>TRIM(PROPER(H:H))</f>
        <v>Telangana</v>
      </c>
      <c r="AE246" t="str">
        <f>TRIM(PROPER(I:I))</f>
        <v>Hyderabad</v>
      </c>
      <c r="AF246" t="str">
        <f>TRIM(PROPER(J:J))</f>
        <v>Furniture</v>
      </c>
      <c r="AG246" t="str">
        <f>TRIM(PROPER(K:K))</f>
        <v>Bookcases</v>
      </c>
      <c r="AH246" t="str">
        <f>TRIM(PROPER(L:L))</f>
        <v>Eco Bookcases 768</v>
      </c>
      <c r="AI246" t="str">
        <f>TRIM(PROPER(M:M))</f>
        <v>Same Day</v>
      </c>
      <c r="AJ246" s="5">
        <f>IF(OR(P246&lt;0,P246&gt;0.5),"invalid",P246)</f>
        <v>0</v>
      </c>
      <c r="AK246" s="6">
        <f>IFERROR(N246*O246*(1-AJ246), "NA")</f>
        <v>6131.34</v>
      </c>
      <c r="AL246" s="6">
        <f>IFERROR(AK246-R246,"NA")</f>
        <v>2070.46</v>
      </c>
      <c r="AM246" s="5">
        <f t="shared" si="15"/>
        <v>0.33768474754295147</v>
      </c>
      <c r="AN246" t="str">
        <v>invalid date</v>
      </c>
      <c r="AO246" t="str">
        <v>24-08-24</v>
      </c>
      <c r="AP246" t="str">
        <f t="shared" si="16"/>
        <v>invalid date</v>
      </c>
      <c r="AQ246" t="str">
        <f t="shared" si="17"/>
        <v>invalid date</v>
      </c>
      <c r="AR246" t="str">
        <f t="shared" si="18"/>
        <v>Invalid</v>
      </c>
      <c r="AS246" t="str">
        <f t="shared" si="19"/>
        <v>invalid date</v>
      </c>
      <c r="AT246" t="str">
        <f>IF(COUNTIFS( $A:$A,A246,$B:$B,B246,$C:$C,C246,$D:$D,D246,$E:$E,E246,$F:$F,F246,$G:$G,G246,$H:$H,H246,$I:$I,I246,$J:$J,J246,$K:$K,K246,$L:$L,L246,$M:$M,M246,$T:$T,T246,$U:$U,U246,$W:$W,W246,$Z:$Z,Z246,$AA:$AA,AA246,$AB:$AB,AB246,$AC:$AC,AC246,$AD:$AD,AD246,$AE:$AE,AE246,$AF:$AF,AF246,$AG:$AG,AG246,$AH:$AH,AH246,$AI:$AI,AI246)&gt;1,"Duplicate","Unique")</f>
        <v>Unique</v>
      </c>
    </row>
    <row r="247" spans="1:46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  <c r="W247" t="s">
        <v>1288</v>
      </c>
      <c r="Z247" t="s">
        <v>1289</v>
      </c>
      <c r="AA247" t="str">
        <v>Neha Gupta</v>
      </c>
      <c r="AB247" t="str">
        <f>TRIM(PROPER(F:F))</f>
        <v>Home Office</v>
      </c>
      <c r="AC247" t="str">
        <f>TRIM(PROPER(G:G))</f>
        <v>South</v>
      </c>
      <c r="AD247" t="str">
        <f>TRIM(PROPER(H:H))</f>
        <v>Kerala</v>
      </c>
      <c r="AE247" t="str">
        <f>TRIM(PROPER(I:I))</f>
        <v>Kochi</v>
      </c>
      <c r="AF247" t="str">
        <f>TRIM(PROPER(J:J))</f>
        <v>Furniture</v>
      </c>
      <c r="AG247" t="str">
        <f>TRIM(PROPER(K:K))</f>
        <v>Chairs</v>
      </c>
      <c r="AH247" t="str">
        <f>TRIM(PROPER(L:L))</f>
        <v>Pro Chairs 316</v>
      </c>
      <c r="AI247" t="str">
        <f>TRIM(PROPER(M:M))</f>
        <v>Second Class</v>
      </c>
      <c r="AJ247" s="5">
        <f>IF(OR(P247&lt;0,P247&gt;0.5),"invalid",P247)</f>
        <v>0</v>
      </c>
      <c r="AK247" s="6">
        <f>IFERROR(N247*O247*(1-AJ247), "NA")</f>
        <v>9827.7899999999991</v>
      </c>
      <c r="AL247" s="6">
        <f>IFERROR(AK247-R247,"NA")</f>
        <v>4349.5099999999993</v>
      </c>
      <c r="AM247" s="5">
        <f t="shared" si="15"/>
        <v>0.44257254174132737</v>
      </c>
      <c r="AN247" t="str">
        <v>invalid date</v>
      </c>
      <c r="AO247" t="str">
        <v>24-10-24</v>
      </c>
      <c r="AP247" t="str">
        <f t="shared" si="16"/>
        <v>invalid date</v>
      </c>
      <c r="AQ247" t="str">
        <f t="shared" si="17"/>
        <v>invalid date</v>
      </c>
      <c r="AR247" t="str">
        <f t="shared" si="18"/>
        <v>Invalid</v>
      </c>
      <c r="AS247" t="str">
        <f t="shared" si="19"/>
        <v>invalid date</v>
      </c>
      <c r="AT247" t="str">
        <f>IF(COUNTIFS( $A:$A,A247,$B:$B,B247,$C:$C,C247,$D:$D,D247,$E:$E,E247,$F:$F,F247,$G:$G,G247,$H:$H,H247,$I:$I,I247,$J:$J,J247,$K:$K,K247,$L:$L,L247,$M:$M,M247,$T:$T,T247,$U:$U,U247,$W:$W,W247,$Z:$Z,Z247,$AA:$AA,AA247,$AB:$AB,AB247,$AC:$AC,AC247,$AD:$AD,AD247,$AE:$AE,AE247,$AF:$AF,AF247,$AG:$AG,AG247,$AH:$AH,AH247,$AI:$AI,AI247)&gt;1,"Duplicate","Unique")</f>
        <v>Unique</v>
      </c>
    </row>
    <row r="248" spans="1:46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  <c r="W248" t="s">
        <v>1292</v>
      </c>
      <c r="Z248" t="s">
        <v>1295</v>
      </c>
      <c r="AA248" t="str">
        <v>Ananya Rao</v>
      </c>
      <c r="AB248" t="str">
        <f>TRIM(PROPER(F:F))</f>
        <v>Corporate</v>
      </c>
      <c r="AC248" t="str">
        <f>TRIM(PROPER(G:G))</f>
        <v>North</v>
      </c>
      <c r="AD248" t="str">
        <f>TRIM(PROPER(H:H))</f>
        <v>Punjab</v>
      </c>
      <c r="AE248" t="str">
        <f>TRIM(PROPER(I:I))</f>
        <v>Ludhiana</v>
      </c>
      <c r="AF248" t="str">
        <f>TRIM(PROPER(J:J))</f>
        <v>Technology</v>
      </c>
      <c r="AG248" t="str">
        <f>TRIM(PROPER(K:K))</f>
        <v>Machines</v>
      </c>
      <c r="AH248" t="str">
        <f>TRIM(PROPER(L:L))</f>
        <v>Classic Machines 819</v>
      </c>
      <c r="AI248" t="str">
        <f>TRIM(PROPER(M:M))</f>
        <v>Same Day</v>
      </c>
      <c r="AJ248" s="5">
        <f>IF(OR(P248&lt;0,P248&gt;0.5),"invalid",P248)</f>
        <v>0.25</v>
      </c>
      <c r="AK248" s="6">
        <f>IFERROR(N248*O248*(1-AJ248), "NA")</f>
        <v>521.88749999999993</v>
      </c>
      <c r="AL248" s="6">
        <f>IFERROR(AK248-R248,"NA")</f>
        <v>77.36749999999995</v>
      </c>
      <c r="AM248" s="5">
        <f t="shared" si="15"/>
        <v>0.14824555100476627</v>
      </c>
      <c r="AN248" t="str">
        <v>04-05-24</v>
      </c>
      <c r="AO248" t="str">
        <v>09-05-24</v>
      </c>
      <c r="AP248" t="str">
        <f t="shared" si="16"/>
        <v>May</v>
      </c>
      <c r="AQ248" t="str">
        <f t="shared" si="17"/>
        <v>2024</v>
      </c>
      <c r="AR248" t="str">
        <f t="shared" si="18"/>
        <v xml:space="preserve"> </v>
      </c>
      <c r="AS248">
        <f t="shared" si="19"/>
        <v>5</v>
      </c>
      <c r="AT248" t="str">
        <f>IF(COUNTIFS( $A:$A,A248,$B:$B,B248,$C:$C,C248,$D:$D,D248,$E:$E,E248,$F:$F,F248,$G:$G,G248,$H:$H,H248,$I:$I,I248,$J:$J,J248,$K:$K,K248,$L:$L,L248,$M:$M,M248,$T:$T,T248,$U:$U,U248,$W:$W,W248,$Z:$Z,Z248,$AA:$AA,AA248,$AB:$AB,AB248,$AC:$AC,AC248,$AD:$AD,AD248,$AE:$AE,AE248,$AF:$AF,AF248,$AG:$AG,AG248,$AH:$AH,AH248,$AI:$AI,AI248)&gt;1,"Duplicate","Unique")</f>
        <v>Unique</v>
      </c>
    </row>
    <row r="249" spans="1:46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  <c r="W249" t="s">
        <v>1297</v>
      </c>
      <c r="Z249" t="s">
        <v>1300</v>
      </c>
      <c r="AA249" t="str">
        <v>Rahul Verma</v>
      </c>
      <c r="AB249" t="str">
        <f>TRIM(PROPER(F:F))</f>
        <v>Corporate</v>
      </c>
      <c r="AC249" t="str">
        <f>TRIM(PROPER(G:G))</f>
        <v>North</v>
      </c>
      <c r="AD249" t="str">
        <f>TRIM(PROPER(H:H))</f>
        <v>Rajasthan</v>
      </c>
      <c r="AE249" t="str">
        <f>TRIM(PROPER(I:I))</f>
        <v>Jaipur</v>
      </c>
      <c r="AF249" t="str">
        <f>TRIM(PROPER(J:J))</f>
        <v>Technology</v>
      </c>
      <c r="AG249" t="str">
        <f>TRIM(PROPER(K:K))</f>
        <v>Accessories</v>
      </c>
      <c r="AH249" t="str">
        <f>TRIM(PROPER(L:L))</f>
        <v>Smart Accessories 572</v>
      </c>
      <c r="AI249" t="str">
        <f>TRIM(PROPER(M:M))</f>
        <v>Second Class</v>
      </c>
      <c r="AJ249" s="5">
        <f>IF(OR(P249&lt;0,P249&gt;0.5),"invalid",P249)</f>
        <v>0.25</v>
      </c>
      <c r="AK249" s="6">
        <f>IFERROR(N249*O249*(1-AJ249), "NA")</f>
        <v>14960.400000000001</v>
      </c>
      <c r="AL249" s="6">
        <f>IFERROR(AK249-R249,"NA")</f>
        <v>2459.5600000000013</v>
      </c>
      <c r="AM249" s="5">
        <f t="shared" si="15"/>
        <v>0.16440469506162944</v>
      </c>
      <c r="AN249" t="str">
        <v>invalid date</v>
      </c>
      <c r="AO249" t="str">
        <v>01-08-24</v>
      </c>
      <c r="AP249" t="str">
        <f t="shared" si="16"/>
        <v>invalid date</v>
      </c>
      <c r="AQ249" t="str">
        <f t="shared" si="17"/>
        <v>invalid date</v>
      </c>
      <c r="AR249" t="str">
        <f t="shared" si="18"/>
        <v>Invalid</v>
      </c>
      <c r="AS249" t="str">
        <f t="shared" si="19"/>
        <v>invalid date</v>
      </c>
      <c r="AT249" t="str">
        <f>IF(COUNTIFS( $A:$A,A249,$B:$B,B249,$C:$C,C249,$D:$D,D249,$E:$E,E249,$F:$F,F249,$G:$G,G249,$H:$H,H249,$I:$I,I249,$J:$J,J249,$K:$K,K249,$L:$L,L249,$M:$M,M249,$T:$T,T249,$U:$U,U249,$W:$W,W249,$Z:$Z,Z249,$AA:$AA,AA249,$AB:$AB,AB249,$AC:$AC,AC249,$AD:$AD,AD249,$AE:$AE,AE249,$AF:$AF,AF249,$AG:$AG,AG249,$AH:$AH,AH249,$AI:$AI,AI249)&gt;1,"Duplicate","Unique")</f>
        <v>Unique</v>
      </c>
    </row>
    <row r="250" spans="1:46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  <c r="W250" t="s">
        <v>1302</v>
      </c>
      <c r="Z250" t="s">
        <v>1304</v>
      </c>
      <c r="AA250" t="str">
        <v>Rohan Mehta</v>
      </c>
      <c r="AB250" t="str">
        <f>TRIM(PROPER(F:F))</f>
        <v>Home Office</v>
      </c>
      <c r="AC250" t="str">
        <f>TRIM(PROPER(G:G))</f>
        <v>East</v>
      </c>
      <c r="AD250" t="str">
        <f>TRIM(PROPER(H:H))</f>
        <v>Odisha</v>
      </c>
      <c r="AE250" t="str">
        <f>TRIM(PROPER(I:I))</f>
        <v>Bhubaneswar</v>
      </c>
      <c r="AF250" t="str">
        <f>TRIM(PROPER(J:J))</f>
        <v>Office Supplies</v>
      </c>
      <c r="AG250" t="str">
        <f>TRIM(PROPER(K:K))</f>
        <v>Labels</v>
      </c>
      <c r="AH250" t="str">
        <f>TRIM(PROPER(L:L))</f>
        <v>Basic Labels 432</v>
      </c>
      <c r="AI250" t="str">
        <f>TRIM(PROPER(M:M))</f>
        <v>Second Class</v>
      </c>
      <c r="AJ250" s="5">
        <f>IF(OR(P250&lt;0,P250&gt;0.5),"invalid",P250)</f>
        <v>0.15</v>
      </c>
      <c r="AK250" s="6">
        <f>IFERROR(N250*O250*(1-AJ250), "NA")</f>
        <v>6027.5114999999996</v>
      </c>
      <c r="AL250" s="6">
        <f>IFERROR(AK250-R250,"NA")</f>
        <v>1143.6914999999999</v>
      </c>
      <c r="AM250" s="5">
        <f t="shared" si="15"/>
        <v>0.18974522072666306</v>
      </c>
      <c r="AN250" t="str">
        <v>06-02-24</v>
      </c>
      <c r="AO250" t="str">
        <v>07-06-24</v>
      </c>
      <c r="AP250" t="str">
        <f t="shared" si="16"/>
        <v>February</v>
      </c>
      <c r="AQ250" t="str">
        <f t="shared" si="17"/>
        <v>2024</v>
      </c>
      <c r="AR250" t="str">
        <f t="shared" si="18"/>
        <v xml:space="preserve"> </v>
      </c>
      <c r="AS250">
        <f t="shared" si="19"/>
        <v>122</v>
      </c>
      <c r="AT250" t="str">
        <f>IF(COUNTIFS( $A:$A,A250,$B:$B,B250,$C:$C,C250,$D:$D,D250,$E:$E,E250,$F:$F,F250,$G:$G,G250,$H:$H,H250,$I:$I,I250,$J:$J,J250,$K:$K,K250,$L:$L,L250,$M:$M,M250,$T:$T,T250,$U:$U,U250,$W:$W,W250,$Z:$Z,Z250,$AA:$AA,AA250,$AB:$AB,AB250,$AC:$AC,AC250,$AD:$AD,AD250,$AE:$AE,AE250,$AF:$AF,AF250,$AG:$AG,AG250,$AH:$AH,AH250,$AI:$AI,AI250)&gt;1,"Duplicate","Unique")</f>
        <v>Unique</v>
      </c>
    </row>
    <row r="251" spans="1:46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  <c r="W251" t="s">
        <v>1306</v>
      </c>
      <c r="Z251" t="s">
        <v>1308</v>
      </c>
      <c r="AA251" t="str">
        <v>Mira Das</v>
      </c>
      <c r="AB251" t="str">
        <f>TRIM(PROPER(F:F))</f>
        <v>Corporate</v>
      </c>
      <c r="AC251" t="str">
        <f>TRIM(PROPER(G:G))</f>
        <v>North</v>
      </c>
      <c r="AD251" t="str">
        <f>TRIM(PROPER(H:H))</f>
        <v>Rajasthan</v>
      </c>
      <c r="AE251" t="str">
        <f>TRIM(PROPER(I:I))</f>
        <v>Jaipur</v>
      </c>
      <c r="AF251" t="str">
        <f>TRIM(PROPER(J:J))</f>
        <v>Furniture</v>
      </c>
      <c r="AG251" t="str">
        <f>TRIM(PROPER(K:K))</f>
        <v>Furnishings</v>
      </c>
      <c r="AH251" t="str">
        <f>TRIM(PROPER(L:L))</f>
        <v>Classic Furnishings 378</v>
      </c>
      <c r="AI251" t="str">
        <f>TRIM(PROPER(M:M))</f>
        <v>First Class</v>
      </c>
      <c r="AJ251" s="5">
        <f>IF(OR(P251&lt;0,P251&gt;0.5),"invalid",P251)</f>
        <v>0.2</v>
      </c>
      <c r="AK251" s="6">
        <f>IFERROR(N251*O251*(1-AJ251), "NA")</f>
        <v>8928.9279999999999</v>
      </c>
      <c r="AL251" s="6">
        <f>IFERROR(AK251-R251,"NA")</f>
        <v>3294.5479999999998</v>
      </c>
      <c r="AM251" s="5">
        <f t="shared" si="15"/>
        <v>0.36897464062875185</v>
      </c>
      <c r="AN251" t="str">
        <v>08-01-25</v>
      </c>
      <c r="AO251" t="str">
        <v>08-02-25</v>
      </c>
      <c r="AP251" t="str">
        <f t="shared" si="16"/>
        <v>January</v>
      </c>
      <c r="AQ251" t="str">
        <f t="shared" si="17"/>
        <v>2025</v>
      </c>
      <c r="AR251" t="str">
        <f t="shared" si="18"/>
        <v xml:space="preserve"> </v>
      </c>
      <c r="AS251">
        <f t="shared" si="19"/>
        <v>31</v>
      </c>
      <c r="AT251" t="str">
        <f>IF(COUNTIFS( $A:$A,A251,$B:$B,B251,$C:$C,C251,$D:$D,D251,$E:$E,E251,$F:$F,F251,$G:$G,G251,$H:$H,H251,$I:$I,I251,$J:$J,J251,$K:$K,K251,$L:$L,L251,$M:$M,M251,$T:$T,T251,$U:$U,U251,$W:$W,W251,$Z:$Z,Z251,$AA:$AA,AA251,$AB:$AB,AB251,$AC:$AC,AC251,$AD:$AD,AD251,$AE:$AE,AE251,$AF:$AF,AF251,$AG:$AG,AG251,$AH:$AH,AH251,$AI:$AI,AI251)&gt;1,"Duplicate","Unique")</f>
        <v>Unique</v>
      </c>
    </row>
    <row r="252" spans="1:46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  <c r="W252" t="s">
        <v>1310</v>
      </c>
      <c r="Z252" t="s">
        <v>1313</v>
      </c>
      <c r="AA252" t="str">
        <v>Arjun Bose</v>
      </c>
      <c r="AB252" t="str">
        <f>TRIM(PROPER(F:F))</f>
        <v>Small Business</v>
      </c>
      <c r="AC252" t="str">
        <f>TRIM(PROPER(G:G))</f>
        <v>East</v>
      </c>
      <c r="AD252" t="str">
        <f>TRIM(PROPER(H:H))</f>
        <v>West Bengal</v>
      </c>
      <c r="AE252" t="str">
        <f>TRIM(PROPER(I:I))</f>
        <v>Kolkata</v>
      </c>
      <c r="AF252" t="str">
        <f>TRIM(PROPER(J:J))</f>
        <v>Furniture</v>
      </c>
      <c r="AG252" t="str">
        <f>TRIM(PROPER(K:K))</f>
        <v>Furnishings</v>
      </c>
      <c r="AH252" t="str">
        <f>TRIM(PROPER(L:L))</f>
        <v>Prime Furnishings 781</v>
      </c>
      <c r="AI252" t="str">
        <f>TRIM(PROPER(M:M))</f>
        <v>Standard Class</v>
      </c>
      <c r="AJ252" s="5">
        <f>IF(OR(P252&lt;0,P252&gt;0.5),"invalid",P252)</f>
        <v>0.15</v>
      </c>
      <c r="AK252" s="6">
        <f>IFERROR(N252*O252*(1-AJ252), "NA")</f>
        <v>14338.904999999999</v>
      </c>
      <c r="AL252" s="6">
        <f>IFERROR(AK252-R252,"NA")</f>
        <v>2441.2549999999992</v>
      </c>
      <c r="AM252" s="5">
        <f t="shared" si="15"/>
        <v>0.17025393501107647</v>
      </c>
      <c r="AN252" t="str">
        <v>invalid date</v>
      </c>
      <c r="AO252" t="str">
        <v>invalid date</v>
      </c>
      <c r="AP252" t="str">
        <f t="shared" si="16"/>
        <v>invalid date</v>
      </c>
      <c r="AQ252" t="str">
        <f t="shared" si="17"/>
        <v>invalid date</v>
      </c>
      <c r="AR252" t="str">
        <f t="shared" si="18"/>
        <v>Invalid</v>
      </c>
      <c r="AS252" t="str">
        <f t="shared" si="19"/>
        <v>invalid date</v>
      </c>
      <c r="AT252" t="str">
        <f>IF(COUNTIFS( $A:$A,A252,$B:$B,B252,$C:$C,C252,$D:$D,D252,$E:$E,E252,$F:$F,F252,$G:$G,G252,$H:$H,H252,$I:$I,I252,$J:$J,J252,$K:$K,K252,$L:$L,L252,$M:$M,M252,$T:$T,T252,$U:$U,U252,$W:$W,W252,$Z:$Z,Z252,$AA:$AA,AA252,$AB:$AB,AB252,$AC:$AC,AC252,$AD:$AD,AD252,$AE:$AE,AE252,$AF:$AF,AF252,$AG:$AG,AG252,$AH:$AH,AH252,$AI:$AI,AI252)&gt;1,"Duplicate","Unique")</f>
        <v>Unique</v>
      </c>
    </row>
    <row r="253" spans="1:46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  <c r="W253" t="s">
        <v>1315</v>
      </c>
      <c r="Z253" t="s">
        <v>1317</v>
      </c>
      <c r="AA253" t="str">
        <v>Ananya Rao</v>
      </c>
      <c r="AB253" t="str">
        <f>TRIM(PROPER(F:F))</f>
        <v>Corporate</v>
      </c>
      <c r="AC253" t="str">
        <f>TRIM(PROPER(G:G))</f>
        <v>West</v>
      </c>
      <c r="AD253" t="str">
        <f>TRIM(PROPER(H:H))</f>
        <v>Gujarat</v>
      </c>
      <c r="AE253" t="str">
        <f>TRIM(PROPER(I:I))</f>
        <v>Ahmedabad</v>
      </c>
      <c r="AF253" t="str">
        <f>TRIM(PROPER(J:J))</f>
        <v>Furniture</v>
      </c>
      <c r="AG253" t="str">
        <f>TRIM(PROPER(K:K))</f>
        <v>Tables</v>
      </c>
      <c r="AH253" t="str">
        <f>TRIM(PROPER(L:L))</f>
        <v>Prime Tables 263</v>
      </c>
      <c r="AI253" t="str">
        <f>TRIM(PROPER(M:M))</f>
        <v>Second Class</v>
      </c>
      <c r="AJ253" s="5">
        <f>IF(OR(P253&lt;0,P253&gt;0.5),"invalid",P253)</f>
        <v>0</v>
      </c>
      <c r="AK253" s="6">
        <f>IFERROR(N253*O253*(1-AJ253), "NA")</f>
        <v>6132.96</v>
      </c>
      <c r="AL253" s="6">
        <f>IFERROR(AK253-R253,"NA")</f>
        <v>1251.8599999999997</v>
      </c>
      <c r="AM253" s="5">
        <f t="shared" si="15"/>
        <v>0.20412003339333692</v>
      </c>
      <c r="AN253" t="str">
        <v>06-04-25</v>
      </c>
      <c r="AO253" t="str">
        <v>04-10-25</v>
      </c>
      <c r="AP253" t="str">
        <f t="shared" si="16"/>
        <v>April</v>
      </c>
      <c r="AQ253" t="str">
        <f t="shared" si="17"/>
        <v>2025</v>
      </c>
      <c r="AR253" t="str">
        <f t="shared" si="18"/>
        <v>anomaly</v>
      </c>
      <c r="AS253">
        <f t="shared" si="19"/>
        <v>181</v>
      </c>
      <c r="AT253" t="str">
        <f>IF(COUNTIFS( $A:$A,A253,$B:$B,B253,$C:$C,C253,$D:$D,D253,$E:$E,E253,$F:$F,F253,$G:$G,G253,$H:$H,H253,$I:$I,I253,$J:$J,J253,$K:$K,K253,$L:$L,L253,$M:$M,M253,$T:$T,T253,$U:$U,U253,$W:$W,W253,$Z:$Z,Z253,$AA:$AA,AA253,$AB:$AB,AB253,$AC:$AC,AC253,$AD:$AD,AD253,$AE:$AE,AE253,$AF:$AF,AF253,$AG:$AG,AG253,$AH:$AH,AH253,$AI:$AI,AI253)&gt;1,"Duplicate","Unique")</f>
        <v>Unique</v>
      </c>
    </row>
    <row r="254" spans="1:46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  <c r="W254" t="s">
        <v>1319</v>
      </c>
      <c r="Z254" t="s">
        <v>1321</v>
      </c>
      <c r="AA254" t="str">
        <v>Arjun Bose</v>
      </c>
      <c r="AB254" t="str">
        <f>TRIM(PROPER(F:F))</f>
        <v>Corporate</v>
      </c>
      <c r="AC254" t="str">
        <f>TRIM(PROPER(G:G))</f>
        <v>North</v>
      </c>
      <c r="AD254" t="str">
        <f>TRIM(PROPER(H:H))</f>
        <v>Haryana</v>
      </c>
      <c r="AE254" t="str">
        <f>TRIM(PROPER(I:I))</f>
        <v>Gurugram</v>
      </c>
      <c r="AF254" t="str">
        <f>TRIM(PROPER(J:J))</f>
        <v>Office Supplies</v>
      </c>
      <c r="AG254" t="str">
        <f>TRIM(PROPER(K:K))</f>
        <v>Storage</v>
      </c>
      <c r="AH254" t="str">
        <f>TRIM(PROPER(L:L))</f>
        <v>Basic Storage 269</v>
      </c>
      <c r="AI254" t="str">
        <f>TRIM(PROPER(M:M))</f>
        <v>First Class</v>
      </c>
      <c r="AJ254" s="5">
        <f>IF(OR(P254&lt;0,P254&gt;0.5),"invalid",P254)</f>
        <v>0.2</v>
      </c>
      <c r="AK254" s="6">
        <f>IFERROR(N254*O254*(1-AJ254), "NA")</f>
        <v>2329.4720000000002</v>
      </c>
      <c r="AL254" s="6">
        <f>IFERROR(AK254-R254,"NA")</f>
        <v>725.85200000000032</v>
      </c>
      <c r="AM254" s="5">
        <f t="shared" si="15"/>
        <v>0.31159507390515973</v>
      </c>
      <c r="AN254" t="str">
        <v>25-06-25</v>
      </c>
      <c r="AO254" t="str">
        <v>28-06-25</v>
      </c>
      <c r="AP254" t="str">
        <f t="shared" si="16"/>
        <v>June</v>
      </c>
      <c r="AQ254" t="str">
        <f t="shared" si="17"/>
        <v>2025</v>
      </c>
      <c r="AR254" t="str">
        <f t="shared" si="18"/>
        <v xml:space="preserve"> </v>
      </c>
      <c r="AS254">
        <f t="shared" si="19"/>
        <v>3</v>
      </c>
      <c r="AT254" t="str">
        <f>IF(COUNTIFS( $A:$A,A254,$B:$B,B254,$C:$C,C254,$D:$D,D254,$E:$E,E254,$F:$F,F254,$G:$G,G254,$H:$H,H254,$I:$I,I254,$J:$J,J254,$K:$K,K254,$L:$L,L254,$M:$M,M254,$T:$T,T254,$U:$U,U254,$W:$W,W254,$Z:$Z,Z254,$AA:$AA,AA254,$AB:$AB,AB254,$AC:$AC,AC254,$AD:$AD,AD254,$AE:$AE,AE254,$AF:$AF,AF254,$AG:$AG,AG254,$AH:$AH,AH254,$AI:$AI,AI254)&gt;1,"Duplicate","Unique")</f>
        <v>Unique</v>
      </c>
    </row>
    <row r="255" spans="1:46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  <c r="W255" t="s">
        <v>1323</v>
      </c>
      <c r="Z255" t="s">
        <v>1326</v>
      </c>
      <c r="AA255" t="str">
        <v>Priya Menon</v>
      </c>
      <c r="AB255" t="str">
        <f>TRIM(PROPER(F:F))</f>
        <v>Small Business</v>
      </c>
      <c r="AC255" t="str">
        <f>TRIM(PROPER(G:G))</f>
        <v>North</v>
      </c>
      <c r="AD255" t="str">
        <f>TRIM(PROPER(H:H))</f>
        <v>Rajasthan</v>
      </c>
      <c r="AE255" t="str">
        <f>TRIM(PROPER(I:I))</f>
        <v>Jaipur</v>
      </c>
      <c r="AF255" t="str">
        <f>TRIM(PROPER(J:J))</f>
        <v>Technology</v>
      </c>
      <c r="AG255" t="str">
        <f>TRIM(PROPER(K:K))</f>
        <v>Phones</v>
      </c>
      <c r="AH255" t="str">
        <f>TRIM(PROPER(L:L))</f>
        <v>Classic Phones 442</v>
      </c>
      <c r="AI255" t="str">
        <f>TRIM(PROPER(M:M))</f>
        <v>Same Day</v>
      </c>
      <c r="AJ255" s="5">
        <f>IF(OR(P255&lt;0,P255&gt;0.5),"invalid",P255)</f>
        <v>0.05</v>
      </c>
      <c r="AK255" s="6">
        <f>IFERROR(N255*O255*(1-AJ255), "NA")</f>
        <v>4746.9029999999993</v>
      </c>
      <c r="AL255" s="6">
        <f>IFERROR(AK255-R255,"NA")</f>
        <v>1921.5229999999992</v>
      </c>
      <c r="AM255" s="5">
        <f t="shared" si="15"/>
        <v>0.40479508428969363</v>
      </c>
      <c r="AN255" t="str">
        <v>12-09-24</v>
      </c>
      <c r="AO255" t="str">
        <v>invalid date</v>
      </c>
      <c r="AP255" t="str">
        <f t="shared" si="16"/>
        <v>September</v>
      </c>
      <c r="AQ255" t="str">
        <f t="shared" si="17"/>
        <v>2024</v>
      </c>
      <c r="AR255" t="str">
        <f t="shared" si="18"/>
        <v>Invalid</v>
      </c>
      <c r="AS255" t="str">
        <f t="shared" si="19"/>
        <v>invalid date</v>
      </c>
      <c r="AT255" t="str">
        <f>IF(COUNTIFS( $A:$A,A255,$B:$B,B255,$C:$C,C255,$D:$D,D255,$E:$E,E255,$F:$F,F255,$G:$G,G255,$H:$H,H255,$I:$I,I255,$J:$J,J255,$K:$K,K255,$L:$L,L255,$M:$M,M255,$T:$T,T255,$U:$U,U255,$W:$W,W255,$Z:$Z,Z255,$AA:$AA,AA255,$AB:$AB,AB255,$AC:$AC,AC255,$AD:$AD,AD255,$AE:$AE,AE255,$AF:$AF,AF255,$AG:$AG,AG255,$AH:$AH,AH255,$AI:$AI,AI255)&gt;1,"Duplicate","Unique")</f>
        <v>Unique</v>
      </c>
    </row>
    <row r="256" spans="1:46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  <c r="W256" t="s">
        <v>1328</v>
      </c>
      <c r="Z256" t="s">
        <v>1331</v>
      </c>
      <c r="AA256" t="str">
        <v>Ananya Rao</v>
      </c>
      <c r="AB256" t="str">
        <f>TRIM(PROPER(F:F))</f>
        <v>Consumer</v>
      </c>
      <c r="AC256" t="str">
        <f>TRIM(PROPER(G:G))</f>
        <v>West</v>
      </c>
      <c r="AD256" t="str">
        <f>TRIM(PROPER(H:H))</f>
        <v>Madhya Pradesh</v>
      </c>
      <c r="AE256" t="str">
        <f>TRIM(PROPER(I:I))</f>
        <v>Indore</v>
      </c>
      <c r="AF256" t="str">
        <f>TRIM(PROPER(J:J))</f>
        <v>Technology</v>
      </c>
      <c r="AG256" t="str">
        <f>TRIM(PROPER(K:K))</f>
        <v>Accessories</v>
      </c>
      <c r="AH256" t="str">
        <f>TRIM(PROPER(L:L))</f>
        <v>Elite Accessories 978</v>
      </c>
      <c r="AI256" t="str">
        <f>TRIM(PROPER(M:M))</f>
        <v>Same Day</v>
      </c>
      <c r="AJ256" s="5">
        <f>IF(OR(P256&lt;0,P256&gt;0.5),"invalid",P256)</f>
        <v>0.2</v>
      </c>
      <c r="AK256" s="6">
        <f>IFERROR(N256*O256*(1-AJ256), "NA")</f>
        <v>5603.08</v>
      </c>
      <c r="AL256" s="6">
        <f>IFERROR(AK256-R256,"NA")</f>
        <v>2470.56</v>
      </c>
      <c r="AM256" s="5">
        <f t="shared" si="15"/>
        <v>0.44092891766671188</v>
      </c>
      <c r="AN256" t="str">
        <v>01-01-25</v>
      </c>
      <c r="AO256" t="str">
        <v>03-01-25</v>
      </c>
      <c r="AP256" t="str">
        <f t="shared" si="16"/>
        <v>January</v>
      </c>
      <c r="AQ256" t="str">
        <f t="shared" si="17"/>
        <v>2025</v>
      </c>
      <c r="AR256" t="str">
        <f t="shared" si="18"/>
        <v xml:space="preserve"> </v>
      </c>
      <c r="AS256">
        <f t="shared" si="19"/>
        <v>2</v>
      </c>
      <c r="AT256" t="str">
        <f>IF(COUNTIFS( $A:$A,A256,$B:$B,B256,$C:$C,C256,$D:$D,D256,$E:$E,E256,$F:$F,F256,$G:$G,G256,$H:$H,H256,$I:$I,I256,$J:$J,J256,$K:$K,K256,$L:$L,L256,$M:$M,M256,$T:$T,T256,$U:$U,U256,$W:$W,W256,$Z:$Z,Z256,$AA:$AA,AA256,$AB:$AB,AB256,$AC:$AC,AC256,$AD:$AD,AD256,$AE:$AE,AE256,$AF:$AF,AF256,$AG:$AG,AG256,$AH:$AH,AH256,$AI:$AI,AI256)&gt;1,"Duplicate","Unique")</f>
        <v>Unique</v>
      </c>
    </row>
    <row r="257" spans="1:46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  <c r="W257" t="s">
        <v>1333</v>
      </c>
      <c r="Z257" t="s">
        <v>1336</v>
      </c>
      <c r="AA257" t="str">
        <v>Isha Nair</v>
      </c>
      <c r="AB257" t="str">
        <f>TRIM(PROPER(F:F))</f>
        <v>Corporate</v>
      </c>
      <c r="AC257" t="str">
        <f>TRIM(PROPER(G:G))</f>
        <v>West</v>
      </c>
      <c r="AD257" t="str">
        <f>TRIM(PROPER(H:H))</f>
        <v>Maharashtra</v>
      </c>
      <c r="AE257" t="str">
        <f>TRIM(PROPER(I:I))</f>
        <v>Mumbai</v>
      </c>
      <c r="AF257" t="str">
        <f>TRIM(PROPER(J:J))</f>
        <v>Technology</v>
      </c>
      <c r="AG257" t="str">
        <f>TRIM(PROPER(K:K))</f>
        <v>Phones</v>
      </c>
      <c r="AH257" t="str">
        <f>TRIM(PROPER(L:L))</f>
        <v>Eco Phones 132</v>
      </c>
      <c r="AI257" t="str">
        <f>TRIM(PROPER(M:M))</f>
        <v>First Class</v>
      </c>
      <c r="AJ257" s="5">
        <f>IF(OR(P257&lt;0,P257&gt;0.5),"invalid",P257)</f>
        <v>0</v>
      </c>
      <c r="AK257" s="6">
        <f>IFERROR(N257*O257*(1-AJ257), "NA")</f>
        <v>12810</v>
      </c>
      <c r="AL257" s="6">
        <f>IFERROR(AK257-R257,"NA")</f>
        <v>3475.8799999999992</v>
      </c>
      <c r="AM257" s="5">
        <f t="shared" si="15"/>
        <v>0.27134113973458229</v>
      </c>
      <c r="AN257" t="str">
        <v>04-02-25</v>
      </c>
      <c r="AO257" t="str">
        <v>02-10-25</v>
      </c>
      <c r="AP257" t="str">
        <f t="shared" si="16"/>
        <v>February</v>
      </c>
      <c r="AQ257" t="str">
        <f t="shared" si="17"/>
        <v>2025</v>
      </c>
      <c r="AR257" t="str">
        <f t="shared" si="18"/>
        <v>anomaly</v>
      </c>
      <c r="AS257">
        <f t="shared" si="19"/>
        <v>240</v>
      </c>
      <c r="AT257" t="str">
        <f>IF(COUNTIFS( $A:$A,A257,$B:$B,B257,$C:$C,C257,$D:$D,D257,$E:$E,E257,$F:$F,F257,$G:$G,G257,$H:$H,H257,$I:$I,I257,$J:$J,J257,$K:$K,K257,$L:$L,L257,$M:$M,M257,$T:$T,T257,$U:$U,U257,$W:$W,W257,$Z:$Z,Z257,$AA:$AA,AA257,$AB:$AB,AB257,$AC:$AC,AC257,$AD:$AD,AD257,$AE:$AE,AE257,$AF:$AF,AF257,$AG:$AG,AG257,$AH:$AH,AH257,$AI:$AI,AI257)&gt;1,"Duplicate","Unique")</f>
        <v>Unique</v>
      </c>
    </row>
    <row r="258" spans="1:46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  <c r="W258" t="s">
        <v>1338</v>
      </c>
      <c r="Z258" t="s">
        <v>1340</v>
      </c>
      <c r="AA258" t="str">
        <v>Ananya Rao</v>
      </c>
      <c r="AB258" t="str">
        <f>TRIM(PROPER(F:F))</f>
        <v>Consumer</v>
      </c>
      <c r="AC258" t="str">
        <f>TRIM(PROPER(G:G))</f>
        <v>East</v>
      </c>
      <c r="AD258" t="str">
        <f>TRIM(PROPER(H:H))</f>
        <v>West Bengal</v>
      </c>
      <c r="AE258" t="str">
        <f>TRIM(PROPER(I:I))</f>
        <v>Kolkata</v>
      </c>
      <c r="AF258" t="str">
        <f>TRIM(PROPER(J:J))</f>
        <v>Furniture</v>
      </c>
      <c r="AG258" t="str">
        <f>TRIM(PROPER(K:K))</f>
        <v>Tables</v>
      </c>
      <c r="AH258" t="str">
        <f>TRIM(PROPER(L:L))</f>
        <v>Prime Tables 481</v>
      </c>
      <c r="AI258" t="str">
        <f>TRIM(PROPER(M:M))</f>
        <v>First Class</v>
      </c>
      <c r="AJ258" s="5">
        <f>IF(OR(P258&lt;0,P258&gt;0.5),"invalid",P258)</f>
        <v>0.05</v>
      </c>
      <c r="AK258" s="6">
        <f>IFERROR(N258*O258*(1-AJ258), "NA")</f>
        <v>19328.215500000002</v>
      </c>
      <c r="AL258" s="6">
        <f>IFERROR(AK258-R258,"NA")</f>
        <v>7288.7155000000021</v>
      </c>
      <c r="AM258" s="5">
        <f t="shared" si="15"/>
        <v>0.3771023507058891</v>
      </c>
      <c r="AN258" t="str">
        <v>05-11-24</v>
      </c>
      <c r="AO258" t="str">
        <v>03-11-24</v>
      </c>
      <c r="AP258" t="str">
        <f t="shared" si="16"/>
        <v>November</v>
      </c>
      <c r="AQ258" t="str">
        <f t="shared" si="17"/>
        <v>2024</v>
      </c>
      <c r="AR258" t="str">
        <f t="shared" si="18"/>
        <v>anomaly</v>
      </c>
      <c r="AS258">
        <f t="shared" si="19"/>
        <v>-2</v>
      </c>
      <c r="AT258" t="str">
        <f>IF(COUNTIFS( $A:$A,A258,$B:$B,B258,$C:$C,C258,$D:$D,D258,$E:$E,E258,$F:$F,F258,$G:$G,G258,$H:$H,H258,$I:$I,I258,$J:$J,J258,$K:$K,K258,$L:$L,L258,$M:$M,M258,$T:$T,T258,$U:$U,U258,$W:$W,W258,$Z:$Z,Z258,$AA:$AA,AA258,$AB:$AB,AB258,$AC:$AC,AC258,$AD:$AD,AD258,$AE:$AE,AE258,$AF:$AF,AF258,$AG:$AG,AG258,$AH:$AH,AH258,$AI:$AI,AI258)&gt;1,"Duplicate","Unique")</f>
        <v>Unique</v>
      </c>
    </row>
    <row r="259" spans="1:46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  <c r="W259" t="s">
        <v>1342</v>
      </c>
      <c r="Z259" t="s">
        <v>1345</v>
      </c>
      <c r="AA259" t="str">
        <v>Diya Patel</v>
      </c>
      <c r="AB259" t="str">
        <f>TRIM(PROPER(F:F))</f>
        <v>Corporate</v>
      </c>
      <c r="AC259" t="str">
        <f>TRIM(PROPER(G:G))</f>
        <v>South</v>
      </c>
      <c r="AD259" t="str">
        <f>TRIM(PROPER(H:H))</f>
        <v>Karnataka</v>
      </c>
      <c r="AE259" t="str">
        <f>TRIM(PROPER(I:I))</f>
        <v>Bengaluru</v>
      </c>
      <c r="AF259" t="str">
        <f>TRIM(PROPER(J:J))</f>
        <v>Technology</v>
      </c>
      <c r="AG259" t="str">
        <f>TRIM(PROPER(K:K))</f>
        <v>Accessories</v>
      </c>
      <c r="AH259" t="str">
        <f>TRIM(PROPER(L:L))</f>
        <v>Smart Accessories 180</v>
      </c>
      <c r="AI259" t="str">
        <f>TRIM(PROPER(M:M))</f>
        <v>Second Class</v>
      </c>
      <c r="AJ259" s="5">
        <f>IF(OR(P259&lt;0,P259&gt;0.5),"invalid",P259)</f>
        <v>0</v>
      </c>
      <c r="AK259" s="6">
        <f>IFERROR(N259*O259*(1-AJ259), "NA")</f>
        <v>6474.54</v>
      </c>
      <c r="AL259" s="6">
        <f>IFERROR(AK259-R259,"NA")</f>
        <v>1378.63</v>
      </c>
      <c r="AM259" s="5">
        <f t="shared" ref="AM259:AM322" si="20">IFERROR(AL259/AK259,"NA")</f>
        <v>0.21293095725719513</v>
      </c>
      <c r="AN259" t="str">
        <v>09-08-25</v>
      </c>
      <c r="AO259" t="str">
        <v>12-08-25</v>
      </c>
      <c r="AP259" t="str">
        <f t="shared" ref="AP259:AP322" si="21">TEXT(AN259,"mmmm")</f>
        <v>August</v>
      </c>
      <c r="AQ259" t="str">
        <f t="shared" ref="AQ259:AQ322" si="22">TEXT(AN259,"yyyy")</f>
        <v>2025</v>
      </c>
      <c r="AR259" t="str">
        <f t="shared" ref="AR259:AR322" si="23">IF(OR(AN259="Invalid Date",AO259="Invalid Date"),"Invalid",(IF(AO259&lt;AN259,"anomaly"," ")))</f>
        <v xml:space="preserve"> </v>
      </c>
      <c r="AS259">
        <f t="shared" ref="AS259:AS322" si="24">IFERROR(AO259-AN259, "invalid date")</f>
        <v>3</v>
      </c>
      <c r="AT259" t="str">
        <f>IF(COUNTIFS( $A:$A,A259,$B:$B,B259,$C:$C,C259,$D:$D,D259,$E:$E,E259,$F:$F,F259,$G:$G,G259,$H:$H,H259,$I:$I,I259,$J:$J,J259,$K:$K,K259,$L:$L,L259,$M:$M,M259,$T:$T,T259,$U:$U,U259,$W:$W,W259,$Z:$Z,Z259,$AA:$AA,AA259,$AB:$AB,AB259,$AC:$AC,AC259,$AD:$AD,AD259,$AE:$AE,AE259,$AF:$AF,AF259,$AG:$AG,AG259,$AH:$AH,AH259,$AI:$AI,AI259)&gt;1,"Duplicate","Unique")</f>
        <v>Unique</v>
      </c>
    </row>
    <row r="260" spans="1:46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  <c r="W260" t="s">
        <v>1347</v>
      </c>
      <c r="Z260" t="s">
        <v>1349</v>
      </c>
      <c r="AA260" t="str">
        <v>Sneha Kapoor</v>
      </c>
      <c r="AB260" t="str">
        <f>TRIM(PROPER(F:F))</f>
        <v>Corporate</v>
      </c>
      <c r="AC260" t="str">
        <f>TRIM(PROPER(G:G))</f>
        <v>South</v>
      </c>
      <c r="AD260" t="str">
        <f>TRIM(PROPER(H:H))</f>
        <v>Tamil Nadu</v>
      </c>
      <c r="AE260" t="str">
        <f>TRIM(PROPER(I:I))</f>
        <v>Chennai</v>
      </c>
      <c r="AF260" t="str">
        <f>TRIM(PROPER(J:J))</f>
        <v>Furniture</v>
      </c>
      <c r="AG260" t="str">
        <f>TRIM(PROPER(K:K))</f>
        <v>Tables</v>
      </c>
      <c r="AH260" t="str">
        <f>TRIM(PROPER(L:L))</f>
        <v>Smart Tables 774</v>
      </c>
      <c r="AI260" t="str">
        <f>TRIM(PROPER(M:M))</f>
        <v>Same Day</v>
      </c>
      <c r="AJ260" s="5">
        <f>IF(OR(P260&lt;0,P260&gt;0.5),"invalid",P260)</f>
        <v>0.25</v>
      </c>
      <c r="AK260" s="6">
        <f>IFERROR(N260*O260*(1-AJ260), "NA")</f>
        <v>5580.1050000000005</v>
      </c>
      <c r="AL260" s="6">
        <f>IFERROR(AK260-R260,"NA")</f>
        <v>1273.0950000000003</v>
      </c>
      <c r="AM260" s="5">
        <f t="shared" si="20"/>
        <v>0.22814893268137429</v>
      </c>
      <c r="AN260" t="str">
        <v>30-12-24</v>
      </c>
      <c r="AO260" t="str">
        <v>04-01-25</v>
      </c>
      <c r="AP260" t="str">
        <f t="shared" si="21"/>
        <v>December</v>
      </c>
      <c r="AQ260" t="str">
        <f t="shared" si="22"/>
        <v>2024</v>
      </c>
      <c r="AR260" t="str">
        <f t="shared" si="23"/>
        <v>anomaly</v>
      </c>
      <c r="AS260">
        <f t="shared" si="24"/>
        <v>5</v>
      </c>
      <c r="AT260" t="str">
        <f>IF(COUNTIFS( $A:$A,A260,$B:$B,B260,$C:$C,C260,$D:$D,D260,$E:$E,E260,$F:$F,F260,$G:$G,G260,$H:$H,H260,$I:$I,I260,$J:$J,J260,$K:$K,K260,$L:$L,L260,$M:$M,M260,$T:$T,T260,$U:$U,U260,$W:$W,W260,$Z:$Z,Z260,$AA:$AA,AA260,$AB:$AB,AB260,$AC:$AC,AC260,$AD:$AD,AD260,$AE:$AE,AE260,$AF:$AF,AF260,$AG:$AG,AG260,$AH:$AH,AH260,$AI:$AI,AI260)&gt;1,"Duplicate","Unique")</f>
        <v>Unique</v>
      </c>
    </row>
    <row r="261" spans="1:46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  <c r="W261" t="s">
        <v>1351</v>
      </c>
      <c r="Z261" t="s">
        <v>1354</v>
      </c>
      <c r="AA261" t="str">
        <v>Neha Gupta</v>
      </c>
      <c r="AB261" t="str">
        <f>TRIM(PROPER(F:F))</f>
        <v>Consumer</v>
      </c>
      <c r="AC261" t="str">
        <f>TRIM(PROPER(G:G))</f>
        <v>South</v>
      </c>
      <c r="AD261" t="str">
        <f>TRIM(PROPER(H:H))</f>
        <v>Tamil Nadu</v>
      </c>
      <c r="AE261" t="str">
        <f>TRIM(PROPER(I:I))</f>
        <v>Chennai</v>
      </c>
      <c r="AF261" t="str">
        <f>TRIM(PROPER(J:J))</f>
        <v>Technology</v>
      </c>
      <c r="AG261" t="str">
        <f>TRIM(PROPER(K:K))</f>
        <v>Machines</v>
      </c>
      <c r="AH261" t="str">
        <f>TRIM(PROPER(L:L))</f>
        <v>Prime Machines 793</v>
      </c>
      <c r="AI261" t="str">
        <f>TRIM(PROPER(M:M))</f>
        <v>Standard Class</v>
      </c>
      <c r="AJ261" s="5">
        <f>IF(OR(P261&lt;0,P261&gt;0.5),"invalid",P261)</f>
        <v>0.2</v>
      </c>
      <c r="AK261" s="6">
        <f>IFERROR(N261*O261*(1-AJ261), "NA")</f>
        <v>18265.088</v>
      </c>
      <c r="AL261" s="6">
        <f>IFERROR(AK261-R261,"NA")</f>
        <v>7827.9480000000003</v>
      </c>
      <c r="AM261" s="5">
        <f t="shared" si="20"/>
        <v>0.42857433810338064</v>
      </c>
      <c r="AN261" t="str">
        <v>invalid date</v>
      </c>
      <c r="AO261" t="str">
        <v>29-06-24</v>
      </c>
      <c r="AP261" t="str">
        <f t="shared" si="21"/>
        <v>invalid date</v>
      </c>
      <c r="AQ261" t="str">
        <f t="shared" si="22"/>
        <v>invalid date</v>
      </c>
      <c r="AR261" t="str">
        <f t="shared" si="23"/>
        <v>Invalid</v>
      </c>
      <c r="AS261" t="str">
        <f t="shared" si="24"/>
        <v>invalid date</v>
      </c>
      <c r="AT261" t="str">
        <f>IF(COUNTIFS( $A:$A,A261,$B:$B,B261,$C:$C,C261,$D:$D,D261,$E:$E,E261,$F:$F,F261,$G:$G,G261,$H:$H,H261,$I:$I,I261,$J:$J,J261,$K:$K,K261,$L:$L,L261,$M:$M,M261,$T:$T,T261,$U:$U,U261,$W:$W,W261,$Z:$Z,Z261,$AA:$AA,AA261,$AB:$AB,AB261,$AC:$AC,AC261,$AD:$AD,AD261,$AE:$AE,AE261,$AF:$AF,AF261,$AG:$AG,AG261,$AH:$AH,AH261,$AI:$AI,AI261)&gt;1,"Duplicate","Unique")</f>
        <v>Unique</v>
      </c>
    </row>
    <row r="262" spans="1:46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  <c r="W262" t="s">
        <v>1356</v>
      </c>
      <c r="Z262" t="s">
        <v>1359</v>
      </c>
      <c r="AA262" t="str">
        <v>Aditi Sen</v>
      </c>
      <c r="AB262" t="str">
        <f>TRIM(PROPER(F:F))</f>
        <v>Corporate</v>
      </c>
      <c r="AC262" t="str">
        <f>TRIM(PROPER(G:G))</f>
        <v>East</v>
      </c>
      <c r="AD262" t="str">
        <f>TRIM(PROPER(H:H))</f>
        <v>West Bengal</v>
      </c>
      <c r="AE262" t="str">
        <f>TRIM(PROPER(I:I))</f>
        <v>Kolkata</v>
      </c>
      <c r="AF262" t="str">
        <f>TRIM(PROPER(J:J))</f>
        <v>Office Supplies</v>
      </c>
      <c r="AG262" t="str">
        <f>TRIM(PROPER(K:K))</f>
        <v>Binders</v>
      </c>
      <c r="AH262" t="str">
        <f>TRIM(PROPER(L:L))</f>
        <v>Elite Binders 827</v>
      </c>
      <c r="AI262" t="str">
        <f>TRIM(PROPER(M:M))</f>
        <v>Same Day</v>
      </c>
      <c r="AJ262" s="5">
        <f>IF(OR(P262&lt;0,P262&gt;0.5),"invalid",P262)</f>
        <v>0.25</v>
      </c>
      <c r="AK262" s="6">
        <f>IFERROR(N262*O262*(1-AJ262), "NA")</f>
        <v>15209.880000000001</v>
      </c>
      <c r="AL262" s="6">
        <f>IFERROR(AK262-R262,"NA")</f>
        <v>4318.7300000000014</v>
      </c>
      <c r="AM262" s="5">
        <f t="shared" si="20"/>
        <v>0.28394241111698454</v>
      </c>
      <c r="AN262" t="str">
        <v>23-09-25</v>
      </c>
      <c r="AO262" t="str">
        <v>invalid date</v>
      </c>
      <c r="AP262" t="str">
        <f t="shared" si="21"/>
        <v>September</v>
      </c>
      <c r="AQ262" t="str">
        <f t="shared" si="22"/>
        <v>2025</v>
      </c>
      <c r="AR262" t="str">
        <f t="shared" si="23"/>
        <v>Invalid</v>
      </c>
      <c r="AS262" t="str">
        <f t="shared" si="24"/>
        <v>invalid date</v>
      </c>
      <c r="AT262" t="str">
        <f>IF(COUNTIFS( $A:$A,A262,$B:$B,B262,$C:$C,C262,$D:$D,D262,$E:$E,E262,$F:$F,F262,$G:$G,G262,$H:$H,H262,$I:$I,I262,$J:$J,J262,$K:$K,K262,$L:$L,L262,$M:$M,M262,$T:$T,T262,$U:$U,U262,$W:$W,W262,$Z:$Z,Z262,$AA:$AA,AA262,$AB:$AB,AB262,$AC:$AC,AC262,$AD:$AD,AD262,$AE:$AE,AE262,$AF:$AF,AF262,$AG:$AG,AG262,$AH:$AH,AH262,$AI:$AI,AI262)&gt;1,"Duplicate","Unique")</f>
        <v>Unique</v>
      </c>
    </row>
    <row r="263" spans="1:46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  <c r="W263" t="s">
        <v>1361</v>
      </c>
      <c r="Z263" t="s">
        <v>1364</v>
      </c>
      <c r="AA263" t="str">
        <v>Sneha Kapoor</v>
      </c>
      <c r="AB263" t="str">
        <f>TRIM(PROPER(F:F))</f>
        <v>Corporate</v>
      </c>
      <c r="AC263" t="str">
        <f>TRIM(PROPER(G:G))</f>
        <v>North</v>
      </c>
      <c r="AD263" t="str">
        <f>TRIM(PROPER(H:H))</f>
        <v>Rajasthan</v>
      </c>
      <c r="AE263" t="str">
        <f>TRIM(PROPER(I:I))</f>
        <v>Jaipur</v>
      </c>
      <c r="AF263" t="str">
        <f>TRIM(PROPER(J:J))</f>
        <v>Office Supplies</v>
      </c>
      <c r="AG263" t="str">
        <f>TRIM(PROPER(K:K))</f>
        <v>Labels</v>
      </c>
      <c r="AH263" t="str">
        <f>TRIM(PROPER(L:L))</f>
        <v>Prime Labels 326</v>
      </c>
      <c r="AI263" t="str">
        <f>TRIM(PROPER(M:M))</f>
        <v>Standard Class</v>
      </c>
      <c r="AJ263" s="5">
        <f>IF(OR(P263&lt;0,P263&gt;0.5),"invalid",P263)</f>
        <v>0.2</v>
      </c>
      <c r="AK263" s="6">
        <f>IFERROR(N263*O263*(1-AJ263), "NA")</f>
        <v>1648.1760000000004</v>
      </c>
      <c r="AL263" s="6">
        <f>IFERROR(AK263-R263,"NA")</f>
        <v>660.26600000000042</v>
      </c>
      <c r="AM263" s="5">
        <f t="shared" si="20"/>
        <v>0.40060406170214846</v>
      </c>
      <c r="AN263" t="str">
        <v>invalid date</v>
      </c>
      <c r="AO263" t="str">
        <v>invalid date</v>
      </c>
      <c r="AP263" t="str">
        <f t="shared" si="21"/>
        <v>invalid date</v>
      </c>
      <c r="AQ263" t="str">
        <f t="shared" si="22"/>
        <v>invalid date</v>
      </c>
      <c r="AR263" t="str">
        <f t="shared" si="23"/>
        <v>Invalid</v>
      </c>
      <c r="AS263" t="str">
        <f t="shared" si="24"/>
        <v>invalid date</v>
      </c>
      <c r="AT263" t="str">
        <f>IF(COUNTIFS( $A:$A,A263,$B:$B,B263,$C:$C,C263,$D:$D,D263,$E:$E,E263,$F:$F,F263,$G:$G,G263,$H:$H,H263,$I:$I,I263,$J:$J,J263,$K:$K,K263,$L:$L,L263,$M:$M,M263,$T:$T,T263,$U:$U,U263,$W:$W,W263,$Z:$Z,Z263,$AA:$AA,AA263,$AB:$AB,AB263,$AC:$AC,AC263,$AD:$AD,AD263,$AE:$AE,AE263,$AF:$AF,AF263,$AG:$AG,AG263,$AH:$AH,AH263,$AI:$AI,AI263)&gt;1,"Duplicate","Unique")</f>
        <v>Unique</v>
      </c>
    </row>
    <row r="264" spans="1:46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  <c r="W264" t="s">
        <v>1366</v>
      </c>
      <c r="Z264" t="s">
        <v>950</v>
      </c>
      <c r="AA264" t="str">
        <v>Arjun Bose</v>
      </c>
      <c r="AB264" t="str">
        <f>TRIM(PROPER(F:F))</f>
        <v>Small Business</v>
      </c>
      <c r="AC264" t="str">
        <f>TRIM(PROPER(G:G))</f>
        <v>North</v>
      </c>
      <c r="AD264" t="str">
        <f>TRIM(PROPER(H:H))</f>
        <v>Delhi</v>
      </c>
      <c r="AE264" t="str">
        <f>TRIM(PROPER(I:I))</f>
        <v>New Delhi</v>
      </c>
      <c r="AF264" t="str">
        <f>TRIM(PROPER(J:J))</f>
        <v>Technology</v>
      </c>
      <c r="AG264" t="str">
        <f>TRIM(PROPER(K:K))</f>
        <v>Phones</v>
      </c>
      <c r="AH264" t="str">
        <f>TRIM(PROPER(L:L))</f>
        <v>Eco Phones 245</v>
      </c>
      <c r="AI264" t="str">
        <f>TRIM(PROPER(M:M))</f>
        <v>Same Day</v>
      </c>
      <c r="AJ264" s="5">
        <f>IF(OR(P264&lt;0,P264&gt;0.5),"invalid",P264)</f>
        <v>0</v>
      </c>
      <c r="AK264" s="6">
        <f>IFERROR(N264*O264*(1-AJ264), "NA")</f>
        <v>13399.44</v>
      </c>
      <c r="AL264" s="6">
        <f>IFERROR(AK264-R264,"NA")</f>
        <v>4818.09</v>
      </c>
      <c r="AM264" s="5">
        <f t="shared" si="20"/>
        <v>0.3595739821962709</v>
      </c>
      <c r="AN264" t="str">
        <v>26-05-25</v>
      </c>
      <c r="AO264" t="str">
        <v>01-06-25</v>
      </c>
      <c r="AP264" t="str">
        <f t="shared" si="21"/>
        <v>May</v>
      </c>
      <c r="AQ264" t="str">
        <f t="shared" si="22"/>
        <v>2025</v>
      </c>
      <c r="AR264" t="str">
        <f t="shared" si="23"/>
        <v>anomaly</v>
      </c>
      <c r="AS264">
        <f t="shared" si="24"/>
        <v>6</v>
      </c>
      <c r="AT264" t="str">
        <f>IF(COUNTIFS( $A:$A,A264,$B:$B,B264,$C:$C,C264,$D:$D,D264,$E:$E,E264,$F:$F,F264,$G:$G,G264,$H:$H,H264,$I:$I,I264,$J:$J,J264,$K:$K,K264,$L:$L,L264,$M:$M,M264,$T:$T,T264,$U:$U,U264,$W:$W,W264,$Z:$Z,Z264,$AA:$AA,AA264,$AB:$AB,AB264,$AC:$AC,AC264,$AD:$AD,AD264,$AE:$AE,AE264,$AF:$AF,AF264,$AG:$AG,AG264,$AH:$AH,AH264,$AI:$AI,AI264)&gt;1,"Duplicate","Unique")</f>
        <v>Unique</v>
      </c>
    </row>
    <row r="265" spans="1:46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  <c r="W265" t="s">
        <v>1370</v>
      </c>
      <c r="Z265" t="s">
        <v>1372</v>
      </c>
      <c r="AA265" t="str">
        <v>Rohan Mehta</v>
      </c>
      <c r="AB265" t="str">
        <f>TRIM(PROPER(F:F))</f>
        <v>Small Business</v>
      </c>
      <c r="AC265" t="str">
        <f>TRIM(PROPER(G:G))</f>
        <v>North</v>
      </c>
      <c r="AD265" t="str">
        <f>TRIM(PROPER(H:H))</f>
        <v>Delhi</v>
      </c>
      <c r="AE265" t="str">
        <f>TRIM(PROPER(I:I))</f>
        <v>New Delhi</v>
      </c>
      <c r="AF265" t="str">
        <f>TRIM(PROPER(J:J))</f>
        <v>Office Supplies</v>
      </c>
      <c r="AG265" t="str">
        <f>TRIM(PROPER(K:K))</f>
        <v>Binders</v>
      </c>
      <c r="AH265" t="str">
        <f>TRIM(PROPER(L:L))</f>
        <v>Smart Binders 905</v>
      </c>
      <c r="AI265" t="str">
        <f>TRIM(PROPER(M:M))</f>
        <v>Second Class</v>
      </c>
      <c r="AJ265" s="5">
        <f>IF(OR(P265&lt;0,P265&gt;0.5),"invalid",P265)</f>
        <v>0.1</v>
      </c>
      <c r="AK265" s="6">
        <f>IFERROR(N265*O265*(1-AJ265), "NA")</f>
        <v>32743.844999999998</v>
      </c>
      <c r="AL265" s="6">
        <f>IFERROR(AK265-R265,"NA")</f>
        <v>10291.794999999998</v>
      </c>
      <c r="AM265" s="5">
        <f t="shared" si="20"/>
        <v>0.314312353970647</v>
      </c>
      <c r="AN265" t="str">
        <v>06-08-25</v>
      </c>
      <c r="AO265" t="str">
        <v>10-08-25</v>
      </c>
      <c r="AP265" t="str">
        <f t="shared" si="21"/>
        <v>August</v>
      </c>
      <c r="AQ265" t="str">
        <f t="shared" si="22"/>
        <v>2025</v>
      </c>
      <c r="AR265" t="str">
        <f t="shared" si="23"/>
        <v xml:space="preserve"> </v>
      </c>
      <c r="AS265">
        <f t="shared" si="24"/>
        <v>4</v>
      </c>
      <c r="AT265" t="str">
        <f>IF(COUNTIFS( $A:$A,A265,$B:$B,B265,$C:$C,C265,$D:$D,D265,$E:$E,E265,$F:$F,F265,$G:$G,G265,$H:$H,H265,$I:$I,I265,$J:$J,J265,$K:$K,K265,$L:$L,L265,$M:$M,M265,$T:$T,T265,$U:$U,U265,$W:$W,W265,$Z:$Z,Z265,$AA:$AA,AA265,$AB:$AB,AB265,$AC:$AC,AC265,$AD:$AD,AD265,$AE:$AE,AE265,$AF:$AF,AF265,$AG:$AG,AG265,$AH:$AH,AH265,$AI:$AI,AI265)&gt;1,"Duplicate","Unique")</f>
        <v>Unique</v>
      </c>
    </row>
    <row r="266" spans="1:46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  <c r="W266" t="s">
        <v>1374</v>
      </c>
      <c r="Z266" t="s">
        <v>1377</v>
      </c>
      <c r="AA266" t="str">
        <v>Diya Patel</v>
      </c>
      <c r="AB266" t="str">
        <f>TRIM(PROPER(F:F))</f>
        <v>Small Business</v>
      </c>
      <c r="AC266" t="str">
        <f>TRIM(PROPER(G:G))</f>
        <v>East</v>
      </c>
      <c r="AD266" t="str">
        <f>TRIM(PROPER(H:H))</f>
        <v>Bihar</v>
      </c>
      <c r="AE266" t="str">
        <f>TRIM(PROPER(I:I))</f>
        <v>Patna</v>
      </c>
      <c r="AF266" t="str">
        <f>TRIM(PROPER(J:J))</f>
        <v>Technology</v>
      </c>
      <c r="AG266" t="str">
        <f>TRIM(PROPER(K:K))</f>
        <v>Copiers</v>
      </c>
      <c r="AH266" t="str">
        <f>TRIM(PROPER(L:L))</f>
        <v>Pro Copiers 599</v>
      </c>
      <c r="AI266" t="str">
        <f>TRIM(PROPER(M:M))</f>
        <v>Standard Class</v>
      </c>
      <c r="AJ266" s="5">
        <f>IF(OR(P266&lt;0,P266&gt;0.5),"invalid",P266)</f>
        <v>0</v>
      </c>
      <c r="AK266" s="6">
        <f>IFERROR(N266*O266*(1-AJ266), "NA")</f>
        <v>6012.28</v>
      </c>
      <c r="AL266" s="6">
        <f>IFERROR(AK266-R266,"NA")</f>
        <v>2084.64</v>
      </c>
      <c r="AM266" s="5">
        <f t="shared" si="20"/>
        <v>0.34673035853286938</v>
      </c>
      <c r="AN266" t="str">
        <v>16-05-24</v>
      </c>
      <c r="AO266" t="str">
        <v>invalid date</v>
      </c>
      <c r="AP266" t="str">
        <f t="shared" si="21"/>
        <v>May</v>
      </c>
      <c r="AQ266" t="str">
        <f t="shared" si="22"/>
        <v>2024</v>
      </c>
      <c r="AR266" t="str">
        <f t="shared" si="23"/>
        <v>Invalid</v>
      </c>
      <c r="AS266" t="str">
        <f t="shared" si="24"/>
        <v>invalid date</v>
      </c>
      <c r="AT266" t="str">
        <f>IF(COUNTIFS( $A:$A,A266,$B:$B,B266,$C:$C,C266,$D:$D,D266,$E:$E,E266,$F:$F,F266,$G:$G,G266,$H:$H,H266,$I:$I,I266,$J:$J,J266,$K:$K,K266,$L:$L,L266,$M:$M,M266,$T:$T,T266,$U:$U,U266,$W:$W,W266,$Z:$Z,Z266,$AA:$AA,AA266,$AB:$AB,AB266,$AC:$AC,AC266,$AD:$AD,AD266,$AE:$AE,AE266,$AF:$AF,AF266,$AG:$AG,AG266,$AH:$AH,AH266,$AI:$AI,AI266)&gt;1,"Duplicate","Unique")</f>
        <v>Unique</v>
      </c>
    </row>
    <row r="267" spans="1:46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  <c r="W267" t="s">
        <v>1379</v>
      </c>
      <c r="Z267" t="s">
        <v>1381</v>
      </c>
      <c r="AA267" t="str">
        <v>Priya Menon</v>
      </c>
      <c r="AB267" t="str">
        <f>TRIM(PROPER(F:F))</f>
        <v>Corporate</v>
      </c>
      <c r="AC267" t="str">
        <f>TRIM(PROPER(G:G))</f>
        <v>East</v>
      </c>
      <c r="AD267" t="str">
        <f>TRIM(PROPER(H:H))</f>
        <v>Bihar</v>
      </c>
      <c r="AE267" t="str">
        <f>TRIM(PROPER(I:I))</f>
        <v>Patna</v>
      </c>
      <c r="AF267" t="str">
        <f>TRIM(PROPER(J:J))</f>
        <v>Furniture</v>
      </c>
      <c r="AG267" t="str">
        <f>TRIM(PROPER(K:K))</f>
        <v>Bookcases</v>
      </c>
      <c r="AH267" t="str">
        <f>TRIM(PROPER(L:L))</f>
        <v>Basic Bookcases 570</v>
      </c>
      <c r="AI267" t="str">
        <f>TRIM(PROPER(M:M))</f>
        <v>Same Day</v>
      </c>
      <c r="AJ267" s="5">
        <f>IF(OR(P267&lt;0,P267&gt;0.5),"invalid",P267)</f>
        <v>0.15</v>
      </c>
      <c r="AK267" s="6">
        <f>IFERROR(N267*O267*(1-AJ267), "NA")</f>
        <v>495.0145</v>
      </c>
      <c r="AL267" s="6">
        <f>IFERROR(AK267-R267,"NA")</f>
        <v>209.8845</v>
      </c>
      <c r="AM267" s="5">
        <f t="shared" si="20"/>
        <v>0.42399667080459258</v>
      </c>
      <c r="AN267" t="str">
        <v>14-11-24</v>
      </c>
      <c r="AO267" t="str">
        <v>invalid date</v>
      </c>
      <c r="AP267" t="str">
        <f t="shared" si="21"/>
        <v>November</v>
      </c>
      <c r="AQ267" t="str">
        <f t="shared" si="22"/>
        <v>2024</v>
      </c>
      <c r="AR267" t="str">
        <f t="shared" si="23"/>
        <v>Invalid</v>
      </c>
      <c r="AS267" t="str">
        <f t="shared" si="24"/>
        <v>invalid date</v>
      </c>
      <c r="AT267" t="str">
        <f>IF(COUNTIFS( $A:$A,A267,$B:$B,B267,$C:$C,C267,$D:$D,D267,$E:$E,E267,$F:$F,F267,$G:$G,G267,$H:$H,H267,$I:$I,I267,$J:$J,J267,$K:$K,K267,$L:$L,L267,$M:$M,M267,$T:$T,T267,$U:$U,U267,$W:$W,W267,$Z:$Z,Z267,$AA:$AA,AA267,$AB:$AB,AB267,$AC:$AC,AC267,$AD:$AD,AD267,$AE:$AE,AE267,$AF:$AF,AF267,$AG:$AG,AG267,$AH:$AH,AH267,$AI:$AI,AI267)&gt;1,"Duplicate","Unique")</f>
        <v>Unique</v>
      </c>
    </row>
    <row r="268" spans="1:46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  <c r="W268" t="s">
        <v>1383</v>
      </c>
      <c r="Z268" t="s">
        <v>1386</v>
      </c>
      <c r="AA268" t="str">
        <v>Neha Gupta</v>
      </c>
      <c r="AB268" t="str">
        <f>TRIM(PROPER(F:F))</f>
        <v>Home Office</v>
      </c>
      <c r="AC268" t="str">
        <f>TRIM(PROPER(G:G))</f>
        <v>West</v>
      </c>
      <c r="AD268" t="str">
        <f>TRIM(PROPER(H:H))</f>
        <v>Maharashtra</v>
      </c>
      <c r="AE268" t="str">
        <f>TRIM(PROPER(I:I))</f>
        <v>Mumbai</v>
      </c>
      <c r="AF268" t="str">
        <f>TRIM(PROPER(J:J))</f>
        <v>Office Supplies</v>
      </c>
      <c r="AG268" t="str">
        <f>TRIM(PROPER(K:K))</f>
        <v>Storage</v>
      </c>
      <c r="AH268" t="str">
        <f>TRIM(PROPER(L:L))</f>
        <v>Classic Storage 926</v>
      </c>
      <c r="AI268" t="str">
        <f>TRIM(PROPER(M:M))</f>
        <v>Second Class</v>
      </c>
      <c r="AJ268" s="5">
        <f>IF(OR(P268&lt;0,P268&gt;0.5),"invalid",P268)</f>
        <v>0</v>
      </c>
      <c r="AK268" s="6">
        <f>IFERROR(N268*O268*(1-AJ268), "NA")</f>
        <v>13017.72</v>
      </c>
      <c r="AL268" s="6">
        <f>IFERROR(AK268-R268,"NA")</f>
        <v>2847.1499999999996</v>
      </c>
      <c r="AM268" s="5">
        <f t="shared" si="20"/>
        <v>0.21871341525244051</v>
      </c>
      <c r="AN268" t="str">
        <v>03-05-25</v>
      </c>
      <c r="AO268" t="str">
        <v>10-05-25</v>
      </c>
      <c r="AP268" t="str">
        <f t="shared" si="21"/>
        <v>May</v>
      </c>
      <c r="AQ268" t="str">
        <f t="shared" si="22"/>
        <v>2025</v>
      </c>
      <c r="AR268" t="str">
        <f t="shared" si="23"/>
        <v xml:space="preserve"> </v>
      </c>
      <c r="AS268">
        <f t="shared" si="24"/>
        <v>7</v>
      </c>
      <c r="AT268" t="str">
        <f>IF(COUNTIFS( $A:$A,A268,$B:$B,B268,$C:$C,C268,$D:$D,D268,$E:$E,E268,$F:$F,F268,$G:$G,G268,$H:$H,H268,$I:$I,I268,$J:$J,J268,$K:$K,K268,$L:$L,L268,$M:$M,M268,$T:$T,T268,$U:$U,U268,$W:$W,W268,$Z:$Z,Z268,$AA:$AA,AA268,$AB:$AB,AB268,$AC:$AC,AC268,$AD:$AD,AD268,$AE:$AE,AE268,$AF:$AF,AF268,$AG:$AG,AG268,$AH:$AH,AH268,$AI:$AI,AI268)&gt;1,"Duplicate","Unique")</f>
        <v>Unique</v>
      </c>
    </row>
    <row r="269" spans="1:46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  <c r="W269" t="s">
        <v>1388</v>
      </c>
      <c r="Z269" t="s">
        <v>1390</v>
      </c>
      <c r="AA269" t="str">
        <v>Diya Patel</v>
      </c>
      <c r="AB269" t="str">
        <f>TRIM(PROPER(F:F))</f>
        <v>Corporate</v>
      </c>
      <c r="AC269" t="str">
        <f>TRIM(PROPER(G:G))</f>
        <v>East</v>
      </c>
      <c r="AD269" t="str">
        <f>TRIM(PROPER(H:H))</f>
        <v>Jharkhand</v>
      </c>
      <c r="AE269" t="str">
        <f>TRIM(PROPER(I:I))</f>
        <v>Ranchi</v>
      </c>
      <c r="AF269" t="str">
        <f>TRIM(PROPER(J:J))</f>
        <v>Furniture</v>
      </c>
      <c r="AG269" t="str">
        <f>TRIM(PROPER(K:K))</f>
        <v>Furnishings</v>
      </c>
      <c r="AH269" t="str">
        <f>TRIM(PROPER(L:L))</f>
        <v>Basic Furnishings 372</v>
      </c>
      <c r="AI269" t="str">
        <f>TRIM(PROPER(M:M))</f>
        <v>First Class</v>
      </c>
      <c r="AJ269" s="5">
        <f>IF(OR(P269&lt;0,P269&gt;0.5),"invalid",P269)</f>
        <v>0.25</v>
      </c>
      <c r="AK269" s="6">
        <f>IFERROR(N269*O269*(1-AJ269), "NA")</f>
        <v>785.40000000000009</v>
      </c>
      <c r="AL269" s="6">
        <f>IFERROR(AK269-R269,"NA")</f>
        <v>228.18000000000006</v>
      </c>
      <c r="AM269" s="5">
        <f t="shared" si="20"/>
        <v>0.29052711993888469</v>
      </c>
      <c r="AN269" t="str">
        <v>28-05-25</v>
      </c>
      <c r="AO269" t="str">
        <v>04-06-25</v>
      </c>
      <c r="AP269" t="str">
        <f t="shared" si="21"/>
        <v>May</v>
      </c>
      <c r="AQ269" t="str">
        <f t="shared" si="22"/>
        <v>2025</v>
      </c>
      <c r="AR269" t="str">
        <f t="shared" si="23"/>
        <v>anomaly</v>
      </c>
      <c r="AS269">
        <f t="shared" si="24"/>
        <v>7</v>
      </c>
      <c r="AT269" t="str">
        <f>IF(COUNTIFS( $A:$A,A269,$B:$B,B269,$C:$C,C269,$D:$D,D269,$E:$E,E269,$F:$F,F269,$G:$G,G269,$H:$H,H269,$I:$I,I269,$J:$J,J269,$K:$K,K269,$L:$L,L269,$M:$M,M269,$T:$T,T269,$U:$U,U269,$W:$W,W269,$Z:$Z,Z269,$AA:$AA,AA269,$AB:$AB,AB269,$AC:$AC,AC269,$AD:$AD,AD269,$AE:$AE,AE269,$AF:$AF,AF269,$AG:$AG,AG269,$AH:$AH,AH269,$AI:$AI,AI269)&gt;1,"Duplicate","Unique")</f>
        <v>Unique</v>
      </c>
    </row>
    <row r="270" spans="1:46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  <c r="W270" t="s">
        <v>1392</v>
      </c>
      <c r="Z270" t="s">
        <v>1394</v>
      </c>
      <c r="AA270" t="str">
        <v>Aarav Sharma</v>
      </c>
      <c r="AB270" t="str">
        <f>TRIM(PROPER(F:F))</f>
        <v>Home Office</v>
      </c>
      <c r="AC270" t="str">
        <f>TRIM(PROPER(G:G))</f>
        <v>North</v>
      </c>
      <c r="AD270" t="str">
        <f>TRIM(PROPER(H:H))</f>
        <v>Punjab</v>
      </c>
      <c r="AE270" t="str">
        <f>TRIM(PROPER(I:I))</f>
        <v>Ludhiana</v>
      </c>
      <c r="AF270" t="str">
        <f>TRIM(PROPER(J:J))</f>
        <v>Technology</v>
      </c>
      <c r="AG270" t="str">
        <f>TRIM(PROPER(K:K))</f>
        <v>Accessories</v>
      </c>
      <c r="AH270" t="str">
        <f>TRIM(PROPER(L:L))</f>
        <v>Prime Accessories 367</v>
      </c>
      <c r="AI270" t="str">
        <f>TRIM(PROPER(M:M))</f>
        <v>First Class</v>
      </c>
      <c r="AJ270" s="5">
        <f>IF(OR(P270&lt;0,P270&gt;0.5),"invalid",P270)</f>
        <v>0.25</v>
      </c>
      <c r="AK270" s="6">
        <f>IFERROR(N270*O270*(1-AJ270), "NA")</f>
        <v>3319.05</v>
      </c>
      <c r="AL270" s="6">
        <f>IFERROR(AK270-R270,"NA")</f>
        <v>1194.4500000000003</v>
      </c>
      <c r="AM270" s="5">
        <f t="shared" si="20"/>
        <v>0.35987707325891449</v>
      </c>
      <c r="AN270" t="str">
        <v>invalid date</v>
      </c>
      <c r="AO270" t="str">
        <v>invalid date</v>
      </c>
      <c r="AP270" t="str">
        <f t="shared" si="21"/>
        <v>invalid date</v>
      </c>
      <c r="AQ270" t="str">
        <f t="shared" si="22"/>
        <v>invalid date</v>
      </c>
      <c r="AR270" t="str">
        <f t="shared" si="23"/>
        <v>Invalid</v>
      </c>
      <c r="AS270" t="str">
        <f t="shared" si="24"/>
        <v>invalid date</v>
      </c>
      <c r="AT270" t="str">
        <f>IF(COUNTIFS( $A:$A,A270,$B:$B,B270,$C:$C,C270,$D:$D,D270,$E:$E,E270,$F:$F,F270,$G:$G,G270,$H:$H,H270,$I:$I,I270,$J:$J,J270,$K:$K,K270,$L:$L,L270,$M:$M,M270,$T:$T,T270,$U:$U,U270,$W:$W,W270,$Z:$Z,Z270,$AA:$AA,AA270,$AB:$AB,AB270,$AC:$AC,AC270,$AD:$AD,AD270,$AE:$AE,AE270,$AF:$AF,AF270,$AG:$AG,AG270,$AH:$AH,AH270,$AI:$AI,AI270)&gt;1,"Duplicate","Unique")</f>
        <v>Unique</v>
      </c>
    </row>
    <row r="271" spans="1:46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  <c r="W271" t="s">
        <v>1396</v>
      </c>
      <c r="Z271" t="s">
        <v>1398</v>
      </c>
      <c r="AA271" t="str">
        <v>Rahul Verma</v>
      </c>
      <c r="AB271" t="str">
        <f>TRIM(PROPER(F:F))</f>
        <v>Small Business</v>
      </c>
      <c r="AC271" t="str">
        <f>TRIM(PROPER(G:G))</f>
        <v>West</v>
      </c>
      <c r="AD271" t="str">
        <f>TRIM(PROPER(H:H))</f>
        <v>Rajasthan</v>
      </c>
      <c r="AE271" t="str">
        <f>TRIM(PROPER(I:I))</f>
        <v>Udaipur</v>
      </c>
      <c r="AF271" t="str">
        <f>TRIM(PROPER(J:J))</f>
        <v>Furniture</v>
      </c>
      <c r="AG271" t="str">
        <f>TRIM(PROPER(K:K))</f>
        <v>Tables</v>
      </c>
      <c r="AH271" t="str">
        <f>TRIM(PROPER(L:L))</f>
        <v>Max Tables 526</v>
      </c>
      <c r="AI271" t="str">
        <f>TRIM(PROPER(M:M))</f>
        <v>Same Day</v>
      </c>
      <c r="AJ271" s="5">
        <f>IF(OR(P271&lt;0,P271&gt;0.5),"invalid",P271)</f>
        <v>0</v>
      </c>
      <c r="AK271" s="6">
        <f>IFERROR(N271*O271*(1-AJ271), "NA")</f>
        <v>1925.86</v>
      </c>
      <c r="AL271" s="6">
        <f>IFERROR(AK271-R271,"NA")</f>
        <v>603.9699999999998</v>
      </c>
      <c r="AM271" s="5">
        <f t="shared" si="20"/>
        <v>0.31361054282242729</v>
      </c>
      <c r="AN271" t="str">
        <v>02-10-25</v>
      </c>
      <c r="AO271" t="str">
        <v>02-12-25</v>
      </c>
      <c r="AP271" t="str">
        <f t="shared" si="21"/>
        <v>October</v>
      </c>
      <c r="AQ271" t="str">
        <f t="shared" si="22"/>
        <v>2025</v>
      </c>
      <c r="AR271" t="str">
        <f t="shared" si="23"/>
        <v xml:space="preserve"> </v>
      </c>
      <c r="AS271">
        <f t="shared" si="24"/>
        <v>61</v>
      </c>
      <c r="AT271" t="str">
        <f>IF(COUNTIFS( $A:$A,A271,$B:$B,B271,$C:$C,C271,$D:$D,D271,$E:$E,E271,$F:$F,F271,$G:$G,G271,$H:$H,H271,$I:$I,I271,$J:$J,J271,$K:$K,K271,$L:$L,L271,$M:$M,M271,$T:$T,T271,$U:$U,U271,$W:$W,W271,$Z:$Z,Z271,$AA:$AA,AA271,$AB:$AB,AB271,$AC:$AC,AC271,$AD:$AD,AD271,$AE:$AE,AE271,$AF:$AF,AF271,$AG:$AG,AG271,$AH:$AH,AH271,$AI:$AI,AI271)&gt;1,"Duplicate","Unique")</f>
        <v>Unique</v>
      </c>
    </row>
    <row r="272" spans="1:46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  <c r="W272" t="s">
        <v>1400</v>
      </c>
      <c r="Z272" t="s">
        <v>1401</v>
      </c>
      <c r="AA272" t="str">
        <v>Aditi Sen</v>
      </c>
      <c r="AB272" t="str">
        <f>TRIM(PROPER(F:F))</f>
        <v>Corporate</v>
      </c>
      <c r="AC272" t="str">
        <f>TRIM(PROPER(G:G))</f>
        <v>North</v>
      </c>
      <c r="AD272" t="str">
        <f>TRIM(PROPER(H:H))</f>
        <v>Uttar Pradesh</v>
      </c>
      <c r="AE272" t="str">
        <f>TRIM(PROPER(I:I))</f>
        <v>Noida</v>
      </c>
      <c r="AF272" t="str">
        <f>TRIM(PROPER(J:J))</f>
        <v>Technology</v>
      </c>
      <c r="AG272" t="str">
        <f>TRIM(PROPER(K:K))</f>
        <v>Machines</v>
      </c>
      <c r="AH272" t="str">
        <f>TRIM(PROPER(L:L))</f>
        <v>Prime Machines 794</v>
      </c>
      <c r="AI272" t="str">
        <f>TRIM(PROPER(M:M))</f>
        <v>Same Day</v>
      </c>
      <c r="AJ272" s="5">
        <f>IF(OR(P272&lt;0,P272&gt;0.5),"invalid",P272)</f>
        <v>0</v>
      </c>
      <c r="AK272" s="6">
        <f>IFERROR(N272*O272*(1-AJ272), "NA")</f>
        <v>2482.3200000000002</v>
      </c>
      <c r="AL272" s="6">
        <f>IFERROR(AK272-R272,"NA")</f>
        <v>962.11000000000013</v>
      </c>
      <c r="AM272" s="5">
        <f t="shared" si="20"/>
        <v>0.38758500112797706</v>
      </c>
      <c r="AN272" t="str">
        <v>01-12-24</v>
      </c>
      <c r="AO272" t="str">
        <v>13-01-24</v>
      </c>
      <c r="AP272" t="str">
        <f t="shared" si="21"/>
        <v>December</v>
      </c>
      <c r="AQ272" t="str">
        <f t="shared" si="22"/>
        <v>2024</v>
      </c>
      <c r="AR272" t="str">
        <f t="shared" si="23"/>
        <v xml:space="preserve"> </v>
      </c>
      <c r="AS272">
        <f t="shared" si="24"/>
        <v>-323</v>
      </c>
      <c r="AT272" t="str">
        <f>IF(COUNTIFS( $A:$A,A272,$B:$B,B272,$C:$C,C272,$D:$D,D272,$E:$E,E272,$F:$F,F272,$G:$G,G272,$H:$H,H272,$I:$I,I272,$J:$J,J272,$K:$K,K272,$L:$L,L272,$M:$M,M272,$T:$T,T272,$U:$U,U272,$W:$W,W272,$Z:$Z,Z272,$AA:$AA,AA272,$AB:$AB,AB272,$AC:$AC,AC272,$AD:$AD,AD272,$AE:$AE,AE272,$AF:$AF,AF272,$AG:$AG,AG272,$AH:$AH,AH272,$AI:$AI,AI272)&gt;1,"Duplicate","Unique")</f>
        <v>Unique</v>
      </c>
    </row>
    <row r="273" spans="1:46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  <c r="W273" t="s">
        <v>1403</v>
      </c>
      <c r="Z273" t="s">
        <v>1406</v>
      </c>
      <c r="AA273" t="str">
        <v>Aditi Sen</v>
      </c>
      <c r="AB273" t="str">
        <f>TRIM(PROPER(F:F))</f>
        <v>Consumer</v>
      </c>
      <c r="AC273" t="str">
        <f>TRIM(PROPER(G:G))</f>
        <v>South</v>
      </c>
      <c r="AD273" t="str">
        <f>TRIM(PROPER(H:H))</f>
        <v>Telangana</v>
      </c>
      <c r="AE273" t="str">
        <f>TRIM(PROPER(I:I))</f>
        <v>Hyderabad</v>
      </c>
      <c r="AF273" t="str">
        <f>TRIM(PROPER(J:J))</f>
        <v>Office Supplies</v>
      </c>
      <c r="AG273" t="str">
        <f>TRIM(PROPER(K:K))</f>
        <v>Binders</v>
      </c>
      <c r="AH273" t="str">
        <f>TRIM(PROPER(L:L))</f>
        <v>Max Binders 927</v>
      </c>
      <c r="AI273" t="str">
        <f>TRIM(PROPER(M:M))</f>
        <v>Standard Class</v>
      </c>
      <c r="AJ273" s="5">
        <f>IF(OR(P273&lt;0,P273&gt;0.5),"invalid",P273)</f>
        <v>0</v>
      </c>
      <c r="AK273" s="6">
        <f>IFERROR(N273*O273*(1-AJ273), "NA")</f>
        <v>11674.25</v>
      </c>
      <c r="AL273" s="6">
        <f>IFERROR(AK273-R273,"NA")</f>
        <v>2053.0599999999995</v>
      </c>
      <c r="AM273" s="5">
        <f t="shared" si="20"/>
        <v>0.17586226095894808</v>
      </c>
      <c r="AN273" t="str">
        <v>21-12-24</v>
      </c>
      <c r="AO273" t="str">
        <v>25-12-24</v>
      </c>
      <c r="AP273" t="str">
        <f t="shared" si="21"/>
        <v>December</v>
      </c>
      <c r="AQ273" t="str">
        <f t="shared" si="22"/>
        <v>2024</v>
      </c>
      <c r="AR273" t="str">
        <f t="shared" si="23"/>
        <v xml:space="preserve"> </v>
      </c>
      <c r="AS273">
        <f t="shared" si="24"/>
        <v>4</v>
      </c>
      <c r="AT273" t="str">
        <f>IF(COUNTIFS( $A:$A,A273,$B:$B,B273,$C:$C,C273,$D:$D,D273,$E:$E,E273,$F:$F,F273,$G:$G,G273,$H:$H,H273,$I:$I,I273,$J:$J,J273,$K:$K,K273,$L:$L,L273,$M:$M,M273,$T:$T,T273,$U:$U,U273,$W:$W,W273,$Z:$Z,Z273,$AA:$AA,AA273,$AB:$AB,AB273,$AC:$AC,AC273,$AD:$AD,AD273,$AE:$AE,AE273,$AF:$AF,AF273,$AG:$AG,AG273,$AH:$AH,AH273,$AI:$AI,AI273)&gt;1,"Duplicate","Unique")</f>
        <v>Unique</v>
      </c>
    </row>
    <row r="274" spans="1:46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  <c r="W274" t="s">
        <v>1408</v>
      </c>
      <c r="Z274" t="s">
        <v>1411</v>
      </c>
      <c r="AA274" t="str">
        <v>Arjun Bose</v>
      </c>
      <c r="AB274" t="str">
        <f>TRIM(PROPER(F:F))</f>
        <v>Consumer</v>
      </c>
      <c r="AC274" t="str">
        <f>TRIM(PROPER(G:G))</f>
        <v>South</v>
      </c>
      <c r="AD274" t="str">
        <f>TRIM(PROPER(H:H))</f>
        <v>Andhra Pradesh</v>
      </c>
      <c r="AE274" t="str">
        <f>TRIM(PROPER(I:I))</f>
        <v>Vijayawada</v>
      </c>
      <c r="AF274" t="str">
        <f>TRIM(PROPER(J:J))</f>
        <v>Furniture</v>
      </c>
      <c r="AG274" t="str">
        <f>TRIM(PROPER(K:K))</f>
        <v>Chairs</v>
      </c>
      <c r="AH274" t="str">
        <f>TRIM(PROPER(L:L))</f>
        <v>Eco Chairs 314</v>
      </c>
      <c r="AI274" t="str">
        <f>TRIM(PROPER(M:M))</f>
        <v>First Class</v>
      </c>
      <c r="AJ274" s="5">
        <f>IF(OR(P274&lt;0,P274&gt;0.5),"invalid",P274)</f>
        <v>0.1</v>
      </c>
      <c r="AK274" s="6">
        <f>IFERROR(N274*O274*(1-AJ274), "NA")</f>
        <v>3510.4230000000002</v>
      </c>
      <c r="AL274" s="6">
        <f>IFERROR(AK274-R274,"NA")</f>
        <v>1318.9230000000002</v>
      </c>
      <c r="AM274" s="5">
        <f t="shared" si="20"/>
        <v>0.37571625983535323</v>
      </c>
      <c r="AN274" t="str">
        <v>invalid date</v>
      </c>
      <c r="AO274" t="str">
        <v>24-08-24</v>
      </c>
      <c r="AP274" t="str">
        <f t="shared" si="21"/>
        <v>invalid date</v>
      </c>
      <c r="AQ274" t="str">
        <f t="shared" si="22"/>
        <v>invalid date</v>
      </c>
      <c r="AR274" t="str">
        <f t="shared" si="23"/>
        <v>Invalid</v>
      </c>
      <c r="AS274" t="str">
        <f t="shared" si="24"/>
        <v>invalid date</v>
      </c>
      <c r="AT274" t="str">
        <f>IF(COUNTIFS( $A:$A,A274,$B:$B,B274,$C:$C,C274,$D:$D,D274,$E:$E,E274,$F:$F,F274,$G:$G,G274,$H:$H,H274,$I:$I,I274,$J:$J,J274,$K:$K,K274,$L:$L,L274,$M:$M,M274,$T:$T,T274,$U:$U,U274,$W:$W,W274,$Z:$Z,Z274,$AA:$AA,AA274,$AB:$AB,AB274,$AC:$AC,AC274,$AD:$AD,AD274,$AE:$AE,AE274,$AF:$AF,AF274,$AG:$AG,AG274,$AH:$AH,AH274,$AI:$AI,AI274)&gt;1,"Duplicate","Unique")</f>
        <v>Unique</v>
      </c>
    </row>
    <row r="275" spans="1:46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  <c r="W275" t="s">
        <v>1413</v>
      </c>
      <c r="Z275" t="s">
        <v>1416</v>
      </c>
      <c r="AA275" t="str">
        <v>Isha Nair</v>
      </c>
      <c r="AB275" t="str">
        <f>TRIM(PROPER(F:F))</f>
        <v>Consumer</v>
      </c>
      <c r="AC275" t="str">
        <f>TRIM(PROPER(G:G))</f>
        <v>East</v>
      </c>
      <c r="AD275" t="str">
        <f>TRIM(PROPER(H:H))</f>
        <v>Bihar</v>
      </c>
      <c r="AE275" t="str">
        <f>TRIM(PROPER(I:I))</f>
        <v>Patna</v>
      </c>
      <c r="AF275" t="str">
        <f>TRIM(PROPER(J:J))</f>
        <v>Office Supplies</v>
      </c>
      <c r="AG275" t="str">
        <f>TRIM(PROPER(K:K))</f>
        <v>Paper</v>
      </c>
      <c r="AH275" t="str">
        <f>TRIM(PROPER(L:L))</f>
        <v>Basic Paper 657</v>
      </c>
      <c r="AI275" t="str">
        <f>TRIM(PROPER(M:M))</f>
        <v>Second Class</v>
      </c>
      <c r="AJ275" s="5">
        <f>IF(OR(P275&lt;0,P275&gt;0.5),"invalid",P275)</f>
        <v>0</v>
      </c>
      <c r="AK275" s="6">
        <f>IFERROR(N275*O275*(1-AJ275), "NA")</f>
        <v>22694.670000000002</v>
      </c>
      <c r="AL275" s="6">
        <f>IFERROR(AK275-R275,"NA")</f>
        <v>7289.3100000000013</v>
      </c>
      <c r="AM275" s="5">
        <f t="shared" si="20"/>
        <v>0.32119039404406413</v>
      </c>
      <c r="AN275" t="str">
        <v>invalid date</v>
      </c>
      <c r="AO275" t="str">
        <v>13-02-25</v>
      </c>
      <c r="AP275" t="str">
        <f t="shared" si="21"/>
        <v>invalid date</v>
      </c>
      <c r="AQ275" t="str">
        <f t="shared" si="22"/>
        <v>invalid date</v>
      </c>
      <c r="AR275" t="str">
        <f t="shared" si="23"/>
        <v>Invalid</v>
      </c>
      <c r="AS275" t="str">
        <f t="shared" si="24"/>
        <v>invalid date</v>
      </c>
      <c r="AT275" t="str">
        <f>IF(COUNTIFS( $A:$A,A275,$B:$B,B275,$C:$C,C275,$D:$D,D275,$E:$E,E275,$F:$F,F275,$G:$G,G275,$H:$H,H275,$I:$I,I275,$J:$J,J275,$K:$K,K275,$L:$L,L275,$M:$M,M275,$T:$T,T275,$U:$U,U275,$W:$W,W275,$Z:$Z,Z275,$AA:$AA,AA275,$AB:$AB,AB275,$AC:$AC,AC275,$AD:$AD,AD275,$AE:$AE,AE275,$AF:$AF,AF275,$AG:$AG,AG275,$AH:$AH,AH275,$AI:$AI,AI275)&gt;1,"Duplicate","Unique")</f>
        <v>Unique</v>
      </c>
    </row>
    <row r="276" spans="1:46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  <c r="W276" t="s">
        <v>1418</v>
      </c>
      <c r="Z276" t="s">
        <v>1421</v>
      </c>
      <c r="AA276" t="str">
        <v>Rohan Mehta</v>
      </c>
      <c r="AB276" t="str">
        <f>TRIM(PROPER(F:F))</f>
        <v>Consumer</v>
      </c>
      <c r="AC276" t="str">
        <f>TRIM(PROPER(G:G))</f>
        <v>South</v>
      </c>
      <c r="AD276" t="str">
        <f>TRIM(PROPER(H:H))</f>
        <v>Kerala</v>
      </c>
      <c r="AE276" t="str">
        <f>TRIM(PROPER(I:I))</f>
        <v>Kochi</v>
      </c>
      <c r="AF276" t="str">
        <f>TRIM(PROPER(J:J))</f>
        <v>Technology</v>
      </c>
      <c r="AG276" t="str">
        <f>TRIM(PROPER(K:K))</f>
        <v>Copiers</v>
      </c>
      <c r="AH276" t="str">
        <f>TRIM(PROPER(L:L))</f>
        <v>Pro Copiers 406</v>
      </c>
      <c r="AI276" t="str">
        <f>TRIM(PROPER(M:M))</f>
        <v>Standard Class</v>
      </c>
      <c r="AJ276" s="5">
        <f>IF(OR(P276&lt;0,P276&gt;0.5),"invalid",P276)</f>
        <v>0.15</v>
      </c>
      <c r="AK276" s="6">
        <f>IFERROR(N276*O276*(1-AJ276), "NA")</f>
        <v>21658.221000000001</v>
      </c>
      <c r="AL276" s="6">
        <f>IFERROR(AK276-R276,"NA")</f>
        <v>6167.5310000000009</v>
      </c>
      <c r="AM276" s="5">
        <f t="shared" si="20"/>
        <v>0.28476627881856043</v>
      </c>
      <c r="AN276" t="str">
        <v>07-04-24</v>
      </c>
      <c r="AO276" t="str">
        <v>14-04-24</v>
      </c>
      <c r="AP276" t="str">
        <f t="shared" si="21"/>
        <v>April</v>
      </c>
      <c r="AQ276" t="str">
        <f t="shared" si="22"/>
        <v>2024</v>
      </c>
      <c r="AR276" t="str">
        <f t="shared" si="23"/>
        <v xml:space="preserve"> </v>
      </c>
      <c r="AS276">
        <f t="shared" si="24"/>
        <v>7</v>
      </c>
      <c r="AT276" t="str">
        <f>IF(COUNTIFS( $A:$A,A276,$B:$B,B276,$C:$C,C276,$D:$D,D276,$E:$E,E276,$F:$F,F276,$G:$G,G276,$H:$H,H276,$I:$I,I276,$J:$J,J276,$K:$K,K276,$L:$L,L276,$M:$M,M276,$T:$T,T276,$U:$U,U276,$W:$W,W276,$Z:$Z,Z276,$AA:$AA,AA276,$AB:$AB,AB276,$AC:$AC,AC276,$AD:$AD,AD276,$AE:$AE,AE276,$AF:$AF,AF276,$AG:$AG,AG276,$AH:$AH,AH276,$AI:$AI,AI276)&gt;1,"Duplicate","Unique")</f>
        <v>Unique</v>
      </c>
    </row>
    <row r="277" spans="1:46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  <c r="W277" t="s">
        <v>1423</v>
      </c>
      <c r="Z277" t="s">
        <v>1425</v>
      </c>
      <c r="AA277" t="str">
        <v>Priya Menon</v>
      </c>
      <c r="AB277" t="str">
        <f>TRIM(PROPER(F:F))</f>
        <v>Small Business</v>
      </c>
      <c r="AC277" t="str">
        <f>TRIM(PROPER(G:G))</f>
        <v>East</v>
      </c>
      <c r="AD277" t="str">
        <f>TRIM(PROPER(H:H))</f>
        <v>West Bengal</v>
      </c>
      <c r="AE277" t="str">
        <f>TRIM(PROPER(I:I))</f>
        <v>Kolkata</v>
      </c>
      <c r="AF277" t="str">
        <f>TRIM(PROPER(J:J))</f>
        <v>Furniture</v>
      </c>
      <c r="AG277" t="str">
        <f>TRIM(PROPER(K:K))</f>
        <v>Furnishings</v>
      </c>
      <c r="AH277" t="str">
        <f>TRIM(PROPER(L:L))</f>
        <v>Eco Furnishings 678</v>
      </c>
      <c r="AI277" t="str">
        <f>TRIM(PROPER(M:M))</f>
        <v>Same Day</v>
      </c>
      <c r="AJ277" s="5">
        <f>IF(OR(P277&lt;0,P277&gt;0.5),"invalid",P277)</f>
        <v>0</v>
      </c>
      <c r="AK277" s="6">
        <f>IFERROR(N277*O277*(1-AJ277), "NA")</f>
        <v>980.51</v>
      </c>
      <c r="AL277" s="6">
        <f>IFERROR(AK277-R277,"NA")</f>
        <v>319.59000000000003</v>
      </c>
      <c r="AM277" s="5">
        <f t="shared" si="20"/>
        <v>0.32594262169687205</v>
      </c>
      <c r="AN277" t="str">
        <v>15-02-24</v>
      </c>
      <c r="AO277" t="str">
        <v>invalid date</v>
      </c>
      <c r="AP277" t="str">
        <f t="shared" si="21"/>
        <v>February</v>
      </c>
      <c r="AQ277" t="str">
        <f t="shared" si="22"/>
        <v>2024</v>
      </c>
      <c r="AR277" t="str">
        <f t="shared" si="23"/>
        <v>Invalid</v>
      </c>
      <c r="AS277" t="str">
        <f t="shared" si="24"/>
        <v>invalid date</v>
      </c>
      <c r="AT277" t="str">
        <f>IF(COUNTIFS( $A:$A,A277,$B:$B,B277,$C:$C,C277,$D:$D,D277,$E:$E,E277,$F:$F,F277,$G:$G,G277,$H:$H,H277,$I:$I,I277,$J:$J,J277,$K:$K,K277,$L:$L,L277,$M:$M,M277,$T:$T,T277,$U:$U,U277,$W:$W,W277,$Z:$Z,Z277,$AA:$AA,AA277,$AB:$AB,AB277,$AC:$AC,AC277,$AD:$AD,AD277,$AE:$AE,AE277,$AF:$AF,AF277,$AG:$AG,AG277,$AH:$AH,AH277,$AI:$AI,AI277)&gt;1,"Duplicate","Unique")</f>
        <v>Unique</v>
      </c>
    </row>
    <row r="278" spans="1:46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  <c r="W278" t="s">
        <v>1427</v>
      </c>
      <c r="Z278" t="s">
        <v>1429</v>
      </c>
      <c r="AA278" t="str">
        <v>Aarav Sharma</v>
      </c>
      <c r="AB278" t="str">
        <f>TRIM(PROPER(F:F))</f>
        <v>Small Business</v>
      </c>
      <c r="AC278" t="s">
        <v>4111</v>
      </c>
      <c r="AD278" t="str">
        <f>TRIM(PROPER(H:H))</f>
        <v>Assam</v>
      </c>
      <c r="AE278" t="str">
        <f>TRIM(PROPER(I:I))</f>
        <v>Guwahati</v>
      </c>
      <c r="AF278" t="str">
        <f>TRIM(PROPER(J:J))</f>
        <v>Furniture</v>
      </c>
      <c r="AG278" t="str">
        <f>TRIM(PROPER(K:K))</f>
        <v>Chairs</v>
      </c>
      <c r="AH278" t="str">
        <f>TRIM(PROPER(L:L))</f>
        <v>Basic Chairs 141</v>
      </c>
      <c r="AI278" t="str">
        <f>TRIM(PROPER(M:M))</f>
        <v>Second Class</v>
      </c>
      <c r="AJ278" s="5" t="str">
        <f>IF(OR(P278&lt;0,P278&gt;0.5),"invalid",P278)</f>
        <v>invalid</v>
      </c>
      <c r="AK278" s="6" t="str">
        <f>IFERROR(N278*O278*(1-AJ278), "NA")</f>
        <v>NA</v>
      </c>
      <c r="AL278" s="6" t="str">
        <f>IFERROR(AK278-R278,"NA")</f>
        <v>NA</v>
      </c>
      <c r="AM278" s="5" t="str">
        <f t="shared" si="20"/>
        <v>NA</v>
      </c>
      <c r="AN278" t="str">
        <v>22-01-24</v>
      </c>
      <c r="AO278" t="str">
        <v>23-01-24</v>
      </c>
      <c r="AP278" t="str">
        <f t="shared" si="21"/>
        <v>January</v>
      </c>
      <c r="AQ278" t="str">
        <f t="shared" si="22"/>
        <v>2024</v>
      </c>
      <c r="AR278" t="str">
        <f t="shared" si="23"/>
        <v xml:space="preserve"> </v>
      </c>
      <c r="AS278">
        <f t="shared" si="24"/>
        <v>1</v>
      </c>
      <c r="AT278" t="str">
        <f>IF(COUNTIFS( $A:$A,A278,$B:$B,B278,$C:$C,C278,$D:$D,D278,$E:$E,E278,$F:$F,F278,$G:$G,G278,$H:$H,H278,$I:$I,I278,$J:$J,J278,$K:$K,K278,$L:$L,L278,$M:$M,M278,$T:$T,T278,$U:$U,U278,$W:$W,W278,$Z:$Z,Z278,$AA:$AA,AA278,$AB:$AB,AB278,$AC:$AC,AC278,$AD:$AD,AD278,$AE:$AE,AE278,$AF:$AF,AF278,$AG:$AG,AG278,$AH:$AH,AH278,$AI:$AI,AI278)&gt;1,"Duplicate","Unique")</f>
        <v>Unique</v>
      </c>
    </row>
    <row r="279" spans="1:46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  <c r="W279" t="s">
        <v>1431</v>
      </c>
      <c r="Z279" t="s">
        <v>1206</v>
      </c>
      <c r="AA279" t="str">
        <v>Isha Nair</v>
      </c>
      <c r="AB279" t="str">
        <f>TRIM(PROPER(F:F))</f>
        <v>Corporate</v>
      </c>
      <c r="AC279" t="str">
        <f>TRIM(PROPER(G:G))</f>
        <v>North</v>
      </c>
      <c r="AD279" t="str">
        <f>TRIM(PROPER(H:H))</f>
        <v>Haryana</v>
      </c>
      <c r="AE279" t="str">
        <f>TRIM(PROPER(I:I))</f>
        <v>Gurugram</v>
      </c>
      <c r="AF279" t="str">
        <f>TRIM(PROPER(J:J))</f>
        <v>Technology</v>
      </c>
      <c r="AG279" t="str">
        <f>TRIM(PROPER(K:K))</f>
        <v>Accessories</v>
      </c>
      <c r="AH279" t="str">
        <f>TRIM(PROPER(L:L))</f>
        <v>Elite Accessories 291</v>
      </c>
      <c r="AI279" t="str">
        <f>TRIM(PROPER(M:M))</f>
        <v>Second Class</v>
      </c>
      <c r="AJ279" s="5">
        <f>IF(OR(P279&lt;0,P279&gt;0.5),"invalid",P279)</f>
        <v>0.15</v>
      </c>
      <c r="AK279" s="6">
        <f>IFERROR(N279*O279*(1-AJ279), "NA")</f>
        <v>1813.6704999999999</v>
      </c>
      <c r="AL279" s="6">
        <f>IFERROR(AK279-R279,"NA")</f>
        <v>811.1004999999999</v>
      </c>
      <c r="AM279" s="5">
        <f t="shared" si="20"/>
        <v>0.4472149158295291</v>
      </c>
      <c r="AN279" t="str">
        <v>04-06-25</v>
      </c>
      <c r="AO279" t="str">
        <v>04-06-25</v>
      </c>
      <c r="AP279" t="str">
        <f t="shared" si="21"/>
        <v>June</v>
      </c>
      <c r="AQ279" t="str">
        <f t="shared" si="22"/>
        <v>2025</v>
      </c>
      <c r="AR279" t="str">
        <f t="shared" si="23"/>
        <v xml:space="preserve"> </v>
      </c>
      <c r="AS279">
        <f t="shared" si="24"/>
        <v>0</v>
      </c>
      <c r="AT279" t="str">
        <f>IF(COUNTIFS( $A:$A,A279,$B:$B,B279,$C:$C,C279,$D:$D,D279,$E:$E,E279,$F:$F,F279,$G:$G,G279,$H:$H,H279,$I:$I,I279,$J:$J,J279,$K:$K,K279,$L:$L,L279,$M:$M,M279,$T:$T,T279,$U:$U,U279,$W:$W,W279,$Z:$Z,Z279,$AA:$AA,AA279,$AB:$AB,AB279,$AC:$AC,AC279,$AD:$AD,AD279,$AE:$AE,AE279,$AF:$AF,AF279,$AG:$AG,AG279,$AH:$AH,AH279,$AI:$AI,AI279)&gt;1,"Duplicate","Unique")</f>
        <v>Unique</v>
      </c>
    </row>
    <row r="280" spans="1:46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  <c r="W280" t="s">
        <v>1434</v>
      </c>
      <c r="Z280" t="s">
        <v>1436</v>
      </c>
      <c r="AA280" t="str">
        <v>Priya Menon</v>
      </c>
      <c r="AB280" t="str">
        <f>TRIM(PROPER(F:F))</f>
        <v>Small Business</v>
      </c>
      <c r="AC280" t="str">
        <f>TRIM(PROPER(G:G))</f>
        <v>North</v>
      </c>
      <c r="AD280" t="str">
        <f>TRIM(PROPER(H:H))</f>
        <v>Delhi</v>
      </c>
      <c r="AE280" t="str">
        <f>TRIM(PROPER(I:I))</f>
        <v>New Delhi</v>
      </c>
      <c r="AF280" t="str">
        <f>TRIM(PROPER(J:J))</f>
        <v>Technology</v>
      </c>
      <c r="AG280" t="str">
        <f>TRIM(PROPER(K:K))</f>
        <v>Accessories</v>
      </c>
      <c r="AH280" t="str">
        <f>TRIM(PROPER(L:L))</f>
        <v>Pro Accessories 207</v>
      </c>
      <c r="AI280" t="str">
        <f>TRIM(PROPER(M:M))</f>
        <v>Same Day</v>
      </c>
      <c r="AJ280" s="5">
        <f>IF(OR(P280&lt;0,P280&gt;0.5),"invalid",P280)</f>
        <v>0.05</v>
      </c>
      <c r="AK280" s="6">
        <f>IFERROR(N280*O280*(1-AJ280), "NA")</f>
        <v>3780.6579999999999</v>
      </c>
      <c r="AL280" s="6">
        <f>IFERROR(AK280-R280,"NA")</f>
        <v>1632.348</v>
      </c>
      <c r="AM280" s="5">
        <f t="shared" si="20"/>
        <v>0.43176293650470365</v>
      </c>
      <c r="AN280" t="str">
        <v>07-03-25</v>
      </c>
      <c r="AO280" t="str">
        <v>14-03-25</v>
      </c>
      <c r="AP280" t="str">
        <f t="shared" si="21"/>
        <v>March</v>
      </c>
      <c r="AQ280" t="str">
        <f t="shared" si="22"/>
        <v>2025</v>
      </c>
      <c r="AR280" t="str">
        <f t="shared" si="23"/>
        <v xml:space="preserve"> </v>
      </c>
      <c r="AS280">
        <f t="shared" si="24"/>
        <v>7</v>
      </c>
      <c r="AT280" t="str">
        <f>IF(COUNTIFS( $A:$A,A280,$B:$B,B280,$C:$C,C280,$D:$D,D280,$E:$E,E280,$F:$F,F280,$G:$G,G280,$H:$H,H280,$I:$I,I280,$J:$J,J280,$K:$K,K280,$L:$L,L280,$M:$M,M280,$T:$T,T280,$U:$U,U280,$W:$W,W280,$Z:$Z,Z280,$AA:$AA,AA280,$AB:$AB,AB280,$AC:$AC,AC280,$AD:$AD,AD280,$AE:$AE,AE280,$AF:$AF,AF280,$AG:$AG,AG280,$AH:$AH,AH280,$AI:$AI,AI280)&gt;1,"Duplicate","Unique")</f>
        <v>Unique</v>
      </c>
    </row>
    <row r="281" spans="1:46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  <c r="W281" t="s">
        <v>1438</v>
      </c>
      <c r="Z281" t="s">
        <v>1441</v>
      </c>
      <c r="AA281" t="str">
        <v>Rohan Mehta</v>
      </c>
      <c r="AB281" t="str">
        <f>TRIM(PROPER(F:F))</f>
        <v>Small Business</v>
      </c>
      <c r="AC281" t="str">
        <f>TRIM(PROPER(G:G))</f>
        <v>West</v>
      </c>
      <c r="AD281" t="str">
        <f>TRIM(PROPER(H:H))</f>
        <v>Maharashtra</v>
      </c>
      <c r="AE281" t="str">
        <f>TRIM(PROPER(I:I))</f>
        <v>Mumbai</v>
      </c>
      <c r="AF281" t="str">
        <f>TRIM(PROPER(J:J))</f>
        <v>Office Supplies</v>
      </c>
      <c r="AG281" t="str">
        <f>TRIM(PROPER(K:K))</f>
        <v>Storage</v>
      </c>
      <c r="AH281" t="str">
        <f>TRIM(PROPER(L:L))</f>
        <v>Max Storage 564</v>
      </c>
      <c r="AI281" t="str">
        <f>TRIM(PROPER(M:M))</f>
        <v>First Class</v>
      </c>
      <c r="AJ281" s="5">
        <f>IF(OR(P281&lt;0,P281&gt;0.5),"invalid",P281)</f>
        <v>0.05</v>
      </c>
      <c r="AK281" s="6">
        <f>IFERROR(N281*O281*(1-AJ281), "NA")</f>
        <v>4141.1639999999998</v>
      </c>
      <c r="AL281" s="6">
        <f>IFERROR(AK281-R281,"NA")</f>
        <v>1386.9939999999997</v>
      </c>
      <c r="AM281" s="5">
        <f t="shared" si="20"/>
        <v>0.33492853700070796</v>
      </c>
      <c r="AN281" t="str">
        <v>04-09-24</v>
      </c>
      <c r="AO281" t="str">
        <v>10-04-24</v>
      </c>
      <c r="AP281" t="str">
        <f t="shared" si="21"/>
        <v>September</v>
      </c>
      <c r="AQ281" t="str">
        <f t="shared" si="22"/>
        <v>2024</v>
      </c>
      <c r="AR281" t="str">
        <f t="shared" si="23"/>
        <v xml:space="preserve"> </v>
      </c>
      <c r="AS281">
        <f t="shared" si="24"/>
        <v>-147</v>
      </c>
      <c r="AT281" t="str">
        <f>IF(COUNTIFS( $A:$A,A281,$B:$B,B281,$C:$C,C281,$D:$D,D281,$E:$E,E281,$F:$F,F281,$G:$G,G281,$H:$H,H281,$I:$I,I281,$J:$J,J281,$K:$K,K281,$L:$L,L281,$M:$M,M281,$T:$T,T281,$U:$U,U281,$W:$W,W281,$Z:$Z,Z281,$AA:$AA,AA281,$AB:$AB,AB281,$AC:$AC,AC281,$AD:$AD,AD281,$AE:$AE,AE281,$AF:$AF,AF281,$AG:$AG,AG281,$AH:$AH,AH281,$AI:$AI,AI281)&gt;1,"Duplicate","Unique")</f>
        <v>Unique</v>
      </c>
    </row>
    <row r="282" spans="1:46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  <c r="W282" t="s">
        <v>1443</v>
      </c>
      <c r="Z282" t="s">
        <v>1446</v>
      </c>
      <c r="AA282" t="str">
        <v>Aditi Sen</v>
      </c>
      <c r="AB282" t="str">
        <f>TRIM(PROPER(F:F))</f>
        <v>Consumer</v>
      </c>
      <c r="AC282" t="str">
        <f>TRIM(PROPER(G:G))</f>
        <v>South</v>
      </c>
      <c r="AD282" t="str">
        <f>TRIM(PROPER(H:H))</f>
        <v>Karnataka</v>
      </c>
      <c r="AE282" t="str">
        <f>TRIM(PROPER(I:I))</f>
        <v>Bengaluru</v>
      </c>
      <c r="AF282" t="str">
        <f>TRIM(PROPER(J:J))</f>
        <v>Technology</v>
      </c>
      <c r="AG282" t="str">
        <f>TRIM(PROPER(K:K))</f>
        <v>Copiers</v>
      </c>
      <c r="AH282" t="str">
        <f>TRIM(PROPER(L:L))</f>
        <v>Prime Copiers 961</v>
      </c>
      <c r="AI282" t="str">
        <f>TRIM(PROPER(M:M))</f>
        <v>Standard Class</v>
      </c>
      <c r="AJ282" s="5">
        <f>IF(OR(P282&lt;0,P282&gt;0.5),"invalid",P282)</f>
        <v>0</v>
      </c>
      <c r="AK282" s="6">
        <f>IFERROR(N282*O282*(1-AJ282), "NA")</f>
        <v>8943.0299999999988</v>
      </c>
      <c r="AL282" s="6">
        <f>IFERROR(AK282-R282,"NA")</f>
        <v>3777.6499999999987</v>
      </c>
      <c r="AM282" s="5">
        <f t="shared" si="20"/>
        <v>0.42241276167026154</v>
      </c>
      <c r="AN282" t="str">
        <v>invalid date</v>
      </c>
      <c r="AO282" t="str">
        <v>26-12-24</v>
      </c>
      <c r="AP282" t="str">
        <f t="shared" si="21"/>
        <v>invalid date</v>
      </c>
      <c r="AQ282" t="str">
        <f t="shared" si="22"/>
        <v>invalid date</v>
      </c>
      <c r="AR282" t="str">
        <f t="shared" si="23"/>
        <v>Invalid</v>
      </c>
      <c r="AS282" t="str">
        <f t="shared" si="24"/>
        <v>invalid date</v>
      </c>
      <c r="AT282" t="str">
        <f>IF(COUNTIFS( $A:$A,A282,$B:$B,B282,$C:$C,C282,$D:$D,D282,$E:$E,E282,$F:$F,F282,$G:$G,G282,$H:$H,H282,$I:$I,I282,$J:$J,J282,$K:$K,K282,$L:$L,L282,$M:$M,M282,$T:$T,T282,$U:$U,U282,$W:$W,W282,$Z:$Z,Z282,$AA:$AA,AA282,$AB:$AB,AB282,$AC:$AC,AC282,$AD:$AD,AD282,$AE:$AE,AE282,$AF:$AF,AF282,$AG:$AG,AG282,$AH:$AH,AH282,$AI:$AI,AI282)&gt;1,"Duplicate","Unique")</f>
        <v>Unique</v>
      </c>
    </row>
    <row r="283" spans="1:46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  <c r="W283" t="s">
        <v>1448</v>
      </c>
      <c r="Z283" t="s">
        <v>1451</v>
      </c>
      <c r="AA283" t="str">
        <v>Kabir Singh</v>
      </c>
      <c r="AB283" t="str">
        <f>TRIM(PROPER(F:F))</f>
        <v>Consumer</v>
      </c>
      <c r="AC283" t="str">
        <f>TRIM(PROPER(G:G))</f>
        <v>East</v>
      </c>
      <c r="AD283" t="str">
        <f>TRIM(PROPER(H:H))</f>
        <v>Jharkhand</v>
      </c>
      <c r="AE283" t="str">
        <f>TRIM(PROPER(I:I))</f>
        <v>Ranchi</v>
      </c>
      <c r="AF283" t="str">
        <f>TRIM(PROPER(J:J))</f>
        <v>Office Supplies</v>
      </c>
      <c r="AG283" t="str">
        <f>TRIM(PROPER(K:K))</f>
        <v>Binders</v>
      </c>
      <c r="AH283" t="str">
        <f>TRIM(PROPER(L:L))</f>
        <v>Basic Binders 637</v>
      </c>
      <c r="AI283" t="str">
        <f>TRIM(PROPER(M:M))</f>
        <v>Second Class</v>
      </c>
      <c r="AJ283" s="5">
        <f>IF(OR(P283&lt;0,P283&gt;0.5),"invalid",P283)</f>
        <v>0.2</v>
      </c>
      <c r="AK283" s="6">
        <f>IFERROR(N283*O283*(1-AJ283), "NA")</f>
        <v>16504.223999999998</v>
      </c>
      <c r="AL283" s="6">
        <f>IFERROR(AK283-R283,"NA")</f>
        <v>5241.5139999999992</v>
      </c>
      <c r="AM283" s="5">
        <f t="shared" si="20"/>
        <v>0.31758621308096641</v>
      </c>
      <c r="AN283" t="str">
        <v>25-07-25</v>
      </c>
      <c r="AO283" t="str">
        <v>invalid date</v>
      </c>
      <c r="AP283" t="str">
        <f t="shared" si="21"/>
        <v>July</v>
      </c>
      <c r="AQ283" t="str">
        <f t="shared" si="22"/>
        <v>2025</v>
      </c>
      <c r="AR283" t="str">
        <f t="shared" si="23"/>
        <v>Invalid</v>
      </c>
      <c r="AS283" t="str">
        <f t="shared" si="24"/>
        <v>invalid date</v>
      </c>
      <c r="AT283" t="str">
        <f>IF(COUNTIFS( $A:$A,A283,$B:$B,B283,$C:$C,C283,$D:$D,D283,$E:$E,E283,$F:$F,F283,$G:$G,G283,$H:$H,H283,$I:$I,I283,$J:$J,J283,$K:$K,K283,$L:$L,L283,$M:$M,M283,$T:$T,T283,$U:$U,U283,$W:$W,W283,$Z:$Z,Z283,$AA:$AA,AA283,$AB:$AB,AB283,$AC:$AC,AC283,$AD:$AD,AD283,$AE:$AE,AE283,$AF:$AF,AF283,$AG:$AG,AG283,$AH:$AH,AH283,$AI:$AI,AI283)&gt;1,"Duplicate","Unique")</f>
        <v>Unique</v>
      </c>
    </row>
    <row r="284" spans="1:46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  <c r="W284" t="s">
        <v>1453</v>
      </c>
      <c r="Z284" t="s">
        <v>1456</v>
      </c>
      <c r="AA284" t="str">
        <v>Karan Malhotra</v>
      </c>
      <c r="AB284" t="str">
        <f>TRIM(PROPER(F:F))</f>
        <v>Home Office</v>
      </c>
      <c r="AC284" t="str">
        <f>TRIM(PROPER(G:G))</f>
        <v>East</v>
      </c>
      <c r="AD284" t="str">
        <f>TRIM(PROPER(H:H))</f>
        <v>Assam</v>
      </c>
      <c r="AE284" t="str">
        <f>TRIM(PROPER(I:I))</f>
        <v>Guwahati</v>
      </c>
      <c r="AF284" t="str">
        <f>TRIM(PROPER(J:J))</f>
        <v>Furniture</v>
      </c>
      <c r="AG284" t="str">
        <f>TRIM(PROPER(K:K))</f>
        <v>Tables</v>
      </c>
      <c r="AH284" t="str">
        <f>TRIM(PROPER(L:L))</f>
        <v>Classic Tables 811</v>
      </c>
      <c r="AI284" t="str">
        <f>TRIM(PROPER(M:M))</f>
        <v>Second Class</v>
      </c>
      <c r="AJ284" s="5">
        <f>IF(OR(P284&lt;0,P284&gt;0.5),"invalid",P284)</f>
        <v>0</v>
      </c>
      <c r="AK284" s="6">
        <f>IFERROR(N284*O284*(1-AJ284), "NA")</f>
        <v>4596</v>
      </c>
      <c r="AL284" s="6">
        <f>IFERROR(AK284-R284,"NA")</f>
        <v>1375.67</v>
      </c>
      <c r="AM284" s="5">
        <f t="shared" si="20"/>
        <v>0.29931897302001742</v>
      </c>
      <c r="AN284" t="str">
        <v>01-10-24</v>
      </c>
      <c r="AO284" t="str">
        <v>10-02-24</v>
      </c>
      <c r="AP284" t="str">
        <f t="shared" si="21"/>
        <v>October</v>
      </c>
      <c r="AQ284" t="str">
        <f t="shared" si="22"/>
        <v>2024</v>
      </c>
      <c r="AR284" t="str">
        <f t="shared" si="23"/>
        <v xml:space="preserve"> </v>
      </c>
      <c r="AS284">
        <f t="shared" si="24"/>
        <v>-234</v>
      </c>
      <c r="AT284" t="str">
        <f>IF(COUNTIFS( $A:$A,A284,$B:$B,B284,$C:$C,C284,$D:$D,D284,$E:$E,E284,$F:$F,F284,$G:$G,G284,$H:$H,H284,$I:$I,I284,$J:$J,J284,$K:$K,K284,$L:$L,L284,$M:$M,M284,$T:$T,T284,$U:$U,U284,$W:$W,W284,$Z:$Z,Z284,$AA:$AA,AA284,$AB:$AB,AB284,$AC:$AC,AC284,$AD:$AD,AD284,$AE:$AE,AE284,$AF:$AF,AF284,$AG:$AG,AG284,$AH:$AH,AH284,$AI:$AI,AI284)&gt;1,"Duplicate","Unique")</f>
        <v>Unique</v>
      </c>
    </row>
    <row r="285" spans="1:46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  <c r="W285" t="s">
        <v>1458</v>
      </c>
      <c r="Z285" t="s">
        <v>1461</v>
      </c>
      <c r="AA285" t="str">
        <v>Vikram Iyer</v>
      </c>
      <c r="AB285" t="str">
        <f>TRIM(PROPER(F:F))</f>
        <v>Consumer</v>
      </c>
      <c r="AC285" t="str">
        <f>TRIM(PROPER(G:G))</f>
        <v>West</v>
      </c>
      <c r="AD285" t="str">
        <f>TRIM(PROPER(H:H))</f>
        <v>Maharashtra</v>
      </c>
      <c r="AE285" t="str">
        <f>TRIM(PROPER(I:I))</f>
        <v>Mumbai</v>
      </c>
      <c r="AF285" t="str">
        <f>TRIM(PROPER(J:J))</f>
        <v>Furniture</v>
      </c>
      <c r="AG285" t="str">
        <f>TRIM(PROPER(K:K))</f>
        <v>Furnishings</v>
      </c>
      <c r="AH285" t="str">
        <f>TRIM(PROPER(L:L))</f>
        <v>Classic Furnishings 819</v>
      </c>
      <c r="AI285" t="str">
        <f>TRIM(PROPER(M:M))</f>
        <v>First Class</v>
      </c>
      <c r="AJ285" s="5">
        <f>IF(OR(P285&lt;0,P285&gt;0.5),"invalid",P285)</f>
        <v>0</v>
      </c>
      <c r="AK285" s="6">
        <f>IFERROR(N285*O285*(1-AJ285), "NA")</f>
        <v>1814.01</v>
      </c>
      <c r="AL285" s="6">
        <f>IFERROR(AK285-R285,"NA")</f>
        <v>780.54</v>
      </c>
      <c r="AM285" s="5">
        <f t="shared" si="20"/>
        <v>0.43028428729720342</v>
      </c>
      <c r="AN285" t="str">
        <v>invalid date</v>
      </c>
      <c r="AO285" t="str">
        <v>20-03-25</v>
      </c>
      <c r="AP285" t="str">
        <f t="shared" si="21"/>
        <v>invalid date</v>
      </c>
      <c r="AQ285" t="str">
        <f t="shared" si="22"/>
        <v>invalid date</v>
      </c>
      <c r="AR285" t="str">
        <f t="shared" si="23"/>
        <v>Invalid</v>
      </c>
      <c r="AS285" t="str">
        <f t="shared" si="24"/>
        <v>invalid date</v>
      </c>
      <c r="AT285" t="str">
        <f>IF(COUNTIFS( $A:$A,A285,$B:$B,B285,$C:$C,C285,$D:$D,D285,$E:$E,E285,$F:$F,F285,$G:$G,G285,$H:$H,H285,$I:$I,I285,$J:$J,J285,$K:$K,K285,$L:$L,L285,$M:$M,M285,$T:$T,T285,$U:$U,U285,$W:$W,W285,$Z:$Z,Z285,$AA:$AA,AA285,$AB:$AB,AB285,$AC:$AC,AC285,$AD:$AD,AD285,$AE:$AE,AE285,$AF:$AF,AF285,$AG:$AG,AG285,$AH:$AH,AH285,$AI:$AI,AI285)&gt;1,"Duplicate","Unique")</f>
        <v>Unique</v>
      </c>
    </row>
    <row r="286" spans="1:46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  <c r="W286" t="s">
        <v>1463</v>
      </c>
      <c r="Z286" t="s">
        <v>1466</v>
      </c>
      <c r="AA286" t="str">
        <v>Karan Malhotra</v>
      </c>
      <c r="AB286" t="str">
        <f>TRIM(PROPER(F:F))</f>
        <v>Consumer</v>
      </c>
      <c r="AC286" t="str">
        <f>TRIM(PROPER(G:G))</f>
        <v>East</v>
      </c>
      <c r="AD286" t="str">
        <f>TRIM(PROPER(H:H))</f>
        <v>Odisha</v>
      </c>
      <c r="AE286" t="str">
        <f>TRIM(PROPER(I:I))</f>
        <v>Bhubaneswar</v>
      </c>
      <c r="AF286" t="str">
        <f>TRIM(PROPER(J:J))</f>
        <v>Furniture</v>
      </c>
      <c r="AG286" t="str">
        <f>TRIM(PROPER(K:K))</f>
        <v>Tables</v>
      </c>
      <c r="AH286" t="str">
        <f>TRIM(PROPER(L:L))</f>
        <v>Prime Tables 542</v>
      </c>
      <c r="AI286" t="str">
        <f>TRIM(PROPER(M:M))</f>
        <v>Same Day</v>
      </c>
      <c r="AJ286" s="5">
        <f>IF(OR(P286&lt;0,P286&gt;0.5),"invalid",P286)</f>
        <v>0</v>
      </c>
      <c r="AK286" s="6">
        <f>IFERROR(N286*O286*(1-AJ286), "NA")</f>
        <v>4730.76</v>
      </c>
      <c r="AL286" s="6">
        <f>IFERROR(AK286-R286,"NA")</f>
        <v>1591.0300000000002</v>
      </c>
      <c r="AM286" s="5">
        <f t="shared" si="20"/>
        <v>0.33631594077907145</v>
      </c>
      <c r="AN286" t="str">
        <v>12-08-24</v>
      </c>
      <c r="AO286" t="str">
        <v>invalid date</v>
      </c>
      <c r="AP286" t="str">
        <f t="shared" si="21"/>
        <v>August</v>
      </c>
      <c r="AQ286" t="str">
        <f t="shared" si="22"/>
        <v>2024</v>
      </c>
      <c r="AR286" t="str">
        <f t="shared" si="23"/>
        <v>Invalid</v>
      </c>
      <c r="AS286" t="str">
        <f t="shared" si="24"/>
        <v>invalid date</v>
      </c>
      <c r="AT286" t="str">
        <f>IF(COUNTIFS( $A:$A,A286,$B:$B,B286,$C:$C,C286,$D:$D,D286,$E:$E,E286,$F:$F,F286,$G:$G,G286,$H:$H,H286,$I:$I,I286,$J:$J,J286,$K:$K,K286,$L:$L,L286,$M:$M,M286,$T:$T,T286,$U:$U,U286,$W:$W,W286,$Z:$Z,Z286,$AA:$AA,AA286,$AB:$AB,AB286,$AC:$AC,AC286,$AD:$AD,AD286,$AE:$AE,AE286,$AF:$AF,AF286,$AG:$AG,AG286,$AH:$AH,AH286,$AI:$AI,AI286)&gt;1,"Duplicate","Unique")</f>
        <v>Unique</v>
      </c>
    </row>
    <row r="287" spans="1:46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  <c r="W287" t="s">
        <v>1468</v>
      </c>
      <c r="Z287" t="s">
        <v>1471</v>
      </c>
      <c r="AA287" t="str">
        <v>Neha Gupta</v>
      </c>
      <c r="AB287" t="str">
        <f>TRIM(PROPER(F:F))</f>
        <v>Home Office</v>
      </c>
      <c r="AC287" t="str">
        <f>TRIM(PROPER(G:G))</f>
        <v>North</v>
      </c>
      <c r="AD287" t="str">
        <f>TRIM(PROPER(H:H))</f>
        <v>Rajasthan</v>
      </c>
      <c r="AE287" t="str">
        <f>TRIM(PROPER(I:I))</f>
        <v>Jaipur</v>
      </c>
      <c r="AF287" t="str">
        <f>TRIM(PROPER(J:J))</f>
        <v>Office Supplies</v>
      </c>
      <c r="AG287" t="str">
        <f>TRIM(PROPER(K:K))</f>
        <v>Storage</v>
      </c>
      <c r="AH287" t="str">
        <f>TRIM(PROPER(L:L))</f>
        <v>Basic Storage 771</v>
      </c>
      <c r="AI287" t="str">
        <f>TRIM(PROPER(M:M))</f>
        <v>Standard Class</v>
      </c>
      <c r="AJ287" s="5">
        <f>IF(OR(P287&lt;0,P287&gt;0.5),"invalid",P287)</f>
        <v>0</v>
      </c>
      <c r="AK287" s="6">
        <f>IFERROR(N287*O287*(1-AJ287), "NA")</f>
        <v>36735.93</v>
      </c>
      <c r="AL287" s="6">
        <f>IFERROR(AK287-R287,"NA")</f>
        <v>5915.09</v>
      </c>
      <c r="AM287" s="5">
        <f t="shared" si="20"/>
        <v>0.16101647624001897</v>
      </c>
      <c r="AN287" t="str">
        <v>15-08-25</v>
      </c>
      <c r="AO287" t="str">
        <v>20-08-25</v>
      </c>
      <c r="AP287" t="str">
        <f t="shared" si="21"/>
        <v>August</v>
      </c>
      <c r="AQ287" t="str">
        <f t="shared" si="22"/>
        <v>2025</v>
      </c>
      <c r="AR287" t="str">
        <f t="shared" si="23"/>
        <v xml:space="preserve"> </v>
      </c>
      <c r="AS287">
        <f t="shared" si="24"/>
        <v>5</v>
      </c>
      <c r="AT287" t="str">
        <f>IF(COUNTIFS( $A:$A,A287,$B:$B,B287,$C:$C,C287,$D:$D,D287,$E:$E,E287,$F:$F,F287,$G:$G,G287,$H:$H,H287,$I:$I,I287,$J:$J,J287,$K:$K,K287,$L:$L,L287,$M:$M,M287,$T:$T,T287,$U:$U,U287,$W:$W,W287,$Z:$Z,Z287,$AA:$AA,AA287,$AB:$AB,AB287,$AC:$AC,AC287,$AD:$AD,AD287,$AE:$AE,AE287,$AF:$AF,AF287,$AG:$AG,AG287,$AH:$AH,AH287,$AI:$AI,AI287)&gt;1,"Duplicate","Unique")</f>
        <v>Unique</v>
      </c>
    </row>
    <row r="288" spans="1:46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  <c r="W288" t="s">
        <v>1473</v>
      </c>
      <c r="Z288" t="s">
        <v>1476</v>
      </c>
      <c r="AA288" t="str">
        <v>Priya Menon</v>
      </c>
      <c r="AB288" t="str">
        <f>TRIM(PROPER(F:F))</f>
        <v>Small Business</v>
      </c>
      <c r="AC288" t="str">
        <f>TRIM(PROPER(G:G))</f>
        <v>North</v>
      </c>
      <c r="AD288" t="str">
        <f>TRIM(PROPER(H:H))</f>
        <v>Delhi</v>
      </c>
      <c r="AE288" t="str">
        <f>TRIM(PROPER(I:I))</f>
        <v>New Delhi</v>
      </c>
      <c r="AF288" t="str">
        <f>TRIM(PROPER(J:J))</f>
        <v>Furniture</v>
      </c>
      <c r="AG288" t="str">
        <f>TRIM(PROPER(K:K))</f>
        <v>Furnishings</v>
      </c>
      <c r="AH288" t="str">
        <f>TRIM(PROPER(L:L))</f>
        <v>Pro Furnishings 848</v>
      </c>
      <c r="AI288" t="str">
        <f>TRIM(PROPER(M:M))</f>
        <v>First Class</v>
      </c>
      <c r="AJ288" s="5">
        <f>IF(OR(P288&lt;0,P288&gt;0.5),"invalid",P288)</f>
        <v>0.1</v>
      </c>
      <c r="AK288" s="6">
        <f>IFERROR(N288*O288*(1-AJ288), "NA")</f>
        <v>4421.3399999999992</v>
      </c>
      <c r="AL288" s="6">
        <f>IFERROR(AK288-R288,"NA")</f>
        <v>1931.3599999999992</v>
      </c>
      <c r="AM288" s="5">
        <f t="shared" si="20"/>
        <v>0.43682684435035524</v>
      </c>
      <c r="AN288" t="str">
        <v>28-02-24</v>
      </c>
      <c r="AO288" t="str">
        <v>03-02-24</v>
      </c>
      <c r="AP288" t="str">
        <f t="shared" si="21"/>
        <v>February</v>
      </c>
      <c r="AQ288" t="str">
        <f t="shared" si="22"/>
        <v>2024</v>
      </c>
      <c r="AR288" t="str">
        <f t="shared" si="23"/>
        <v>anomaly</v>
      </c>
      <c r="AS288">
        <f t="shared" si="24"/>
        <v>-25</v>
      </c>
      <c r="AT288" t="str">
        <f>IF(COUNTIFS( $A:$A,A288,$B:$B,B288,$C:$C,C288,$D:$D,D288,$E:$E,E288,$F:$F,F288,$G:$G,G288,$H:$H,H288,$I:$I,I288,$J:$J,J288,$K:$K,K288,$L:$L,L288,$M:$M,M288,$T:$T,T288,$U:$U,U288,$W:$W,W288,$Z:$Z,Z288,$AA:$AA,AA288,$AB:$AB,AB288,$AC:$AC,AC288,$AD:$AD,AD288,$AE:$AE,AE288,$AF:$AF,AF288,$AG:$AG,AG288,$AH:$AH,AH288,$AI:$AI,AI288)&gt;1,"Duplicate","Unique")</f>
        <v>Unique</v>
      </c>
    </row>
    <row r="289" spans="1:46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  <c r="W289" t="s">
        <v>1478</v>
      </c>
      <c r="Z289" t="s">
        <v>1481</v>
      </c>
      <c r="AA289" t="str">
        <v>Neha Gupta</v>
      </c>
      <c r="AB289" t="str">
        <f>TRIM(PROPER(F:F))</f>
        <v>Small Business</v>
      </c>
      <c r="AC289" t="str">
        <f>TRIM(PROPER(G:G))</f>
        <v>South</v>
      </c>
      <c r="AD289" t="str">
        <f>TRIM(PROPER(H:H))</f>
        <v>Tamil Nadu</v>
      </c>
      <c r="AE289" t="str">
        <f>TRIM(PROPER(I:I))</f>
        <v>Chennai</v>
      </c>
      <c r="AF289" t="str">
        <f>TRIM(PROPER(J:J))</f>
        <v>Technology</v>
      </c>
      <c r="AG289" t="str">
        <f>TRIM(PROPER(K:K))</f>
        <v>Copiers</v>
      </c>
      <c r="AH289" t="str">
        <f>TRIM(PROPER(L:L))</f>
        <v>Prime Copiers 924</v>
      </c>
      <c r="AI289" t="str">
        <f>TRIM(PROPER(M:M))</f>
        <v>Standard Class</v>
      </c>
      <c r="AJ289" s="5">
        <f>IF(OR(P289&lt;0,P289&gt;0.5),"invalid",P289)</f>
        <v>0.15</v>
      </c>
      <c r="AK289" s="6">
        <f>IFERROR(N289*O289*(1-AJ289), "NA")</f>
        <v>6516.9329999999991</v>
      </c>
      <c r="AL289" s="6">
        <f>IFERROR(AK289-R289,"NA")</f>
        <v>2005.3929999999991</v>
      </c>
      <c r="AM289" s="5">
        <f t="shared" si="20"/>
        <v>0.30772036477895343</v>
      </c>
      <c r="AN289" t="str">
        <v>09-05-24</v>
      </c>
      <c r="AO289" t="str">
        <v>07-09-24</v>
      </c>
      <c r="AP289" t="str">
        <f t="shared" si="21"/>
        <v>May</v>
      </c>
      <c r="AQ289" t="str">
        <f t="shared" si="22"/>
        <v>2024</v>
      </c>
      <c r="AR289" t="str">
        <f t="shared" si="23"/>
        <v>anomaly</v>
      </c>
      <c r="AS289">
        <f t="shared" si="24"/>
        <v>121</v>
      </c>
      <c r="AT289" t="str">
        <f>IF(COUNTIFS( $A:$A,A289,$B:$B,B289,$C:$C,C289,$D:$D,D289,$E:$E,E289,$F:$F,F289,$G:$G,G289,$H:$H,H289,$I:$I,I289,$J:$J,J289,$K:$K,K289,$L:$L,L289,$M:$M,M289,$T:$T,T289,$U:$U,U289,$W:$W,W289,$Z:$Z,Z289,$AA:$AA,AA289,$AB:$AB,AB289,$AC:$AC,AC289,$AD:$AD,AD289,$AE:$AE,AE289,$AF:$AF,AF289,$AG:$AG,AG289,$AH:$AH,AH289,$AI:$AI,AI289)&gt;1,"Duplicate","Unique")</f>
        <v>Unique</v>
      </c>
    </row>
    <row r="290" spans="1:46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  <c r="W290" t="s">
        <v>1483</v>
      </c>
      <c r="Z290" t="s">
        <v>1485</v>
      </c>
      <c r="AA290" t="str">
        <v>Rohan Mehta</v>
      </c>
      <c r="AB290" t="str">
        <f>TRIM(PROPER(F:F))</f>
        <v>Small Business</v>
      </c>
      <c r="AC290" t="str">
        <f>TRIM(PROPER(G:G))</f>
        <v>East</v>
      </c>
      <c r="AD290" t="str">
        <f>TRIM(PROPER(H:H))</f>
        <v>Bihar</v>
      </c>
      <c r="AE290" t="str">
        <f>TRIM(PROPER(I:I))</f>
        <v>Patna</v>
      </c>
      <c r="AF290" t="str">
        <f>TRIM(PROPER(J:J))</f>
        <v>Office Supplies</v>
      </c>
      <c r="AG290" t="str">
        <f>TRIM(PROPER(K:K))</f>
        <v>Binders</v>
      </c>
      <c r="AH290" t="str">
        <f>TRIM(PROPER(L:L))</f>
        <v>Classic Binders 721</v>
      </c>
      <c r="AI290" t="str">
        <f>TRIM(PROPER(M:M))</f>
        <v>Same Day</v>
      </c>
      <c r="AJ290" s="5">
        <f>IF(OR(P290&lt;0,P290&gt;0.5),"invalid",P290)</f>
        <v>0.15</v>
      </c>
      <c r="AK290" s="6">
        <f>IFERROR(N290*O290*(1-AJ290), "NA")</f>
        <v>7411.829999999999</v>
      </c>
      <c r="AL290" s="6">
        <f>IFERROR(AK290-R290,"NA")</f>
        <v>2507.1999999999989</v>
      </c>
      <c r="AM290" s="5">
        <f t="shared" si="20"/>
        <v>0.3382700358750807</v>
      </c>
      <c r="AN290" t="str">
        <v>24-06-24</v>
      </c>
      <c r="AO290" t="str">
        <v>24-06-24</v>
      </c>
      <c r="AP290" t="str">
        <f t="shared" si="21"/>
        <v>June</v>
      </c>
      <c r="AQ290" t="str">
        <f t="shared" si="22"/>
        <v>2024</v>
      </c>
      <c r="AR290" t="str">
        <f t="shared" si="23"/>
        <v xml:space="preserve"> </v>
      </c>
      <c r="AS290">
        <f t="shared" si="24"/>
        <v>0</v>
      </c>
      <c r="AT290" t="str">
        <f>IF(COUNTIFS( $A:$A,A290,$B:$B,B290,$C:$C,C290,$D:$D,D290,$E:$E,E290,$F:$F,F290,$G:$G,G290,$H:$H,H290,$I:$I,I290,$J:$J,J290,$K:$K,K290,$L:$L,L290,$M:$M,M290,$T:$T,T290,$U:$U,U290,$W:$W,W290,$Z:$Z,Z290,$AA:$AA,AA290,$AB:$AB,AB290,$AC:$AC,AC290,$AD:$AD,AD290,$AE:$AE,AE290,$AF:$AF,AF290,$AG:$AG,AG290,$AH:$AH,AH290,$AI:$AI,AI290)&gt;1,"Duplicate","Unique")</f>
        <v>Unique</v>
      </c>
    </row>
    <row r="291" spans="1:46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  <c r="W291" t="s">
        <v>1487</v>
      </c>
      <c r="Z291" t="s">
        <v>1488</v>
      </c>
      <c r="AA291" t="str">
        <v>Karan Malhotra</v>
      </c>
      <c r="AB291" t="str">
        <f>TRIM(PROPER(F:F))</f>
        <v>Home Office</v>
      </c>
      <c r="AC291" t="str">
        <f>TRIM(PROPER(G:G))</f>
        <v>South</v>
      </c>
      <c r="AD291" t="str">
        <f>TRIM(PROPER(H:H))</f>
        <v>Tamil Nadu</v>
      </c>
      <c r="AE291" t="str">
        <f>TRIM(PROPER(I:I))</f>
        <v>Chennai</v>
      </c>
      <c r="AF291" t="str">
        <f>TRIM(PROPER(J:J))</f>
        <v>Furniture</v>
      </c>
      <c r="AG291" t="str">
        <f>TRIM(PROPER(K:K))</f>
        <v>Bookcases</v>
      </c>
      <c r="AH291" t="str">
        <f>TRIM(PROPER(L:L))</f>
        <v>Basic Bookcases 823</v>
      </c>
      <c r="AI291" t="str">
        <f>TRIM(PROPER(M:M))</f>
        <v>First Class</v>
      </c>
      <c r="AJ291" s="5">
        <f>IF(OR(P291&lt;0,P291&gt;0.5),"invalid",P291)</f>
        <v>0.05</v>
      </c>
      <c r="AK291" s="6">
        <f>IFERROR(N291*O291*(1-AJ291), "NA")</f>
        <v>8258.7109999999993</v>
      </c>
      <c r="AL291" s="6">
        <f>IFERROR(AK291-R291,"NA")</f>
        <v>1239.7409999999991</v>
      </c>
      <c r="AM291" s="5">
        <f t="shared" si="20"/>
        <v>0.15011313508851432</v>
      </c>
      <c r="AN291" t="str">
        <v>19-06-25</v>
      </c>
      <c r="AO291" t="str">
        <v>invalid date</v>
      </c>
      <c r="AP291" t="str">
        <f t="shared" si="21"/>
        <v>June</v>
      </c>
      <c r="AQ291" t="str">
        <f t="shared" si="22"/>
        <v>2025</v>
      </c>
      <c r="AR291" t="str">
        <f t="shared" si="23"/>
        <v>Invalid</v>
      </c>
      <c r="AS291" t="str">
        <f t="shared" si="24"/>
        <v>invalid date</v>
      </c>
      <c r="AT291" t="str">
        <f>IF(COUNTIFS( $A:$A,A291,$B:$B,B291,$C:$C,C291,$D:$D,D291,$E:$E,E291,$F:$F,F291,$G:$G,G291,$H:$H,H291,$I:$I,I291,$J:$J,J291,$K:$K,K291,$L:$L,L291,$M:$M,M291,$T:$T,T291,$U:$U,U291,$W:$W,W291,$Z:$Z,Z291,$AA:$AA,AA291,$AB:$AB,AB291,$AC:$AC,AC291,$AD:$AD,AD291,$AE:$AE,AE291,$AF:$AF,AF291,$AG:$AG,AG291,$AH:$AH,AH291,$AI:$AI,AI291)&gt;1,"Duplicate","Unique")</f>
        <v>Unique</v>
      </c>
    </row>
    <row r="292" spans="1:46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  <c r="W292" t="s">
        <v>1490</v>
      </c>
      <c r="Z292" t="s">
        <v>1493</v>
      </c>
      <c r="AA292" t="str">
        <v>Diya Patel</v>
      </c>
      <c r="AB292" t="str">
        <f>TRIM(PROPER(F:F))</f>
        <v>Home Office</v>
      </c>
      <c r="AC292" t="str">
        <f>TRIM(PROPER(G:G))</f>
        <v>East</v>
      </c>
      <c r="AD292" t="str">
        <f>TRIM(PROPER(H:H))</f>
        <v>Jharkhand</v>
      </c>
      <c r="AE292" t="str">
        <f>TRIM(PROPER(I:I))</f>
        <v>Ranchi</v>
      </c>
      <c r="AF292" t="str">
        <f>TRIM(PROPER(J:J))</f>
        <v>Furniture</v>
      </c>
      <c r="AG292" t="str">
        <f>TRIM(PROPER(K:K))</f>
        <v>Tables</v>
      </c>
      <c r="AH292" t="str">
        <f>TRIM(PROPER(L:L))</f>
        <v>Classic Tables 178</v>
      </c>
      <c r="AI292" t="str">
        <f>TRIM(PROPER(M:M))</f>
        <v>Standard Class</v>
      </c>
      <c r="AJ292" s="5">
        <f>IF(OR(P292&lt;0,P292&gt;0.5),"invalid",P292)</f>
        <v>0.1</v>
      </c>
      <c r="AK292" s="6">
        <f>IFERROR(N292*O292*(1-AJ292), "NA")</f>
        <v>1658.3670000000002</v>
      </c>
      <c r="AL292" s="6">
        <f>IFERROR(AK292-R292,"NA")</f>
        <v>687.24700000000018</v>
      </c>
      <c r="AM292" s="5">
        <f t="shared" si="20"/>
        <v>0.41441188832146331</v>
      </c>
      <c r="AN292" t="str">
        <v>22-08-25</v>
      </c>
      <c r="AO292" t="str">
        <v>26-08-25</v>
      </c>
      <c r="AP292" t="str">
        <f t="shared" si="21"/>
        <v>August</v>
      </c>
      <c r="AQ292" t="str">
        <f t="shared" si="22"/>
        <v>2025</v>
      </c>
      <c r="AR292" t="str">
        <f t="shared" si="23"/>
        <v xml:space="preserve"> </v>
      </c>
      <c r="AS292">
        <f t="shared" si="24"/>
        <v>4</v>
      </c>
      <c r="AT292" t="str">
        <f>IF(COUNTIFS( $A:$A,A292,$B:$B,B292,$C:$C,C292,$D:$D,D292,$E:$E,E292,$F:$F,F292,$G:$G,G292,$H:$H,H292,$I:$I,I292,$J:$J,J292,$K:$K,K292,$L:$L,L292,$M:$M,M292,$T:$T,T292,$U:$U,U292,$W:$W,W292,$Z:$Z,Z292,$AA:$AA,AA292,$AB:$AB,AB292,$AC:$AC,AC292,$AD:$AD,AD292,$AE:$AE,AE292,$AF:$AF,AF292,$AG:$AG,AG292,$AH:$AH,AH292,$AI:$AI,AI292)&gt;1,"Duplicate","Unique")</f>
        <v>Unique</v>
      </c>
    </row>
    <row r="293" spans="1:46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  <c r="W293" t="s">
        <v>1495</v>
      </c>
      <c r="Z293" t="s">
        <v>1498</v>
      </c>
      <c r="AA293" t="str">
        <v>Priya Menon</v>
      </c>
      <c r="AB293" t="str">
        <f>TRIM(PROPER(F:F))</f>
        <v>Home Office</v>
      </c>
      <c r="AC293" t="str">
        <f>TRIM(PROPER(G:G))</f>
        <v>North</v>
      </c>
      <c r="AD293" t="str">
        <f>TRIM(PROPER(H:H))</f>
        <v>Rajasthan</v>
      </c>
      <c r="AE293" t="str">
        <f>TRIM(PROPER(I:I))</f>
        <v>Jaipur</v>
      </c>
      <c r="AF293" t="str">
        <f>TRIM(PROPER(J:J))</f>
        <v>Office Supplies</v>
      </c>
      <c r="AG293" t="str">
        <f>TRIM(PROPER(K:K))</f>
        <v>Binders</v>
      </c>
      <c r="AH293" t="str">
        <f>TRIM(PROPER(L:L))</f>
        <v>Eco Binders 153</v>
      </c>
      <c r="AI293" t="str">
        <f>TRIM(PROPER(M:M))</f>
        <v>Standard Class</v>
      </c>
      <c r="AJ293" s="5">
        <f>IF(OR(P293&lt;0,P293&gt;0.5),"invalid",P293)</f>
        <v>0.25</v>
      </c>
      <c r="AK293" s="6">
        <f>IFERROR(N293*O293*(1-AJ293), "NA")</f>
        <v>9685.98</v>
      </c>
      <c r="AL293" s="6">
        <f>IFERROR(AK293-R293,"NA")</f>
        <v>1955.9399999999996</v>
      </c>
      <c r="AM293" s="5">
        <f t="shared" si="20"/>
        <v>0.20193516815025425</v>
      </c>
      <c r="AN293" t="str">
        <v>04-05-24</v>
      </c>
      <c r="AO293" t="str">
        <v>10-04-24</v>
      </c>
      <c r="AP293" t="str">
        <f t="shared" si="21"/>
        <v>May</v>
      </c>
      <c r="AQ293" t="str">
        <f t="shared" si="22"/>
        <v>2024</v>
      </c>
      <c r="AR293" t="str">
        <f t="shared" si="23"/>
        <v xml:space="preserve"> </v>
      </c>
      <c r="AS293">
        <f t="shared" si="24"/>
        <v>-24</v>
      </c>
      <c r="AT293" t="str">
        <f>IF(COUNTIFS( $A:$A,A293,$B:$B,B293,$C:$C,C293,$D:$D,D293,$E:$E,E293,$F:$F,F293,$G:$G,G293,$H:$H,H293,$I:$I,I293,$J:$J,J293,$K:$K,K293,$L:$L,L293,$M:$M,M293,$T:$T,T293,$U:$U,U293,$W:$W,W293,$Z:$Z,Z293,$AA:$AA,AA293,$AB:$AB,AB293,$AC:$AC,AC293,$AD:$AD,AD293,$AE:$AE,AE293,$AF:$AF,AF293,$AG:$AG,AG293,$AH:$AH,AH293,$AI:$AI,AI293)&gt;1,"Duplicate","Unique")</f>
        <v>Unique</v>
      </c>
    </row>
    <row r="294" spans="1:46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  <c r="W294" t="s">
        <v>1500</v>
      </c>
      <c r="Z294" t="s">
        <v>1503</v>
      </c>
      <c r="AA294" t="str">
        <v>Kabir Singh</v>
      </c>
      <c r="AB294" t="str">
        <f>TRIM(PROPER(F:F))</f>
        <v>Home Office</v>
      </c>
      <c r="AC294" t="str">
        <f>TRIM(PROPER(G:G))</f>
        <v>North</v>
      </c>
      <c r="AD294" t="str">
        <f>TRIM(PROPER(H:H))</f>
        <v>Haryana</v>
      </c>
      <c r="AE294" t="str">
        <f>TRIM(PROPER(I:I))</f>
        <v>Gurugram</v>
      </c>
      <c r="AF294" t="str">
        <f>TRIM(PROPER(J:J))</f>
        <v>Office Supplies</v>
      </c>
      <c r="AG294" t="str">
        <f>TRIM(PROPER(K:K))</f>
        <v>Art</v>
      </c>
      <c r="AH294" t="str">
        <f>TRIM(PROPER(L:L))</f>
        <v>Classic Art 183</v>
      </c>
      <c r="AI294" t="str">
        <f>TRIM(PROPER(M:M))</f>
        <v>Same Day</v>
      </c>
      <c r="AJ294" s="5">
        <f>IF(OR(P294&lt;0,P294&gt;0.5),"invalid",P294)</f>
        <v>0</v>
      </c>
      <c r="AK294" s="6">
        <f>IFERROR(N294*O294*(1-AJ294), "NA")</f>
        <v>33740.549999999996</v>
      </c>
      <c r="AL294" s="6">
        <f>IFERROR(AK294-R294,"NA")</f>
        <v>9118.6599999999962</v>
      </c>
      <c r="AM294" s="5">
        <f t="shared" si="20"/>
        <v>0.2702581908119458</v>
      </c>
      <c r="AN294" t="str">
        <v>28-02-25</v>
      </c>
      <c r="AO294" t="str">
        <v>03-03-25</v>
      </c>
      <c r="AP294" t="str">
        <f t="shared" si="21"/>
        <v>February</v>
      </c>
      <c r="AQ294" t="str">
        <f t="shared" si="22"/>
        <v>2025</v>
      </c>
      <c r="AR294" t="str">
        <f t="shared" si="23"/>
        <v>anomaly</v>
      </c>
      <c r="AS294">
        <f t="shared" si="24"/>
        <v>3</v>
      </c>
      <c r="AT294" t="str">
        <f>IF(COUNTIFS( $A:$A,A294,$B:$B,B294,$C:$C,C294,$D:$D,D294,$E:$E,E294,$F:$F,F294,$G:$G,G294,$H:$H,H294,$I:$I,I294,$J:$J,J294,$K:$K,K294,$L:$L,L294,$M:$M,M294,$T:$T,T294,$U:$U,U294,$W:$W,W294,$Z:$Z,Z294,$AA:$AA,AA294,$AB:$AB,AB294,$AC:$AC,AC294,$AD:$AD,AD294,$AE:$AE,AE294,$AF:$AF,AF294,$AG:$AG,AG294,$AH:$AH,AH294,$AI:$AI,AI294)&gt;1,"Duplicate","Unique")</f>
        <v>Unique</v>
      </c>
    </row>
    <row r="295" spans="1:46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  <c r="W295" t="s">
        <v>1505</v>
      </c>
      <c r="Z295" t="s">
        <v>1508</v>
      </c>
      <c r="AA295" t="str">
        <v>Arjun Bose</v>
      </c>
      <c r="AB295" t="str">
        <f>TRIM(PROPER(F:F))</f>
        <v>Home Office</v>
      </c>
      <c r="AC295" t="str">
        <f>TRIM(PROPER(G:G))</f>
        <v>South</v>
      </c>
      <c r="AD295" t="str">
        <f>TRIM(PROPER(H:H))</f>
        <v>Telangana</v>
      </c>
      <c r="AE295" t="str">
        <f>TRIM(PROPER(I:I))</f>
        <v>Hyderabad</v>
      </c>
      <c r="AF295" t="str">
        <f>TRIM(PROPER(J:J))</f>
        <v>Technology</v>
      </c>
      <c r="AG295" t="str">
        <f>TRIM(PROPER(K:K))</f>
        <v>Phones</v>
      </c>
      <c r="AH295" t="str">
        <f>TRIM(PROPER(L:L))</f>
        <v>Pro Phones 455</v>
      </c>
      <c r="AI295" t="str">
        <f>TRIM(PROPER(M:M))</f>
        <v>First Class</v>
      </c>
      <c r="AJ295" s="5" t="str">
        <f>IF(OR(P295&lt;0,P295&gt;0.5),"invalid",P295)</f>
        <v>invalid</v>
      </c>
      <c r="AK295" s="6" t="str">
        <f>IFERROR(N295*O295*(1-AJ295), "NA")</f>
        <v>NA</v>
      </c>
      <c r="AL295" s="6" t="str">
        <f>IFERROR(AK295-R295,"NA")</f>
        <v>NA</v>
      </c>
      <c r="AM295" s="5" t="str">
        <f t="shared" si="20"/>
        <v>NA</v>
      </c>
      <c r="AN295" t="str">
        <v>03-07-24</v>
      </c>
      <c r="AO295" t="str">
        <v>11-03-24</v>
      </c>
      <c r="AP295" t="str">
        <f t="shared" si="21"/>
        <v>July</v>
      </c>
      <c r="AQ295" t="str">
        <f t="shared" si="22"/>
        <v>2024</v>
      </c>
      <c r="AR295" t="str">
        <f t="shared" si="23"/>
        <v xml:space="preserve"> </v>
      </c>
      <c r="AS295">
        <f t="shared" si="24"/>
        <v>-114</v>
      </c>
      <c r="AT295" t="str">
        <f>IF(COUNTIFS( $A:$A,A295,$B:$B,B295,$C:$C,C295,$D:$D,D295,$E:$E,E295,$F:$F,F295,$G:$G,G295,$H:$H,H295,$I:$I,I295,$J:$J,J295,$K:$K,K295,$L:$L,L295,$M:$M,M295,$T:$T,T295,$U:$U,U295,$W:$W,W295,$Z:$Z,Z295,$AA:$AA,AA295,$AB:$AB,AB295,$AC:$AC,AC295,$AD:$AD,AD295,$AE:$AE,AE295,$AF:$AF,AF295,$AG:$AG,AG295,$AH:$AH,AH295,$AI:$AI,AI295)&gt;1,"Duplicate","Unique")</f>
        <v>Unique</v>
      </c>
    </row>
    <row r="296" spans="1:46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  <c r="W296" t="s">
        <v>1510</v>
      </c>
      <c r="Z296" t="s">
        <v>1513</v>
      </c>
      <c r="AA296" t="str">
        <v>Priya Menon</v>
      </c>
      <c r="AB296" t="str">
        <f>TRIM(PROPER(F:F))</f>
        <v>Consumer</v>
      </c>
      <c r="AC296" t="str">
        <f>TRIM(PROPER(G:G))</f>
        <v>East</v>
      </c>
      <c r="AD296" t="str">
        <f>TRIM(PROPER(H:H))</f>
        <v>Odisha</v>
      </c>
      <c r="AE296" t="str">
        <f>TRIM(PROPER(I:I))</f>
        <v>Bhubaneswar</v>
      </c>
      <c r="AF296" t="str">
        <f>TRIM(PROPER(J:J))</f>
        <v>Technology</v>
      </c>
      <c r="AG296" t="str">
        <f>TRIM(PROPER(K:K))</f>
        <v>Phones</v>
      </c>
      <c r="AH296" t="str">
        <f>TRIM(PROPER(L:L))</f>
        <v>Basic Phones 326</v>
      </c>
      <c r="AI296" t="str">
        <f>TRIM(PROPER(M:M))</f>
        <v>Second Class</v>
      </c>
      <c r="AJ296" s="5">
        <f>IF(OR(P296&lt;0,P296&gt;0.5),"invalid",P296)</f>
        <v>0.25</v>
      </c>
      <c r="AK296" s="6">
        <f>IFERROR(N296*O296*(1-AJ296), "NA")</f>
        <v>18716.985000000001</v>
      </c>
      <c r="AL296" s="6">
        <f>IFERROR(AK296-R296,"NA")</f>
        <v>6434.5550000000003</v>
      </c>
      <c r="AM296" s="5">
        <f t="shared" si="20"/>
        <v>0.34378159730319813</v>
      </c>
      <c r="AN296" t="str">
        <v>16-07-25</v>
      </c>
      <c r="AO296" t="str">
        <v>invalid date</v>
      </c>
      <c r="AP296" t="str">
        <f t="shared" si="21"/>
        <v>July</v>
      </c>
      <c r="AQ296" t="str">
        <f t="shared" si="22"/>
        <v>2025</v>
      </c>
      <c r="AR296" t="str">
        <f t="shared" si="23"/>
        <v>Invalid</v>
      </c>
      <c r="AS296" t="str">
        <f t="shared" si="24"/>
        <v>invalid date</v>
      </c>
      <c r="AT296" t="str">
        <f>IF(COUNTIFS( $A:$A,A296,$B:$B,B296,$C:$C,C296,$D:$D,D296,$E:$E,E296,$F:$F,F296,$G:$G,G296,$H:$H,H296,$I:$I,I296,$J:$J,J296,$K:$K,K296,$L:$L,L296,$M:$M,M296,$T:$T,T296,$U:$U,U296,$W:$W,W296,$Z:$Z,Z296,$AA:$AA,AA296,$AB:$AB,AB296,$AC:$AC,AC296,$AD:$AD,AD296,$AE:$AE,AE296,$AF:$AF,AF296,$AG:$AG,AG296,$AH:$AH,AH296,$AI:$AI,AI296)&gt;1,"Duplicate","Unique")</f>
        <v>Unique</v>
      </c>
    </row>
    <row r="297" spans="1:46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  <c r="W297" t="s">
        <v>1515</v>
      </c>
      <c r="Z297" t="s">
        <v>1518</v>
      </c>
      <c r="AA297" t="str">
        <v>Aditi Sen</v>
      </c>
      <c r="AB297" t="str">
        <f>TRIM(PROPER(F:F))</f>
        <v>Small Business</v>
      </c>
      <c r="AC297" t="str">
        <f>TRIM(PROPER(G:G))</f>
        <v>East</v>
      </c>
      <c r="AD297" t="str">
        <f>TRIM(PROPER(H:H))</f>
        <v>Assam</v>
      </c>
      <c r="AE297" t="str">
        <f>TRIM(PROPER(I:I))</f>
        <v>Guwahati</v>
      </c>
      <c r="AF297" t="str">
        <f>TRIM(PROPER(J:J))</f>
        <v>Office Supplies</v>
      </c>
      <c r="AG297" t="str">
        <f>TRIM(PROPER(K:K))</f>
        <v>Binders</v>
      </c>
      <c r="AH297" t="str">
        <f>TRIM(PROPER(L:L))</f>
        <v>Max Binders 587</v>
      </c>
      <c r="AI297" t="str">
        <f>TRIM(PROPER(M:M))</f>
        <v>Standard Class</v>
      </c>
      <c r="AJ297" s="5">
        <f>IF(OR(P297&lt;0,P297&gt;0.5),"invalid",P297)</f>
        <v>0.1</v>
      </c>
      <c r="AK297" s="6">
        <f>IFERROR(N297*O297*(1-AJ297), "NA")</f>
        <v>9385.3350000000009</v>
      </c>
      <c r="AL297" s="6">
        <f>IFERROR(AK297-R297,"NA")</f>
        <v>3556.795000000001</v>
      </c>
      <c r="AM297" s="5">
        <f t="shared" si="20"/>
        <v>0.37897368607513748</v>
      </c>
      <c r="AN297" t="str">
        <v>25-06-25</v>
      </c>
      <c r="AO297" t="str">
        <v>28-06-25</v>
      </c>
      <c r="AP297" t="str">
        <f t="shared" si="21"/>
        <v>June</v>
      </c>
      <c r="AQ297" t="str">
        <f t="shared" si="22"/>
        <v>2025</v>
      </c>
      <c r="AR297" t="str">
        <f t="shared" si="23"/>
        <v xml:space="preserve"> </v>
      </c>
      <c r="AS297">
        <f t="shared" si="24"/>
        <v>3</v>
      </c>
      <c r="AT297" t="str">
        <f>IF(COUNTIFS( $A:$A,A297,$B:$B,B297,$C:$C,C297,$D:$D,D297,$E:$E,E297,$F:$F,F297,$G:$G,G297,$H:$H,H297,$I:$I,I297,$J:$J,J297,$K:$K,K297,$L:$L,L297,$M:$M,M297,$T:$T,T297,$U:$U,U297,$W:$W,W297,$Z:$Z,Z297,$AA:$AA,AA297,$AB:$AB,AB297,$AC:$AC,AC297,$AD:$AD,AD297,$AE:$AE,AE297,$AF:$AF,AF297,$AG:$AG,AG297,$AH:$AH,AH297,$AI:$AI,AI297)&gt;1,"Duplicate","Unique")</f>
        <v>Unique</v>
      </c>
    </row>
    <row r="298" spans="1:46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  <c r="W298" t="s">
        <v>1520</v>
      </c>
      <c r="Z298" t="s">
        <v>1523</v>
      </c>
      <c r="AA298" t="str">
        <v>Aditi Sen</v>
      </c>
      <c r="AB298" t="str">
        <f>TRIM(PROPER(F:F))</f>
        <v>Home Office</v>
      </c>
      <c r="AC298" t="str">
        <f>TRIM(PROPER(G:G))</f>
        <v>North</v>
      </c>
      <c r="AD298" t="str">
        <f>TRIM(PROPER(H:H))</f>
        <v>Haryana</v>
      </c>
      <c r="AE298" t="str">
        <f>TRIM(PROPER(I:I))</f>
        <v>Gurugram</v>
      </c>
      <c r="AF298" t="str">
        <f>TRIM(PROPER(J:J))</f>
        <v>Furniture</v>
      </c>
      <c r="AG298" t="str">
        <f>TRIM(PROPER(K:K))</f>
        <v>Furnishings</v>
      </c>
      <c r="AH298" t="str">
        <f>TRIM(PROPER(L:L))</f>
        <v>Basic Furnishings 617</v>
      </c>
      <c r="AI298" t="str">
        <f>TRIM(PROPER(M:M))</f>
        <v>Same Day</v>
      </c>
      <c r="AJ298" s="5">
        <f>IF(OR(P298&lt;0,P298&gt;0.5),"invalid",P298)</f>
        <v>0.15</v>
      </c>
      <c r="AK298" s="6">
        <f>IFERROR(N298*O298*(1-AJ298), "NA")</f>
        <v>17826.591</v>
      </c>
      <c r="AL298" s="6">
        <f>IFERROR(AK298-R298,"NA")</f>
        <v>6971.241</v>
      </c>
      <c r="AM298" s="5">
        <f t="shared" si="20"/>
        <v>0.39105855965394615</v>
      </c>
      <c r="AN298" t="str">
        <v>24-05-25</v>
      </c>
      <c r="AO298" t="str">
        <v>invalid date</v>
      </c>
      <c r="AP298" t="str">
        <f t="shared" si="21"/>
        <v>May</v>
      </c>
      <c r="AQ298" t="str">
        <f t="shared" si="22"/>
        <v>2025</v>
      </c>
      <c r="AR298" t="str">
        <f t="shared" si="23"/>
        <v>Invalid</v>
      </c>
      <c r="AS298" t="str">
        <f t="shared" si="24"/>
        <v>invalid date</v>
      </c>
      <c r="AT298" t="str">
        <f>IF(COUNTIFS( $A:$A,A298,$B:$B,B298,$C:$C,C298,$D:$D,D298,$E:$E,E298,$F:$F,F298,$G:$G,G298,$H:$H,H298,$I:$I,I298,$J:$J,J298,$K:$K,K298,$L:$L,L298,$M:$M,M298,$T:$T,T298,$U:$U,U298,$W:$W,W298,$Z:$Z,Z298,$AA:$AA,AA298,$AB:$AB,AB298,$AC:$AC,AC298,$AD:$AD,AD298,$AE:$AE,AE298,$AF:$AF,AF298,$AG:$AG,AG298,$AH:$AH,AH298,$AI:$AI,AI298)&gt;1,"Duplicate","Unique")</f>
        <v>Unique</v>
      </c>
    </row>
    <row r="299" spans="1:46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  <c r="W299" t="s">
        <v>1525</v>
      </c>
      <c r="Z299" t="s">
        <v>1528</v>
      </c>
      <c r="AA299" t="str">
        <v>Sneha Kapoor</v>
      </c>
      <c r="AB299" t="str">
        <f>TRIM(PROPER(F:F))</f>
        <v>Corporate</v>
      </c>
      <c r="AC299" t="str">
        <f>TRIM(PROPER(G:G))</f>
        <v>South</v>
      </c>
      <c r="AD299" t="str">
        <f>TRIM(PROPER(H:H))</f>
        <v>Tamil Nadu</v>
      </c>
      <c r="AE299" t="str">
        <f>TRIM(PROPER(I:I))</f>
        <v>Chennai</v>
      </c>
      <c r="AF299" t="str">
        <f>TRIM(PROPER(J:J))</f>
        <v>Technology</v>
      </c>
      <c r="AG299" t="str">
        <f>TRIM(PROPER(K:K))</f>
        <v>Copiers</v>
      </c>
      <c r="AH299" t="str">
        <f>TRIM(PROPER(L:L))</f>
        <v>Prime Copiers 669</v>
      </c>
      <c r="AI299" t="str">
        <f>TRIM(PROPER(M:M))</f>
        <v>Same Day</v>
      </c>
      <c r="AJ299" s="5">
        <f>IF(OR(P299&lt;0,P299&gt;0.5),"invalid",P299)</f>
        <v>0.15</v>
      </c>
      <c r="AK299" s="6">
        <f>IFERROR(N299*O299*(1-AJ299), "NA")</f>
        <v>5966.5920000000006</v>
      </c>
      <c r="AL299" s="6">
        <f>IFERROR(AK299-R299,"NA")</f>
        <v>1971.8720000000008</v>
      </c>
      <c r="AM299" s="5">
        <f t="shared" si="20"/>
        <v>0.33048547646629778</v>
      </c>
      <c r="AN299" t="str">
        <v>29-10-24</v>
      </c>
      <c r="AO299" t="str">
        <v>06-11-24</v>
      </c>
      <c r="AP299" t="str">
        <f t="shared" si="21"/>
        <v>October</v>
      </c>
      <c r="AQ299" t="str">
        <f t="shared" si="22"/>
        <v>2024</v>
      </c>
      <c r="AR299" t="str">
        <f t="shared" si="23"/>
        <v>anomaly</v>
      </c>
      <c r="AS299">
        <f t="shared" si="24"/>
        <v>8</v>
      </c>
      <c r="AT299" t="str">
        <f>IF(COUNTIFS( $A:$A,A299,$B:$B,B299,$C:$C,C299,$D:$D,D299,$E:$E,E299,$F:$F,F299,$G:$G,G299,$H:$H,H299,$I:$I,I299,$J:$J,J299,$K:$K,K299,$L:$L,L299,$M:$M,M299,$T:$T,T299,$U:$U,U299,$W:$W,W299,$Z:$Z,Z299,$AA:$AA,AA299,$AB:$AB,AB299,$AC:$AC,AC299,$AD:$AD,AD299,$AE:$AE,AE299,$AF:$AF,AF299,$AG:$AG,AG299,$AH:$AH,AH299,$AI:$AI,AI299)&gt;1,"Duplicate","Unique")</f>
        <v>Unique</v>
      </c>
    </row>
    <row r="300" spans="1:46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  <c r="W300" t="s">
        <v>1530</v>
      </c>
      <c r="Z300" t="s">
        <v>1533</v>
      </c>
      <c r="AA300" t="str">
        <v>Isha Nair</v>
      </c>
      <c r="AB300" t="str">
        <f>TRIM(PROPER(F:F))</f>
        <v>Consumer</v>
      </c>
      <c r="AC300" t="str">
        <f>TRIM(PROPER(G:G))</f>
        <v>South</v>
      </c>
      <c r="AD300" t="str">
        <f>TRIM(PROPER(H:H))</f>
        <v>Kerala</v>
      </c>
      <c r="AE300" t="str">
        <f>TRIM(PROPER(I:I))</f>
        <v>Kochi</v>
      </c>
      <c r="AF300" t="str">
        <f>TRIM(PROPER(J:J))</f>
        <v>Technology</v>
      </c>
      <c r="AG300" t="str">
        <f>TRIM(PROPER(K:K))</f>
        <v>Copiers</v>
      </c>
      <c r="AH300" t="str">
        <f>TRIM(PROPER(L:L))</f>
        <v>Eco Copiers 894</v>
      </c>
      <c r="AI300" t="str">
        <f>TRIM(PROPER(M:M))</f>
        <v>First Class</v>
      </c>
      <c r="AJ300" s="5">
        <f>IF(OR(P300&lt;0,P300&gt;0.5),"invalid",P300)</f>
        <v>0.2</v>
      </c>
      <c r="AK300" s="6">
        <f>IFERROR(N300*O300*(1-AJ300), "NA")</f>
        <v>1951.5440000000003</v>
      </c>
      <c r="AL300" s="6">
        <f>IFERROR(AK300-R300,"NA")</f>
        <v>341.59400000000028</v>
      </c>
      <c r="AM300" s="5">
        <f t="shared" si="20"/>
        <v>0.17503781621116421</v>
      </c>
      <c r="AN300" t="str">
        <v>23-01-25</v>
      </c>
      <c r="AO300" t="str">
        <v>26-01-25</v>
      </c>
      <c r="AP300" t="str">
        <f t="shared" si="21"/>
        <v>January</v>
      </c>
      <c r="AQ300" t="str">
        <f t="shared" si="22"/>
        <v>2025</v>
      </c>
      <c r="AR300" t="str">
        <f t="shared" si="23"/>
        <v xml:space="preserve"> </v>
      </c>
      <c r="AS300">
        <f t="shared" si="24"/>
        <v>3</v>
      </c>
      <c r="AT300" t="str">
        <f>IF(COUNTIFS( $A:$A,A300,$B:$B,B300,$C:$C,C300,$D:$D,D300,$E:$E,E300,$F:$F,F300,$G:$G,G300,$H:$H,H300,$I:$I,I300,$J:$J,J300,$K:$K,K300,$L:$L,L300,$M:$M,M300,$T:$T,T300,$U:$U,U300,$W:$W,W300,$Z:$Z,Z300,$AA:$AA,AA300,$AB:$AB,AB300,$AC:$AC,AC300,$AD:$AD,AD300,$AE:$AE,AE300,$AF:$AF,AF300,$AG:$AG,AG300,$AH:$AH,AH300,$AI:$AI,AI300)&gt;1,"Duplicate","Unique")</f>
        <v>Unique</v>
      </c>
    </row>
    <row r="301" spans="1:46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  <c r="W301" t="s">
        <v>1535</v>
      </c>
      <c r="Z301" t="s">
        <v>1537</v>
      </c>
      <c r="AA301" t="str">
        <v>Rahul Verma</v>
      </c>
      <c r="AB301" t="str">
        <f>TRIM(PROPER(F:F))</f>
        <v>Small Business</v>
      </c>
      <c r="AC301" t="str">
        <f>TRIM(PROPER(G:G))</f>
        <v>West</v>
      </c>
      <c r="AD301" t="str">
        <f>TRIM(PROPER(H:H))</f>
        <v>Gujarat</v>
      </c>
      <c r="AE301" t="str">
        <f>TRIM(PROPER(I:I))</f>
        <v>Ahmedabad</v>
      </c>
      <c r="AF301" t="str">
        <f>TRIM(PROPER(J:J))</f>
        <v>Technology</v>
      </c>
      <c r="AG301" t="str">
        <f>TRIM(PROPER(K:K))</f>
        <v>Accessories</v>
      </c>
      <c r="AH301" t="str">
        <f>TRIM(PROPER(L:L))</f>
        <v>Max Accessories 145</v>
      </c>
      <c r="AI301" t="str">
        <f>TRIM(PROPER(M:M))</f>
        <v>Standard Class</v>
      </c>
      <c r="AJ301" s="5">
        <f>IF(OR(P301&lt;0,P301&gt;0.5),"invalid",P301)</f>
        <v>0.1</v>
      </c>
      <c r="AK301" s="6">
        <f>IFERROR(N301*O301*(1-AJ301), "NA")</f>
        <v>10830.015000000001</v>
      </c>
      <c r="AL301" s="6">
        <f>IFERROR(AK301-R301,"NA")</f>
        <v>3774.7050000000008</v>
      </c>
      <c r="AM301" s="5">
        <f t="shared" si="20"/>
        <v>0.34854106850267524</v>
      </c>
      <c r="AN301" t="str">
        <v>06-11-24</v>
      </c>
      <c r="AO301" t="str">
        <v>12-11-24</v>
      </c>
      <c r="AP301" t="str">
        <f t="shared" si="21"/>
        <v>November</v>
      </c>
      <c r="AQ301" t="str">
        <f t="shared" si="22"/>
        <v>2024</v>
      </c>
      <c r="AR301" t="str">
        <f t="shared" si="23"/>
        <v xml:space="preserve"> </v>
      </c>
      <c r="AS301">
        <f t="shared" si="24"/>
        <v>6</v>
      </c>
      <c r="AT301" t="str">
        <f>IF(COUNTIFS( $A:$A,A301,$B:$B,B301,$C:$C,C301,$D:$D,D301,$E:$E,E301,$F:$F,F301,$G:$G,G301,$H:$H,H301,$I:$I,I301,$J:$J,J301,$K:$K,K301,$L:$L,L301,$M:$M,M301,$T:$T,T301,$U:$U,U301,$W:$W,W301,$Z:$Z,Z301,$AA:$AA,AA301,$AB:$AB,AB301,$AC:$AC,AC301,$AD:$AD,AD301,$AE:$AE,AE301,$AF:$AF,AF301,$AG:$AG,AG301,$AH:$AH,AH301,$AI:$AI,AI301)&gt;1,"Duplicate","Unique")</f>
        <v>Unique</v>
      </c>
    </row>
    <row r="302" spans="1:46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  <c r="W302" t="s">
        <v>1539</v>
      </c>
      <c r="Z302" t="s">
        <v>1542</v>
      </c>
      <c r="AA302" t="str">
        <v>Diya Patel</v>
      </c>
      <c r="AB302" t="str">
        <f>TRIM(PROPER(F:F))</f>
        <v>Small Business</v>
      </c>
      <c r="AC302" t="str">
        <f>TRIM(PROPER(G:G))</f>
        <v>North</v>
      </c>
      <c r="AD302" t="str">
        <f>TRIM(PROPER(H:H))</f>
        <v>Punjab</v>
      </c>
      <c r="AE302" t="str">
        <f>TRIM(PROPER(I:I))</f>
        <v>Ludhiana</v>
      </c>
      <c r="AF302" t="str">
        <f>TRIM(PROPER(J:J))</f>
        <v>Technology</v>
      </c>
      <c r="AG302" t="str">
        <f>TRIM(PROPER(K:K))</f>
        <v>Accessories</v>
      </c>
      <c r="AH302" t="str">
        <f>TRIM(PROPER(L:L))</f>
        <v>Classic Accessories 126</v>
      </c>
      <c r="AI302" t="str">
        <f>TRIM(PROPER(M:M))</f>
        <v>Second Class</v>
      </c>
      <c r="AJ302" s="5">
        <f>IF(OR(P302&lt;0,P302&gt;0.5),"invalid",P302)</f>
        <v>0.1</v>
      </c>
      <c r="AK302" s="6">
        <f>IFERROR(N302*O302*(1-AJ302), "NA")</f>
        <v>31539.293999999998</v>
      </c>
      <c r="AL302" s="6">
        <f>IFERROR(AK302-R302,"NA")</f>
        <v>9439.1539999999986</v>
      </c>
      <c r="AM302" s="5">
        <f t="shared" si="20"/>
        <v>0.29928234918638313</v>
      </c>
      <c r="AN302" t="str">
        <v>15-04-24</v>
      </c>
      <c r="AO302" t="str">
        <v>invalid date</v>
      </c>
      <c r="AP302" t="str">
        <f t="shared" si="21"/>
        <v>April</v>
      </c>
      <c r="AQ302" t="str">
        <f t="shared" si="22"/>
        <v>2024</v>
      </c>
      <c r="AR302" t="str">
        <f t="shared" si="23"/>
        <v>Invalid</v>
      </c>
      <c r="AS302" t="str">
        <f t="shared" si="24"/>
        <v>invalid date</v>
      </c>
      <c r="AT302" t="str">
        <f>IF(COUNTIFS( $A:$A,A302,$B:$B,B302,$C:$C,C302,$D:$D,D302,$E:$E,E302,$F:$F,F302,$G:$G,G302,$H:$H,H302,$I:$I,I302,$J:$J,J302,$K:$K,K302,$L:$L,L302,$M:$M,M302,$T:$T,T302,$U:$U,U302,$W:$W,W302,$Z:$Z,Z302,$AA:$AA,AA302,$AB:$AB,AB302,$AC:$AC,AC302,$AD:$AD,AD302,$AE:$AE,AE302,$AF:$AF,AF302,$AG:$AG,AG302,$AH:$AH,AH302,$AI:$AI,AI302)&gt;1,"Duplicate","Unique")</f>
        <v>Unique</v>
      </c>
    </row>
    <row r="303" spans="1:46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  <c r="W303" t="s">
        <v>1544</v>
      </c>
      <c r="Z303" t="s">
        <v>1546</v>
      </c>
      <c r="AA303" t="str">
        <v>Isha Nair</v>
      </c>
      <c r="AB303" t="str">
        <f>TRIM(PROPER(F:F))</f>
        <v>Home Office</v>
      </c>
      <c r="AC303" t="str">
        <f>TRIM(PROPER(G:G))</f>
        <v>East</v>
      </c>
      <c r="AD303" t="str">
        <f>TRIM(PROPER(H:H))</f>
        <v>Bihar</v>
      </c>
      <c r="AE303" t="str">
        <f>TRIM(PROPER(I:I))</f>
        <v>Patna</v>
      </c>
      <c r="AF303" t="str">
        <f>TRIM(PROPER(J:J))</f>
        <v>Technology</v>
      </c>
      <c r="AG303" t="str">
        <f>TRIM(PROPER(K:K))</f>
        <v>Phones</v>
      </c>
      <c r="AH303" t="str">
        <f>TRIM(PROPER(L:L))</f>
        <v>Elite Phones 202</v>
      </c>
      <c r="AI303" t="str">
        <f>TRIM(PROPER(M:M))</f>
        <v>Same Day</v>
      </c>
      <c r="AJ303" s="5">
        <f>IF(OR(P303&lt;0,P303&gt;0.5),"invalid",P303)</f>
        <v>0.05</v>
      </c>
      <c r="AK303" s="6">
        <f>IFERROR(N303*O303*(1-AJ303), "NA")</f>
        <v>6285.6179999999995</v>
      </c>
      <c r="AL303" s="6">
        <f>IFERROR(AK303-R303,"NA")</f>
        <v>2580.2379999999994</v>
      </c>
      <c r="AM303" s="5">
        <f t="shared" si="20"/>
        <v>0.41049869718458865</v>
      </c>
      <c r="AN303" t="str">
        <v>28-05-25</v>
      </c>
      <c r="AO303" t="str">
        <v>01-06-25</v>
      </c>
      <c r="AP303" t="str">
        <f t="shared" si="21"/>
        <v>May</v>
      </c>
      <c r="AQ303" t="str">
        <f t="shared" si="22"/>
        <v>2025</v>
      </c>
      <c r="AR303" t="str">
        <f t="shared" si="23"/>
        <v>anomaly</v>
      </c>
      <c r="AS303">
        <f t="shared" si="24"/>
        <v>4</v>
      </c>
      <c r="AT303" t="str">
        <f>IF(COUNTIFS( $A:$A,A303,$B:$B,B303,$C:$C,C303,$D:$D,D303,$E:$E,E303,$F:$F,F303,$G:$G,G303,$H:$H,H303,$I:$I,I303,$J:$J,J303,$K:$K,K303,$L:$L,L303,$M:$M,M303,$T:$T,T303,$U:$U,U303,$W:$W,W303,$Z:$Z,Z303,$AA:$AA,AA303,$AB:$AB,AB303,$AC:$AC,AC303,$AD:$AD,AD303,$AE:$AE,AE303,$AF:$AF,AF303,$AG:$AG,AG303,$AH:$AH,AH303,$AI:$AI,AI303)&gt;1,"Duplicate","Unique")</f>
        <v>Unique</v>
      </c>
    </row>
    <row r="304" spans="1:46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  <c r="W304" t="s">
        <v>1548</v>
      </c>
      <c r="Z304" t="s">
        <v>1550</v>
      </c>
      <c r="AA304" t="str">
        <v>Neha Gupta</v>
      </c>
      <c r="AB304" t="str">
        <f>TRIM(PROPER(F:F))</f>
        <v>Consumer</v>
      </c>
      <c r="AC304" t="str">
        <f>TRIM(PROPER(G:G))</f>
        <v>West</v>
      </c>
      <c r="AD304" t="str">
        <f>TRIM(PROPER(H:H))</f>
        <v>Goa</v>
      </c>
      <c r="AE304" t="str">
        <f>TRIM(PROPER(I:I))</f>
        <v>Panaji</v>
      </c>
      <c r="AF304" t="str">
        <f>TRIM(PROPER(J:J))</f>
        <v>Office Supplies</v>
      </c>
      <c r="AG304" t="str">
        <f>TRIM(PROPER(K:K))</f>
        <v>Storage</v>
      </c>
      <c r="AH304" t="str">
        <f>TRIM(PROPER(L:L))</f>
        <v>Elite Storage 535</v>
      </c>
      <c r="AI304" t="str">
        <f>TRIM(PROPER(M:M))</f>
        <v>Same Day</v>
      </c>
      <c r="AJ304" s="5">
        <f>IF(OR(P304&lt;0,P304&gt;0.5),"invalid",P304)</f>
        <v>0.25</v>
      </c>
      <c r="AK304" s="6">
        <f>IFERROR(N304*O304*(1-AJ304), "NA")</f>
        <v>4054.92</v>
      </c>
      <c r="AL304" s="6">
        <f>IFERROR(AK304-R304,"NA")</f>
        <v>1630.0900000000001</v>
      </c>
      <c r="AM304" s="5">
        <f t="shared" si="20"/>
        <v>0.40200299882611745</v>
      </c>
      <c r="AN304" t="str">
        <v>04-06-25</v>
      </c>
      <c r="AO304" t="str">
        <v>12-06-25</v>
      </c>
      <c r="AP304" t="str">
        <f t="shared" si="21"/>
        <v>June</v>
      </c>
      <c r="AQ304" t="str">
        <f t="shared" si="22"/>
        <v>2025</v>
      </c>
      <c r="AR304" t="str">
        <f t="shared" si="23"/>
        <v xml:space="preserve"> </v>
      </c>
      <c r="AS304">
        <f t="shared" si="24"/>
        <v>8</v>
      </c>
      <c r="AT304" t="str">
        <f>IF(COUNTIFS( $A:$A,A304,$B:$B,B304,$C:$C,C304,$D:$D,D304,$E:$E,E304,$F:$F,F304,$G:$G,G304,$H:$H,H304,$I:$I,I304,$J:$J,J304,$K:$K,K304,$L:$L,L304,$M:$M,M304,$T:$T,T304,$U:$U,U304,$W:$W,W304,$Z:$Z,Z304,$AA:$AA,AA304,$AB:$AB,AB304,$AC:$AC,AC304,$AD:$AD,AD304,$AE:$AE,AE304,$AF:$AF,AF304,$AG:$AG,AG304,$AH:$AH,AH304,$AI:$AI,AI304)&gt;1,"Duplicate","Unique")</f>
        <v>Unique</v>
      </c>
    </row>
    <row r="305" spans="1:46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  <c r="W305" t="s">
        <v>1552</v>
      </c>
      <c r="Z305" t="s">
        <v>1554</v>
      </c>
      <c r="AA305" t="str">
        <v>Diya Patel</v>
      </c>
      <c r="AB305" t="str">
        <f>TRIM(PROPER(F:F))</f>
        <v>Home Office</v>
      </c>
      <c r="AC305" t="str">
        <f>TRIM(PROPER(G:G))</f>
        <v>West</v>
      </c>
      <c r="AD305" t="str">
        <f>TRIM(PROPER(H:H))</f>
        <v>Gujarat</v>
      </c>
      <c r="AE305" t="str">
        <f>TRIM(PROPER(I:I))</f>
        <v>Ahmedabad</v>
      </c>
      <c r="AF305" t="str">
        <f>TRIM(PROPER(J:J))</f>
        <v>Furniture</v>
      </c>
      <c r="AG305" t="str">
        <f>TRIM(PROPER(K:K))</f>
        <v>Chairs</v>
      </c>
      <c r="AH305" t="str">
        <f>TRIM(PROPER(L:L))</f>
        <v>Elite Chairs 107</v>
      </c>
      <c r="AI305" t="str">
        <f>TRIM(PROPER(M:M))</f>
        <v>Standard Class</v>
      </c>
      <c r="AJ305" s="5">
        <f>IF(OR(P305&lt;0,P305&gt;0.5),"invalid",P305)</f>
        <v>0.1</v>
      </c>
      <c r="AK305" s="6">
        <f>IFERROR(N305*O305*(1-AJ305), "NA")</f>
        <v>2363.652</v>
      </c>
      <c r="AL305" s="6">
        <f>IFERROR(AK305-R305,"NA")</f>
        <v>487.55200000000013</v>
      </c>
      <c r="AM305" s="5">
        <f t="shared" si="20"/>
        <v>0.20627063544041174</v>
      </c>
      <c r="AN305" t="str">
        <v>23-06-24</v>
      </c>
      <c r="AO305" t="str">
        <v>28-06-24</v>
      </c>
      <c r="AP305" t="str">
        <f t="shared" si="21"/>
        <v>June</v>
      </c>
      <c r="AQ305" t="str">
        <f t="shared" si="22"/>
        <v>2024</v>
      </c>
      <c r="AR305" t="str">
        <f t="shared" si="23"/>
        <v xml:space="preserve"> </v>
      </c>
      <c r="AS305">
        <f t="shared" si="24"/>
        <v>5</v>
      </c>
      <c r="AT305" t="str">
        <f>IF(COUNTIFS( $A:$A,A305,$B:$B,B305,$C:$C,C305,$D:$D,D305,$E:$E,E305,$F:$F,F305,$G:$G,G305,$H:$H,H305,$I:$I,I305,$J:$J,J305,$K:$K,K305,$L:$L,L305,$M:$M,M305,$T:$T,T305,$U:$U,U305,$W:$W,W305,$Z:$Z,Z305,$AA:$AA,AA305,$AB:$AB,AB305,$AC:$AC,AC305,$AD:$AD,AD305,$AE:$AE,AE305,$AF:$AF,AF305,$AG:$AG,AG305,$AH:$AH,AH305,$AI:$AI,AI305)&gt;1,"Duplicate","Unique")</f>
        <v>Unique</v>
      </c>
    </row>
    <row r="306" spans="1:46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  <c r="W306" t="s">
        <v>1556</v>
      </c>
      <c r="Z306" t="s">
        <v>1559</v>
      </c>
      <c r="AA306" t="str">
        <v>Karan Malhotra</v>
      </c>
      <c r="AB306" t="str">
        <f>TRIM(PROPER(F:F))</f>
        <v>Consumer</v>
      </c>
      <c r="AC306" t="str">
        <f>TRIM(PROPER(G:G))</f>
        <v>North</v>
      </c>
      <c r="AD306" t="str">
        <f>TRIM(PROPER(H:H))</f>
        <v>Punjab</v>
      </c>
      <c r="AE306" t="str">
        <f>TRIM(PROPER(I:I))</f>
        <v>Ludhiana</v>
      </c>
      <c r="AF306" t="str">
        <f>TRIM(PROPER(J:J))</f>
        <v>Furniture</v>
      </c>
      <c r="AG306" t="str">
        <f>TRIM(PROPER(K:K))</f>
        <v>Furnishings</v>
      </c>
      <c r="AH306" t="str">
        <f>TRIM(PROPER(L:L))</f>
        <v>Pro Furnishings 991</v>
      </c>
      <c r="AI306" t="str">
        <f>TRIM(PROPER(M:M))</f>
        <v>Standard Class</v>
      </c>
      <c r="AJ306" s="5">
        <f>IF(OR(P306&lt;0,P306&gt;0.5),"invalid",P306)</f>
        <v>0.1</v>
      </c>
      <c r="AK306" s="6">
        <f>IFERROR(N306*O306*(1-AJ306), "NA")</f>
        <v>12976.470000000001</v>
      </c>
      <c r="AL306" s="6">
        <f>IFERROR(AK306-R306,"NA")</f>
        <v>2956.4900000000016</v>
      </c>
      <c r="AM306" s="5">
        <f t="shared" si="20"/>
        <v>0.22783468847845378</v>
      </c>
      <c r="AN306" t="str">
        <v>03-06-24</v>
      </c>
      <c r="AO306" t="str">
        <v>13-03-24</v>
      </c>
      <c r="AP306" t="str">
        <f t="shared" si="21"/>
        <v>June</v>
      </c>
      <c r="AQ306" t="str">
        <f t="shared" si="22"/>
        <v>2024</v>
      </c>
      <c r="AR306" t="str">
        <f t="shared" si="23"/>
        <v xml:space="preserve"> </v>
      </c>
      <c r="AS306">
        <f t="shared" si="24"/>
        <v>-82</v>
      </c>
      <c r="AT306" t="str">
        <f>IF(COUNTIFS( $A:$A,A306,$B:$B,B306,$C:$C,C306,$D:$D,D306,$E:$E,E306,$F:$F,F306,$G:$G,G306,$H:$H,H306,$I:$I,I306,$J:$J,J306,$K:$K,K306,$L:$L,L306,$M:$M,M306,$T:$T,T306,$U:$U,U306,$W:$W,W306,$Z:$Z,Z306,$AA:$AA,AA306,$AB:$AB,AB306,$AC:$AC,AC306,$AD:$AD,AD306,$AE:$AE,AE306,$AF:$AF,AF306,$AG:$AG,AG306,$AH:$AH,AH306,$AI:$AI,AI306)&gt;1,"Duplicate","Unique")</f>
        <v>Unique</v>
      </c>
    </row>
    <row r="307" spans="1:46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  <c r="W307" t="s">
        <v>1561</v>
      </c>
      <c r="Z307" t="s">
        <v>1563</v>
      </c>
      <c r="AA307" t="str">
        <v>Ananya Rao</v>
      </c>
      <c r="AB307" t="str">
        <f>TRIM(PROPER(F:F))</f>
        <v>Consumer</v>
      </c>
      <c r="AC307" t="str">
        <f>TRIM(PROPER(G:G))</f>
        <v>East</v>
      </c>
      <c r="AD307" t="str">
        <f>TRIM(PROPER(H:H))</f>
        <v>Assam</v>
      </c>
      <c r="AE307" t="str">
        <f>TRIM(PROPER(I:I))</f>
        <v>Guwahati</v>
      </c>
      <c r="AF307" t="str">
        <f>TRIM(PROPER(J:J))</f>
        <v>Furniture</v>
      </c>
      <c r="AG307" t="str">
        <f>TRIM(PROPER(K:K))</f>
        <v>Chairs</v>
      </c>
      <c r="AH307" t="str">
        <f>TRIM(PROPER(L:L))</f>
        <v>Eco Chairs 105</v>
      </c>
      <c r="AI307" t="str">
        <f>TRIM(PROPER(M:M))</f>
        <v>First Class</v>
      </c>
      <c r="AJ307" s="5" t="str">
        <f>IF(OR(P307&lt;0,P307&gt;0.5),"invalid",P307)</f>
        <v>invalid</v>
      </c>
      <c r="AK307" s="6" t="str">
        <f>IFERROR(N307*O307*(1-AJ307), "NA")</f>
        <v>NA</v>
      </c>
      <c r="AL307" s="6" t="str">
        <f>IFERROR(AK307-R307,"NA")</f>
        <v>NA</v>
      </c>
      <c r="AM307" s="5" t="str">
        <f t="shared" si="20"/>
        <v>NA</v>
      </c>
      <c r="AN307" t="str">
        <v>01-05-24</v>
      </c>
      <c r="AO307" t="str">
        <v>05-02-24</v>
      </c>
      <c r="AP307" t="str">
        <f t="shared" si="21"/>
        <v>May</v>
      </c>
      <c r="AQ307" t="str">
        <f t="shared" si="22"/>
        <v>2024</v>
      </c>
      <c r="AR307" t="str">
        <f t="shared" si="23"/>
        <v xml:space="preserve"> </v>
      </c>
      <c r="AS307">
        <f t="shared" si="24"/>
        <v>-86</v>
      </c>
      <c r="AT307" t="str">
        <f>IF(COUNTIFS( $A:$A,A307,$B:$B,B307,$C:$C,C307,$D:$D,D307,$E:$E,E307,$F:$F,F307,$G:$G,G307,$H:$H,H307,$I:$I,I307,$J:$J,J307,$K:$K,K307,$L:$L,L307,$M:$M,M307,$T:$T,T307,$U:$U,U307,$W:$W,W307,$Z:$Z,Z307,$AA:$AA,AA307,$AB:$AB,AB307,$AC:$AC,AC307,$AD:$AD,AD307,$AE:$AE,AE307,$AF:$AF,AF307,$AG:$AG,AG307,$AH:$AH,AH307,$AI:$AI,AI307)&gt;1,"Duplicate","Unique")</f>
        <v>Unique</v>
      </c>
    </row>
    <row r="308" spans="1:46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  <c r="W308" t="s">
        <v>1565</v>
      </c>
      <c r="Z308" t="s">
        <v>1567</v>
      </c>
      <c r="AA308" t="str">
        <v>Aarav Sharma</v>
      </c>
      <c r="AB308" t="str">
        <f>TRIM(PROPER(F:F))</f>
        <v>Consumer</v>
      </c>
      <c r="AC308" t="str">
        <f>TRIM(PROPER(G:G))</f>
        <v>North</v>
      </c>
      <c r="AD308" t="str">
        <f>TRIM(PROPER(H:H))</f>
        <v>Rajasthan</v>
      </c>
      <c r="AE308" t="str">
        <f>TRIM(PROPER(I:I))</f>
        <v>Jaipur</v>
      </c>
      <c r="AF308" t="str">
        <f>TRIM(PROPER(J:J))</f>
        <v>Technology</v>
      </c>
      <c r="AG308" t="str">
        <f>TRIM(PROPER(K:K))</f>
        <v>Phones</v>
      </c>
      <c r="AH308" t="str">
        <f>TRIM(PROPER(L:L))</f>
        <v>Pro Phones 530</v>
      </c>
      <c r="AI308" t="str">
        <f>TRIM(PROPER(M:M))</f>
        <v>Second Class</v>
      </c>
      <c r="AJ308" s="5">
        <f>IF(OR(P308&lt;0,P308&gt;0.5),"invalid",P308)</f>
        <v>0</v>
      </c>
      <c r="AK308" s="6">
        <f>IFERROR(N308*O308*(1-AJ308), "NA")</f>
        <v>14692.44</v>
      </c>
      <c r="AL308" s="6">
        <f>IFERROR(AK308-R308,"NA")</f>
        <v>4610.25</v>
      </c>
      <c r="AM308" s="5">
        <f t="shared" si="20"/>
        <v>0.31378382351740075</v>
      </c>
      <c r="AN308" t="str">
        <v>20-02-25</v>
      </c>
      <c r="AO308" t="str">
        <v>23-02-25</v>
      </c>
      <c r="AP308" t="str">
        <f t="shared" si="21"/>
        <v>February</v>
      </c>
      <c r="AQ308" t="str">
        <f t="shared" si="22"/>
        <v>2025</v>
      </c>
      <c r="AR308" t="str">
        <f t="shared" si="23"/>
        <v xml:space="preserve"> </v>
      </c>
      <c r="AS308">
        <f t="shared" si="24"/>
        <v>3</v>
      </c>
      <c r="AT308" t="str">
        <f>IF(COUNTIFS( $A:$A,A308,$B:$B,B308,$C:$C,C308,$D:$D,D308,$E:$E,E308,$F:$F,F308,$G:$G,G308,$H:$H,H308,$I:$I,I308,$J:$J,J308,$K:$K,K308,$L:$L,L308,$M:$M,M308,$T:$T,T308,$U:$U,U308,$W:$W,W308,$Z:$Z,Z308,$AA:$AA,AA308,$AB:$AB,AB308,$AC:$AC,AC308,$AD:$AD,AD308,$AE:$AE,AE308,$AF:$AF,AF308,$AG:$AG,AG308,$AH:$AH,AH308,$AI:$AI,AI308)&gt;1,"Duplicate","Unique")</f>
        <v>Unique</v>
      </c>
    </row>
    <row r="309" spans="1:46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  <c r="W309" t="s">
        <v>1569</v>
      </c>
      <c r="Z309" t="s">
        <v>1572</v>
      </c>
      <c r="AA309" t="str">
        <v>Ananya Rao</v>
      </c>
      <c r="AB309" t="str">
        <f>TRIM(PROPER(F:F))</f>
        <v>Corporate</v>
      </c>
      <c r="AC309" t="str">
        <f>TRIM(PROPER(G:G))</f>
        <v>North</v>
      </c>
      <c r="AD309" t="str">
        <f>TRIM(PROPER(H:H))</f>
        <v>Uttar Pradesh</v>
      </c>
      <c r="AE309" t="str">
        <f>TRIM(PROPER(I:I))</f>
        <v>Noida</v>
      </c>
      <c r="AF309" t="str">
        <f>TRIM(PROPER(J:J))</f>
        <v>Furniture</v>
      </c>
      <c r="AG309" t="str">
        <f>TRIM(PROPER(K:K))</f>
        <v>Tables</v>
      </c>
      <c r="AH309" t="str">
        <f>TRIM(PROPER(L:L))</f>
        <v>Basic Tables 911</v>
      </c>
      <c r="AI309" t="str">
        <f>TRIM(PROPER(M:M))</f>
        <v>First Class</v>
      </c>
      <c r="AJ309" s="5">
        <f>IF(OR(P309&lt;0,P309&gt;0.5),"invalid",P309)</f>
        <v>0.2</v>
      </c>
      <c r="AK309" s="6">
        <f>IFERROR(N309*O309*(1-AJ309), "NA")</f>
        <v>29469.888000000003</v>
      </c>
      <c r="AL309" s="6">
        <f>IFERROR(AK309-R309,"NA")</f>
        <v>10534.378000000004</v>
      </c>
      <c r="AM309" s="5">
        <f t="shared" si="20"/>
        <v>0.3574624375905332</v>
      </c>
      <c r="AN309" t="str">
        <v>12-07-25</v>
      </c>
      <c r="AO309" t="str">
        <v>19-07-25</v>
      </c>
      <c r="AP309" t="str">
        <f t="shared" si="21"/>
        <v>July</v>
      </c>
      <c r="AQ309" t="str">
        <f t="shared" si="22"/>
        <v>2025</v>
      </c>
      <c r="AR309" t="str">
        <f t="shared" si="23"/>
        <v xml:space="preserve"> </v>
      </c>
      <c r="AS309">
        <f t="shared" si="24"/>
        <v>7</v>
      </c>
      <c r="AT309" t="str">
        <f>IF(COUNTIFS( $A:$A,A309,$B:$B,B309,$C:$C,C309,$D:$D,D309,$E:$E,E309,$F:$F,F309,$G:$G,G309,$H:$H,H309,$I:$I,I309,$J:$J,J309,$K:$K,K309,$L:$L,L309,$M:$M,M309,$T:$T,T309,$U:$U,U309,$W:$W,W309,$Z:$Z,Z309,$AA:$AA,AA309,$AB:$AB,AB309,$AC:$AC,AC309,$AD:$AD,AD309,$AE:$AE,AE309,$AF:$AF,AF309,$AG:$AG,AG309,$AH:$AH,AH309,$AI:$AI,AI309)&gt;1,"Duplicate","Unique")</f>
        <v>Unique</v>
      </c>
    </row>
    <row r="310" spans="1:46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  <c r="W310" t="s">
        <v>1575</v>
      </c>
      <c r="Z310" t="s">
        <v>1578</v>
      </c>
      <c r="AA310" t="str">
        <v>Rohan Mehta</v>
      </c>
      <c r="AB310" t="str">
        <f>TRIM(PROPER(F:F))</f>
        <v>Consumer</v>
      </c>
      <c r="AC310" t="str">
        <f>TRIM(PROPER(G:G))</f>
        <v>North</v>
      </c>
      <c r="AD310" t="str">
        <f>TRIM(PROPER(H:H))</f>
        <v>Rajasthan</v>
      </c>
      <c r="AE310" t="str">
        <f>TRIM(PROPER(I:I))</f>
        <v>Jaipur</v>
      </c>
      <c r="AF310" t="str">
        <f>TRIM(PROPER(J:J))</f>
        <v>Furniture</v>
      </c>
      <c r="AG310" t="str">
        <f>TRIM(PROPER(K:K))</f>
        <v>Tables</v>
      </c>
      <c r="AH310" t="str">
        <f>TRIM(PROPER(L:L))</f>
        <v>Classic Tables 224</v>
      </c>
      <c r="AI310" t="str">
        <f>TRIM(PROPER(M:M))</f>
        <v>First Class</v>
      </c>
      <c r="AJ310" s="5">
        <f>IF(OR(P310&lt;0,P310&gt;0.5),"invalid",P310)</f>
        <v>0.2</v>
      </c>
      <c r="AK310" s="6">
        <f>IFERROR(N310*O310*(1-AJ310), "NA")</f>
        <v>2341.0240000000003</v>
      </c>
      <c r="AL310" s="6">
        <f>IFERROR(AK310-R310,"NA")</f>
        <v>775.53400000000033</v>
      </c>
      <c r="AM310" s="5">
        <f t="shared" si="20"/>
        <v>0.33127981601213835</v>
      </c>
      <c r="AN310" t="str">
        <v>13-06-25</v>
      </c>
      <c r="AO310" t="str">
        <v>19-06-25</v>
      </c>
      <c r="AP310" t="str">
        <f t="shared" si="21"/>
        <v>June</v>
      </c>
      <c r="AQ310" t="str">
        <f t="shared" si="22"/>
        <v>2025</v>
      </c>
      <c r="AR310" t="str">
        <f t="shared" si="23"/>
        <v xml:space="preserve"> </v>
      </c>
      <c r="AS310">
        <f t="shared" si="24"/>
        <v>6</v>
      </c>
      <c r="AT310" t="str">
        <f>IF(COUNTIFS( $A:$A,A310,$B:$B,B310,$C:$C,C310,$D:$D,D310,$E:$E,E310,$F:$F,F310,$G:$G,G310,$H:$H,H310,$I:$I,I310,$J:$J,J310,$K:$K,K310,$L:$L,L310,$M:$M,M310,$T:$T,T310,$U:$U,U310,$W:$W,W310,$Z:$Z,Z310,$AA:$AA,AA310,$AB:$AB,AB310,$AC:$AC,AC310,$AD:$AD,AD310,$AE:$AE,AE310,$AF:$AF,AF310,$AG:$AG,AG310,$AH:$AH,AH310,$AI:$AI,AI310)&gt;1,"Duplicate","Unique")</f>
        <v>Unique</v>
      </c>
    </row>
    <row r="311" spans="1:46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  <c r="W311" t="s">
        <v>1580</v>
      </c>
      <c r="Z311" t="s">
        <v>1582</v>
      </c>
      <c r="AA311" t="str">
        <v>Ananya Rao</v>
      </c>
      <c r="AB311" t="str">
        <f>TRIM(PROPER(F:F))</f>
        <v>Consumer</v>
      </c>
      <c r="AC311" t="str">
        <f>TRIM(PROPER(G:G))</f>
        <v>South</v>
      </c>
      <c r="AD311" t="str">
        <f>TRIM(PROPER(H:H))</f>
        <v>Tamil Nadu</v>
      </c>
      <c r="AE311" t="str">
        <f>TRIM(PROPER(I:I))</f>
        <v>Chennai</v>
      </c>
      <c r="AF311" t="str">
        <f>TRIM(PROPER(J:J))</f>
        <v>Furniture</v>
      </c>
      <c r="AG311" t="str">
        <f>TRIM(PROPER(K:K))</f>
        <v>Tables</v>
      </c>
      <c r="AH311" t="str">
        <f>TRIM(PROPER(L:L))</f>
        <v>Prime Tables 214</v>
      </c>
      <c r="AI311" t="str">
        <f>TRIM(PROPER(M:M))</f>
        <v>First Class</v>
      </c>
      <c r="AJ311" s="5">
        <f>IF(OR(P311&lt;0,P311&gt;0.5),"invalid",P311)</f>
        <v>0.1</v>
      </c>
      <c r="AK311" s="6">
        <f>IFERROR(N311*O311*(1-AJ311), "NA")</f>
        <v>12982.599</v>
      </c>
      <c r="AL311" s="6">
        <f>IFERROR(AK311-R311,"NA")</f>
        <v>5736.2390000000005</v>
      </c>
      <c r="AM311" s="5">
        <f t="shared" si="20"/>
        <v>0.441840574448922</v>
      </c>
      <c r="AN311" t="str">
        <v>invalid date</v>
      </c>
      <c r="AO311" t="str">
        <v>22-07-24</v>
      </c>
      <c r="AP311" t="str">
        <f t="shared" si="21"/>
        <v>invalid date</v>
      </c>
      <c r="AQ311" t="str">
        <f t="shared" si="22"/>
        <v>invalid date</v>
      </c>
      <c r="AR311" t="str">
        <f t="shared" si="23"/>
        <v>Invalid</v>
      </c>
      <c r="AS311" t="str">
        <f t="shared" si="24"/>
        <v>invalid date</v>
      </c>
      <c r="AT311" t="str">
        <f>IF(COUNTIFS( $A:$A,A311,$B:$B,B311,$C:$C,C311,$D:$D,D311,$E:$E,E311,$F:$F,F311,$G:$G,G311,$H:$H,H311,$I:$I,I311,$J:$J,J311,$K:$K,K311,$L:$L,L311,$M:$M,M311,$T:$T,T311,$U:$U,U311,$W:$W,W311,$Z:$Z,Z311,$AA:$AA,AA311,$AB:$AB,AB311,$AC:$AC,AC311,$AD:$AD,AD311,$AE:$AE,AE311,$AF:$AF,AF311,$AG:$AG,AG311,$AH:$AH,AH311,$AI:$AI,AI311)&gt;1,"Duplicate","Unique")</f>
        <v>Unique</v>
      </c>
    </row>
    <row r="312" spans="1:46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  <c r="W312" t="s">
        <v>1584</v>
      </c>
      <c r="Z312" t="s">
        <v>1587</v>
      </c>
      <c r="AA312" t="str">
        <v>Rohan Mehta</v>
      </c>
      <c r="AB312" t="str">
        <f>TRIM(PROPER(F:F))</f>
        <v>Small Business</v>
      </c>
      <c r="AC312" t="str">
        <f>TRIM(PROPER(G:G))</f>
        <v>South</v>
      </c>
      <c r="AD312" t="str">
        <f>TRIM(PROPER(H:H))</f>
        <v>Tamil Nadu</v>
      </c>
      <c r="AE312" t="str">
        <f>TRIM(PROPER(I:I))</f>
        <v>Chennai</v>
      </c>
      <c r="AF312" t="str">
        <f>TRIM(PROPER(J:J))</f>
        <v>Technology</v>
      </c>
      <c r="AG312" t="str">
        <f>TRIM(PROPER(K:K))</f>
        <v>Machines</v>
      </c>
      <c r="AH312" t="str">
        <f>TRIM(PROPER(L:L))</f>
        <v>Max Machines 988</v>
      </c>
      <c r="AI312" t="str">
        <f>TRIM(PROPER(M:M))</f>
        <v>First Class</v>
      </c>
      <c r="AJ312" s="5">
        <f>IF(OR(P312&lt;0,P312&gt;0.5),"invalid",P312)</f>
        <v>0</v>
      </c>
      <c r="AK312" s="6">
        <f>IFERROR(N312*O312*(1-AJ312), "NA")</f>
        <v>16274</v>
      </c>
      <c r="AL312" s="6">
        <f>IFERROR(AK312-R312,"NA")</f>
        <v>6849.75</v>
      </c>
      <c r="AM312" s="5">
        <f t="shared" si="20"/>
        <v>0.42090143787636719</v>
      </c>
      <c r="AN312" t="str">
        <v>04-07-24</v>
      </c>
      <c r="AO312" t="str">
        <v>08-07-24</v>
      </c>
      <c r="AP312" t="str">
        <f t="shared" si="21"/>
        <v>July</v>
      </c>
      <c r="AQ312" t="str">
        <f t="shared" si="22"/>
        <v>2024</v>
      </c>
      <c r="AR312" t="str">
        <f t="shared" si="23"/>
        <v xml:space="preserve"> </v>
      </c>
      <c r="AS312">
        <f t="shared" si="24"/>
        <v>4</v>
      </c>
      <c r="AT312" t="str">
        <f>IF(COUNTIFS( $A:$A,A312,$B:$B,B312,$C:$C,C312,$D:$D,D312,$E:$E,E312,$F:$F,F312,$G:$G,G312,$H:$H,H312,$I:$I,I312,$J:$J,J312,$K:$K,K312,$L:$L,L312,$M:$M,M312,$T:$T,T312,$U:$U,U312,$W:$W,W312,$Z:$Z,Z312,$AA:$AA,AA312,$AB:$AB,AB312,$AC:$AC,AC312,$AD:$AD,AD312,$AE:$AE,AE312,$AF:$AF,AF312,$AG:$AG,AG312,$AH:$AH,AH312,$AI:$AI,AI312)&gt;1,"Duplicate","Unique")</f>
        <v>Unique</v>
      </c>
    </row>
    <row r="313" spans="1:46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  <c r="W313" t="s">
        <v>1589</v>
      </c>
      <c r="Z313" t="s">
        <v>1591</v>
      </c>
      <c r="AA313" t="str">
        <v>Mira Das</v>
      </c>
      <c r="AB313" t="str">
        <f>TRIM(PROPER(F:F))</f>
        <v>Corporate</v>
      </c>
      <c r="AC313" t="str">
        <f>TRIM(PROPER(G:G))</f>
        <v>South</v>
      </c>
      <c r="AD313" t="str">
        <f>TRIM(PROPER(H:H))</f>
        <v>Karnataka</v>
      </c>
      <c r="AE313" t="str">
        <f>TRIM(PROPER(I:I))</f>
        <v>Bengaluru</v>
      </c>
      <c r="AF313" t="str">
        <f>TRIM(PROPER(J:J))</f>
        <v>Office Supplies</v>
      </c>
      <c r="AG313" t="str">
        <f>TRIM(PROPER(K:K))</f>
        <v>Binders</v>
      </c>
      <c r="AH313" t="str">
        <f>TRIM(PROPER(L:L))</f>
        <v>Max Binders 425</v>
      </c>
      <c r="AI313" t="str">
        <f>TRIM(PROPER(M:M))</f>
        <v>Second Class</v>
      </c>
      <c r="AJ313" s="5">
        <f>IF(OR(P313&lt;0,P313&gt;0.5),"invalid",P313)</f>
        <v>0.1</v>
      </c>
      <c r="AK313" s="6">
        <f>IFERROR(N313*O313*(1-AJ313), "NA")</f>
        <v>2493.1799999999998</v>
      </c>
      <c r="AL313" s="6">
        <f>IFERROR(AK313-R313,"NA")</f>
        <v>729.17999999999984</v>
      </c>
      <c r="AM313" s="5">
        <f t="shared" si="20"/>
        <v>0.29246985777200196</v>
      </c>
      <c r="AN313" t="str">
        <v>27-04-24</v>
      </c>
      <c r="AO313" t="str">
        <v>02-05-24</v>
      </c>
      <c r="AP313" t="str">
        <f t="shared" si="21"/>
        <v>April</v>
      </c>
      <c r="AQ313" t="str">
        <f t="shared" si="22"/>
        <v>2024</v>
      </c>
      <c r="AR313" t="str">
        <f t="shared" si="23"/>
        <v>anomaly</v>
      </c>
      <c r="AS313">
        <f t="shared" si="24"/>
        <v>5</v>
      </c>
      <c r="AT313" t="str">
        <f>IF(COUNTIFS( $A:$A,A313,$B:$B,B313,$C:$C,C313,$D:$D,D313,$E:$E,E313,$F:$F,F313,$G:$G,G313,$H:$H,H313,$I:$I,I313,$J:$J,J313,$K:$K,K313,$L:$L,L313,$M:$M,M313,$T:$T,T313,$U:$U,U313,$W:$W,W313,$Z:$Z,Z313,$AA:$AA,AA313,$AB:$AB,AB313,$AC:$AC,AC313,$AD:$AD,AD313,$AE:$AE,AE313,$AF:$AF,AF313,$AG:$AG,AG313,$AH:$AH,AH313,$AI:$AI,AI313)&gt;1,"Duplicate","Unique")</f>
        <v>Unique</v>
      </c>
    </row>
    <row r="314" spans="1:46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  <c r="W314" t="s">
        <v>1593</v>
      </c>
      <c r="Z314" t="s">
        <v>1595</v>
      </c>
      <c r="AA314" t="str">
        <v>Karan Malhotra</v>
      </c>
      <c r="AB314" t="str">
        <f>TRIM(PROPER(F:F))</f>
        <v>Small Business</v>
      </c>
      <c r="AC314" t="str">
        <f>TRIM(PROPER(G:G))</f>
        <v>East</v>
      </c>
      <c r="AD314" t="str">
        <f>TRIM(PROPER(H:H))</f>
        <v>Assam</v>
      </c>
      <c r="AE314" t="str">
        <f>TRIM(PROPER(I:I))</f>
        <v>Guwahati</v>
      </c>
      <c r="AF314" t="str">
        <f>TRIM(PROPER(J:J))</f>
        <v>Technology</v>
      </c>
      <c r="AG314" t="str">
        <f>TRIM(PROPER(K:K))</f>
        <v>Phones</v>
      </c>
      <c r="AH314" t="str">
        <f>TRIM(PROPER(L:L))</f>
        <v>Elite Phones 679</v>
      </c>
      <c r="AI314" t="str">
        <f>TRIM(PROPER(M:M))</f>
        <v>Standard Class</v>
      </c>
      <c r="AJ314" s="5">
        <f>IF(OR(P314&lt;0,P314&gt;0.5),"invalid",P314)</f>
        <v>0</v>
      </c>
      <c r="AK314" s="6">
        <f>IFERROR(N314*O314*(1-AJ314), "NA")</f>
        <v>20917.919999999998</v>
      </c>
      <c r="AL314" s="6">
        <f>IFERROR(AK314-R314,"NA")</f>
        <v>10870.589999999998</v>
      </c>
      <c r="AM314" s="5">
        <f t="shared" si="20"/>
        <v>0.5196783427797792</v>
      </c>
      <c r="AN314" t="str">
        <v>invalid date</v>
      </c>
      <c r="AO314" t="str">
        <v>04-08-24</v>
      </c>
      <c r="AP314" t="str">
        <f t="shared" si="21"/>
        <v>invalid date</v>
      </c>
      <c r="AQ314" t="str">
        <f t="shared" si="22"/>
        <v>invalid date</v>
      </c>
      <c r="AR314" t="str">
        <f t="shared" si="23"/>
        <v>Invalid</v>
      </c>
      <c r="AS314" t="str">
        <f t="shared" si="24"/>
        <v>invalid date</v>
      </c>
      <c r="AT314" t="str">
        <f>IF(COUNTIFS( $A:$A,A314,$B:$B,B314,$C:$C,C314,$D:$D,D314,$E:$E,E314,$F:$F,F314,$G:$G,G314,$H:$H,H314,$I:$I,I314,$J:$J,J314,$K:$K,K314,$L:$L,L314,$M:$M,M314,$T:$T,T314,$U:$U,U314,$W:$W,W314,$Z:$Z,Z314,$AA:$AA,AA314,$AB:$AB,AB314,$AC:$AC,AC314,$AD:$AD,AD314,$AE:$AE,AE314,$AF:$AF,AF314,$AG:$AG,AG314,$AH:$AH,AH314,$AI:$AI,AI314)&gt;1,"Duplicate","Unique")</f>
        <v>Unique</v>
      </c>
    </row>
    <row r="315" spans="1:46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  <c r="W315" t="s">
        <v>1597</v>
      </c>
      <c r="Z315" t="s">
        <v>1600</v>
      </c>
      <c r="AA315" t="str">
        <v>Rahul Verma</v>
      </c>
      <c r="AB315" t="str">
        <f>TRIM(PROPER(F:F))</f>
        <v>Corporate</v>
      </c>
      <c r="AC315" t="str">
        <f>TRIM(PROPER(G:G))</f>
        <v>North</v>
      </c>
      <c r="AD315" t="str">
        <f>TRIM(PROPER(H:H))</f>
        <v>Uttar Pradesh</v>
      </c>
      <c r="AE315" t="str">
        <f>TRIM(PROPER(I:I))</f>
        <v>Noida</v>
      </c>
      <c r="AF315" t="str">
        <f>TRIM(PROPER(J:J))</f>
        <v>Technology</v>
      </c>
      <c r="AG315" t="str">
        <f>TRIM(PROPER(K:K))</f>
        <v>Phones</v>
      </c>
      <c r="AH315" t="str">
        <f>TRIM(PROPER(L:L))</f>
        <v>Pro Phones 764</v>
      </c>
      <c r="AI315" t="str">
        <f>TRIM(PROPER(M:M))</f>
        <v>First Class</v>
      </c>
      <c r="AJ315" s="5">
        <f>IF(OR(P315&lt;0,P315&gt;0.5),"invalid",P315)</f>
        <v>0.25</v>
      </c>
      <c r="AK315" s="6">
        <f>IFERROR(N315*O315*(1-AJ315), "NA")</f>
        <v>12488.579999999998</v>
      </c>
      <c r="AL315" s="6">
        <f>IFERROR(AK315-R315,"NA")</f>
        <v>1771.1799999999985</v>
      </c>
      <c r="AM315" s="5">
        <f t="shared" si="20"/>
        <v>0.14182397037933847</v>
      </c>
      <c r="AN315" t="str">
        <v>30-05-25</v>
      </c>
      <c r="AO315" t="str">
        <v>31-05-25</v>
      </c>
      <c r="AP315" t="str">
        <f t="shared" si="21"/>
        <v>May</v>
      </c>
      <c r="AQ315" t="str">
        <f t="shared" si="22"/>
        <v>2025</v>
      </c>
      <c r="AR315" t="str">
        <f t="shared" si="23"/>
        <v xml:space="preserve"> </v>
      </c>
      <c r="AS315">
        <f t="shared" si="24"/>
        <v>1</v>
      </c>
      <c r="AT315" t="str">
        <f>IF(COUNTIFS( $A:$A,A315,$B:$B,B315,$C:$C,C315,$D:$D,D315,$E:$E,E315,$F:$F,F315,$G:$G,G315,$H:$H,H315,$I:$I,I315,$J:$J,J315,$K:$K,K315,$L:$L,L315,$M:$M,M315,$T:$T,T315,$U:$U,U315,$W:$W,W315,$Z:$Z,Z315,$AA:$AA,AA315,$AB:$AB,AB315,$AC:$AC,AC315,$AD:$AD,AD315,$AE:$AE,AE315,$AF:$AF,AF315,$AG:$AG,AG315,$AH:$AH,AH315,$AI:$AI,AI315)&gt;1,"Duplicate","Unique")</f>
        <v>Unique</v>
      </c>
    </row>
    <row r="316" spans="1:46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  <c r="W316" t="s">
        <v>1602</v>
      </c>
      <c r="Z316" t="s">
        <v>1603</v>
      </c>
      <c r="AA316" t="str">
        <v>Isha Nair</v>
      </c>
      <c r="AB316" t="str">
        <f>TRIM(PROPER(F:F))</f>
        <v>Corporate</v>
      </c>
      <c r="AC316" t="str">
        <f>TRIM(PROPER(G:G))</f>
        <v>West</v>
      </c>
      <c r="AD316" t="str">
        <f>TRIM(PROPER(H:H))</f>
        <v>Madhya Pradesh</v>
      </c>
      <c r="AE316" t="str">
        <f>TRIM(PROPER(I:I))</f>
        <v>Indore</v>
      </c>
      <c r="AF316" t="str">
        <f>TRIM(PROPER(J:J))</f>
        <v>Office Supplies</v>
      </c>
      <c r="AG316" t="str">
        <f>TRIM(PROPER(K:K))</f>
        <v>Labels</v>
      </c>
      <c r="AH316" t="str">
        <f>TRIM(PROPER(L:L))</f>
        <v>Elite Labels 544</v>
      </c>
      <c r="AI316" t="str">
        <f>TRIM(PROPER(M:M))</f>
        <v>Standard Class</v>
      </c>
      <c r="AJ316" s="5">
        <f>IF(OR(P316&lt;0,P316&gt;0.5),"invalid",P316)</f>
        <v>0.15</v>
      </c>
      <c r="AK316" s="6">
        <f>IFERROR(N316*O316*(1-AJ316), "NA")</f>
        <v>6485.3639999999996</v>
      </c>
      <c r="AL316" s="6">
        <f>IFERROR(AK316-R316,"NA")</f>
        <v>1109.1939999999995</v>
      </c>
      <c r="AM316" s="5">
        <f t="shared" si="20"/>
        <v>0.17103033846673826</v>
      </c>
      <c r="AN316" t="str">
        <v>invalid date</v>
      </c>
      <c r="AO316" t="str">
        <v>20-05-25</v>
      </c>
      <c r="AP316" t="str">
        <f t="shared" si="21"/>
        <v>invalid date</v>
      </c>
      <c r="AQ316" t="str">
        <f t="shared" si="22"/>
        <v>invalid date</v>
      </c>
      <c r="AR316" t="str">
        <f t="shared" si="23"/>
        <v>Invalid</v>
      </c>
      <c r="AS316" t="str">
        <f t="shared" si="24"/>
        <v>invalid date</v>
      </c>
      <c r="AT316" t="str">
        <f>IF(COUNTIFS( $A:$A,A316,$B:$B,B316,$C:$C,C316,$D:$D,D316,$E:$E,E316,$F:$F,F316,$G:$G,G316,$H:$H,H316,$I:$I,I316,$J:$J,J316,$K:$K,K316,$L:$L,L316,$M:$M,M316,$T:$T,T316,$U:$U,U316,$W:$W,W316,$Z:$Z,Z316,$AA:$AA,AA316,$AB:$AB,AB316,$AC:$AC,AC316,$AD:$AD,AD316,$AE:$AE,AE316,$AF:$AF,AF316,$AG:$AG,AG316,$AH:$AH,AH316,$AI:$AI,AI316)&gt;1,"Duplicate","Unique")</f>
        <v>Unique</v>
      </c>
    </row>
    <row r="317" spans="1:46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  <c r="W317" t="s">
        <v>1605</v>
      </c>
      <c r="Z317" t="s">
        <v>1608</v>
      </c>
      <c r="AA317" t="str">
        <v>Rohan Mehta</v>
      </c>
      <c r="AB317" t="str">
        <f>TRIM(PROPER(F:F))</f>
        <v>Consumer</v>
      </c>
      <c r="AC317" t="str">
        <f>TRIM(PROPER(G:G))</f>
        <v>North</v>
      </c>
      <c r="AD317" t="str">
        <f>TRIM(PROPER(H:H))</f>
        <v>Delhi</v>
      </c>
      <c r="AE317" t="str">
        <f>TRIM(PROPER(I:I))</f>
        <v>New Delhi</v>
      </c>
      <c r="AF317" t="str">
        <f>TRIM(PROPER(J:J))</f>
        <v>Office Supplies</v>
      </c>
      <c r="AG317" t="str">
        <f>TRIM(PROPER(K:K))</f>
        <v>Paper</v>
      </c>
      <c r="AH317" t="str">
        <f>TRIM(PROPER(L:L))</f>
        <v>Smart Paper 817</v>
      </c>
      <c r="AI317" t="str">
        <f>TRIM(PROPER(M:M))</f>
        <v>Standard Class</v>
      </c>
      <c r="AJ317" s="5">
        <f>IF(OR(P317&lt;0,P317&gt;0.5),"invalid",P317)</f>
        <v>0.05</v>
      </c>
      <c r="AK317" s="6">
        <f>IFERROR(N317*O317*(1-AJ317), "NA")</f>
        <v>29500.920000000002</v>
      </c>
      <c r="AL317" s="6">
        <f>IFERROR(AK317-R317,"NA")</f>
        <v>11511.240000000002</v>
      </c>
      <c r="AM317" s="5">
        <f t="shared" si="20"/>
        <v>0.39019935649464493</v>
      </c>
      <c r="AN317" t="str">
        <v>02-07-24</v>
      </c>
      <c r="AO317" t="str">
        <v>08-07-24</v>
      </c>
      <c r="AP317" t="str">
        <f t="shared" si="21"/>
        <v>July</v>
      </c>
      <c r="AQ317" t="str">
        <f t="shared" si="22"/>
        <v>2024</v>
      </c>
      <c r="AR317" t="str">
        <f t="shared" si="23"/>
        <v xml:space="preserve"> </v>
      </c>
      <c r="AS317">
        <f t="shared" si="24"/>
        <v>6</v>
      </c>
      <c r="AT317" t="str">
        <f>IF(COUNTIFS( $A:$A,A317,$B:$B,B317,$C:$C,C317,$D:$D,D317,$E:$E,E317,$F:$F,F317,$G:$G,G317,$H:$H,H317,$I:$I,I317,$J:$J,J317,$K:$K,K317,$L:$L,L317,$M:$M,M317,$T:$T,T317,$U:$U,U317,$W:$W,W317,$Z:$Z,Z317,$AA:$AA,AA317,$AB:$AB,AB317,$AC:$AC,AC317,$AD:$AD,AD317,$AE:$AE,AE317,$AF:$AF,AF317,$AG:$AG,AG317,$AH:$AH,AH317,$AI:$AI,AI317)&gt;1,"Duplicate","Unique")</f>
        <v>Unique</v>
      </c>
    </row>
    <row r="318" spans="1:46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  <c r="W318" t="s">
        <v>1610</v>
      </c>
      <c r="Z318" t="s">
        <v>1613</v>
      </c>
      <c r="AA318" t="str">
        <v>Karan Malhotra</v>
      </c>
      <c r="AB318" t="str">
        <f>TRIM(PROPER(F:F))</f>
        <v>Corporate</v>
      </c>
      <c r="AC318" t="str">
        <f>TRIM(PROPER(G:G))</f>
        <v>North</v>
      </c>
      <c r="AD318" t="str">
        <f>TRIM(PROPER(H:H))</f>
        <v>Punjab</v>
      </c>
      <c r="AE318" t="str">
        <f>TRIM(PROPER(I:I))</f>
        <v>Ludhiana</v>
      </c>
      <c r="AF318" t="str">
        <f>TRIM(PROPER(J:J))</f>
        <v>Office Supplies</v>
      </c>
      <c r="AG318" t="str">
        <f>TRIM(PROPER(K:K))</f>
        <v>Labels</v>
      </c>
      <c r="AH318" t="str">
        <f>TRIM(PROPER(L:L))</f>
        <v>Classic Labels 466</v>
      </c>
      <c r="AI318" t="str">
        <f>TRIM(PROPER(M:M))</f>
        <v>Standard Class</v>
      </c>
      <c r="AJ318" s="5">
        <f>IF(OR(P318&lt;0,P318&gt;0.5),"invalid",P318)</f>
        <v>0.2</v>
      </c>
      <c r="AK318" s="6">
        <f>IFERROR(N318*O318*(1-AJ318), "NA")</f>
        <v>3116.0480000000002</v>
      </c>
      <c r="AL318" s="6">
        <f>IFERROR(AK318-R318,"NA")</f>
        <v>1159.4180000000001</v>
      </c>
      <c r="AM318" s="5">
        <f t="shared" si="20"/>
        <v>0.37207963420332424</v>
      </c>
      <c r="AN318" t="str">
        <v>16-02-24</v>
      </c>
      <c r="AO318" t="str">
        <v>invalid date</v>
      </c>
      <c r="AP318" t="str">
        <f t="shared" si="21"/>
        <v>February</v>
      </c>
      <c r="AQ318" t="str">
        <f t="shared" si="22"/>
        <v>2024</v>
      </c>
      <c r="AR318" t="str">
        <f t="shared" si="23"/>
        <v>Invalid</v>
      </c>
      <c r="AS318" t="str">
        <f t="shared" si="24"/>
        <v>invalid date</v>
      </c>
      <c r="AT318" t="str">
        <f>IF(COUNTIFS( $A:$A,A318,$B:$B,B318,$C:$C,C318,$D:$D,D318,$E:$E,E318,$F:$F,F318,$G:$G,G318,$H:$H,H318,$I:$I,I318,$J:$J,J318,$K:$K,K318,$L:$L,L318,$M:$M,M318,$T:$T,T318,$U:$U,U318,$W:$W,W318,$Z:$Z,Z318,$AA:$AA,AA318,$AB:$AB,AB318,$AC:$AC,AC318,$AD:$AD,AD318,$AE:$AE,AE318,$AF:$AF,AF318,$AG:$AG,AG318,$AH:$AH,AH318,$AI:$AI,AI318)&gt;1,"Duplicate","Unique")</f>
        <v>Unique</v>
      </c>
    </row>
    <row r="319" spans="1:46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  <c r="W319" t="s">
        <v>1615</v>
      </c>
      <c r="Z319" t="s">
        <v>1618</v>
      </c>
      <c r="AA319" t="str">
        <v>Neha Gupta</v>
      </c>
      <c r="AB319" t="str">
        <f>TRIM(PROPER(F:F))</f>
        <v>Corporate</v>
      </c>
      <c r="AC319" t="str">
        <f>TRIM(PROPER(G:G))</f>
        <v>South</v>
      </c>
      <c r="AD319" t="str">
        <f>TRIM(PROPER(H:H))</f>
        <v>Kerala</v>
      </c>
      <c r="AE319" t="str">
        <f>TRIM(PROPER(I:I))</f>
        <v>Kochi</v>
      </c>
      <c r="AF319" t="str">
        <f>TRIM(PROPER(J:J))</f>
        <v>Furniture</v>
      </c>
      <c r="AG319" t="str">
        <f>TRIM(PROPER(K:K))</f>
        <v>Tables</v>
      </c>
      <c r="AH319" t="str">
        <f>TRIM(PROPER(L:L))</f>
        <v>Pro Tables 778</v>
      </c>
      <c r="AI319" t="str">
        <f>TRIM(PROPER(M:M))</f>
        <v>First Class</v>
      </c>
      <c r="AJ319" s="5">
        <f>IF(OR(P319&lt;0,P319&gt;0.5),"invalid",P319)</f>
        <v>0.15</v>
      </c>
      <c r="AK319" s="6">
        <f>IFERROR(N319*O319*(1-AJ319), "NA")</f>
        <v>22926.820499999998</v>
      </c>
      <c r="AL319" s="6">
        <f>IFERROR(AK319-R319,"NA")</f>
        <v>8305.2304999999978</v>
      </c>
      <c r="AM319" s="5">
        <f t="shared" si="20"/>
        <v>0.36224955396671765</v>
      </c>
      <c r="AN319" t="str">
        <v>29-08-25</v>
      </c>
      <c r="AO319" t="str">
        <v>04-09-25</v>
      </c>
      <c r="AP319" t="str">
        <f t="shared" si="21"/>
        <v>August</v>
      </c>
      <c r="AQ319" t="str">
        <f t="shared" si="22"/>
        <v>2025</v>
      </c>
      <c r="AR319" t="str">
        <f t="shared" si="23"/>
        <v>anomaly</v>
      </c>
      <c r="AS319">
        <f t="shared" si="24"/>
        <v>6</v>
      </c>
      <c r="AT319" t="str">
        <f>IF(COUNTIFS( $A:$A,A319,$B:$B,B319,$C:$C,C319,$D:$D,D319,$E:$E,E319,$F:$F,F319,$G:$G,G319,$H:$H,H319,$I:$I,I319,$J:$J,J319,$K:$K,K319,$L:$L,L319,$M:$M,M319,$T:$T,T319,$U:$U,U319,$W:$W,W319,$Z:$Z,Z319,$AA:$AA,AA319,$AB:$AB,AB319,$AC:$AC,AC319,$AD:$AD,AD319,$AE:$AE,AE319,$AF:$AF,AF319,$AG:$AG,AG319,$AH:$AH,AH319,$AI:$AI,AI319)&gt;1,"Duplicate","Unique")</f>
        <v>Unique</v>
      </c>
    </row>
    <row r="320" spans="1:46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  <c r="W320" t="s">
        <v>1620</v>
      </c>
      <c r="Z320" t="s">
        <v>1623</v>
      </c>
      <c r="AA320" t="str">
        <v>Mira Das</v>
      </c>
      <c r="AB320" t="str">
        <f>TRIM(PROPER(F:F))</f>
        <v>Small Business</v>
      </c>
      <c r="AC320" t="str">
        <f>TRIM(PROPER(G:G))</f>
        <v>South</v>
      </c>
      <c r="AD320" t="str">
        <f>TRIM(PROPER(H:H))</f>
        <v>Karnataka</v>
      </c>
      <c r="AE320" t="str">
        <f>TRIM(PROPER(I:I))</f>
        <v>Bengaluru</v>
      </c>
      <c r="AF320" t="str">
        <f>TRIM(PROPER(J:J))</f>
        <v>Technology</v>
      </c>
      <c r="AG320" t="str">
        <f>TRIM(PROPER(K:K))</f>
        <v>Phones</v>
      </c>
      <c r="AH320" t="str">
        <f>TRIM(PROPER(L:L))</f>
        <v>Basic Phones 789</v>
      </c>
      <c r="AI320" t="str">
        <f>TRIM(PROPER(M:M))</f>
        <v>Standard Class</v>
      </c>
      <c r="AJ320" s="5">
        <f>IF(OR(P320&lt;0,P320&gt;0.5),"invalid",P320)</f>
        <v>0.1</v>
      </c>
      <c r="AK320" s="6">
        <f>IFERROR(N320*O320*(1-AJ320), "NA")</f>
        <v>11203.542000000001</v>
      </c>
      <c r="AL320" s="6">
        <f>IFERROR(AK320-R320,"NA")</f>
        <v>2750.612000000001</v>
      </c>
      <c r="AM320" s="5">
        <f t="shared" si="20"/>
        <v>0.24551271374713468</v>
      </c>
      <c r="AN320" t="str">
        <v>25-04-24</v>
      </c>
      <c r="AO320" t="str">
        <v>30-04-24</v>
      </c>
      <c r="AP320" t="str">
        <f t="shared" si="21"/>
        <v>April</v>
      </c>
      <c r="AQ320" t="str">
        <f t="shared" si="22"/>
        <v>2024</v>
      </c>
      <c r="AR320" t="str">
        <f t="shared" si="23"/>
        <v xml:space="preserve"> </v>
      </c>
      <c r="AS320">
        <f t="shared" si="24"/>
        <v>5</v>
      </c>
      <c r="AT320" t="str">
        <f>IF(COUNTIFS( $A:$A,A320,$B:$B,B320,$C:$C,C320,$D:$D,D320,$E:$E,E320,$F:$F,F320,$G:$G,G320,$H:$H,H320,$I:$I,I320,$J:$J,J320,$K:$K,K320,$L:$L,L320,$M:$M,M320,$T:$T,T320,$U:$U,U320,$W:$W,W320,$Z:$Z,Z320,$AA:$AA,AA320,$AB:$AB,AB320,$AC:$AC,AC320,$AD:$AD,AD320,$AE:$AE,AE320,$AF:$AF,AF320,$AG:$AG,AG320,$AH:$AH,AH320,$AI:$AI,AI320)&gt;1,"Duplicate","Unique")</f>
        <v>Unique</v>
      </c>
    </row>
    <row r="321" spans="1:46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  <c r="W321" t="s">
        <v>1625</v>
      </c>
      <c r="Z321" t="s">
        <v>1628</v>
      </c>
      <c r="AA321" t="str">
        <v>Diya Patel</v>
      </c>
      <c r="AB321" t="str">
        <f>TRIM(PROPER(F:F))</f>
        <v>Consumer</v>
      </c>
      <c r="AC321" t="str">
        <f>TRIM(PROPER(G:G))</f>
        <v>West</v>
      </c>
      <c r="AD321" t="str">
        <f>TRIM(PROPER(H:H))</f>
        <v>Gujarat</v>
      </c>
      <c r="AE321" t="str">
        <f>TRIM(PROPER(I:I))</f>
        <v>Ahmedabad</v>
      </c>
      <c r="AF321" t="str">
        <f>TRIM(PROPER(J:J))</f>
        <v>Office Supplies</v>
      </c>
      <c r="AG321" t="str">
        <f>TRIM(PROPER(K:K))</f>
        <v>Binders</v>
      </c>
      <c r="AH321" t="str">
        <f>TRIM(PROPER(L:L))</f>
        <v>Prime Binders 554</v>
      </c>
      <c r="AI321" t="str">
        <f>TRIM(PROPER(M:M))</f>
        <v>First Class</v>
      </c>
      <c r="AJ321" s="5">
        <f>IF(OR(P321&lt;0,P321&gt;0.5),"invalid",P321)</f>
        <v>0</v>
      </c>
      <c r="AK321" s="6">
        <f>IFERROR(N321*O321*(1-AJ321), "NA")</f>
        <v>270.27999999999997</v>
      </c>
      <c r="AL321" s="6">
        <f>IFERROR(AK321-R321,"NA")</f>
        <v>113.93999999999997</v>
      </c>
      <c r="AM321" s="5">
        <f t="shared" si="20"/>
        <v>0.42156282373834536</v>
      </c>
      <c r="AN321" t="str">
        <v>21-08-24</v>
      </c>
      <c r="AO321" t="str">
        <v>invalid date</v>
      </c>
      <c r="AP321" t="str">
        <f t="shared" si="21"/>
        <v>August</v>
      </c>
      <c r="AQ321" t="str">
        <f t="shared" si="22"/>
        <v>2024</v>
      </c>
      <c r="AR321" t="str">
        <f t="shared" si="23"/>
        <v>Invalid</v>
      </c>
      <c r="AS321" t="str">
        <f t="shared" si="24"/>
        <v>invalid date</v>
      </c>
      <c r="AT321" t="str">
        <f>IF(COUNTIFS( $A:$A,A321,$B:$B,B321,$C:$C,C321,$D:$D,D321,$E:$E,E321,$F:$F,F321,$G:$G,G321,$H:$H,H321,$I:$I,I321,$J:$J,J321,$K:$K,K321,$L:$L,L321,$M:$M,M321,$T:$T,T321,$U:$U,U321,$W:$W,W321,$Z:$Z,Z321,$AA:$AA,AA321,$AB:$AB,AB321,$AC:$AC,AC321,$AD:$AD,AD321,$AE:$AE,AE321,$AF:$AF,AF321,$AG:$AG,AG321,$AH:$AH,AH321,$AI:$AI,AI321)&gt;1,"Duplicate","Unique")</f>
        <v>Unique</v>
      </c>
    </row>
    <row r="322" spans="1:46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  <c r="W322" t="s">
        <v>1630</v>
      </c>
      <c r="Z322" t="s">
        <v>1633</v>
      </c>
      <c r="AA322" t="str">
        <v>Aarav Sharma</v>
      </c>
      <c r="AB322" t="str">
        <f>TRIM(PROPER(F:F))</f>
        <v>Home Office</v>
      </c>
      <c r="AC322" t="str">
        <f>TRIM(PROPER(G:G))</f>
        <v>East</v>
      </c>
      <c r="AD322" t="str">
        <f>TRIM(PROPER(H:H))</f>
        <v>West Bengal</v>
      </c>
      <c r="AE322" t="str">
        <f>TRIM(PROPER(I:I))</f>
        <v>Kolkata</v>
      </c>
      <c r="AF322" t="str">
        <f>TRIM(PROPER(J:J))</f>
        <v>Office Supplies</v>
      </c>
      <c r="AG322" t="str">
        <f>TRIM(PROPER(K:K))</f>
        <v>Art</v>
      </c>
      <c r="AH322" t="str">
        <f>TRIM(PROPER(L:L))</f>
        <v>Classic Art 299</v>
      </c>
      <c r="AI322" t="str">
        <f>TRIM(PROPER(M:M))</f>
        <v>Second Class</v>
      </c>
      <c r="AJ322" s="5" t="str">
        <f>IF(OR(P322&lt;0,P322&gt;0.5),"invalid",P322)</f>
        <v>invalid</v>
      </c>
      <c r="AK322" s="6" t="str">
        <f>IFERROR(N322*O322*(1-AJ322), "NA")</f>
        <v>NA</v>
      </c>
      <c r="AL322" s="6" t="str">
        <f>IFERROR(AK322-R322,"NA")</f>
        <v>NA</v>
      </c>
      <c r="AM322" s="5" t="str">
        <f t="shared" si="20"/>
        <v>NA</v>
      </c>
      <c r="AN322" t="str">
        <v>12-04-24</v>
      </c>
      <c r="AO322" t="str">
        <v>12-06-24</v>
      </c>
      <c r="AP322" t="str">
        <f t="shared" si="21"/>
        <v>April</v>
      </c>
      <c r="AQ322" t="str">
        <f t="shared" si="22"/>
        <v>2024</v>
      </c>
      <c r="AR322" t="str">
        <f t="shared" si="23"/>
        <v xml:space="preserve"> </v>
      </c>
      <c r="AS322">
        <f t="shared" si="24"/>
        <v>61</v>
      </c>
      <c r="AT322" t="str">
        <f>IF(COUNTIFS( $A:$A,A322,$B:$B,B322,$C:$C,C322,$D:$D,D322,$E:$E,E322,$F:$F,F322,$G:$G,G322,$H:$H,H322,$I:$I,I322,$J:$J,J322,$K:$K,K322,$L:$L,L322,$M:$M,M322,$T:$T,T322,$U:$U,U322,$W:$W,W322,$Z:$Z,Z322,$AA:$AA,AA322,$AB:$AB,AB322,$AC:$AC,AC322,$AD:$AD,AD322,$AE:$AE,AE322,$AF:$AF,AF322,$AG:$AG,AG322,$AH:$AH,AH322,$AI:$AI,AI322)&gt;1,"Duplicate","Unique")</f>
        <v>Unique</v>
      </c>
    </row>
    <row r="323" spans="1:46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  <c r="W323" t="s">
        <v>1635</v>
      </c>
      <c r="Z323" t="s">
        <v>1638</v>
      </c>
      <c r="AA323" t="str">
        <v>Neha Gupta</v>
      </c>
      <c r="AB323" t="str">
        <f>TRIM(PROPER(F:F))</f>
        <v>Small Business</v>
      </c>
      <c r="AC323" t="str">
        <f>TRIM(PROPER(G:G))</f>
        <v>West</v>
      </c>
      <c r="AD323" t="str">
        <f>TRIM(PROPER(H:H))</f>
        <v>Goa</v>
      </c>
      <c r="AE323" t="str">
        <f>TRIM(PROPER(I:I))</f>
        <v>Panaji</v>
      </c>
      <c r="AF323" t="str">
        <f>TRIM(PROPER(J:J))</f>
        <v>Technology</v>
      </c>
      <c r="AG323" t="str">
        <f>TRIM(PROPER(K:K))</f>
        <v>Accessories</v>
      </c>
      <c r="AH323" t="str">
        <f>TRIM(PROPER(L:L))</f>
        <v>Eco Accessories 220</v>
      </c>
      <c r="AI323" t="str">
        <f>TRIM(PROPER(M:M))</f>
        <v>Same Day</v>
      </c>
      <c r="AJ323" s="5">
        <f>IF(OR(P323&lt;0,P323&gt;0.5),"invalid",P323)</f>
        <v>0</v>
      </c>
      <c r="AK323" s="6">
        <f>IFERROR(N323*O323*(1-AJ323), "NA")</f>
        <v>2699.28</v>
      </c>
      <c r="AL323" s="6">
        <f>IFERROR(AK323-R323,"NA")</f>
        <v>939.52000000000021</v>
      </c>
      <c r="AM323" s="5">
        <f t="shared" ref="AM323:AM386" si="25">IFERROR(AL323/AK323,"NA")</f>
        <v>0.34806318722029583</v>
      </c>
      <c r="AN323" t="str">
        <v>invalid date</v>
      </c>
      <c r="AO323" t="str">
        <v>30-06-24</v>
      </c>
      <c r="AP323" t="str">
        <f t="shared" ref="AP323:AP386" si="26">TEXT(AN323,"mmmm")</f>
        <v>invalid date</v>
      </c>
      <c r="AQ323" t="str">
        <f t="shared" ref="AQ323:AQ386" si="27">TEXT(AN323,"yyyy")</f>
        <v>invalid date</v>
      </c>
      <c r="AR323" t="str">
        <f t="shared" ref="AR323:AR386" si="28">IF(OR(AN323="Invalid Date",AO323="Invalid Date"),"Invalid",(IF(AO323&lt;AN323,"anomaly"," ")))</f>
        <v>Invalid</v>
      </c>
      <c r="AS323" t="str">
        <f t="shared" ref="AS323:AS386" si="29">IFERROR(AO323-AN323, "invalid date")</f>
        <v>invalid date</v>
      </c>
      <c r="AT323" t="str">
        <f>IF(COUNTIFS( $A:$A,A323,$B:$B,B323,$C:$C,C323,$D:$D,D323,$E:$E,E323,$F:$F,F323,$G:$G,G323,$H:$H,H323,$I:$I,I323,$J:$J,J323,$K:$K,K323,$L:$L,L323,$M:$M,M323,$T:$T,T323,$U:$U,U323,$W:$W,W323,$Z:$Z,Z323,$AA:$AA,AA323,$AB:$AB,AB323,$AC:$AC,AC323,$AD:$AD,AD323,$AE:$AE,AE323,$AF:$AF,AF323,$AG:$AG,AG323,$AH:$AH,AH323,$AI:$AI,AI323)&gt;1,"Duplicate","Unique")</f>
        <v>Unique</v>
      </c>
    </row>
    <row r="324" spans="1:46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  <c r="W324" t="s">
        <v>1640</v>
      </c>
      <c r="Z324" t="s">
        <v>1642</v>
      </c>
      <c r="AA324" t="str">
        <v>Isha Nair</v>
      </c>
      <c r="AB324" t="str">
        <f>TRIM(PROPER(F:F))</f>
        <v>Consumer</v>
      </c>
      <c r="AC324" t="str">
        <f>TRIM(PROPER(G:G))</f>
        <v>North</v>
      </c>
      <c r="AD324" t="str">
        <f>TRIM(PROPER(H:H))</f>
        <v>Uttar Pradesh</v>
      </c>
      <c r="AE324" t="str">
        <f>TRIM(PROPER(I:I))</f>
        <v>Noida</v>
      </c>
      <c r="AF324" t="str">
        <f>TRIM(PROPER(J:J))</f>
        <v>Technology</v>
      </c>
      <c r="AG324" t="str">
        <f>TRIM(PROPER(K:K))</f>
        <v>Phones</v>
      </c>
      <c r="AH324" t="str">
        <f>TRIM(PROPER(L:L))</f>
        <v>Max Phones 422</v>
      </c>
      <c r="AI324" t="str">
        <f>TRIM(PROPER(M:M))</f>
        <v>Second Class</v>
      </c>
      <c r="AJ324" s="5">
        <f>IF(OR(P324&lt;0,P324&gt;0.5),"invalid",P324)</f>
        <v>0.15</v>
      </c>
      <c r="AK324" s="6">
        <f>IFERROR(N324*O324*(1-AJ324), "NA")</f>
        <v>6984.3480000000009</v>
      </c>
      <c r="AL324" s="6">
        <f>IFERROR(AK324-R324,"NA")</f>
        <v>2960.7180000000008</v>
      </c>
      <c r="AM324" s="5">
        <f t="shared" si="25"/>
        <v>0.42390757161584736</v>
      </c>
      <c r="AN324" t="str">
        <v>12-11-24</v>
      </c>
      <c r="AO324" t="str">
        <v>12-11-24</v>
      </c>
      <c r="AP324" t="str">
        <f t="shared" si="26"/>
        <v>November</v>
      </c>
      <c r="AQ324" t="str">
        <f t="shared" si="27"/>
        <v>2024</v>
      </c>
      <c r="AR324" t="str">
        <f t="shared" si="28"/>
        <v xml:space="preserve"> </v>
      </c>
      <c r="AS324">
        <f t="shared" si="29"/>
        <v>0</v>
      </c>
      <c r="AT324" t="str">
        <f>IF(COUNTIFS( $A:$A,A324,$B:$B,B324,$C:$C,C324,$D:$D,D324,$E:$E,E324,$F:$F,F324,$G:$G,G324,$H:$H,H324,$I:$I,I324,$J:$J,J324,$K:$K,K324,$L:$L,L324,$M:$M,M324,$T:$T,T324,$U:$U,U324,$W:$W,W324,$Z:$Z,Z324,$AA:$AA,AA324,$AB:$AB,AB324,$AC:$AC,AC324,$AD:$AD,AD324,$AE:$AE,AE324,$AF:$AF,AF324,$AG:$AG,AG324,$AH:$AH,AH324,$AI:$AI,AI324)&gt;1,"Duplicate","Unique")</f>
        <v>Unique</v>
      </c>
    </row>
    <row r="325" spans="1:46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  <c r="W325" t="s">
        <v>1644</v>
      </c>
      <c r="Z325" t="s">
        <v>1647</v>
      </c>
      <c r="AA325" t="str">
        <v>Isha Nair</v>
      </c>
      <c r="AB325" t="str">
        <f>TRIM(PROPER(F:F))</f>
        <v>Small Business</v>
      </c>
      <c r="AC325" t="str">
        <f>TRIM(PROPER(G:G))</f>
        <v>West</v>
      </c>
      <c r="AD325" t="str">
        <f>TRIM(PROPER(H:H))</f>
        <v>Goa</v>
      </c>
      <c r="AE325" t="str">
        <f>TRIM(PROPER(I:I))</f>
        <v>Panaji</v>
      </c>
      <c r="AF325" t="str">
        <f>TRIM(PROPER(J:J))</f>
        <v>Furniture</v>
      </c>
      <c r="AG325" t="str">
        <f>TRIM(PROPER(K:K))</f>
        <v>Furnishings</v>
      </c>
      <c r="AH325" t="str">
        <f>TRIM(PROPER(L:L))</f>
        <v>Eco Furnishings 897</v>
      </c>
      <c r="AI325" t="str">
        <f>TRIM(PROPER(M:M))</f>
        <v>Standard Class</v>
      </c>
      <c r="AJ325" s="5">
        <f>IF(OR(P325&lt;0,P325&gt;0.5),"invalid",P325)</f>
        <v>0.15</v>
      </c>
      <c r="AK325" s="6">
        <f>IFERROR(N325*O325*(1-AJ325), "NA")</f>
        <v>10185.669</v>
      </c>
      <c r="AL325" s="6">
        <f>IFERROR(AK325-R325,"NA")</f>
        <v>3706.3589999999995</v>
      </c>
      <c r="AM325" s="5">
        <f t="shared" si="25"/>
        <v>0.36387978050337189</v>
      </c>
      <c r="AN325" t="str">
        <v>25-02-24</v>
      </c>
      <c r="AO325" t="str">
        <v>29-02-24</v>
      </c>
      <c r="AP325" t="str">
        <f t="shared" si="26"/>
        <v>February</v>
      </c>
      <c r="AQ325" t="str">
        <f t="shared" si="27"/>
        <v>2024</v>
      </c>
      <c r="AR325" t="str">
        <f t="shared" si="28"/>
        <v xml:space="preserve"> </v>
      </c>
      <c r="AS325">
        <f t="shared" si="29"/>
        <v>4</v>
      </c>
      <c r="AT325" t="str">
        <f>IF(COUNTIFS( $A:$A,A325,$B:$B,B325,$C:$C,C325,$D:$D,D325,$E:$E,E325,$F:$F,F325,$G:$G,G325,$H:$H,H325,$I:$I,I325,$J:$J,J325,$K:$K,K325,$L:$L,L325,$M:$M,M325,$T:$T,T325,$U:$U,U325,$W:$W,W325,$Z:$Z,Z325,$AA:$AA,AA325,$AB:$AB,AB325,$AC:$AC,AC325,$AD:$AD,AD325,$AE:$AE,AE325,$AF:$AF,AF325,$AG:$AG,AG325,$AH:$AH,AH325,$AI:$AI,AI325)&gt;1,"Duplicate","Unique")</f>
        <v>Unique</v>
      </c>
    </row>
    <row r="326" spans="1:46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  <c r="W326" t="s">
        <v>1648</v>
      </c>
      <c r="Z326" t="s">
        <v>1650</v>
      </c>
      <c r="AA326" t="str">
        <v>Rohan Mehta</v>
      </c>
      <c r="AB326" t="str">
        <f>TRIM(PROPER(F:F))</f>
        <v>Home Office</v>
      </c>
      <c r="AC326" t="str">
        <f>TRIM(PROPER(G:G))</f>
        <v>South</v>
      </c>
      <c r="AD326" t="str">
        <f>TRIM(PROPER(H:H))</f>
        <v>Andhra Pradesh</v>
      </c>
      <c r="AE326" t="str">
        <f>TRIM(PROPER(I:I))</f>
        <v>Vijayawada</v>
      </c>
      <c r="AF326" t="str">
        <f>TRIM(PROPER(J:J))</f>
        <v>Office Supplies</v>
      </c>
      <c r="AG326" t="str">
        <f>TRIM(PROPER(K:K))</f>
        <v>Labels</v>
      </c>
      <c r="AH326" t="str">
        <f>TRIM(PROPER(L:L))</f>
        <v>Basic Labels 102</v>
      </c>
      <c r="AI326" t="str">
        <f>TRIM(PROPER(M:M))</f>
        <v>Same Day</v>
      </c>
      <c r="AJ326" s="5">
        <f>IF(OR(P326&lt;0,P326&gt;0.5),"invalid",P326)</f>
        <v>0.15</v>
      </c>
      <c r="AK326" s="6">
        <f>IFERROR(N326*O326*(1-AJ326), "NA")</f>
        <v>1655.6980000000001</v>
      </c>
      <c r="AL326" s="6">
        <f>IFERROR(AK326-R326,"NA")</f>
        <v>300.89800000000014</v>
      </c>
      <c r="AM326" s="5">
        <f t="shared" si="25"/>
        <v>0.1817348332848141</v>
      </c>
      <c r="AN326" t="str">
        <v>31-07-25</v>
      </c>
      <c r="AO326" t="str">
        <v>02-08-25</v>
      </c>
      <c r="AP326" t="str">
        <f t="shared" si="26"/>
        <v>July</v>
      </c>
      <c r="AQ326" t="str">
        <f t="shared" si="27"/>
        <v>2025</v>
      </c>
      <c r="AR326" t="str">
        <f t="shared" si="28"/>
        <v>anomaly</v>
      </c>
      <c r="AS326">
        <f t="shared" si="29"/>
        <v>2</v>
      </c>
      <c r="AT326" t="str">
        <f>IF(COUNTIFS( $A:$A,A326,$B:$B,B326,$C:$C,C326,$D:$D,D326,$E:$E,E326,$F:$F,F326,$G:$G,G326,$H:$H,H326,$I:$I,I326,$J:$J,J326,$K:$K,K326,$L:$L,L326,$M:$M,M326,$T:$T,T326,$U:$U,U326,$W:$W,W326,$Z:$Z,Z326,$AA:$AA,AA326,$AB:$AB,AB326,$AC:$AC,AC326,$AD:$AD,AD326,$AE:$AE,AE326,$AF:$AF,AF326,$AG:$AG,AG326,$AH:$AH,AH326,$AI:$AI,AI326)&gt;1,"Duplicate","Unique")</f>
        <v>Unique</v>
      </c>
    </row>
    <row r="327" spans="1:46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  <c r="W327" t="s">
        <v>1652</v>
      </c>
      <c r="Z327" t="s">
        <v>1655</v>
      </c>
      <c r="AA327" t="str">
        <v>Sneha Kapoor</v>
      </c>
      <c r="AB327" t="str">
        <f>TRIM(PROPER(F:F))</f>
        <v>Home Office</v>
      </c>
      <c r="AC327" t="str">
        <f>TRIM(PROPER(G:G))</f>
        <v>East</v>
      </c>
      <c r="AD327" t="str">
        <f>TRIM(PROPER(H:H))</f>
        <v>West Bengal</v>
      </c>
      <c r="AE327" t="str">
        <f>TRIM(PROPER(I:I))</f>
        <v>Kolkata</v>
      </c>
      <c r="AF327" t="str">
        <f>TRIM(PROPER(J:J))</f>
        <v>Technology</v>
      </c>
      <c r="AG327" t="str">
        <f>TRIM(PROPER(K:K))</f>
        <v>Copiers</v>
      </c>
      <c r="AH327" t="str">
        <f>TRIM(PROPER(L:L))</f>
        <v>Prime Copiers 170</v>
      </c>
      <c r="AI327" t="str">
        <f>TRIM(PROPER(M:M))</f>
        <v>Second Class</v>
      </c>
      <c r="AJ327" s="5">
        <f>IF(OR(P327&lt;0,P327&gt;0.5),"invalid",P327)</f>
        <v>0.15</v>
      </c>
      <c r="AK327" s="6">
        <f>IFERROR(N327*O327*(1-AJ327), "NA")</f>
        <v>15602.6</v>
      </c>
      <c r="AL327" s="6">
        <f>IFERROR(AK327-R327,"NA")</f>
        <v>3694.08</v>
      </c>
      <c r="AM327" s="5">
        <f t="shared" si="25"/>
        <v>0.236760539910015</v>
      </c>
      <c r="AN327" t="str">
        <v>invalid date</v>
      </c>
      <c r="AO327" t="str">
        <v>22-09-25</v>
      </c>
      <c r="AP327" t="str">
        <f t="shared" si="26"/>
        <v>invalid date</v>
      </c>
      <c r="AQ327" t="str">
        <f t="shared" si="27"/>
        <v>invalid date</v>
      </c>
      <c r="AR327" t="str">
        <f t="shared" si="28"/>
        <v>Invalid</v>
      </c>
      <c r="AS327" t="str">
        <f t="shared" si="29"/>
        <v>invalid date</v>
      </c>
      <c r="AT327" t="str">
        <f>IF(COUNTIFS( $A:$A,A327,$B:$B,B327,$C:$C,C327,$D:$D,D327,$E:$E,E327,$F:$F,F327,$G:$G,G327,$H:$H,H327,$I:$I,I327,$J:$J,J327,$K:$K,K327,$L:$L,L327,$M:$M,M327,$T:$T,T327,$U:$U,U327,$W:$W,W327,$Z:$Z,Z327,$AA:$AA,AA327,$AB:$AB,AB327,$AC:$AC,AC327,$AD:$AD,AD327,$AE:$AE,AE327,$AF:$AF,AF327,$AG:$AG,AG327,$AH:$AH,AH327,$AI:$AI,AI327)&gt;1,"Duplicate","Unique")</f>
        <v>Unique</v>
      </c>
    </row>
    <row r="328" spans="1:46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  <c r="W328" t="s">
        <v>1657</v>
      </c>
      <c r="Z328" t="s">
        <v>1659</v>
      </c>
      <c r="AA328" t="str">
        <v>Sneha Kapoor</v>
      </c>
      <c r="AB328" t="str">
        <f>TRIM(PROPER(F:F))</f>
        <v>Corporate</v>
      </c>
      <c r="AC328" t="str">
        <f>TRIM(PROPER(G:G))</f>
        <v>East</v>
      </c>
      <c r="AD328" t="str">
        <f>TRIM(PROPER(H:H))</f>
        <v>Jharkhand</v>
      </c>
      <c r="AE328" t="str">
        <f>TRIM(PROPER(I:I))</f>
        <v>Ranchi</v>
      </c>
      <c r="AF328" t="str">
        <f>TRIM(PROPER(J:J))</f>
        <v>Furniture</v>
      </c>
      <c r="AG328" t="str">
        <f>TRIM(PROPER(K:K))</f>
        <v>Furnishings</v>
      </c>
      <c r="AH328" t="str">
        <f>TRIM(PROPER(L:L))</f>
        <v>Smart Furnishings 533</v>
      </c>
      <c r="AI328" t="str">
        <f>TRIM(PROPER(M:M))</f>
        <v>Same Day</v>
      </c>
      <c r="AJ328" s="5">
        <f>IF(OR(P328&lt;0,P328&gt;0.5),"invalid",P328)</f>
        <v>0.05</v>
      </c>
      <c r="AK328" s="6">
        <f>IFERROR(N328*O328*(1-AJ328), "NA")</f>
        <v>15138.487499999999</v>
      </c>
      <c r="AL328" s="6">
        <f>IFERROR(AK328-R328,"NA")</f>
        <v>3902.7674999999999</v>
      </c>
      <c r="AM328" s="5">
        <f t="shared" si="25"/>
        <v>0.25780432160082045</v>
      </c>
      <c r="AN328" t="str">
        <v>22-07-25</v>
      </c>
      <c r="AO328" t="str">
        <v>invalid date</v>
      </c>
      <c r="AP328" t="str">
        <f t="shared" si="26"/>
        <v>July</v>
      </c>
      <c r="AQ328" t="str">
        <f t="shared" si="27"/>
        <v>2025</v>
      </c>
      <c r="AR328" t="str">
        <f t="shared" si="28"/>
        <v>Invalid</v>
      </c>
      <c r="AS328" t="str">
        <f t="shared" si="29"/>
        <v>invalid date</v>
      </c>
      <c r="AT328" t="str">
        <f>IF(COUNTIFS( $A:$A,A328,$B:$B,B328,$C:$C,C328,$D:$D,D328,$E:$E,E328,$F:$F,F328,$G:$G,G328,$H:$H,H328,$I:$I,I328,$J:$J,J328,$K:$K,K328,$L:$L,L328,$M:$M,M328,$T:$T,T328,$U:$U,U328,$W:$W,W328,$Z:$Z,Z328,$AA:$AA,AA328,$AB:$AB,AB328,$AC:$AC,AC328,$AD:$AD,AD328,$AE:$AE,AE328,$AF:$AF,AF328,$AG:$AG,AG328,$AH:$AH,AH328,$AI:$AI,AI328)&gt;1,"Duplicate","Unique")</f>
        <v>Unique</v>
      </c>
    </row>
    <row r="329" spans="1:46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  <c r="W329" t="s">
        <v>1661</v>
      </c>
      <c r="Z329" t="s">
        <v>1663</v>
      </c>
      <c r="AA329" t="str">
        <v>Isha Nair</v>
      </c>
      <c r="AB329" t="str">
        <f>TRIM(PROPER(F:F))</f>
        <v>Consumer</v>
      </c>
      <c r="AC329" t="str">
        <f>TRIM(PROPER(G:G))</f>
        <v>West</v>
      </c>
      <c r="AD329" t="str">
        <f>TRIM(PROPER(H:H))</f>
        <v>Rajasthan</v>
      </c>
      <c r="AE329" t="str">
        <f>TRIM(PROPER(I:I))</f>
        <v>Udaipur</v>
      </c>
      <c r="AF329" t="str">
        <f>TRIM(PROPER(J:J))</f>
        <v>Technology</v>
      </c>
      <c r="AG329" t="str">
        <f>TRIM(PROPER(K:K))</f>
        <v>Accessories</v>
      </c>
      <c r="AH329" t="str">
        <f>TRIM(PROPER(L:L))</f>
        <v>Classic Accessories 489</v>
      </c>
      <c r="AI329" t="str">
        <f>TRIM(PROPER(M:M))</f>
        <v>Second Class</v>
      </c>
      <c r="AJ329" s="5">
        <f>IF(OR(P329&lt;0,P329&gt;0.5),"invalid",P329)</f>
        <v>0.2</v>
      </c>
      <c r="AK329" s="6">
        <f>IFERROR(N329*O329*(1-AJ329), "NA")</f>
        <v>4402.92</v>
      </c>
      <c r="AL329" s="6">
        <f>IFERROR(AK329-R329,"NA")</f>
        <v>1408.98</v>
      </c>
      <c r="AM329" s="5">
        <f t="shared" si="25"/>
        <v>0.32001035676323897</v>
      </c>
      <c r="AN329" t="str">
        <v>24-07-24</v>
      </c>
      <c r="AO329" t="str">
        <v>27-07-24</v>
      </c>
      <c r="AP329" t="str">
        <f t="shared" si="26"/>
        <v>July</v>
      </c>
      <c r="AQ329" t="str">
        <f t="shared" si="27"/>
        <v>2024</v>
      </c>
      <c r="AR329" t="str">
        <f t="shared" si="28"/>
        <v xml:space="preserve"> </v>
      </c>
      <c r="AS329">
        <f t="shared" si="29"/>
        <v>3</v>
      </c>
      <c r="AT329" t="str">
        <f>IF(COUNTIFS( $A:$A,A329,$B:$B,B329,$C:$C,C329,$D:$D,D329,$E:$E,E329,$F:$F,F329,$G:$G,G329,$H:$H,H329,$I:$I,I329,$J:$J,J329,$K:$K,K329,$L:$L,L329,$M:$M,M329,$T:$T,T329,$U:$U,U329,$W:$W,W329,$Z:$Z,Z329,$AA:$AA,AA329,$AB:$AB,AB329,$AC:$AC,AC329,$AD:$AD,AD329,$AE:$AE,AE329,$AF:$AF,AF329,$AG:$AG,AG329,$AH:$AH,AH329,$AI:$AI,AI329)&gt;1,"Duplicate","Unique")</f>
        <v>Unique</v>
      </c>
    </row>
    <row r="330" spans="1:46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  <c r="W330" t="s">
        <v>1665</v>
      </c>
      <c r="Z330" t="s">
        <v>1667</v>
      </c>
      <c r="AA330" t="str">
        <v>Diya Patel</v>
      </c>
      <c r="AB330" t="str">
        <f>TRIM(PROPER(F:F))</f>
        <v>Consumer</v>
      </c>
      <c r="AC330" t="str">
        <f>TRIM(PROPER(G:G))</f>
        <v>West</v>
      </c>
      <c r="AD330" t="str">
        <f>TRIM(PROPER(H:H))</f>
        <v>Maharashtra</v>
      </c>
      <c r="AE330" t="str">
        <f>TRIM(PROPER(I:I))</f>
        <v>Mumbai</v>
      </c>
      <c r="AF330" t="str">
        <f>TRIM(PROPER(J:J))</f>
        <v>Office Supplies</v>
      </c>
      <c r="AG330" t="str">
        <f>TRIM(PROPER(K:K))</f>
        <v>Storage</v>
      </c>
      <c r="AH330" t="str">
        <f>TRIM(PROPER(L:L))</f>
        <v>Smart Storage 439</v>
      </c>
      <c r="AI330" t="str">
        <f>TRIM(PROPER(M:M))</f>
        <v>First Class</v>
      </c>
      <c r="AJ330" s="5">
        <f>IF(OR(P330&lt;0,P330&gt;0.5),"invalid",P330)</f>
        <v>0</v>
      </c>
      <c r="AK330" s="6">
        <f>IFERROR(N330*O330*(1-AJ330), "NA")</f>
        <v>18604.079999999998</v>
      </c>
      <c r="AL330" s="6">
        <f>IFERROR(AK330-R330,"NA")</f>
        <v>2769.7799999999988</v>
      </c>
      <c r="AM330" s="5">
        <f t="shared" si="25"/>
        <v>0.1488802456235406</v>
      </c>
      <c r="AN330" t="str">
        <v>29-05-25</v>
      </c>
      <c r="AO330" t="str">
        <v>04-06-25</v>
      </c>
      <c r="AP330" t="str">
        <f t="shared" si="26"/>
        <v>May</v>
      </c>
      <c r="AQ330" t="str">
        <f t="shared" si="27"/>
        <v>2025</v>
      </c>
      <c r="AR330" t="str">
        <f t="shared" si="28"/>
        <v>anomaly</v>
      </c>
      <c r="AS330">
        <f t="shared" si="29"/>
        <v>6</v>
      </c>
      <c r="AT330" t="str">
        <f>IF(COUNTIFS( $A:$A,A330,$B:$B,B330,$C:$C,C330,$D:$D,D330,$E:$E,E330,$F:$F,F330,$G:$G,G330,$H:$H,H330,$I:$I,I330,$J:$J,J330,$K:$K,K330,$L:$L,L330,$M:$M,M330,$T:$T,T330,$U:$U,U330,$W:$W,W330,$Z:$Z,Z330,$AA:$AA,AA330,$AB:$AB,AB330,$AC:$AC,AC330,$AD:$AD,AD330,$AE:$AE,AE330,$AF:$AF,AF330,$AG:$AG,AG330,$AH:$AH,AH330,$AI:$AI,AI330)&gt;1,"Duplicate","Unique")</f>
        <v>Unique</v>
      </c>
    </row>
    <row r="331" spans="1:46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  <c r="W331" t="s">
        <v>1669</v>
      </c>
      <c r="Z331" t="s">
        <v>1672</v>
      </c>
      <c r="AA331" t="str">
        <v>Neha Gupta</v>
      </c>
      <c r="AB331" t="str">
        <f>TRIM(PROPER(F:F))</f>
        <v>Small Business</v>
      </c>
      <c r="AC331" t="str">
        <f>TRIM(PROPER(G:G))</f>
        <v>West</v>
      </c>
      <c r="AD331" t="str">
        <f>TRIM(PROPER(H:H))</f>
        <v>Maharashtra</v>
      </c>
      <c r="AE331" t="str">
        <f>TRIM(PROPER(I:I))</f>
        <v>Mumbai</v>
      </c>
      <c r="AF331" t="str">
        <f>TRIM(PROPER(J:J))</f>
        <v>Office Supplies</v>
      </c>
      <c r="AG331" t="str">
        <f>TRIM(PROPER(K:K))</f>
        <v>Storage</v>
      </c>
      <c r="AH331" t="str">
        <f>TRIM(PROPER(L:L))</f>
        <v>Prime Storage 232</v>
      </c>
      <c r="AI331" t="str">
        <f>TRIM(PROPER(M:M))</f>
        <v>Standard Class</v>
      </c>
      <c r="AJ331" s="5">
        <f>IF(OR(P331&lt;0,P331&gt;0.5),"invalid",P331)</f>
        <v>0.05</v>
      </c>
      <c r="AK331" s="6">
        <f>IFERROR(N331*O331*(1-AJ331), "NA")</f>
        <v>15401.513999999999</v>
      </c>
      <c r="AL331" s="6">
        <f>IFERROR(AK331-R331,"NA")</f>
        <v>6751.0939999999991</v>
      </c>
      <c r="AM331" s="5">
        <f t="shared" si="25"/>
        <v>0.43833963336331738</v>
      </c>
      <c r="AN331" t="str">
        <v>12-05-25</v>
      </c>
      <c r="AO331" t="str">
        <v>18-05-25</v>
      </c>
      <c r="AP331" t="str">
        <f t="shared" si="26"/>
        <v>May</v>
      </c>
      <c r="AQ331" t="str">
        <f t="shared" si="27"/>
        <v>2025</v>
      </c>
      <c r="AR331" t="str">
        <f t="shared" si="28"/>
        <v xml:space="preserve"> </v>
      </c>
      <c r="AS331">
        <f t="shared" si="29"/>
        <v>6</v>
      </c>
      <c r="AT331" t="str">
        <f>IF(COUNTIFS( $A:$A,A331,$B:$B,B331,$C:$C,C331,$D:$D,D331,$E:$E,E331,$F:$F,F331,$G:$G,G331,$H:$H,H331,$I:$I,I331,$J:$J,J331,$K:$K,K331,$L:$L,L331,$M:$M,M331,$T:$T,T331,$U:$U,U331,$W:$W,W331,$Z:$Z,Z331,$AA:$AA,AA331,$AB:$AB,AB331,$AC:$AC,AC331,$AD:$AD,AD331,$AE:$AE,AE331,$AF:$AF,AF331,$AG:$AG,AG331,$AH:$AH,AH331,$AI:$AI,AI331)&gt;1,"Duplicate","Unique")</f>
        <v>Unique</v>
      </c>
    </row>
    <row r="332" spans="1:46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  <c r="W332" t="s">
        <v>1674</v>
      </c>
      <c r="Z332" t="s">
        <v>1675</v>
      </c>
      <c r="AA332" t="str">
        <v>Arjun Bose</v>
      </c>
      <c r="AB332" t="str">
        <f>TRIM(PROPER(F:F))</f>
        <v>Home Office</v>
      </c>
      <c r="AC332" t="str">
        <f>TRIM(PROPER(G:G))</f>
        <v>North</v>
      </c>
      <c r="AD332" t="str">
        <f>TRIM(PROPER(H:H))</f>
        <v>Punjab</v>
      </c>
      <c r="AE332" t="str">
        <f>TRIM(PROPER(I:I))</f>
        <v>Ludhiana</v>
      </c>
      <c r="AF332" t="str">
        <f>TRIM(PROPER(J:J))</f>
        <v>Technology</v>
      </c>
      <c r="AG332" t="str">
        <f>TRIM(PROPER(K:K))</f>
        <v>Accessories</v>
      </c>
      <c r="AH332" t="str">
        <f>TRIM(PROPER(L:L))</f>
        <v>Prime Accessories 335</v>
      </c>
      <c r="AI332" t="str">
        <f>TRIM(PROPER(M:M))</f>
        <v>Same Day</v>
      </c>
      <c r="AJ332" s="5">
        <f>IF(OR(P332&lt;0,P332&gt;0.5),"invalid",P332)</f>
        <v>0</v>
      </c>
      <c r="AK332" s="6">
        <f>IFERROR(N332*O332*(1-AJ332), "NA")</f>
        <v>783.09</v>
      </c>
      <c r="AL332" s="6">
        <f>IFERROR(AK332-R332,"NA")</f>
        <v>279.20000000000005</v>
      </c>
      <c r="AM332" s="5">
        <f t="shared" si="25"/>
        <v>0.3565362857398256</v>
      </c>
      <c r="AN332" t="str">
        <v>invalid date</v>
      </c>
      <c r="AO332" t="str">
        <v>invalid date</v>
      </c>
      <c r="AP332" t="str">
        <f t="shared" si="26"/>
        <v>invalid date</v>
      </c>
      <c r="AQ332" t="str">
        <f t="shared" si="27"/>
        <v>invalid date</v>
      </c>
      <c r="AR332" t="str">
        <f t="shared" si="28"/>
        <v>Invalid</v>
      </c>
      <c r="AS332" t="str">
        <f t="shared" si="29"/>
        <v>invalid date</v>
      </c>
      <c r="AT332" t="str">
        <f>IF(COUNTIFS( $A:$A,A332,$B:$B,B332,$C:$C,C332,$D:$D,D332,$E:$E,E332,$F:$F,F332,$G:$G,G332,$H:$H,H332,$I:$I,I332,$J:$J,J332,$K:$K,K332,$L:$L,L332,$M:$M,M332,$T:$T,T332,$U:$U,U332,$W:$W,W332,$Z:$Z,Z332,$AA:$AA,AA332,$AB:$AB,AB332,$AC:$AC,AC332,$AD:$AD,AD332,$AE:$AE,AE332,$AF:$AF,AF332,$AG:$AG,AG332,$AH:$AH,AH332,$AI:$AI,AI332)&gt;1,"Duplicate","Unique")</f>
        <v>Unique</v>
      </c>
    </row>
    <row r="333" spans="1:46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  <c r="W333" t="s">
        <v>1677</v>
      </c>
      <c r="Z333" t="s">
        <v>1679</v>
      </c>
      <c r="AA333" t="str">
        <v>Sneha Kapoor</v>
      </c>
      <c r="AB333" t="str">
        <f>TRIM(PROPER(F:F))</f>
        <v>Home Office</v>
      </c>
      <c r="AC333" t="str">
        <f>TRIM(PROPER(G:G))</f>
        <v>East</v>
      </c>
      <c r="AD333" t="str">
        <f>TRIM(PROPER(H:H))</f>
        <v>Odisha</v>
      </c>
      <c r="AE333" t="str">
        <f>TRIM(PROPER(I:I))</f>
        <v>Bhubaneswar</v>
      </c>
      <c r="AF333" t="str">
        <f>TRIM(PROPER(J:J))</f>
        <v>Office Supplies</v>
      </c>
      <c r="AG333" t="str">
        <f>TRIM(PROPER(K:K))</f>
        <v>Binders</v>
      </c>
      <c r="AH333" t="str">
        <f>TRIM(PROPER(L:L))</f>
        <v>Smart Binders 939</v>
      </c>
      <c r="AI333" t="str">
        <f>TRIM(PROPER(M:M))</f>
        <v>Second Class</v>
      </c>
      <c r="AJ333" s="5">
        <f>IF(OR(P333&lt;0,P333&gt;0.5),"invalid",P333)</f>
        <v>0</v>
      </c>
      <c r="AK333" s="6">
        <f>IFERROR(N333*O333*(1-AJ333), "NA")</f>
        <v>10742.64</v>
      </c>
      <c r="AL333" s="6">
        <f>IFERROR(AK333-R333,"NA")</f>
        <v>4265.2699999999995</v>
      </c>
      <c r="AM333" s="5">
        <f t="shared" si="25"/>
        <v>0.39704113700170535</v>
      </c>
      <c r="AN333" t="str">
        <v>04-12-24</v>
      </c>
      <c r="AO333" t="str">
        <v>06-12-24</v>
      </c>
      <c r="AP333" t="str">
        <f t="shared" si="26"/>
        <v>December</v>
      </c>
      <c r="AQ333" t="str">
        <f t="shared" si="27"/>
        <v>2024</v>
      </c>
      <c r="AR333" t="str">
        <f t="shared" si="28"/>
        <v xml:space="preserve"> </v>
      </c>
      <c r="AS333">
        <f t="shared" si="29"/>
        <v>2</v>
      </c>
      <c r="AT333" t="str">
        <f>IF(COUNTIFS( $A:$A,A333,$B:$B,B333,$C:$C,C333,$D:$D,D333,$E:$E,E333,$F:$F,F333,$G:$G,G333,$H:$H,H333,$I:$I,I333,$J:$J,J333,$K:$K,K333,$L:$L,L333,$M:$M,M333,$T:$T,T333,$U:$U,U333,$W:$W,W333,$Z:$Z,Z333,$AA:$AA,AA333,$AB:$AB,AB333,$AC:$AC,AC333,$AD:$AD,AD333,$AE:$AE,AE333,$AF:$AF,AF333,$AG:$AG,AG333,$AH:$AH,AH333,$AI:$AI,AI333)&gt;1,"Duplicate","Unique")</f>
        <v>Unique</v>
      </c>
    </row>
    <row r="334" spans="1:46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  <c r="W334" t="s">
        <v>1681</v>
      </c>
      <c r="Z334" t="s">
        <v>1684</v>
      </c>
      <c r="AA334" t="str">
        <v>Aarav Sharma</v>
      </c>
      <c r="AB334" t="str">
        <f>TRIM(PROPER(F:F))</f>
        <v>Consumer</v>
      </c>
      <c r="AC334" t="str">
        <f>TRIM(PROPER(G:G))</f>
        <v>South</v>
      </c>
      <c r="AD334" t="str">
        <f>TRIM(PROPER(H:H))</f>
        <v>Andhra Pradesh</v>
      </c>
      <c r="AE334" t="str">
        <f>TRIM(PROPER(I:I))</f>
        <v>Vijayawada</v>
      </c>
      <c r="AF334" t="str">
        <f>TRIM(PROPER(J:J))</f>
        <v>Technology</v>
      </c>
      <c r="AG334" t="str">
        <f>TRIM(PROPER(K:K))</f>
        <v>Machines</v>
      </c>
      <c r="AH334" t="str">
        <f>TRIM(PROPER(L:L))</f>
        <v>Basic Machines 601</v>
      </c>
      <c r="AI334" t="str">
        <f>TRIM(PROPER(M:M))</f>
        <v>Second Class</v>
      </c>
      <c r="AJ334" s="5">
        <f>IF(OR(P334&lt;0,P334&gt;0.5),"invalid",P334)</f>
        <v>0</v>
      </c>
      <c r="AK334" s="6">
        <f>IFERROR(N334*O334*(1-AJ334), "NA")</f>
        <v>7823.92</v>
      </c>
      <c r="AL334" s="6">
        <f>IFERROR(AK334-R334,"NA")</f>
        <v>1789.29</v>
      </c>
      <c r="AM334" s="5">
        <f t="shared" si="25"/>
        <v>0.22869482305545047</v>
      </c>
      <c r="AN334" t="str">
        <v>27-05-25</v>
      </c>
      <c r="AO334" t="str">
        <v>28-05-25</v>
      </c>
      <c r="AP334" t="str">
        <f t="shared" si="26"/>
        <v>May</v>
      </c>
      <c r="AQ334" t="str">
        <f t="shared" si="27"/>
        <v>2025</v>
      </c>
      <c r="AR334" t="str">
        <f t="shared" si="28"/>
        <v xml:space="preserve"> </v>
      </c>
      <c r="AS334">
        <f t="shared" si="29"/>
        <v>1</v>
      </c>
      <c r="AT334" t="str">
        <f>IF(COUNTIFS( $A:$A,A334,$B:$B,B334,$C:$C,C334,$D:$D,D334,$E:$E,E334,$F:$F,F334,$G:$G,G334,$H:$H,H334,$I:$I,I334,$J:$J,J334,$K:$K,K334,$L:$L,L334,$M:$M,M334,$T:$T,T334,$U:$U,U334,$W:$W,W334,$Z:$Z,Z334,$AA:$AA,AA334,$AB:$AB,AB334,$AC:$AC,AC334,$AD:$AD,AD334,$AE:$AE,AE334,$AF:$AF,AF334,$AG:$AG,AG334,$AH:$AH,AH334,$AI:$AI,AI334)&gt;1,"Duplicate","Unique")</f>
        <v>Unique</v>
      </c>
    </row>
    <row r="335" spans="1:46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  <c r="W335" t="s">
        <v>1687</v>
      </c>
      <c r="Z335" t="s">
        <v>1690</v>
      </c>
      <c r="AA335" t="str">
        <v>Rohan Mehta</v>
      </c>
      <c r="AB335" t="str">
        <f>TRIM(PROPER(F:F))</f>
        <v>Home Office</v>
      </c>
      <c r="AC335" t="s">
        <v>4111</v>
      </c>
      <c r="AD335" t="str">
        <f>TRIM(PROPER(H:H))</f>
        <v>Delhi</v>
      </c>
      <c r="AE335" t="str">
        <f>TRIM(PROPER(I:I))</f>
        <v>New Delhi</v>
      </c>
      <c r="AF335" t="str">
        <f>TRIM(PROPER(J:J))</f>
        <v>Technology</v>
      </c>
      <c r="AG335" t="str">
        <f>TRIM(PROPER(K:K))</f>
        <v>Phones</v>
      </c>
      <c r="AH335" t="str">
        <f>TRIM(PROPER(L:L))</f>
        <v>Pro Phones 968</v>
      </c>
      <c r="AI335" t="str">
        <f>TRIM(PROPER(M:M))</f>
        <v>First Class</v>
      </c>
      <c r="AJ335" s="5">
        <f>IF(OR(P335&lt;0,P335&gt;0.5),"invalid",P335)</f>
        <v>0</v>
      </c>
      <c r="AK335" s="6">
        <f>IFERROR(N335*O335*(1-AJ335), "NA")</f>
        <v>2936.1</v>
      </c>
      <c r="AL335" s="6">
        <f>IFERROR(AK335-R335,"NA")</f>
        <v>1013</v>
      </c>
      <c r="AM335" s="5">
        <f t="shared" si="25"/>
        <v>0.34501549674738602</v>
      </c>
      <c r="AN335" t="str">
        <v>22-06-25</v>
      </c>
      <c r="AO335" t="str">
        <v>27-06-25</v>
      </c>
      <c r="AP335" t="str">
        <f t="shared" si="26"/>
        <v>June</v>
      </c>
      <c r="AQ335" t="str">
        <f t="shared" si="27"/>
        <v>2025</v>
      </c>
      <c r="AR335" t="str">
        <f t="shared" si="28"/>
        <v xml:space="preserve"> </v>
      </c>
      <c r="AS335">
        <f t="shared" si="29"/>
        <v>5</v>
      </c>
      <c r="AT335" t="str">
        <f>IF(COUNTIFS( $A:$A,A335,$B:$B,B335,$C:$C,C335,$D:$D,D335,$E:$E,E335,$F:$F,F335,$G:$G,G335,$H:$H,H335,$I:$I,I335,$J:$J,J335,$K:$K,K335,$L:$L,L335,$M:$M,M335,$T:$T,T335,$U:$U,U335,$W:$W,W335,$Z:$Z,Z335,$AA:$AA,AA335,$AB:$AB,AB335,$AC:$AC,AC335,$AD:$AD,AD335,$AE:$AE,AE335,$AF:$AF,AF335,$AG:$AG,AG335,$AH:$AH,AH335,$AI:$AI,AI335)&gt;1,"Duplicate","Unique")</f>
        <v>Unique</v>
      </c>
    </row>
    <row r="336" spans="1:46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  <c r="W336" t="s">
        <v>1692</v>
      </c>
      <c r="Z336" t="s">
        <v>1695</v>
      </c>
      <c r="AA336" t="str">
        <v>Ananya Rao</v>
      </c>
      <c r="AB336" t="str">
        <f>TRIM(PROPER(F:F))</f>
        <v>Consumer</v>
      </c>
      <c r="AC336" t="str">
        <f>TRIM(PROPER(G:G))</f>
        <v>East</v>
      </c>
      <c r="AD336" t="str">
        <f>TRIM(PROPER(H:H))</f>
        <v>Jharkhand</v>
      </c>
      <c r="AE336" t="str">
        <f>TRIM(PROPER(I:I))</f>
        <v>Ranchi</v>
      </c>
      <c r="AF336" t="str">
        <f>TRIM(PROPER(J:J))</f>
        <v>Office Supplies</v>
      </c>
      <c r="AG336" t="str">
        <f>TRIM(PROPER(K:K))</f>
        <v>Storage</v>
      </c>
      <c r="AH336" t="str">
        <f>TRIM(PROPER(L:L))</f>
        <v>Pro Storage 563</v>
      </c>
      <c r="AI336" t="str">
        <f>TRIM(PROPER(M:M))</f>
        <v>First Class</v>
      </c>
      <c r="AJ336" s="5">
        <f>IF(OR(P336&lt;0,P336&gt;0.5),"invalid",P336)</f>
        <v>0.25</v>
      </c>
      <c r="AK336" s="6">
        <f>IFERROR(N336*O336*(1-AJ336), "NA")</f>
        <v>12969.922500000001</v>
      </c>
      <c r="AL336" s="6">
        <f>IFERROR(AK336-R336,"NA")</f>
        <v>3571.4625000000015</v>
      </c>
      <c r="AM336" s="5">
        <f t="shared" si="25"/>
        <v>0.27536498386941027</v>
      </c>
      <c r="AN336" t="str">
        <v>12-09-24</v>
      </c>
      <c r="AO336" t="str">
        <v>17-09-24</v>
      </c>
      <c r="AP336" t="str">
        <f t="shared" si="26"/>
        <v>September</v>
      </c>
      <c r="AQ336" t="str">
        <f t="shared" si="27"/>
        <v>2024</v>
      </c>
      <c r="AR336" t="str">
        <f t="shared" si="28"/>
        <v xml:space="preserve"> </v>
      </c>
      <c r="AS336">
        <f t="shared" si="29"/>
        <v>5</v>
      </c>
      <c r="AT336" t="str">
        <f>IF(COUNTIFS( $A:$A,A336,$B:$B,B336,$C:$C,C336,$D:$D,D336,$E:$E,E336,$F:$F,F336,$G:$G,G336,$H:$H,H336,$I:$I,I336,$J:$J,J336,$K:$K,K336,$L:$L,L336,$M:$M,M336,$T:$T,T336,$U:$U,U336,$W:$W,W336,$Z:$Z,Z336,$AA:$AA,AA336,$AB:$AB,AB336,$AC:$AC,AC336,$AD:$AD,AD336,$AE:$AE,AE336,$AF:$AF,AF336,$AG:$AG,AG336,$AH:$AH,AH336,$AI:$AI,AI336)&gt;1,"Duplicate","Unique")</f>
        <v>Unique</v>
      </c>
    </row>
    <row r="337" spans="1:46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  <c r="W337" t="s">
        <v>1697</v>
      </c>
      <c r="Z337" t="s">
        <v>1700</v>
      </c>
      <c r="AA337" t="str">
        <v>Rahul Verma</v>
      </c>
      <c r="AB337" t="str">
        <f>TRIM(PROPER(F:F))</f>
        <v>Home Office</v>
      </c>
      <c r="AC337" t="str">
        <f>TRIM(PROPER(G:G))</f>
        <v>West</v>
      </c>
      <c r="AD337" t="str">
        <f>TRIM(PROPER(H:H))</f>
        <v>Madhya Pradesh</v>
      </c>
      <c r="AE337" t="str">
        <f>TRIM(PROPER(I:I))</f>
        <v>Indore</v>
      </c>
      <c r="AF337" t="str">
        <f>TRIM(PROPER(J:J))</f>
        <v>Office Supplies</v>
      </c>
      <c r="AG337" t="str">
        <f>TRIM(PROPER(K:K))</f>
        <v>Paper</v>
      </c>
      <c r="AH337" t="str">
        <f>TRIM(PROPER(L:L))</f>
        <v>Prime Paper 559</v>
      </c>
      <c r="AI337" t="str">
        <f>TRIM(PROPER(M:M))</f>
        <v>First Class</v>
      </c>
      <c r="AJ337" s="5">
        <f>IF(OR(P337&lt;0,P337&gt;0.5),"invalid",P337)</f>
        <v>0.1</v>
      </c>
      <c r="AK337" s="6">
        <f>IFERROR(N337*O337*(1-AJ337), "NA")</f>
        <v>11581.299000000001</v>
      </c>
      <c r="AL337" s="6">
        <f>IFERROR(AK337-R337,"NA")</f>
        <v>4751.8690000000006</v>
      </c>
      <c r="AM337" s="5">
        <f t="shared" si="25"/>
        <v>0.41030535521101735</v>
      </c>
      <c r="AN337" t="str">
        <v>invalid date</v>
      </c>
      <c r="AO337" t="str">
        <v>18-06-25</v>
      </c>
      <c r="AP337" t="str">
        <f t="shared" si="26"/>
        <v>invalid date</v>
      </c>
      <c r="AQ337" t="str">
        <f t="shared" si="27"/>
        <v>invalid date</v>
      </c>
      <c r="AR337" t="str">
        <f t="shared" si="28"/>
        <v>Invalid</v>
      </c>
      <c r="AS337" t="str">
        <f t="shared" si="29"/>
        <v>invalid date</v>
      </c>
      <c r="AT337" t="str">
        <f>IF(COUNTIFS( $A:$A,A337,$B:$B,B337,$C:$C,C337,$D:$D,D337,$E:$E,E337,$F:$F,F337,$G:$G,G337,$H:$H,H337,$I:$I,I337,$J:$J,J337,$K:$K,K337,$L:$L,L337,$M:$M,M337,$T:$T,T337,$U:$U,U337,$W:$W,W337,$Z:$Z,Z337,$AA:$AA,AA337,$AB:$AB,AB337,$AC:$AC,AC337,$AD:$AD,AD337,$AE:$AE,AE337,$AF:$AF,AF337,$AG:$AG,AG337,$AH:$AH,AH337,$AI:$AI,AI337)&gt;1,"Duplicate","Unique")</f>
        <v>Unique</v>
      </c>
    </row>
    <row r="338" spans="1:46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  <c r="W338" t="s">
        <v>1702</v>
      </c>
      <c r="Z338" t="s">
        <v>1321</v>
      </c>
      <c r="AA338" t="str">
        <v>Aarav Sharma</v>
      </c>
      <c r="AB338" t="str">
        <f>TRIM(PROPER(F:F))</f>
        <v>Consumer</v>
      </c>
      <c r="AC338" t="str">
        <f>TRIM(PROPER(G:G))</f>
        <v>North</v>
      </c>
      <c r="AD338" t="str">
        <f>TRIM(PROPER(H:H))</f>
        <v>Rajasthan</v>
      </c>
      <c r="AE338" t="str">
        <f>TRIM(PROPER(I:I))</f>
        <v>Jaipur</v>
      </c>
      <c r="AF338" t="str">
        <f>TRIM(PROPER(J:J))</f>
        <v>Technology</v>
      </c>
      <c r="AG338" t="str">
        <f>TRIM(PROPER(K:K))</f>
        <v>Copiers</v>
      </c>
      <c r="AH338" t="str">
        <f>TRIM(PROPER(L:L))</f>
        <v>Pro Copiers 999</v>
      </c>
      <c r="AI338" t="str">
        <f>TRIM(PROPER(M:M))</f>
        <v>First Class</v>
      </c>
      <c r="AJ338" s="5">
        <f>IF(OR(P338&lt;0,P338&gt;0.5),"invalid",P338)</f>
        <v>0</v>
      </c>
      <c r="AK338" s="6">
        <f>IFERROR(N338*O338*(1-AJ338), "NA")</f>
        <v>15940.56</v>
      </c>
      <c r="AL338" s="6">
        <f>IFERROR(AK338-R338,"NA")</f>
        <v>3593.41</v>
      </c>
      <c r="AM338" s="5">
        <f t="shared" si="25"/>
        <v>0.2254255810335396</v>
      </c>
      <c r="AN338" t="str">
        <v>17-03-24</v>
      </c>
      <c r="AO338" t="str">
        <v>invalid date</v>
      </c>
      <c r="AP338" t="str">
        <f t="shared" si="26"/>
        <v>March</v>
      </c>
      <c r="AQ338" t="str">
        <f t="shared" si="27"/>
        <v>2024</v>
      </c>
      <c r="AR338" t="str">
        <f t="shared" si="28"/>
        <v>Invalid</v>
      </c>
      <c r="AS338" t="str">
        <f t="shared" si="29"/>
        <v>invalid date</v>
      </c>
      <c r="AT338" t="str">
        <f>IF(COUNTIFS( $A:$A,A338,$B:$B,B338,$C:$C,C338,$D:$D,D338,$E:$E,E338,$F:$F,F338,$G:$G,G338,$H:$H,H338,$I:$I,I338,$J:$J,J338,$K:$K,K338,$L:$L,L338,$M:$M,M338,$T:$T,T338,$U:$U,U338,$W:$W,W338,$Z:$Z,Z338,$AA:$AA,AA338,$AB:$AB,AB338,$AC:$AC,AC338,$AD:$AD,AD338,$AE:$AE,AE338,$AF:$AF,AF338,$AG:$AG,AG338,$AH:$AH,AH338,$AI:$AI,AI338)&gt;1,"Duplicate","Unique")</f>
        <v>Unique</v>
      </c>
    </row>
    <row r="339" spans="1:46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  <c r="W339" t="s">
        <v>1705</v>
      </c>
      <c r="Z339" t="s">
        <v>1708</v>
      </c>
      <c r="AA339" t="str">
        <v>Ananya Rao</v>
      </c>
      <c r="AB339" t="str">
        <f>TRIM(PROPER(F:F))</f>
        <v>Consumer</v>
      </c>
      <c r="AC339" t="str">
        <f>TRIM(PROPER(G:G))</f>
        <v>East</v>
      </c>
      <c r="AD339" t="str">
        <f>TRIM(PROPER(H:H))</f>
        <v>Assam</v>
      </c>
      <c r="AE339" t="str">
        <f>TRIM(PROPER(I:I))</f>
        <v>Guwahati</v>
      </c>
      <c r="AF339" t="str">
        <f>TRIM(PROPER(J:J))</f>
        <v>Office Supplies</v>
      </c>
      <c r="AG339" t="str">
        <f>TRIM(PROPER(K:K))</f>
        <v>Labels</v>
      </c>
      <c r="AH339" t="str">
        <f>TRIM(PROPER(L:L))</f>
        <v>Classic Labels 206</v>
      </c>
      <c r="AI339" t="str">
        <f>TRIM(PROPER(M:M))</f>
        <v>Same Day</v>
      </c>
      <c r="AJ339" s="5">
        <f>IF(OR(P339&lt;0,P339&gt;0.5),"invalid",P339)</f>
        <v>0</v>
      </c>
      <c r="AK339" s="6">
        <f>IFERROR(N339*O339*(1-AJ339), "NA")</f>
        <v>7090.4400000000005</v>
      </c>
      <c r="AL339" s="6">
        <f>IFERROR(AK339-R339,"NA")</f>
        <v>1418.17</v>
      </c>
      <c r="AM339" s="5">
        <f t="shared" si="25"/>
        <v>0.20001156486762456</v>
      </c>
      <c r="AN339" t="str">
        <v>12-08-24</v>
      </c>
      <c r="AO339" t="str">
        <v>18-08-24</v>
      </c>
      <c r="AP339" t="str">
        <f t="shared" si="26"/>
        <v>August</v>
      </c>
      <c r="AQ339" t="str">
        <f t="shared" si="27"/>
        <v>2024</v>
      </c>
      <c r="AR339" t="str">
        <f t="shared" si="28"/>
        <v xml:space="preserve"> </v>
      </c>
      <c r="AS339">
        <f t="shared" si="29"/>
        <v>6</v>
      </c>
      <c r="AT339" t="str">
        <f>IF(COUNTIFS( $A:$A,A339,$B:$B,B339,$C:$C,C339,$D:$D,D339,$E:$E,E339,$F:$F,F339,$G:$G,G339,$H:$H,H339,$I:$I,I339,$J:$J,J339,$K:$K,K339,$L:$L,L339,$M:$M,M339,$T:$T,T339,$U:$U,U339,$W:$W,W339,$Z:$Z,Z339,$AA:$AA,AA339,$AB:$AB,AB339,$AC:$AC,AC339,$AD:$AD,AD339,$AE:$AE,AE339,$AF:$AF,AF339,$AG:$AG,AG339,$AH:$AH,AH339,$AI:$AI,AI339)&gt;1,"Duplicate","Unique")</f>
        <v>Unique</v>
      </c>
    </row>
    <row r="340" spans="1:46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  <c r="W340" t="s">
        <v>1710</v>
      </c>
      <c r="Z340" t="s">
        <v>1712</v>
      </c>
      <c r="AA340" t="str">
        <v>Arjun Bose</v>
      </c>
      <c r="AB340" t="str">
        <f>TRIM(PROPER(F:F))</f>
        <v>Small Business</v>
      </c>
      <c r="AC340" t="str">
        <f>TRIM(PROPER(G:G))</f>
        <v>South</v>
      </c>
      <c r="AD340" t="str">
        <f>TRIM(PROPER(H:H))</f>
        <v>Andhra Pradesh</v>
      </c>
      <c r="AE340" t="str">
        <f>TRIM(PROPER(I:I))</f>
        <v>Vijayawada</v>
      </c>
      <c r="AF340" t="str">
        <f>TRIM(PROPER(J:J))</f>
        <v>Technology</v>
      </c>
      <c r="AG340" t="str">
        <f>TRIM(PROPER(K:K))</f>
        <v>Accessories</v>
      </c>
      <c r="AH340" t="str">
        <f>TRIM(PROPER(L:L))</f>
        <v>Eco Accessories 315</v>
      </c>
      <c r="AI340" t="str">
        <f>TRIM(PROPER(M:M))</f>
        <v>First Class</v>
      </c>
      <c r="AJ340" s="5">
        <f>IF(OR(P340&lt;0,P340&gt;0.5),"invalid",P340)</f>
        <v>0.25</v>
      </c>
      <c r="AK340" s="6">
        <f>IFERROR(N340*O340*(1-AJ340), "NA")</f>
        <v>26414.159999999996</v>
      </c>
      <c r="AL340" s="6">
        <f>IFERROR(AK340-R340,"NA")</f>
        <v>4591.6299999999974</v>
      </c>
      <c r="AM340" s="5">
        <f t="shared" si="25"/>
        <v>0.17383214154832097</v>
      </c>
      <c r="AN340" t="str">
        <v>08-12-24</v>
      </c>
      <c r="AO340" t="str">
        <v>12-08-24</v>
      </c>
      <c r="AP340" t="str">
        <f t="shared" si="26"/>
        <v>December</v>
      </c>
      <c r="AQ340" t="str">
        <f t="shared" si="27"/>
        <v>2024</v>
      </c>
      <c r="AR340" t="str">
        <f t="shared" si="28"/>
        <v xml:space="preserve"> </v>
      </c>
      <c r="AS340">
        <f t="shared" si="29"/>
        <v>-118</v>
      </c>
      <c r="AT340" t="str">
        <f>IF(COUNTIFS( $A:$A,A340,$B:$B,B340,$C:$C,C340,$D:$D,D340,$E:$E,E340,$F:$F,F340,$G:$G,G340,$H:$H,H340,$I:$I,I340,$J:$J,J340,$K:$K,K340,$L:$L,L340,$M:$M,M340,$T:$T,T340,$U:$U,U340,$W:$W,W340,$Z:$Z,Z340,$AA:$AA,AA340,$AB:$AB,AB340,$AC:$AC,AC340,$AD:$AD,AD340,$AE:$AE,AE340,$AF:$AF,AF340,$AG:$AG,AG340,$AH:$AH,AH340,$AI:$AI,AI340)&gt;1,"Duplicate","Unique")</f>
        <v>Unique</v>
      </c>
    </row>
    <row r="341" spans="1:46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  <c r="W341" t="s">
        <v>1714</v>
      </c>
      <c r="Z341" t="s">
        <v>1716</v>
      </c>
      <c r="AA341" t="str">
        <v>Neha Gupta</v>
      </c>
      <c r="AB341" t="str">
        <f>TRIM(PROPER(F:F))</f>
        <v>Corporate</v>
      </c>
      <c r="AC341" t="str">
        <f>TRIM(PROPER(G:G))</f>
        <v>East</v>
      </c>
      <c r="AD341" t="str">
        <f>TRIM(PROPER(H:H))</f>
        <v>Jharkhand</v>
      </c>
      <c r="AE341" t="str">
        <f>TRIM(PROPER(I:I))</f>
        <v>Ranchi</v>
      </c>
      <c r="AF341" t="str">
        <f>TRIM(PROPER(J:J))</f>
        <v>Furniture</v>
      </c>
      <c r="AG341" t="str">
        <f>TRIM(PROPER(K:K))</f>
        <v>Bookcases</v>
      </c>
      <c r="AH341" t="str">
        <f>TRIM(PROPER(L:L))</f>
        <v>Elite Bookcases 988</v>
      </c>
      <c r="AI341" t="str">
        <f>TRIM(PROPER(M:M))</f>
        <v>Standard Class</v>
      </c>
      <c r="AJ341" s="5">
        <f>IF(OR(P341&lt;0,P341&gt;0.5),"invalid",P341)</f>
        <v>0.2</v>
      </c>
      <c r="AK341" s="6">
        <f>IFERROR(N341*O341*(1-AJ341), "NA")</f>
        <v>20900.864000000001</v>
      </c>
      <c r="AL341" s="6">
        <f>IFERROR(AK341-R341,"NA")</f>
        <v>8387.724000000002</v>
      </c>
      <c r="AM341" s="5">
        <f t="shared" si="25"/>
        <v>0.40130991714026759</v>
      </c>
      <c r="AN341" t="str">
        <v>20-02-25</v>
      </c>
      <c r="AO341" t="str">
        <v>22-02-25</v>
      </c>
      <c r="AP341" t="str">
        <f t="shared" si="26"/>
        <v>February</v>
      </c>
      <c r="AQ341" t="str">
        <f t="shared" si="27"/>
        <v>2025</v>
      </c>
      <c r="AR341" t="str">
        <f t="shared" si="28"/>
        <v xml:space="preserve"> </v>
      </c>
      <c r="AS341">
        <f t="shared" si="29"/>
        <v>2</v>
      </c>
      <c r="AT341" t="str">
        <f>IF(COUNTIFS( $A:$A,A341,$B:$B,B341,$C:$C,C341,$D:$D,D341,$E:$E,E341,$F:$F,F341,$G:$G,G341,$H:$H,H341,$I:$I,I341,$J:$J,J341,$K:$K,K341,$L:$L,L341,$M:$M,M341,$T:$T,T341,$U:$U,U341,$W:$W,W341,$Z:$Z,Z341,$AA:$AA,AA341,$AB:$AB,AB341,$AC:$AC,AC341,$AD:$AD,AD341,$AE:$AE,AE341,$AF:$AF,AF341,$AG:$AG,AG341,$AH:$AH,AH341,$AI:$AI,AI341)&gt;1,"Duplicate","Unique")</f>
        <v>Unique</v>
      </c>
    </row>
    <row r="342" spans="1:46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  <c r="W342" t="s">
        <v>1718</v>
      </c>
      <c r="Z342" t="s">
        <v>1721</v>
      </c>
      <c r="AA342" t="str">
        <v>Neha Gupta</v>
      </c>
      <c r="AB342" t="str">
        <f>TRIM(PROPER(F:F))</f>
        <v>Consumer</v>
      </c>
      <c r="AC342" t="str">
        <f>TRIM(PROPER(G:G))</f>
        <v>South</v>
      </c>
      <c r="AD342" t="str">
        <f>TRIM(PROPER(H:H))</f>
        <v>Karnataka</v>
      </c>
      <c r="AE342" t="str">
        <f>TRIM(PROPER(I:I))</f>
        <v>Bengaluru</v>
      </c>
      <c r="AF342" t="str">
        <f>TRIM(PROPER(J:J))</f>
        <v>Office Supplies</v>
      </c>
      <c r="AG342" t="str">
        <f>TRIM(PROPER(K:K))</f>
        <v>Binders</v>
      </c>
      <c r="AH342" t="str">
        <f>TRIM(PROPER(L:L))</f>
        <v>Smart Binders 414</v>
      </c>
      <c r="AI342" t="str">
        <f>TRIM(PROPER(M:M))</f>
        <v>Standard Class</v>
      </c>
      <c r="AJ342" s="5">
        <f>IF(OR(P342&lt;0,P342&gt;0.5),"invalid",P342)</f>
        <v>0.1</v>
      </c>
      <c r="AK342" s="6">
        <f>IFERROR(N342*O342*(1-AJ342), "NA")</f>
        <v>18261.36</v>
      </c>
      <c r="AL342" s="6">
        <f>IFERROR(AK342-R342,"NA")</f>
        <v>6861.42</v>
      </c>
      <c r="AM342" s="5">
        <f t="shared" si="25"/>
        <v>0.3757343374206521</v>
      </c>
      <c r="AN342" t="str">
        <v>21-01-24</v>
      </c>
      <c r="AO342" t="str">
        <v>invalid date</v>
      </c>
      <c r="AP342" t="str">
        <f t="shared" si="26"/>
        <v>January</v>
      </c>
      <c r="AQ342" t="str">
        <f t="shared" si="27"/>
        <v>2024</v>
      </c>
      <c r="AR342" t="str">
        <f t="shared" si="28"/>
        <v>Invalid</v>
      </c>
      <c r="AS342" t="str">
        <f t="shared" si="29"/>
        <v>invalid date</v>
      </c>
      <c r="AT342" t="str">
        <f>IF(COUNTIFS( $A:$A,A342,$B:$B,B342,$C:$C,C342,$D:$D,D342,$E:$E,E342,$F:$F,F342,$G:$G,G342,$H:$H,H342,$I:$I,I342,$J:$J,J342,$K:$K,K342,$L:$L,L342,$M:$M,M342,$T:$T,T342,$U:$U,U342,$W:$W,W342,$Z:$Z,Z342,$AA:$AA,AA342,$AB:$AB,AB342,$AC:$AC,AC342,$AD:$AD,AD342,$AE:$AE,AE342,$AF:$AF,AF342,$AG:$AG,AG342,$AH:$AH,AH342,$AI:$AI,AI342)&gt;1,"Duplicate","Unique")</f>
        <v>Unique</v>
      </c>
    </row>
    <row r="343" spans="1:46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  <c r="W343" t="s">
        <v>1723</v>
      </c>
      <c r="Z343" t="s">
        <v>1726</v>
      </c>
      <c r="AA343" t="str">
        <v>Rohan Mehta</v>
      </c>
      <c r="AB343" t="str">
        <f>TRIM(PROPER(F:F))</f>
        <v>Home Office</v>
      </c>
      <c r="AC343" t="str">
        <f>TRIM(PROPER(G:G))</f>
        <v>West</v>
      </c>
      <c r="AD343" t="str">
        <f>TRIM(PROPER(H:H))</f>
        <v>Gujarat</v>
      </c>
      <c r="AE343" t="str">
        <f>TRIM(PROPER(I:I))</f>
        <v>Ahmedabad</v>
      </c>
      <c r="AF343" t="str">
        <f>TRIM(PROPER(J:J))</f>
        <v>Furniture</v>
      </c>
      <c r="AG343" t="str">
        <f>TRIM(PROPER(K:K))</f>
        <v>Chairs</v>
      </c>
      <c r="AH343" t="str">
        <f>TRIM(PROPER(L:L))</f>
        <v>Eco Chairs 552</v>
      </c>
      <c r="AI343" t="str">
        <f>TRIM(PROPER(M:M))</f>
        <v>Second Class</v>
      </c>
      <c r="AJ343" s="5">
        <f>IF(OR(P343&lt;0,P343&gt;0.5),"invalid",P343)</f>
        <v>0.05</v>
      </c>
      <c r="AK343" s="6">
        <f>IFERROR(N343*O343*(1-AJ343), "NA")</f>
        <v>7524.6269999999995</v>
      </c>
      <c r="AL343" s="6">
        <f>IFERROR(AK343-R343,"NA")</f>
        <v>1295.0269999999991</v>
      </c>
      <c r="AM343" s="5">
        <f t="shared" si="25"/>
        <v>0.17210514222166751</v>
      </c>
      <c r="AN343" t="str">
        <v>08-09-25</v>
      </c>
      <c r="AO343" t="str">
        <v>09-09-25</v>
      </c>
      <c r="AP343" t="str">
        <f t="shared" si="26"/>
        <v>September</v>
      </c>
      <c r="AQ343" t="str">
        <f t="shared" si="27"/>
        <v>2025</v>
      </c>
      <c r="AR343" t="str">
        <f t="shared" si="28"/>
        <v xml:space="preserve"> </v>
      </c>
      <c r="AS343">
        <f t="shared" si="29"/>
        <v>1</v>
      </c>
      <c r="AT343" t="str">
        <f>IF(COUNTIFS( $A:$A,A343,$B:$B,B343,$C:$C,C343,$D:$D,D343,$E:$E,E343,$F:$F,F343,$G:$G,G343,$H:$H,H343,$I:$I,I343,$J:$J,J343,$K:$K,K343,$L:$L,L343,$M:$M,M343,$T:$T,T343,$U:$U,U343,$W:$W,W343,$Z:$Z,Z343,$AA:$AA,AA343,$AB:$AB,AB343,$AC:$AC,AC343,$AD:$AD,AD343,$AE:$AE,AE343,$AF:$AF,AF343,$AG:$AG,AG343,$AH:$AH,AH343,$AI:$AI,AI343)&gt;1,"Duplicate","Unique")</f>
        <v>Unique</v>
      </c>
    </row>
    <row r="344" spans="1:46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  <c r="W344" t="s">
        <v>1728</v>
      </c>
      <c r="Z344" t="s">
        <v>1731</v>
      </c>
      <c r="AA344" t="str">
        <v>Kabir Singh</v>
      </c>
      <c r="AB344" t="str">
        <f>TRIM(PROPER(F:F))</f>
        <v>Small Business</v>
      </c>
      <c r="AC344" t="str">
        <f>TRIM(PROPER(G:G))</f>
        <v>East</v>
      </c>
      <c r="AD344" t="str">
        <f>TRIM(PROPER(H:H))</f>
        <v>Jharkhand</v>
      </c>
      <c r="AE344" t="str">
        <f>TRIM(PROPER(I:I))</f>
        <v>Ranchi</v>
      </c>
      <c r="AF344" t="str">
        <f>TRIM(PROPER(J:J))</f>
        <v>Office Supplies</v>
      </c>
      <c r="AG344" t="str">
        <f>TRIM(PROPER(K:K))</f>
        <v>Binders</v>
      </c>
      <c r="AH344" t="str">
        <f>TRIM(PROPER(L:L))</f>
        <v>Smart Binders 574</v>
      </c>
      <c r="AI344" t="str">
        <f>TRIM(PROPER(M:M))</f>
        <v>First Class</v>
      </c>
      <c r="AJ344" s="5">
        <f>IF(OR(P344&lt;0,P344&gt;0.5),"invalid",P344)</f>
        <v>0</v>
      </c>
      <c r="AK344" s="6">
        <f>IFERROR(N344*O344*(1-AJ344), "NA")</f>
        <v>12231.36</v>
      </c>
      <c r="AL344" s="6">
        <f>IFERROR(AK344-R344,"NA")</f>
        <v>3464.4600000000009</v>
      </c>
      <c r="AM344" s="5">
        <f t="shared" si="25"/>
        <v>0.28324405462679547</v>
      </c>
      <c r="AN344" t="str">
        <v>24-07-25</v>
      </c>
      <c r="AO344" t="str">
        <v>01-08-25</v>
      </c>
      <c r="AP344" t="str">
        <f t="shared" si="26"/>
        <v>July</v>
      </c>
      <c r="AQ344" t="str">
        <f t="shared" si="27"/>
        <v>2025</v>
      </c>
      <c r="AR344" t="str">
        <f t="shared" si="28"/>
        <v>anomaly</v>
      </c>
      <c r="AS344">
        <f t="shared" si="29"/>
        <v>8</v>
      </c>
      <c r="AT344" t="str">
        <f>IF(COUNTIFS( $A:$A,A344,$B:$B,B344,$C:$C,C344,$D:$D,D344,$E:$E,E344,$F:$F,F344,$G:$G,G344,$H:$H,H344,$I:$I,I344,$J:$J,J344,$K:$K,K344,$L:$L,L344,$M:$M,M344,$T:$T,T344,$U:$U,U344,$W:$W,W344,$Z:$Z,Z344,$AA:$AA,AA344,$AB:$AB,AB344,$AC:$AC,AC344,$AD:$AD,AD344,$AE:$AE,AE344,$AF:$AF,AF344,$AG:$AG,AG344,$AH:$AH,AH344,$AI:$AI,AI344)&gt;1,"Duplicate","Unique")</f>
        <v>Unique</v>
      </c>
    </row>
    <row r="345" spans="1:46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  <c r="W345" t="s">
        <v>1733</v>
      </c>
      <c r="Z345" t="s">
        <v>1735</v>
      </c>
      <c r="AA345" t="str">
        <v>Aarav Sharma</v>
      </c>
      <c r="AB345" t="str">
        <f>TRIM(PROPER(F:F))</f>
        <v>Corporate</v>
      </c>
      <c r="AC345" t="str">
        <f>TRIM(PROPER(G:G))</f>
        <v>West</v>
      </c>
      <c r="AD345" t="str">
        <f>TRIM(PROPER(H:H))</f>
        <v>Madhya Pradesh</v>
      </c>
      <c r="AE345" t="str">
        <f>TRIM(PROPER(I:I))</f>
        <v>Indore</v>
      </c>
      <c r="AF345" t="str">
        <f>TRIM(PROPER(J:J))</f>
        <v>Technology</v>
      </c>
      <c r="AG345" t="str">
        <f>TRIM(PROPER(K:K))</f>
        <v>Machines</v>
      </c>
      <c r="AH345" t="str">
        <f>TRIM(PROPER(L:L))</f>
        <v>Pro Machines 444</v>
      </c>
      <c r="AI345" t="str">
        <f>TRIM(PROPER(M:M))</f>
        <v>Same Day</v>
      </c>
      <c r="AJ345" s="5">
        <f>IF(OR(P345&lt;0,P345&gt;0.5),"invalid",P345)</f>
        <v>0.1</v>
      </c>
      <c r="AK345" s="6">
        <f>IFERROR(N345*O345*(1-AJ345), "NA")</f>
        <v>31079.7</v>
      </c>
      <c r="AL345" s="6">
        <f>IFERROR(AK345-R345,"NA")</f>
        <v>13321.45</v>
      </c>
      <c r="AM345" s="5">
        <f t="shared" si="25"/>
        <v>0.4286222196481948</v>
      </c>
      <c r="AN345" t="str">
        <v>10-03-25</v>
      </c>
      <c r="AO345" t="str">
        <v>08-10-25</v>
      </c>
      <c r="AP345" t="str">
        <f t="shared" si="26"/>
        <v>March</v>
      </c>
      <c r="AQ345" t="str">
        <f t="shared" si="27"/>
        <v>2025</v>
      </c>
      <c r="AR345" t="str">
        <f t="shared" si="28"/>
        <v>anomaly</v>
      </c>
      <c r="AS345">
        <f t="shared" si="29"/>
        <v>212</v>
      </c>
      <c r="AT345" t="str">
        <f>IF(COUNTIFS( $A:$A,A345,$B:$B,B345,$C:$C,C345,$D:$D,D345,$E:$E,E345,$F:$F,F345,$G:$G,G345,$H:$H,H345,$I:$I,I345,$J:$J,J345,$K:$K,K345,$L:$L,L345,$M:$M,M345,$T:$T,T345,$U:$U,U345,$W:$W,W345,$Z:$Z,Z345,$AA:$AA,AA345,$AB:$AB,AB345,$AC:$AC,AC345,$AD:$AD,AD345,$AE:$AE,AE345,$AF:$AF,AF345,$AG:$AG,AG345,$AH:$AH,AH345,$AI:$AI,AI345)&gt;1,"Duplicate","Unique")</f>
        <v>Unique</v>
      </c>
    </row>
    <row r="346" spans="1:46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  <c r="W346" t="s">
        <v>1737</v>
      </c>
      <c r="Z346" t="s">
        <v>1738</v>
      </c>
      <c r="AA346" t="str">
        <v>Priya Menon</v>
      </c>
      <c r="AB346" t="str">
        <f>TRIM(PROPER(F:F))</f>
        <v>Consumer</v>
      </c>
      <c r="AC346" t="str">
        <f>TRIM(PROPER(G:G))</f>
        <v>North</v>
      </c>
      <c r="AD346" t="str">
        <f>TRIM(PROPER(H:H))</f>
        <v>Punjab</v>
      </c>
      <c r="AE346" t="str">
        <f>TRIM(PROPER(I:I))</f>
        <v>Ludhiana</v>
      </c>
      <c r="AF346" t="str">
        <f>TRIM(PROPER(J:J))</f>
        <v>Furniture</v>
      </c>
      <c r="AG346" t="str">
        <f>TRIM(PROPER(K:K))</f>
        <v>Bookcases</v>
      </c>
      <c r="AH346" t="str">
        <f>TRIM(PROPER(L:L))</f>
        <v>Elite Bookcases 184</v>
      </c>
      <c r="AI346" t="str">
        <f>TRIM(PROPER(M:M))</f>
        <v>Same Day</v>
      </c>
      <c r="AJ346" s="5">
        <f>IF(OR(P346&lt;0,P346&gt;0.5),"invalid",P346)</f>
        <v>0</v>
      </c>
      <c r="AK346" s="6">
        <f>IFERROR(N346*O346*(1-AJ346), "NA")</f>
        <v>31107.420000000002</v>
      </c>
      <c r="AL346" s="6">
        <f>IFERROR(AK346-R346,"NA")</f>
        <v>10960.760000000002</v>
      </c>
      <c r="AM346" s="5">
        <f t="shared" si="25"/>
        <v>0.3523519468988428</v>
      </c>
      <c r="AN346" t="str">
        <v>11-03-24</v>
      </c>
      <c r="AO346" t="str">
        <v>11-03-24</v>
      </c>
      <c r="AP346" t="str">
        <f t="shared" si="26"/>
        <v>March</v>
      </c>
      <c r="AQ346" t="str">
        <f t="shared" si="27"/>
        <v>2024</v>
      </c>
      <c r="AR346" t="str">
        <f t="shared" si="28"/>
        <v xml:space="preserve"> </v>
      </c>
      <c r="AS346">
        <f t="shared" si="29"/>
        <v>0</v>
      </c>
      <c r="AT346" t="str">
        <f>IF(COUNTIFS( $A:$A,A346,$B:$B,B346,$C:$C,C346,$D:$D,D346,$E:$E,E346,$F:$F,F346,$G:$G,G346,$H:$H,H346,$I:$I,I346,$J:$J,J346,$K:$K,K346,$L:$L,L346,$M:$M,M346,$T:$T,T346,$U:$U,U346,$W:$W,W346,$Z:$Z,Z346,$AA:$AA,AA346,$AB:$AB,AB346,$AC:$AC,AC346,$AD:$AD,AD346,$AE:$AE,AE346,$AF:$AF,AF346,$AG:$AG,AG346,$AH:$AH,AH346,$AI:$AI,AI346)&gt;1,"Duplicate","Unique")</f>
        <v>Unique</v>
      </c>
    </row>
    <row r="347" spans="1:46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  <c r="W347" t="s">
        <v>1740</v>
      </c>
      <c r="Z347" t="s">
        <v>1743</v>
      </c>
      <c r="AA347" t="str">
        <v>Karan Malhotra</v>
      </c>
      <c r="AB347" t="str">
        <f>TRIM(PROPER(F:F))</f>
        <v>Consumer</v>
      </c>
      <c r="AC347" t="str">
        <f>TRIM(PROPER(G:G))</f>
        <v>West</v>
      </c>
      <c r="AD347" t="str">
        <f>TRIM(PROPER(H:H))</f>
        <v>Madhya Pradesh</v>
      </c>
      <c r="AE347" t="str">
        <f>TRIM(PROPER(I:I))</f>
        <v>Indore</v>
      </c>
      <c r="AF347" t="str">
        <f>TRIM(PROPER(J:J))</f>
        <v>Furniture</v>
      </c>
      <c r="AG347" t="str">
        <f>TRIM(PROPER(K:K))</f>
        <v>Furnishings</v>
      </c>
      <c r="AH347" t="str">
        <f>TRIM(PROPER(L:L))</f>
        <v>Elite Furnishings 138</v>
      </c>
      <c r="AI347" t="str">
        <f>TRIM(PROPER(M:M))</f>
        <v>Second Class</v>
      </c>
      <c r="AJ347" s="5">
        <f>IF(OR(P347&lt;0,P347&gt;0.5),"invalid",P347)</f>
        <v>0</v>
      </c>
      <c r="AK347" s="6">
        <f>IFERROR(N347*O347*(1-AJ347), "NA")</f>
        <v>5530.6</v>
      </c>
      <c r="AL347" s="6">
        <f>IFERROR(AK347-R347,"NA")</f>
        <v>1077.4900000000007</v>
      </c>
      <c r="AM347" s="5">
        <f t="shared" si="25"/>
        <v>0.19482334647235391</v>
      </c>
      <c r="AN347" t="str">
        <v>14-09-24</v>
      </c>
      <c r="AO347" t="str">
        <v>22-09-24</v>
      </c>
      <c r="AP347" t="str">
        <f t="shared" si="26"/>
        <v>September</v>
      </c>
      <c r="AQ347" t="str">
        <f t="shared" si="27"/>
        <v>2024</v>
      </c>
      <c r="AR347" t="str">
        <f t="shared" si="28"/>
        <v xml:space="preserve"> </v>
      </c>
      <c r="AS347">
        <f t="shared" si="29"/>
        <v>8</v>
      </c>
      <c r="AT347" t="str">
        <f>IF(COUNTIFS( $A:$A,A347,$B:$B,B347,$C:$C,C347,$D:$D,D347,$E:$E,E347,$F:$F,F347,$G:$G,G347,$H:$H,H347,$I:$I,I347,$J:$J,J347,$K:$K,K347,$L:$L,L347,$M:$M,M347,$T:$T,T347,$U:$U,U347,$W:$W,W347,$Z:$Z,Z347,$AA:$AA,AA347,$AB:$AB,AB347,$AC:$AC,AC347,$AD:$AD,AD347,$AE:$AE,AE347,$AF:$AF,AF347,$AG:$AG,AG347,$AH:$AH,AH347,$AI:$AI,AI347)&gt;1,"Duplicate","Unique")</f>
        <v>Unique</v>
      </c>
    </row>
    <row r="348" spans="1:46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  <c r="W348" t="s">
        <v>1745</v>
      </c>
      <c r="Z348" t="s">
        <v>1747</v>
      </c>
      <c r="AA348" t="str">
        <v>Rahul Verma</v>
      </c>
      <c r="AB348" t="str">
        <f>TRIM(PROPER(F:F))</f>
        <v>Corporate</v>
      </c>
      <c r="AC348" t="str">
        <f>TRIM(PROPER(G:G))</f>
        <v>South</v>
      </c>
      <c r="AD348" t="str">
        <f>TRIM(PROPER(H:H))</f>
        <v>Kerala</v>
      </c>
      <c r="AE348" t="str">
        <f>TRIM(PROPER(I:I))</f>
        <v>Kochi</v>
      </c>
      <c r="AF348" t="str">
        <f>TRIM(PROPER(J:J))</f>
        <v>Furniture</v>
      </c>
      <c r="AG348" t="str">
        <f>TRIM(PROPER(K:K))</f>
        <v>Chairs</v>
      </c>
      <c r="AH348" t="str">
        <f>TRIM(PROPER(L:L))</f>
        <v>Eco Chairs 369</v>
      </c>
      <c r="AI348" t="str">
        <f>TRIM(PROPER(M:M))</f>
        <v>Second Class</v>
      </c>
      <c r="AJ348" s="5">
        <f>IF(OR(P348&lt;0,P348&gt;0.5),"invalid",P348)</f>
        <v>0.2</v>
      </c>
      <c r="AK348" s="6">
        <f>IFERROR(N348*O348*(1-AJ348), "NA")</f>
        <v>7715.8080000000009</v>
      </c>
      <c r="AL348" s="6">
        <f>IFERROR(AK348-R348,"NA")</f>
        <v>3457.3880000000008</v>
      </c>
      <c r="AM348" s="5">
        <f t="shared" si="25"/>
        <v>0.4480915025360922</v>
      </c>
      <c r="AN348" t="str">
        <v>22-07-25</v>
      </c>
      <c r="AO348" t="str">
        <v>28-07-25</v>
      </c>
      <c r="AP348" t="str">
        <f t="shared" si="26"/>
        <v>July</v>
      </c>
      <c r="AQ348" t="str">
        <f t="shared" si="27"/>
        <v>2025</v>
      </c>
      <c r="AR348" t="str">
        <f t="shared" si="28"/>
        <v xml:space="preserve"> </v>
      </c>
      <c r="AS348">
        <f t="shared" si="29"/>
        <v>6</v>
      </c>
      <c r="AT348" t="str">
        <f>IF(COUNTIFS( $A:$A,A348,$B:$B,B348,$C:$C,C348,$D:$D,D348,$E:$E,E348,$F:$F,F348,$G:$G,G348,$H:$H,H348,$I:$I,I348,$J:$J,J348,$K:$K,K348,$L:$L,L348,$M:$M,M348,$T:$T,T348,$U:$U,U348,$W:$W,W348,$Z:$Z,Z348,$AA:$AA,AA348,$AB:$AB,AB348,$AC:$AC,AC348,$AD:$AD,AD348,$AE:$AE,AE348,$AF:$AF,AF348,$AG:$AG,AG348,$AH:$AH,AH348,$AI:$AI,AI348)&gt;1,"Duplicate","Unique")</f>
        <v>Unique</v>
      </c>
    </row>
    <row r="349" spans="1:46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  <c r="W349" t="s">
        <v>1749</v>
      </c>
      <c r="Z349" t="s">
        <v>1751</v>
      </c>
      <c r="AA349" t="str">
        <v>Aarav Sharma</v>
      </c>
      <c r="AB349" t="str">
        <f>TRIM(PROPER(F:F))</f>
        <v>Small Business</v>
      </c>
      <c r="AC349" t="str">
        <f>TRIM(PROPER(G:G))</f>
        <v>West</v>
      </c>
      <c r="AD349" t="str">
        <f>TRIM(PROPER(H:H))</f>
        <v>Goa</v>
      </c>
      <c r="AE349" t="str">
        <f>TRIM(PROPER(I:I))</f>
        <v>Panaji</v>
      </c>
      <c r="AF349" t="str">
        <f>TRIM(PROPER(J:J))</f>
        <v>Furniture</v>
      </c>
      <c r="AG349" t="str">
        <f>TRIM(PROPER(K:K))</f>
        <v>Chairs</v>
      </c>
      <c r="AH349" t="str">
        <f>TRIM(PROPER(L:L))</f>
        <v>Max Chairs 487</v>
      </c>
      <c r="AI349" t="str">
        <f>TRIM(PROPER(M:M))</f>
        <v>Second Class</v>
      </c>
      <c r="AJ349" s="5">
        <f>IF(OR(P349&lt;0,P349&gt;0.5),"invalid",P349)</f>
        <v>0.2</v>
      </c>
      <c r="AK349" s="6">
        <f>IFERROR(N349*O349*(1-AJ349), "NA")</f>
        <v>11925.96</v>
      </c>
      <c r="AL349" s="6">
        <f>IFERROR(AK349-R349,"NA")</f>
        <v>1822.4499999999989</v>
      </c>
      <c r="AM349" s="5">
        <f t="shared" si="25"/>
        <v>0.15281369382422874</v>
      </c>
      <c r="AN349" t="str">
        <v>01-12-24</v>
      </c>
      <c r="AO349" t="str">
        <v>12-08-24</v>
      </c>
      <c r="AP349" t="str">
        <f t="shared" si="26"/>
        <v>December</v>
      </c>
      <c r="AQ349" t="str">
        <f t="shared" si="27"/>
        <v>2024</v>
      </c>
      <c r="AR349" t="str">
        <f t="shared" si="28"/>
        <v xml:space="preserve"> </v>
      </c>
      <c r="AS349">
        <f t="shared" si="29"/>
        <v>-111</v>
      </c>
      <c r="AT349" t="str">
        <f>IF(COUNTIFS( $A:$A,A349,$B:$B,B349,$C:$C,C349,$D:$D,D349,$E:$E,E349,$F:$F,F349,$G:$G,G349,$H:$H,H349,$I:$I,I349,$J:$J,J349,$K:$K,K349,$L:$L,L349,$M:$M,M349,$T:$T,T349,$U:$U,U349,$W:$W,W349,$Z:$Z,Z349,$AA:$AA,AA349,$AB:$AB,AB349,$AC:$AC,AC349,$AD:$AD,AD349,$AE:$AE,AE349,$AF:$AF,AF349,$AG:$AG,AG349,$AH:$AH,AH349,$AI:$AI,AI349)&gt;1,"Duplicate","Unique")</f>
        <v>Unique</v>
      </c>
    </row>
    <row r="350" spans="1:46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  <c r="W350" t="s">
        <v>1753</v>
      </c>
      <c r="Z350" t="s">
        <v>1755</v>
      </c>
      <c r="AA350" t="str">
        <v>Aarav Sharma</v>
      </c>
      <c r="AB350" t="str">
        <f>TRIM(PROPER(F:F))</f>
        <v>Corporate</v>
      </c>
      <c r="AC350" t="str">
        <f>TRIM(PROPER(G:G))</f>
        <v>South</v>
      </c>
      <c r="AD350" t="str">
        <f>TRIM(PROPER(H:H))</f>
        <v>Karnataka</v>
      </c>
      <c r="AE350" t="str">
        <f>TRIM(PROPER(I:I))</f>
        <v>Bengaluru</v>
      </c>
      <c r="AF350" t="str">
        <f>TRIM(PROPER(J:J))</f>
        <v>Technology</v>
      </c>
      <c r="AG350" t="str">
        <f>TRIM(PROPER(K:K))</f>
        <v>Phones</v>
      </c>
      <c r="AH350" t="str">
        <f>TRIM(PROPER(L:L))</f>
        <v>Classic Phones 989</v>
      </c>
      <c r="AI350" t="str">
        <f>TRIM(PROPER(M:M))</f>
        <v>Same Day</v>
      </c>
      <c r="AJ350" s="5">
        <f>IF(OR(P350&lt;0,P350&gt;0.5),"invalid",P350)</f>
        <v>0.25</v>
      </c>
      <c r="AK350" s="6">
        <f>IFERROR(N350*O350*(1-AJ350), "NA")</f>
        <v>19306.755000000005</v>
      </c>
      <c r="AL350" s="6">
        <f>IFERROR(AK350-R350,"NA")</f>
        <v>4864.3750000000055</v>
      </c>
      <c r="AM350" s="5">
        <f t="shared" si="25"/>
        <v>0.25195197225012717</v>
      </c>
      <c r="AN350" t="str">
        <v>06-02-24</v>
      </c>
      <c r="AO350" t="str">
        <v>06-07-24</v>
      </c>
      <c r="AP350" t="str">
        <f t="shared" si="26"/>
        <v>February</v>
      </c>
      <c r="AQ350" t="str">
        <f t="shared" si="27"/>
        <v>2024</v>
      </c>
      <c r="AR350" t="str">
        <f t="shared" si="28"/>
        <v xml:space="preserve"> </v>
      </c>
      <c r="AS350">
        <f t="shared" si="29"/>
        <v>151</v>
      </c>
      <c r="AT350" t="str">
        <f>IF(COUNTIFS( $A:$A,A350,$B:$B,B350,$C:$C,C350,$D:$D,D350,$E:$E,E350,$F:$F,F350,$G:$G,G350,$H:$H,H350,$I:$I,I350,$J:$J,J350,$K:$K,K350,$L:$L,L350,$M:$M,M350,$T:$T,T350,$U:$U,U350,$W:$W,W350,$Z:$Z,Z350,$AA:$AA,AA350,$AB:$AB,AB350,$AC:$AC,AC350,$AD:$AD,AD350,$AE:$AE,AE350,$AF:$AF,AF350,$AG:$AG,AG350,$AH:$AH,AH350,$AI:$AI,AI350)&gt;1,"Duplicate","Unique")</f>
        <v>Unique</v>
      </c>
    </row>
    <row r="351" spans="1:46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  <c r="W351" t="s">
        <v>1757</v>
      </c>
      <c r="Z351" t="s">
        <v>1759</v>
      </c>
      <c r="AA351" t="str">
        <v>Kabir Singh</v>
      </c>
      <c r="AB351" t="str">
        <f>TRIM(PROPER(F:F))</f>
        <v>Home Office</v>
      </c>
      <c r="AC351" t="str">
        <f>TRIM(PROPER(G:G))</f>
        <v>East</v>
      </c>
      <c r="AD351" t="str">
        <f>TRIM(PROPER(H:H))</f>
        <v>Jharkhand</v>
      </c>
      <c r="AE351" t="str">
        <f>TRIM(PROPER(I:I))</f>
        <v>Ranchi</v>
      </c>
      <c r="AF351" t="str">
        <f>TRIM(PROPER(J:J))</f>
        <v>Furniture</v>
      </c>
      <c r="AG351" t="str">
        <f>TRIM(PROPER(K:K))</f>
        <v>Furnishings</v>
      </c>
      <c r="AH351" t="str">
        <f>TRIM(PROPER(L:L))</f>
        <v>Max Furnishings 628</v>
      </c>
      <c r="AI351" t="str">
        <f>TRIM(PROPER(M:M))</f>
        <v>Second Class</v>
      </c>
      <c r="AJ351" s="5">
        <f>IF(OR(P351&lt;0,P351&gt;0.5),"invalid",P351)</f>
        <v>0.25</v>
      </c>
      <c r="AK351" s="6">
        <f>IFERROR(N351*O351*(1-AJ351), "NA")</f>
        <v>19355.962500000001</v>
      </c>
      <c r="AL351" s="6">
        <f>IFERROR(AK351-R351,"NA")</f>
        <v>4343.5125000000007</v>
      </c>
      <c r="AM351" s="5">
        <f t="shared" si="25"/>
        <v>0.22440178317146461</v>
      </c>
      <c r="AN351" t="str">
        <v>27-09-25</v>
      </c>
      <c r="AO351" t="str">
        <v>invalid date</v>
      </c>
      <c r="AP351" t="str">
        <f t="shared" si="26"/>
        <v>September</v>
      </c>
      <c r="AQ351" t="str">
        <f t="shared" si="27"/>
        <v>2025</v>
      </c>
      <c r="AR351" t="str">
        <f t="shared" si="28"/>
        <v>Invalid</v>
      </c>
      <c r="AS351" t="str">
        <f t="shared" si="29"/>
        <v>invalid date</v>
      </c>
      <c r="AT351" t="str">
        <f>IF(COUNTIFS( $A:$A,A351,$B:$B,B351,$C:$C,C351,$D:$D,D351,$E:$E,E351,$F:$F,F351,$G:$G,G351,$H:$H,H351,$I:$I,I351,$J:$J,J351,$K:$K,K351,$L:$L,L351,$M:$M,M351,$T:$T,T351,$U:$U,U351,$W:$W,W351,$Z:$Z,Z351,$AA:$AA,AA351,$AB:$AB,AB351,$AC:$AC,AC351,$AD:$AD,AD351,$AE:$AE,AE351,$AF:$AF,AF351,$AG:$AG,AG351,$AH:$AH,AH351,$AI:$AI,AI351)&gt;1,"Duplicate","Unique")</f>
        <v>Unique</v>
      </c>
    </row>
    <row r="352" spans="1:46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  <c r="W352" t="s">
        <v>1761</v>
      </c>
      <c r="Z352" t="s">
        <v>1764</v>
      </c>
      <c r="AA352" t="str">
        <v>Sneha Kapoor</v>
      </c>
      <c r="AB352" t="str">
        <f>TRIM(PROPER(F:F))</f>
        <v>Small Business</v>
      </c>
      <c r="AC352" t="str">
        <f>TRIM(PROPER(G:G))</f>
        <v>East</v>
      </c>
      <c r="AD352" t="str">
        <f>TRIM(PROPER(H:H))</f>
        <v>Jharkhand</v>
      </c>
      <c r="AE352" t="str">
        <f>TRIM(PROPER(I:I))</f>
        <v>Ranchi</v>
      </c>
      <c r="AF352" t="str">
        <f>TRIM(PROPER(J:J))</f>
        <v>Furniture</v>
      </c>
      <c r="AG352" t="str">
        <f>TRIM(PROPER(K:K))</f>
        <v>Furnishings</v>
      </c>
      <c r="AH352" t="str">
        <f>TRIM(PROPER(L:L))</f>
        <v>Elite Furnishings 279</v>
      </c>
      <c r="AI352" t="str">
        <f>TRIM(PROPER(M:M))</f>
        <v>Second Class</v>
      </c>
      <c r="AJ352" s="5">
        <f>IF(OR(P352&lt;0,P352&gt;0.5),"invalid",P352)</f>
        <v>0.1</v>
      </c>
      <c r="AK352" s="6">
        <f>IFERROR(N352*O352*(1-AJ352), "NA")</f>
        <v>11914.344000000001</v>
      </c>
      <c r="AL352" s="6">
        <f>IFERROR(AK352-R352,"NA")</f>
        <v>2143.1040000000012</v>
      </c>
      <c r="AM352" s="5">
        <f t="shared" si="25"/>
        <v>0.17987595456367561</v>
      </c>
      <c r="AN352" t="str">
        <v>07-01-24</v>
      </c>
      <c r="AO352" t="str">
        <v>14-01-24</v>
      </c>
      <c r="AP352" t="str">
        <f t="shared" si="26"/>
        <v>January</v>
      </c>
      <c r="AQ352" t="str">
        <f t="shared" si="27"/>
        <v>2024</v>
      </c>
      <c r="AR352" t="str">
        <f t="shared" si="28"/>
        <v xml:space="preserve"> </v>
      </c>
      <c r="AS352">
        <f t="shared" si="29"/>
        <v>7</v>
      </c>
      <c r="AT352" t="str">
        <f>IF(COUNTIFS( $A:$A,A352,$B:$B,B352,$C:$C,C352,$D:$D,D352,$E:$E,E352,$F:$F,F352,$G:$G,G352,$H:$H,H352,$I:$I,I352,$J:$J,J352,$K:$K,K352,$L:$L,L352,$M:$M,M352,$T:$T,T352,$U:$U,U352,$W:$W,W352,$Z:$Z,Z352,$AA:$AA,AA352,$AB:$AB,AB352,$AC:$AC,AC352,$AD:$AD,AD352,$AE:$AE,AE352,$AF:$AF,AF352,$AG:$AG,AG352,$AH:$AH,AH352,$AI:$AI,AI352)&gt;1,"Duplicate","Unique")</f>
        <v>Unique</v>
      </c>
    </row>
    <row r="353" spans="1:46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  <c r="W353" t="s">
        <v>1766</v>
      </c>
      <c r="Z353" t="s">
        <v>1768</v>
      </c>
      <c r="AA353" t="str">
        <v>Vikram Iyer</v>
      </c>
      <c r="AB353" t="str">
        <f>TRIM(PROPER(F:F))</f>
        <v>Small Business</v>
      </c>
      <c r="AC353" t="str">
        <f>TRIM(PROPER(G:G))</f>
        <v>South</v>
      </c>
      <c r="AD353" t="str">
        <f>TRIM(PROPER(H:H))</f>
        <v>Telangana</v>
      </c>
      <c r="AE353" t="str">
        <f>TRIM(PROPER(I:I))</f>
        <v>Hyderabad</v>
      </c>
      <c r="AF353" t="str">
        <f>TRIM(PROPER(J:J))</f>
        <v>Office Supplies</v>
      </c>
      <c r="AG353" t="str">
        <f>TRIM(PROPER(K:K))</f>
        <v>Storage</v>
      </c>
      <c r="AH353" t="str">
        <f>TRIM(PROPER(L:L))</f>
        <v>Pro Storage 847</v>
      </c>
      <c r="AI353" t="str">
        <f>TRIM(PROPER(M:M))</f>
        <v>First Class</v>
      </c>
      <c r="AJ353" s="5">
        <f>IF(OR(P353&lt;0,P353&gt;0.5),"invalid",P353)</f>
        <v>0.25</v>
      </c>
      <c r="AK353" s="6">
        <f>IFERROR(N353*O353*(1-AJ353), "NA")</f>
        <v>3237.4800000000005</v>
      </c>
      <c r="AL353" s="6">
        <f>IFERROR(AK353-R353,"NA")</f>
        <v>1119.1400000000003</v>
      </c>
      <c r="AM353" s="5">
        <f t="shared" si="25"/>
        <v>0.34568244437031276</v>
      </c>
      <c r="AN353" t="str">
        <v>23-05-25</v>
      </c>
      <c r="AO353" t="str">
        <v>27-05-25</v>
      </c>
      <c r="AP353" t="str">
        <f t="shared" si="26"/>
        <v>May</v>
      </c>
      <c r="AQ353" t="str">
        <f t="shared" si="27"/>
        <v>2025</v>
      </c>
      <c r="AR353" t="str">
        <f t="shared" si="28"/>
        <v xml:space="preserve"> </v>
      </c>
      <c r="AS353">
        <f t="shared" si="29"/>
        <v>4</v>
      </c>
      <c r="AT353" t="str">
        <f>IF(COUNTIFS( $A:$A,A353,$B:$B,B353,$C:$C,C353,$D:$D,D353,$E:$E,E353,$F:$F,F353,$G:$G,G353,$H:$H,H353,$I:$I,I353,$J:$J,J353,$K:$K,K353,$L:$L,L353,$M:$M,M353,$T:$T,T353,$U:$U,U353,$W:$W,W353,$Z:$Z,Z353,$AA:$AA,AA353,$AB:$AB,AB353,$AC:$AC,AC353,$AD:$AD,AD353,$AE:$AE,AE353,$AF:$AF,AF353,$AG:$AG,AG353,$AH:$AH,AH353,$AI:$AI,AI353)&gt;1,"Duplicate","Unique")</f>
        <v>Unique</v>
      </c>
    </row>
    <row r="354" spans="1:46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  <c r="W354" t="s">
        <v>1770</v>
      </c>
      <c r="Z354" t="s">
        <v>1772</v>
      </c>
      <c r="AA354" t="str">
        <v>Diya Patel</v>
      </c>
      <c r="AB354" t="str">
        <f>TRIM(PROPER(F:F))</f>
        <v>Small Business</v>
      </c>
      <c r="AC354" t="str">
        <f>TRIM(PROPER(G:G))</f>
        <v>East</v>
      </c>
      <c r="AD354" t="str">
        <f>TRIM(PROPER(H:H))</f>
        <v>Assam</v>
      </c>
      <c r="AE354" t="str">
        <f>TRIM(PROPER(I:I))</f>
        <v>Guwahati</v>
      </c>
      <c r="AF354" t="str">
        <f>TRIM(PROPER(J:J))</f>
        <v>Technology</v>
      </c>
      <c r="AG354" t="str">
        <f>TRIM(PROPER(K:K))</f>
        <v>Copiers</v>
      </c>
      <c r="AH354" t="str">
        <f>TRIM(PROPER(L:L))</f>
        <v>Elite Copiers 706</v>
      </c>
      <c r="AI354" t="str">
        <f>TRIM(PROPER(M:M))</f>
        <v>First Class</v>
      </c>
      <c r="AJ354" s="5">
        <f>IF(OR(P354&lt;0,P354&gt;0.5),"invalid",P354)</f>
        <v>0.25</v>
      </c>
      <c r="AK354" s="6">
        <f>IFERROR(N354*O354*(1-AJ354), "NA")</f>
        <v>10734.75</v>
      </c>
      <c r="AL354" s="6">
        <f>IFERROR(AK354-R354,"NA")</f>
        <v>4259.0200000000004</v>
      </c>
      <c r="AM354" s="5">
        <f t="shared" si="25"/>
        <v>0.39675073942103917</v>
      </c>
      <c r="AN354" t="str">
        <v>15-08-25</v>
      </c>
      <c r="AO354" t="str">
        <v>invalid date</v>
      </c>
      <c r="AP354" t="str">
        <f t="shared" si="26"/>
        <v>August</v>
      </c>
      <c r="AQ354" t="str">
        <f t="shared" si="27"/>
        <v>2025</v>
      </c>
      <c r="AR354" t="str">
        <f t="shared" si="28"/>
        <v>Invalid</v>
      </c>
      <c r="AS354" t="str">
        <f t="shared" si="29"/>
        <v>invalid date</v>
      </c>
      <c r="AT354" t="str">
        <f>IF(COUNTIFS( $A:$A,A354,$B:$B,B354,$C:$C,C354,$D:$D,D354,$E:$E,E354,$F:$F,F354,$G:$G,G354,$H:$H,H354,$I:$I,I354,$J:$J,J354,$K:$K,K354,$L:$L,L354,$M:$M,M354,$T:$T,T354,$U:$U,U354,$W:$W,W354,$Z:$Z,Z354,$AA:$AA,AA354,$AB:$AB,AB354,$AC:$AC,AC354,$AD:$AD,AD354,$AE:$AE,AE354,$AF:$AF,AF354,$AG:$AG,AG354,$AH:$AH,AH354,$AI:$AI,AI354)&gt;1,"Duplicate","Unique")</f>
        <v>Unique</v>
      </c>
    </row>
    <row r="355" spans="1:46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  <c r="W355" t="s">
        <v>1774</v>
      </c>
      <c r="Z355" t="s">
        <v>1776</v>
      </c>
      <c r="AA355" t="str">
        <v>Ananya Rao</v>
      </c>
      <c r="AB355" t="str">
        <f>TRIM(PROPER(F:F))</f>
        <v>Consumer</v>
      </c>
      <c r="AC355" t="str">
        <f>TRIM(PROPER(G:G))</f>
        <v>North</v>
      </c>
      <c r="AD355" t="str">
        <f>TRIM(PROPER(H:H))</f>
        <v>Rajasthan</v>
      </c>
      <c r="AE355" t="str">
        <f>TRIM(PROPER(I:I))</f>
        <v>Jaipur</v>
      </c>
      <c r="AF355" t="str">
        <f>TRIM(PROPER(J:J))</f>
        <v>Office Supplies</v>
      </c>
      <c r="AG355" t="str">
        <f>TRIM(PROPER(K:K))</f>
        <v>Art</v>
      </c>
      <c r="AH355" t="str">
        <f>TRIM(PROPER(L:L))</f>
        <v>Prime Art 978</v>
      </c>
      <c r="AI355" t="str">
        <f>TRIM(PROPER(M:M))</f>
        <v>Same Day</v>
      </c>
      <c r="AJ355" s="5">
        <f>IF(OR(P355&lt;0,P355&gt;0.5),"invalid",P355)</f>
        <v>0.2</v>
      </c>
      <c r="AK355" s="6">
        <f>IFERROR(N355*O355*(1-AJ355), "NA")</f>
        <v>10308.024000000001</v>
      </c>
      <c r="AL355" s="6">
        <f>IFERROR(AK355-R355,"NA")</f>
        <v>4485.7140000000009</v>
      </c>
      <c r="AM355" s="5">
        <f t="shared" si="25"/>
        <v>0.4351672056642476</v>
      </c>
      <c r="AN355" t="str">
        <v>21-02-25</v>
      </c>
      <c r="AO355" t="str">
        <v>27-02-25</v>
      </c>
      <c r="AP355" t="str">
        <f t="shared" si="26"/>
        <v>February</v>
      </c>
      <c r="AQ355" t="str">
        <f t="shared" si="27"/>
        <v>2025</v>
      </c>
      <c r="AR355" t="str">
        <f t="shared" si="28"/>
        <v xml:space="preserve"> </v>
      </c>
      <c r="AS355">
        <f t="shared" si="29"/>
        <v>6</v>
      </c>
      <c r="AT355" t="str">
        <f>IF(COUNTIFS( $A:$A,A355,$B:$B,B355,$C:$C,C355,$D:$D,D355,$E:$E,E355,$F:$F,F355,$G:$G,G355,$H:$H,H355,$I:$I,I355,$J:$J,J355,$K:$K,K355,$L:$L,L355,$M:$M,M355,$T:$T,T355,$U:$U,U355,$W:$W,W355,$Z:$Z,Z355,$AA:$AA,AA355,$AB:$AB,AB355,$AC:$AC,AC355,$AD:$AD,AD355,$AE:$AE,AE355,$AF:$AF,AF355,$AG:$AG,AG355,$AH:$AH,AH355,$AI:$AI,AI355)&gt;1,"Duplicate","Unique")</f>
        <v>Unique</v>
      </c>
    </row>
    <row r="356" spans="1:46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  <c r="W356" t="s">
        <v>1778</v>
      </c>
      <c r="Z356" t="s">
        <v>1780</v>
      </c>
      <c r="AA356" t="str">
        <v>Kabir Singh</v>
      </c>
      <c r="AB356" t="str">
        <f>TRIM(PROPER(F:F))</f>
        <v>Corporate</v>
      </c>
      <c r="AC356" t="str">
        <f>TRIM(PROPER(G:G))</f>
        <v>North</v>
      </c>
      <c r="AD356" t="str">
        <f>TRIM(PROPER(H:H))</f>
        <v>Punjab</v>
      </c>
      <c r="AE356" t="str">
        <f>TRIM(PROPER(I:I))</f>
        <v>Ludhiana</v>
      </c>
      <c r="AF356" t="str">
        <f>TRIM(PROPER(J:J))</f>
        <v>Furniture</v>
      </c>
      <c r="AG356" t="str">
        <f>TRIM(PROPER(K:K))</f>
        <v>Furnishings</v>
      </c>
      <c r="AH356" t="str">
        <f>TRIM(PROPER(L:L))</f>
        <v>Classic Furnishings 498</v>
      </c>
      <c r="AI356" t="str">
        <f>TRIM(PROPER(M:M))</f>
        <v>Standard Class</v>
      </c>
      <c r="AJ356" s="5" t="str">
        <f>IF(OR(P356&lt;0,P356&gt;0.5),"invalid",P356)</f>
        <v>invalid</v>
      </c>
      <c r="AK356" s="6" t="str">
        <f>IFERROR(N356*O356*(1-AJ356), "NA")</f>
        <v>NA</v>
      </c>
      <c r="AL356" s="6" t="str">
        <f>IFERROR(AK356-R356,"NA")</f>
        <v>NA</v>
      </c>
      <c r="AM356" s="5" t="str">
        <f t="shared" si="25"/>
        <v>NA</v>
      </c>
      <c r="AN356" t="str">
        <v>27-12-24</v>
      </c>
      <c r="AO356" t="str">
        <v>31-12-24</v>
      </c>
      <c r="AP356" t="str">
        <f t="shared" si="26"/>
        <v>December</v>
      </c>
      <c r="AQ356" t="str">
        <f t="shared" si="27"/>
        <v>2024</v>
      </c>
      <c r="AR356" t="str">
        <f t="shared" si="28"/>
        <v xml:space="preserve"> </v>
      </c>
      <c r="AS356">
        <f t="shared" si="29"/>
        <v>4</v>
      </c>
      <c r="AT356" t="str">
        <f>IF(COUNTIFS( $A:$A,A356,$B:$B,B356,$C:$C,C356,$D:$D,D356,$E:$E,E356,$F:$F,F356,$G:$G,G356,$H:$H,H356,$I:$I,I356,$J:$J,J356,$K:$K,K356,$L:$L,L356,$M:$M,M356,$T:$T,T356,$U:$U,U356,$W:$W,W356,$Z:$Z,Z356,$AA:$AA,AA356,$AB:$AB,AB356,$AC:$AC,AC356,$AD:$AD,AD356,$AE:$AE,AE356,$AF:$AF,AF356,$AG:$AG,AG356,$AH:$AH,AH356,$AI:$AI,AI356)&gt;1,"Duplicate","Unique")</f>
        <v>Unique</v>
      </c>
    </row>
    <row r="357" spans="1:46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  <c r="W357" t="s">
        <v>1783</v>
      </c>
      <c r="Z357" t="s">
        <v>1786</v>
      </c>
      <c r="AA357" t="str">
        <v>Priya Menon</v>
      </c>
      <c r="AB357" t="str">
        <f>TRIM(PROPER(F:F))</f>
        <v>Corporate</v>
      </c>
      <c r="AC357" t="str">
        <f>TRIM(PROPER(G:G))</f>
        <v>West</v>
      </c>
      <c r="AD357" t="str">
        <f>TRIM(PROPER(H:H))</f>
        <v>Rajasthan</v>
      </c>
      <c r="AE357" t="str">
        <f>TRIM(PROPER(I:I))</f>
        <v>Udaipur</v>
      </c>
      <c r="AF357" t="str">
        <f>TRIM(PROPER(J:J))</f>
        <v>Furniture</v>
      </c>
      <c r="AG357" t="str">
        <f>TRIM(PROPER(K:K))</f>
        <v>Tables</v>
      </c>
      <c r="AH357" t="str">
        <f>TRIM(PROPER(L:L))</f>
        <v>Max Tables 829</v>
      </c>
      <c r="AI357" t="str">
        <f>TRIM(PROPER(M:M))</f>
        <v>Standard Class</v>
      </c>
      <c r="AJ357" s="5">
        <f>IF(OR(P357&lt;0,P357&gt;0.5),"invalid",P357)</f>
        <v>0</v>
      </c>
      <c r="AK357" s="6">
        <f>IFERROR(N357*O357*(1-AJ357), "NA")</f>
        <v>16017.4</v>
      </c>
      <c r="AL357" s="6">
        <f>IFERROR(AK357-R357,"NA")</f>
        <v>6459.6</v>
      </c>
      <c r="AM357" s="5">
        <f t="shared" si="25"/>
        <v>0.40328642601171227</v>
      </c>
      <c r="AN357" t="str">
        <v>12-05-24</v>
      </c>
      <c r="AO357" t="str">
        <v>09-05-24</v>
      </c>
      <c r="AP357" t="str">
        <f t="shared" si="26"/>
        <v>May</v>
      </c>
      <c r="AQ357" t="str">
        <f t="shared" si="27"/>
        <v>2024</v>
      </c>
      <c r="AR357" t="str">
        <f t="shared" si="28"/>
        <v>anomaly</v>
      </c>
      <c r="AS357">
        <f t="shared" si="29"/>
        <v>-3</v>
      </c>
      <c r="AT357" t="str">
        <f>IF(COUNTIFS( $A:$A,A357,$B:$B,B357,$C:$C,C357,$D:$D,D357,$E:$E,E357,$F:$F,F357,$G:$G,G357,$H:$H,H357,$I:$I,I357,$J:$J,J357,$K:$K,K357,$L:$L,L357,$M:$M,M357,$T:$T,T357,$U:$U,U357,$W:$W,W357,$Z:$Z,Z357,$AA:$AA,AA357,$AB:$AB,AB357,$AC:$AC,AC357,$AD:$AD,AD357,$AE:$AE,AE357,$AF:$AF,AF357,$AG:$AG,AG357,$AH:$AH,AH357,$AI:$AI,AI357)&gt;1,"Duplicate","Unique")</f>
        <v>Unique</v>
      </c>
    </row>
    <row r="358" spans="1:46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  <c r="W358" t="s">
        <v>1788</v>
      </c>
      <c r="Z358" t="s">
        <v>1791</v>
      </c>
      <c r="AA358" t="str">
        <v>Rohan Mehta</v>
      </c>
      <c r="AB358" t="str">
        <f>TRIM(PROPER(F:F))</f>
        <v>Home Office</v>
      </c>
      <c r="AC358" t="str">
        <f>TRIM(PROPER(G:G))</f>
        <v>South</v>
      </c>
      <c r="AD358" t="str">
        <f>TRIM(PROPER(H:H))</f>
        <v>Telangana</v>
      </c>
      <c r="AE358" t="str">
        <f>TRIM(PROPER(I:I))</f>
        <v>Hyderabad</v>
      </c>
      <c r="AF358" t="str">
        <f>TRIM(PROPER(J:J))</f>
        <v>Furniture</v>
      </c>
      <c r="AG358" t="str">
        <f>TRIM(PROPER(K:K))</f>
        <v>Chairs</v>
      </c>
      <c r="AH358" t="str">
        <f>TRIM(PROPER(L:L))</f>
        <v>Eco Chairs 346</v>
      </c>
      <c r="AI358" t="str">
        <f>TRIM(PROPER(M:M))</f>
        <v>First Class</v>
      </c>
      <c r="AJ358" s="5">
        <f>IF(OR(P358&lt;0,P358&gt;0.5),"invalid",P358)</f>
        <v>0.2</v>
      </c>
      <c r="AK358" s="6">
        <f>IFERROR(N358*O358*(1-AJ358), "NA")</f>
        <v>2486.8000000000002</v>
      </c>
      <c r="AL358" s="6">
        <f>IFERROR(AK358-R358,"NA")</f>
        <v>355.07000000000016</v>
      </c>
      <c r="AM358" s="5">
        <f t="shared" si="25"/>
        <v>0.1427818883705968</v>
      </c>
      <c r="AN358" t="str">
        <v>27-06-25</v>
      </c>
      <c r="AO358" t="str">
        <v>29-06-25</v>
      </c>
      <c r="AP358" t="str">
        <f t="shared" si="26"/>
        <v>June</v>
      </c>
      <c r="AQ358" t="str">
        <f t="shared" si="27"/>
        <v>2025</v>
      </c>
      <c r="AR358" t="str">
        <f t="shared" si="28"/>
        <v xml:space="preserve"> </v>
      </c>
      <c r="AS358">
        <f t="shared" si="29"/>
        <v>2</v>
      </c>
      <c r="AT358" t="str">
        <f>IF(COUNTIFS( $A:$A,A358,$B:$B,B358,$C:$C,C358,$D:$D,D358,$E:$E,E358,$F:$F,F358,$G:$G,G358,$H:$H,H358,$I:$I,I358,$J:$J,J358,$K:$K,K358,$L:$L,L358,$M:$M,M358,$T:$T,T358,$U:$U,U358,$W:$W,W358,$Z:$Z,Z358,$AA:$AA,AA358,$AB:$AB,AB358,$AC:$AC,AC358,$AD:$AD,AD358,$AE:$AE,AE358,$AF:$AF,AF358,$AG:$AG,AG358,$AH:$AH,AH358,$AI:$AI,AI358)&gt;1,"Duplicate","Unique")</f>
        <v>Unique</v>
      </c>
    </row>
    <row r="359" spans="1:46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  <c r="W359" t="s">
        <v>1793</v>
      </c>
      <c r="Z359" t="s">
        <v>1795</v>
      </c>
      <c r="AA359" t="str">
        <v>Mira Das</v>
      </c>
      <c r="AB359" t="str">
        <f>TRIM(PROPER(F:F))</f>
        <v>Home Office</v>
      </c>
      <c r="AC359" t="str">
        <f>TRIM(PROPER(G:G))</f>
        <v>South</v>
      </c>
      <c r="AD359" t="str">
        <f>TRIM(PROPER(H:H))</f>
        <v>Andhra Pradesh</v>
      </c>
      <c r="AE359" t="str">
        <f>TRIM(PROPER(I:I))</f>
        <v>Vijayawada</v>
      </c>
      <c r="AF359" t="str">
        <f>TRIM(PROPER(J:J))</f>
        <v>Technology</v>
      </c>
      <c r="AG359" t="str">
        <f>TRIM(PROPER(K:K))</f>
        <v>Machines</v>
      </c>
      <c r="AH359" t="str">
        <f>TRIM(PROPER(L:L))</f>
        <v>Max Machines 770</v>
      </c>
      <c r="AI359" t="str">
        <f>TRIM(PROPER(M:M))</f>
        <v>Second Class</v>
      </c>
      <c r="AJ359" s="5">
        <f>IF(OR(P359&lt;0,P359&gt;0.5),"invalid",P359)</f>
        <v>0</v>
      </c>
      <c r="AK359" s="6">
        <f>IFERROR(N359*O359*(1-AJ359), "NA")</f>
        <v>4369.04</v>
      </c>
      <c r="AL359" s="6">
        <f>IFERROR(AK359-R359,"NA")</f>
        <v>652.15999999999985</v>
      </c>
      <c r="AM359" s="5">
        <f t="shared" si="25"/>
        <v>0.14926848918755603</v>
      </c>
      <c r="AN359" t="str">
        <v>21-01-25</v>
      </c>
      <c r="AO359" t="str">
        <v>invalid date</v>
      </c>
      <c r="AP359" t="str">
        <f t="shared" si="26"/>
        <v>January</v>
      </c>
      <c r="AQ359" t="str">
        <f t="shared" si="27"/>
        <v>2025</v>
      </c>
      <c r="AR359" t="str">
        <f t="shared" si="28"/>
        <v>Invalid</v>
      </c>
      <c r="AS359" t="str">
        <f t="shared" si="29"/>
        <v>invalid date</v>
      </c>
      <c r="AT359" t="str">
        <f>IF(COUNTIFS( $A:$A,A359,$B:$B,B359,$C:$C,C359,$D:$D,D359,$E:$E,E359,$F:$F,F359,$G:$G,G359,$H:$H,H359,$I:$I,I359,$J:$J,J359,$K:$K,K359,$L:$L,L359,$M:$M,M359,$T:$T,T359,$U:$U,U359,$W:$W,W359,$Z:$Z,Z359,$AA:$AA,AA359,$AB:$AB,AB359,$AC:$AC,AC359,$AD:$AD,AD359,$AE:$AE,AE359,$AF:$AF,AF359,$AG:$AG,AG359,$AH:$AH,AH359,$AI:$AI,AI359)&gt;1,"Duplicate","Unique")</f>
        <v>Unique</v>
      </c>
    </row>
    <row r="360" spans="1:46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  <c r="W360" t="s">
        <v>1797</v>
      </c>
      <c r="Z360" t="s">
        <v>1800</v>
      </c>
      <c r="AA360" t="str">
        <v>Vikram Iyer</v>
      </c>
      <c r="AB360" t="str">
        <f>TRIM(PROPER(F:F))</f>
        <v>Home Office</v>
      </c>
      <c r="AC360" t="str">
        <f>TRIM(PROPER(G:G))</f>
        <v>West</v>
      </c>
      <c r="AD360" t="str">
        <f>TRIM(PROPER(H:H))</f>
        <v>Gujarat</v>
      </c>
      <c r="AE360" t="str">
        <f>TRIM(PROPER(I:I))</f>
        <v>Ahmedabad</v>
      </c>
      <c r="AF360" t="str">
        <f>TRIM(PROPER(J:J))</f>
        <v>Furniture</v>
      </c>
      <c r="AG360" t="str">
        <f>TRIM(PROPER(K:K))</f>
        <v>Bookcases</v>
      </c>
      <c r="AH360" t="str">
        <f>TRIM(PROPER(L:L))</f>
        <v>Smart Bookcases 134</v>
      </c>
      <c r="AI360" t="str">
        <f>TRIM(PROPER(M:M))</f>
        <v>Second Class</v>
      </c>
      <c r="AJ360" s="5">
        <f>IF(OR(P360&lt;0,P360&gt;0.5),"invalid",P360)</f>
        <v>0.05</v>
      </c>
      <c r="AK360" s="6">
        <f>IFERROR(N360*O360*(1-AJ360), "NA")</f>
        <v>5956.12</v>
      </c>
      <c r="AL360" s="6">
        <f>IFERROR(AK360-R360,"NA")</f>
        <v>1576.9399999999996</v>
      </c>
      <c r="AM360" s="5">
        <f t="shared" si="25"/>
        <v>0.26475960860425907</v>
      </c>
      <c r="AN360" t="str">
        <v>08-09-25</v>
      </c>
      <c r="AO360" t="str">
        <v>07-08-25</v>
      </c>
      <c r="AP360" t="str">
        <f t="shared" si="26"/>
        <v>September</v>
      </c>
      <c r="AQ360" t="str">
        <f t="shared" si="27"/>
        <v>2025</v>
      </c>
      <c r="AR360" t="str">
        <f t="shared" si="28"/>
        <v>anomaly</v>
      </c>
      <c r="AS360">
        <f t="shared" si="29"/>
        <v>-32</v>
      </c>
      <c r="AT360" t="str">
        <f>IF(COUNTIFS( $A:$A,A360,$B:$B,B360,$C:$C,C360,$D:$D,D360,$E:$E,E360,$F:$F,F360,$G:$G,G360,$H:$H,H360,$I:$I,I360,$J:$J,J360,$K:$K,K360,$L:$L,L360,$M:$M,M360,$T:$T,T360,$U:$U,U360,$W:$W,W360,$Z:$Z,Z360,$AA:$AA,AA360,$AB:$AB,AB360,$AC:$AC,AC360,$AD:$AD,AD360,$AE:$AE,AE360,$AF:$AF,AF360,$AG:$AG,AG360,$AH:$AH,AH360,$AI:$AI,AI360)&gt;1,"Duplicate","Unique")</f>
        <v>Unique</v>
      </c>
    </row>
    <row r="361" spans="1:46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  <c r="W361" t="s">
        <v>1802</v>
      </c>
      <c r="Z361" t="s">
        <v>1804</v>
      </c>
      <c r="AA361" t="str">
        <v>Isha Nair</v>
      </c>
      <c r="AB361" t="str">
        <f>TRIM(PROPER(F:F))</f>
        <v>Consumer</v>
      </c>
      <c r="AC361" t="str">
        <f>TRIM(PROPER(G:G))</f>
        <v>South</v>
      </c>
      <c r="AD361" t="str">
        <f>TRIM(PROPER(H:H))</f>
        <v>Tamil Nadu</v>
      </c>
      <c r="AE361" t="str">
        <f>TRIM(PROPER(I:I))</f>
        <v>Chennai</v>
      </c>
      <c r="AF361" t="str">
        <f>TRIM(PROPER(J:J))</f>
        <v>Technology</v>
      </c>
      <c r="AG361" t="str">
        <f>TRIM(PROPER(K:K))</f>
        <v>Phones</v>
      </c>
      <c r="AH361" t="str">
        <f>TRIM(PROPER(L:L))</f>
        <v>Classic Phones 586</v>
      </c>
      <c r="AI361" t="str">
        <f>TRIM(PROPER(M:M))</f>
        <v>Same Day</v>
      </c>
      <c r="AJ361" s="5">
        <f>IF(OR(P361&lt;0,P361&gt;0.5),"invalid",P361)</f>
        <v>0.1</v>
      </c>
      <c r="AK361" s="6">
        <f>IFERROR(N361*O361*(1-AJ361), "NA")</f>
        <v>4997.3760000000002</v>
      </c>
      <c r="AL361" s="6">
        <f>IFERROR(AK361-R361,"NA")</f>
        <v>2025.9860000000003</v>
      </c>
      <c r="AM361" s="5">
        <f t="shared" si="25"/>
        <v>0.40540995914656014</v>
      </c>
      <c r="AN361" t="str">
        <v>21-08-24</v>
      </c>
      <c r="AO361" t="str">
        <v>22-08-24</v>
      </c>
      <c r="AP361" t="str">
        <f t="shared" si="26"/>
        <v>August</v>
      </c>
      <c r="AQ361" t="str">
        <f t="shared" si="27"/>
        <v>2024</v>
      </c>
      <c r="AR361" t="str">
        <f t="shared" si="28"/>
        <v xml:space="preserve"> </v>
      </c>
      <c r="AS361">
        <f t="shared" si="29"/>
        <v>1</v>
      </c>
      <c r="AT361" t="str">
        <f>IF(COUNTIFS( $A:$A,A361,$B:$B,B361,$C:$C,C361,$D:$D,D361,$E:$E,E361,$F:$F,F361,$G:$G,G361,$H:$H,H361,$I:$I,I361,$J:$J,J361,$K:$K,K361,$L:$L,L361,$M:$M,M361,$T:$T,T361,$U:$U,U361,$W:$W,W361,$Z:$Z,Z361,$AA:$AA,AA361,$AB:$AB,AB361,$AC:$AC,AC361,$AD:$AD,AD361,$AE:$AE,AE361,$AF:$AF,AF361,$AG:$AG,AG361,$AH:$AH,AH361,$AI:$AI,AI361)&gt;1,"Duplicate","Unique")</f>
        <v>Unique</v>
      </c>
    </row>
    <row r="362" spans="1:46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  <c r="W362" t="s">
        <v>1806</v>
      </c>
      <c r="Z362" t="s">
        <v>1809</v>
      </c>
      <c r="AA362" t="str">
        <v>Sneha Kapoor</v>
      </c>
      <c r="AB362" t="str">
        <f>TRIM(PROPER(F:F))</f>
        <v>Small Business</v>
      </c>
      <c r="AC362" t="str">
        <f>TRIM(PROPER(G:G))</f>
        <v>West</v>
      </c>
      <c r="AD362" t="str">
        <f>TRIM(PROPER(H:H))</f>
        <v>Gujarat</v>
      </c>
      <c r="AE362" t="str">
        <f>TRIM(PROPER(I:I))</f>
        <v>Ahmedabad</v>
      </c>
      <c r="AF362" t="str">
        <f>TRIM(PROPER(J:J))</f>
        <v>Furniture</v>
      </c>
      <c r="AG362" t="str">
        <f>TRIM(PROPER(K:K))</f>
        <v>Furnishings</v>
      </c>
      <c r="AH362" t="str">
        <f>TRIM(PROPER(L:L))</f>
        <v>Elite Furnishings 634</v>
      </c>
      <c r="AI362" t="str">
        <f>TRIM(PROPER(M:M))</f>
        <v>Standard Class</v>
      </c>
      <c r="AJ362" s="5">
        <f>IF(OR(P362&lt;0,P362&gt;0.5),"invalid",P362)</f>
        <v>0.2</v>
      </c>
      <c r="AK362" s="6">
        <f>IFERROR(N362*O362*(1-AJ362), "NA")</f>
        <v>17669.400000000001</v>
      </c>
      <c r="AL362" s="6">
        <f>IFERROR(AK362-R362,"NA")</f>
        <v>3950.630000000001</v>
      </c>
      <c r="AM362" s="5">
        <f t="shared" si="25"/>
        <v>0.2235859734908939</v>
      </c>
      <c r="AN362" t="str">
        <v>17-06-24</v>
      </c>
      <c r="AO362" t="str">
        <v>20-06-24</v>
      </c>
      <c r="AP362" t="str">
        <f t="shared" si="26"/>
        <v>June</v>
      </c>
      <c r="AQ362" t="str">
        <f t="shared" si="27"/>
        <v>2024</v>
      </c>
      <c r="AR362" t="str">
        <f t="shared" si="28"/>
        <v xml:space="preserve"> </v>
      </c>
      <c r="AS362">
        <f t="shared" si="29"/>
        <v>3</v>
      </c>
      <c r="AT362" t="str">
        <f>IF(COUNTIFS( $A:$A,A362,$B:$B,B362,$C:$C,C362,$D:$D,D362,$E:$E,E362,$F:$F,F362,$G:$G,G362,$H:$H,H362,$I:$I,I362,$J:$J,J362,$K:$K,K362,$L:$L,L362,$M:$M,M362,$T:$T,T362,$U:$U,U362,$W:$W,W362,$Z:$Z,Z362,$AA:$AA,AA362,$AB:$AB,AB362,$AC:$AC,AC362,$AD:$AD,AD362,$AE:$AE,AE362,$AF:$AF,AF362,$AG:$AG,AG362,$AH:$AH,AH362,$AI:$AI,AI362)&gt;1,"Duplicate","Unique")</f>
        <v>Unique</v>
      </c>
    </row>
    <row r="363" spans="1:46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  <c r="W363" t="s">
        <v>1811</v>
      </c>
      <c r="Z363" t="s">
        <v>1813</v>
      </c>
      <c r="AA363" t="str">
        <v>Rohan Mehta</v>
      </c>
      <c r="AB363" t="str">
        <f>TRIM(PROPER(F:F))</f>
        <v>Corporate</v>
      </c>
      <c r="AC363" t="str">
        <f>TRIM(PROPER(G:G))</f>
        <v>East</v>
      </c>
      <c r="AD363" t="str">
        <f>TRIM(PROPER(H:H))</f>
        <v>Odisha</v>
      </c>
      <c r="AE363" t="str">
        <f>TRIM(PROPER(I:I))</f>
        <v>Bhubaneswar</v>
      </c>
      <c r="AF363" t="str">
        <f>TRIM(PROPER(J:J))</f>
        <v>Furniture</v>
      </c>
      <c r="AG363" t="str">
        <f>TRIM(PROPER(K:K))</f>
        <v>Chairs</v>
      </c>
      <c r="AH363" t="str">
        <f>TRIM(PROPER(L:L))</f>
        <v>Basic Chairs 113</v>
      </c>
      <c r="AI363" t="str">
        <f>TRIM(PROPER(M:M))</f>
        <v>Second Class</v>
      </c>
      <c r="AJ363" s="5">
        <f>IF(OR(P363&lt;0,P363&gt;0.5),"invalid",P363)</f>
        <v>0.05</v>
      </c>
      <c r="AK363" s="6">
        <f>IFERROR(N363*O363*(1-AJ363), "NA")</f>
        <v>35615.709000000003</v>
      </c>
      <c r="AL363" s="6">
        <f>IFERROR(AK363-R363,"NA")</f>
        <v>15225.999000000003</v>
      </c>
      <c r="AM363" s="5">
        <f t="shared" si="25"/>
        <v>0.42750795723314122</v>
      </c>
      <c r="AN363" t="str">
        <v>01-04-25</v>
      </c>
      <c r="AO363" t="str">
        <v>02-04-25</v>
      </c>
      <c r="AP363" t="str">
        <f t="shared" si="26"/>
        <v>April</v>
      </c>
      <c r="AQ363" t="str">
        <f t="shared" si="27"/>
        <v>2025</v>
      </c>
      <c r="AR363" t="str">
        <f t="shared" si="28"/>
        <v xml:space="preserve"> </v>
      </c>
      <c r="AS363">
        <f t="shared" si="29"/>
        <v>1</v>
      </c>
      <c r="AT363" t="str">
        <f>IF(COUNTIFS( $A:$A,A363,$B:$B,B363,$C:$C,C363,$D:$D,D363,$E:$E,E363,$F:$F,F363,$G:$G,G363,$H:$H,H363,$I:$I,I363,$J:$J,J363,$K:$K,K363,$L:$L,L363,$M:$M,M363,$T:$T,T363,$U:$U,U363,$W:$W,W363,$Z:$Z,Z363,$AA:$AA,AA363,$AB:$AB,AB363,$AC:$AC,AC363,$AD:$AD,AD363,$AE:$AE,AE363,$AF:$AF,AF363,$AG:$AG,AG363,$AH:$AH,AH363,$AI:$AI,AI363)&gt;1,"Duplicate","Unique")</f>
        <v>Unique</v>
      </c>
    </row>
    <row r="364" spans="1:46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  <c r="W364" t="s">
        <v>1815</v>
      </c>
      <c r="Z364" t="s">
        <v>1818</v>
      </c>
      <c r="AA364" t="str">
        <v>Vikram Iyer</v>
      </c>
      <c r="AB364" t="str">
        <f>TRIM(PROPER(F:F))</f>
        <v>Consumer</v>
      </c>
      <c r="AC364" t="str">
        <f>TRIM(PROPER(G:G))</f>
        <v>West</v>
      </c>
      <c r="AD364" t="str">
        <f>TRIM(PROPER(H:H))</f>
        <v>Goa</v>
      </c>
      <c r="AE364" t="str">
        <f>TRIM(PROPER(I:I))</f>
        <v>Panaji</v>
      </c>
      <c r="AF364" t="str">
        <f>TRIM(PROPER(J:J))</f>
        <v>Technology</v>
      </c>
      <c r="AG364" t="str">
        <f>TRIM(PROPER(K:K))</f>
        <v>Machines</v>
      </c>
      <c r="AH364" t="str">
        <f>TRIM(PROPER(L:L))</f>
        <v>Elite Machines 216</v>
      </c>
      <c r="AI364" t="str">
        <f>TRIM(PROPER(M:M))</f>
        <v>Same Day</v>
      </c>
      <c r="AJ364" s="5">
        <f>IF(OR(P364&lt;0,P364&gt;0.5),"invalid",P364)</f>
        <v>0.05</v>
      </c>
      <c r="AK364" s="6">
        <f>IFERROR(N364*O364*(1-AJ364), "NA")</f>
        <v>1866.4079999999999</v>
      </c>
      <c r="AL364" s="6">
        <f>IFERROR(AK364-R364,"NA")</f>
        <v>289.91799999999989</v>
      </c>
      <c r="AM364" s="5">
        <f t="shared" si="25"/>
        <v>0.15533473924243782</v>
      </c>
      <c r="AN364" t="str">
        <v>23-08-24</v>
      </c>
      <c r="AO364" t="str">
        <v>25-08-24</v>
      </c>
      <c r="AP364" t="str">
        <f t="shared" si="26"/>
        <v>August</v>
      </c>
      <c r="AQ364" t="str">
        <f t="shared" si="27"/>
        <v>2024</v>
      </c>
      <c r="AR364" t="str">
        <f t="shared" si="28"/>
        <v xml:space="preserve"> </v>
      </c>
      <c r="AS364">
        <f t="shared" si="29"/>
        <v>2</v>
      </c>
      <c r="AT364" t="str">
        <f>IF(COUNTIFS( $A:$A,A364,$B:$B,B364,$C:$C,C364,$D:$D,D364,$E:$E,E364,$F:$F,F364,$G:$G,G364,$H:$H,H364,$I:$I,I364,$J:$J,J364,$K:$K,K364,$L:$L,L364,$M:$M,M364,$T:$T,T364,$U:$U,U364,$W:$W,W364,$Z:$Z,Z364,$AA:$AA,AA364,$AB:$AB,AB364,$AC:$AC,AC364,$AD:$AD,AD364,$AE:$AE,AE364,$AF:$AF,AF364,$AG:$AG,AG364,$AH:$AH,AH364,$AI:$AI,AI364)&gt;1,"Duplicate","Unique")</f>
        <v>Unique</v>
      </c>
    </row>
    <row r="365" spans="1:46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  <c r="W365" t="s">
        <v>1820</v>
      </c>
      <c r="Z365" t="s">
        <v>1823</v>
      </c>
      <c r="AA365" t="str">
        <v>Diya Patel</v>
      </c>
      <c r="AB365" t="str">
        <f>TRIM(PROPER(F:F))</f>
        <v>Corporate</v>
      </c>
      <c r="AC365" t="str">
        <f>TRIM(PROPER(G:G))</f>
        <v>East</v>
      </c>
      <c r="AD365" t="str">
        <f>TRIM(PROPER(H:H))</f>
        <v>West Bengal</v>
      </c>
      <c r="AE365" t="str">
        <f>TRIM(PROPER(I:I))</f>
        <v>Kolkata</v>
      </c>
      <c r="AF365" t="str">
        <f>TRIM(PROPER(J:J))</f>
        <v>Furniture</v>
      </c>
      <c r="AG365" t="str">
        <f>TRIM(PROPER(K:K))</f>
        <v>Tables</v>
      </c>
      <c r="AH365" t="str">
        <f>TRIM(PROPER(L:L))</f>
        <v>Smart Tables 943</v>
      </c>
      <c r="AI365" t="str">
        <f>TRIM(PROPER(M:M))</f>
        <v>Second Class</v>
      </c>
      <c r="AJ365" s="5">
        <f>IF(OR(P365&lt;0,P365&gt;0.5),"invalid",P365)</f>
        <v>0.25</v>
      </c>
      <c r="AK365" s="6">
        <f>IFERROR(N365*O365*(1-AJ365), "NA")</f>
        <v>6867.6374999999989</v>
      </c>
      <c r="AL365" s="6">
        <f>IFERROR(AK365-R365,"NA")</f>
        <v>1662.2774999999992</v>
      </c>
      <c r="AM365" s="5">
        <f t="shared" si="25"/>
        <v>0.24204502640100028</v>
      </c>
      <c r="AN365" t="str">
        <v>07-07-25</v>
      </c>
      <c r="AO365" t="str">
        <v>07-12-25</v>
      </c>
      <c r="AP365" t="str">
        <f t="shared" si="26"/>
        <v>July</v>
      </c>
      <c r="AQ365" t="str">
        <f t="shared" si="27"/>
        <v>2025</v>
      </c>
      <c r="AR365" t="str">
        <f t="shared" si="28"/>
        <v xml:space="preserve"> </v>
      </c>
      <c r="AS365">
        <f t="shared" si="29"/>
        <v>153</v>
      </c>
      <c r="AT365" t="str">
        <f>IF(COUNTIFS( $A:$A,A365,$B:$B,B365,$C:$C,C365,$D:$D,D365,$E:$E,E365,$F:$F,F365,$G:$G,G365,$H:$H,H365,$I:$I,I365,$J:$J,J365,$K:$K,K365,$L:$L,L365,$M:$M,M365,$T:$T,T365,$U:$U,U365,$W:$W,W365,$Z:$Z,Z365,$AA:$AA,AA365,$AB:$AB,AB365,$AC:$AC,AC365,$AD:$AD,AD365,$AE:$AE,AE365,$AF:$AF,AF365,$AG:$AG,AG365,$AH:$AH,AH365,$AI:$AI,AI365)&gt;1,"Duplicate","Unique")</f>
        <v>Unique</v>
      </c>
    </row>
    <row r="366" spans="1:46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  <c r="W366" t="s">
        <v>1825</v>
      </c>
      <c r="Z366" t="s">
        <v>1828</v>
      </c>
      <c r="AA366" t="str">
        <v>Aarav Sharma</v>
      </c>
      <c r="AB366" t="str">
        <f>TRIM(PROPER(F:F))</f>
        <v>Small Business</v>
      </c>
      <c r="AC366" t="str">
        <f>TRIM(PROPER(G:G))</f>
        <v>South</v>
      </c>
      <c r="AD366" t="str">
        <f>TRIM(PROPER(H:H))</f>
        <v>Andhra Pradesh</v>
      </c>
      <c r="AE366" t="str">
        <f>TRIM(PROPER(I:I))</f>
        <v>Vijayawada</v>
      </c>
      <c r="AF366" t="str">
        <f>TRIM(PROPER(J:J))</f>
        <v>Furniture</v>
      </c>
      <c r="AG366" t="str">
        <f>TRIM(PROPER(K:K))</f>
        <v>Chairs</v>
      </c>
      <c r="AH366" t="str">
        <f>TRIM(PROPER(L:L))</f>
        <v>Prime Chairs 101</v>
      </c>
      <c r="AI366" t="str">
        <f>TRIM(PROPER(M:M))</f>
        <v>Second Class</v>
      </c>
      <c r="AJ366" s="5">
        <f>IF(OR(P366&lt;0,P366&gt;0.5),"invalid",P366)</f>
        <v>0</v>
      </c>
      <c r="AK366" s="6">
        <f>IFERROR(N366*O366*(1-AJ366), "NA")</f>
        <v>6195.75</v>
      </c>
      <c r="AL366" s="6">
        <f>IFERROR(AK366-R366,"NA")</f>
        <v>2228.73</v>
      </c>
      <c r="AM366" s="5">
        <f t="shared" si="25"/>
        <v>0.35971916232901585</v>
      </c>
      <c r="AN366" t="str">
        <v>invalid date</v>
      </c>
      <c r="AO366" t="str">
        <v>24-03-25</v>
      </c>
      <c r="AP366" t="str">
        <f t="shared" si="26"/>
        <v>invalid date</v>
      </c>
      <c r="AQ366" t="str">
        <f t="shared" si="27"/>
        <v>invalid date</v>
      </c>
      <c r="AR366" t="str">
        <f t="shared" si="28"/>
        <v>Invalid</v>
      </c>
      <c r="AS366" t="str">
        <f t="shared" si="29"/>
        <v>invalid date</v>
      </c>
      <c r="AT366" t="str">
        <f>IF(COUNTIFS( $A:$A,A366,$B:$B,B366,$C:$C,C366,$D:$D,D366,$E:$E,E366,$F:$F,F366,$G:$G,G366,$H:$H,H366,$I:$I,I366,$J:$J,J366,$K:$K,K366,$L:$L,L366,$M:$M,M366,$T:$T,T366,$U:$U,U366,$W:$W,W366,$Z:$Z,Z366,$AA:$AA,AA366,$AB:$AB,AB366,$AC:$AC,AC366,$AD:$AD,AD366,$AE:$AE,AE366,$AF:$AF,AF366,$AG:$AG,AG366,$AH:$AH,AH366,$AI:$AI,AI366)&gt;1,"Duplicate","Unique")</f>
        <v>Unique</v>
      </c>
    </row>
    <row r="367" spans="1:46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  <c r="W367" t="s">
        <v>1830</v>
      </c>
      <c r="Z367" t="s">
        <v>1833</v>
      </c>
      <c r="AA367" t="str">
        <v>Aditi Sen</v>
      </c>
      <c r="AB367" t="str">
        <f>TRIM(PROPER(F:F))</f>
        <v>Corporate</v>
      </c>
      <c r="AC367" t="str">
        <f>TRIM(PROPER(G:G))</f>
        <v>West</v>
      </c>
      <c r="AD367" t="str">
        <f>TRIM(PROPER(H:H))</f>
        <v>Goa</v>
      </c>
      <c r="AE367" t="str">
        <f>TRIM(PROPER(I:I))</f>
        <v>Panaji</v>
      </c>
      <c r="AF367" t="str">
        <f>TRIM(PROPER(J:J))</f>
        <v>Technology</v>
      </c>
      <c r="AG367" t="str">
        <f>TRIM(PROPER(K:K))</f>
        <v>Accessories</v>
      </c>
      <c r="AH367" t="str">
        <f>TRIM(PROPER(L:L))</f>
        <v>Basic Accessories 774</v>
      </c>
      <c r="AI367" t="str">
        <f>TRIM(PROPER(M:M))</f>
        <v>First Class</v>
      </c>
      <c r="AJ367" s="5">
        <f>IF(OR(P367&lt;0,P367&gt;0.5),"invalid",P367)</f>
        <v>0</v>
      </c>
      <c r="AK367" s="6">
        <f>IFERROR(N367*O367*(1-AJ367), "NA")</f>
        <v>13651.2</v>
      </c>
      <c r="AL367" s="6">
        <f>IFERROR(AK367-R367,"NA")</f>
        <v>3531.59</v>
      </c>
      <c r="AM367" s="5">
        <f t="shared" si="25"/>
        <v>0.2587017991092358</v>
      </c>
      <c r="AN367" t="str">
        <v>15-06-24</v>
      </c>
      <c r="AO367" t="str">
        <v>21-06-24</v>
      </c>
      <c r="AP367" t="str">
        <f t="shared" si="26"/>
        <v>June</v>
      </c>
      <c r="AQ367" t="str">
        <f t="shared" si="27"/>
        <v>2024</v>
      </c>
      <c r="AR367" t="str">
        <f t="shared" si="28"/>
        <v xml:space="preserve"> </v>
      </c>
      <c r="AS367">
        <f t="shared" si="29"/>
        <v>6</v>
      </c>
      <c r="AT367" t="str">
        <f>IF(COUNTIFS( $A:$A,A367,$B:$B,B367,$C:$C,C367,$D:$D,D367,$E:$E,E367,$F:$F,F367,$G:$G,G367,$H:$H,H367,$I:$I,I367,$J:$J,J367,$K:$K,K367,$L:$L,L367,$M:$M,M367,$T:$T,T367,$U:$U,U367,$W:$W,W367,$Z:$Z,Z367,$AA:$AA,AA367,$AB:$AB,AB367,$AC:$AC,AC367,$AD:$AD,AD367,$AE:$AE,AE367,$AF:$AF,AF367,$AG:$AG,AG367,$AH:$AH,AH367,$AI:$AI,AI367)&gt;1,"Duplicate","Unique")</f>
        <v>Unique</v>
      </c>
    </row>
    <row r="368" spans="1:46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  <c r="W368" t="s">
        <v>1835</v>
      </c>
      <c r="Z368" t="s">
        <v>1838</v>
      </c>
      <c r="AA368" t="str">
        <v>Sneha Kapoor</v>
      </c>
      <c r="AB368" t="str">
        <f>TRIM(PROPER(F:F))</f>
        <v>Corporate</v>
      </c>
      <c r="AC368" t="str">
        <f>TRIM(PROPER(G:G))</f>
        <v>North</v>
      </c>
      <c r="AD368" t="str">
        <f>TRIM(PROPER(H:H))</f>
        <v>Rajasthan</v>
      </c>
      <c r="AE368" t="str">
        <f>TRIM(PROPER(I:I))</f>
        <v>Jaipur</v>
      </c>
      <c r="AF368" t="str">
        <f>TRIM(PROPER(J:J))</f>
        <v>Furniture</v>
      </c>
      <c r="AG368" t="str">
        <f>TRIM(PROPER(K:K))</f>
        <v>Tables</v>
      </c>
      <c r="AH368" t="str">
        <f>TRIM(PROPER(L:L))</f>
        <v>Max Tables 478</v>
      </c>
      <c r="AI368" t="str">
        <f>TRIM(PROPER(M:M))</f>
        <v>Same Day</v>
      </c>
      <c r="AJ368" s="5">
        <f>IF(OR(P368&lt;0,P368&gt;0.5),"invalid",P368)</f>
        <v>0</v>
      </c>
      <c r="AK368" s="6">
        <f>IFERROR(N368*O368*(1-AJ368), "NA")</f>
        <v>8836.56</v>
      </c>
      <c r="AL368" s="6">
        <f>IFERROR(AK368-R368,"NA")</f>
        <v>2968.8099999999995</v>
      </c>
      <c r="AM368" s="5">
        <f t="shared" si="25"/>
        <v>0.33596897435201023</v>
      </c>
      <c r="AN368" t="str">
        <v>16-01-25</v>
      </c>
      <c r="AO368" t="str">
        <v>22-01-25</v>
      </c>
      <c r="AP368" t="str">
        <f t="shared" si="26"/>
        <v>January</v>
      </c>
      <c r="AQ368" t="str">
        <f t="shared" si="27"/>
        <v>2025</v>
      </c>
      <c r="AR368" t="str">
        <f t="shared" si="28"/>
        <v xml:space="preserve"> </v>
      </c>
      <c r="AS368">
        <f t="shared" si="29"/>
        <v>6</v>
      </c>
      <c r="AT368" t="str">
        <f>IF(COUNTIFS( $A:$A,A368,$B:$B,B368,$C:$C,C368,$D:$D,D368,$E:$E,E368,$F:$F,F368,$G:$G,G368,$H:$H,H368,$I:$I,I368,$J:$J,J368,$K:$K,K368,$L:$L,L368,$M:$M,M368,$T:$T,T368,$U:$U,U368,$W:$W,W368,$Z:$Z,Z368,$AA:$AA,AA368,$AB:$AB,AB368,$AC:$AC,AC368,$AD:$AD,AD368,$AE:$AE,AE368,$AF:$AF,AF368,$AG:$AG,AG368,$AH:$AH,AH368,$AI:$AI,AI368)&gt;1,"Duplicate","Unique")</f>
        <v>Unique</v>
      </c>
    </row>
    <row r="369" spans="1:46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  <c r="W369" t="s">
        <v>1840</v>
      </c>
      <c r="Z369" t="s">
        <v>1842</v>
      </c>
      <c r="AA369" t="str">
        <v>Rohan Mehta</v>
      </c>
      <c r="AB369" t="str">
        <f>TRIM(PROPER(F:F))</f>
        <v>Consumer</v>
      </c>
      <c r="AC369" t="str">
        <f>TRIM(PROPER(G:G))</f>
        <v>North</v>
      </c>
      <c r="AD369" t="str">
        <f>TRIM(PROPER(H:H))</f>
        <v>Delhi</v>
      </c>
      <c r="AE369" t="str">
        <f>TRIM(PROPER(I:I))</f>
        <v>New Delhi</v>
      </c>
      <c r="AF369" t="str">
        <f>TRIM(PROPER(J:J))</f>
        <v>Office Supplies</v>
      </c>
      <c r="AG369" t="str">
        <f>TRIM(PROPER(K:K))</f>
        <v>Art</v>
      </c>
      <c r="AH369" t="str">
        <f>TRIM(PROPER(L:L))</f>
        <v>Eco Art 646</v>
      </c>
      <c r="AI369" t="str">
        <f>TRIM(PROPER(M:M))</f>
        <v>Standard Class</v>
      </c>
      <c r="AJ369" s="5">
        <f>IF(OR(P369&lt;0,P369&gt;0.5),"invalid",P369)</f>
        <v>0.15</v>
      </c>
      <c r="AK369" s="6">
        <f>IFERROR(N369*O369*(1-AJ369), "NA")</f>
        <v>19456.958999999999</v>
      </c>
      <c r="AL369" s="6">
        <f>IFERROR(AK369-R369,"NA")</f>
        <v>4936.8989999999994</v>
      </c>
      <c r="AM369" s="5">
        <f t="shared" si="25"/>
        <v>0.25373435797443988</v>
      </c>
      <c r="AN369" t="str">
        <v>15-03-24</v>
      </c>
      <c r="AO369" t="str">
        <v>invalid date</v>
      </c>
      <c r="AP369" t="str">
        <f t="shared" si="26"/>
        <v>March</v>
      </c>
      <c r="AQ369" t="str">
        <f t="shared" si="27"/>
        <v>2024</v>
      </c>
      <c r="AR369" t="str">
        <f t="shared" si="28"/>
        <v>Invalid</v>
      </c>
      <c r="AS369" t="str">
        <f t="shared" si="29"/>
        <v>invalid date</v>
      </c>
      <c r="AT369" t="str">
        <f>IF(COUNTIFS( $A:$A,A369,$B:$B,B369,$C:$C,C369,$D:$D,D369,$E:$E,E369,$F:$F,F369,$G:$G,G369,$H:$H,H369,$I:$I,I369,$J:$J,J369,$K:$K,K369,$L:$L,L369,$M:$M,M369,$T:$T,T369,$U:$U,U369,$W:$W,W369,$Z:$Z,Z369,$AA:$AA,AA369,$AB:$AB,AB369,$AC:$AC,AC369,$AD:$AD,AD369,$AE:$AE,AE369,$AF:$AF,AF369,$AG:$AG,AG369,$AH:$AH,AH369,$AI:$AI,AI369)&gt;1,"Duplicate","Unique")</f>
        <v>Unique</v>
      </c>
    </row>
    <row r="370" spans="1:46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  <c r="W370" t="s">
        <v>1844</v>
      </c>
      <c r="Z370" t="s">
        <v>1845</v>
      </c>
      <c r="AA370" t="str">
        <v>Aarav Sharma</v>
      </c>
      <c r="AB370" t="str">
        <f>TRIM(PROPER(F:F))</f>
        <v>Home Office</v>
      </c>
      <c r="AC370" t="str">
        <f>TRIM(PROPER(G:G))</f>
        <v>North</v>
      </c>
      <c r="AD370" t="str">
        <f>TRIM(PROPER(H:H))</f>
        <v>Rajasthan</v>
      </c>
      <c r="AE370" t="str">
        <f>TRIM(PROPER(I:I))</f>
        <v>Jaipur</v>
      </c>
      <c r="AF370" t="str">
        <f>TRIM(PROPER(J:J))</f>
        <v>Technology</v>
      </c>
      <c r="AG370" t="str">
        <f>TRIM(PROPER(K:K))</f>
        <v>Accessories</v>
      </c>
      <c r="AH370" t="str">
        <f>TRIM(PROPER(L:L))</f>
        <v>Prime Accessories 962</v>
      </c>
      <c r="AI370" t="str">
        <f>TRIM(PROPER(M:M))</f>
        <v>Same Day</v>
      </c>
      <c r="AJ370" s="5">
        <f>IF(OR(P370&lt;0,P370&gt;0.5),"invalid",P370)</f>
        <v>0.05</v>
      </c>
      <c r="AK370" s="6">
        <f>IFERROR(N370*O370*(1-AJ370), "NA")</f>
        <v>2079.2745</v>
      </c>
      <c r="AL370" s="6">
        <f>IFERROR(AK370-R370,"NA")</f>
        <v>567.10449999999992</v>
      </c>
      <c r="AM370" s="5">
        <f t="shared" si="25"/>
        <v>0.27274152595051782</v>
      </c>
      <c r="AN370" t="str">
        <v>06-07-25</v>
      </c>
      <c r="AO370" t="str">
        <v>06-07-25</v>
      </c>
      <c r="AP370" t="str">
        <f t="shared" si="26"/>
        <v>July</v>
      </c>
      <c r="AQ370" t="str">
        <f t="shared" si="27"/>
        <v>2025</v>
      </c>
      <c r="AR370" t="str">
        <f t="shared" si="28"/>
        <v xml:space="preserve"> </v>
      </c>
      <c r="AS370">
        <f t="shared" si="29"/>
        <v>0</v>
      </c>
      <c r="AT370" t="str">
        <f>IF(COUNTIFS( $A:$A,A370,$B:$B,B370,$C:$C,C370,$D:$D,D370,$E:$E,E370,$F:$F,F370,$G:$G,G370,$H:$H,H370,$I:$I,I370,$J:$J,J370,$K:$K,K370,$L:$L,L370,$M:$M,M370,$T:$T,T370,$U:$U,U370,$W:$W,W370,$Z:$Z,Z370,$AA:$AA,AA370,$AB:$AB,AB370,$AC:$AC,AC370,$AD:$AD,AD370,$AE:$AE,AE370,$AF:$AF,AF370,$AG:$AG,AG370,$AH:$AH,AH370,$AI:$AI,AI370)&gt;1,"Duplicate","Unique")</f>
        <v>Unique</v>
      </c>
    </row>
    <row r="371" spans="1:46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  <c r="W371" t="s">
        <v>1847</v>
      </c>
      <c r="Z371" t="s">
        <v>1848</v>
      </c>
      <c r="AA371" t="str">
        <v>Priya Menon</v>
      </c>
      <c r="AB371" t="str">
        <f>TRIM(PROPER(F:F))</f>
        <v>Consumer</v>
      </c>
      <c r="AC371" t="str">
        <f>TRIM(PROPER(G:G))</f>
        <v>North</v>
      </c>
      <c r="AD371" t="str">
        <f>TRIM(PROPER(H:H))</f>
        <v>Delhi</v>
      </c>
      <c r="AE371" t="str">
        <f>TRIM(PROPER(I:I))</f>
        <v>New Delhi</v>
      </c>
      <c r="AF371" t="str">
        <f>TRIM(PROPER(J:J))</f>
        <v>Office Supplies</v>
      </c>
      <c r="AG371" t="str">
        <f>TRIM(PROPER(K:K))</f>
        <v>Labels</v>
      </c>
      <c r="AH371" t="str">
        <f>TRIM(PROPER(L:L))</f>
        <v>Eco Labels 646</v>
      </c>
      <c r="AI371" t="str">
        <f>TRIM(PROPER(M:M))</f>
        <v>Standard Class</v>
      </c>
      <c r="AJ371" s="5">
        <f>IF(OR(P371&lt;0,P371&gt;0.5),"invalid",P371)</f>
        <v>0.15</v>
      </c>
      <c r="AK371" s="6">
        <f>IFERROR(N371*O371*(1-AJ371), "NA")</f>
        <v>8945.6804999999986</v>
      </c>
      <c r="AL371" s="6">
        <f>IFERROR(AK371-R371,"NA")</f>
        <v>2205.3304999999982</v>
      </c>
      <c r="AM371" s="5">
        <f t="shared" si="25"/>
        <v>0.24652462157574245</v>
      </c>
      <c r="AN371" t="str">
        <v>23-01-25</v>
      </c>
      <c r="AO371" t="str">
        <v>invalid date</v>
      </c>
      <c r="AP371" t="str">
        <f t="shared" si="26"/>
        <v>January</v>
      </c>
      <c r="AQ371" t="str">
        <f t="shared" si="27"/>
        <v>2025</v>
      </c>
      <c r="AR371" t="str">
        <f t="shared" si="28"/>
        <v>Invalid</v>
      </c>
      <c r="AS371" t="str">
        <f t="shared" si="29"/>
        <v>invalid date</v>
      </c>
      <c r="AT371" t="str">
        <f>IF(COUNTIFS( $A:$A,A371,$B:$B,B371,$C:$C,C371,$D:$D,D371,$E:$E,E371,$F:$F,F371,$G:$G,G371,$H:$H,H371,$I:$I,I371,$J:$J,J371,$K:$K,K371,$L:$L,L371,$M:$M,M371,$T:$T,T371,$U:$U,U371,$W:$W,W371,$Z:$Z,Z371,$AA:$AA,AA371,$AB:$AB,AB371,$AC:$AC,AC371,$AD:$AD,AD371,$AE:$AE,AE371,$AF:$AF,AF371,$AG:$AG,AG371,$AH:$AH,AH371,$AI:$AI,AI371)&gt;1,"Duplicate","Unique")</f>
        <v>Unique</v>
      </c>
    </row>
    <row r="372" spans="1:46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  <c r="W372" t="s">
        <v>1850</v>
      </c>
      <c r="Z372" t="s">
        <v>1852</v>
      </c>
      <c r="AA372" t="str">
        <v>Ananya Rao</v>
      </c>
      <c r="AB372" t="str">
        <f>TRIM(PROPER(F:F))</f>
        <v>Small Business</v>
      </c>
      <c r="AC372" t="str">
        <f>TRIM(PROPER(G:G))</f>
        <v>West</v>
      </c>
      <c r="AD372" t="str">
        <f>TRIM(PROPER(H:H))</f>
        <v>Rajasthan</v>
      </c>
      <c r="AE372" t="str">
        <f>TRIM(PROPER(I:I))</f>
        <v>Udaipur</v>
      </c>
      <c r="AF372" t="str">
        <f>TRIM(PROPER(J:J))</f>
        <v>Technology</v>
      </c>
      <c r="AG372" t="str">
        <f>TRIM(PROPER(K:K))</f>
        <v>Copiers</v>
      </c>
      <c r="AH372" t="str">
        <f>TRIM(PROPER(L:L))</f>
        <v>Classic Copiers 505</v>
      </c>
      <c r="AI372" t="str">
        <f>TRIM(PROPER(M:M))</f>
        <v>First Class</v>
      </c>
      <c r="AJ372" s="5">
        <f>IF(OR(P372&lt;0,P372&gt;0.5),"invalid",P372)</f>
        <v>0.2</v>
      </c>
      <c r="AK372" s="6">
        <f>IFERROR(N372*O372*(1-AJ372), "NA")</f>
        <v>13069.336000000001</v>
      </c>
      <c r="AL372" s="6">
        <f>IFERROR(AK372-R372,"NA")</f>
        <v>4300.746000000001</v>
      </c>
      <c r="AM372" s="5">
        <f t="shared" si="25"/>
        <v>0.32907149988339124</v>
      </c>
      <c r="AN372" t="str">
        <v>invalid date</v>
      </c>
      <c r="AO372" t="str">
        <v>21-08-24</v>
      </c>
      <c r="AP372" t="str">
        <f t="shared" si="26"/>
        <v>invalid date</v>
      </c>
      <c r="AQ372" t="str">
        <f t="shared" si="27"/>
        <v>invalid date</v>
      </c>
      <c r="AR372" t="str">
        <f t="shared" si="28"/>
        <v>Invalid</v>
      </c>
      <c r="AS372" t="str">
        <f t="shared" si="29"/>
        <v>invalid date</v>
      </c>
      <c r="AT372" t="str">
        <f>IF(COUNTIFS( $A:$A,A372,$B:$B,B372,$C:$C,C372,$D:$D,D372,$E:$E,E372,$F:$F,F372,$G:$G,G372,$H:$H,H372,$I:$I,I372,$J:$J,J372,$K:$K,K372,$L:$L,L372,$M:$M,M372,$T:$T,T372,$U:$U,U372,$W:$W,W372,$Z:$Z,Z372,$AA:$AA,AA372,$AB:$AB,AB372,$AC:$AC,AC372,$AD:$AD,AD372,$AE:$AE,AE372,$AF:$AF,AF372,$AG:$AG,AG372,$AH:$AH,AH372,$AI:$AI,AI372)&gt;1,"Duplicate","Unique")</f>
        <v>Unique</v>
      </c>
    </row>
    <row r="373" spans="1:46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  <c r="W373" t="s">
        <v>1854</v>
      </c>
      <c r="Z373" t="s">
        <v>1856</v>
      </c>
      <c r="AA373" t="str">
        <v>Diya Patel</v>
      </c>
      <c r="AB373" t="str">
        <f>TRIM(PROPER(F:F))</f>
        <v>Home Office</v>
      </c>
      <c r="AC373" t="str">
        <f>TRIM(PROPER(G:G))</f>
        <v>West</v>
      </c>
      <c r="AD373" t="str">
        <f>TRIM(PROPER(H:H))</f>
        <v>Maharashtra</v>
      </c>
      <c r="AE373" t="str">
        <f>TRIM(PROPER(I:I))</f>
        <v>Mumbai</v>
      </c>
      <c r="AF373" t="str">
        <f>TRIM(PROPER(J:J))</f>
        <v>Office Supplies</v>
      </c>
      <c r="AG373" t="str">
        <f>TRIM(PROPER(K:K))</f>
        <v>Art</v>
      </c>
      <c r="AH373" t="str">
        <f>TRIM(PROPER(L:L))</f>
        <v>Pro Art 906</v>
      </c>
      <c r="AI373" t="str">
        <f>TRIM(PROPER(M:M))</f>
        <v>Standard Class</v>
      </c>
      <c r="AJ373" s="5">
        <f>IF(OR(P373&lt;0,P373&gt;0.5),"invalid",P373)</f>
        <v>0</v>
      </c>
      <c r="AK373" s="6">
        <f>IFERROR(N373*O373*(1-AJ373), "NA")</f>
        <v>6156.36</v>
      </c>
      <c r="AL373" s="6">
        <f>IFERROR(AK373-R373,"NA")</f>
        <v>3174.4199999999996</v>
      </c>
      <c r="AM373" s="5">
        <f t="shared" si="25"/>
        <v>0.51563261407714944</v>
      </c>
      <c r="AN373" t="str">
        <v>22-01-24</v>
      </c>
      <c r="AO373" t="str">
        <v>24-01-24</v>
      </c>
      <c r="AP373" t="str">
        <f t="shared" si="26"/>
        <v>January</v>
      </c>
      <c r="AQ373" t="str">
        <f t="shared" si="27"/>
        <v>2024</v>
      </c>
      <c r="AR373" t="str">
        <f t="shared" si="28"/>
        <v xml:space="preserve"> </v>
      </c>
      <c r="AS373">
        <f t="shared" si="29"/>
        <v>2</v>
      </c>
      <c r="AT373" t="str">
        <f>IF(COUNTIFS( $A:$A,A373,$B:$B,B373,$C:$C,C373,$D:$D,D373,$E:$E,E373,$F:$F,F373,$G:$G,G373,$H:$H,H373,$I:$I,I373,$J:$J,J373,$K:$K,K373,$L:$L,L373,$M:$M,M373,$T:$T,T373,$U:$U,U373,$W:$W,W373,$Z:$Z,Z373,$AA:$AA,AA373,$AB:$AB,AB373,$AC:$AC,AC373,$AD:$AD,AD373,$AE:$AE,AE373,$AF:$AF,AF373,$AG:$AG,AG373,$AH:$AH,AH373,$AI:$AI,AI373)&gt;1,"Duplicate","Unique")</f>
        <v>Unique</v>
      </c>
    </row>
    <row r="374" spans="1:46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  <c r="W374" t="s">
        <v>1858</v>
      </c>
      <c r="Z374" t="s">
        <v>970</v>
      </c>
      <c r="AA374" t="str">
        <v>Kabir Singh</v>
      </c>
      <c r="AB374" t="str">
        <f>TRIM(PROPER(F:F))</f>
        <v>Consumer</v>
      </c>
      <c r="AC374" t="str">
        <f>TRIM(PROPER(G:G))</f>
        <v>East</v>
      </c>
      <c r="AD374" t="str">
        <f>TRIM(PROPER(H:H))</f>
        <v>Jharkhand</v>
      </c>
      <c r="AE374" t="str">
        <f>TRIM(PROPER(I:I))</f>
        <v>Ranchi</v>
      </c>
      <c r="AF374" t="str">
        <f>TRIM(PROPER(J:J))</f>
        <v>Furniture</v>
      </c>
      <c r="AG374" t="str">
        <f>TRIM(PROPER(K:K))</f>
        <v>Chairs</v>
      </c>
      <c r="AH374" t="str">
        <f>TRIM(PROPER(L:L))</f>
        <v>Max Chairs 181</v>
      </c>
      <c r="AI374" t="str">
        <f>TRIM(PROPER(M:M))</f>
        <v>Same Day</v>
      </c>
      <c r="AJ374" s="5">
        <f>IF(OR(P374&lt;0,P374&gt;0.5),"invalid",P374)</f>
        <v>0</v>
      </c>
      <c r="AK374" s="6">
        <f>IFERROR(N374*O374*(1-AJ374), "NA")</f>
        <v>7651.7999999999993</v>
      </c>
      <c r="AL374" s="6">
        <f>IFERROR(AK374-R374,"NA")</f>
        <v>2480.0199999999995</v>
      </c>
      <c r="AM374" s="5">
        <f t="shared" si="25"/>
        <v>0.32410935988917638</v>
      </c>
      <c r="AN374" t="str">
        <v>16-08-25</v>
      </c>
      <c r="AO374" t="str">
        <v>18-08-25</v>
      </c>
      <c r="AP374" t="str">
        <f t="shared" si="26"/>
        <v>August</v>
      </c>
      <c r="AQ374" t="str">
        <f t="shared" si="27"/>
        <v>2025</v>
      </c>
      <c r="AR374" t="str">
        <f t="shared" si="28"/>
        <v xml:space="preserve"> </v>
      </c>
      <c r="AS374">
        <f t="shared" si="29"/>
        <v>2</v>
      </c>
      <c r="AT374" t="str">
        <f>IF(COUNTIFS( $A:$A,A374,$B:$B,B374,$C:$C,C374,$D:$D,D374,$E:$E,E374,$F:$F,F374,$G:$G,G374,$H:$H,H374,$I:$I,I374,$J:$J,J374,$K:$K,K374,$L:$L,L374,$M:$M,M374,$T:$T,T374,$U:$U,U374,$W:$W,W374,$Z:$Z,Z374,$AA:$AA,AA374,$AB:$AB,AB374,$AC:$AC,AC374,$AD:$AD,AD374,$AE:$AE,AE374,$AF:$AF,AF374,$AG:$AG,AG374,$AH:$AH,AH374,$AI:$AI,AI374)&gt;1,"Duplicate","Unique")</f>
        <v>Unique</v>
      </c>
    </row>
    <row r="375" spans="1:46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  <c r="W375" t="s">
        <v>1861</v>
      </c>
      <c r="Z375" t="s">
        <v>1863</v>
      </c>
      <c r="AA375" t="str">
        <v>Sneha Kapoor</v>
      </c>
      <c r="AB375" t="str">
        <f>TRIM(PROPER(F:F))</f>
        <v>Small Business</v>
      </c>
      <c r="AC375" t="str">
        <f>TRIM(PROPER(G:G))</f>
        <v>North</v>
      </c>
      <c r="AD375" t="str">
        <f>TRIM(PROPER(H:H))</f>
        <v>Uttar Pradesh</v>
      </c>
      <c r="AE375" t="str">
        <f>TRIM(PROPER(I:I))</f>
        <v>Noida</v>
      </c>
      <c r="AF375" t="str">
        <f>TRIM(PROPER(J:J))</f>
        <v>Office Supplies</v>
      </c>
      <c r="AG375" t="str">
        <f>TRIM(PROPER(K:K))</f>
        <v>Storage</v>
      </c>
      <c r="AH375" t="str">
        <f>TRIM(PROPER(L:L))</f>
        <v>Prime Storage 951</v>
      </c>
      <c r="AI375" t="str">
        <f>TRIM(PROPER(M:M))</f>
        <v>Second Class</v>
      </c>
      <c r="AJ375" s="5">
        <f>IF(OR(P375&lt;0,P375&gt;0.5),"invalid",P375)</f>
        <v>0</v>
      </c>
      <c r="AK375" s="6">
        <f>IFERROR(N375*O375*(1-AJ375), "NA")</f>
        <v>10068.120000000001</v>
      </c>
      <c r="AL375" s="6">
        <f>IFERROR(AK375-R375,"NA")</f>
        <v>1472.75</v>
      </c>
      <c r="AM375" s="5">
        <f t="shared" si="25"/>
        <v>0.14627855051389932</v>
      </c>
      <c r="AN375" t="str">
        <v>13-04-25</v>
      </c>
      <c r="AO375" t="str">
        <v>13-04-25</v>
      </c>
      <c r="AP375" t="str">
        <f t="shared" si="26"/>
        <v>April</v>
      </c>
      <c r="AQ375" t="str">
        <f t="shared" si="27"/>
        <v>2025</v>
      </c>
      <c r="AR375" t="str">
        <f t="shared" si="28"/>
        <v xml:space="preserve"> </v>
      </c>
      <c r="AS375">
        <f t="shared" si="29"/>
        <v>0</v>
      </c>
      <c r="AT375" t="str">
        <f>IF(COUNTIFS( $A:$A,A375,$B:$B,B375,$C:$C,C375,$D:$D,D375,$E:$E,E375,$F:$F,F375,$G:$G,G375,$H:$H,H375,$I:$I,I375,$J:$J,J375,$K:$K,K375,$L:$L,L375,$M:$M,M375,$T:$T,T375,$U:$U,U375,$W:$W,W375,$Z:$Z,Z375,$AA:$AA,AA375,$AB:$AB,AB375,$AC:$AC,AC375,$AD:$AD,AD375,$AE:$AE,AE375,$AF:$AF,AF375,$AG:$AG,AG375,$AH:$AH,AH375,$AI:$AI,AI375)&gt;1,"Duplicate","Unique")</f>
        <v>Unique</v>
      </c>
    </row>
    <row r="376" spans="1:46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  <c r="W376" t="s">
        <v>1865</v>
      </c>
      <c r="Z376" t="s">
        <v>1868</v>
      </c>
      <c r="AA376" t="str">
        <v>Aditi Sen</v>
      </c>
      <c r="AB376" t="str">
        <f>TRIM(PROPER(F:F))</f>
        <v>Small Business</v>
      </c>
      <c r="AC376" t="str">
        <f>TRIM(PROPER(G:G))</f>
        <v>North</v>
      </c>
      <c r="AD376" t="str">
        <f>TRIM(PROPER(H:H))</f>
        <v>Uttar Pradesh</v>
      </c>
      <c r="AE376" t="str">
        <f>TRIM(PROPER(I:I))</f>
        <v>Noida</v>
      </c>
      <c r="AF376" t="str">
        <f>TRIM(PROPER(J:J))</f>
        <v>Office Supplies</v>
      </c>
      <c r="AG376" t="str">
        <f>TRIM(PROPER(K:K))</f>
        <v>Labels</v>
      </c>
      <c r="AH376" t="str">
        <f>TRIM(PROPER(L:L))</f>
        <v>Smart Labels 668</v>
      </c>
      <c r="AI376" t="str">
        <f>TRIM(PROPER(M:M))</f>
        <v>Standard Class</v>
      </c>
      <c r="AJ376" s="5">
        <f>IF(OR(P376&lt;0,P376&gt;0.5),"invalid",P376)</f>
        <v>0</v>
      </c>
      <c r="AK376" s="6">
        <f>IFERROR(N376*O376*(1-AJ376), "NA")</f>
        <v>14359.5</v>
      </c>
      <c r="AL376" s="6">
        <f>IFERROR(AK376-R376,"NA")</f>
        <v>6241.79</v>
      </c>
      <c r="AM376" s="5">
        <f t="shared" si="25"/>
        <v>0.43468017688638183</v>
      </c>
      <c r="AN376" t="str">
        <v>27-02-25</v>
      </c>
      <c r="AO376" t="str">
        <v>28-02-25</v>
      </c>
      <c r="AP376" t="str">
        <f t="shared" si="26"/>
        <v>February</v>
      </c>
      <c r="AQ376" t="str">
        <f t="shared" si="27"/>
        <v>2025</v>
      </c>
      <c r="AR376" t="str">
        <f t="shared" si="28"/>
        <v xml:space="preserve"> </v>
      </c>
      <c r="AS376">
        <f t="shared" si="29"/>
        <v>1</v>
      </c>
      <c r="AT376" t="str">
        <f>IF(COUNTIFS( $A:$A,A376,$B:$B,B376,$C:$C,C376,$D:$D,D376,$E:$E,E376,$F:$F,F376,$G:$G,G376,$H:$H,H376,$I:$I,I376,$J:$J,J376,$K:$K,K376,$L:$L,L376,$M:$M,M376,$T:$T,T376,$U:$U,U376,$W:$W,W376,$Z:$Z,Z376,$AA:$AA,AA376,$AB:$AB,AB376,$AC:$AC,AC376,$AD:$AD,AD376,$AE:$AE,AE376,$AF:$AF,AF376,$AG:$AG,AG376,$AH:$AH,AH376,$AI:$AI,AI376)&gt;1,"Duplicate","Unique")</f>
        <v>Unique</v>
      </c>
    </row>
    <row r="377" spans="1:46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  <c r="W377" t="s">
        <v>1870</v>
      </c>
      <c r="Z377" t="s">
        <v>1873</v>
      </c>
      <c r="AA377" t="str">
        <v>Vikram Iyer</v>
      </c>
      <c r="AB377" t="str">
        <f>TRIM(PROPER(F:F))</f>
        <v>Consumer</v>
      </c>
      <c r="AC377" t="str">
        <f>TRIM(PROPER(G:G))</f>
        <v>North</v>
      </c>
      <c r="AD377" t="str">
        <f>TRIM(PROPER(H:H))</f>
        <v>Delhi</v>
      </c>
      <c r="AE377" t="str">
        <f>TRIM(PROPER(I:I))</f>
        <v>New Delhi</v>
      </c>
      <c r="AF377" t="str">
        <f>TRIM(PROPER(J:J))</f>
        <v>Furniture</v>
      </c>
      <c r="AG377" t="str">
        <f>TRIM(PROPER(K:K))</f>
        <v>Chairs</v>
      </c>
      <c r="AH377" t="str">
        <f>TRIM(PROPER(L:L))</f>
        <v>Pro Chairs 364</v>
      </c>
      <c r="AI377" t="str">
        <f>TRIM(PROPER(M:M))</f>
        <v>Same Day</v>
      </c>
      <c r="AJ377" s="5">
        <f>IF(OR(P377&lt;0,P377&gt;0.5),"invalid",P377)</f>
        <v>0.25</v>
      </c>
      <c r="AK377" s="6">
        <f>IFERROR(N377*O377*(1-AJ377), "NA")</f>
        <v>2624.8724999999999</v>
      </c>
      <c r="AL377" s="6">
        <f>IFERROR(AK377-R377,"NA")</f>
        <v>370.99249999999984</v>
      </c>
      <c r="AM377" s="5">
        <f t="shared" si="25"/>
        <v>0.14133734114704613</v>
      </c>
      <c r="AN377" t="str">
        <v>31-12-24</v>
      </c>
      <c r="AO377" t="str">
        <v>04-01-25</v>
      </c>
      <c r="AP377" t="str">
        <f t="shared" si="26"/>
        <v>December</v>
      </c>
      <c r="AQ377" t="str">
        <f t="shared" si="27"/>
        <v>2024</v>
      </c>
      <c r="AR377" t="str">
        <f t="shared" si="28"/>
        <v>anomaly</v>
      </c>
      <c r="AS377">
        <f t="shared" si="29"/>
        <v>4</v>
      </c>
      <c r="AT377" t="str">
        <f>IF(COUNTIFS( $A:$A,A377,$B:$B,B377,$C:$C,C377,$D:$D,D377,$E:$E,E377,$F:$F,F377,$G:$G,G377,$H:$H,H377,$I:$I,I377,$J:$J,J377,$K:$K,K377,$L:$L,L377,$M:$M,M377,$T:$T,T377,$U:$U,U377,$W:$W,W377,$Z:$Z,Z377,$AA:$AA,AA377,$AB:$AB,AB377,$AC:$AC,AC377,$AD:$AD,AD377,$AE:$AE,AE377,$AF:$AF,AF377,$AG:$AG,AG377,$AH:$AH,AH377,$AI:$AI,AI377)&gt;1,"Duplicate","Unique")</f>
        <v>Unique</v>
      </c>
    </row>
    <row r="378" spans="1:46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  <c r="W378" t="s">
        <v>1875</v>
      </c>
      <c r="Z378" t="s">
        <v>1877</v>
      </c>
      <c r="AA378" t="str">
        <v>Isha Nair</v>
      </c>
      <c r="AB378" t="str">
        <f>TRIM(PROPER(F:F))</f>
        <v>Small Business</v>
      </c>
      <c r="AC378" t="str">
        <f>TRIM(PROPER(G:G))</f>
        <v>East</v>
      </c>
      <c r="AD378" t="str">
        <f>TRIM(PROPER(H:H))</f>
        <v>Bihar</v>
      </c>
      <c r="AE378" t="str">
        <f>TRIM(PROPER(I:I))</f>
        <v>Patna</v>
      </c>
      <c r="AF378" t="str">
        <f>TRIM(PROPER(J:J))</f>
        <v>Furniture</v>
      </c>
      <c r="AG378" t="str">
        <f>TRIM(PROPER(K:K))</f>
        <v>Chairs</v>
      </c>
      <c r="AH378" t="str">
        <f>TRIM(PROPER(L:L))</f>
        <v>Basic Chairs 248</v>
      </c>
      <c r="AI378" t="str">
        <f>TRIM(PROPER(M:M))</f>
        <v>First Class</v>
      </c>
      <c r="AJ378" s="5">
        <f>IF(OR(P378&lt;0,P378&gt;0.5),"invalid",P378)</f>
        <v>0.2</v>
      </c>
      <c r="AK378" s="6">
        <f>IFERROR(N378*O378*(1-AJ378), "NA")</f>
        <v>8854.9440000000013</v>
      </c>
      <c r="AL378" s="6">
        <f>IFERROR(AK378-R378,"NA")</f>
        <v>1420.9940000000015</v>
      </c>
      <c r="AM378" s="5">
        <f t="shared" si="25"/>
        <v>0.1604746455765278</v>
      </c>
      <c r="AN378" t="str">
        <v>29-12-24</v>
      </c>
      <c r="AO378" t="str">
        <v>31-12-24</v>
      </c>
      <c r="AP378" t="str">
        <f t="shared" si="26"/>
        <v>December</v>
      </c>
      <c r="AQ378" t="str">
        <f t="shared" si="27"/>
        <v>2024</v>
      </c>
      <c r="AR378" t="str">
        <f t="shared" si="28"/>
        <v xml:space="preserve"> </v>
      </c>
      <c r="AS378">
        <f t="shared" si="29"/>
        <v>2</v>
      </c>
      <c r="AT378" t="str">
        <f>IF(COUNTIFS( $A:$A,A378,$B:$B,B378,$C:$C,C378,$D:$D,D378,$E:$E,E378,$F:$F,F378,$G:$G,G378,$H:$H,H378,$I:$I,I378,$J:$J,J378,$K:$K,K378,$L:$L,L378,$M:$M,M378,$T:$T,T378,$U:$U,U378,$W:$W,W378,$Z:$Z,Z378,$AA:$AA,AA378,$AB:$AB,AB378,$AC:$AC,AC378,$AD:$AD,AD378,$AE:$AE,AE378,$AF:$AF,AF378,$AG:$AG,AG378,$AH:$AH,AH378,$AI:$AI,AI378)&gt;1,"Duplicate","Unique")</f>
        <v>Unique</v>
      </c>
    </row>
    <row r="379" spans="1:46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  <c r="W379" t="s">
        <v>1879</v>
      </c>
      <c r="Z379" t="s">
        <v>1881</v>
      </c>
      <c r="AA379" t="str">
        <v>Kabir Singh</v>
      </c>
      <c r="AB379" t="str">
        <f>TRIM(PROPER(F:F))</f>
        <v>Small Business</v>
      </c>
      <c r="AC379" t="str">
        <f>TRIM(PROPER(G:G))</f>
        <v>East</v>
      </c>
      <c r="AD379" t="str">
        <f>TRIM(PROPER(H:H))</f>
        <v>Odisha</v>
      </c>
      <c r="AE379" t="str">
        <f>TRIM(PROPER(I:I))</f>
        <v>Bhubaneswar</v>
      </c>
      <c r="AF379" t="str">
        <f>TRIM(PROPER(J:J))</f>
        <v>Office Supplies</v>
      </c>
      <c r="AG379" t="str">
        <f>TRIM(PROPER(K:K))</f>
        <v>Storage</v>
      </c>
      <c r="AH379" t="str">
        <f>TRIM(PROPER(L:L))</f>
        <v>Basic Storage 360</v>
      </c>
      <c r="AI379" t="str">
        <f>TRIM(PROPER(M:M))</f>
        <v>Same Day</v>
      </c>
      <c r="AJ379" s="5">
        <f>IF(OR(P379&lt;0,P379&gt;0.5),"invalid",P379)</f>
        <v>0</v>
      </c>
      <c r="AK379" s="6">
        <f>IFERROR(N379*O379*(1-AJ379), "NA")</f>
        <v>2564.7399999999998</v>
      </c>
      <c r="AL379" s="6">
        <f>IFERROR(AK379-R379,"NA")</f>
        <v>810.15999999999985</v>
      </c>
      <c r="AM379" s="5">
        <f t="shared" si="25"/>
        <v>0.31588387126960232</v>
      </c>
      <c r="AN379" t="str">
        <v>24-05-25</v>
      </c>
      <c r="AO379" t="str">
        <v>30-05-25</v>
      </c>
      <c r="AP379" t="str">
        <f t="shared" si="26"/>
        <v>May</v>
      </c>
      <c r="AQ379" t="str">
        <f t="shared" si="27"/>
        <v>2025</v>
      </c>
      <c r="AR379" t="str">
        <f t="shared" si="28"/>
        <v xml:space="preserve"> </v>
      </c>
      <c r="AS379">
        <f t="shared" si="29"/>
        <v>6</v>
      </c>
      <c r="AT379" t="str">
        <f>IF(COUNTIFS( $A:$A,A379,$B:$B,B379,$C:$C,C379,$D:$D,D379,$E:$E,E379,$F:$F,F379,$G:$G,G379,$H:$H,H379,$I:$I,I379,$J:$J,J379,$K:$K,K379,$L:$L,L379,$M:$M,M379,$T:$T,T379,$U:$U,U379,$W:$W,W379,$Z:$Z,Z379,$AA:$AA,AA379,$AB:$AB,AB379,$AC:$AC,AC379,$AD:$AD,AD379,$AE:$AE,AE379,$AF:$AF,AF379,$AG:$AG,AG379,$AH:$AH,AH379,$AI:$AI,AI379)&gt;1,"Duplicate","Unique")</f>
        <v>Unique</v>
      </c>
    </row>
    <row r="380" spans="1:46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  <c r="W380" t="s">
        <v>1884</v>
      </c>
      <c r="Z380" t="s">
        <v>1886</v>
      </c>
      <c r="AA380" t="str">
        <v>Mira Das</v>
      </c>
      <c r="AB380" t="str">
        <f>TRIM(PROPER(F:F))</f>
        <v>Consumer</v>
      </c>
      <c r="AC380" t="str">
        <f>TRIM(PROPER(G:G))</f>
        <v>West</v>
      </c>
      <c r="AD380" t="str">
        <f>TRIM(PROPER(H:H))</f>
        <v>Goa</v>
      </c>
      <c r="AE380" t="str">
        <f>TRIM(PROPER(I:I))</f>
        <v>Panaji</v>
      </c>
      <c r="AF380" t="str">
        <f>TRIM(PROPER(J:J))</f>
        <v>Technology</v>
      </c>
      <c r="AG380" t="str">
        <f>TRIM(PROPER(K:K))</f>
        <v>Accessories</v>
      </c>
      <c r="AH380" t="str">
        <f>TRIM(PROPER(L:L))</f>
        <v>Basic Accessories 988</v>
      </c>
      <c r="AI380" t="str">
        <f>TRIM(PROPER(M:M))</f>
        <v>Standard Class</v>
      </c>
      <c r="AJ380" s="5">
        <f>IF(OR(P380&lt;0,P380&gt;0.5),"invalid",P380)</f>
        <v>0</v>
      </c>
      <c r="AK380" s="6">
        <f>IFERROR(N380*O380*(1-AJ380), "NA")</f>
        <v>7821.22</v>
      </c>
      <c r="AL380" s="6">
        <f>IFERROR(AK380-R380,"NA")</f>
        <v>2826.76</v>
      </c>
      <c r="AM380" s="5">
        <f t="shared" si="25"/>
        <v>0.36142187535959863</v>
      </c>
      <c r="AN380" t="str">
        <v>22-05-25</v>
      </c>
      <c r="AO380" t="str">
        <v>22-05-25</v>
      </c>
      <c r="AP380" t="str">
        <f t="shared" si="26"/>
        <v>May</v>
      </c>
      <c r="AQ380" t="str">
        <f t="shared" si="27"/>
        <v>2025</v>
      </c>
      <c r="AR380" t="str">
        <f t="shared" si="28"/>
        <v xml:space="preserve"> </v>
      </c>
      <c r="AS380">
        <f t="shared" si="29"/>
        <v>0</v>
      </c>
      <c r="AT380" t="str">
        <f>IF(COUNTIFS( $A:$A,A380,$B:$B,B380,$C:$C,C380,$D:$D,D380,$E:$E,E380,$F:$F,F380,$G:$G,G380,$H:$H,H380,$I:$I,I380,$J:$J,J380,$K:$K,K380,$L:$L,L380,$M:$M,M380,$T:$T,T380,$U:$U,U380,$W:$W,W380,$Z:$Z,Z380,$AA:$AA,AA380,$AB:$AB,AB380,$AC:$AC,AC380,$AD:$AD,AD380,$AE:$AE,AE380,$AF:$AF,AF380,$AG:$AG,AG380,$AH:$AH,AH380,$AI:$AI,AI380)&gt;1,"Duplicate","Unique")</f>
        <v>Unique</v>
      </c>
    </row>
    <row r="381" spans="1:46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  <c r="W381" t="s">
        <v>1888</v>
      </c>
      <c r="Z381" t="s">
        <v>1891</v>
      </c>
      <c r="AA381" t="str">
        <v>Mira Das</v>
      </c>
      <c r="AB381" t="str">
        <f>TRIM(PROPER(F:F))</f>
        <v>Small Business</v>
      </c>
      <c r="AC381" t="str">
        <f>TRIM(PROPER(G:G))</f>
        <v>South</v>
      </c>
      <c r="AD381" t="str">
        <f>TRIM(PROPER(H:H))</f>
        <v>Kerala</v>
      </c>
      <c r="AE381" t="str">
        <f>TRIM(PROPER(I:I))</f>
        <v>Kochi</v>
      </c>
      <c r="AF381" t="str">
        <f>TRIM(PROPER(J:J))</f>
        <v>Office Supplies</v>
      </c>
      <c r="AG381" t="str">
        <f>TRIM(PROPER(K:K))</f>
        <v>Paper</v>
      </c>
      <c r="AH381" t="str">
        <f>TRIM(PROPER(L:L))</f>
        <v>Max Paper 334</v>
      </c>
      <c r="AI381" t="str">
        <f>TRIM(PROPER(M:M))</f>
        <v>Standard Class</v>
      </c>
      <c r="AJ381" s="5">
        <f>IF(OR(P381&lt;0,P381&gt;0.5),"invalid",P381)</f>
        <v>0</v>
      </c>
      <c r="AK381" s="6">
        <f>IFERROR(N381*O381*(1-AJ381), "NA")</f>
        <v>7956.76</v>
      </c>
      <c r="AL381" s="6">
        <f>IFERROR(AK381-R381,"NA")</f>
        <v>3157.2200000000003</v>
      </c>
      <c r="AM381" s="5">
        <f t="shared" si="25"/>
        <v>0.39679718880549369</v>
      </c>
      <c r="AN381" t="str">
        <v>invalid date</v>
      </c>
      <c r="AO381" t="str">
        <v>23-09-24</v>
      </c>
      <c r="AP381" t="str">
        <f t="shared" si="26"/>
        <v>invalid date</v>
      </c>
      <c r="AQ381" t="str">
        <f t="shared" si="27"/>
        <v>invalid date</v>
      </c>
      <c r="AR381" t="str">
        <f t="shared" si="28"/>
        <v>Invalid</v>
      </c>
      <c r="AS381" t="str">
        <f t="shared" si="29"/>
        <v>invalid date</v>
      </c>
      <c r="AT381" t="str">
        <f>IF(COUNTIFS( $A:$A,A381,$B:$B,B381,$C:$C,C381,$D:$D,D381,$E:$E,E381,$F:$F,F381,$G:$G,G381,$H:$H,H381,$I:$I,I381,$J:$J,J381,$K:$K,K381,$L:$L,L381,$M:$M,M381,$T:$T,T381,$U:$U,U381,$W:$W,W381,$Z:$Z,Z381,$AA:$AA,AA381,$AB:$AB,AB381,$AC:$AC,AC381,$AD:$AD,AD381,$AE:$AE,AE381,$AF:$AF,AF381,$AG:$AG,AG381,$AH:$AH,AH381,$AI:$AI,AI381)&gt;1,"Duplicate","Unique")</f>
        <v>Unique</v>
      </c>
    </row>
    <row r="382" spans="1:46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  <c r="W382" t="s">
        <v>1893</v>
      </c>
      <c r="Z382" t="s">
        <v>1895</v>
      </c>
      <c r="AA382" t="str">
        <v>Vikram Iyer</v>
      </c>
      <c r="AB382" t="str">
        <f>TRIM(PROPER(F:F))</f>
        <v>Consumer</v>
      </c>
      <c r="AC382" t="str">
        <f>TRIM(PROPER(G:G))</f>
        <v>West</v>
      </c>
      <c r="AD382" t="str">
        <f>TRIM(PROPER(H:H))</f>
        <v>Maharashtra</v>
      </c>
      <c r="AE382" t="str">
        <f>TRIM(PROPER(I:I))</f>
        <v>Mumbai</v>
      </c>
      <c r="AF382" t="str">
        <f>TRIM(PROPER(J:J))</f>
        <v>Furniture</v>
      </c>
      <c r="AG382" t="str">
        <f>TRIM(PROPER(K:K))</f>
        <v>Bookcases</v>
      </c>
      <c r="AH382" t="str">
        <f>TRIM(PROPER(L:L))</f>
        <v>Prime Bookcases 952</v>
      </c>
      <c r="AI382" t="str">
        <f>TRIM(PROPER(M:M))</f>
        <v>Same Day</v>
      </c>
      <c r="AJ382" s="5">
        <f>IF(OR(P382&lt;0,P382&gt;0.5),"invalid",P382)</f>
        <v>0.25</v>
      </c>
      <c r="AK382" s="6">
        <f>IFERROR(N382*O382*(1-AJ382), "NA")</f>
        <v>8384.4375</v>
      </c>
      <c r="AL382" s="6">
        <f>IFERROR(AK382-R382,"NA")</f>
        <v>3618.4775</v>
      </c>
      <c r="AM382" s="5">
        <f t="shared" si="25"/>
        <v>0.43157069272685256</v>
      </c>
      <c r="AN382" t="str">
        <v>07-04-24</v>
      </c>
      <c r="AO382" t="str">
        <v>14-04-24</v>
      </c>
      <c r="AP382" t="str">
        <f t="shared" si="26"/>
        <v>April</v>
      </c>
      <c r="AQ382" t="str">
        <f t="shared" si="27"/>
        <v>2024</v>
      </c>
      <c r="AR382" t="str">
        <f t="shared" si="28"/>
        <v xml:space="preserve"> </v>
      </c>
      <c r="AS382">
        <f t="shared" si="29"/>
        <v>7</v>
      </c>
      <c r="AT382" t="str">
        <f>IF(COUNTIFS( $A:$A,A382,$B:$B,B382,$C:$C,C382,$D:$D,D382,$E:$E,E382,$F:$F,F382,$G:$G,G382,$H:$H,H382,$I:$I,I382,$J:$J,J382,$K:$K,K382,$L:$L,L382,$M:$M,M382,$T:$T,T382,$U:$U,U382,$W:$W,W382,$Z:$Z,Z382,$AA:$AA,AA382,$AB:$AB,AB382,$AC:$AC,AC382,$AD:$AD,AD382,$AE:$AE,AE382,$AF:$AF,AF382,$AG:$AG,AG382,$AH:$AH,AH382,$AI:$AI,AI382)&gt;1,"Duplicate","Unique")</f>
        <v>Unique</v>
      </c>
    </row>
    <row r="383" spans="1:46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  <c r="W383" t="s">
        <v>1897</v>
      </c>
      <c r="Z383" t="s">
        <v>1900</v>
      </c>
      <c r="AA383" t="str">
        <v>Arjun Bose</v>
      </c>
      <c r="AB383" t="str">
        <f>TRIM(PROPER(F:F))</f>
        <v>Home Office</v>
      </c>
      <c r="AC383" t="str">
        <f>TRIM(PROPER(G:G))</f>
        <v>North</v>
      </c>
      <c r="AD383" t="str">
        <f>TRIM(PROPER(H:H))</f>
        <v>Delhi</v>
      </c>
      <c r="AE383" t="str">
        <f>TRIM(PROPER(I:I))</f>
        <v>New Delhi</v>
      </c>
      <c r="AF383" t="str">
        <f>TRIM(PROPER(J:J))</f>
        <v>Office Supplies</v>
      </c>
      <c r="AG383" t="str">
        <f>TRIM(PROPER(K:K))</f>
        <v>Binders</v>
      </c>
      <c r="AH383" t="str">
        <f>TRIM(PROPER(L:L))</f>
        <v>Prime Binders 523</v>
      </c>
      <c r="AI383" t="str">
        <f>TRIM(PROPER(M:M))</f>
        <v>Standard Class</v>
      </c>
      <c r="AJ383" s="5">
        <f>IF(OR(P383&lt;0,P383&gt;0.5),"invalid",P383)</f>
        <v>0.05</v>
      </c>
      <c r="AK383" s="6">
        <f>IFERROR(N383*O383*(1-AJ383), "NA")</f>
        <v>16671.169999999998</v>
      </c>
      <c r="AL383" s="6">
        <f>IFERROR(AK383-R383,"NA")</f>
        <v>5837.9799999999977</v>
      </c>
      <c r="AM383" s="5">
        <f t="shared" si="25"/>
        <v>0.35018418023450054</v>
      </c>
      <c r="AN383" t="str">
        <v>19-09-25</v>
      </c>
      <c r="AO383" t="str">
        <v>23-09-25</v>
      </c>
      <c r="AP383" t="str">
        <f t="shared" si="26"/>
        <v>September</v>
      </c>
      <c r="AQ383" t="str">
        <f t="shared" si="27"/>
        <v>2025</v>
      </c>
      <c r="AR383" t="str">
        <f t="shared" si="28"/>
        <v xml:space="preserve"> </v>
      </c>
      <c r="AS383">
        <f t="shared" si="29"/>
        <v>4</v>
      </c>
      <c r="AT383" t="str">
        <f>IF(COUNTIFS( $A:$A,A383,$B:$B,B383,$C:$C,C383,$D:$D,D383,$E:$E,E383,$F:$F,F383,$G:$G,G383,$H:$H,H383,$I:$I,I383,$J:$J,J383,$K:$K,K383,$L:$L,L383,$M:$M,M383,$T:$T,T383,$U:$U,U383,$W:$W,W383,$Z:$Z,Z383,$AA:$AA,AA383,$AB:$AB,AB383,$AC:$AC,AC383,$AD:$AD,AD383,$AE:$AE,AE383,$AF:$AF,AF383,$AG:$AG,AG383,$AH:$AH,AH383,$AI:$AI,AI383)&gt;1,"Duplicate","Unique")</f>
        <v>Unique</v>
      </c>
    </row>
    <row r="384" spans="1:46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  <c r="W384" t="s">
        <v>1903</v>
      </c>
      <c r="Z384" t="s">
        <v>203</v>
      </c>
      <c r="AA384" t="str">
        <v>Arjun Bose</v>
      </c>
      <c r="AB384" t="str">
        <f>TRIM(PROPER(F:F))</f>
        <v>Small Business</v>
      </c>
      <c r="AC384" t="str">
        <f>TRIM(PROPER(G:G))</f>
        <v>East</v>
      </c>
      <c r="AD384" t="str">
        <f>TRIM(PROPER(H:H))</f>
        <v>Bihar</v>
      </c>
      <c r="AE384" t="str">
        <f>TRIM(PROPER(I:I))</f>
        <v>Patna</v>
      </c>
      <c r="AF384" t="str">
        <f>TRIM(PROPER(J:J))</f>
        <v>Technology</v>
      </c>
      <c r="AG384" t="str">
        <f>TRIM(PROPER(K:K))</f>
        <v>Phones</v>
      </c>
      <c r="AH384" t="str">
        <f>TRIM(PROPER(L:L))</f>
        <v>Pro Phones 538</v>
      </c>
      <c r="AI384" t="str">
        <f>TRIM(PROPER(M:M))</f>
        <v>First Class</v>
      </c>
      <c r="AJ384" s="5">
        <f>IF(OR(P384&lt;0,P384&gt;0.5),"invalid",P384)</f>
        <v>0.2</v>
      </c>
      <c r="AK384" s="6">
        <f>IFERROR(N384*O384*(1-AJ384), "NA")</f>
        <v>10468.440000000002</v>
      </c>
      <c r="AL384" s="6">
        <f>IFERROR(AK384-R384,"NA")</f>
        <v>2068.5700000000015</v>
      </c>
      <c r="AM384" s="5">
        <f t="shared" si="25"/>
        <v>0.19760059760575607</v>
      </c>
      <c r="AN384" t="str">
        <v>04-03-25</v>
      </c>
      <c r="AO384" t="str">
        <v>03-08-25</v>
      </c>
      <c r="AP384" t="str">
        <f t="shared" si="26"/>
        <v>March</v>
      </c>
      <c r="AQ384" t="str">
        <f t="shared" si="27"/>
        <v>2025</v>
      </c>
      <c r="AR384" t="str">
        <f t="shared" si="28"/>
        <v>anomaly</v>
      </c>
      <c r="AS384">
        <f t="shared" si="29"/>
        <v>152</v>
      </c>
      <c r="AT384" t="str">
        <f>IF(COUNTIFS( $A:$A,A384,$B:$B,B384,$C:$C,C384,$D:$D,D384,$E:$E,E384,$F:$F,F384,$G:$G,G384,$H:$H,H384,$I:$I,I384,$J:$J,J384,$K:$K,K384,$L:$L,L384,$M:$M,M384,$T:$T,T384,$U:$U,U384,$W:$W,W384,$Z:$Z,Z384,$AA:$AA,AA384,$AB:$AB,AB384,$AC:$AC,AC384,$AD:$AD,AD384,$AE:$AE,AE384,$AF:$AF,AF384,$AG:$AG,AG384,$AH:$AH,AH384,$AI:$AI,AI384)&gt;1,"Duplicate","Unique")</f>
        <v>Unique</v>
      </c>
    </row>
    <row r="385" spans="1:46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  <c r="W385" t="s">
        <v>1907</v>
      </c>
      <c r="Z385" t="s">
        <v>1908</v>
      </c>
      <c r="AA385" t="str">
        <v>Vikram Iyer</v>
      </c>
      <c r="AB385" t="str">
        <f>TRIM(PROPER(F:F))</f>
        <v>Corporate</v>
      </c>
      <c r="AC385" t="str">
        <f>TRIM(PROPER(G:G))</f>
        <v>East</v>
      </c>
      <c r="AD385" t="str">
        <f>TRIM(PROPER(H:H))</f>
        <v>West Bengal</v>
      </c>
      <c r="AE385" t="str">
        <f>TRIM(PROPER(I:I))</f>
        <v>Kolkata</v>
      </c>
      <c r="AF385" t="str">
        <f>TRIM(PROPER(J:J))</f>
        <v>Office Supplies</v>
      </c>
      <c r="AG385" t="str">
        <f>TRIM(PROPER(K:K))</f>
        <v>Art</v>
      </c>
      <c r="AH385" t="str">
        <f>TRIM(PROPER(L:L))</f>
        <v>Basic Art 608</v>
      </c>
      <c r="AI385" t="str">
        <f>TRIM(PROPER(M:M))</f>
        <v>First Class</v>
      </c>
      <c r="AJ385" s="5">
        <f>IF(OR(P385&lt;0,P385&gt;0.5),"invalid",P385)</f>
        <v>0</v>
      </c>
      <c r="AK385" s="6">
        <f>IFERROR(N385*O385*(1-AJ385), "NA")</f>
        <v>4485.5</v>
      </c>
      <c r="AL385" s="6">
        <f>IFERROR(AK385-R385,"NA")</f>
        <v>1353.6399999999999</v>
      </c>
      <c r="AM385" s="5">
        <f t="shared" si="25"/>
        <v>0.30178129528480657</v>
      </c>
      <c r="AN385" t="str">
        <v>28-06-25</v>
      </c>
      <c r="AO385" t="str">
        <v>05-07-25</v>
      </c>
      <c r="AP385" t="str">
        <f t="shared" si="26"/>
        <v>June</v>
      </c>
      <c r="AQ385" t="str">
        <f t="shared" si="27"/>
        <v>2025</v>
      </c>
      <c r="AR385" t="str">
        <f t="shared" si="28"/>
        <v>anomaly</v>
      </c>
      <c r="AS385">
        <f t="shared" si="29"/>
        <v>7</v>
      </c>
      <c r="AT385" t="str">
        <f>IF(COUNTIFS( $A:$A,A385,$B:$B,B385,$C:$C,C385,$D:$D,D385,$E:$E,E385,$F:$F,F385,$G:$G,G385,$H:$H,H385,$I:$I,I385,$J:$J,J385,$K:$K,K385,$L:$L,L385,$M:$M,M385,$T:$T,T385,$U:$U,U385,$W:$W,W385,$Z:$Z,Z385,$AA:$AA,AA385,$AB:$AB,AB385,$AC:$AC,AC385,$AD:$AD,AD385,$AE:$AE,AE385,$AF:$AF,AF385,$AG:$AG,AG385,$AH:$AH,AH385,$AI:$AI,AI385)&gt;1,"Duplicate","Unique")</f>
        <v>Unique</v>
      </c>
    </row>
    <row r="386" spans="1:46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  <c r="W386" t="s">
        <v>1910</v>
      </c>
      <c r="Z386" t="s">
        <v>1913</v>
      </c>
      <c r="AA386" t="str">
        <v>Rohan Mehta</v>
      </c>
      <c r="AB386" t="str">
        <f>TRIM(PROPER(F:F))</f>
        <v>Consumer</v>
      </c>
      <c r="AC386" t="str">
        <f>TRIM(PROPER(G:G))</f>
        <v>East</v>
      </c>
      <c r="AD386" t="str">
        <f>TRIM(PROPER(H:H))</f>
        <v>Jharkhand</v>
      </c>
      <c r="AE386" t="str">
        <f>TRIM(PROPER(I:I))</f>
        <v>Ranchi</v>
      </c>
      <c r="AF386" t="str">
        <f>TRIM(PROPER(J:J))</f>
        <v>Technology</v>
      </c>
      <c r="AG386" t="str">
        <f>TRIM(PROPER(K:K))</f>
        <v>Copiers</v>
      </c>
      <c r="AH386" t="str">
        <f>TRIM(PROPER(L:L))</f>
        <v>Prime Copiers 820</v>
      </c>
      <c r="AI386" t="str">
        <f>TRIM(PROPER(M:M))</f>
        <v>Standard Class</v>
      </c>
      <c r="AJ386" s="5">
        <f>IF(OR(P386&lt;0,P386&gt;0.5),"invalid",P386)</f>
        <v>0.25</v>
      </c>
      <c r="AK386" s="6">
        <f>IFERROR(N386*O386*(1-AJ386), "NA")</f>
        <v>2822.1000000000004</v>
      </c>
      <c r="AL386" s="6">
        <f>IFERROR(AK386-R386,"NA")</f>
        <v>1197.5300000000004</v>
      </c>
      <c r="AM386" s="5">
        <f t="shared" si="25"/>
        <v>0.42434003047376079</v>
      </c>
      <c r="AN386" t="str">
        <v>15-03-24</v>
      </c>
      <c r="AO386" t="str">
        <v>20-03-24</v>
      </c>
      <c r="AP386" t="str">
        <f t="shared" si="26"/>
        <v>March</v>
      </c>
      <c r="AQ386" t="str">
        <f t="shared" si="27"/>
        <v>2024</v>
      </c>
      <c r="AR386" t="str">
        <f t="shared" si="28"/>
        <v xml:space="preserve"> </v>
      </c>
      <c r="AS386">
        <f t="shared" si="29"/>
        <v>5</v>
      </c>
      <c r="AT386" t="str">
        <f>IF(COUNTIFS( $A:$A,A386,$B:$B,B386,$C:$C,C386,$D:$D,D386,$E:$E,E386,$F:$F,F386,$G:$G,G386,$H:$H,H386,$I:$I,I386,$J:$J,J386,$K:$K,K386,$L:$L,L386,$M:$M,M386,$T:$T,T386,$U:$U,U386,$W:$W,W386,$Z:$Z,Z386,$AA:$AA,AA386,$AB:$AB,AB386,$AC:$AC,AC386,$AD:$AD,AD386,$AE:$AE,AE386,$AF:$AF,AF386,$AG:$AG,AG386,$AH:$AH,AH386,$AI:$AI,AI386)&gt;1,"Duplicate","Unique")</f>
        <v>Unique</v>
      </c>
    </row>
    <row r="387" spans="1:46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  <c r="W387" t="s">
        <v>1915</v>
      </c>
      <c r="Z387" t="s">
        <v>1917</v>
      </c>
      <c r="AA387" t="str">
        <v>Arjun Bose</v>
      </c>
      <c r="AB387" t="str">
        <f>TRIM(PROPER(F:F))</f>
        <v>Consumer</v>
      </c>
      <c r="AC387" t="str">
        <f>TRIM(PROPER(G:G))</f>
        <v>North</v>
      </c>
      <c r="AD387" t="str">
        <f>TRIM(PROPER(H:H))</f>
        <v>Haryana</v>
      </c>
      <c r="AE387" t="str">
        <f>TRIM(PROPER(I:I))</f>
        <v>Gurugram</v>
      </c>
      <c r="AF387" t="str">
        <f>TRIM(PROPER(J:J))</f>
        <v>Office Supplies</v>
      </c>
      <c r="AG387" t="str">
        <f>TRIM(PROPER(K:K))</f>
        <v>Labels</v>
      </c>
      <c r="AH387" t="str">
        <f>TRIM(PROPER(L:L))</f>
        <v>Classic Labels 670</v>
      </c>
      <c r="AI387" t="str">
        <f>TRIM(PROPER(M:M))</f>
        <v>Standard Class</v>
      </c>
      <c r="AJ387" s="5">
        <f>IF(OR(P387&lt;0,P387&gt;0.5),"invalid",P387)</f>
        <v>0.1</v>
      </c>
      <c r="AK387" s="6">
        <f>IFERROR(N387*O387*(1-AJ387), "NA")</f>
        <v>1975.104</v>
      </c>
      <c r="AL387" s="6">
        <f>IFERROR(AK387-R387,"NA")</f>
        <v>859.75400000000013</v>
      </c>
      <c r="AM387" s="5">
        <f t="shared" ref="AM387:AM450" si="30">IFERROR(AL387/AK387,"NA")</f>
        <v>0.4352955591199249</v>
      </c>
      <c r="AN387" t="str">
        <v>24-06-25</v>
      </c>
      <c r="AO387" t="str">
        <v>30-06-25</v>
      </c>
      <c r="AP387" t="str">
        <f t="shared" ref="AP387:AP450" si="31">TEXT(AN387,"mmmm")</f>
        <v>June</v>
      </c>
      <c r="AQ387" t="str">
        <f t="shared" ref="AQ387:AQ450" si="32">TEXT(AN387,"yyyy")</f>
        <v>2025</v>
      </c>
      <c r="AR387" t="str">
        <f t="shared" ref="AR387:AR450" si="33">IF(OR(AN387="Invalid Date",AO387="Invalid Date"),"Invalid",(IF(AO387&lt;AN387,"anomaly"," ")))</f>
        <v xml:space="preserve"> </v>
      </c>
      <c r="AS387">
        <f t="shared" ref="AS387:AS450" si="34">IFERROR(AO387-AN387, "invalid date")</f>
        <v>6</v>
      </c>
      <c r="AT387" t="str">
        <f>IF(COUNTIFS( $A:$A,A387,$B:$B,B387,$C:$C,C387,$D:$D,D387,$E:$E,E387,$F:$F,F387,$G:$G,G387,$H:$H,H387,$I:$I,I387,$J:$J,J387,$K:$K,K387,$L:$L,L387,$M:$M,M387,$T:$T,T387,$U:$U,U387,$W:$W,W387,$Z:$Z,Z387,$AA:$AA,AA387,$AB:$AB,AB387,$AC:$AC,AC387,$AD:$AD,AD387,$AE:$AE,AE387,$AF:$AF,AF387,$AG:$AG,AG387,$AH:$AH,AH387,$AI:$AI,AI387)&gt;1,"Duplicate","Unique")</f>
        <v>Unique</v>
      </c>
    </row>
    <row r="388" spans="1:46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  <c r="W388" t="s">
        <v>1919</v>
      </c>
      <c r="Z388" t="s">
        <v>1921</v>
      </c>
      <c r="AA388" t="str">
        <v>Sneha Kapoor</v>
      </c>
      <c r="AB388" t="str">
        <f>TRIM(PROPER(F:F))</f>
        <v>Consumer</v>
      </c>
      <c r="AC388" t="str">
        <f>TRIM(PROPER(G:G))</f>
        <v>West</v>
      </c>
      <c r="AD388" t="str">
        <f>TRIM(PROPER(H:H))</f>
        <v>Maharashtra</v>
      </c>
      <c r="AE388" t="str">
        <f>TRIM(PROPER(I:I))</f>
        <v>Mumbai</v>
      </c>
      <c r="AF388" t="str">
        <f>TRIM(PROPER(J:J))</f>
        <v>Furniture</v>
      </c>
      <c r="AG388" t="str">
        <f>TRIM(PROPER(K:K))</f>
        <v>Furnishings</v>
      </c>
      <c r="AH388" t="str">
        <f>TRIM(PROPER(L:L))</f>
        <v>Prime Furnishings 597</v>
      </c>
      <c r="AI388" t="str">
        <f>TRIM(PROPER(M:M))</f>
        <v>Second Class</v>
      </c>
      <c r="AJ388" s="5">
        <f>IF(OR(P388&lt;0,P388&gt;0.5),"invalid",P388)</f>
        <v>0.1</v>
      </c>
      <c r="AK388" s="6">
        <f>IFERROR(N388*O388*(1-AJ388), "NA")</f>
        <v>20063.952000000001</v>
      </c>
      <c r="AL388" s="6">
        <f>IFERROR(AK388-R388,"NA")</f>
        <v>5700.5720000000019</v>
      </c>
      <c r="AM388" s="5">
        <f t="shared" si="30"/>
        <v>0.2841200975759911</v>
      </c>
      <c r="AN388" t="str">
        <v>02-12-25</v>
      </c>
      <c r="AO388" t="str">
        <v>14-02-25</v>
      </c>
      <c r="AP388" t="str">
        <f t="shared" si="31"/>
        <v>December</v>
      </c>
      <c r="AQ388" t="str">
        <f t="shared" si="32"/>
        <v>2025</v>
      </c>
      <c r="AR388" t="str">
        <f t="shared" si="33"/>
        <v xml:space="preserve"> </v>
      </c>
      <c r="AS388">
        <f t="shared" si="34"/>
        <v>-291</v>
      </c>
      <c r="AT388" t="str">
        <f>IF(COUNTIFS( $A:$A,A388,$B:$B,B388,$C:$C,C388,$D:$D,D388,$E:$E,E388,$F:$F,F388,$G:$G,G388,$H:$H,H388,$I:$I,I388,$J:$J,J388,$K:$K,K388,$L:$L,L388,$M:$M,M388,$T:$T,T388,$U:$U,U388,$W:$W,W388,$Z:$Z,Z388,$AA:$AA,AA388,$AB:$AB,AB388,$AC:$AC,AC388,$AD:$AD,AD388,$AE:$AE,AE388,$AF:$AF,AF388,$AG:$AG,AG388,$AH:$AH,AH388,$AI:$AI,AI388)&gt;1,"Duplicate","Unique")</f>
        <v>Unique</v>
      </c>
    </row>
    <row r="389" spans="1:46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  <c r="W389" t="s">
        <v>1923</v>
      </c>
      <c r="Z389" t="s">
        <v>1924</v>
      </c>
      <c r="AA389" t="str">
        <v>Priya Menon</v>
      </c>
      <c r="AB389" t="str">
        <f>TRIM(PROPER(F:F))</f>
        <v>Small Business</v>
      </c>
      <c r="AC389" t="str">
        <f>TRIM(PROPER(G:G))</f>
        <v>West</v>
      </c>
      <c r="AD389" t="str">
        <f>TRIM(PROPER(H:H))</f>
        <v>Madhya Pradesh</v>
      </c>
      <c r="AE389" t="str">
        <f>TRIM(PROPER(I:I))</f>
        <v>Indore</v>
      </c>
      <c r="AF389" t="str">
        <f>TRIM(PROPER(J:J))</f>
        <v>Furniture</v>
      </c>
      <c r="AG389" t="str">
        <f>TRIM(PROPER(K:K))</f>
        <v>Chairs</v>
      </c>
      <c r="AH389" t="str">
        <f>TRIM(PROPER(L:L))</f>
        <v>Prime Chairs 196</v>
      </c>
      <c r="AI389" t="str">
        <f>TRIM(PROPER(M:M))</f>
        <v>Standard Class</v>
      </c>
      <c r="AJ389" s="5">
        <f>IF(OR(P389&lt;0,P389&gt;0.5),"invalid",P389)</f>
        <v>0</v>
      </c>
      <c r="AK389" s="6">
        <f>IFERROR(N389*O389*(1-AJ389), "NA")</f>
        <v>1764.3000000000002</v>
      </c>
      <c r="AL389" s="6">
        <f>IFERROR(AK389-R389,"NA")</f>
        <v>431.81000000000017</v>
      </c>
      <c r="AM389" s="5">
        <f t="shared" si="30"/>
        <v>0.24474862551720236</v>
      </c>
      <c r="AN389" t="str">
        <v>10-08-25</v>
      </c>
      <c r="AO389" t="str">
        <v>invalid date</v>
      </c>
      <c r="AP389" t="str">
        <f t="shared" si="31"/>
        <v>August</v>
      </c>
      <c r="AQ389" t="str">
        <f t="shared" si="32"/>
        <v>2025</v>
      </c>
      <c r="AR389" t="str">
        <f t="shared" si="33"/>
        <v>Invalid</v>
      </c>
      <c r="AS389" t="str">
        <f t="shared" si="34"/>
        <v>invalid date</v>
      </c>
      <c r="AT389" t="str">
        <f>IF(COUNTIFS( $A:$A,A389,$B:$B,B389,$C:$C,C389,$D:$D,D389,$E:$E,E389,$F:$F,F389,$G:$G,G389,$H:$H,H389,$I:$I,I389,$J:$J,J389,$K:$K,K389,$L:$L,L389,$M:$M,M389,$T:$T,T389,$U:$U,U389,$W:$W,W389,$Z:$Z,Z389,$AA:$AA,AA389,$AB:$AB,AB389,$AC:$AC,AC389,$AD:$AD,AD389,$AE:$AE,AE389,$AF:$AF,AF389,$AG:$AG,AG389,$AH:$AH,AH389,$AI:$AI,AI389)&gt;1,"Duplicate","Unique")</f>
        <v>Unique</v>
      </c>
    </row>
    <row r="390" spans="1:46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  <c r="W390" t="s">
        <v>1926</v>
      </c>
      <c r="Z390" t="s">
        <v>1929</v>
      </c>
      <c r="AA390" t="str">
        <v>Isha Nair</v>
      </c>
      <c r="AB390" t="str">
        <f>TRIM(PROPER(F:F))</f>
        <v>Small Business</v>
      </c>
      <c r="AC390" t="str">
        <f>TRIM(PROPER(G:G))</f>
        <v>West</v>
      </c>
      <c r="AD390" t="str">
        <f>TRIM(PROPER(H:H))</f>
        <v>Gujarat</v>
      </c>
      <c r="AE390" t="str">
        <f>TRIM(PROPER(I:I))</f>
        <v>Ahmedabad</v>
      </c>
      <c r="AF390" t="str">
        <f>TRIM(PROPER(J:J))</f>
        <v>Furniture</v>
      </c>
      <c r="AG390" t="str">
        <f>TRIM(PROPER(K:K))</f>
        <v>Chairs</v>
      </c>
      <c r="AH390" t="str">
        <f>TRIM(PROPER(L:L))</f>
        <v>Elite Chairs 639</v>
      </c>
      <c r="AI390" t="str">
        <f>TRIM(PROPER(M:M))</f>
        <v>Standard Class</v>
      </c>
      <c r="AJ390" s="5">
        <f>IF(OR(P390&lt;0,P390&gt;0.5),"invalid",P390)</f>
        <v>0</v>
      </c>
      <c r="AK390" s="6">
        <f>IFERROR(N390*O390*(1-AJ390), "NA")</f>
        <v>9385.77</v>
      </c>
      <c r="AL390" s="6">
        <f>IFERROR(AK390-R390,"NA")</f>
        <v>2513.3300000000008</v>
      </c>
      <c r="AM390" s="5">
        <f t="shared" si="30"/>
        <v>0.26778090662779941</v>
      </c>
      <c r="AN390" t="str">
        <v>13-05-24</v>
      </c>
      <c r="AO390" t="str">
        <v>18-05-24</v>
      </c>
      <c r="AP390" t="str">
        <f t="shared" si="31"/>
        <v>May</v>
      </c>
      <c r="AQ390" t="str">
        <f t="shared" si="32"/>
        <v>2024</v>
      </c>
      <c r="AR390" t="str">
        <f t="shared" si="33"/>
        <v xml:space="preserve"> </v>
      </c>
      <c r="AS390">
        <f t="shared" si="34"/>
        <v>5</v>
      </c>
      <c r="AT390" t="str">
        <f>IF(COUNTIFS( $A:$A,A390,$B:$B,B390,$C:$C,C390,$D:$D,D390,$E:$E,E390,$F:$F,F390,$G:$G,G390,$H:$H,H390,$I:$I,I390,$J:$J,J390,$K:$K,K390,$L:$L,L390,$M:$M,M390,$T:$T,T390,$U:$U,U390,$W:$W,W390,$Z:$Z,Z390,$AA:$AA,AA390,$AB:$AB,AB390,$AC:$AC,AC390,$AD:$AD,AD390,$AE:$AE,AE390,$AF:$AF,AF390,$AG:$AG,AG390,$AH:$AH,AH390,$AI:$AI,AI390)&gt;1,"Duplicate","Unique")</f>
        <v>Unique</v>
      </c>
    </row>
    <row r="391" spans="1:46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  <c r="W391" t="s">
        <v>1931</v>
      </c>
      <c r="Z391" t="s">
        <v>1933</v>
      </c>
      <c r="AA391" t="str">
        <v>Diya Patel</v>
      </c>
      <c r="AB391" t="str">
        <f>TRIM(PROPER(F:F))</f>
        <v>Corporate</v>
      </c>
      <c r="AC391" t="str">
        <f>TRIM(PROPER(G:G))</f>
        <v>West</v>
      </c>
      <c r="AD391" t="str">
        <f>TRIM(PROPER(H:H))</f>
        <v>Gujarat</v>
      </c>
      <c r="AE391" t="str">
        <f>TRIM(PROPER(I:I))</f>
        <v>Ahmedabad</v>
      </c>
      <c r="AF391" t="str">
        <f>TRIM(PROPER(J:J))</f>
        <v>Technology</v>
      </c>
      <c r="AG391" t="str">
        <f>TRIM(PROPER(K:K))</f>
        <v>Machines</v>
      </c>
      <c r="AH391" t="str">
        <f>TRIM(PROPER(L:L))</f>
        <v>Elite Machines 563</v>
      </c>
      <c r="AI391" t="str">
        <f>TRIM(PROPER(M:M))</f>
        <v>Second Class</v>
      </c>
      <c r="AJ391" s="5">
        <f>IF(OR(P391&lt;0,P391&gt;0.5),"invalid",P391)</f>
        <v>0.2</v>
      </c>
      <c r="AK391" s="6">
        <f>IFERROR(N391*O391*(1-AJ391), "NA")</f>
        <v>7750.1600000000008</v>
      </c>
      <c r="AL391" s="6">
        <f>IFERROR(AK391-R391,"NA")</f>
        <v>2315.8600000000006</v>
      </c>
      <c r="AM391" s="5">
        <f t="shared" si="30"/>
        <v>0.29881447608823564</v>
      </c>
      <c r="AN391" t="str">
        <v>05-04-24</v>
      </c>
      <c r="AO391" t="str">
        <v>13-04-24</v>
      </c>
      <c r="AP391" t="str">
        <f t="shared" si="31"/>
        <v>April</v>
      </c>
      <c r="AQ391" t="str">
        <f t="shared" si="32"/>
        <v>2024</v>
      </c>
      <c r="AR391" t="str">
        <f t="shared" si="33"/>
        <v xml:space="preserve"> </v>
      </c>
      <c r="AS391">
        <f t="shared" si="34"/>
        <v>8</v>
      </c>
      <c r="AT391" t="str">
        <f>IF(COUNTIFS( $A:$A,A391,$B:$B,B391,$C:$C,C391,$D:$D,D391,$E:$E,E391,$F:$F,F391,$G:$G,G391,$H:$H,H391,$I:$I,I391,$J:$J,J391,$K:$K,K391,$L:$L,L391,$M:$M,M391,$T:$T,T391,$U:$U,U391,$W:$W,W391,$Z:$Z,Z391,$AA:$AA,AA391,$AB:$AB,AB391,$AC:$AC,AC391,$AD:$AD,AD391,$AE:$AE,AE391,$AF:$AF,AF391,$AG:$AG,AG391,$AH:$AH,AH391,$AI:$AI,AI391)&gt;1,"Duplicate","Unique")</f>
        <v>Unique</v>
      </c>
    </row>
    <row r="392" spans="1:46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  <c r="W392" t="s">
        <v>1935</v>
      </c>
      <c r="Z392" t="s">
        <v>1937</v>
      </c>
      <c r="AA392" t="str">
        <v>Isha Nair</v>
      </c>
      <c r="AB392" t="str">
        <f>TRIM(PROPER(F:F))</f>
        <v>Consumer</v>
      </c>
      <c r="AC392" t="str">
        <f>TRIM(PROPER(G:G))</f>
        <v>West</v>
      </c>
      <c r="AD392" t="str">
        <f>TRIM(PROPER(H:H))</f>
        <v>Gujarat</v>
      </c>
      <c r="AE392" t="str">
        <f>TRIM(PROPER(I:I))</f>
        <v>Ahmedabad</v>
      </c>
      <c r="AF392" t="str">
        <f>TRIM(PROPER(J:J))</f>
        <v>Furniture</v>
      </c>
      <c r="AG392" t="str">
        <f>TRIM(PROPER(K:K))</f>
        <v>Furnishings</v>
      </c>
      <c r="AH392" t="str">
        <f>TRIM(PROPER(L:L))</f>
        <v>Pro Furnishings 281</v>
      </c>
      <c r="AI392" t="str">
        <f>TRIM(PROPER(M:M))</f>
        <v>Standard Class</v>
      </c>
      <c r="AJ392" s="5">
        <f>IF(OR(P392&lt;0,P392&gt;0.5),"invalid",P392)</f>
        <v>0.2</v>
      </c>
      <c r="AK392" s="6">
        <f>IFERROR(N392*O392*(1-AJ392), "NA")</f>
        <v>6135.232</v>
      </c>
      <c r="AL392" s="6">
        <f>IFERROR(AK392-R392,"NA")</f>
        <v>2695.442</v>
      </c>
      <c r="AM392" s="5">
        <f t="shared" si="30"/>
        <v>0.43933823529411764</v>
      </c>
      <c r="AN392" t="str">
        <v>06-11-24</v>
      </c>
      <c r="AO392" t="str">
        <v>11-11-24</v>
      </c>
      <c r="AP392" t="str">
        <f t="shared" si="31"/>
        <v>November</v>
      </c>
      <c r="AQ392" t="str">
        <f t="shared" si="32"/>
        <v>2024</v>
      </c>
      <c r="AR392" t="str">
        <f t="shared" si="33"/>
        <v xml:space="preserve"> </v>
      </c>
      <c r="AS392">
        <f t="shared" si="34"/>
        <v>5</v>
      </c>
      <c r="AT392" t="str">
        <f>IF(COUNTIFS( $A:$A,A392,$B:$B,B392,$C:$C,C392,$D:$D,D392,$E:$E,E392,$F:$F,F392,$G:$G,G392,$H:$H,H392,$I:$I,I392,$J:$J,J392,$K:$K,K392,$L:$L,L392,$M:$M,M392,$T:$T,T392,$U:$U,U392,$W:$W,W392,$Z:$Z,Z392,$AA:$AA,AA392,$AB:$AB,AB392,$AC:$AC,AC392,$AD:$AD,AD392,$AE:$AE,AE392,$AF:$AF,AF392,$AG:$AG,AG392,$AH:$AH,AH392,$AI:$AI,AI392)&gt;1,"Duplicate","Unique")</f>
        <v>Unique</v>
      </c>
    </row>
    <row r="393" spans="1:46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  <c r="W393" t="s">
        <v>1939</v>
      </c>
      <c r="Z393" t="s">
        <v>1941</v>
      </c>
      <c r="AA393" t="str">
        <v>Diya Patel</v>
      </c>
      <c r="AB393" t="str">
        <f>TRIM(PROPER(F:F))</f>
        <v>Consumer</v>
      </c>
      <c r="AC393" t="str">
        <f>TRIM(PROPER(G:G))</f>
        <v>South</v>
      </c>
      <c r="AD393" t="str">
        <f>TRIM(PROPER(H:H))</f>
        <v>Karnataka</v>
      </c>
      <c r="AE393" t="str">
        <f>TRIM(PROPER(I:I))</f>
        <v>Bengaluru</v>
      </c>
      <c r="AF393" t="str">
        <f>TRIM(PROPER(J:J))</f>
        <v>Office Supplies</v>
      </c>
      <c r="AG393" t="str">
        <f>TRIM(PROPER(K:K))</f>
        <v>Storage</v>
      </c>
      <c r="AH393" t="str">
        <f>TRIM(PROPER(L:L))</f>
        <v>Eco Storage 285</v>
      </c>
      <c r="AI393" t="str">
        <f>TRIM(PROPER(M:M))</f>
        <v>First Class</v>
      </c>
      <c r="AJ393" s="5">
        <f>IF(OR(P393&lt;0,P393&gt;0.5),"invalid",P393)</f>
        <v>0</v>
      </c>
      <c r="AK393" s="6">
        <f>IFERROR(N393*O393*(1-AJ393), "NA")</f>
        <v>714.43</v>
      </c>
      <c r="AL393" s="6">
        <f>IFERROR(AK393-R393,"NA")</f>
        <v>148.9899999999999</v>
      </c>
      <c r="AM393" s="5">
        <f t="shared" si="30"/>
        <v>0.20854387413742412</v>
      </c>
      <c r="AN393" t="str">
        <v>14-02-25</v>
      </c>
      <c r="AO393" t="str">
        <v>14-02-25</v>
      </c>
      <c r="AP393" t="str">
        <f t="shared" si="31"/>
        <v>February</v>
      </c>
      <c r="AQ393" t="str">
        <f t="shared" si="32"/>
        <v>2025</v>
      </c>
      <c r="AR393" t="str">
        <f t="shared" si="33"/>
        <v xml:space="preserve"> </v>
      </c>
      <c r="AS393">
        <f t="shared" si="34"/>
        <v>0</v>
      </c>
      <c r="AT393" t="str">
        <f>IF(COUNTIFS( $A:$A,A393,$B:$B,B393,$C:$C,C393,$D:$D,D393,$E:$E,E393,$F:$F,F393,$G:$G,G393,$H:$H,H393,$I:$I,I393,$J:$J,J393,$K:$K,K393,$L:$L,L393,$M:$M,M393,$T:$T,T393,$U:$U,U393,$W:$W,W393,$Z:$Z,Z393,$AA:$AA,AA393,$AB:$AB,AB393,$AC:$AC,AC393,$AD:$AD,AD393,$AE:$AE,AE393,$AF:$AF,AF393,$AG:$AG,AG393,$AH:$AH,AH393,$AI:$AI,AI393)&gt;1,"Duplicate","Unique")</f>
        <v>Unique</v>
      </c>
    </row>
    <row r="394" spans="1:46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  <c r="W394" t="s">
        <v>1943</v>
      </c>
      <c r="Z394" t="s">
        <v>1946</v>
      </c>
      <c r="AA394" t="str">
        <v>Aditi Sen</v>
      </c>
      <c r="AB394" t="str">
        <f>TRIM(PROPER(F:F))</f>
        <v>Small Business</v>
      </c>
      <c r="AC394" t="str">
        <f>TRIM(PROPER(G:G))</f>
        <v>South</v>
      </c>
      <c r="AD394" t="str">
        <f>TRIM(PROPER(H:H))</f>
        <v>Kerala</v>
      </c>
      <c r="AE394" t="str">
        <f>TRIM(PROPER(I:I))</f>
        <v>Kochi</v>
      </c>
      <c r="AF394" t="str">
        <f>TRIM(PROPER(J:J))</f>
        <v>Furniture</v>
      </c>
      <c r="AG394" t="str">
        <f>TRIM(PROPER(K:K))</f>
        <v>Furnishings</v>
      </c>
      <c r="AH394" t="str">
        <f>TRIM(PROPER(L:L))</f>
        <v>Classic Furnishings 746</v>
      </c>
      <c r="AI394" t="str">
        <f>TRIM(PROPER(M:M))</f>
        <v>Same Day</v>
      </c>
      <c r="AJ394" s="5">
        <f>IF(OR(P394&lt;0,P394&gt;0.5),"invalid",P394)</f>
        <v>0</v>
      </c>
      <c r="AK394" s="6">
        <f>IFERROR(N394*O394*(1-AJ394), "NA")</f>
        <v>36477.090000000004</v>
      </c>
      <c r="AL394" s="6">
        <f>IFERROR(AK394-R394,"NA")</f>
        <v>11951.610000000004</v>
      </c>
      <c r="AM394" s="5">
        <f t="shared" si="30"/>
        <v>0.32764702447481425</v>
      </c>
      <c r="AN394" t="str">
        <v>invalid date</v>
      </c>
      <c r="AO394" t="str">
        <v>22-02-24</v>
      </c>
      <c r="AP394" t="str">
        <f t="shared" si="31"/>
        <v>invalid date</v>
      </c>
      <c r="AQ394" t="str">
        <f t="shared" si="32"/>
        <v>invalid date</v>
      </c>
      <c r="AR394" t="str">
        <f t="shared" si="33"/>
        <v>Invalid</v>
      </c>
      <c r="AS394" t="str">
        <f t="shared" si="34"/>
        <v>invalid date</v>
      </c>
      <c r="AT394" t="str">
        <f>IF(COUNTIFS( $A:$A,A394,$B:$B,B394,$C:$C,C394,$D:$D,D394,$E:$E,E394,$F:$F,F394,$G:$G,G394,$H:$H,H394,$I:$I,I394,$J:$J,J394,$K:$K,K394,$L:$L,L394,$M:$M,M394,$T:$T,T394,$U:$U,U394,$W:$W,W394,$Z:$Z,Z394,$AA:$AA,AA394,$AB:$AB,AB394,$AC:$AC,AC394,$AD:$AD,AD394,$AE:$AE,AE394,$AF:$AF,AF394,$AG:$AG,AG394,$AH:$AH,AH394,$AI:$AI,AI394)&gt;1,"Duplicate","Unique")</f>
        <v>Unique</v>
      </c>
    </row>
    <row r="395" spans="1:46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  <c r="W395" t="s">
        <v>1948</v>
      </c>
      <c r="Z395" t="s">
        <v>1951</v>
      </c>
      <c r="AA395" t="str">
        <v>Mira Das</v>
      </c>
      <c r="AB395" t="str">
        <f>TRIM(PROPER(F:F))</f>
        <v>Corporate</v>
      </c>
      <c r="AC395" t="str">
        <f>TRIM(PROPER(G:G))</f>
        <v>North</v>
      </c>
      <c r="AD395" t="str">
        <f>TRIM(PROPER(H:H))</f>
        <v>Uttar Pradesh</v>
      </c>
      <c r="AE395" t="str">
        <f>TRIM(PROPER(I:I))</f>
        <v>Noida</v>
      </c>
      <c r="AF395" t="str">
        <f>TRIM(PROPER(J:J))</f>
        <v>Office Supplies</v>
      </c>
      <c r="AG395" t="str">
        <f>TRIM(PROPER(K:K))</f>
        <v>Labels</v>
      </c>
      <c r="AH395" t="str">
        <f>TRIM(PROPER(L:L))</f>
        <v>Eco Labels 815</v>
      </c>
      <c r="AI395" t="str">
        <f>TRIM(PROPER(M:M))</f>
        <v>Same Day</v>
      </c>
      <c r="AJ395" s="5">
        <f>IF(OR(P395&lt;0,P395&gt;0.5),"invalid",P395)</f>
        <v>0.05</v>
      </c>
      <c r="AK395" s="6">
        <f>IFERROR(N395*O395*(1-AJ395), "NA")</f>
        <v>3680.1289999999999</v>
      </c>
      <c r="AL395" s="6">
        <f>IFERROR(AK395-R395,"NA")</f>
        <v>712.66899999999987</v>
      </c>
      <c r="AM395" s="5">
        <f t="shared" si="30"/>
        <v>0.19365326595888346</v>
      </c>
      <c r="AN395" t="str">
        <v>23-08-24</v>
      </c>
      <c r="AO395" t="str">
        <v>invalid date</v>
      </c>
      <c r="AP395" t="str">
        <f t="shared" si="31"/>
        <v>August</v>
      </c>
      <c r="AQ395" t="str">
        <f t="shared" si="32"/>
        <v>2024</v>
      </c>
      <c r="AR395" t="str">
        <f t="shared" si="33"/>
        <v>Invalid</v>
      </c>
      <c r="AS395" t="str">
        <f t="shared" si="34"/>
        <v>invalid date</v>
      </c>
      <c r="AT395" t="str">
        <f>IF(COUNTIFS( $A:$A,A395,$B:$B,B395,$C:$C,C395,$D:$D,D395,$E:$E,E395,$F:$F,F395,$G:$G,G395,$H:$H,H395,$I:$I,I395,$J:$J,J395,$K:$K,K395,$L:$L,L395,$M:$M,M395,$T:$T,T395,$U:$U,U395,$W:$W,W395,$Z:$Z,Z395,$AA:$AA,AA395,$AB:$AB,AB395,$AC:$AC,AC395,$AD:$AD,AD395,$AE:$AE,AE395,$AF:$AF,AF395,$AG:$AG,AG395,$AH:$AH,AH395,$AI:$AI,AI395)&gt;1,"Duplicate","Unique")</f>
        <v>Unique</v>
      </c>
    </row>
    <row r="396" spans="1:46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  <c r="W396" t="s">
        <v>1953</v>
      </c>
      <c r="Z396" t="s">
        <v>1956</v>
      </c>
      <c r="AA396" t="str">
        <v>Kabir Singh</v>
      </c>
      <c r="AB396" t="str">
        <f>TRIM(PROPER(F:F))</f>
        <v>Consumer</v>
      </c>
      <c r="AC396" t="str">
        <f>TRIM(PROPER(G:G))</f>
        <v>West</v>
      </c>
      <c r="AD396" t="str">
        <f>TRIM(PROPER(H:H))</f>
        <v>Maharashtra</v>
      </c>
      <c r="AE396" t="str">
        <f>TRIM(PROPER(I:I))</f>
        <v>Mumbai</v>
      </c>
      <c r="AF396" t="str">
        <f>TRIM(PROPER(J:J))</f>
        <v>Furniture</v>
      </c>
      <c r="AG396" t="str">
        <f>TRIM(PROPER(K:K))</f>
        <v>Furnishings</v>
      </c>
      <c r="AH396" t="str">
        <f>TRIM(PROPER(L:L))</f>
        <v>Prime Furnishings 879</v>
      </c>
      <c r="AI396" t="str">
        <f>TRIM(PROPER(M:M))</f>
        <v>First Class</v>
      </c>
      <c r="AJ396" s="5">
        <f>IF(OR(P396&lt;0,P396&gt;0.5),"invalid",P396)</f>
        <v>0</v>
      </c>
      <c r="AK396" s="6">
        <f>IFERROR(N396*O396*(1-AJ396), "NA")</f>
        <v>27616.47</v>
      </c>
      <c r="AL396" s="6">
        <f>IFERROR(AK396-R396,"NA")</f>
        <v>6391.2100000000028</v>
      </c>
      <c r="AM396" s="5">
        <f t="shared" si="30"/>
        <v>0.23142747787823725</v>
      </c>
      <c r="AN396" t="str">
        <v>03-04-24</v>
      </c>
      <c r="AO396" t="str">
        <v>04-04-24</v>
      </c>
      <c r="AP396" t="str">
        <f t="shared" si="31"/>
        <v>April</v>
      </c>
      <c r="AQ396" t="str">
        <f t="shared" si="32"/>
        <v>2024</v>
      </c>
      <c r="AR396" t="str">
        <f t="shared" si="33"/>
        <v xml:space="preserve"> </v>
      </c>
      <c r="AS396">
        <f t="shared" si="34"/>
        <v>1</v>
      </c>
      <c r="AT396" t="str">
        <f>IF(COUNTIFS( $A:$A,A396,$B:$B,B396,$C:$C,C396,$D:$D,D396,$E:$E,E396,$F:$F,F396,$G:$G,G396,$H:$H,H396,$I:$I,I396,$J:$J,J396,$K:$K,K396,$L:$L,L396,$M:$M,M396,$T:$T,T396,$U:$U,U396,$W:$W,W396,$Z:$Z,Z396,$AA:$AA,AA396,$AB:$AB,AB396,$AC:$AC,AC396,$AD:$AD,AD396,$AE:$AE,AE396,$AF:$AF,AF396,$AG:$AG,AG396,$AH:$AH,AH396,$AI:$AI,AI396)&gt;1,"Duplicate","Unique")</f>
        <v>Unique</v>
      </c>
    </row>
    <row r="397" spans="1:46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  <c r="W397" t="s">
        <v>1958</v>
      </c>
      <c r="Z397" t="s">
        <v>1959</v>
      </c>
      <c r="AA397" t="str">
        <v>Rahul Verma</v>
      </c>
      <c r="AB397" t="str">
        <f>TRIM(PROPER(F:F))</f>
        <v>Home Office</v>
      </c>
      <c r="AC397" t="str">
        <f>TRIM(PROPER(G:G))</f>
        <v>South</v>
      </c>
      <c r="AD397" t="str">
        <f>TRIM(PROPER(H:H))</f>
        <v>Tamil Nadu</v>
      </c>
      <c r="AE397" t="str">
        <f>TRIM(PROPER(I:I))</f>
        <v>Chennai</v>
      </c>
      <c r="AF397" t="str">
        <f>TRIM(PROPER(J:J))</f>
        <v>Furniture</v>
      </c>
      <c r="AG397" t="str">
        <f>TRIM(PROPER(K:K))</f>
        <v>Tables</v>
      </c>
      <c r="AH397" t="str">
        <f>TRIM(PROPER(L:L))</f>
        <v>Pro Tables 142</v>
      </c>
      <c r="AI397" t="str">
        <f>TRIM(PROPER(M:M))</f>
        <v>Same Day</v>
      </c>
      <c r="AJ397" s="5">
        <f>IF(OR(P397&lt;0,P397&gt;0.5),"invalid",P397)</f>
        <v>0.05</v>
      </c>
      <c r="AK397" s="6">
        <f>IFERROR(N397*O397*(1-AJ397), "NA")</f>
        <v>5731.7014999999992</v>
      </c>
      <c r="AL397" s="6">
        <f>IFERROR(AK397-R397,"NA")</f>
        <v>1616.1414999999988</v>
      </c>
      <c r="AM397" s="5">
        <f t="shared" si="30"/>
        <v>0.28196539893084088</v>
      </c>
      <c r="AN397" t="str">
        <v>06-06-24</v>
      </c>
      <c r="AO397" t="str">
        <v>06-07-24</v>
      </c>
      <c r="AP397" t="str">
        <f t="shared" si="31"/>
        <v>June</v>
      </c>
      <c r="AQ397" t="str">
        <f t="shared" si="32"/>
        <v>2024</v>
      </c>
      <c r="AR397" t="str">
        <f t="shared" si="33"/>
        <v xml:space="preserve"> </v>
      </c>
      <c r="AS397">
        <f t="shared" si="34"/>
        <v>30</v>
      </c>
      <c r="AT397" t="str">
        <f>IF(COUNTIFS( $A:$A,A397,$B:$B,B397,$C:$C,C397,$D:$D,D397,$E:$E,E397,$F:$F,F397,$G:$G,G397,$H:$H,H397,$I:$I,I397,$J:$J,J397,$K:$K,K397,$L:$L,L397,$M:$M,M397,$T:$T,T397,$U:$U,U397,$W:$W,W397,$Z:$Z,Z397,$AA:$AA,AA397,$AB:$AB,AB397,$AC:$AC,AC397,$AD:$AD,AD397,$AE:$AE,AE397,$AF:$AF,AF397,$AG:$AG,AG397,$AH:$AH,AH397,$AI:$AI,AI397)&gt;1,"Duplicate","Unique")</f>
        <v>Unique</v>
      </c>
    </row>
    <row r="398" spans="1:46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  <c r="W398" t="s">
        <v>1961</v>
      </c>
      <c r="Z398" t="s">
        <v>1964</v>
      </c>
      <c r="AA398" t="str">
        <v>Aditi Sen</v>
      </c>
      <c r="AB398" t="str">
        <f>TRIM(PROPER(F:F))</f>
        <v>Small Business</v>
      </c>
      <c r="AC398" t="str">
        <f>TRIM(PROPER(G:G))</f>
        <v>South</v>
      </c>
      <c r="AD398" t="str">
        <f>TRIM(PROPER(H:H))</f>
        <v>Karnataka</v>
      </c>
      <c r="AE398" t="str">
        <f>TRIM(PROPER(I:I))</f>
        <v>Bengaluru</v>
      </c>
      <c r="AF398" t="str">
        <f>TRIM(PROPER(J:J))</f>
        <v>Technology</v>
      </c>
      <c r="AG398" t="str">
        <f>TRIM(PROPER(K:K))</f>
        <v>Machines</v>
      </c>
      <c r="AH398" t="str">
        <f>TRIM(PROPER(L:L))</f>
        <v>Prime Machines 267</v>
      </c>
      <c r="AI398" t="str">
        <f>TRIM(PROPER(M:M))</f>
        <v>Standard Class</v>
      </c>
      <c r="AJ398" s="5">
        <f>IF(OR(P398&lt;0,P398&gt;0.5),"invalid",P398)</f>
        <v>0.05</v>
      </c>
      <c r="AK398" s="6">
        <f>IFERROR(N398*O398*(1-AJ398), "NA")</f>
        <v>1213.587</v>
      </c>
      <c r="AL398" s="6">
        <f>IFERROR(AK398-R398,"NA")</f>
        <v>257.36699999999996</v>
      </c>
      <c r="AM398" s="5">
        <f t="shared" si="30"/>
        <v>0.21207132245154239</v>
      </c>
      <c r="AN398" t="str">
        <v>14-04-25</v>
      </c>
      <c r="AO398" t="str">
        <v>22-04-25</v>
      </c>
      <c r="AP398" t="str">
        <f t="shared" si="31"/>
        <v>April</v>
      </c>
      <c r="AQ398" t="str">
        <f t="shared" si="32"/>
        <v>2025</v>
      </c>
      <c r="AR398" t="str">
        <f t="shared" si="33"/>
        <v xml:space="preserve"> </v>
      </c>
      <c r="AS398">
        <f t="shared" si="34"/>
        <v>8</v>
      </c>
      <c r="AT398" t="str">
        <f>IF(COUNTIFS( $A:$A,A398,$B:$B,B398,$C:$C,C398,$D:$D,D398,$E:$E,E398,$F:$F,F398,$G:$G,G398,$H:$H,H398,$I:$I,I398,$J:$J,J398,$K:$K,K398,$L:$L,L398,$M:$M,M398,$T:$T,T398,$U:$U,U398,$W:$W,W398,$Z:$Z,Z398,$AA:$AA,AA398,$AB:$AB,AB398,$AC:$AC,AC398,$AD:$AD,AD398,$AE:$AE,AE398,$AF:$AF,AF398,$AG:$AG,AG398,$AH:$AH,AH398,$AI:$AI,AI398)&gt;1,"Duplicate","Unique")</f>
        <v>Unique</v>
      </c>
    </row>
    <row r="399" spans="1:46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  <c r="W399" t="s">
        <v>1966</v>
      </c>
      <c r="Z399" t="s">
        <v>1969</v>
      </c>
      <c r="AA399" t="str">
        <v>Sneha Kapoor</v>
      </c>
      <c r="AB399" t="str">
        <f>TRIM(PROPER(F:F))</f>
        <v>Small Business</v>
      </c>
      <c r="AC399" t="str">
        <f>TRIM(PROPER(G:G))</f>
        <v>North</v>
      </c>
      <c r="AD399" t="str">
        <f>TRIM(PROPER(H:H))</f>
        <v>Uttar Pradesh</v>
      </c>
      <c r="AE399" t="str">
        <f>TRIM(PROPER(I:I))</f>
        <v>Noida</v>
      </c>
      <c r="AF399" t="str">
        <f>TRIM(PROPER(J:J))</f>
        <v>Furniture</v>
      </c>
      <c r="AG399" t="str">
        <f>TRIM(PROPER(K:K))</f>
        <v>Tables</v>
      </c>
      <c r="AH399" t="str">
        <f>TRIM(PROPER(L:L))</f>
        <v>Eco Tables 378</v>
      </c>
      <c r="AI399" t="str">
        <f>TRIM(PROPER(M:M))</f>
        <v>Second Class</v>
      </c>
      <c r="AJ399" s="5">
        <f>IF(OR(P399&lt;0,P399&gt;0.5),"invalid",P399)</f>
        <v>0</v>
      </c>
      <c r="AK399" s="6">
        <f>IFERROR(N399*O399*(1-AJ399), "NA")</f>
        <v>3463.76</v>
      </c>
      <c r="AL399" s="6">
        <f>IFERROR(AK399-R399,"NA")</f>
        <v>1320.0200000000004</v>
      </c>
      <c r="AM399" s="5">
        <f t="shared" si="30"/>
        <v>0.38109453310852959</v>
      </c>
      <c r="AN399" t="str">
        <v>09-06-25</v>
      </c>
      <c r="AO399" t="str">
        <v>10-06-25</v>
      </c>
      <c r="AP399" t="str">
        <f t="shared" si="31"/>
        <v>June</v>
      </c>
      <c r="AQ399" t="str">
        <f t="shared" si="32"/>
        <v>2025</v>
      </c>
      <c r="AR399" t="str">
        <f t="shared" si="33"/>
        <v xml:space="preserve"> </v>
      </c>
      <c r="AS399">
        <f t="shared" si="34"/>
        <v>1</v>
      </c>
      <c r="AT399" t="str">
        <f>IF(COUNTIFS( $A:$A,A399,$B:$B,B399,$C:$C,C399,$D:$D,D399,$E:$E,E399,$F:$F,F399,$G:$G,G399,$H:$H,H399,$I:$I,I399,$J:$J,J399,$K:$K,K399,$L:$L,L399,$M:$M,M399,$T:$T,T399,$U:$U,U399,$W:$W,W399,$Z:$Z,Z399,$AA:$AA,AA399,$AB:$AB,AB399,$AC:$AC,AC399,$AD:$AD,AD399,$AE:$AE,AE399,$AF:$AF,AF399,$AG:$AG,AG399,$AH:$AH,AH399,$AI:$AI,AI399)&gt;1,"Duplicate","Unique")</f>
        <v>Unique</v>
      </c>
    </row>
    <row r="400" spans="1:46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  <c r="W400" t="s">
        <v>1971</v>
      </c>
      <c r="Z400" t="s">
        <v>1974</v>
      </c>
      <c r="AA400" t="str">
        <v>Vikram Iyer</v>
      </c>
      <c r="AB400" t="str">
        <f>TRIM(PROPER(F:F))</f>
        <v>Corporate</v>
      </c>
      <c r="AC400" t="str">
        <f>TRIM(PROPER(G:G))</f>
        <v>North</v>
      </c>
      <c r="AD400" t="str">
        <f>TRIM(PROPER(H:H))</f>
        <v>Punjab</v>
      </c>
      <c r="AE400" t="str">
        <f>TRIM(PROPER(I:I))</f>
        <v>Ludhiana</v>
      </c>
      <c r="AF400" t="str">
        <f>TRIM(PROPER(J:J))</f>
        <v>Technology</v>
      </c>
      <c r="AG400" t="str">
        <f>TRIM(PROPER(K:K))</f>
        <v>Machines</v>
      </c>
      <c r="AH400" t="str">
        <f>TRIM(PROPER(L:L))</f>
        <v>Elite Machines 523</v>
      </c>
      <c r="AI400" t="str">
        <f>TRIM(PROPER(M:M))</f>
        <v>Same Day</v>
      </c>
      <c r="AJ400" s="5">
        <f>IF(OR(P400&lt;0,P400&gt;0.5),"invalid",P400)</f>
        <v>0.2</v>
      </c>
      <c r="AK400" s="6">
        <f>IFERROR(N400*O400*(1-AJ400), "NA")</f>
        <v>2021.8400000000001</v>
      </c>
      <c r="AL400" s="6">
        <f>IFERROR(AK400-R400,"NA")</f>
        <v>666.62000000000012</v>
      </c>
      <c r="AM400" s="5">
        <f t="shared" si="30"/>
        <v>0.32970957147944452</v>
      </c>
      <c r="AN400" t="str">
        <v>19-07-24</v>
      </c>
      <c r="AO400" t="str">
        <v>26-07-24</v>
      </c>
      <c r="AP400" t="str">
        <f t="shared" si="31"/>
        <v>July</v>
      </c>
      <c r="AQ400" t="str">
        <f t="shared" si="32"/>
        <v>2024</v>
      </c>
      <c r="AR400" t="str">
        <f t="shared" si="33"/>
        <v xml:space="preserve"> </v>
      </c>
      <c r="AS400">
        <f t="shared" si="34"/>
        <v>7</v>
      </c>
      <c r="AT400" t="str">
        <f>IF(COUNTIFS( $A:$A,A400,$B:$B,B400,$C:$C,C400,$D:$D,D400,$E:$E,E400,$F:$F,F400,$G:$G,G400,$H:$H,H400,$I:$I,I400,$J:$J,J400,$K:$K,K400,$L:$L,L400,$M:$M,M400,$T:$T,T400,$U:$U,U400,$W:$W,W400,$Z:$Z,Z400,$AA:$AA,AA400,$AB:$AB,AB400,$AC:$AC,AC400,$AD:$AD,AD400,$AE:$AE,AE400,$AF:$AF,AF400,$AG:$AG,AG400,$AH:$AH,AH400,$AI:$AI,AI400)&gt;1,"Duplicate","Unique")</f>
        <v>Unique</v>
      </c>
    </row>
    <row r="401" spans="1:46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  <c r="W401" t="s">
        <v>1976</v>
      </c>
      <c r="Z401" t="s">
        <v>1979</v>
      </c>
      <c r="AA401" t="str">
        <v>Diya Patel</v>
      </c>
      <c r="AB401" t="str">
        <f>TRIM(PROPER(F:F))</f>
        <v>Small Business</v>
      </c>
      <c r="AC401" t="str">
        <f>TRIM(PROPER(G:G))</f>
        <v>South</v>
      </c>
      <c r="AD401" t="str">
        <f>TRIM(PROPER(H:H))</f>
        <v>Andhra Pradesh</v>
      </c>
      <c r="AE401" t="str">
        <f>TRIM(PROPER(I:I))</f>
        <v>Vijayawada</v>
      </c>
      <c r="AF401" t="str">
        <f>TRIM(PROPER(J:J))</f>
        <v>Office Supplies</v>
      </c>
      <c r="AG401" t="str">
        <f>TRIM(PROPER(K:K))</f>
        <v>Paper</v>
      </c>
      <c r="AH401" t="str">
        <f>TRIM(PROPER(L:L))</f>
        <v>Elite Paper 308</v>
      </c>
      <c r="AI401" t="str">
        <f>TRIM(PROPER(M:M))</f>
        <v>Same Day</v>
      </c>
      <c r="AJ401" s="5">
        <f>IF(OR(P401&lt;0,P401&gt;0.5),"invalid",P401)</f>
        <v>0.25</v>
      </c>
      <c r="AK401" s="6">
        <f>IFERROR(N401*O401*(1-AJ401), "NA")</f>
        <v>3268.875</v>
      </c>
      <c r="AL401" s="6">
        <f>IFERROR(AK401-R401,"NA")</f>
        <v>1275.135</v>
      </c>
      <c r="AM401" s="5">
        <f t="shared" si="30"/>
        <v>0.39008374440747962</v>
      </c>
      <c r="AN401" t="str">
        <v>invalid date</v>
      </c>
      <c r="AO401" t="str">
        <v>29-04-25</v>
      </c>
      <c r="AP401" t="str">
        <f t="shared" si="31"/>
        <v>invalid date</v>
      </c>
      <c r="AQ401" t="str">
        <f t="shared" si="32"/>
        <v>invalid date</v>
      </c>
      <c r="AR401" t="str">
        <f t="shared" si="33"/>
        <v>Invalid</v>
      </c>
      <c r="AS401" t="str">
        <f t="shared" si="34"/>
        <v>invalid date</v>
      </c>
      <c r="AT401" t="str">
        <f>IF(COUNTIFS( $A:$A,A401,$B:$B,B401,$C:$C,C401,$D:$D,D401,$E:$E,E401,$F:$F,F401,$G:$G,G401,$H:$H,H401,$I:$I,I401,$J:$J,J401,$K:$K,K401,$L:$L,L401,$M:$M,M401,$T:$T,T401,$U:$U,U401,$W:$W,W401,$Z:$Z,Z401,$AA:$AA,AA401,$AB:$AB,AB401,$AC:$AC,AC401,$AD:$AD,AD401,$AE:$AE,AE401,$AF:$AF,AF401,$AG:$AG,AG401,$AH:$AH,AH401,$AI:$AI,AI401)&gt;1,"Duplicate","Unique")</f>
        <v>Unique</v>
      </c>
    </row>
    <row r="402" spans="1:46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  <c r="W402" t="s">
        <v>1981</v>
      </c>
      <c r="Z402" t="s">
        <v>1984</v>
      </c>
      <c r="AA402" t="str">
        <v>Sneha Kapoor</v>
      </c>
      <c r="AB402" t="str">
        <f>TRIM(PROPER(F:F))</f>
        <v>Small Business</v>
      </c>
      <c r="AC402" t="str">
        <f>TRIM(PROPER(G:G))</f>
        <v>North</v>
      </c>
      <c r="AD402" t="str">
        <f>TRIM(PROPER(H:H))</f>
        <v>Uttar Pradesh</v>
      </c>
      <c r="AE402" t="str">
        <f>TRIM(PROPER(I:I))</f>
        <v>Noida</v>
      </c>
      <c r="AF402" t="str">
        <f>TRIM(PROPER(J:J))</f>
        <v>Office Supplies</v>
      </c>
      <c r="AG402" t="str">
        <f>TRIM(PROPER(K:K))</f>
        <v>Paper</v>
      </c>
      <c r="AH402" t="str">
        <f>TRIM(PROPER(L:L))</f>
        <v>Prime Paper 851</v>
      </c>
      <c r="AI402" t="str">
        <f>TRIM(PROPER(M:M))</f>
        <v>Same Day</v>
      </c>
      <c r="AJ402" s="5" t="str">
        <f>IF(OR(P402&lt;0,P402&gt;0.5),"invalid",P402)</f>
        <v>invalid</v>
      </c>
      <c r="AK402" s="6" t="str">
        <f>IFERROR(N402*O402*(1-AJ402), "NA")</f>
        <v>NA</v>
      </c>
      <c r="AL402" s="6" t="str">
        <f>IFERROR(AK402-R402,"NA")</f>
        <v>NA</v>
      </c>
      <c r="AM402" s="5" t="str">
        <f t="shared" si="30"/>
        <v>NA</v>
      </c>
      <c r="AN402" t="str">
        <v>06-06-25</v>
      </c>
      <c r="AO402" t="str">
        <v>11-06-25</v>
      </c>
      <c r="AP402" t="str">
        <f t="shared" si="31"/>
        <v>June</v>
      </c>
      <c r="AQ402" t="str">
        <f t="shared" si="32"/>
        <v>2025</v>
      </c>
      <c r="AR402" t="str">
        <f t="shared" si="33"/>
        <v xml:space="preserve"> </v>
      </c>
      <c r="AS402">
        <f t="shared" si="34"/>
        <v>5</v>
      </c>
      <c r="AT402" t="str">
        <f>IF(COUNTIFS( $A:$A,A402,$B:$B,B402,$C:$C,C402,$D:$D,D402,$E:$E,E402,$F:$F,F402,$G:$G,G402,$H:$H,H402,$I:$I,I402,$J:$J,J402,$K:$K,K402,$L:$L,L402,$M:$M,M402,$T:$T,T402,$U:$U,U402,$W:$W,W402,$Z:$Z,Z402,$AA:$AA,AA402,$AB:$AB,AB402,$AC:$AC,AC402,$AD:$AD,AD402,$AE:$AE,AE402,$AF:$AF,AF402,$AG:$AG,AG402,$AH:$AH,AH402,$AI:$AI,AI402)&gt;1,"Duplicate","Unique")</f>
        <v>Unique</v>
      </c>
    </row>
    <row r="403" spans="1:46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  <c r="W403" t="s">
        <v>1986</v>
      </c>
      <c r="Z403" t="s">
        <v>1989</v>
      </c>
      <c r="AA403" t="str">
        <v>Arjun Bose</v>
      </c>
      <c r="AB403" t="str">
        <f>TRIM(PROPER(F:F))</f>
        <v>Small Business</v>
      </c>
      <c r="AC403" t="str">
        <f>TRIM(PROPER(G:G))</f>
        <v>East</v>
      </c>
      <c r="AD403" t="str">
        <f>TRIM(PROPER(H:H))</f>
        <v>Jharkhand</v>
      </c>
      <c r="AE403" t="str">
        <f>TRIM(PROPER(I:I))</f>
        <v>Ranchi</v>
      </c>
      <c r="AF403" t="str">
        <f>TRIM(PROPER(J:J))</f>
        <v>Furniture</v>
      </c>
      <c r="AG403" t="str">
        <f>TRIM(PROPER(K:K))</f>
        <v>Tables</v>
      </c>
      <c r="AH403" t="str">
        <f>TRIM(PROPER(L:L))</f>
        <v>Classic Tables 151</v>
      </c>
      <c r="AI403" t="str">
        <f>TRIM(PROPER(M:M))</f>
        <v>Same Day</v>
      </c>
      <c r="AJ403" s="5">
        <f>IF(OR(P403&lt;0,P403&gt;0.5),"invalid",P403)</f>
        <v>0</v>
      </c>
      <c r="AK403" s="6">
        <f>IFERROR(N403*O403*(1-AJ403), "NA")</f>
        <v>7877.5499999999993</v>
      </c>
      <c r="AL403" s="6">
        <f>IFERROR(AK403-R403,"NA")</f>
        <v>2314.7799999999988</v>
      </c>
      <c r="AM403" s="5">
        <f t="shared" si="30"/>
        <v>0.29384516759652418</v>
      </c>
      <c r="AN403" t="str">
        <v>09-03-25</v>
      </c>
      <c r="AO403" t="str">
        <v>16-03-25</v>
      </c>
      <c r="AP403" t="str">
        <f t="shared" si="31"/>
        <v>March</v>
      </c>
      <c r="AQ403" t="str">
        <f t="shared" si="32"/>
        <v>2025</v>
      </c>
      <c r="AR403" t="str">
        <f t="shared" si="33"/>
        <v xml:space="preserve"> </v>
      </c>
      <c r="AS403">
        <f t="shared" si="34"/>
        <v>7</v>
      </c>
      <c r="AT403" t="str">
        <f>IF(COUNTIFS( $A:$A,A403,$B:$B,B403,$C:$C,C403,$D:$D,D403,$E:$E,E403,$F:$F,F403,$G:$G,G403,$H:$H,H403,$I:$I,I403,$J:$J,J403,$K:$K,K403,$L:$L,L403,$M:$M,M403,$T:$T,T403,$U:$U,U403,$W:$W,W403,$Z:$Z,Z403,$AA:$AA,AA403,$AB:$AB,AB403,$AC:$AC,AC403,$AD:$AD,AD403,$AE:$AE,AE403,$AF:$AF,AF403,$AG:$AG,AG403,$AH:$AH,AH403,$AI:$AI,AI403)&gt;1,"Duplicate","Unique")</f>
        <v>Unique</v>
      </c>
    </row>
    <row r="404" spans="1:46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  <c r="W404" t="s">
        <v>1991</v>
      </c>
      <c r="Z404" t="s">
        <v>1994</v>
      </c>
      <c r="AA404" t="str">
        <v>Priya Menon</v>
      </c>
      <c r="AB404" t="str">
        <f>TRIM(PROPER(F:F))</f>
        <v>Small Business</v>
      </c>
      <c r="AC404" t="str">
        <f>TRIM(PROPER(G:G))</f>
        <v>South</v>
      </c>
      <c r="AD404" t="str">
        <f>TRIM(PROPER(H:H))</f>
        <v>Karnataka</v>
      </c>
      <c r="AE404" t="str">
        <f>TRIM(PROPER(I:I))</f>
        <v>Bengaluru</v>
      </c>
      <c r="AF404" t="str">
        <f>TRIM(PROPER(J:J))</f>
        <v>Furniture</v>
      </c>
      <c r="AG404" t="str">
        <f>TRIM(PROPER(K:K))</f>
        <v>Tables</v>
      </c>
      <c r="AH404" t="str">
        <f>TRIM(PROPER(L:L))</f>
        <v>Smart Tables 829</v>
      </c>
      <c r="AI404" t="s">
        <v>4095</v>
      </c>
      <c r="AJ404" s="5">
        <f>IF(OR(P404&lt;0,P404&gt;0.5),"invalid",P404)</f>
        <v>0</v>
      </c>
      <c r="AK404" s="6">
        <f>IFERROR(N404*O404*(1-AJ404), "NA")</f>
        <v>4095.7799999999997</v>
      </c>
      <c r="AL404" s="6">
        <f>IFERROR(AK404-R404,"NA")</f>
        <v>1288.0099999999998</v>
      </c>
      <c r="AM404" s="5">
        <f t="shared" si="30"/>
        <v>0.31447245701673426</v>
      </c>
      <c r="AN404" t="str">
        <v>22-03-24</v>
      </c>
      <c r="AO404" t="str">
        <v>invalid date</v>
      </c>
      <c r="AP404" t="str">
        <f t="shared" si="31"/>
        <v>March</v>
      </c>
      <c r="AQ404" t="str">
        <f t="shared" si="32"/>
        <v>2024</v>
      </c>
      <c r="AR404" t="str">
        <f t="shared" si="33"/>
        <v>Invalid</v>
      </c>
      <c r="AS404" t="str">
        <f t="shared" si="34"/>
        <v>invalid date</v>
      </c>
      <c r="AT404" t="str">
        <f>IF(COUNTIFS( $A:$A,A404,$B:$B,B404,$C:$C,C404,$D:$D,D404,$E:$E,E404,$F:$F,F404,$G:$G,G404,$H:$H,H404,$I:$I,I404,$J:$J,J404,$K:$K,K404,$L:$L,L404,$M:$M,M404,$T:$T,T404,$U:$U,U404,$W:$W,W404,$Z:$Z,Z404,$AA:$AA,AA404,$AB:$AB,AB404,$AC:$AC,AC404,$AD:$AD,AD404,$AE:$AE,AE404,$AF:$AF,AF404,$AG:$AG,AG404,$AH:$AH,AH404,$AI:$AI,AI404)&gt;1,"Duplicate","Unique")</f>
        <v>Unique</v>
      </c>
    </row>
    <row r="405" spans="1:46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  <c r="W405" t="s">
        <v>1996</v>
      </c>
      <c r="Z405" t="s">
        <v>1999</v>
      </c>
      <c r="AA405" t="str">
        <v>Arjun Bose</v>
      </c>
      <c r="AB405" t="str">
        <f>TRIM(PROPER(F:F))</f>
        <v>Small Business</v>
      </c>
      <c r="AC405" t="str">
        <f>TRIM(PROPER(G:G))</f>
        <v>South</v>
      </c>
      <c r="AD405" t="str">
        <f>TRIM(PROPER(H:H))</f>
        <v>Kerala</v>
      </c>
      <c r="AE405" t="str">
        <f>TRIM(PROPER(I:I))</f>
        <v>Kochi</v>
      </c>
      <c r="AF405" t="str">
        <f>TRIM(PROPER(J:J))</f>
        <v>Office Supplies</v>
      </c>
      <c r="AG405" t="str">
        <f>TRIM(PROPER(K:K))</f>
        <v>Paper</v>
      </c>
      <c r="AH405" t="str">
        <f>TRIM(PROPER(L:L))</f>
        <v>Classic Paper 237</v>
      </c>
      <c r="AI405" t="str">
        <f>TRIM(PROPER(M:M))</f>
        <v>Same Day</v>
      </c>
      <c r="AJ405" s="5">
        <f>IF(OR(P405&lt;0,P405&gt;0.5),"invalid",P405)</f>
        <v>0.05</v>
      </c>
      <c r="AK405" s="6">
        <f>IFERROR(N405*O405*(1-AJ405), "NA")</f>
        <v>16683.1875</v>
      </c>
      <c r="AL405" s="6">
        <f>IFERROR(AK405-R405,"NA")</f>
        <v>6382.0275000000001</v>
      </c>
      <c r="AM405" s="5">
        <f t="shared" si="30"/>
        <v>0.38254245479168775</v>
      </c>
      <c r="AN405" t="str">
        <v>invalid date</v>
      </c>
      <c r="AO405" t="str">
        <v>04-10-24</v>
      </c>
      <c r="AP405" t="str">
        <f t="shared" si="31"/>
        <v>invalid date</v>
      </c>
      <c r="AQ405" t="str">
        <f t="shared" si="32"/>
        <v>invalid date</v>
      </c>
      <c r="AR405" t="str">
        <f t="shared" si="33"/>
        <v>Invalid</v>
      </c>
      <c r="AS405" t="str">
        <f t="shared" si="34"/>
        <v>invalid date</v>
      </c>
      <c r="AT405" t="str">
        <f>IF(COUNTIFS( $A:$A,A405,$B:$B,B405,$C:$C,C405,$D:$D,D405,$E:$E,E405,$F:$F,F405,$G:$G,G405,$H:$H,H405,$I:$I,I405,$J:$J,J405,$K:$K,K405,$L:$L,L405,$M:$M,M405,$T:$T,T405,$U:$U,U405,$W:$W,W405,$Z:$Z,Z405,$AA:$AA,AA405,$AB:$AB,AB405,$AC:$AC,AC405,$AD:$AD,AD405,$AE:$AE,AE405,$AF:$AF,AF405,$AG:$AG,AG405,$AH:$AH,AH405,$AI:$AI,AI405)&gt;1,"Duplicate","Unique")</f>
        <v>Unique</v>
      </c>
    </row>
    <row r="406" spans="1:46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  <c r="W406" t="s">
        <v>2002</v>
      </c>
      <c r="Z406" t="s">
        <v>2005</v>
      </c>
      <c r="AA406" t="str">
        <v>Aditi Sen</v>
      </c>
      <c r="AB406" t="str">
        <f>TRIM(PROPER(F:F))</f>
        <v>Corporate</v>
      </c>
      <c r="AC406" t="str">
        <f>TRIM(PROPER(G:G))</f>
        <v>West</v>
      </c>
      <c r="AD406" t="str">
        <f>TRIM(PROPER(H:H))</f>
        <v>Rajasthan</v>
      </c>
      <c r="AE406" t="str">
        <f>TRIM(PROPER(I:I))</f>
        <v>Udaipur</v>
      </c>
      <c r="AF406" t="str">
        <f>TRIM(PROPER(J:J))</f>
        <v>Furniture</v>
      </c>
      <c r="AG406" t="str">
        <f>TRIM(PROPER(K:K))</f>
        <v>Chairs</v>
      </c>
      <c r="AH406" t="str">
        <f>TRIM(PROPER(L:L))</f>
        <v>Prime Chairs 891</v>
      </c>
      <c r="AI406" t="str">
        <f>TRIM(PROPER(M:M))</f>
        <v>Same Day</v>
      </c>
      <c r="AJ406" s="5">
        <f>IF(OR(P406&lt;0,P406&gt;0.5),"invalid",P406)</f>
        <v>0</v>
      </c>
      <c r="AK406" s="6">
        <f>IFERROR(N406*O406*(1-AJ406), "NA")</f>
        <v>1078.83</v>
      </c>
      <c r="AL406" s="6">
        <f>IFERROR(AK406-R406,"NA")</f>
        <v>152.4799999999999</v>
      </c>
      <c r="AM406" s="5">
        <f t="shared" si="30"/>
        <v>0.14133830167867034</v>
      </c>
      <c r="AN406" t="str">
        <v>27-01-24</v>
      </c>
      <c r="AO406" t="str">
        <v>02-03-24</v>
      </c>
      <c r="AP406" t="str">
        <f t="shared" si="31"/>
        <v>January</v>
      </c>
      <c r="AQ406" t="str">
        <f t="shared" si="32"/>
        <v>2024</v>
      </c>
      <c r="AR406" t="str">
        <f t="shared" si="33"/>
        <v>anomaly</v>
      </c>
      <c r="AS406">
        <f t="shared" si="34"/>
        <v>35</v>
      </c>
      <c r="AT406" t="str">
        <f>IF(COUNTIFS( $A:$A,A406,$B:$B,B406,$C:$C,C406,$D:$D,D406,$E:$E,E406,$F:$F,F406,$G:$G,G406,$H:$H,H406,$I:$I,I406,$J:$J,J406,$K:$K,K406,$L:$L,L406,$M:$M,M406,$T:$T,T406,$U:$U,U406,$W:$W,W406,$Z:$Z,Z406,$AA:$AA,AA406,$AB:$AB,AB406,$AC:$AC,AC406,$AD:$AD,AD406,$AE:$AE,AE406,$AF:$AF,AF406,$AG:$AG,AG406,$AH:$AH,AH406,$AI:$AI,AI406)&gt;1,"Duplicate","Unique")</f>
        <v>Unique</v>
      </c>
    </row>
    <row r="407" spans="1:46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  <c r="W407" t="s">
        <v>2007</v>
      </c>
      <c r="Z407" t="s">
        <v>2010</v>
      </c>
      <c r="AA407" t="str">
        <v>Aditi Sen</v>
      </c>
      <c r="AB407" t="str">
        <f>TRIM(PROPER(F:F))</f>
        <v>Home Office</v>
      </c>
      <c r="AC407" t="str">
        <f>TRIM(PROPER(G:G))</f>
        <v>West</v>
      </c>
      <c r="AD407" t="str">
        <f>TRIM(PROPER(H:H))</f>
        <v>Gujarat</v>
      </c>
      <c r="AE407" t="str">
        <f>TRIM(PROPER(I:I))</f>
        <v>Ahmedabad</v>
      </c>
      <c r="AF407" t="str">
        <f>TRIM(PROPER(J:J))</f>
        <v>Furniture</v>
      </c>
      <c r="AG407" t="str">
        <f>TRIM(PROPER(K:K))</f>
        <v>Bookcases</v>
      </c>
      <c r="AH407" t="str">
        <f>TRIM(PROPER(L:L))</f>
        <v>Max Bookcases 812</v>
      </c>
      <c r="AI407" t="s">
        <v>4095</v>
      </c>
      <c r="AJ407" s="5">
        <f>IF(OR(P407&lt;0,P407&gt;0.5),"invalid",P407)</f>
        <v>0.1</v>
      </c>
      <c r="AK407" s="6">
        <f>IFERROR(N407*O407*(1-AJ407), "NA")</f>
        <v>24431.463</v>
      </c>
      <c r="AL407" s="6">
        <f>IFERROR(AK407-R407,"NA")</f>
        <v>6229.1029999999992</v>
      </c>
      <c r="AM407" s="5">
        <f t="shared" si="30"/>
        <v>0.25496234097810677</v>
      </c>
      <c r="AN407" t="str">
        <v>invalid date</v>
      </c>
      <c r="AO407" t="str">
        <v>24-09-24</v>
      </c>
      <c r="AP407" t="str">
        <f t="shared" si="31"/>
        <v>invalid date</v>
      </c>
      <c r="AQ407" t="str">
        <f t="shared" si="32"/>
        <v>invalid date</v>
      </c>
      <c r="AR407" t="str">
        <f t="shared" si="33"/>
        <v>Invalid</v>
      </c>
      <c r="AS407" t="str">
        <f t="shared" si="34"/>
        <v>invalid date</v>
      </c>
      <c r="AT407" t="str">
        <f>IF(COUNTIFS( $A:$A,A407,$B:$B,B407,$C:$C,C407,$D:$D,D407,$E:$E,E407,$F:$F,F407,$G:$G,G407,$H:$H,H407,$I:$I,I407,$J:$J,J407,$K:$K,K407,$L:$L,L407,$M:$M,M407,$T:$T,T407,$U:$U,U407,$W:$W,W407,$Z:$Z,Z407,$AA:$AA,AA407,$AB:$AB,AB407,$AC:$AC,AC407,$AD:$AD,AD407,$AE:$AE,AE407,$AF:$AF,AF407,$AG:$AG,AG407,$AH:$AH,AH407,$AI:$AI,AI407)&gt;1,"Duplicate","Unique")</f>
        <v>Unique</v>
      </c>
    </row>
    <row r="408" spans="1:46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  <c r="W408" t="s">
        <v>2012</v>
      </c>
      <c r="Z408" t="s">
        <v>2014</v>
      </c>
      <c r="AA408" t="str">
        <v>Kabir Singh</v>
      </c>
      <c r="AB408" t="str">
        <f>TRIM(PROPER(F:F))</f>
        <v>Small Business</v>
      </c>
      <c r="AC408" t="str">
        <f>TRIM(PROPER(G:G))</f>
        <v>West</v>
      </c>
      <c r="AD408" t="str">
        <f>TRIM(PROPER(H:H))</f>
        <v>Goa</v>
      </c>
      <c r="AE408" t="str">
        <f>TRIM(PROPER(I:I))</f>
        <v>Panaji</v>
      </c>
      <c r="AF408" t="str">
        <f>TRIM(PROPER(J:J))</f>
        <v>Furniture</v>
      </c>
      <c r="AG408" t="str">
        <f>TRIM(PROPER(K:K))</f>
        <v>Furnishings</v>
      </c>
      <c r="AH408" t="str">
        <f>TRIM(PROPER(L:L))</f>
        <v>Basic Furnishings 164</v>
      </c>
      <c r="AI408" t="str">
        <f>TRIM(PROPER(M:M))</f>
        <v>Standard Class</v>
      </c>
      <c r="AJ408" s="5">
        <f>IF(OR(P408&lt;0,P408&gt;0.5),"invalid",P408)</f>
        <v>0.25</v>
      </c>
      <c r="AK408" s="6">
        <f>IFERROR(N408*O408*(1-AJ408), "NA")</f>
        <v>5886.2999999999993</v>
      </c>
      <c r="AL408" s="6">
        <f>IFERROR(AK408-R408,"NA")</f>
        <v>2264.5399999999991</v>
      </c>
      <c r="AM408" s="5">
        <f t="shared" si="30"/>
        <v>0.38471365713606159</v>
      </c>
      <c r="AN408" t="str">
        <v>25-02-25</v>
      </c>
      <c r="AO408" t="str">
        <v>25-02-25</v>
      </c>
      <c r="AP408" t="str">
        <f t="shared" si="31"/>
        <v>February</v>
      </c>
      <c r="AQ408" t="str">
        <f t="shared" si="32"/>
        <v>2025</v>
      </c>
      <c r="AR408" t="str">
        <f t="shared" si="33"/>
        <v xml:space="preserve"> </v>
      </c>
      <c r="AS408">
        <f t="shared" si="34"/>
        <v>0</v>
      </c>
      <c r="AT408" t="str">
        <f>IF(COUNTIFS( $A:$A,A408,$B:$B,B408,$C:$C,C408,$D:$D,D408,$E:$E,E408,$F:$F,F408,$G:$G,G408,$H:$H,H408,$I:$I,I408,$J:$J,J408,$K:$K,K408,$L:$L,L408,$M:$M,M408,$T:$T,T408,$U:$U,U408,$W:$W,W408,$Z:$Z,Z408,$AA:$AA,AA408,$AB:$AB,AB408,$AC:$AC,AC408,$AD:$AD,AD408,$AE:$AE,AE408,$AF:$AF,AF408,$AG:$AG,AG408,$AH:$AH,AH408,$AI:$AI,AI408)&gt;1,"Duplicate","Unique")</f>
        <v>Unique</v>
      </c>
    </row>
    <row r="409" spans="1:46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  <c r="W409" t="s">
        <v>2016</v>
      </c>
      <c r="Z409" t="s">
        <v>2019</v>
      </c>
      <c r="AA409" t="str">
        <v>Rahul Verma</v>
      </c>
      <c r="AB409" t="str">
        <f>TRIM(PROPER(F:F))</f>
        <v>Corporate</v>
      </c>
      <c r="AC409" t="str">
        <f>TRIM(PROPER(G:G))</f>
        <v>West</v>
      </c>
      <c r="AD409" t="str">
        <f>TRIM(PROPER(H:H))</f>
        <v>Goa</v>
      </c>
      <c r="AE409" t="str">
        <f>TRIM(PROPER(I:I))</f>
        <v>Panaji</v>
      </c>
      <c r="AF409" t="str">
        <f>TRIM(PROPER(J:J))</f>
        <v>Office Supplies</v>
      </c>
      <c r="AG409" t="str">
        <f>TRIM(PROPER(K:K))</f>
        <v>Labels</v>
      </c>
      <c r="AH409" t="str">
        <f>TRIM(PROPER(L:L))</f>
        <v>Smart Labels 261</v>
      </c>
      <c r="AI409" t="str">
        <f>TRIM(PROPER(M:M))</f>
        <v>Second Class</v>
      </c>
      <c r="AJ409" s="5">
        <f>IF(OR(P409&lt;0,P409&gt;0.5),"invalid",P409)</f>
        <v>0</v>
      </c>
      <c r="AK409" s="6">
        <f>IFERROR(N409*O409*(1-AJ409), "NA")</f>
        <v>7933.6500000000005</v>
      </c>
      <c r="AL409" s="6">
        <f>IFERROR(AK409-R409,"NA")</f>
        <v>2235.2300000000005</v>
      </c>
      <c r="AM409" s="5">
        <f t="shared" si="30"/>
        <v>0.2817404347305465</v>
      </c>
      <c r="AN409" t="str">
        <v>12-05-24</v>
      </c>
      <c r="AO409" t="str">
        <v>13-05-24</v>
      </c>
      <c r="AP409" t="str">
        <f t="shared" si="31"/>
        <v>May</v>
      </c>
      <c r="AQ409" t="str">
        <f t="shared" si="32"/>
        <v>2024</v>
      </c>
      <c r="AR409" t="str">
        <f t="shared" si="33"/>
        <v xml:space="preserve"> </v>
      </c>
      <c r="AS409">
        <f t="shared" si="34"/>
        <v>1</v>
      </c>
      <c r="AT409" t="str">
        <f>IF(COUNTIFS( $A:$A,A409,$B:$B,B409,$C:$C,C409,$D:$D,D409,$E:$E,E409,$F:$F,F409,$G:$G,G409,$H:$H,H409,$I:$I,I409,$J:$J,J409,$K:$K,K409,$L:$L,L409,$M:$M,M409,$T:$T,T409,$U:$U,U409,$W:$W,W409,$Z:$Z,Z409,$AA:$AA,AA409,$AB:$AB,AB409,$AC:$AC,AC409,$AD:$AD,AD409,$AE:$AE,AE409,$AF:$AF,AF409,$AG:$AG,AG409,$AH:$AH,AH409,$AI:$AI,AI409)&gt;1,"Duplicate","Unique")</f>
        <v>Unique</v>
      </c>
    </row>
    <row r="410" spans="1:46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  <c r="W410" t="s">
        <v>2021</v>
      </c>
      <c r="Z410" t="s">
        <v>2022</v>
      </c>
      <c r="AA410" t="str">
        <v>Sneha Kapoor</v>
      </c>
      <c r="AB410" t="str">
        <f>TRIM(PROPER(F:F))</f>
        <v>Consumer</v>
      </c>
      <c r="AC410" t="str">
        <f>TRIM(PROPER(G:G))</f>
        <v>West</v>
      </c>
      <c r="AD410" t="str">
        <f>TRIM(PROPER(H:H))</f>
        <v>Maharashtra</v>
      </c>
      <c r="AE410" t="str">
        <f>TRIM(PROPER(I:I))</f>
        <v>Mumbai</v>
      </c>
      <c r="AF410" t="str">
        <f>TRIM(PROPER(J:J))</f>
        <v>Furniture</v>
      </c>
      <c r="AG410" t="str">
        <f>TRIM(PROPER(K:K))</f>
        <v>Chairs</v>
      </c>
      <c r="AH410" t="str">
        <f>TRIM(PROPER(L:L))</f>
        <v>Max Chairs 765</v>
      </c>
      <c r="AI410" t="str">
        <f>TRIM(PROPER(M:M))</f>
        <v>First Class</v>
      </c>
      <c r="AJ410" s="5">
        <f>IF(OR(P410&lt;0,P410&gt;0.5),"invalid",P410)</f>
        <v>0</v>
      </c>
      <c r="AK410" s="6">
        <f>IFERROR(N410*O410*(1-AJ410), "NA")</f>
        <v>7093.84</v>
      </c>
      <c r="AL410" s="6">
        <f>IFERROR(AK410-R410,"NA")</f>
        <v>2506.3500000000004</v>
      </c>
      <c r="AM410" s="5">
        <f t="shared" si="30"/>
        <v>0.35331357910525191</v>
      </c>
      <c r="AN410" t="str">
        <v>08-01-25</v>
      </c>
      <c r="AO410" t="str">
        <v>08-03-25</v>
      </c>
      <c r="AP410" t="str">
        <f t="shared" si="31"/>
        <v>January</v>
      </c>
      <c r="AQ410" t="str">
        <f t="shared" si="32"/>
        <v>2025</v>
      </c>
      <c r="AR410" t="str">
        <f t="shared" si="33"/>
        <v xml:space="preserve"> </v>
      </c>
      <c r="AS410">
        <f t="shared" si="34"/>
        <v>59</v>
      </c>
      <c r="AT410" t="str">
        <f>IF(COUNTIFS( $A:$A,A410,$B:$B,B410,$C:$C,C410,$D:$D,D410,$E:$E,E410,$F:$F,F410,$G:$G,G410,$H:$H,H410,$I:$I,I410,$J:$J,J410,$K:$K,K410,$L:$L,L410,$M:$M,M410,$T:$T,T410,$U:$U,U410,$W:$W,W410,$Z:$Z,Z410,$AA:$AA,AA410,$AB:$AB,AB410,$AC:$AC,AC410,$AD:$AD,AD410,$AE:$AE,AE410,$AF:$AF,AF410,$AG:$AG,AG410,$AH:$AH,AH410,$AI:$AI,AI410)&gt;1,"Duplicate","Unique")</f>
        <v>Unique</v>
      </c>
    </row>
    <row r="411" spans="1:46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  <c r="W411" t="s">
        <v>2024</v>
      </c>
      <c r="Z411" t="s">
        <v>2025</v>
      </c>
      <c r="AA411" t="str">
        <v>Karan Malhotra</v>
      </c>
      <c r="AB411" t="str">
        <f>TRIM(PROPER(F:F))</f>
        <v>Consumer</v>
      </c>
      <c r="AC411" t="str">
        <f>TRIM(PROPER(G:G))</f>
        <v>East</v>
      </c>
      <c r="AD411" t="str">
        <f>TRIM(PROPER(H:H))</f>
        <v>Assam</v>
      </c>
      <c r="AE411" t="str">
        <f>TRIM(PROPER(I:I))</f>
        <v>Guwahati</v>
      </c>
      <c r="AF411" t="str">
        <f>TRIM(PROPER(J:J))</f>
        <v>Technology</v>
      </c>
      <c r="AG411" t="str">
        <f>TRIM(PROPER(K:K))</f>
        <v>Accessories</v>
      </c>
      <c r="AH411" t="str">
        <f>TRIM(PROPER(L:L))</f>
        <v>Pro Accessories 686</v>
      </c>
      <c r="AI411" t="str">
        <f>TRIM(PROPER(M:M))</f>
        <v>Same Day</v>
      </c>
      <c r="AJ411" s="5">
        <f>IF(OR(P411&lt;0,P411&gt;0.5),"invalid",P411)</f>
        <v>0.25</v>
      </c>
      <c r="AK411" s="6">
        <f>IFERROR(N411*O411*(1-AJ411), "NA")</f>
        <v>2269.0950000000003</v>
      </c>
      <c r="AL411" s="6">
        <f>IFERROR(AK411-R411,"NA")</f>
        <v>675.50500000000034</v>
      </c>
      <c r="AM411" s="5">
        <f t="shared" si="30"/>
        <v>0.29769798091309541</v>
      </c>
      <c r="AN411" t="str">
        <v>13-02-25</v>
      </c>
      <c r="AO411" t="str">
        <v>15-02-25</v>
      </c>
      <c r="AP411" t="str">
        <f t="shared" si="31"/>
        <v>February</v>
      </c>
      <c r="AQ411" t="str">
        <f t="shared" si="32"/>
        <v>2025</v>
      </c>
      <c r="AR411" t="str">
        <f t="shared" si="33"/>
        <v xml:space="preserve"> </v>
      </c>
      <c r="AS411">
        <f t="shared" si="34"/>
        <v>2</v>
      </c>
      <c r="AT411" t="str">
        <f>IF(COUNTIFS( $A:$A,A411,$B:$B,B411,$C:$C,C411,$D:$D,D411,$E:$E,E411,$F:$F,F411,$G:$G,G411,$H:$H,H411,$I:$I,I411,$J:$J,J411,$K:$K,K411,$L:$L,L411,$M:$M,M411,$T:$T,T411,$U:$U,U411,$W:$W,W411,$Z:$Z,Z411,$AA:$AA,AA411,$AB:$AB,AB411,$AC:$AC,AC411,$AD:$AD,AD411,$AE:$AE,AE411,$AF:$AF,AF411,$AG:$AG,AG411,$AH:$AH,AH411,$AI:$AI,AI411)&gt;1,"Duplicate","Unique")</f>
        <v>Unique</v>
      </c>
    </row>
    <row r="412" spans="1:46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  <c r="W412" t="s">
        <v>2027</v>
      </c>
      <c r="Z412" t="s">
        <v>2030</v>
      </c>
      <c r="AA412" t="str">
        <v>Diya Patel</v>
      </c>
      <c r="AB412" t="str">
        <f>TRIM(PROPER(F:F))</f>
        <v>Consumer</v>
      </c>
      <c r="AC412" t="str">
        <f>TRIM(PROPER(G:G))</f>
        <v>West</v>
      </c>
      <c r="AD412" t="str">
        <f>TRIM(PROPER(H:H))</f>
        <v>Goa</v>
      </c>
      <c r="AE412" t="str">
        <f>TRIM(PROPER(I:I))</f>
        <v>Panaji</v>
      </c>
      <c r="AF412" t="str">
        <f>TRIM(PROPER(J:J))</f>
        <v>Furniture</v>
      </c>
      <c r="AG412" t="str">
        <f>TRIM(PROPER(K:K))</f>
        <v>Tables</v>
      </c>
      <c r="AH412" t="str">
        <f>TRIM(PROPER(L:L))</f>
        <v>Smart Tables 100</v>
      </c>
      <c r="AI412" t="str">
        <f>TRIM(PROPER(M:M))</f>
        <v>First Class</v>
      </c>
      <c r="AJ412" s="5">
        <f>IF(OR(P412&lt;0,P412&gt;0.5),"invalid",P412)</f>
        <v>0.2</v>
      </c>
      <c r="AK412" s="6">
        <f>IFERROR(N412*O412*(1-AJ412), "NA")</f>
        <v>9378.7919999999995</v>
      </c>
      <c r="AL412" s="6">
        <f>IFERROR(AK412-R412,"NA")</f>
        <v>2604.3119999999999</v>
      </c>
      <c r="AM412" s="5">
        <f t="shared" si="30"/>
        <v>0.27768096360384154</v>
      </c>
      <c r="AN412" t="str">
        <v>12-04-24</v>
      </c>
      <c r="AO412" t="str">
        <v>20-04-24</v>
      </c>
      <c r="AP412" t="str">
        <f t="shared" si="31"/>
        <v>April</v>
      </c>
      <c r="AQ412" t="str">
        <f t="shared" si="32"/>
        <v>2024</v>
      </c>
      <c r="AR412" t="str">
        <f t="shared" si="33"/>
        <v xml:space="preserve"> </v>
      </c>
      <c r="AS412">
        <f t="shared" si="34"/>
        <v>8</v>
      </c>
      <c r="AT412" t="str">
        <f>IF(COUNTIFS( $A:$A,A412,$B:$B,B412,$C:$C,C412,$D:$D,D412,$E:$E,E412,$F:$F,F412,$G:$G,G412,$H:$H,H412,$I:$I,I412,$J:$J,J412,$K:$K,K412,$L:$L,L412,$M:$M,M412,$T:$T,T412,$U:$U,U412,$W:$W,W412,$Z:$Z,Z412,$AA:$AA,AA412,$AB:$AB,AB412,$AC:$AC,AC412,$AD:$AD,AD412,$AE:$AE,AE412,$AF:$AF,AF412,$AG:$AG,AG412,$AH:$AH,AH412,$AI:$AI,AI412)&gt;1,"Duplicate","Unique")</f>
        <v>Unique</v>
      </c>
    </row>
    <row r="413" spans="1:46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  <c r="W413" t="s">
        <v>2032</v>
      </c>
      <c r="Z413" t="s">
        <v>2035</v>
      </c>
      <c r="AA413" t="str">
        <v>Arjun Bose</v>
      </c>
      <c r="AB413" t="str">
        <f>TRIM(PROPER(F:F))</f>
        <v>Home Office</v>
      </c>
      <c r="AC413" t="str">
        <f>TRIM(PROPER(G:G))</f>
        <v>West</v>
      </c>
      <c r="AD413" t="str">
        <f>TRIM(PROPER(H:H))</f>
        <v>Rajasthan</v>
      </c>
      <c r="AE413" t="str">
        <f>TRIM(PROPER(I:I))</f>
        <v>Udaipur</v>
      </c>
      <c r="AF413" t="str">
        <f>TRIM(PROPER(J:J))</f>
        <v>Furniture</v>
      </c>
      <c r="AG413" t="str">
        <f>TRIM(PROPER(K:K))</f>
        <v>Tables</v>
      </c>
      <c r="AH413" t="str">
        <f>TRIM(PROPER(L:L))</f>
        <v>Basic Tables 615</v>
      </c>
      <c r="AI413" t="str">
        <f>TRIM(PROPER(M:M))</f>
        <v>First Class</v>
      </c>
      <c r="AJ413" s="5">
        <f>IF(OR(P413&lt;0,P413&gt;0.5),"invalid",P413)</f>
        <v>0.2</v>
      </c>
      <c r="AK413" s="6">
        <f>IFERROR(N413*O413*(1-AJ413), "NA")</f>
        <v>3334.2480000000005</v>
      </c>
      <c r="AL413" s="6">
        <f>IFERROR(AK413-R413,"NA")</f>
        <v>565.47800000000052</v>
      </c>
      <c r="AM413" s="5">
        <f t="shared" si="30"/>
        <v>0.16959686262089696</v>
      </c>
      <c r="AN413" t="str">
        <v>23-08-25</v>
      </c>
      <c r="AO413" t="str">
        <v>28-08-25</v>
      </c>
      <c r="AP413" t="str">
        <f t="shared" si="31"/>
        <v>August</v>
      </c>
      <c r="AQ413" t="str">
        <f t="shared" si="32"/>
        <v>2025</v>
      </c>
      <c r="AR413" t="str">
        <f t="shared" si="33"/>
        <v xml:space="preserve"> </v>
      </c>
      <c r="AS413">
        <f t="shared" si="34"/>
        <v>5</v>
      </c>
      <c r="AT413" t="str">
        <f>IF(COUNTIFS( $A:$A,A413,$B:$B,B413,$C:$C,C413,$D:$D,D413,$E:$E,E413,$F:$F,F413,$G:$G,G413,$H:$H,H413,$I:$I,I413,$J:$J,J413,$K:$K,K413,$L:$L,L413,$M:$M,M413,$T:$T,T413,$U:$U,U413,$W:$W,W413,$Z:$Z,Z413,$AA:$AA,AA413,$AB:$AB,AB413,$AC:$AC,AC413,$AD:$AD,AD413,$AE:$AE,AE413,$AF:$AF,AF413,$AG:$AG,AG413,$AH:$AH,AH413,$AI:$AI,AI413)&gt;1,"Duplicate","Unique")</f>
        <v>Unique</v>
      </c>
    </row>
    <row r="414" spans="1:46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  <c r="W414" t="s">
        <v>2037</v>
      </c>
      <c r="Z414" t="s">
        <v>2039</v>
      </c>
      <c r="AA414" t="str">
        <v>Isha Nair</v>
      </c>
      <c r="AB414" t="str">
        <f>TRIM(PROPER(F:F))</f>
        <v>Corporate</v>
      </c>
      <c r="AC414" t="str">
        <f>TRIM(PROPER(G:G))</f>
        <v>South</v>
      </c>
      <c r="AD414" t="str">
        <f>TRIM(PROPER(H:H))</f>
        <v>Karnataka</v>
      </c>
      <c r="AE414" t="str">
        <f>TRIM(PROPER(I:I))</f>
        <v>Bengaluru</v>
      </c>
      <c r="AF414" t="str">
        <f>TRIM(PROPER(J:J))</f>
        <v>Furniture</v>
      </c>
      <c r="AG414" t="str">
        <f>TRIM(PROPER(K:K))</f>
        <v>Chairs</v>
      </c>
      <c r="AH414" t="str">
        <f>TRIM(PROPER(L:L))</f>
        <v>Basic Chairs 790</v>
      </c>
      <c r="AI414" t="str">
        <f>TRIM(PROPER(M:M))</f>
        <v>Same Day</v>
      </c>
      <c r="AJ414" s="5">
        <f>IF(OR(P414&lt;0,P414&gt;0.5),"invalid",P414)</f>
        <v>0.25</v>
      </c>
      <c r="AK414" s="6">
        <f>IFERROR(N414*O414*(1-AJ414), "NA")</f>
        <v>1583.5425</v>
      </c>
      <c r="AL414" s="6">
        <f>IFERROR(AK414-R414,"NA")</f>
        <v>569.35249999999996</v>
      </c>
      <c r="AM414" s="5">
        <f t="shared" si="30"/>
        <v>0.35954355503562424</v>
      </c>
      <c r="AN414" t="str">
        <v>22-01-24</v>
      </c>
      <c r="AO414" t="str">
        <v>30-01-24</v>
      </c>
      <c r="AP414" t="str">
        <f t="shared" si="31"/>
        <v>January</v>
      </c>
      <c r="AQ414" t="str">
        <f t="shared" si="32"/>
        <v>2024</v>
      </c>
      <c r="AR414" t="str">
        <f t="shared" si="33"/>
        <v xml:space="preserve"> </v>
      </c>
      <c r="AS414">
        <f t="shared" si="34"/>
        <v>8</v>
      </c>
      <c r="AT414" t="str">
        <f>IF(COUNTIFS( $A:$A,A414,$B:$B,B414,$C:$C,C414,$D:$D,D414,$E:$E,E414,$F:$F,F414,$G:$G,G414,$H:$H,H414,$I:$I,I414,$J:$J,J414,$K:$K,K414,$L:$L,L414,$M:$M,M414,$T:$T,T414,$U:$U,U414,$W:$W,W414,$Z:$Z,Z414,$AA:$AA,AA414,$AB:$AB,AB414,$AC:$AC,AC414,$AD:$AD,AD414,$AE:$AE,AE414,$AF:$AF,AF414,$AG:$AG,AG414,$AH:$AH,AH414,$AI:$AI,AI414)&gt;1,"Duplicate","Unique")</f>
        <v>Unique</v>
      </c>
    </row>
    <row r="415" spans="1:46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  <c r="W415" t="s">
        <v>2041</v>
      </c>
      <c r="Z415" t="s">
        <v>2043</v>
      </c>
      <c r="AA415" t="str">
        <v>Neha Gupta</v>
      </c>
      <c r="AB415" t="str">
        <f>TRIM(PROPER(F:F))</f>
        <v>Home Office</v>
      </c>
      <c r="AC415" t="str">
        <f>TRIM(PROPER(G:G))</f>
        <v>West</v>
      </c>
      <c r="AD415" t="str">
        <f>TRIM(PROPER(H:H))</f>
        <v>Madhya Pradesh</v>
      </c>
      <c r="AE415" t="str">
        <f>TRIM(PROPER(I:I))</f>
        <v>Indore</v>
      </c>
      <c r="AF415" t="str">
        <f>TRIM(PROPER(J:J))</f>
        <v>Technology</v>
      </c>
      <c r="AG415" t="str">
        <f>TRIM(PROPER(K:K))</f>
        <v>Accessories</v>
      </c>
      <c r="AH415" t="str">
        <f>TRIM(PROPER(L:L))</f>
        <v>Smart Accessories 226</v>
      </c>
      <c r="AI415" t="str">
        <f>TRIM(PROPER(M:M))</f>
        <v>Second Class</v>
      </c>
      <c r="AJ415" s="5">
        <f>IF(OR(P415&lt;0,P415&gt;0.5),"invalid",P415)</f>
        <v>0</v>
      </c>
      <c r="AK415" s="6">
        <f>IFERROR(N415*O415*(1-AJ415), "NA")</f>
        <v>15345.84</v>
      </c>
      <c r="AL415" s="6">
        <f>IFERROR(AK415-R415,"NA")</f>
        <v>4610.51</v>
      </c>
      <c r="AM415" s="5">
        <f t="shared" si="30"/>
        <v>0.30044037993358463</v>
      </c>
      <c r="AN415" t="str">
        <v>13-08-25</v>
      </c>
      <c r="AO415" t="str">
        <v>17-08-25</v>
      </c>
      <c r="AP415" t="str">
        <f t="shared" si="31"/>
        <v>August</v>
      </c>
      <c r="AQ415" t="str">
        <f t="shared" si="32"/>
        <v>2025</v>
      </c>
      <c r="AR415" t="str">
        <f t="shared" si="33"/>
        <v xml:space="preserve"> </v>
      </c>
      <c r="AS415">
        <f t="shared" si="34"/>
        <v>4</v>
      </c>
      <c r="AT415" t="str">
        <f>IF(COUNTIFS( $A:$A,A415,$B:$B,B415,$C:$C,C415,$D:$D,D415,$E:$E,E415,$F:$F,F415,$G:$G,G415,$H:$H,H415,$I:$I,I415,$J:$J,J415,$K:$K,K415,$L:$L,L415,$M:$M,M415,$T:$T,T415,$U:$U,U415,$W:$W,W415,$Z:$Z,Z415,$AA:$AA,AA415,$AB:$AB,AB415,$AC:$AC,AC415,$AD:$AD,AD415,$AE:$AE,AE415,$AF:$AF,AF415,$AG:$AG,AG415,$AH:$AH,AH415,$AI:$AI,AI415)&gt;1,"Duplicate","Unique")</f>
        <v>Unique</v>
      </c>
    </row>
    <row r="416" spans="1:46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  <c r="W416" t="s">
        <v>2045</v>
      </c>
      <c r="Z416" t="s">
        <v>2048</v>
      </c>
      <c r="AA416" t="str">
        <v>Arjun Bose</v>
      </c>
      <c r="AB416" t="str">
        <f>TRIM(PROPER(F:F))</f>
        <v>Home Office</v>
      </c>
      <c r="AC416" t="str">
        <f>TRIM(PROPER(G:G))</f>
        <v>East</v>
      </c>
      <c r="AD416" t="str">
        <f>TRIM(PROPER(H:H))</f>
        <v>Assam</v>
      </c>
      <c r="AE416" t="str">
        <f>TRIM(PROPER(I:I))</f>
        <v>Guwahati</v>
      </c>
      <c r="AF416" t="str">
        <f>TRIM(PROPER(J:J))</f>
        <v>Office Supplies</v>
      </c>
      <c r="AG416" t="str">
        <f>TRIM(PROPER(K:K))</f>
        <v>Storage</v>
      </c>
      <c r="AH416" t="str">
        <f>TRIM(PROPER(L:L))</f>
        <v>Max Storage 692</v>
      </c>
      <c r="AI416" t="str">
        <f>TRIM(PROPER(M:M))</f>
        <v>First Class</v>
      </c>
      <c r="AJ416" s="5">
        <f>IF(OR(P416&lt;0,P416&gt;0.5),"invalid",P416)</f>
        <v>0.05</v>
      </c>
      <c r="AK416" s="6">
        <f>IFERROR(N416*O416*(1-AJ416), "NA")</f>
        <v>9439.503999999999</v>
      </c>
      <c r="AL416" s="6">
        <f>IFERROR(AK416-R416,"NA")</f>
        <v>3920.1139999999987</v>
      </c>
      <c r="AM416" s="5">
        <f t="shared" si="30"/>
        <v>0.41528813378330037</v>
      </c>
      <c r="AN416" t="str">
        <v>29-08-24</v>
      </c>
      <c r="AO416" t="str">
        <v>invalid date</v>
      </c>
      <c r="AP416" t="str">
        <f t="shared" si="31"/>
        <v>August</v>
      </c>
      <c r="AQ416" t="str">
        <f t="shared" si="32"/>
        <v>2024</v>
      </c>
      <c r="AR416" t="str">
        <f t="shared" si="33"/>
        <v>Invalid</v>
      </c>
      <c r="AS416" t="str">
        <f t="shared" si="34"/>
        <v>invalid date</v>
      </c>
      <c r="AT416" t="str">
        <f>IF(COUNTIFS( $A:$A,A416,$B:$B,B416,$C:$C,C416,$D:$D,D416,$E:$E,E416,$F:$F,F416,$G:$G,G416,$H:$H,H416,$I:$I,I416,$J:$J,J416,$K:$K,K416,$L:$L,L416,$M:$M,M416,$T:$T,T416,$U:$U,U416,$W:$W,W416,$Z:$Z,Z416,$AA:$AA,AA416,$AB:$AB,AB416,$AC:$AC,AC416,$AD:$AD,AD416,$AE:$AE,AE416,$AF:$AF,AF416,$AG:$AG,AG416,$AH:$AH,AH416,$AI:$AI,AI416)&gt;1,"Duplicate","Unique")</f>
        <v>Unique</v>
      </c>
    </row>
    <row r="417" spans="1:46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  <c r="W417" t="s">
        <v>2050</v>
      </c>
      <c r="Z417" t="s">
        <v>2052</v>
      </c>
      <c r="AA417" t="str">
        <v>Aarav Sharma</v>
      </c>
      <c r="AB417" t="str">
        <f>TRIM(PROPER(F:F))</f>
        <v>Corporate</v>
      </c>
      <c r="AC417" t="str">
        <f>TRIM(PROPER(G:G))</f>
        <v>South</v>
      </c>
      <c r="AD417" t="str">
        <f>TRIM(PROPER(H:H))</f>
        <v>Karnataka</v>
      </c>
      <c r="AE417" t="str">
        <f>TRIM(PROPER(I:I))</f>
        <v>Bengaluru</v>
      </c>
      <c r="AF417" t="str">
        <f>TRIM(PROPER(J:J))</f>
        <v>Office Supplies</v>
      </c>
      <c r="AG417" t="str">
        <f>TRIM(PROPER(K:K))</f>
        <v>Storage</v>
      </c>
      <c r="AH417" t="str">
        <f>TRIM(PROPER(L:L))</f>
        <v>Basic Storage 684</v>
      </c>
      <c r="AI417" t="str">
        <f>TRIM(PROPER(M:M))</f>
        <v>Same Day</v>
      </c>
      <c r="AJ417" s="5">
        <f>IF(OR(P417&lt;0,P417&gt;0.5),"invalid",P417)</f>
        <v>0.15</v>
      </c>
      <c r="AK417" s="6">
        <f>IFERROR(N417*O417*(1-AJ417), "NA")</f>
        <v>10277.197</v>
      </c>
      <c r="AL417" s="6">
        <f>IFERROR(AK417-R417,"NA")</f>
        <v>2370.6970000000001</v>
      </c>
      <c r="AM417" s="5">
        <f t="shared" si="30"/>
        <v>0.23067544584384245</v>
      </c>
      <c r="AN417" t="str">
        <v>invalid date</v>
      </c>
      <c r="AO417" t="str">
        <v>27-01-24</v>
      </c>
      <c r="AP417" t="str">
        <f t="shared" si="31"/>
        <v>invalid date</v>
      </c>
      <c r="AQ417" t="str">
        <f t="shared" si="32"/>
        <v>invalid date</v>
      </c>
      <c r="AR417" t="str">
        <f t="shared" si="33"/>
        <v>Invalid</v>
      </c>
      <c r="AS417" t="str">
        <f t="shared" si="34"/>
        <v>invalid date</v>
      </c>
      <c r="AT417" t="str">
        <f>IF(COUNTIFS( $A:$A,A417,$B:$B,B417,$C:$C,C417,$D:$D,D417,$E:$E,E417,$F:$F,F417,$G:$G,G417,$H:$H,H417,$I:$I,I417,$J:$J,J417,$K:$K,K417,$L:$L,L417,$M:$M,M417,$T:$T,T417,$U:$U,U417,$W:$W,W417,$Z:$Z,Z417,$AA:$AA,AA417,$AB:$AB,AB417,$AC:$AC,AC417,$AD:$AD,AD417,$AE:$AE,AE417,$AF:$AF,AF417,$AG:$AG,AG417,$AH:$AH,AH417,$AI:$AI,AI417)&gt;1,"Duplicate","Unique")</f>
        <v>Unique</v>
      </c>
    </row>
    <row r="418" spans="1:46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  <c r="W418" t="s">
        <v>2054</v>
      </c>
      <c r="Z418" t="s">
        <v>2057</v>
      </c>
      <c r="AA418" t="str">
        <v>Neha Gupta</v>
      </c>
      <c r="AB418" t="str">
        <f>TRIM(PROPER(F:F))</f>
        <v>Consumer</v>
      </c>
      <c r="AC418" t="str">
        <f>TRIM(PROPER(G:G))</f>
        <v>South</v>
      </c>
      <c r="AD418" t="str">
        <f>TRIM(PROPER(H:H))</f>
        <v>Telangana</v>
      </c>
      <c r="AE418" t="str">
        <f>TRIM(PROPER(I:I))</f>
        <v>Hyderabad</v>
      </c>
      <c r="AF418" t="str">
        <f>TRIM(PROPER(J:J))</f>
        <v>Furniture</v>
      </c>
      <c r="AG418" t="str">
        <f>TRIM(PROPER(K:K))</f>
        <v>Furnishings</v>
      </c>
      <c r="AH418" t="str">
        <f>TRIM(PROPER(L:L))</f>
        <v>Smart Furnishings 152</v>
      </c>
      <c r="AI418" t="str">
        <f>TRIM(PROPER(M:M))</f>
        <v>First Class</v>
      </c>
      <c r="AJ418" s="5">
        <f>IF(OR(P418&lt;0,P418&gt;0.5),"invalid",P418)</f>
        <v>0.25</v>
      </c>
      <c r="AK418" s="6">
        <f>IFERROR(N418*O418*(1-AJ418), "NA")</f>
        <v>3833.7000000000003</v>
      </c>
      <c r="AL418" s="6">
        <f>IFERROR(AK418-R418,"NA")</f>
        <v>947.35000000000036</v>
      </c>
      <c r="AM418" s="5">
        <f t="shared" si="30"/>
        <v>0.24711114589039318</v>
      </c>
      <c r="AN418" t="str">
        <v>08-01-25</v>
      </c>
      <c r="AO418" t="str">
        <v>16-01-25</v>
      </c>
      <c r="AP418" t="str">
        <f t="shared" si="31"/>
        <v>January</v>
      </c>
      <c r="AQ418" t="str">
        <f t="shared" si="32"/>
        <v>2025</v>
      </c>
      <c r="AR418" t="str">
        <f t="shared" si="33"/>
        <v xml:space="preserve"> </v>
      </c>
      <c r="AS418">
        <f t="shared" si="34"/>
        <v>8</v>
      </c>
      <c r="AT418" t="str">
        <f>IF(COUNTIFS( $A:$A,A418,$B:$B,B418,$C:$C,C418,$D:$D,D418,$E:$E,E418,$F:$F,F418,$G:$G,G418,$H:$H,H418,$I:$I,I418,$J:$J,J418,$K:$K,K418,$L:$L,L418,$M:$M,M418,$T:$T,T418,$U:$U,U418,$W:$W,W418,$Z:$Z,Z418,$AA:$AA,AA418,$AB:$AB,AB418,$AC:$AC,AC418,$AD:$AD,AD418,$AE:$AE,AE418,$AF:$AF,AF418,$AG:$AG,AG418,$AH:$AH,AH418,$AI:$AI,AI418)&gt;1,"Duplicate","Unique")</f>
        <v>Unique</v>
      </c>
    </row>
    <row r="419" spans="1:46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  <c r="W419" t="s">
        <v>2059</v>
      </c>
      <c r="Z419" t="s">
        <v>2061</v>
      </c>
      <c r="AA419" t="str">
        <v>Mira Das</v>
      </c>
      <c r="AB419" t="str">
        <f>TRIM(PROPER(F:F))</f>
        <v>Consumer</v>
      </c>
      <c r="AC419" t="str">
        <f>TRIM(PROPER(G:G))</f>
        <v>West</v>
      </c>
      <c r="AD419" t="str">
        <f>TRIM(PROPER(H:H))</f>
        <v>Gujarat</v>
      </c>
      <c r="AE419" t="str">
        <f>TRIM(PROPER(I:I))</f>
        <v>Ahmedabad</v>
      </c>
      <c r="AF419" t="str">
        <f>TRIM(PROPER(J:J))</f>
        <v>Office Supplies</v>
      </c>
      <c r="AG419" t="str">
        <f>TRIM(PROPER(K:K))</f>
        <v>Art</v>
      </c>
      <c r="AH419" t="str">
        <f>TRIM(PROPER(L:L))</f>
        <v>Max Art 736</v>
      </c>
      <c r="AI419" t="str">
        <f>TRIM(PROPER(M:M))</f>
        <v>First Class</v>
      </c>
      <c r="AJ419" s="5">
        <f>IF(OR(P419&lt;0,P419&gt;0.5),"invalid",P419)</f>
        <v>0.2</v>
      </c>
      <c r="AK419" s="6">
        <f>IFERROR(N419*O419*(1-AJ419), "NA")</f>
        <v>18542.400000000001</v>
      </c>
      <c r="AL419" s="6">
        <f>IFERROR(AK419-R419,"NA")</f>
        <v>7348.6500000000015</v>
      </c>
      <c r="AM419" s="5">
        <f t="shared" si="30"/>
        <v>0.39631601087237905</v>
      </c>
      <c r="AN419" t="str">
        <v>invalid date</v>
      </c>
      <c r="AO419" t="str">
        <v>02-05-25</v>
      </c>
      <c r="AP419" t="str">
        <f t="shared" si="31"/>
        <v>invalid date</v>
      </c>
      <c r="AQ419" t="str">
        <f t="shared" si="32"/>
        <v>invalid date</v>
      </c>
      <c r="AR419" t="str">
        <f t="shared" si="33"/>
        <v>Invalid</v>
      </c>
      <c r="AS419" t="str">
        <f t="shared" si="34"/>
        <v>invalid date</v>
      </c>
      <c r="AT419" t="str">
        <f>IF(COUNTIFS( $A:$A,A419,$B:$B,B419,$C:$C,C419,$D:$D,D419,$E:$E,E419,$F:$F,F419,$G:$G,G419,$H:$H,H419,$I:$I,I419,$J:$J,J419,$K:$K,K419,$L:$L,L419,$M:$M,M419,$T:$T,T419,$U:$U,U419,$W:$W,W419,$Z:$Z,Z419,$AA:$AA,AA419,$AB:$AB,AB419,$AC:$AC,AC419,$AD:$AD,AD419,$AE:$AE,AE419,$AF:$AF,AF419,$AG:$AG,AG419,$AH:$AH,AH419,$AI:$AI,AI419)&gt;1,"Duplicate","Unique")</f>
        <v>Unique</v>
      </c>
    </row>
    <row r="420" spans="1:46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  <c r="W420" t="s">
        <v>2063</v>
      </c>
      <c r="Z420" t="s">
        <v>2066</v>
      </c>
      <c r="AA420" t="str">
        <v>Sneha Kapoor</v>
      </c>
      <c r="AB420" t="str">
        <f>TRIM(PROPER(F:F))</f>
        <v>Corporate</v>
      </c>
      <c r="AC420" t="str">
        <f>TRIM(PROPER(G:G))</f>
        <v>East</v>
      </c>
      <c r="AD420" t="str">
        <f>TRIM(PROPER(H:H))</f>
        <v>Odisha</v>
      </c>
      <c r="AE420" t="str">
        <f>TRIM(PROPER(I:I))</f>
        <v>Bhubaneswar</v>
      </c>
      <c r="AF420" t="str">
        <f>TRIM(PROPER(J:J))</f>
        <v>Technology</v>
      </c>
      <c r="AG420" t="str">
        <f>TRIM(PROPER(K:K))</f>
        <v>Copiers</v>
      </c>
      <c r="AH420" t="str">
        <f>TRIM(PROPER(L:L))</f>
        <v>Elite Copiers 971</v>
      </c>
      <c r="AI420" t="str">
        <f>TRIM(PROPER(M:M))</f>
        <v>Standard Class</v>
      </c>
      <c r="AJ420" s="5">
        <f>IF(OR(P420&lt;0,P420&gt;0.5),"invalid",P420)</f>
        <v>0</v>
      </c>
      <c r="AK420" s="6">
        <f>IFERROR(N420*O420*(1-AJ420), "NA")</f>
        <v>21962.400000000001</v>
      </c>
      <c r="AL420" s="6">
        <f>IFERROR(AK420-R420,"NA")</f>
        <v>6630.4100000000017</v>
      </c>
      <c r="AM420" s="5">
        <f t="shared" si="30"/>
        <v>0.3018982442720286</v>
      </c>
      <c r="AN420" t="str">
        <v>11-09-24</v>
      </c>
      <c r="AO420" t="str">
        <v>invalid date</v>
      </c>
      <c r="AP420" t="str">
        <f t="shared" si="31"/>
        <v>September</v>
      </c>
      <c r="AQ420" t="str">
        <f t="shared" si="32"/>
        <v>2024</v>
      </c>
      <c r="AR420" t="str">
        <f t="shared" si="33"/>
        <v>Invalid</v>
      </c>
      <c r="AS420" t="str">
        <f t="shared" si="34"/>
        <v>invalid date</v>
      </c>
      <c r="AT420" t="str">
        <f>IF(COUNTIFS( $A:$A,A420,$B:$B,B420,$C:$C,C420,$D:$D,D420,$E:$E,E420,$F:$F,F420,$G:$G,G420,$H:$H,H420,$I:$I,I420,$J:$J,J420,$K:$K,K420,$L:$L,L420,$M:$M,M420,$T:$T,T420,$U:$U,U420,$W:$W,W420,$Z:$Z,Z420,$AA:$AA,AA420,$AB:$AB,AB420,$AC:$AC,AC420,$AD:$AD,AD420,$AE:$AE,AE420,$AF:$AF,AF420,$AG:$AG,AG420,$AH:$AH,AH420,$AI:$AI,AI420)&gt;1,"Duplicate","Unique")</f>
        <v>Unique</v>
      </c>
    </row>
    <row r="421" spans="1:46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  <c r="W421" t="s">
        <v>2068</v>
      </c>
      <c r="Z421" t="s">
        <v>2071</v>
      </c>
      <c r="AA421" t="str">
        <v>Sneha Kapoor</v>
      </c>
      <c r="AB421" t="str">
        <f>TRIM(PROPER(F:F))</f>
        <v>Home Office</v>
      </c>
      <c r="AC421" t="str">
        <f>TRIM(PROPER(G:G))</f>
        <v>North</v>
      </c>
      <c r="AD421" t="str">
        <f>TRIM(PROPER(H:H))</f>
        <v>Haryana</v>
      </c>
      <c r="AE421" t="str">
        <f>TRIM(PROPER(I:I))</f>
        <v>Gurugram</v>
      </c>
      <c r="AF421" t="str">
        <f>TRIM(PROPER(J:J))</f>
        <v>Technology</v>
      </c>
      <c r="AG421" t="str">
        <f>TRIM(PROPER(K:K))</f>
        <v>Phones</v>
      </c>
      <c r="AH421" t="str">
        <f>TRIM(PROPER(L:L))</f>
        <v>Classic Phones 940</v>
      </c>
      <c r="AI421" t="str">
        <f>TRIM(PROPER(M:M))</f>
        <v>Same Day</v>
      </c>
      <c r="AJ421" s="5">
        <f>IF(OR(P421&lt;0,P421&gt;0.5),"invalid",P421)</f>
        <v>0.05</v>
      </c>
      <c r="AK421" s="6">
        <f>IFERROR(N421*O421*(1-AJ421), "NA")</f>
        <v>1308.777</v>
      </c>
      <c r="AL421" s="6">
        <f>IFERROR(AK421-R421,"NA")</f>
        <v>465.77700000000004</v>
      </c>
      <c r="AM421" s="5">
        <f t="shared" si="30"/>
        <v>0.35588721378813964</v>
      </c>
      <c r="AN421" t="str">
        <v>26-09-25</v>
      </c>
      <c r="AO421" t="str">
        <v>invalid date</v>
      </c>
      <c r="AP421" t="str">
        <f t="shared" si="31"/>
        <v>September</v>
      </c>
      <c r="AQ421" t="str">
        <f t="shared" si="32"/>
        <v>2025</v>
      </c>
      <c r="AR421" t="str">
        <f t="shared" si="33"/>
        <v>Invalid</v>
      </c>
      <c r="AS421" t="str">
        <f t="shared" si="34"/>
        <v>invalid date</v>
      </c>
      <c r="AT421" t="str">
        <f>IF(COUNTIFS( $A:$A,A421,$B:$B,B421,$C:$C,C421,$D:$D,D421,$E:$E,E421,$F:$F,F421,$G:$G,G421,$H:$H,H421,$I:$I,I421,$J:$J,J421,$K:$K,K421,$L:$L,L421,$M:$M,M421,$T:$T,T421,$U:$U,U421,$W:$W,W421,$Z:$Z,Z421,$AA:$AA,AA421,$AB:$AB,AB421,$AC:$AC,AC421,$AD:$AD,AD421,$AE:$AE,AE421,$AF:$AF,AF421,$AG:$AG,AG421,$AH:$AH,AH421,$AI:$AI,AI421)&gt;1,"Duplicate","Unique")</f>
        <v>Unique</v>
      </c>
    </row>
    <row r="422" spans="1:46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  <c r="W422" t="s">
        <v>2073</v>
      </c>
      <c r="Z422" t="s">
        <v>2075</v>
      </c>
      <c r="AA422" t="str">
        <v>Isha Nair</v>
      </c>
      <c r="AB422" t="str">
        <f>TRIM(PROPER(F:F))</f>
        <v>Corporate</v>
      </c>
      <c r="AC422" t="str">
        <f>TRIM(PROPER(G:G))</f>
        <v>South</v>
      </c>
      <c r="AD422" t="str">
        <f>TRIM(PROPER(H:H))</f>
        <v>Tamil Nadu</v>
      </c>
      <c r="AE422" t="str">
        <f>TRIM(PROPER(I:I))</f>
        <v>Chennai</v>
      </c>
      <c r="AF422" t="str">
        <f>TRIM(PROPER(J:J))</f>
        <v>Technology</v>
      </c>
      <c r="AG422" t="str">
        <f>TRIM(PROPER(K:K))</f>
        <v>Machines</v>
      </c>
      <c r="AH422" t="str">
        <f>TRIM(PROPER(L:L))</f>
        <v>Pro Machines 579</v>
      </c>
      <c r="AI422" t="str">
        <f>TRIM(PROPER(M:M))</f>
        <v>Standard Class</v>
      </c>
      <c r="AJ422" s="5">
        <f>IF(OR(P422&lt;0,P422&gt;0.5),"invalid",P422)</f>
        <v>0.25</v>
      </c>
      <c r="AK422" s="6">
        <f>IFERROR(N422*O422*(1-AJ422), "NA")</f>
        <v>1814.9850000000001</v>
      </c>
      <c r="AL422" s="6">
        <f>IFERROR(AK422-R422,"NA")</f>
        <v>694.92500000000018</v>
      </c>
      <c r="AM422" s="5">
        <f t="shared" si="30"/>
        <v>0.38288195219244242</v>
      </c>
      <c r="AN422" t="str">
        <v>18-03-25</v>
      </c>
      <c r="AO422" t="str">
        <v>19-03-25</v>
      </c>
      <c r="AP422" t="str">
        <f t="shared" si="31"/>
        <v>March</v>
      </c>
      <c r="AQ422" t="str">
        <f t="shared" si="32"/>
        <v>2025</v>
      </c>
      <c r="AR422" t="str">
        <f t="shared" si="33"/>
        <v xml:space="preserve"> </v>
      </c>
      <c r="AS422">
        <f t="shared" si="34"/>
        <v>1</v>
      </c>
      <c r="AT422" t="str">
        <f>IF(COUNTIFS( $A:$A,A422,$B:$B,B422,$C:$C,C422,$D:$D,D422,$E:$E,E422,$F:$F,F422,$G:$G,G422,$H:$H,H422,$I:$I,I422,$J:$J,J422,$K:$K,K422,$L:$L,L422,$M:$M,M422,$T:$T,T422,$U:$U,U422,$W:$W,W422,$Z:$Z,Z422,$AA:$AA,AA422,$AB:$AB,AB422,$AC:$AC,AC422,$AD:$AD,AD422,$AE:$AE,AE422,$AF:$AF,AF422,$AG:$AG,AG422,$AH:$AH,AH422,$AI:$AI,AI422)&gt;1,"Duplicate","Unique")</f>
        <v>Unique</v>
      </c>
    </row>
    <row r="423" spans="1:46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  <c r="W423" t="s">
        <v>2077</v>
      </c>
      <c r="Z423" t="s">
        <v>2080</v>
      </c>
      <c r="AA423" t="str">
        <v>Rohan Mehta</v>
      </c>
      <c r="AB423" t="str">
        <f>TRIM(PROPER(F:F))</f>
        <v>Small Business</v>
      </c>
      <c r="AC423" t="str">
        <f>TRIM(PROPER(G:G))</f>
        <v>North</v>
      </c>
      <c r="AD423" t="str">
        <f>TRIM(PROPER(H:H))</f>
        <v>Delhi</v>
      </c>
      <c r="AE423" t="str">
        <f>TRIM(PROPER(I:I))</f>
        <v>New Delhi</v>
      </c>
      <c r="AF423" t="str">
        <f>TRIM(PROPER(J:J))</f>
        <v>Office Supplies</v>
      </c>
      <c r="AG423" t="str">
        <f>TRIM(PROPER(K:K))</f>
        <v>Binders</v>
      </c>
      <c r="AH423" t="str">
        <f>TRIM(PROPER(L:L))</f>
        <v>Elite Binders 943</v>
      </c>
      <c r="AI423" t="str">
        <f>TRIM(PROPER(M:M))</f>
        <v>Same Day</v>
      </c>
      <c r="AJ423" s="5">
        <f>IF(OR(P423&lt;0,P423&gt;0.5),"invalid",P423)</f>
        <v>0.2</v>
      </c>
      <c r="AK423" s="6">
        <f>IFERROR(N423*O423*(1-AJ423), "NA")</f>
        <v>2489.8800000000006</v>
      </c>
      <c r="AL423" s="6">
        <f>IFERROR(AK423-R423,"NA")</f>
        <v>782.36000000000058</v>
      </c>
      <c r="AM423" s="5">
        <f t="shared" si="30"/>
        <v>0.31421594615001541</v>
      </c>
      <c r="AN423" t="str">
        <v>invalid date</v>
      </c>
      <c r="AO423" t="str">
        <v>19-06-25</v>
      </c>
      <c r="AP423" t="str">
        <f t="shared" si="31"/>
        <v>invalid date</v>
      </c>
      <c r="AQ423" t="str">
        <f t="shared" si="32"/>
        <v>invalid date</v>
      </c>
      <c r="AR423" t="str">
        <f t="shared" si="33"/>
        <v>Invalid</v>
      </c>
      <c r="AS423" t="str">
        <f t="shared" si="34"/>
        <v>invalid date</v>
      </c>
      <c r="AT423" t="str">
        <f>IF(COUNTIFS( $A:$A,A423,$B:$B,B423,$C:$C,C423,$D:$D,D423,$E:$E,E423,$F:$F,F423,$G:$G,G423,$H:$H,H423,$I:$I,I423,$J:$J,J423,$K:$K,K423,$L:$L,L423,$M:$M,M423,$T:$T,T423,$U:$U,U423,$W:$W,W423,$Z:$Z,Z423,$AA:$AA,AA423,$AB:$AB,AB423,$AC:$AC,AC423,$AD:$AD,AD423,$AE:$AE,AE423,$AF:$AF,AF423,$AG:$AG,AG423,$AH:$AH,AH423,$AI:$AI,AI423)&gt;1,"Duplicate","Unique")</f>
        <v>Unique</v>
      </c>
    </row>
    <row r="424" spans="1:46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  <c r="W424" t="s">
        <v>2082</v>
      </c>
      <c r="Z424" t="s">
        <v>2085</v>
      </c>
      <c r="AA424" t="str">
        <v>Kabir Singh</v>
      </c>
      <c r="AB424" t="str">
        <f>TRIM(PROPER(F:F))</f>
        <v>Consumer</v>
      </c>
      <c r="AC424" t="str">
        <f>TRIM(PROPER(G:G))</f>
        <v>West</v>
      </c>
      <c r="AD424" t="str">
        <f>TRIM(PROPER(H:H))</f>
        <v>Madhya Pradesh</v>
      </c>
      <c r="AE424" t="str">
        <f>TRIM(PROPER(I:I))</f>
        <v>Indore</v>
      </c>
      <c r="AF424" t="str">
        <f>TRIM(PROPER(J:J))</f>
        <v>Technology</v>
      </c>
      <c r="AG424" t="str">
        <f>TRIM(PROPER(K:K))</f>
        <v>Copiers</v>
      </c>
      <c r="AH424" t="str">
        <f>TRIM(PROPER(L:L))</f>
        <v>Elite Copiers 474</v>
      </c>
      <c r="AI424" t="str">
        <f>TRIM(PROPER(M:M))</f>
        <v>Same Day</v>
      </c>
      <c r="AJ424" s="5">
        <f>IF(OR(P424&lt;0,P424&gt;0.5),"invalid",P424)</f>
        <v>0.15</v>
      </c>
      <c r="AK424" s="6">
        <f>IFERROR(N424*O424*(1-AJ424), "NA")</f>
        <v>4098.6574999999993</v>
      </c>
      <c r="AL424" s="6">
        <f>IFERROR(AK424-R424,"NA")</f>
        <v>1420.5974999999994</v>
      </c>
      <c r="AM424" s="5">
        <f t="shared" si="30"/>
        <v>0.34660068571233377</v>
      </c>
      <c r="AN424" t="str">
        <v>09-03-25</v>
      </c>
      <c r="AO424" t="str">
        <v>06-09-25</v>
      </c>
      <c r="AP424" t="str">
        <f t="shared" si="31"/>
        <v>March</v>
      </c>
      <c r="AQ424" t="str">
        <f t="shared" si="32"/>
        <v>2025</v>
      </c>
      <c r="AR424" t="str">
        <f t="shared" si="33"/>
        <v>anomaly</v>
      </c>
      <c r="AS424">
        <f t="shared" si="34"/>
        <v>181</v>
      </c>
      <c r="AT424" t="str">
        <f>IF(COUNTIFS( $A:$A,A424,$B:$B,B424,$C:$C,C424,$D:$D,D424,$E:$E,E424,$F:$F,F424,$G:$G,G424,$H:$H,H424,$I:$I,I424,$J:$J,J424,$K:$K,K424,$L:$L,L424,$M:$M,M424,$T:$T,T424,$U:$U,U424,$W:$W,W424,$Z:$Z,Z424,$AA:$AA,AA424,$AB:$AB,AB424,$AC:$AC,AC424,$AD:$AD,AD424,$AE:$AE,AE424,$AF:$AF,AF424,$AG:$AG,AG424,$AH:$AH,AH424,$AI:$AI,AI424)&gt;1,"Duplicate","Unique")</f>
        <v>Unique</v>
      </c>
    </row>
    <row r="425" spans="1:46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  <c r="W425" t="s">
        <v>2087</v>
      </c>
      <c r="Z425" t="s">
        <v>2090</v>
      </c>
      <c r="AA425" t="str">
        <v>Diya Patel</v>
      </c>
      <c r="AB425" t="str">
        <f>TRIM(PROPER(F:F))</f>
        <v>Consumer</v>
      </c>
      <c r="AC425" t="str">
        <f>TRIM(PROPER(G:G))</f>
        <v>South</v>
      </c>
      <c r="AD425" t="str">
        <f>TRIM(PROPER(H:H))</f>
        <v>Kerala</v>
      </c>
      <c r="AE425" t="str">
        <f>TRIM(PROPER(I:I))</f>
        <v>Kochi</v>
      </c>
      <c r="AF425" t="str">
        <f>TRIM(PROPER(J:J))</f>
        <v>Technology</v>
      </c>
      <c r="AG425" t="str">
        <f>TRIM(PROPER(K:K))</f>
        <v>Accessories</v>
      </c>
      <c r="AH425" t="str">
        <f>TRIM(PROPER(L:L))</f>
        <v>Prime Accessories 236</v>
      </c>
      <c r="AI425" t="str">
        <f>TRIM(PROPER(M:M))</f>
        <v>First Class</v>
      </c>
      <c r="AJ425" s="5">
        <f>IF(OR(P425&lt;0,P425&gt;0.5),"invalid",P425)</f>
        <v>0.2</v>
      </c>
      <c r="AK425" s="6">
        <f>IFERROR(N425*O425*(1-AJ425), "NA")</f>
        <v>27211.032000000003</v>
      </c>
      <c r="AL425" s="6">
        <f>IFERROR(AK425-R425,"NA")</f>
        <v>9270.6020000000026</v>
      </c>
      <c r="AM425" s="5">
        <f t="shared" si="30"/>
        <v>0.34069277490100347</v>
      </c>
      <c r="AN425" t="str">
        <v>20-02-24</v>
      </c>
      <c r="AO425" t="str">
        <v>27-02-24</v>
      </c>
      <c r="AP425" t="str">
        <f t="shared" si="31"/>
        <v>February</v>
      </c>
      <c r="AQ425" t="str">
        <f t="shared" si="32"/>
        <v>2024</v>
      </c>
      <c r="AR425" t="str">
        <f t="shared" si="33"/>
        <v xml:space="preserve"> </v>
      </c>
      <c r="AS425">
        <f t="shared" si="34"/>
        <v>7</v>
      </c>
      <c r="AT425" t="str">
        <f>IF(COUNTIFS( $A:$A,A425,$B:$B,B425,$C:$C,C425,$D:$D,D425,$E:$E,E425,$F:$F,F425,$G:$G,G425,$H:$H,H425,$I:$I,I425,$J:$J,J425,$K:$K,K425,$L:$L,L425,$M:$M,M425,$T:$T,T425,$U:$U,U425,$W:$W,W425,$Z:$Z,Z425,$AA:$AA,AA425,$AB:$AB,AB425,$AC:$AC,AC425,$AD:$AD,AD425,$AE:$AE,AE425,$AF:$AF,AF425,$AG:$AG,AG425,$AH:$AH,AH425,$AI:$AI,AI425)&gt;1,"Duplicate","Unique")</f>
        <v>Unique</v>
      </c>
    </row>
    <row r="426" spans="1:46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  <c r="W426" t="s">
        <v>2093</v>
      </c>
      <c r="Z426" t="s">
        <v>2096</v>
      </c>
      <c r="AA426" t="str">
        <v>Neha Gupta</v>
      </c>
      <c r="AB426" t="str">
        <f>TRIM(PROPER(F:F))</f>
        <v>Corporate</v>
      </c>
      <c r="AC426" t="str">
        <f>TRIM(PROPER(G:G))</f>
        <v>North</v>
      </c>
      <c r="AD426" t="str">
        <f>TRIM(PROPER(H:H))</f>
        <v>Punjab</v>
      </c>
      <c r="AE426" t="str">
        <f>TRIM(PROPER(I:I))</f>
        <v>Ludhiana</v>
      </c>
      <c r="AF426" t="str">
        <f>TRIM(PROPER(J:J))</f>
        <v>Technology</v>
      </c>
      <c r="AG426" t="str">
        <f>TRIM(PROPER(K:K))</f>
        <v>Phones</v>
      </c>
      <c r="AH426" t="str">
        <f>TRIM(PROPER(L:L))</f>
        <v>Prime Phones 881</v>
      </c>
      <c r="AI426" t="str">
        <f>TRIM(PROPER(M:M))</f>
        <v>Standard Class</v>
      </c>
      <c r="AJ426" s="5">
        <f>IF(OR(P426&lt;0,P426&gt;0.5),"invalid",P426)</f>
        <v>0</v>
      </c>
      <c r="AK426" s="6">
        <f>IFERROR(N426*O426*(1-AJ426), "NA")</f>
        <v>6436.16</v>
      </c>
      <c r="AL426" s="6">
        <f>IFERROR(AK426-R426,"NA")</f>
        <v>2172.33</v>
      </c>
      <c r="AM426" s="5">
        <f t="shared" si="30"/>
        <v>0.33751957689056827</v>
      </c>
      <c r="AN426" t="str">
        <v>invalid date</v>
      </c>
      <c r="AO426" t="str">
        <v>29-06-24</v>
      </c>
      <c r="AP426" t="str">
        <f t="shared" si="31"/>
        <v>invalid date</v>
      </c>
      <c r="AQ426" t="str">
        <f t="shared" si="32"/>
        <v>invalid date</v>
      </c>
      <c r="AR426" t="str">
        <f t="shared" si="33"/>
        <v>Invalid</v>
      </c>
      <c r="AS426" t="str">
        <f t="shared" si="34"/>
        <v>invalid date</v>
      </c>
      <c r="AT426" t="str">
        <f>IF(COUNTIFS( $A:$A,A426,$B:$B,B426,$C:$C,C426,$D:$D,D426,$E:$E,E426,$F:$F,F426,$G:$G,G426,$H:$H,H426,$I:$I,I426,$J:$J,J426,$K:$K,K426,$L:$L,L426,$M:$M,M426,$T:$T,T426,$U:$U,U426,$W:$W,W426,$Z:$Z,Z426,$AA:$AA,AA426,$AB:$AB,AB426,$AC:$AC,AC426,$AD:$AD,AD426,$AE:$AE,AE426,$AF:$AF,AF426,$AG:$AG,AG426,$AH:$AH,AH426,$AI:$AI,AI426)&gt;1,"Duplicate","Unique")</f>
        <v>Unique</v>
      </c>
    </row>
    <row r="427" spans="1:46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  <c r="W427" t="s">
        <v>2098</v>
      </c>
      <c r="Z427" t="s">
        <v>2101</v>
      </c>
      <c r="AA427" t="str">
        <v>Isha Nair</v>
      </c>
      <c r="AB427" t="str">
        <f>TRIM(PROPER(F:F))</f>
        <v>Home Office</v>
      </c>
      <c r="AC427" t="str">
        <f>TRIM(PROPER(G:G))</f>
        <v>North</v>
      </c>
      <c r="AD427" t="str">
        <f>TRIM(PROPER(H:H))</f>
        <v>Delhi</v>
      </c>
      <c r="AE427" t="str">
        <f>TRIM(PROPER(I:I))</f>
        <v>New Delhi</v>
      </c>
      <c r="AF427" t="str">
        <f>TRIM(PROPER(J:J))</f>
        <v>Office Supplies</v>
      </c>
      <c r="AG427" t="str">
        <f>TRIM(PROPER(K:K))</f>
        <v>Labels</v>
      </c>
      <c r="AH427" t="str">
        <f>TRIM(PROPER(L:L))</f>
        <v>Pro Labels 903</v>
      </c>
      <c r="AI427" t="str">
        <f>TRIM(PROPER(M:M))</f>
        <v>First Class</v>
      </c>
      <c r="AJ427" s="5">
        <f>IF(OR(P427&lt;0,P427&gt;0.5),"invalid",P427)</f>
        <v>0.1</v>
      </c>
      <c r="AK427" s="6">
        <f>IFERROR(N427*O427*(1-AJ427), "NA")</f>
        <v>1918.2420000000002</v>
      </c>
      <c r="AL427" s="6">
        <f>IFERROR(AK427-R427,"NA")</f>
        <v>544.72200000000021</v>
      </c>
      <c r="AM427" s="5">
        <f t="shared" si="30"/>
        <v>0.2839693844676533</v>
      </c>
      <c r="AN427" t="str">
        <v>26-09-24</v>
      </c>
      <c r="AO427" t="str">
        <v>invalid date</v>
      </c>
      <c r="AP427" t="str">
        <f t="shared" si="31"/>
        <v>September</v>
      </c>
      <c r="AQ427" t="str">
        <f t="shared" si="32"/>
        <v>2024</v>
      </c>
      <c r="AR427" t="str">
        <f t="shared" si="33"/>
        <v>Invalid</v>
      </c>
      <c r="AS427" t="str">
        <f t="shared" si="34"/>
        <v>invalid date</v>
      </c>
      <c r="AT427" t="str">
        <f>IF(COUNTIFS( $A:$A,A427,$B:$B,B427,$C:$C,C427,$D:$D,D427,$E:$E,E427,$F:$F,F427,$G:$G,G427,$H:$H,H427,$I:$I,I427,$J:$J,J427,$K:$K,K427,$L:$L,L427,$M:$M,M427,$T:$T,T427,$U:$U,U427,$W:$W,W427,$Z:$Z,Z427,$AA:$AA,AA427,$AB:$AB,AB427,$AC:$AC,AC427,$AD:$AD,AD427,$AE:$AE,AE427,$AF:$AF,AF427,$AG:$AG,AG427,$AH:$AH,AH427,$AI:$AI,AI427)&gt;1,"Duplicate","Unique")</f>
        <v>Unique</v>
      </c>
    </row>
    <row r="428" spans="1:46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  <c r="W428" t="s">
        <v>2103</v>
      </c>
      <c r="Z428" t="s">
        <v>2106</v>
      </c>
      <c r="AA428" t="str">
        <v>Aditi Sen</v>
      </c>
      <c r="AB428" t="str">
        <f>TRIM(PROPER(F:F))</f>
        <v>Consumer</v>
      </c>
      <c r="AC428" t="str">
        <f>TRIM(PROPER(G:G))</f>
        <v>North</v>
      </c>
      <c r="AD428" t="str">
        <f>TRIM(PROPER(H:H))</f>
        <v>Haryana</v>
      </c>
      <c r="AE428" t="str">
        <f>TRIM(PROPER(I:I))</f>
        <v>Gurugram</v>
      </c>
      <c r="AF428" t="str">
        <f>TRIM(PROPER(J:J))</f>
        <v>Technology</v>
      </c>
      <c r="AG428" t="str">
        <f>TRIM(PROPER(K:K))</f>
        <v>Copiers</v>
      </c>
      <c r="AH428" t="str">
        <f>TRIM(PROPER(L:L))</f>
        <v>Max Copiers 402</v>
      </c>
      <c r="AI428" t="str">
        <f>TRIM(PROPER(M:M))</f>
        <v>Same Day</v>
      </c>
      <c r="AJ428" s="5">
        <f>IF(OR(P428&lt;0,P428&gt;0.5),"invalid",P428)</f>
        <v>0.1</v>
      </c>
      <c r="AK428" s="6">
        <f>IFERROR(N428*O428*(1-AJ428), "NA")</f>
        <v>27047.952000000001</v>
      </c>
      <c r="AL428" s="6">
        <f>IFERROR(AK428-R428,"NA")</f>
        <v>8616.6219999999994</v>
      </c>
      <c r="AM428" s="5">
        <f t="shared" si="30"/>
        <v>0.31856837072174626</v>
      </c>
      <c r="AN428" t="str">
        <v>30-06-24</v>
      </c>
      <c r="AO428" t="str">
        <v>01-07-24</v>
      </c>
      <c r="AP428" t="str">
        <f t="shared" si="31"/>
        <v>June</v>
      </c>
      <c r="AQ428" t="str">
        <f t="shared" si="32"/>
        <v>2024</v>
      </c>
      <c r="AR428" t="str">
        <f t="shared" si="33"/>
        <v>anomaly</v>
      </c>
      <c r="AS428">
        <f t="shared" si="34"/>
        <v>1</v>
      </c>
      <c r="AT428" t="str">
        <f>IF(COUNTIFS( $A:$A,A428,$B:$B,B428,$C:$C,C428,$D:$D,D428,$E:$E,E428,$F:$F,F428,$G:$G,G428,$H:$H,H428,$I:$I,I428,$J:$J,J428,$K:$K,K428,$L:$L,L428,$M:$M,M428,$T:$T,T428,$U:$U,U428,$W:$W,W428,$Z:$Z,Z428,$AA:$AA,AA428,$AB:$AB,AB428,$AC:$AC,AC428,$AD:$AD,AD428,$AE:$AE,AE428,$AF:$AF,AF428,$AG:$AG,AG428,$AH:$AH,AH428,$AI:$AI,AI428)&gt;1,"Duplicate","Unique")</f>
        <v>Unique</v>
      </c>
    </row>
    <row r="429" spans="1:46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  <c r="W429" t="s">
        <v>2108</v>
      </c>
      <c r="Z429" t="s">
        <v>2111</v>
      </c>
      <c r="AA429" t="str">
        <v>Isha Nair</v>
      </c>
      <c r="AB429" t="str">
        <f>TRIM(PROPER(F:F))</f>
        <v>Corporate</v>
      </c>
      <c r="AC429" t="s">
        <v>4111</v>
      </c>
      <c r="AD429" t="str">
        <f>TRIM(PROPER(H:H))</f>
        <v>Jharkhand</v>
      </c>
      <c r="AE429" t="str">
        <f>TRIM(PROPER(I:I))</f>
        <v>Ranchi</v>
      </c>
      <c r="AF429" t="str">
        <f>TRIM(PROPER(J:J))</f>
        <v>Technology</v>
      </c>
      <c r="AG429" t="str">
        <f>TRIM(PROPER(K:K))</f>
        <v>Accessories</v>
      </c>
      <c r="AH429" t="str">
        <f>TRIM(PROPER(L:L))</f>
        <v>Prime Accessories 419</v>
      </c>
      <c r="AI429" t="str">
        <f>TRIM(PROPER(M:M))</f>
        <v>Standard Class</v>
      </c>
      <c r="AJ429" s="5">
        <f>IF(OR(P429&lt;0,P429&gt;0.5),"invalid",P429)</f>
        <v>0</v>
      </c>
      <c r="AK429" s="6">
        <f>IFERROR(N429*O429*(1-AJ429), "NA")</f>
        <v>26454.959999999999</v>
      </c>
      <c r="AL429" s="6">
        <f>IFERROR(AK429-R429,"NA")</f>
        <v>8824.7099999999991</v>
      </c>
      <c r="AM429" s="5">
        <f t="shared" si="30"/>
        <v>0.33357487594008833</v>
      </c>
      <c r="AN429" t="str">
        <v>22-04-25</v>
      </c>
      <c r="AO429" t="str">
        <v>24-04-25</v>
      </c>
      <c r="AP429" t="str">
        <f t="shared" si="31"/>
        <v>April</v>
      </c>
      <c r="AQ429" t="str">
        <f t="shared" si="32"/>
        <v>2025</v>
      </c>
      <c r="AR429" t="str">
        <f t="shared" si="33"/>
        <v xml:space="preserve"> </v>
      </c>
      <c r="AS429">
        <f t="shared" si="34"/>
        <v>2</v>
      </c>
      <c r="AT429" t="str">
        <f>IF(COUNTIFS( $A:$A,A429,$B:$B,B429,$C:$C,C429,$D:$D,D429,$E:$E,E429,$F:$F,F429,$G:$G,G429,$H:$H,H429,$I:$I,I429,$J:$J,J429,$K:$K,K429,$L:$L,L429,$M:$M,M429,$T:$T,T429,$U:$U,U429,$W:$W,W429,$Z:$Z,Z429,$AA:$AA,AA429,$AB:$AB,AB429,$AC:$AC,AC429,$AD:$AD,AD429,$AE:$AE,AE429,$AF:$AF,AF429,$AG:$AG,AG429,$AH:$AH,AH429,$AI:$AI,AI429)&gt;1,"Duplicate","Unique")</f>
        <v>Unique</v>
      </c>
    </row>
    <row r="430" spans="1:46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  <c r="W430" t="s">
        <v>2113</v>
      </c>
      <c r="Z430" t="s">
        <v>2116</v>
      </c>
      <c r="AA430" t="str">
        <v>Karan Malhotra</v>
      </c>
      <c r="AB430" t="str">
        <f>TRIM(PROPER(F:F))</f>
        <v>Small Business</v>
      </c>
      <c r="AC430" t="str">
        <f>TRIM(PROPER(G:G))</f>
        <v>East</v>
      </c>
      <c r="AD430" t="str">
        <f>TRIM(PROPER(H:H))</f>
        <v>West Bengal</v>
      </c>
      <c r="AE430" t="str">
        <f>TRIM(PROPER(I:I))</f>
        <v>Kolkata</v>
      </c>
      <c r="AF430" t="str">
        <f>TRIM(PROPER(J:J))</f>
        <v>Technology</v>
      </c>
      <c r="AG430" t="str">
        <f>TRIM(PROPER(K:K))</f>
        <v>Phones</v>
      </c>
      <c r="AH430" t="str">
        <f>TRIM(PROPER(L:L))</f>
        <v>Elite Phones 488</v>
      </c>
      <c r="AI430" t="str">
        <f>TRIM(PROPER(M:M))</f>
        <v>Same Day</v>
      </c>
      <c r="AJ430" s="5">
        <f>IF(OR(P430&lt;0,P430&gt;0.5),"invalid",P430)</f>
        <v>0.25</v>
      </c>
      <c r="AK430" s="6">
        <f>IFERROR(N430*O430*(1-AJ430), "NA")</f>
        <v>1853.895</v>
      </c>
      <c r="AL430" s="6">
        <f>IFERROR(AK430-R430,"NA")</f>
        <v>752.66499999999996</v>
      </c>
      <c r="AM430" s="5">
        <f t="shared" si="30"/>
        <v>0.40599116994220275</v>
      </c>
      <c r="AN430" t="str">
        <v>15-03-25</v>
      </c>
      <c r="AO430" t="str">
        <v>22-03-25</v>
      </c>
      <c r="AP430" t="str">
        <f t="shared" si="31"/>
        <v>March</v>
      </c>
      <c r="AQ430" t="str">
        <f t="shared" si="32"/>
        <v>2025</v>
      </c>
      <c r="AR430" t="str">
        <f t="shared" si="33"/>
        <v xml:space="preserve"> </v>
      </c>
      <c r="AS430">
        <f t="shared" si="34"/>
        <v>7</v>
      </c>
      <c r="AT430" t="str">
        <f>IF(COUNTIFS( $A:$A,A430,$B:$B,B430,$C:$C,C430,$D:$D,D430,$E:$E,E430,$F:$F,F430,$G:$G,G430,$H:$H,H430,$I:$I,I430,$J:$J,J430,$K:$K,K430,$L:$L,L430,$M:$M,M430,$T:$T,T430,$U:$U,U430,$W:$W,W430,$Z:$Z,Z430,$AA:$AA,AA430,$AB:$AB,AB430,$AC:$AC,AC430,$AD:$AD,AD430,$AE:$AE,AE430,$AF:$AF,AF430,$AG:$AG,AG430,$AH:$AH,AH430,$AI:$AI,AI430)&gt;1,"Duplicate","Unique")</f>
        <v>Unique</v>
      </c>
    </row>
    <row r="431" spans="1:46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  <c r="W431" t="s">
        <v>2118</v>
      </c>
      <c r="Z431" t="s">
        <v>2121</v>
      </c>
      <c r="AA431" t="str">
        <v>Neha Gupta</v>
      </c>
      <c r="AB431" t="str">
        <f>TRIM(PROPER(F:F))</f>
        <v>Home Office</v>
      </c>
      <c r="AC431" t="str">
        <f>TRIM(PROPER(G:G))</f>
        <v>North</v>
      </c>
      <c r="AD431" t="str">
        <f>TRIM(PROPER(H:H))</f>
        <v>Rajasthan</v>
      </c>
      <c r="AE431" t="str">
        <f>TRIM(PROPER(I:I))</f>
        <v>Jaipur</v>
      </c>
      <c r="AF431" t="str">
        <f>TRIM(PROPER(J:J))</f>
        <v>Technology</v>
      </c>
      <c r="AG431" t="str">
        <f>TRIM(PROPER(K:K))</f>
        <v>Copiers</v>
      </c>
      <c r="AH431" t="str">
        <f>TRIM(PROPER(L:L))</f>
        <v>Prime Copiers 109</v>
      </c>
      <c r="AI431" t="str">
        <f>TRIM(PROPER(M:M))</f>
        <v>Same Day</v>
      </c>
      <c r="AJ431" s="5">
        <f>IF(OR(P431&lt;0,P431&gt;0.5),"invalid",P431)</f>
        <v>0.25</v>
      </c>
      <c r="AK431" s="6">
        <f>IFERROR(N431*O431*(1-AJ431), "NA")</f>
        <v>17658.599999999999</v>
      </c>
      <c r="AL431" s="6">
        <f>IFERROR(AK431-R431,"NA")</f>
        <v>3816.119999999999</v>
      </c>
      <c r="AM431" s="5">
        <f t="shared" si="30"/>
        <v>0.2161054670245659</v>
      </c>
      <c r="AN431" t="str">
        <v>01-03-25</v>
      </c>
      <c r="AO431" t="str">
        <v>08-03-25</v>
      </c>
      <c r="AP431" t="str">
        <f t="shared" si="31"/>
        <v>March</v>
      </c>
      <c r="AQ431" t="str">
        <f t="shared" si="32"/>
        <v>2025</v>
      </c>
      <c r="AR431" t="str">
        <f t="shared" si="33"/>
        <v xml:space="preserve"> </v>
      </c>
      <c r="AS431">
        <f t="shared" si="34"/>
        <v>7</v>
      </c>
      <c r="AT431" t="str">
        <f>IF(COUNTIFS( $A:$A,A431,$B:$B,B431,$C:$C,C431,$D:$D,D431,$E:$E,E431,$F:$F,F431,$G:$G,G431,$H:$H,H431,$I:$I,I431,$J:$J,J431,$K:$K,K431,$L:$L,L431,$M:$M,M431,$T:$T,T431,$U:$U,U431,$W:$W,W431,$Z:$Z,Z431,$AA:$AA,AA431,$AB:$AB,AB431,$AC:$AC,AC431,$AD:$AD,AD431,$AE:$AE,AE431,$AF:$AF,AF431,$AG:$AG,AG431,$AH:$AH,AH431,$AI:$AI,AI431)&gt;1,"Duplicate","Unique")</f>
        <v>Unique</v>
      </c>
    </row>
    <row r="432" spans="1:46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  <c r="W432" t="s">
        <v>2123</v>
      </c>
      <c r="Z432" t="s">
        <v>2126</v>
      </c>
      <c r="AA432" t="str">
        <v>Neha Gupta</v>
      </c>
      <c r="AB432" t="str">
        <f>TRIM(PROPER(F:F))</f>
        <v>Small Business</v>
      </c>
      <c r="AC432" t="str">
        <f>TRIM(PROPER(G:G))</f>
        <v>North</v>
      </c>
      <c r="AD432" t="str">
        <f>TRIM(PROPER(H:H))</f>
        <v>Haryana</v>
      </c>
      <c r="AE432" t="str">
        <f>TRIM(PROPER(I:I))</f>
        <v>Gurugram</v>
      </c>
      <c r="AF432" t="str">
        <f>TRIM(PROPER(J:J))</f>
        <v>Office Supplies</v>
      </c>
      <c r="AG432" t="str">
        <f>TRIM(PROPER(K:K))</f>
        <v>Paper</v>
      </c>
      <c r="AH432" t="str">
        <f>TRIM(PROPER(L:L))</f>
        <v>Max Paper 576</v>
      </c>
      <c r="AI432" t="str">
        <f>TRIM(PROPER(M:M))</f>
        <v>Second Class</v>
      </c>
      <c r="AJ432" s="5">
        <f>IF(OR(P432&lt;0,P432&gt;0.5),"invalid",P432)</f>
        <v>0.15</v>
      </c>
      <c r="AK432" s="6">
        <f>IFERROR(N432*O432*(1-AJ432), "NA")</f>
        <v>3672.7139999999999</v>
      </c>
      <c r="AL432" s="6">
        <f>IFERROR(AK432-R432,"NA")</f>
        <v>958.48399999999992</v>
      </c>
      <c r="AM432" s="5">
        <f t="shared" si="30"/>
        <v>0.26097430946161337</v>
      </c>
      <c r="AN432" t="str">
        <v>30-08-24</v>
      </c>
      <c r="AO432" t="str">
        <v>02-09-24</v>
      </c>
      <c r="AP432" t="str">
        <f t="shared" si="31"/>
        <v>August</v>
      </c>
      <c r="AQ432" t="str">
        <f t="shared" si="32"/>
        <v>2024</v>
      </c>
      <c r="AR432" t="str">
        <f t="shared" si="33"/>
        <v>anomaly</v>
      </c>
      <c r="AS432">
        <f t="shared" si="34"/>
        <v>3</v>
      </c>
      <c r="AT432" t="str">
        <f>IF(COUNTIFS( $A:$A,A432,$B:$B,B432,$C:$C,C432,$D:$D,D432,$E:$E,E432,$F:$F,F432,$G:$G,G432,$H:$H,H432,$I:$I,I432,$J:$J,J432,$K:$K,K432,$L:$L,L432,$M:$M,M432,$T:$T,T432,$U:$U,U432,$W:$W,W432,$Z:$Z,Z432,$AA:$AA,AA432,$AB:$AB,AB432,$AC:$AC,AC432,$AD:$AD,AD432,$AE:$AE,AE432,$AF:$AF,AF432,$AG:$AG,AG432,$AH:$AH,AH432,$AI:$AI,AI432)&gt;1,"Duplicate","Unique")</f>
        <v>Unique</v>
      </c>
    </row>
    <row r="433" spans="1:46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  <c r="W433" t="s">
        <v>2128</v>
      </c>
      <c r="Z433" t="s">
        <v>2131</v>
      </c>
      <c r="AA433" t="str">
        <v>Karan Malhotra</v>
      </c>
      <c r="AB433" t="str">
        <f>TRIM(PROPER(F:F))</f>
        <v>Home Office</v>
      </c>
      <c r="AC433" t="str">
        <f>TRIM(PROPER(G:G))</f>
        <v>West</v>
      </c>
      <c r="AD433" t="str">
        <f>TRIM(PROPER(H:H))</f>
        <v>Goa</v>
      </c>
      <c r="AE433" t="str">
        <f>TRIM(PROPER(I:I))</f>
        <v>Panaji</v>
      </c>
      <c r="AF433" t="str">
        <f>TRIM(PROPER(J:J))</f>
        <v>Technology</v>
      </c>
      <c r="AG433" t="str">
        <f>TRIM(PROPER(K:K))</f>
        <v>Machines</v>
      </c>
      <c r="AH433" t="str">
        <f>TRIM(PROPER(L:L))</f>
        <v>Max Machines 412</v>
      </c>
      <c r="AI433" t="str">
        <f>TRIM(PROPER(M:M))</f>
        <v>Same Day</v>
      </c>
      <c r="AJ433" s="5">
        <f>IF(OR(P433&lt;0,P433&gt;0.5),"invalid",P433)</f>
        <v>0.25</v>
      </c>
      <c r="AK433" s="6">
        <f>IFERROR(N433*O433*(1-AJ433), "NA")</f>
        <v>6177.6749999999993</v>
      </c>
      <c r="AL433" s="6">
        <f>IFERROR(AK433-R433,"NA")</f>
        <v>1656.9249999999993</v>
      </c>
      <c r="AM433" s="5">
        <f t="shared" si="30"/>
        <v>0.26821174632851347</v>
      </c>
      <c r="AN433" t="str">
        <v>10-02-24</v>
      </c>
      <c r="AO433" t="str">
        <v>invalid date</v>
      </c>
      <c r="AP433" t="str">
        <f t="shared" si="31"/>
        <v>February</v>
      </c>
      <c r="AQ433" t="str">
        <f t="shared" si="32"/>
        <v>2024</v>
      </c>
      <c r="AR433" t="str">
        <f t="shared" si="33"/>
        <v>Invalid</v>
      </c>
      <c r="AS433" t="str">
        <f t="shared" si="34"/>
        <v>invalid date</v>
      </c>
      <c r="AT433" t="str">
        <f>IF(COUNTIFS( $A:$A,A433,$B:$B,B433,$C:$C,C433,$D:$D,D433,$E:$E,E433,$F:$F,F433,$G:$G,G433,$H:$H,H433,$I:$I,I433,$J:$J,J433,$K:$K,K433,$L:$L,L433,$M:$M,M433,$T:$T,T433,$U:$U,U433,$W:$W,W433,$Z:$Z,Z433,$AA:$AA,AA433,$AB:$AB,AB433,$AC:$AC,AC433,$AD:$AD,AD433,$AE:$AE,AE433,$AF:$AF,AF433,$AG:$AG,AG433,$AH:$AH,AH433,$AI:$AI,AI433)&gt;1,"Duplicate","Unique")</f>
        <v>Unique</v>
      </c>
    </row>
    <row r="434" spans="1:46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  <c r="W434" t="s">
        <v>2133</v>
      </c>
      <c r="Z434" t="s">
        <v>2134</v>
      </c>
      <c r="AA434" t="str">
        <v>Priya Menon</v>
      </c>
      <c r="AB434" t="str">
        <f>TRIM(PROPER(F:F))</f>
        <v>Small Business</v>
      </c>
      <c r="AC434" t="str">
        <f>TRIM(PROPER(G:G))</f>
        <v>West</v>
      </c>
      <c r="AD434" t="str">
        <f>TRIM(PROPER(H:H))</f>
        <v>Maharashtra</v>
      </c>
      <c r="AE434" t="str">
        <f>TRIM(PROPER(I:I))</f>
        <v>Mumbai</v>
      </c>
      <c r="AF434" t="str">
        <f>TRIM(PROPER(J:J))</f>
        <v>Furniture</v>
      </c>
      <c r="AG434" t="str">
        <f>TRIM(PROPER(K:K))</f>
        <v>Bookcases</v>
      </c>
      <c r="AH434" t="str">
        <f>TRIM(PROPER(L:L))</f>
        <v>Classic Bookcases 291</v>
      </c>
      <c r="AI434" t="str">
        <f>TRIM(PROPER(M:M))</f>
        <v>Standard Class</v>
      </c>
      <c r="AJ434" s="5">
        <f>IF(OR(P434&lt;0,P434&gt;0.5),"invalid",P434)</f>
        <v>0.05</v>
      </c>
      <c r="AK434" s="6">
        <f>IFERROR(N434*O434*(1-AJ434), "NA")</f>
        <v>985.07400000000007</v>
      </c>
      <c r="AL434" s="6">
        <f>IFERROR(AK434-R434,"NA")</f>
        <v>140.59400000000005</v>
      </c>
      <c r="AM434" s="5">
        <f t="shared" si="30"/>
        <v>0.14272430294576857</v>
      </c>
      <c r="AN434" t="str">
        <v>invalid date</v>
      </c>
      <c r="AO434" t="str">
        <v>02-09-24</v>
      </c>
      <c r="AP434" t="str">
        <f t="shared" si="31"/>
        <v>invalid date</v>
      </c>
      <c r="AQ434" t="str">
        <f t="shared" si="32"/>
        <v>invalid date</v>
      </c>
      <c r="AR434" t="str">
        <f t="shared" si="33"/>
        <v>Invalid</v>
      </c>
      <c r="AS434" t="str">
        <f t="shared" si="34"/>
        <v>invalid date</v>
      </c>
      <c r="AT434" t="str">
        <f>IF(COUNTIFS( $A:$A,A434,$B:$B,B434,$C:$C,C434,$D:$D,D434,$E:$E,E434,$F:$F,F434,$G:$G,G434,$H:$H,H434,$I:$I,I434,$J:$J,J434,$K:$K,K434,$L:$L,L434,$M:$M,M434,$T:$T,T434,$U:$U,U434,$W:$W,W434,$Z:$Z,Z434,$AA:$AA,AA434,$AB:$AB,AB434,$AC:$AC,AC434,$AD:$AD,AD434,$AE:$AE,AE434,$AF:$AF,AF434,$AG:$AG,AG434,$AH:$AH,AH434,$AI:$AI,AI434)&gt;1,"Duplicate","Unique")</f>
        <v>Unique</v>
      </c>
    </row>
    <row r="435" spans="1:46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  <c r="W435" t="s">
        <v>2136</v>
      </c>
      <c r="Z435" t="s">
        <v>2139</v>
      </c>
      <c r="AA435" t="str">
        <v>Priya Menon</v>
      </c>
      <c r="AB435" t="str">
        <f>TRIM(PROPER(F:F))</f>
        <v>Corporate</v>
      </c>
      <c r="AC435" t="str">
        <f>TRIM(PROPER(G:G))</f>
        <v>South</v>
      </c>
      <c r="AD435" t="str">
        <f>TRIM(PROPER(H:H))</f>
        <v>Kerala</v>
      </c>
      <c r="AE435" t="str">
        <f>TRIM(PROPER(I:I))</f>
        <v>Kochi</v>
      </c>
      <c r="AF435" t="str">
        <f>TRIM(PROPER(J:J))</f>
        <v>Office Supplies</v>
      </c>
      <c r="AG435" t="str">
        <f>TRIM(PROPER(K:K))</f>
        <v>Art</v>
      </c>
      <c r="AH435" t="str">
        <f>TRIM(PROPER(L:L))</f>
        <v>Elite Art 946</v>
      </c>
      <c r="AI435" t="str">
        <f>TRIM(PROPER(M:M))</f>
        <v>Second Class</v>
      </c>
      <c r="AJ435" s="5">
        <f>IF(OR(P435&lt;0,P435&gt;0.5),"invalid",P435)</f>
        <v>0</v>
      </c>
      <c r="AK435" s="6">
        <f>IFERROR(N435*O435*(1-AJ435), "NA")</f>
        <v>6160.88</v>
      </c>
      <c r="AL435" s="6">
        <f>IFERROR(AK435-R435,"NA")</f>
        <v>1222.1800000000003</v>
      </c>
      <c r="AM435" s="5">
        <f t="shared" si="30"/>
        <v>0.19837750451234243</v>
      </c>
      <c r="AN435" t="str">
        <v>invalid date</v>
      </c>
      <c r="AO435" t="str">
        <v>20-04-24</v>
      </c>
      <c r="AP435" t="str">
        <f t="shared" si="31"/>
        <v>invalid date</v>
      </c>
      <c r="AQ435" t="str">
        <f t="shared" si="32"/>
        <v>invalid date</v>
      </c>
      <c r="AR435" t="str">
        <f t="shared" si="33"/>
        <v>Invalid</v>
      </c>
      <c r="AS435" t="str">
        <f t="shared" si="34"/>
        <v>invalid date</v>
      </c>
      <c r="AT435" t="str">
        <f>IF(COUNTIFS( $A:$A,A435,$B:$B,B435,$C:$C,C435,$D:$D,D435,$E:$E,E435,$F:$F,F435,$G:$G,G435,$H:$H,H435,$I:$I,I435,$J:$J,J435,$K:$K,K435,$L:$L,L435,$M:$M,M435,$T:$T,T435,$U:$U,U435,$W:$W,W435,$Z:$Z,Z435,$AA:$AA,AA435,$AB:$AB,AB435,$AC:$AC,AC435,$AD:$AD,AD435,$AE:$AE,AE435,$AF:$AF,AF435,$AG:$AG,AG435,$AH:$AH,AH435,$AI:$AI,AI435)&gt;1,"Duplicate","Unique")</f>
        <v>Unique</v>
      </c>
    </row>
    <row r="436" spans="1:46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  <c r="W436" t="s">
        <v>2141</v>
      </c>
      <c r="Z436" t="s">
        <v>2144</v>
      </c>
      <c r="AA436" t="str">
        <v>Mira Das</v>
      </c>
      <c r="AB436" t="str">
        <f>TRIM(PROPER(F:F))</f>
        <v>Home Office</v>
      </c>
      <c r="AC436" t="str">
        <f>TRIM(PROPER(G:G))</f>
        <v>North</v>
      </c>
      <c r="AD436" t="str">
        <f>TRIM(PROPER(H:H))</f>
        <v>Uttar Pradesh</v>
      </c>
      <c r="AE436" t="str">
        <f>TRIM(PROPER(I:I))</f>
        <v>Noida</v>
      </c>
      <c r="AF436" t="str">
        <f>TRIM(PROPER(J:J))</f>
        <v>Technology</v>
      </c>
      <c r="AG436" t="str">
        <f>TRIM(PROPER(K:K))</f>
        <v>Accessories</v>
      </c>
      <c r="AH436" t="str">
        <f>TRIM(PROPER(L:L))</f>
        <v>Eco Accessories 705</v>
      </c>
      <c r="AI436" t="str">
        <f>TRIM(PROPER(M:M))</f>
        <v>Second Class</v>
      </c>
      <c r="AJ436" s="5">
        <f>IF(OR(P436&lt;0,P436&gt;0.5),"invalid",P436)</f>
        <v>0</v>
      </c>
      <c r="AK436" s="6">
        <f>IFERROR(N436*O436*(1-AJ436), "NA")</f>
        <v>3263.8999999999996</v>
      </c>
      <c r="AL436" s="6">
        <f>IFERROR(AK436-R436,"NA")</f>
        <v>1195.4599999999996</v>
      </c>
      <c r="AM436" s="5">
        <f t="shared" si="30"/>
        <v>0.3662673488771101</v>
      </c>
      <c r="AN436" t="str">
        <v>04-11-25</v>
      </c>
      <c r="AO436" t="str">
        <v>15-04-25</v>
      </c>
      <c r="AP436" t="str">
        <f t="shared" si="31"/>
        <v>November</v>
      </c>
      <c r="AQ436" t="str">
        <f t="shared" si="32"/>
        <v>2025</v>
      </c>
      <c r="AR436" t="str">
        <f t="shared" si="33"/>
        <v xml:space="preserve"> </v>
      </c>
      <c r="AS436">
        <f t="shared" si="34"/>
        <v>-203</v>
      </c>
      <c r="AT436" t="str">
        <f>IF(COUNTIFS( $A:$A,A436,$B:$B,B436,$C:$C,C436,$D:$D,D436,$E:$E,E436,$F:$F,F436,$G:$G,G436,$H:$H,H436,$I:$I,I436,$J:$J,J436,$K:$K,K436,$L:$L,L436,$M:$M,M436,$T:$T,T436,$U:$U,U436,$W:$W,W436,$Z:$Z,Z436,$AA:$AA,AA436,$AB:$AB,AB436,$AC:$AC,AC436,$AD:$AD,AD436,$AE:$AE,AE436,$AF:$AF,AF436,$AG:$AG,AG436,$AH:$AH,AH436,$AI:$AI,AI436)&gt;1,"Duplicate","Unique")</f>
        <v>Unique</v>
      </c>
    </row>
    <row r="437" spans="1:46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  <c r="W437" t="s">
        <v>2146</v>
      </c>
      <c r="Z437" t="s">
        <v>2148</v>
      </c>
      <c r="AA437" t="str">
        <v>Kabir Singh</v>
      </c>
      <c r="AB437" t="str">
        <f>TRIM(PROPER(F:F))</f>
        <v>Home Office</v>
      </c>
      <c r="AC437" t="str">
        <f>TRIM(PROPER(G:G))</f>
        <v>North</v>
      </c>
      <c r="AD437" t="str">
        <f>TRIM(PROPER(H:H))</f>
        <v>Delhi</v>
      </c>
      <c r="AE437" t="str">
        <f>TRIM(PROPER(I:I))</f>
        <v>New Delhi</v>
      </c>
      <c r="AF437" t="str">
        <f>TRIM(PROPER(J:J))</f>
        <v>Technology</v>
      </c>
      <c r="AG437" t="str">
        <f>TRIM(PROPER(K:K))</f>
        <v>Machines</v>
      </c>
      <c r="AH437" t="str">
        <f>TRIM(PROPER(L:L))</f>
        <v>Max Machines 151</v>
      </c>
      <c r="AI437" t="str">
        <f>TRIM(PROPER(M:M))</f>
        <v>Standard Class</v>
      </c>
      <c r="AJ437" s="5">
        <f>IF(OR(P437&lt;0,P437&gt;0.5),"invalid",P437)</f>
        <v>0.15</v>
      </c>
      <c r="AK437" s="6">
        <f>IFERROR(N437*O437*(1-AJ437), "NA")</f>
        <v>2327.0535</v>
      </c>
      <c r="AL437" s="6">
        <f>IFERROR(AK437-R437,"NA")</f>
        <v>407.63349999999991</v>
      </c>
      <c r="AM437" s="5">
        <f t="shared" si="30"/>
        <v>0.17517152055163318</v>
      </c>
      <c r="AN437" t="str">
        <v>12-04-25</v>
      </c>
      <c r="AO437" t="str">
        <v>20-04-25</v>
      </c>
      <c r="AP437" t="str">
        <f t="shared" si="31"/>
        <v>April</v>
      </c>
      <c r="AQ437" t="str">
        <f t="shared" si="32"/>
        <v>2025</v>
      </c>
      <c r="AR437" t="str">
        <f t="shared" si="33"/>
        <v xml:space="preserve"> </v>
      </c>
      <c r="AS437">
        <f t="shared" si="34"/>
        <v>8</v>
      </c>
      <c r="AT437" t="str">
        <f>IF(COUNTIFS( $A:$A,A437,$B:$B,B437,$C:$C,C437,$D:$D,D437,$E:$E,E437,$F:$F,F437,$G:$G,G437,$H:$H,H437,$I:$I,I437,$J:$J,J437,$K:$K,K437,$L:$L,L437,$M:$M,M437,$T:$T,T437,$U:$U,U437,$W:$W,W437,$Z:$Z,Z437,$AA:$AA,AA437,$AB:$AB,AB437,$AC:$AC,AC437,$AD:$AD,AD437,$AE:$AE,AE437,$AF:$AF,AF437,$AG:$AG,AG437,$AH:$AH,AH437,$AI:$AI,AI437)&gt;1,"Duplicate","Unique")</f>
        <v>Unique</v>
      </c>
    </row>
    <row r="438" spans="1:46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  <c r="W438" t="s">
        <v>2150</v>
      </c>
      <c r="Z438" t="s">
        <v>2153</v>
      </c>
      <c r="AA438" t="str">
        <v>Neha Gupta</v>
      </c>
      <c r="AB438" t="str">
        <f>TRIM(PROPER(F:F))</f>
        <v>Consumer</v>
      </c>
      <c r="AC438" t="str">
        <f>TRIM(PROPER(G:G))</f>
        <v>South</v>
      </c>
      <c r="AD438" t="str">
        <f>TRIM(PROPER(H:H))</f>
        <v>Kerala</v>
      </c>
      <c r="AE438" t="str">
        <f>TRIM(PROPER(I:I))</f>
        <v>Kochi</v>
      </c>
      <c r="AF438" t="str">
        <f>TRIM(PROPER(J:J))</f>
        <v>Furniture</v>
      </c>
      <c r="AG438" t="str">
        <f>TRIM(PROPER(K:K))</f>
        <v>Furnishings</v>
      </c>
      <c r="AH438" t="str">
        <f>TRIM(PROPER(L:L))</f>
        <v>Max Furnishings 803</v>
      </c>
      <c r="AI438" t="str">
        <f>TRIM(PROPER(M:M))</f>
        <v>Same Day</v>
      </c>
      <c r="AJ438" s="5">
        <f>IF(OR(P438&lt;0,P438&gt;0.5),"invalid",P438)</f>
        <v>0.05</v>
      </c>
      <c r="AK438" s="6">
        <f>IFERROR(N438*O438*(1-AJ438), "NA")</f>
        <v>6593.6459999999997</v>
      </c>
      <c r="AL438" s="6">
        <f>IFERROR(AK438-R438,"NA")</f>
        <v>2234.2559999999994</v>
      </c>
      <c r="AM438" s="5">
        <f t="shared" si="30"/>
        <v>0.33884985636171544</v>
      </c>
      <c r="AN438" t="str">
        <v>16-06-24</v>
      </c>
      <c r="AO438" t="str">
        <v>21-06-24</v>
      </c>
      <c r="AP438" t="str">
        <f t="shared" si="31"/>
        <v>June</v>
      </c>
      <c r="AQ438" t="str">
        <f t="shared" si="32"/>
        <v>2024</v>
      </c>
      <c r="AR438" t="str">
        <f t="shared" si="33"/>
        <v xml:space="preserve"> </v>
      </c>
      <c r="AS438">
        <f t="shared" si="34"/>
        <v>5</v>
      </c>
      <c r="AT438" t="str">
        <f>IF(COUNTIFS( $A:$A,A438,$B:$B,B438,$C:$C,C438,$D:$D,D438,$E:$E,E438,$F:$F,F438,$G:$G,G438,$H:$H,H438,$I:$I,I438,$J:$J,J438,$K:$K,K438,$L:$L,L438,$M:$M,M438,$T:$T,T438,$U:$U,U438,$W:$W,W438,$Z:$Z,Z438,$AA:$AA,AA438,$AB:$AB,AB438,$AC:$AC,AC438,$AD:$AD,AD438,$AE:$AE,AE438,$AF:$AF,AF438,$AG:$AG,AG438,$AH:$AH,AH438,$AI:$AI,AI438)&gt;1,"Duplicate","Unique")</f>
        <v>Unique</v>
      </c>
    </row>
    <row r="439" spans="1:46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  <c r="W439" t="s">
        <v>2155</v>
      </c>
      <c r="Z439" t="s">
        <v>2158</v>
      </c>
      <c r="AA439" t="str">
        <v>Aditi Sen</v>
      </c>
      <c r="AB439" t="str">
        <f>TRIM(PROPER(F:F))</f>
        <v>Small Business</v>
      </c>
      <c r="AC439" t="str">
        <f>TRIM(PROPER(G:G))</f>
        <v>South</v>
      </c>
      <c r="AD439" t="str">
        <f>TRIM(PROPER(H:H))</f>
        <v>Kerala</v>
      </c>
      <c r="AE439" t="str">
        <f>TRIM(PROPER(I:I))</f>
        <v>Kochi</v>
      </c>
      <c r="AF439" t="str">
        <f>TRIM(PROPER(J:J))</f>
        <v>Technology</v>
      </c>
      <c r="AG439" t="str">
        <f>TRIM(PROPER(K:K))</f>
        <v>Accessories</v>
      </c>
      <c r="AH439" t="str">
        <f>TRIM(PROPER(L:L))</f>
        <v>Max Accessories 423</v>
      </c>
      <c r="AI439" t="str">
        <f>TRIM(PROPER(M:M))</f>
        <v>Same Day</v>
      </c>
      <c r="AJ439" s="5">
        <f>IF(OR(P439&lt;0,P439&gt;0.5),"invalid",P439)</f>
        <v>0.05</v>
      </c>
      <c r="AK439" s="6">
        <f>IFERROR(N439*O439*(1-AJ439), "NA")</f>
        <v>2886.6319999999996</v>
      </c>
      <c r="AL439" s="6">
        <f>IFERROR(AK439-R439,"NA")</f>
        <v>1298.4019999999996</v>
      </c>
      <c r="AM439" s="5">
        <f t="shared" si="30"/>
        <v>0.44979824238073984</v>
      </c>
      <c r="AN439" t="str">
        <v>15-02-24</v>
      </c>
      <c r="AO439" t="str">
        <v>18-02-24</v>
      </c>
      <c r="AP439" t="str">
        <f t="shared" si="31"/>
        <v>February</v>
      </c>
      <c r="AQ439" t="str">
        <f t="shared" si="32"/>
        <v>2024</v>
      </c>
      <c r="AR439" t="str">
        <f t="shared" si="33"/>
        <v xml:space="preserve"> </v>
      </c>
      <c r="AS439">
        <f t="shared" si="34"/>
        <v>3</v>
      </c>
      <c r="AT439" t="str">
        <f>IF(COUNTIFS( $A:$A,A439,$B:$B,B439,$C:$C,C439,$D:$D,D439,$E:$E,E439,$F:$F,F439,$G:$G,G439,$H:$H,H439,$I:$I,I439,$J:$J,J439,$K:$K,K439,$L:$L,L439,$M:$M,M439,$T:$T,T439,$U:$U,U439,$W:$W,W439,$Z:$Z,Z439,$AA:$AA,AA439,$AB:$AB,AB439,$AC:$AC,AC439,$AD:$AD,AD439,$AE:$AE,AE439,$AF:$AF,AF439,$AG:$AG,AG439,$AH:$AH,AH439,$AI:$AI,AI439)&gt;1,"Duplicate","Unique")</f>
        <v>Unique</v>
      </c>
    </row>
    <row r="440" spans="1:46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  <c r="W440" t="s">
        <v>2160</v>
      </c>
      <c r="Z440" t="s">
        <v>2162</v>
      </c>
      <c r="AA440" t="str">
        <v>Neha Gupta</v>
      </c>
      <c r="AB440" t="str">
        <f>TRIM(PROPER(F:F))</f>
        <v>Corporate</v>
      </c>
      <c r="AC440" t="str">
        <f>TRIM(PROPER(G:G))</f>
        <v>East</v>
      </c>
      <c r="AD440" t="str">
        <f>TRIM(PROPER(H:H))</f>
        <v>Jharkhand</v>
      </c>
      <c r="AE440" t="str">
        <f>TRIM(PROPER(I:I))</f>
        <v>Ranchi</v>
      </c>
      <c r="AF440" t="str">
        <f>TRIM(PROPER(J:J))</f>
        <v>Technology</v>
      </c>
      <c r="AG440" t="str">
        <f>TRIM(PROPER(K:K))</f>
        <v>Phones</v>
      </c>
      <c r="AH440" t="str">
        <f>TRIM(PROPER(L:L))</f>
        <v>Elite Phones 276</v>
      </c>
      <c r="AI440" t="str">
        <f>TRIM(PROPER(M:M))</f>
        <v>Standard Class</v>
      </c>
      <c r="AJ440" s="5">
        <f>IF(OR(P440&lt;0,P440&gt;0.5),"invalid",P440)</f>
        <v>0.2</v>
      </c>
      <c r="AK440" s="6">
        <f>IFERROR(N440*O440*(1-AJ440), "NA")</f>
        <v>1813.1759999999999</v>
      </c>
      <c r="AL440" s="6">
        <f>IFERROR(AK440-R440,"NA")</f>
        <v>449.53599999999983</v>
      </c>
      <c r="AM440" s="5">
        <f t="shared" si="30"/>
        <v>0.24792739370033567</v>
      </c>
      <c r="AN440" t="str">
        <v>07-05-25</v>
      </c>
      <c r="AO440" t="str">
        <v>05-05-25</v>
      </c>
      <c r="AP440" t="str">
        <f t="shared" si="31"/>
        <v>May</v>
      </c>
      <c r="AQ440" t="str">
        <f t="shared" si="32"/>
        <v>2025</v>
      </c>
      <c r="AR440" t="str">
        <f t="shared" si="33"/>
        <v>anomaly</v>
      </c>
      <c r="AS440">
        <f t="shared" si="34"/>
        <v>-2</v>
      </c>
      <c r="AT440" t="str">
        <f>IF(COUNTIFS( $A:$A,A440,$B:$B,B440,$C:$C,C440,$D:$D,D440,$E:$E,E440,$F:$F,F440,$G:$G,G440,$H:$H,H440,$I:$I,I440,$J:$J,J440,$K:$K,K440,$L:$L,L440,$M:$M,M440,$T:$T,T440,$U:$U,U440,$W:$W,W440,$Z:$Z,Z440,$AA:$AA,AA440,$AB:$AB,AB440,$AC:$AC,AC440,$AD:$AD,AD440,$AE:$AE,AE440,$AF:$AF,AF440,$AG:$AG,AG440,$AH:$AH,AH440,$AI:$AI,AI440)&gt;1,"Duplicate","Unique")</f>
        <v>Unique</v>
      </c>
    </row>
    <row r="441" spans="1:46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  <c r="W441" t="s">
        <v>2164</v>
      </c>
      <c r="Z441" t="s">
        <v>2167</v>
      </c>
      <c r="AA441" t="str">
        <v>Aarav Sharma</v>
      </c>
      <c r="AB441" t="str">
        <f>TRIM(PROPER(F:F))</f>
        <v>Home Office</v>
      </c>
      <c r="AC441" t="str">
        <f>TRIM(PROPER(G:G))</f>
        <v>West</v>
      </c>
      <c r="AD441" t="str">
        <f>TRIM(PROPER(H:H))</f>
        <v>Goa</v>
      </c>
      <c r="AE441" t="str">
        <f>TRIM(PROPER(I:I))</f>
        <v>Panaji</v>
      </c>
      <c r="AF441" t="str">
        <f>TRIM(PROPER(J:J))</f>
        <v>Office Supplies</v>
      </c>
      <c r="AG441" t="str">
        <f>TRIM(PROPER(K:K))</f>
        <v>Storage</v>
      </c>
      <c r="AH441" t="str">
        <f>TRIM(PROPER(L:L))</f>
        <v>Smart Storage 287</v>
      </c>
      <c r="AI441" t="str">
        <f>TRIM(PROPER(M:M))</f>
        <v>Same Day</v>
      </c>
      <c r="AJ441" s="5">
        <f>IF(OR(P441&lt;0,P441&gt;0.5),"invalid",P441)</f>
        <v>0</v>
      </c>
      <c r="AK441" s="6">
        <f>IFERROR(N441*O441*(1-AJ441), "NA")</f>
        <v>3326.25</v>
      </c>
      <c r="AL441" s="6">
        <f>IFERROR(AK441-R441,"NA")</f>
        <v>636.88999999999987</v>
      </c>
      <c r="AM441" s="5">
        <f t="shared" si="30"/>
        <v>0.19147388199924836</v>
      </c>
      <c r="AN441" t="str">
        <v>30-06-25</v>
      </c>
      <c r="AO441" t="str">
        <v>03-07-25</v>
      </c>
      <c r="AP441" t="str">
        <f t="shared" si="31"/>
        <v>June</v>
      </c>
      <c r="AQ441" t="str">
        <f t="shared" si="32"/>
        <v>2025</v>
      </c>
      <c r="AR441" t="str">
        <f t="shared" si="33"/>
        <v>anomaly</v>
      </c>
      <c r="AS441">
        <f t="shared" si="34"/>
        <v>3</v>
      </c>
      <c r="AT441" t="str">
        <f>IF(COUNTIFS( $A:$A,A441,$B:$B,B441,$C:$C,C441,$D:$D,D441,$E:$E,E441,$F:$F,F441,$G:$G,G441,$H:$H,H441,$I:$I,I441,$J:$J,J441,$K:$K,K441,$L:$L,L441,$M:$M,M441,$T:$T,T441,$U:$U,U441,$W:$W,W441,$Z:$Z,Z441,$AA:$AA,AA441,$AB:$AB,AB441,$AC:$AC,AC441,$AD:$AD,AD441,$AE:$AE,AE441,$AF:$AF,AF441,$AG:$AG,AG441,$AH:$AH,AH441,$AI:$AI,AI441)&gt;1,"Duplicate","Unique")</f>
        <v>Unique</v>
      </c>
    </row>
    <row r="442" spans="1:46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  <c r="W442" t="s">
        <v>2169</v>
      </c>
      <c r="Z442" t="s">
        <v>376</v>
      </c>
      <c r="AA442" t="str">
        <v>Vikram Iyer</v>
      </c>
      <c r="AB442" t="str">
        <f>TRIM(PROPER(F:F))</f>
        <v>Corporate</v>
      </c>
      <c r="AC442" t="str">
        <f>TRIM(PROPER(G:G))</f>
        <v>East</v>
      </c>
      <c r="AD442" t="str">
        <f>TRIM(PROPER(H:H))</f>
        <v>Odisha</v>
      </c>
      <c r="AE442" t="str">
        <f>TRIM(PROPER(I:I))</f>
        <v>Bhubaneswar</v>
      </c>
      <c r="AF442" t="str">
        <f>TRIM(PROPER(J:J))</f>
        <v>Technology</v>
      </c>
      <c r="AG442" t="str">
        <f>TRIM(PROPER(K:K))</f>
        <v>Machines</v>
      </c>
      <c r="AH442" t="str">
        <f>TRIM(PROPER(L:L))</f>
        <v>Basic Machines 610</v>
      </c>
      <c r="AI442" t="str">
        <f>TRIM(PROPER(M:M))</f>
        <v>Second Class</v>
      </c>
      <c r="AJ442" s="5">
        <f>IF(OR(P442&lt;0,P442&gt;0.5),"invalid",P442)</f>
        <v>0.2</v>
      </c>
      <c r="AK442" s="6">
        <f>IFERROR(N442*O442*(1-AJ442), "NA")</f>
        <v>17869.632000000001</v>
      </c>
      <c r="AL442" s="6">
        <f>IFERROR(AK442-R442,"NA")</f>
        <v>5705.8320000000022</v>
      </c>
      <c r="AM442" s="5">
        <f t="shared" si="30"/>
        <v>0.31930327384469931</v>
      </c>
      <c r="AN442" t="str">
        <v>04-02-24</v>
      </c>
      <c r="AO442" t="str">
        <v>04-08-24</v>
      </c>
      <c r="AP442" t="str">
        <f t="shared" si="31"/>
        <v>February</v>
      </c>
      <c r="AQ442" t="str">
        <f t="shared" si="32"/>
        <v>2024</v>
      </c>
      <c r="AR442" t="str">
        <f t="shared" si="33"/>
        <v xml:space="preserve"> </v>
      </c>
      <c r="AS442">
        <f t="shared" si="34"/>
        <v>182</v>
      </c>
      <c r="AT442" t="str">
        <f>IF(COUNTIFS( $A:$A,A442,$B:$B,B442,$C:$C,C442,$D:$D,D442,$E:$E,E442,$F:$F,F442,$G:$G,G442,$H:$H,H442,$I:$I,I442,$J:$J,J442,$K:$K,K442,$L:$L,L442,$M:$M,M442,$T:$T,T442,$U:$U,U442,$W:$W,W442,$Z:$Z,Z442,$AA:$AA,AA442,$AB:$AB,AB442,$AC:$AC,AC442,$AD:$AD,AD442,$AE:$AE,AE442,$AF:$AF,AF442,$AG:$AG,AG442,$AH:$AH,AH442,$AI:$AI,AI442)&gt;1,"Duplicate","Unique")</f>
        <v>Unique</v>
      </c>
    </row>
    <row r="443" spans="1:46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  <c r="W443" t="s">
        <v>2173</v>
      </c>
      <c r="Z443" t="s">
        <v>2175</v>
      </c>
      <c r="AA443" t="str">
        <v>Karan Malhotra</v>
      </c>
      <c r="AB443" t="str">
        <f>TRIM(PROPER(F:F))</f>
        <v>Consumer</v>
      </c>
      <c r="AC443" t="str">
        <f>TRIM(PROPER(G:G))</f>
        <v>East</v>
      </c>
      <c r="AD443" t="str">
        <f>TRIM(PROPER(H:H))</f>
        <v>Bihar</v>
      </c>
      <c r="AE443" t="str">
        <f>TRIM(PROPER(I:I))</f>
        <v>Patna</v>
      </c>
      <c r="AF443" t="str">
        <f>TRIM(PROPER(J:J))</f>
        <v>Furniture</v>
      </c>
      <c r="AG443" t="str">
        <f>TRIM(PROPER(K:K))</f>
        <v>Bookcases</v>
      </c>
      <c r="AH443" t="str">
        <f>TRIM(PROPER(L:L))</f>
        <v>Elite Bookcases 393</v>
      </c>
      <c r="AI443" t="str">
        <f>TRIM(PROPER(M:M))</f>
        <v>Standard Class</v>
      </c>
      <c r="AJ443" s="5">
        <f>IF(OR(P443&lt;0,P443&gt;0.5),"invalid",P443)</f>
        <v>0</v>
      </c>
      <c r="AK443" s="6">
        <f>IFERROR(N443*O443*(1-AJ443), "NA")</f>
        <v>25304.94</v>
      </c>
      <c r="AL443" s="6">
        <f>IFERROR(AK443-R443,"NA")</f>
        <v>4532.989999999998</v>
      </c>
      <c r="AM443" s="5">
        <f t="shared" si="30"/>
        <v>0.17913458795002077</v>
      </c>
      <c r="AN443" t="str">
        <v>03-10-24</v>
      </c>
      <c r="AO443" t="str">
        <v>03-10-24</v>
      </c>
      <c r="AP443" t="str">
        <f t="shared" si="31"/>
        <v>October</v>
      </c>
      <c r="AQ443" t="str">
        <f t="shared" si="32"/>
        <v>2024</v>
      </c>
      <c r="AR443" t="str">
        <f t="shared" si="33"/>
        <v xml:space="preserve"> </v>
      </c>
      <c r="AS443">
        <f t="shared" si="34"/>
        <v>0</v>
      </c>
      <c r="AT443" t="str">
        <f>IF(COUNTIFS( $A:$A,A443,$B:$B,B443,$C:$C,C443,$D:$D,D443,$E:$E,E443,$F:$F,F443,$G:$G,G443,$H:$H,H443,$I:$I,I443,$J:$J,J443,$K:$K,K443,$L:$L,L443,$M:$M,M443,$T:$T,T443,$U:$U,U443,$W:$W,W443,$Z:$Z,Z443,$AA:$AA,AA443,$AB:$AB,AB443,$AC:$AC,AC443,$AD:$AD,AD443,$AE:$AE,AE443,$AF:$AF,AF443,$AG:$AG,AG443,$AH:$AH,AH443,$AI:$AI,AI443)&gt;1,"Duplicate","Unique")</f>
        <v>Unique</v>
      </c>
    </row>
    <row r="444" spans="1:46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  <c r="W444" t="s">
        <v>2177</v>
      </c>
      <c r="Z444" t="s">
        <v>2180</v>
      </c>
      <c r="AA444" t="str">
        <v>Aarav Sharma</v>
      </c>
      <c r="AB444" t="str">
        <f>TRIM(PROPER(F:F))</f>
        <v>Consumer</v>
      </c>
      <c r="AC444" t="str">
        <f>TRIM(PROPER(G:G))</f>
        <v>East</v>
      </c>
      <c r="AD444" t="str">
        <f>TRIM(PROPER(H:H))</f>
        <v>Jharkhand</v>
      </c>
      <c r="AE444" t="str">
        <f>TRIM(PROPER(I:I))</f>
        <v>Ranchi</v>
      </c>
      <c r="AF444" t="str">
        <f>TRIM(PROPER(J:J))</f>
        <v>Furniture</v>
      </c>
      <c r="AG444" t="str">
        <f>TRIM(PROPER(K:K))</f>
        <v>Tables</v>
      </c>
      <c r="AH444" t="str">
        <f>TRIM(PROPER(L:L))</f>
        <v>Prime Tables 242</v>
      </c>
      <c r="AI444" t="str">
        <f>TRIM(PROPER(M:M))</f>
        <v>First Class</v>
      </c>
      <c r="AJ444" s="5">
        <f>IF(OR(P444&lt;0,P444&gt;0.5),"invalid",P444)</f>
        <v>0</v>
      </c>
      <c r="AK444" s="6">
        <f>IFERROR(N444*O444*(1-AJ444), "NA")</f>
        <v>1842.31</v>
      </c>
      <c r="AL444" s="6">
        <f>IFERROR(AK444-R444,"NA")</f>
        <v>823.14</v>
      </c>
      <c r="AM444" s="5">
        <f t="shared" si="30"/>
        <v>0.44679777019068451</v>
      </c>
      <c r="AN444" t="str">
        <v>12-01-25</v>
      </c>
      <c r="AO444" t="str">
        <v>19-01-25</v>
      </c>
      <c r="AP444" t="str">
        <f t="shared" si="31"/>
        <v>January</v>
      </c>
      <c r="AQ444" t="str">
        <f t="shared" si="32"/>
        <v>2025</v>
      </c>
      <c r="AR444" t="str">
        <f t="shared" si="33"/>
        <v xml:space="preserve"> </v>
      </c>
      <c r="AS444">
        <f t="shared" si="34"/>
        <v>7</v>
      </c>
      <c r="AT444" t="str">
        <f>IF(COUNTIFS( $A:$A,A444,$B:$B,B444,$C:$C,C444,$D:$D,D444,$E:$E,E444,$F:$F,F444,$G:$G,G444,$H:$H,H444,$I:$I,I444,$J:$J,J444,$K:$K,K444,$L:$L,L444,$M:$M,M444,$T:$T,T444,$U:$U,U444,$W:$W,W444,$Z:$Z,Z444,$AA:$AA,AA444,$AB:$AB,AB444,$AC:$AC,AC444,$AD:$AD,AD444,$AE:$AE,AE444,$AF:$AF,AF444,$AG:$AG,AG444,$AH:$AH,AH444,$AI:$AI,AI444)&gt;1,"Duplicate","Unique")</f>
        <v>Unique</v>
      </c>
    </row>
    <row r="445" spans="1:46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  <c r="W445" t="s">
        <v>2182</v>
      </c>
      <c r="Z445" t="s">
        <v>2184</v>
      </c>
      <c r="AA445" t="str">
        <v>Rohan Mehta</v>
      </c>
      <c r="AB445" t="str">
        <f>TRIM(PROPER(F:F))</f>
        <v>Home Office</v>
      </c>
      <c r="AC445" t="str">
        <f>TRIM(PROPER(G:G))</f>
        <v>East</v>
      </c>
      <c r="AD445" t="str">
        <f>TRIM(PROPER(H:H))</f>
        <v>Odisha</v>
      </c>
      <c r="AE445" t="str">
        <f>TRIM(PROPER(I:I))</f>
        <v>Bhubaneswar</v>
      </c>
      <c r="AF445" t="str">
        <f>TRIM(PROPER(J:J))</f>
        <v>Furniture</v>
      </c>
      <c r="AG445" t="str">
        <f>TRIM(PROPER(K:K))</f>
        <v>Furnishings</v>
      </c>
      <c r="AH445" t="str">
        <f>TRIM(PROPER(L:L))</f>
        <v>Basic Furnishings 563</v>
      </c>
      <c r="AI445" t="str">
        <f>TRIM(PROPER(M:M))</f>
        <v>First Class</v>
      </c>
      <c r="AJ445" s="5">
        <f>IF(OR(P445&lt;0,P445&gt;0.5),"invalid",P445)</f>
        <v>0.1</v>
      </c>
      <c r="AK445" s="6">
        <f>IFERROR(N445*O445*(1-AJ445), "NA")</f>
        <v>3315.375</v>
      </c>
      <c r="AL445" s="6">
        <f>IFERROR(AK445-R445,"NA")</f>
        <v>967.69500000000016</v>
      </c>
      <c r="AM445" s="5">
        <f t="shared" si="30"/>
        <v>0.29188100893564084</v>
      </c>
      <c r="AN445" t="str">
        <v>04-04-24</v>
      </c>
      <c r="AO445" t="str">
        <v>07-04-24</v>
      </c>
      <c r="AP445" t="str">
        <f t="shared" si="31"/>
        <v>April</v>
      </c>
      <c r="AQ445" t="str">
        <f t="shared" si="32"/>
        <v>2024</v>
      </c>
      <c r="AR445" t="str">
        <f t="shared" si="33"/>
        <v xml:space="preserve"> </v>
      </c>
      <c r="AS445">
        <f t="shared" si="34"/>
        <v>3</v>
      </c>
      <c r="AT445" t="str">
        <f>IF(COUNTIFS( $A:$A,A445,$B:$B,B445,$C:$C,C445,$D:$D,D445,$E:$E,E445,$F:$F,F445,$G:$G,G445,$H:$H,H445,$I:$I,I445,$J:$J,J445,$K:$K,K445,$L:$L,L445,$M:$M,M445,$T:$T,T445,$U:$U,U445,$W:$W,W445,$Z:$Z,Z445,$AA:$AA,AA445,$AB:$AB,AB445,$AC:$AC,AC445,$AD:$AD,AD445,$AE:$AE,AE445,$AF:$AF,AF445,$AG:$AG,AG445,$AH:$AH,AH445,$AI:$AI,AI445)&gt;1,"Duplicate","Unique")</f>
        <v>Unique</v>
      </c>
    </row>
    <row r="446" spans="1:46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  <c r="W446" t="s">
        <v>2186</v>
      </c>
      <c r="Z446" t="s">
        <v>2188</v>
      </c>
      <c r="AA446" t="str">
        <v>Ananya Rao</v>
      </c>
      <c r="AB446" t="str">
        <f>TRIM(PROPER(F:F))</f>
        <v>Consumer</v>
      </c>
      <c r="AC446" t="str">
        <f>TRIM(PROPER(G:G))</f>
        <v>East</v>
      </c>
      <c r="AD446" t="str">
        <f>TRIM(PROPER(H:H))</f>
        <v>Assam</v>
      </c>
      <c r="AE446" t="str">
        <f>TRIM(PROPER(I:I))</f>
        <v>Guwahati</v>
      </c>
      <c r="AF446" t="str">
        <f>TRIM(PROPER(J:J))</f>
        <v>Technology</v>
      </c>
      <c r="AG446" t="str">
        <f>TRIM(PROPER(K:K))</f>
        <v>Accessories</v>
      </c>
      <c r="AH446" t="str">
        <f>TRIM(PROPER(L:L))</f>
        <v>Prime Accessories 482</v>
      </c>
      <c r="AI446" t="str">
        <f>TRIM(PROPER(M:M))</f>
        <v>Same Day</v>
      </c>
      <c r="AJ446" s="5">
        <f>IF(OR(P446&lt;0,P446&gt;0.5),"invalid",P446)</f>
        <v>0.05</v>
      </c>
      <c r="AK446" s="6">
        <f>IFERROR(N446*O446*(1-AJ446), "NA")</f>
        <v>20342.501999999997</v>
      </c>
      <c r="AL446" s="6">
        <f>IFERROR(AK446-R446,"NA")</f>
        <v>7934.9919999999966</v>
      </c>
      <c r="AM446" s="5">
        <f t="shared" si="30"/>
        <v>0.39006961877157481</v>
      </c>
      <c r="AN446" t="str">
        <v>12-08-25</v>
      </c>
      <c r="AO446" t="str">
        <v>16-08-25</v>
      </c>
      <c r="AP446" t="str">
        <f t="shared" si="31"/>
        <v>August</v>
      </c>
      <c r="AQ446" t="str">
        <f t="shared" si="32"/>
        <v>2025</v>
      </c>
      <c r="AR446" t="str">
        <f t="shared" si="33"/>
        <v xml:space="preserve"> </v>
      </c>
      <c r="AS446">
        <f t="shared" si="34"/>
        <v>4</v>
      </c>
      <c r="AT446" t="str">
        <f>IF(COUNTIFS( $A:$A,A446,$B:$B,B446,$C:$C,C446,$D:$D,D446,$E:$E,E446,$F:$F,F446,$G:$G,G446,$H:$H,H446,$I:$I,I446,$J:$J,J446,$K:$K,K446,$L:$L,L446,$M:$M,M446,$T:$T,T446,$U:$U,U446,$W:$W,W446,$Z:$Z,Z446,$AA:$AA,AA446,$AB:$AB,AB446,$AC:$AC,AC446,$AD:$AD,AD446,$AE:$AE,AE446,$AF:$AF,AF446,$AG:$AG,AG446,$AH:$AH,AH446,$AI:$AI,AI446)&gt;1,"Duplicate","Unique")</f>
        <v>Unique</v>
      </c>
    </row>
    <row r="447" spans="1:46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  <c r="W447" t="s">
        <v>2190</v>
      </c>
      <c r="Z447" t="s">
        <v>2193</v>
      </c>
      <c r="AA447" t="str">
        <v>Arjun Bose</v>
      </c>
      <c r="AB447" t="str">
        <f>TRIM(PROPER(F:F))</f>
        <v>Consumer</v>
      </c>
      <c r="AC447" t="str">
        <f>TRIM(PROPER(G:G))</f>
        <v>East</v>
      </c>
      <c r="AD447" t="str">
        <f>TRIM(PROPER(H:H))</f>
        <v>Assam</v>
      </c>
      <c r="AE447" t="str">
        <f>TRIM(PROPER(I:I))</f>
        <v>Guwahati</v>
      </c>
      <c r="AF447" t="str">
        <f>TRIM(PROPER(J:J))</f>
        <v>Furniture</v>
      </c>
      <c r="AG447" t="str">
        <f>TRIM(PROPER(K:K))</f>
        <v>Bookcases</v>
      </c>
      <c r="AH447" t="str">
        <f>TRIM(PROPER(L:L))</f>
        <v>Eco Bookcases 215</v>
      </c>
      <c r="AI447" t="str">
        <f>TRIM(PROPER(M:M))</f>
        <v>Same Day</v>
      </c>
      <c r="AJ447" s="5">
        <f>IF(OR(P447&lt;0,P447&gt;0.5),"invalid",P447)</f>
        <v>0.2</v>
      </c>
      <c r="AK447" s="6">
        <f>IFERROR(N447*O447*(1-AJ447), "NA")</f>
        <v>3377.9680000000003</v>
      </c>
      <c r="AL447" s="6">
        <f>IFERROR(AK447-R447,"NA")</f>
        <v>881.67800000000034</v>
      </c>
      <c r="AM447" s="5">
        <f t="shared" si="30"/>
        <v>0.26100839321154029</v>
      </c>
      <c r="AN447" t="str">
        <v>05-09-24</v>
      </c>
      <c r="AO447" t="str">
        <v>05-05-24</v>
      </c>
      <c r="AP447" t="str">
        <f t="shared" si="31"/>
        <v>September</v>
      </c>
      <c r="AQ447" t="str">
        <f t="shared" si="32"/>
        <v>2024</v>
      </c>
      <c r="AR447" t="str">
        <f t="shared" si="33"/>
        <v>anomaly</v>
      </c>
      <c r="AS447">
        <f t="shared" si="34"/>
        <v>-123</v>
      </c>
      <c r="AT447" t="str">
        <f>IF(COUNTIFS( $A:$A,A447,$B:$B,B447,$C:$C,C447,$D:$D,D447,$E:$E,E447,$F:$F,F447,$G:$G,G447,$H:$H,H447,$I:$I,I447,$J:$J,J447,$K:$K,K447,$L:$L,L447,$M:$M,M447,$T:$T,T447,$U:$U,U447,$W:$W,W447,$Z:$Z,Z447,$AA:$AA,AA447,$AB:$AB,AB447,$AC:$AC,AC447,$AD:$AD,AD447,$AE:$AE,AE447,$AF:$AF,AF447,$AG:$AG,AG447,$AH:$AH,AH447,$AI:$AI,AI447)&gt;1,"Duplicate","Unique")</f>
        <v>Unique</v>
      </c>
    </row>
    <row r="448" spans="1:46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  <c r="W448" t="s">
        <v>2195</v>
      </c>
      <c r="Z448" t="s">
        <v>2198</v>
      </c>
      <c r="AA448" t="str">
        <v>Sneha Kapoor</v>
      </c>
      <c r="AB448" t="str">
        <f>TRIM(PROPER(F:F))</f>
        <v>Home Office</v>
      </c>
      <c r="AC448" t="str">
        <f>TRIM(PROPER(G:G))</f>
        <v>South</v>
      </c>
      <c r="AD448" t="str">
        <f>TRIM(PROPER(H:H))</f>
        <v>Andhra Pradesh</v>
      </c>
      <c r="AE448" t="str">
        <f>TRIM(PROPER(I:I))</f>
        <v>Vijayawada</v>
      </c>
      <c r="AF448" t="str">
        <f>TRIM(PROPER(J:J))</f>
        <v>Office Supplies</v>
      </c>
      <c r="AG448" t="str">
        <f>TRIM(PROPER(K:K))</f>
        <v>Storage</v>
      </c>
      <c r="AH448" t="str">
        <f>TRIM(PROPER(L:L))</f>
        <v>Eco Storage 793</v>
      </c>
      <c r="AI448" t="str">
        <f>TRIM(PROPER(M:M))</f>
        <v>Same Day</v>
      </c>
      <c r="AJ448" s="5">
        <f>IF(OR(P448&lt;0,P448&gt;0.5),"invalid",P448)</f>
        <v>0</v>
      </c>
      <c r="AK448" s="6">
        <f>IFERROR(N448*O448*(1-AJ448), "NA")</f>
        <v>33940.080000000002</v>
      </c>
      <c r="AL448" s="6">
        <f>IFERROR(AK448-R448,"NA")</f>
        <v>10185.890000000003</v>
      </c>
      <c r="AM448" s="5">
        <f t="shared" si="30"/>
        <v>0.30011390662603044</v>
      </c>
      <c r="AN448" t="str">
        <v>18-09-25</v>
      </c>
      <c r="AO448" t="str">
        <v>19-09-25</v>
      </c>
      <c r="AP448" t="str">
        <f t="shared" si="31"/>
        <v>September</v>
      </c>
      <c r="AQ448" t="str">
        <f t="shared" si="32"/>
        <v>2025</v>
      </c>
      <c r="AR448" t="str">
        <f t="shared" si="33"/>
        <v xml:space="preserve"> </v>
      </c>
      <c r="AS448">
        <f t="shared" si="34"/>
        <v>1</v>
      </c>
      <c r="AT448" t="str">
        <f>IF(COUNTIFS( $A:$A,A448,$B:$B,B448,$C:$C,C448,$D:$D,D448,$E:$E,E448,$F:$F,F448,$G:$G,G448,$H:$H,H448,$I:$I,I448,$J:$J,J448,$K:$K,K448,$L:$L,L448,$M:$M,M448,$T:$T,T448,$U:$U,U448,$W:$W,W448,$Z:$Z,Z448,$AA:$AA,AA448,$AB:$AB,AB448,$AC:$AC,AC448,$AD:$AD,AD448,$AE:$AE,AE448,$AF:$AF,AF448,$AG:$AG,AG448,$AH:$AH,AH448,$AI:$AI,AI448)&gt;1,"Duplicate","Unique")</f>
        <v>Unique</v>
      </c>
    </row>
    <row r="449" spans="1:46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  <c r="W449" t="s">
        <v>2200</v>
      </c>
      <c r="Z449" t="s">
        <v>2202</v>
      </c>
      <c r="AA449" t="str">
        <v>Rohan Mehta</v>
      </c>
      <c r="AB449" t="str">
        <f>TRIM(PROPER(F:F))</f>
        <v>Home Office</v>
      </c>
      <c r="AC449" t="str">
        <f>TRIM(PROPER(G:G))</f>
        <v>South</v>
      </c>
      <c r="AD449" t="str">
        <f>TRIM(PROPER(H:H))</f>
        <v>Telangana</v>
      </c>
      <c r="AE449" t="str">
        <f>TRIM(PROPER(I:I))</f>
        <v>Hyderabad</v>
      </c>
      <c r="AF449" t="str">
        <f>TRIM(PROPER(J:J))</f>
        <v>Furniture</v>
      </c>
      <c r="AG449" t="str">
        <f>TRIM(PROPER(K:K))</f>
        <v>Bookcases</v>
      </c>
      <c r="AH449" t="str">
        <f>TRIM(PROPER(L:L))</f>
        <v>Basic Bookcases 182</v>
      </c>
      <c r="AI449" t="str">
        <f>TRIM(PROPER(M:M))</f>
        <v>Standard Class</v>
      </c>
      <c r="AJ449" s="5">
        <f>IF(OR(P449&lt;0,P449&gt;0.5),"invalid",P449)</f>
        <v>0.15</v>
      </c>
      <c r="AK449" s="6">
        <f>IFERROR(N449*O449*(1-AJ449), "NA")</f>
        <v>21872.369999999995</v>
      </c>
      <c r="AL449" s="6">
        <f>IFERROR(AK449-R449,"NA")</f>
        <v>8042.8699999999953</v>
      </c>
      <c r="AM449" s="5">
        <f t="shared" si="30"/>
        <v>0.36771826738483288</v>
      </c>
      <c r="AN449" t="str">
        <v>10-08-25</v>
      </c>
      <c r="AO449" t="str">
        <v>10-08-25</v>
      </c>
      <c r="AP449" t="str">
        <f t="shared" si="31"/>
        <v>August</v>
      </c>
      <c r="AQ449" t="str">
        <f t="shared" si="32"/>
        <v>2025</v>
      </c>
      <c r="AR449" t="str">
        <f t="shared" si="33"/>
        <v xml:space="preserve"> </v>
      </c>
      <c r="AS449">
        <f t="shared" si="34"/>
        <v>0</v>
      </c>
      <c r="AT449" t="str">
        <f>IF(COUNTIFS( $A:$A,A449,$B:$B,B449,$C:$C,C449,$D:$D,D449,$E:$E,E449,$F:$F,F449,$G:$G,G449,$H:$H,H449,$I:$I,I449,$J:$J,J449,$K:$K,K449,$L:$L,L449,$M:$M,M449,$T:$T,T449,$U:$U,U449,$W:$W,W449,$Z:$Z,Z449,$AA:$AA,AA449,$AB:$AB,AB449,$AC:$AC,AC449,$AD:$AD,AD449,$AE:$AE,AE449,$AF:$AF,AF449,$AG:$AG,AG449,$AH:$AH,AH449,$AI:$AI,AI449)&gt;1,"Duplicate","Unique")</f>
        <v>Unique</v>
      </c>
    </row>
    <row r="450" spans="1:46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  <c r="W450" t="s">
        <v>2204</v>
      </c>
      <c r="Z450" t="s">
        <v>2206</v>
      </c>
      <c r="AA450" t="str">
        <v>Mira Das</v>
      </c>
      <c r="AB450" t="str">
        <f>TRIM(PROPER(F:F))</f>
        <v>Small Business</v>
      </c>
      <c r="AC450" t="str">
        <f>TRIM(PROPER(G:G))</f>
        <v>South</v>
      </c>
      <c r="AD450" t="str">
        <f>TRIM(PROPER(H:H))</f>
        <v>Andhra Pradesh</v>
      </c>
      <c r="AE450" t="str">
        <f>TRIM(PROPER(I:I))</f>
        <v>Vijayawada</v>
      </c>
      <c r="AF450" t="str">
        <f>TRIM(PROPER(J:J))</f>
        <v>Furniture</v>
      </c>
      <c r="AG450" t="str">
        <f>TRIM(PROPER(K:K))</f>
        <v>Chairs</v>
      </c>
      <c r="AH450" t="str">
        <f>TRIM(PROPER(L:L))</f>
        <v>Prime Chairs 631</v>
      </c>
      <c r="AI450" t="str">
        <f>TRIM(PROPER(M:M))</f>
        <v>First Class</v>
      </c>
      <c r="AJ450" s="5">
        <f>IF(OR(P450&lt;0,P450&gt;0.5),"invalid",P450)</f>
        <v>0.15</v>
      </c>
      <c r="AK450" s="6">
        <f>IFERROR(N450*O450*(1-AJ450), "NA")</f>
        <v>342.05700000000002</v>
      </c>
      <c r="AL450" s="6">
        <f>IFERROR(AK450-R450,"NA")</f>
        <v>97.487000000000023</v>
      </c>
      <c r="AM450" s="5">
        <f t="shared" si="30"/>
        <v>0.28500220723446684</v>
      </c>
      <c r="AN450" t="str">
        <v>invalid date</v>
      </c>
      <c r="AO450" t="str">
        <v>18-01-24</v>
      </c>
      <c r="AP450" t="str">
        <f t="shared" si="31"/>
        <v>invalid date</v>
      </c>
      <c r="AQ450" t="str">
        <f t="shared" si="32"/>
        <v>invalid date</v>
      </c>
      <c r="AR450" t="str">
        <f t="shared" si="33"/>
        <v>Invalid</v>
      </c>
      <c r="AS450" t="str">
        <f t="shared" si="34"/>
        <v>invalid date</v>
      </c>
      <c r="AT450" t="str">
        <f>IF(COUNTIFS( $A:$A,A450,$B:$B,B450,$C:$C,C450,$D:$D,D450,$E:$E,E450,$F:$F,F450,$G:$G,G450,$H:$H,H450,$I:$I,I450,$J:$J,J450,$K:$K,K450,$L:$L,L450,$M:$M,M450,$T:$T,T450,$U:$U,U450,$W:$W,W450,$Z:$Z,Z450,$AA:$AA,AA450,$AB:$AB,AB450,$AC:$AC,AC450,$AD:$AD,AD450,$AE:$AE,AE450,$AF:$AF,AF450,$AG:$AG,AG450,$AH:$AH,AH450,$AI:$AI,AI450)&gt;1,"Duplicate","Unique")</f>
        <v>Unique</v>
      </c>
    </row>
    <row r="451" spans="1:46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  <c r="W451" t="s">
        <v>2208</v>
      </c>
      <c r="Z451" t="s">
        <v>2043</v>
      </c>
      <c r="AA451" t="str">
        <v>Aditi Sen</v>
      </c>
      <c r="AB451" t="str">
        <f>TRIM(PROPER(F:F))</f>
        <v>Corporate</v>
      </c>
      <c r="AC451" t="str">
        <f>TRIM(PROPER(G:G))</f>
        <v>East</v>
      </c>
      <c r="AD451" t="str">
        <f>TRIM(PROPER(H:H))</f>
        <v>Assam</v>
      </c>
      <c r="AE451" t="str">
        <f>TRIM(PROPER(I:I))</f>
        <v>Guwahati</v>
      </c>
      <c r="AF451" t="str">
        <f>TRIM(PROPER(J:J))</f>
        <v>Technology</v>
      </c>
      <c r="AG451" t="str">
        <f>TRIM(PROPER(K:K))</f>
        <v>Machines</v>
      </c>
      <c r="AH451" t="str">
        <f>TRIM(PROPER(L:L))</f>
        <v>Basic Machines 808</v>
      </c>
      <c r="AI451" t="str">
        <f>TRIM(PROPER(M:M))</f>
        <v>Second Class</v>
      </c>
      <c r="AJ451" s="5">
        <f>IF(OR(P451&lt;0,P451&gt;0.5),"invalid",P451)</f>
        <v>0</v>
      </c>
      <c r="AK451" s="6">
        <f>IFERROR(N451*O451*(1-AJ451), "NA")</f>
        <v>19622.16</v>
      </c>
      <c r="AL451" s="6">
        <f>IFERROR(AK451-R451,"NA")</f>
        <v>5350.8899999999994</v>
      </c>
      <c r="AM451" s="5">
        <f t="shared" ref="AM451:AM514" si="35">IFERROR(AL451/AK451,"NA")</f>
        <v>0.27269627808559299</v>
      </c>
      <c r="AN451" t="str">
        <v>06-06-24</v>
      </c>
      <c r="AO451" t="str">
        <v>13-06-24</v>
      </c>
      <c r="AP451" t="str">
        <f t="shared" ref="AP451:AP514" si="36">TEXT(AN451,"mmmm")</f>
        <v>June</v>
      </c>
      <c r="AQ451" t="str">
        <f t="shared" ref="AQ451:AQ514" si="37">TEXT(AN451,"yyyy")</f>
        <v>2024</v>
      </c>
      <c r="AR451" t="str">
        <f t="shared" ref="AR451:AR514" si="38">IF(OR(AN451="Invalid Date",AO451="Invalid Date"),"Invalid",(IF(AO451&lt;AN451,"anomaly"," ")))</f>
        <v xml:space="preserve"> </v>
      </c>
      <c r="AS451">
        <f t="shared" ref="AS451:AS514" si="39">IFERROR(AO451-AN451, "invalid date")</f>
        <v>7</v>
      </c>
      <c r="AT451" t="str">
        <f>IF(COUNTIFS( $A:$A,A451,$B:$B,B451,$C:$C,C451,$D:$D,D451,$E:$E,E451,$F:$F,F451,$G:$G,G451,$H:$H,H451,$I:$I,I451,$J:$J,J451,$K:$K,K451,$L:$L,L451,$M:$M,M451,$T:$T,T451,$U:$U,U451,$W:$W,W451,$Z:$Z,Z451,$AA:$AA,AA451,$AB:$AB,AB451,$AC:$AC,AC451,$AD:$AD,AD451,$AE:$AE,AE451,$AF:$AF,AF451,$AG:$AG,AG451,$AH:$AH,AH451,$AI:$AI,AI451)&gt;1,"Duplicate","Unique")</f>
        <v>Unique</v>
      </c>
    </row>
    <row r="452" spans="1:46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  <c r="W452" t="s">
        <v>2212</v>
      </c>
      <c r="Z452" t="s">
        <v>2214</v>
      </c>
      <c r="AA452" t="str">
        <v>Ananya Rao</v>
      </c>
      <c r="AB452" t="str">
        <f>TRIM(PROPER(F:F))</f>
        <v>Corporate</v>
      </c>
      <c r="AC452" t="str">
        <f>TRIM(PROPER(G:G))</f>
        <v>North</v>
      </c>
      <c r="AD452" t="str">
        <f>TRIM(PROPER(H:H))</f>
        <v>Delhi</v>
      </c>
      <c r="AE452" t="str">
        <f>TRIM(PROPER(I:I))</f>
        <v>New Delhi</v>
      </c>
      <c r="AF452" t="str">
        <f>TRIM(PROPER(J:J))</f>
        <v>Furniture</v>
      </c>
      <c r="AG452" t="str">
        <f>TRIM(PROPER(K:K))</f>
        <v>Chairs</v>
      </c>
      <c r="AH452" t="str">
        <f>TRIM(PROPER(L:L))</f>
        <v>Pro Chairs 302</v>
      </c>
      <c r="AI452" t="str">
        <f>TRIM(PROPER(M:M))</f>
        <v>Standard Class</v>
      </c>
      <c r="AJ452" s="5">
        <f>IF(OR(P452&lt;0,P452&gt;0.5),"invalid",P452)</f>
        <v>0.25</v>
      </c>
      <c r="AK452" s="6">
        <f>IFERROR(N452*O452*(1-AJ452), "NA")</f>
        <v>15380.3475</v>
      </c>
      <c r="AL452" s="6">
        <f>IFERROR(AK452-R452,"NA")</f>
        <v>5472.9774999999991</v>
      </c>
      <c r="AM452" s="5">
        <f t="shared" si="35"/>
        <v>0.35584225258889624</v>
      </c>
      <c r="AN452" t="str">
        <v>06-12-25</v>
      </c>
      <c r="AO452" t="str">
        <v>19-06-25</v>
      </c>
      <c r="AP452" t="str">
        <f t="shared" si="36"/>
        <v>December</v>
      </c>
      <c r="AQ452" t="str">
        <f t="shared" si="37"/>
        <v>2025</v>
      </c>
      <c r="AR452" t="str">
        <f t="shared" si="38"/>
        <v xml:space="preserve"> </v>
      </c>
      <c r="AS452">
        <f t="shared" si="39"/>
        <v>-170</v>
      </c>
      <c r="AT452" t="str">
        <f>IF(COUNTIFS( $A:$A,A452,$B:$B,B452,$C:$C,C452,$D:$D,D452,$E:$E,E452,$F:$F,F452,$G:$G,G452,$H:$H,H452,$I:$I,I452,$J:$J,J452,$K:$K,K452,$L:$L,L452,$M:$M,M452,$T:$T,T452,$U:$U,U452,$W:$W,W452,$Z:$Z,Z452,$AA:$AA,AA452,$AB:$AB,AB452,$AC:$AC,AC452,$AD:$AD,AD452,$AE:$AE,AE452,$AF:$AF,AF452,$AG:$AG,AG452,$AH:$AH,AH452,$AI:$AI,AI452)&gt;1,"Duplicate","Unique")</f>
        <v>Unique</v>
      </c>
    </row>
    <row r="453" spans="1:46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  <c r="W453" t="s">
        <v>2216</v>
      </c>
      <c r="Z453" t="s">
        <v>2219</v>
      </c>
      <c r="AA453" t="str">
        <v>Rohan Mehta</v>
      </c>
      <c r="AB453" t="str">
        <f>TRIM(PROPER(F:F))</f>
        <v>Small Business</v>
      </c>
      <c r="AC453" t="str">
        <f>TRIM(PROPER(G:G))</f>
        <v>North</v>
      </c>
      <c r="AD453" t="str">
        <f>TRIM(PROPER(H:H))</f>
        <v>Haryana</v>
      </c>
      <c r="AE453" t="str">
        <f>TRIM(PROPER(I:I))</f>
        <v>Gurugram</v>
      </c>
      <c r="AF453" t="str">
        <f>TRIM(PROPER(J:J))</f>
        <v>Office Supplies</v>
      </c>
      <c r="AG453" t="str">
        <f>TRIM(PROPER(K:K))</f>
        <v>Paper</v>
      </c>
      <c r="AH453" t="str">
        <f>TRIM(PROPER(L:L))</f>
        <v>Classic Paper 272</v>
      </c>
      <c r="AI453" t="str">
        <f>TRIM(PROPER(M:M))</f>
        <v>Second Class</v>
      </c>
      <c r="AJ453" s="5">
        <f>IF(OR(P453&lt;0,P453&gt;0.5),"invalid",P453)</f>
        <v>0.15</v>
      </c>
      <c r="AK453" s="6">
        <f>IFERROR(N453*O453*(1-AJ453), "NA")</f>
        <v>13039.952000000001</v>
      </c>
      <c r="AL453" s="6">
        <f>IFERROR(AK453-R453,"NA")</f>
        <v>1912.1320000000014</v>
      </c>
      <c r="AM453" s="5">
        <f t="shared" si="35"/>
        <v>0.1466364293365498</v>
      </c>
      <c r="AN453" t="str">
        <v>24-03-24</v>
      </c>
      <c r="AO453" t="str">
        <v>26-03-24</v>
      </c>
      <c r="AP453" t="str">
        <f t="shared" si="36"/>
        <v>March</v>
      </c>
      <c r="AQ453" t="str">
        <f t="shared" si="37"/>
        <v>2024</v>
      </c>
      <c r="AR453" t="str">
        <f t="shared" si="38"/>
        <v xml:space="preserve"> </v>
      </c>
      <c r="AS453">
        <f t="shared" si="39"/>
        <v>2</v>
      </c>
      <c r="AT453" t="str">
        <f>IF(COUNTIFS( $A:$A,A453,$B:$B,B453,$C:$C,C453,$D:$D,D453,$E:$E,E453,$F:$F,F453,$G:$G,G453,$H:$H,H453,$I:$I,I453,$J:$J,J453,$K:$K,K453,$L:$L,L453,$M:$M,M453,$T:$T,T453,$U:$U,U453,$W:$W,W453,$Z:$Z,Z453,$AA:$AA,AA453,$AB:$AB,AB453,$AC:$AC,AC453,$AD:$AD,AD453,$AE:$AE,AE453,$AF:$AF,AF453,$AG:$AG,AG453,$AH:$AH,AH453,$AI:$AI,AI453)&gt;1,"Duplicate","Unique")</f>
        <v>Unique</v>
      </c>
    </row>
    <row r="454" spans="1:46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  <c r="W454" t="s">
        <v>2221</v>
      </c>
      <c r="Z454" t="s">
        <v>2223</v>
      </c>
      <c r="AA454" t="str">
        <v>Diya Patel</v>
      </c>
      <c r="AB454" t="str">
        <f>TRIM(PROPER(F:F))</f>
        <v>Home Office</v>
      </c>
      <c r="AC454" t="str">
        <f>TRIM(PROPER(G:G))</f>
        <v>East</v>
      </c>
      <c r="AD454" t="str">
        <f>TRIM(PROPER(H:H))</f>
        <v>Jharkhand</v>
      </c>
      <c r="AE454" t="str">
        <f>TRIM(PROPER(I:I))</f>
        <v>Ranchi</v>
      </c>
      <c r="AF454" t="str">
        <f>TRIM(PROPER(J:J))</f>
        <v>Technology</v>
      </c>
      <c r="AG454" t="str">
        <f>TRIM(PROPER(K:K))</f>
        <v>Accessories</v>
      </c>
      <c r="AH454" t="str">
        <f>TRIM(PROPER(L:L))</f>
        <v>Smart Accessories 149</v>
      </c>
      <c r="AI454" t="str">
        <f>TRIM(PROPER(M:M))</f>
        <v>Second Class</v>
      </c>
      <c r="AJ454" s="5">
        <f>IF(OR(P454&lt;0,P454&gt;0.5),"invalid",P454)</f>
        <v>0.2</v>
      </c>
      <c r="AK454" s="6">
        <f>IFERROR(N454*O454*(1-AJ454), "NA")</f>
        <v>9663.9840000000004</v>
      </c>
      <c r="AL454" s="6">
        <f>IFERROR(AK454-R454,"NA")</f>
        <v>4035.0540000000001</v>
      </c>
      <c r="AM454" s="5">
        <f t="shared" si="35"/>
        <v>0.41753525254180884</v>
      </c>
      <c r="AN454" t="str">
        <v>10-05-24</v>
      </c>
      <c r="AO454" t="str">
        <v>16-05-24</v>
      </c>
      <c r="AP454" t="str">
        <f t="shared" si="36"/>
        <v>May</v>
      </c>
      <c r="AQ454" t="str">
        <f t="shared" si="37"/>
        <v>2024</v>
      </c>
      <c r="AR454" t="str">
        <f t="shared" si="38"/>
        <v xml:space="preserve"> </v>
      </c>
      <c r="AS454">
        <f t="shared" si="39"/>
        <v>6</v>
      </c>
      <c r="AT454" t="str">
        <f>IF(COUNTIFS( $A:$A,A454,$B:$B,B454,$C:$C,C454,$D:$D,D454,$E:$E,E454,$F:$F,F454,$G:$G,G454,$H:$H,H454,$I:$I,I454,$J:$J,J454,$K:$K,K454,$L:$L,L454,$M:$M,M454,$T:$T,T454,$U:$U,U454,$W:$W,W454,$Z:$Z,Z454,$AA:$AA,AA454,$AB:$AB,AB454,$AC:$AC,AC454,$AD:$AD,AD454,$AE:$AE,AE454,$AF:$AF,AF454,$AG:$AG,AG454,$AH:$AH,AH454,$AI:$AI,AI454)&gt;1,"Duplicate","Unique")</f>
        <v>Unique</v>
      </c>
    </row>
    <row r="455" spans="1:46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  <c r="W455" t="s">
        <v>2225</v>
      </c>
      <c r="Z455" t="s">
        <v>2228</v>
      </c>
      <c r="AA455" t="str">
        <v>Rohan Mehta</v>
      </c>
      <c r="AB455" t="str">
        <f>TRIM(PROPER(F:F))</f>
        <v>Small Business</v>
      </c>
      <c r="AC455" t="str">
        <f>TRIM(PROPER(G:G))</f>
        <v>West</v>
      </c>
      <c r="AD455" t="str">
        <f>TRIM(PROPER(H:H))</f>
        <v>Madhya Pradesh</v>
      </c>
      <c r="AE455" t="str">
        <f>TRIM(PROPER(I:I))</f>
        <v>Indore</v>
      </c>
      <c r="AF455" t="str">
        <f>TRIM(PROPER(J:J))</f>
        <v>Office Supplies</v>
      </c>
      <c r="AG455" t="str">
        <f>TRIM(PROPER(K:K))</f>
        <v>Labels</v>
      </c>
      <c r="AH455" t="str">
        <f>TRIM(PROPER(L:L))</f>
        <v>Elite Labels 322</v>
      </c>
      <c r="AI455" t="str">
        <f>TRIM(PROPER(M:M))</f>
        <v>Same Day</v>
      </c>
      <c r="AJ455" s="5">
        <f>IF(OR(P455&lt;0,P455&gt;0.5),"invalid",P455)</f>
        <v>0</v>
      </c>
      <c r="AK455" s="6">
        <f>IFERROR(N455*O455*(1-AJ455), "NA")</f>
        <v>7417.6</v>
      </c>
      <c r="AL455" s="6">
        <f>IFERROR(AK455-R455,"NA")</f>
        <v>2461.7400000000007</v>
      </c>
      <c r="AM455" s="5">
        <f t="shared" si="35"/>
        <v>0.3318782355478862</v>
      </c>
      <c r="AN455" t="str">
        <v>05-03-25</v>
      </c>
      <c r="AO455" t="str">
        <v>11-05-25</v>
      </c>
      <c r="AP455" t="str">
        <f t="shared" si="36"/>
        <v>March</v>
      </c>
      <c r="AQ455" t="str">
        <f t="shared" si="37"/>
        <v>2025</v>
      </c>
      <c r="AR455" t="str">
        <f t="shared" si="38"/>
        <v xml:space="preserve"> </v>
      </c>
      <c r="AS455">
        <f t="shared" si="39"/>
        <v>67</v>
      </c>
      <c r="AT455" t="str">
        <f>IF(COUNTIFS( $A:$A,A455,$B:$B,B455,$C:$C,C455,$D:$D,D455,$E:$E,E455,$F:$F,F455,$G:$G,G455,$H:$H,H455,$I:$I,I455,$J:$J,J455,$K:$K,K455,$L:$L,L455,$M:$M,M455,$T:$T,T455,$U:$U,U455,$W:$W,W455,$Z:$Z,Z455,$AA:$AA,AA455,$AB:$AB,AB455,$AC:$AC,AC455,$AD:$AD,AD455,$AE:$AE,AE455,$AF:$AF,AF455,$AG:$AG,AG455,$AH:$AH,AH455,$AI:$AI,AI455)&gt;1,"Duplicate","Unique")</f>
        <v>Unique</v>
      </c>
    </row>
    <row r="456" spans="1:46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  <c r="W456" t="s">
        <v>2230</v>
      </c>
      <c r="Z456" t="s">
        <v>2233</v>
      </c>
      <c r="AA456" t="str">
        <v>Vikram Iyer</v>
      </c>
      <c r="AB456" t="str">
        <f>TRIM(PROPER(F:F))</f>
        <v>Small Business</v>
      </c>
      <c r="AC456" t="str">
        <f>TRIM(PROPER(G:G))</f>
        <v>North</v>
      </c>
      <c r="AD456" t="str">
        <f>TRIM(PROPER(H:H))</f>
        <v>Rajasthan</v>
      </c>
      <c r="AE456" t="str">
        <f>TRIM(PROPER(I:I))</f>
        <v>Jaipur</v>
      </c>
      <c r="AF456" t="str">
        <f>TRIM(PROPER(J:J))</f>
        <v>Furniture</v>
      </c>
      <c r="AG456" t="str">
        <f>TRIM(PROPER(K:K))</f>
        <v>Furnishings</v>
      </c>
      <c r="AH456" t="str">
        <f>TRIM(PROPER(L:L))</f>
        <v>Max Furnishings 821</v>
      </c>
      <c r="AI456" t="str">
        <f>TRIM(PROPER(M:M))</f>
        <v>Standard Class</v>
      </c>
      <c r="AJ456" s="5">
        <f>IF(OR(P456&lt;0,P456&gt;0.5),"invalid",P456)</f>
        <v>0.15</v>
      </c>
      <c r="AK456" s="6">
        <f>IFERROR(N456*O456*(1-AJ456), "NA")</f>
        <v>25229.7</v>
      </c>
      <c r="AL456" s="6">
        <f>IFERROR(AK456-R456,"NA")</f>
        <v>5059.2700000000004</v>
      </c>
      <c r="AM456" s="5">
        <f t="shared" si="35"/>
        <v>0.20052834556098567</v>
      </c>
      <c r="AN456" t="str">
        <v>23-03-25</v>
      </c>
      <c r="AO456" t="str">
        <v>28-03-25</v>
      </c>
      <c r="AP456" t="str">
        <f t="shared" si="36"/>
        <v>March</v>
      </c>
      <c r="AQ456" t="str">
        <f t="shared" si="37"/>
        <v>2025</v>
      </c>
      <c r="AR456" t="str">
        <f t="shared" si="38"/>
        <v xml:space="preserve"> </v>
      </c>
      <c r="AS456">
        <f t="shared" si="39"/>
        <v>5</v>
      </c>
      <c r="AT456" t="str">
        <f>IF(COUNTIFS( $A:$A,A456,$B:$B,B456,$C:$C,C456,$D:$D,D456,$E:$E,E456,$F:$F,F456,$G:$G,G456,$H:$H,H456,$I:$I,I456,$J:$J,J456,$K:$K,K456,$L:$L,L456,$M:$M,M456,$T:$T,T456,$U:$U,U456,$W:$W,W456,$Z:$Z,Z456,$AA:$AA,AA456,$AB:$AB,AB456,$AC:$AC,AC456,$AD:$AD,AD456,$AE:$AE,AE456,$AF:$AF,AF456,$AG:$AG,AG456,$AH:$AH,AH456,$AI:$AI,AI456)&gt;1,"Duplicate","Unique")</f>
        <v>Unique</v>
      </c>
    </row>
    <row r="457" spans="1:46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  <c r="W457" t="s">
        <v>2235</v>
      </c>
      <c r="Z457" t="s">
        <v>2238</v>
      </c>
      <c r="AA457" t="str">
        <v>Neha Gupta</v>
      </c>
      <c r="AB457" t="str">
        <f>TRIM(PROPER(F:F))</f>
        <v>Small Business</v>
      </c>
      <c r="AC457" t="str">
        <f>TRIM(PROPER(G:G))</f>
        <v>South</v>
      </c>
      <c r="AD457" t="str">
        <f>TRIM(PROPER(H:H))</f>
        <v>Telangana</v>
      </c>
      <c r="AE457" t="str">
        <f>TRIM(PROPER(I:I))</f>
        <v>Hyderabad</v>
      </c>
      <c r="AF457" t="str">
        <f>TRIM(PROPER(J:J))</f>
        <v>Office Supplies</v>
      </c>
      <c r="AG457" t="str">
        <f>TRIM(PROPER(K:K))</f>
        <v>Art</v>
      </c>
      <c r="AH457" t="str">
        <f>TRIM(PROPER(L:L))</f>
        <v>Basic Art 556</v>
      </c>
      <c r="AI457" t="str">
        <f>TRIM(PROPER(M:M))</f>
        <v>Standard Class</v>
      </c>
      <c r="AJ457" s="5">
        <f>IF(OR(P457&lt;0,P457&gt;0.5),"invalid",P457)</f>
        <v>0</v>
      </c>
      <c r="AK457" s="6">
        <f>IFERROR(N457*O457*(1-AJ457), "NA")</f>
        <v>3235.08</v>
      </c>
      <c r="AL457" s="6">
        <f>IFERROR(AK457-R457,"NA")</f>
        <v>1386.48</v>
      </c>
      <c r="AM457" s="5">
        <f t="shared" si="35"/>
        <v>0.42857672762342819</v>
      </c>
      <c r="AN457" t="str">
        <v>18-07-24</v>
      </c>
      <c r="AO457" t="str">
        <v>22-07-24</v>
      </c>
      <c r="AP457" t="str">
        <f t="shared" si="36"/>
        <v>July</v>
      </c>
      <c r="AQ457" t="str">
        <f t="shared" si="37"/>
        <v>2024</v>
      </c>
      <c r="AR457" t="str">
        <f t="shared" si="38"/>
        <v xml:space="preserve"> </v>
      </c>
      <c r="AS457">
        <f t="shared" si="39"/>
        <v>4</v>
      </c>
      <c r="AT457" t="str">
        <f>IF(COUNTIFS( $A:$A,A457,$B:$B,B457,$C:$C,C457,$D:$D,D457,$E:$E,E457,$F:$F,F457,$G:$G,G457,$H:$H,H457,$I:$I,I457,$J:$J,J457,$K:$K,K457,$L:$L,L457,$M:$M,M457,$T:$T,T457,$U:$U,U457,$W:$W,W457,$Z:$Z,Z457,$AA:$AA,AA457,$AB:$AB,AB457,$AC:$AC,AC457,$AD:$AD,AD457,$AE:$AE,AE457,$AF:$AF,AF457,$AG:$AG,AG457,$AH:$AH,AH457,$AI:$AI,AI457)&gt;1,"Duplicate","Unique")</f>
        <v>Unique</v>
      </c>
    </row>
    <row r="458" spans="1:46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  <c r="W458" t="s">
        <v>2240</v>
      </c>
      <c r="Z458" t="s">
        <v>2241</v>
      </c>
      <c r="AA458" t="str">
        <v>Neha Gupta</v>
      </c>
      <c r="AB458" t="str">
        <f>TRIM(PROPER(F:F))</f>
        <v>Corporate</v>
      </c>
      <c r="AC458" t="str">
        <f>TRIM(PROPER(G:G))</f>
        <v>North</v>
      </c>
      <c r="AD458" t="str">
        <f>TRIM(PROPER(H:H))</f>
        <v>Uttar Pradesh</v>
      </c>
      <c r="AE458" t="str">
        <f>TRIM(PROPER(I:I))</f>
        <v>Noida</v>
      </c>
      <c r="AF458" t="str">
        <f>TRIM(PROPER(J:J))</f>
        <v>Technology</v>
      </c>
      <c r="AG458" t="str">
        <f>TRIM(PROPER(K:K))</f>
        <v>Accessories</v>
      </c>
      <c r="AH458" t="str">
        <f>TRIM(PROPER(L:L))</f>
        <v>Smart Accessories 265</v>
      </c>
      <c r="AI458" t="str">
        <f>TRIM(PROPER(M:M))</f>
        <v>Same Day</v>
      </c>
      <c r="AJ458" s="5">
        <f>IF(OR(P458&lt;0,P458&gt;0.5),"invalid",P458)</f>
        <v>0.15</v>
      </c>
      <c r="AK458" s="6">
        <f>IFERROR(N458*O458*(1-AJ458), "NA")</f>
        <v>11070.867499999998</v>
      </c>
      <c r="AL458" s="6">
        <f>IFERROR(AK458-R458,"NA")</f>
        <v>4447.2574999999988</v>
      </c>
      <c r="AM458" s="5">
        <f t="shared" si="35"/>
        <v>0.40170813172499803</v>
      </c>
      <c r="AN458" t="str">
        <v>20-02-24</v>
      </c>
      <c r="AO458" t="str">
        <v>20-02-24</v>
      </c>
      <c r="AP458" t="str">
        <f t="shared" si="36"/>
        <v>February</v>
      </c>
      <c r="AQ458" t="str">
        <f t="shared" si="37"/>
        <v>2024</v>
      </c>
      <c r="AR458" t="str">
        <f t="shared" si="38"/>
        <v xml:space="preserve"> </v>
      </c>
      <c r="AS458">
        <f t="shared" si="39"/>
        <v>0</v>
      </c>
      <c r="AT458" t="str">
        <f>IF(COUNTIFS( $A:$A,A458,$B:$B,B458,$C:$C,C458,$D:$D,D458,$E:$E,E458,$F:$F,F458,$G:$G,G458,$H:$H,H458,$I:$I,I458,$J:$J,J458,$K:$K,K458,$L:$L,L458,$M:$M,M458,$T:$T,T458,$U:$U,U458,$W:$W,W458,$Z:$Z,Z458,$AA:$AA,AA458,$AB:$AB,AB458,$AC:$AC,AC458,$AD:$AD,AD458,$AE:$AE,AE458,$AF:$AF,AF458,$AG:$AG,AG458,$AH:$AH,AH458,$AI:$AI,AI458)&gt;1,"Duplicate","Unique")</f>
        <v>Unique</v>
      </c>
    </row>
    <row r="459" spans="1:46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  <c r="W459" t="s">
        <v>2243</v>
      </c>
      <c r="Z459" t="s">
        <v>2246</v>
      </c>
      <c r="AA459" t="str">
        <v>Mira Das</v>
      </c>
      <c r="AB459" t="str">
        <f>TRIM(PROPER(F:F))</f>
        <v>Small Business</v>
      </c>
      <c r="AC459" t="str">
        <f>TRIM(PROPER(G:G))</f>
        <v>West</v>
      </c>
      <c r="AD459" t="str">
        <f>TRIM(PROPER(H:H))</f>
        <v>Goa</v>
      </c>
      <c r="AE459" t="str">
        <f>TRIM(PROPER(I:I))</f>
        <v>Panaji</v>
      </c>
      <c r="AF459" t="str">
        <f>TRIM(PROPER(J:J))</f>
        <v>Furniture</v>
      </c>
      <c r="AG459" t="str">
        <f>TRIM(PROPER(K:K))</f>
        <v>Tables</v>
      </c>
      <c r="AH459" t="str">
        <f>TRIM(PROPER(L:L))</f>
        <v>Elite Tables 418</v>
      </c>
      <c r="AI459" t="str">
        <f>TRIM(PROPER(M:M))</f>
        <v>Standard Class</v>
      </c>
      <c r="AJ459" s="5">
        <f>IF(OR(P459&lt;0,P459&gt;0.5),"invalid",P459)</f>
        <v>0</v>
      </c>
      <c r="AK459" s="6">
        <f>IFERROR(N459*O459*(1-AJ459), "NA")</f>
        <v>19960.57</v>
      </c>
      <c r="AL459" s="6">
        <f>IFERROR(AK459-R459,"NA")</f>
        <v>3356.9700000000012</v>
      </c>
      <c r="AM459" s="5">
        <f t="shared" si="35"/>
        <v>0.1681800670020947</v>
      </c>
      <c r="AN459" t="str">
        <v>05-04-24</v>
      </c>
      <c r="AO459" t="str">
        <v>04-05-24</v>
      </c>
      <c r="AP459" t="str">
        <f t="shared" si="36"/>
        <v>April</v>
      </c>
      <c r="AQ459" t="str">
        <f t="shared" si="37"/>
        <v>2024</v>
      </c>
      <c r="AR459" t="str">
        <f t="shared" si="38"/>
        <v>anomaly</v>
      </c>
      <c r="AS459">
        <f t="shared" si="39"/>
        <v>29</v>
      </c>
      <c r="AT459" t="str">
        <f>IF(COUNTIFS( $A:$A,A459,$B:$B,B459,$C:$C,C459,$D:$D,D459,$E:$E,E459,$F:$F,F459,$G:$G,G459,$H:$H,H459,$I:$I,I459,$J:$J,J459,$K:$K,K459,$L:$L,L459,$M:$M,M459,$T:$T,T459,$U:$U,U459,$W:$W,W459,$Z:$Z,Z459,$AA:$AA,AA459,$AB:$AB,AB459,$AC:$AC,AC459,$AD:$AD,AD459,$AE:$AE,AE459,$AF:$AF,AF459,$AG:$AG,AG459,$AH:$AH,AH459,$AI:$AI,AI459)&gt;1,"Duplicate","Unique")</f>
        <v>Unique</v>
      </c>
    </row>
    <row r="460" spans="1:46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  <c r="W460" t="s">
        <v>2248</v>
      </c>
      <c r="Z460" t="s">
        <v>2250</v>
      </c>
      <c r="AA460" t="str">
        <v>Karan Malhotra</v>
      </c>
      <c r="AB460" t="str">
        <f>TRIM(PROPER(F:F))</f>
        <v>Corporate</v>
      </c>
      <c r="AC460" t="str">
        <f>TRIM(PROPER(G:G))</f>
        <v>North</v>
      </c>
      <c r="AD460" t="str">
        <f>TRIM(PROPER(H:H))</f>
        <v>Rajasthan</v>
      </c>
      <c r="AE460" t="str">
        <f>TRIM(PROPER(I:I))</f>
        <v>Jaipur</v>
      </c>
      <c r="AF460" t="str">
        <f>TRIM(PROPER(J:J))</f>
        <v>Technology</v>
      </c>
      <c r="AG460" t="str">
        <f>TRIM(PROPER(K:K))</f>
        <v>Phones</v>
      </c>
      <c r="AH460" t="str">
        <f>TRIM(PROPER(L:L))</f>
        <v>Pro Phones 907</v>
      </c>
      <c r="AI460" t="str">
        <f>TRIM(PROPER(M:M))</f>
        <v>Second Class</v>
      </c>
      <c r="AJ460" s="5">
        <f>IF(OR(P460&lt;0,P460&gt;0.5),"invalid",P460)</f>
        <v>0.1</v>
      </c>
      <c r="AK460" s="6">
        <f>IFERROR(N460*O460*(1-AJ460), "NA")</f>
        <v>8596.0439999999999</v>
      </c>
      <c r="AL460" s="6">
        <f>IFERROR(AK460-R460,"NA")</f>
        <v>3217.884</v>
      </c>
      <c r="AM460" s="5">
        <f t="shared" si="35"/>
        <v>0.37434475672762962</v>
      </c>
      <c r="AN460" t="str">
        <v>10-02-24</v>
      </c>
      <c r="AO460" t="str">
        <v>02-11-24</v>
      </c>
      <c r="AP460" t="str">
        <f t="shared" si="36"/>
        <v>February</v>
      </c>
      <c r="AQ460" t="str">
        <f t="shared" si="37"/>
        <v>2024</v>
      </c>
      <c r="AR460" t="str">
        <f t="shared" si="38"/>
        <v>anomaly</v>
      </c>
      <c r="AS460">
        <f t="shared" si="39"/>
        <v>266</v>
      </c>
      <c r="AT460" t="str">
        <f>IF(COUNTIFS( $A:$A,A460,$B:$B,B460,$C:$C,C460,$D:$D,D460,$E:$E,E460,$F:$F,F460,$G:$G,G460,$H:$H,H460,$I:$I,I460,$J:$J,J460,$K:$K,K460,$L:$L,L460,$M:$M,M460,$T:$T,T460,$U:$U,U460,$W:$W,W460,$Z:$Z,Z460,$AA:$AA,AA460,$AB:$AB,AB460,$AC:$AC,AC460,$AD:$AD,AD460,$AE:$AE,AE460,$AF:$AF,AF460,$AG:$AG,AG460,$AH:$AH,AH460,$AI:$AI,AI460)&gt;1,"Duplicate","Unique")</f>
        <v>Unique</v>
      </c>
    </row>
    <row r="461" spans="1:46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  <c r="W461" t="s">
        <v>2252</v>
      </c>
      <c r="Z461" t="s">
        <v>2254</v>
      </c>
      <c r="AA461" t="str">
        <v>Ananya Rao</v>
      </c>
      <c r="AB461" t="str">
        <f>TRIM(PROPER(F:F))</f>
        <v>Home Office</v>
      </c>
      <c r="AC461" t="str">
        <f>TRIM(PROPER(G:G))</f>
        <v>West</v>
      </c>
      <c r="AD461" t="str">
        <f>TRIM(PROPER(H:H))</f>
        <v>Goa</v>
      </c>
      <c r="AE461" t="str">
        <f>TRIM(PROPER(I:I))</f>
        <v>Panaji</v>
      </c>
      <c r="AF461" t="str">
        <f>TRIM(PROPER(J:J))</f>
        <v>Office Supplies</v>
      </c>
      <c r="AG461" t="str">
        <f>TRIM(PROPER(K:K))</f>
        <v>Paper</v>
      </c>
      <c r="AH461" t="str">
        <f>TRIM(PROPER(L:L))</f>
        <v>Basic Paper 233</v>
      </c>
      <c r="AI461" t="str">
        <f>TRIM(PROPER(M:M))</f>
        <v>First Class</v>
      </c>
      <c r="AJ461" s="5">
        <f>IF(OR(P461&lt;0,P461&gt;0.5),"invalid",P461)</f>
        <v>0</v>
      </c>
      <c r="AK461" s="6">
        <f>IFERROR(N461*O461*(1-AJ461), "NA")</f>
        <v>3452.76</v>
      </c>
      <c r="AL461" s="6">
        <f>IFERROR(AK461-R461,"NA")</f>
        <v>1374.8000000000002</v>
      </c>
      <c r="AM461" s="5">
        <f t="shared" si="35"/>
        <v>0.39817421425178701</v>
      </c>
      <c r="AN461" t="str">
        <v>invalid date</v>
      </c>
      <c r="AO461" t="str">
        <v>04-04-24</v>
      </c>
      <c r="AP461" t="str">
        <f t="shared" si="36"/>
        <v>invalid date</v>
      </c>
      <c r="AQ461" t="str">
        <f t="shared" si="37"/>
        <v>invalid date</v>
      </c>
      <c r="AR461" t="str">
        <f t="shared" si="38"/>
        <v>Invalid</v>
      </c>
      <c r="AS461" t="str">
        <f t="shared" si="39"/>
        <v>invalid date</v>
      </c>
      <c r="AT461" t="str">
        <f>IF(COUNTIFS( $A:$A,A461,$B:$B,B461,$C:$C,C461,$D:$D,D461,$E:$E,E461,$F:$F,F461,$G:$G,G461,$H:$H,H461,$I:$I,I461,$J:$J,J461,$K:$K,K461,$L:$L,L461,$M:$M,M461,$T:$T,T461,$U:$U,U461,$W:$W,W461,$Z:$Z,Z461,$AA:$AA,AA461,$AB:$AB,AB461,$AC:$AC,AC461,$AD:$AD,AD461,$AE:$AE,AE461,$AF:$AF,AF461,$AG:$AG,AG461,$AH:$AH,AH461,$AI:$AI,AI461)&gt;1,"Duplicate","Unique")</f>
        <v>Unique</v>
      </c>
    </row>
    <row r="462" spans="1:46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  <c r="W462" t="s">
        <v>2256</v>
      </c>
      <c r="Z462" t="s">
        <v>2259</v>
      </c>
      <c r="AA462" t="str">
        <v>Aarav Sharma</v>
      </c>
      <c r="AB462" t="str">
        <f>TRIM(PROPER(F:F))</f>
        <v>Corporate</v>
      </c>
      <c r="AC462" t="s">
        <v>4111</v>
      </c>
      <c r="AD462" t="str">
        <f>TRIM(PROPER(H:H))</f>
        <v>Rajasthan</v>
      </c>
      <c r="AE462" t="str">
        <f>TRIM(PROPER(I:I))</f>
        <v>Jaipur</v>
      </c>
      <c r="AF462" t="str">
        <f>TRIM(PROPER(J:J))</f>
        <v>Technology</v>
      </c>
      <c r="AG462" t="str">
        <f>TRIM(PROPER(K:K))</f>
        <v>Copiers</v>
      </c>
      <c r="AH462" t="str">
        <f>TRIM(PROPER(L:L))</f>
        <v>Eco Copiers 603</v>
      </c>
      <c r="AI462" t="str">
        <f>TRIM(PROPER(M:M))</f>
        <v>Second Class</v>
      </c>
      <c r="AJ462" s="5">
        <f>IF(OR(P462&lt;0,P462&gt;0.5),"invalid",P462)</f>
        <v>0.05</v>
      </c>
      <c r="AK462" s="6">
        <f>IFERROR(N462*O462*(1-AJ462), "NA")</f>
        <v>11626.974000000002</v>
      </c>
      <c r="AL462" s="6">
        <f>IFERROR(AK462-R462,"NA")</f>
        <v>4232.9040000000023</v>
      </c>
      <c r="AM462" s="5">
        <f t="shared" si="35"/>
        <v>0.36405895463428417</v>
      </c>
      <c r="AN462" t="str">
        <v>30-09-25</v>
      </c>
      <c r="AO462" t="str">
        <v>06-10-25</v>
      </c>
      <c r="AP462" t="str">
        <f t="shared" si="36"/>
        <v>September</v>
      </c>
      <c r="AQ462" t="str">
        <f t="shared" si="37"/>
        <v>2025</v>
      </c>
      <c r="AR462" t="str">
        <f t="shared" si="38"/>
        <v>anomaly</v>
      </c>
      <c r="AS462">
        <f t="shared" si="39"/>
        <v>6</v>
      </c>
      <c r="AT462" t="str">
        <f>IF(COUNTIFS( $A:$A,A462,$B:$B,B462,$C:$C,C462,$D:$D,D462,$E:$E,E462,$F:$F,F462,$G:$G,G462,$H:$H,H462,$I:$I,I462,$J:$J,J462,$K:$K,K462,$L:$L,L462,$M:$M,M462,$T:$T,T462,$U:$U,U462,$W:$W,W462,$Z:$Z,Z462,$AA:$AA,AA462,$AB:$AB,AB462,$AC:$AC,AC462,$AD:$AD,AD462,$AE:$AE,AE462,$AF:$AF,AF462,$AG:$AG,AG462,$AH:$AH,AH462,$AI:$AI,AI462)&gt;1,"Duplicate","Unique")</f>
        <v>Unique</v>
      </c>
    </row>
    <row r="463" spans="1:46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  <c r="W463" t="s">
        <v>2261</v>
      </c>
      <c r="Z463" t="s">
        <v>2263</v>
      </c>
      <c r="AA463" t="str">
        <v>Neha Gupta</v>
      </c>
      <c r="AB463" t="str">
        <f>TRIM(PROPER(F:F))</f>
        <v>Corporate</v>
      </c>
      <c r="AC463" t="str">
        <f>TRIM(PROPER(G:G))</f>
        <v>South</v>
      </c>
      <c r="AD463" t="str">
        <f>TRIM(PROPER(H:H))</f>
        <v>Andhra Pradesh</v>
      </c>
      <c r="AE463" t="str">
        <f>TRIM(PROPER(I:I))</f>
        <v>Vijayawada</v>
      </c>
      <c r="AF463" t="str">
        <f>TRIM(PROPER(J:J))</f>
        <v>Office Supplies</v>
      </c>
      <c r="AG463" t="str">
        <f>TRIM(PROPER(K:K))</f>
        <v>Paper</v>
      </c>
      <c r="AH463" t="str">
        <f>TRIM(PROPER(L:L))</f>
        <v>Max Paper 700</v>
      </c>
      <c r="AI463" t="str">
        <f>TRIM(PROPER(M:M))</f>
        <v>Standard Class</v>
      </c>
      <c r="AJ463" s="5">
        <f>IF(OR(P463&lt;0,P463&gt;0.5),"invalid",P463)</f>
        <v>0.15</v>
      </c>
      <c r="AK463" s="6">
        <f>IFERROR(N463*O463*(1-AJ463), "NA")</f>
        <v>8614.2825000000012</v>
      </c>
      <c r="AL463" s="6">
        <f>IFERROR(AK463-R463,"NA")</f>
        <v>1562.2025000000012</v>
      </c>
      <c r="AM463" s="5">
        <f t="shared" si="35"/>
        <v>0.18135027496486225</v>
      </c>
      <c r="AN463" t="str">
        <v>invalid date</v>
      </c>
      <c r="AO463" t="str">
        <v>invalid date</v>
      </c>
      <c r="AP463" t="str">
        <f t="shared" si="36"/>
        <v>invalid date</v>
      </c>
      <c r="AQ463" t="str">
        <f t="shared" si="37"/>
        <v>invalid date</v>
      </c>
      <c r="AR463" t="str">
        <f t="shared" si="38"/>
        <v>Invalid</v>
      </c>
      <c r="AS463" t="str">
        <f t="shared" si="39"/>
        <v>invalid date</v>
      </c>
      <c r="AT463" t="str">
        <f>IF(COUNTIFS( $A:$A,A463,$B:$B,B463,$C:$C,C463,$D:$D,D463,$E:$E,E463,$F:$F,F463,$G:$G,G463,$H:$H,H463,$I:$I,I463,$J:$J,J463,$K:$K,K463,$L:$L,L463,$M:$M,M463,$T:$T,T463,$U:$U,U463,$W:$W,W463,$Z:$Z,Z463,$AA:$AA,AA463,$AB:$AB,AB463,$AC:$AC,AC463,$AD:$AD,AD463,$AE:$AE,AE463,$AF:$AF,AF463,$AG:$AG,AG463,$AH:$AH,AH463,$AI:$AI,AI463)&gt;1,"Duplicate","Unique")</f>
        <v>Unique</v>
      </c>
    </row>
    <row r="464" spans="1:46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  <c r="W464" t="s">
        <v>2265</v>
      </c>
      <c r="Z464" t="s">
        <v>2267</v>
      </c>
      <c r="AA464" t="str">
        <v>Aarav Sharma</v>
      </c>
      <c r="AB464" t="str">
        <f>TRIM(PROPER(F:F))</f>
        <v>Home Office</v>
      </c>
      <c r="AC464" t="str">
        <f>TRIM(PROPER(G:G))</f>
        <v>North</v>
      </c>
      <c r="AD464" t="str">
        <f>TRIM(PROPER(H:H))</f>
        <v>Delhi</v>
      </c>
      <c r="AE464" t="str">
        <f>TRIM(PROPER(I:I))</f>
        <v>New Delhi</v>
      </c>
      <c r="AF464" t="str">
        <f>TRIM(PROPER(J:J))</f>
        <v>Office Supplies</v>
      </c>
      <c r="AG464" t="str">
        <f>TRIM(PROPER(K:K))</f>
        <v>Binders</v>
      </c>
      <c r="AH464" t="str">
        <f>TRIM(PROPER(L:L))</f>
        <v>Pro Binders 404</v>
      </c>
      <c r="AI464" t="str">
        <f>TRIM(PROPER(M:M))</f>
        <v>First Class</v>
      </c>
      <c r="AJ464" s="5">
        <f>IF(OR(P464&lt;0,P464&gt;0.5),"invalid",P464)</f>
        <v>0.2</v>
      </c>
      <c r="AK464" s="6">
        <f>IFERROR(N464*O464*(1-AJ464), "NA")</f>
        <v>2040.2240000000002</v>
      </c>
      <c r="AL464" s="6">
        <f>IFERROR(AK464-R464,"NA")</f>
        <v>644.51400000000012</v>
      </c>
      <c r="AM464" s="5">
        <f t="shared" si="35"/>
        <v>0.31590354784572677</v>
      </c>
      <c r="AN464" t="str">
        <v>invalid date</v>
      </c>
      <c r="AO464" t="str">
        <v>25-09-24</v>
      </c>
      <c r="AP464" t="str">
        <f t="shared" si="36"/>
        <v>invalid date</v>
      </c>
      <c r="AQ464" t="str">
        <f t="shared" si="37"/>
        <v>invalid date</v>
      </c>
      <c r="AR464" t="str">
        <f t="shared" si="38"/>
        <v>Invalid</v>
      </c>
      <c r="AS464" t="str">
        <f t="shared" si="39"/>
        <v>invalid date</v>
      </c>
      <c r="AT464" t="str">
        <f>IF(COUNTIFS( $A:$A,A464,$B:$B,B464,$C:$C,C464,$D:$D,D464,$E:$E,E464,$F:$F,F464,$G:$G,G464,$H:$H,H464,$I:$I,I464,$J:$J,J464,$K:$K,K464,$L:$L,L464,$M:$M,M464,$T:$T,T464,$U:$U,U464,$W:$W,W464,$Z:$Z,Z464,$AA:$AA,AA464,$AB:$AB,AB464,$AC:$AC,AC464,$AD:$AD,AD464,$AE:$AE,AE464,$AF:$AF,AF464,$AG:$AG,AG464,$AH:$AH,AH464,$AI:$AI,AI464)&gt;1,"Duplicate","Unique")</f>
        <v>Unique</v>
      </c>
    </row>
    <row r="465" spans="1:46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  <c r="W465" t="s">
        <v>2269</v>
      </c>
      <c r="Z465" t="s">
        <v>2271</v>
      </c>
      <c r="AA465" t="str">
        <v>Arjun Bose</v>
      </c>
      <c r="AB465" t="str">
        <f>TRIM(PROPER(F:F))</f>
        <v>Corporate</v>
      </c>
      <c r="AC465" t="str">
        <f>TRIM(PROPER(G:G))</f>
        <v>West</v>
      </c>
      <c r="AD465" t="str">
        <f>TRIM(PROPER(H:H))</f>
        <v>Madhya Pradesh</v>
      </c>
      <c r="AE465" t="str">
        <f>TRIM(PROPER(I:I))</f>
        <v>Indore</v>
      </c>
      <c r="AF465" t="str">
        <f>TRIM(PROPER(J:J))</f>
        <v>Technology</v>
      </c>
      <c r="AG465" t="str">
        <f>TRIM(PROPER(K:K))</f>
        <v>Phones</v>
      </c>
      <c r="AH465" t="str">
        <f>TRIM(PROPER(L:L))</f>
        <v>Eco Phones 208</v>
      </c>
      <c r="AI465" t="str">
        <f>TRIM(PROPER(M:M))</f>
        <v>Standard Class</v>
      </c>
      <c r="AJ465" s="5">
        <f>IF(OR(P465&lt;0,P465&gt;0.5),"invalid",P465)</f>
        <v>0.2</v>
      </c>
      <c r="AK465" s="6">
        <f>IFERROR(N465*O465*(1-AJ465), "NA")</f>
        <v>2846.4</v>
      </c>
      <c r="AL465" s="6">
        <f>IFERROR(AK465-R465,"NA")</f>
        <v>714.0300000000002</v>
      </c>
      <c r="AM465" s="5">
        <f t="shared" si="35"/>
        <v>0.25085370994940986</v>
      </c>
      <c r="AN465" t="str">
        <v>07-02-25</v>
      </c>
      <c r="AO465" t="str">
        <v>08-02-25</v>
      </c>
      <c r="AP465" t="str">
        <f t="shared" si="36"/>
        <v>February</v>
      </c>
      <c r="AQ465" t="str">
        <f t="shared" si="37"/>
        <v>2025</v>
      </c>
      <c r="AR465" t="str">
        <f t="shared" si="38"/>
        <v xml:space="preserve"> </v>
      </c>
      <c r="AS465">
        <f t="shared" si="39"/>
        <v>1</v>
      </c>
      <c r="AT465" t="str">
        <f>IF(COUNTIFS( $A:$A,A465,$B:$B,B465,$C:$C,C465,$D:$D,D465,$E:$E,E465,$F:$F,F465,$G:$G,G465,$H:$H,H465,$I:$I,I465,$J:$J,J465,$K:$K,K465,$L:$L,L465,$M:$M,M465,$T:$T,T465,$U:$U,U465,$W:$W,W465,$Z:$Z,Z465,$AA:$AA,AA465,$AB:$AB,AB465,$AC:$AC,AC465,$AD:$AD,AD465,$AE:$AE,AE465,$AF:$AF,AF465,$AG:$AG,AG465,$AH:$AH,AH465,$AI:$AI,AI465)&gt;1,"Duplicate","Unique")</f>
        <v>Unique</v>
      </c>
    </row>
    <row r="466" spans="1:46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  <c r="W466" t="s">
        <v>2273</v>
      </c>
      <c r="Z466" t="s">
        <v>2276</v>
      </c>
      <c r="AA466" t="str">
        <v>Arjun Bose</v>
      </c>
      <c r="AB466" t="str">
        <f>TRIM(PROPER(F:F))</f>
        <v>Corporate</v>
      </c>
      <c r="AC466" t="str">
        <f>TRIM(PROPER(G:G))</f>
        <v>East</v>
      </c>
      <c r="AD466" t="str">
        <f>TRIM(PROPER(H:H))</f>
        <v>Bihar</v>
      </c>
      <c r="AE466" t="str">
        <f>TRIM(PROPER(I:I))</f>
        <v>Patna</v>
      </c>
      <c r="AF466" t="str">
        <f>TRIM(PROPER(J:J))</f>
        <v>Office Supplies</v>
      </c>
      <c r="AG466" t="str">
        <f>TRIM(PROPER(K:K))</f>
        <v>Paper</v>
      </c>
      <c r="AH466" t="str">
        <f>TRIM(PROPER(L:L))</f>
        <v>Elite Paper 106</v>
      </c>
      <c r="AI466" t="str">
        <f>TRIM(PROPER(M:M))</f>
        <v>Same Day</v>
      </c>
      <c r="AJ466" s="5">
        <f>IF(OR(P466&lt;0,P466&gt;0.5),"invalid",P466)</f>
        <v>0.05</v>
      </c>
      <c r="AK466" s="6">
        <f>IFERROR(N466*O466*(1-AJ466), "NA")</f>
        <v>10331.477999999999</v>
      </c>
      <c r="AL466" s="6">
        <f>IFERROR(AK466-R466,"NA")</f>
        <v>3199.5679999999993</v>
      </c>
      <c r="AM466" s="5">
        <f t="shared" si="35"/>
        <v>0.30969121746181905</v>
      </c>
      <c r="AN466" t="str">
        <v>11-03-25</v>
      </c>
      <c r="AO466" t="str">
        <v>invalid date</v>
      </c>
      <c r="AP466" t="str">
        <f t="shared" si="36"/>
        <v>March</v>
      </c>
      <c r="AQ466" t="str">
        <f t="shared" si="37"/>
        <v>2025</v>
      </c>
      <c r="AR466" t="str">
        <f t="shared" si="38"/>
        <v>Invalid</v>
      </c>
      <c r="AS466" t="str">
        <f t="shared" si="39"/>
        <v>invalid date</v>
      </c>
      <c r="AT466" t="str">
        <f>IF(COUNTIFS( $A:$A,A466,$B:$B,B466,$C:$C,C466,$D:$D,D466,$E:$E,E466,$F:$F,F466,$G:$G,G466,$H:$H,H466,$I:$I,I466,$J:$J,J466,$K:$K,K466,$L:$L,L466,$M:$M,M466,$T:$T,T466,$U:$U,U466,$W:$W,W466,$Z:$Z,Z466,$AA:$AA,AA466,$AB:$AB,AB466,$AC:$AC,AC466,$AD:$AD,AD466,$AE:$AE,AE466,$AF:$AF,AF466,$AG:$AG,AG466,$AH:$AH,AH466,$AI:$AI,AI466)&gt;1,"Duplicate","Unique")</f>
        <v>Unique</v>
      </c>
    </row>
    <row r="467" spans="1:46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  <c r="W467" t="s">
        <v>2278</v>
      </c>
      <c r="Z467" t="s">
        <v>2281</v>
      </c>
      <c r="AA467" t="str">
        <v>Aarav Sharma</v>
      </c>
      <c r="AB467" t="str">
        <f>TRIM(PROPER(F:F))</f>
        <v>Small Business</v>
      </c>
      <c r="AC467" t="str">
        <f>TRIM(PROPER(G:G))</f>
        <v>West</v>
      </c>
      <c r="AD467" t="str">
        <f>TRIM(PROPER(H:H))</f>
        <v>Madhya Pradesh</v>
      </c>
      <c r="AE467" t="str">
        <f>TRIM(PROPER(I:I))</f>
        <v>Indore</v>
      </c>
      <c r="AF467" t="str">
        <f>TRIM(PROPER(J:J))</f>
        <v>Office Supplies</v>
      </c>
      <c r="AG467" t="str">
        <f>TRIM(PROPER(K:K))</f>
        <v>Labels</v>
      </c>
      <c r="AH467" t="str">
        <f>TRIM(PROPER(L:L))</f>
        <v>Eco Labels 914</v>
      </c>
      <c r="AI467" t="str">
        <f>TRIM(PROPER(M:M))</f>
        <v>Standard Class</v>
      </c>
      <c r="AJ467" s="5">
        <f>IF(OR(P467&lt;0,P467&gt;0.5),"invalid",P467)</f>
        <v>0</v>
      </c>
      <c r="AK467" s="6">
        <f>IFERROR(N467*O467*(1-AJ467), "NA")</f>
        <v>2517.8000000000002</v>
      </c>
      <c r="AL467" s="6">
        <f>IFERROR(AK467-R467,"NA")</f>
        <v>1039.2600000000002</v>
      </c>
      <c r="AM467" s="5">
        <f t="shared" si="35"/>
        <v>0.41276511239971408</v>
      </c>
      <c r="AN467" t="str">
        <v>29-01-24</v>
      </c>
      <c r="AO467" t="str">
        <v>06-02-24</v>
      </c>
      <c r="AP467" t="str">
        <f t="shared" si="36"/>
        <v>January</v>
      </c>
      <c r="AQ467" t="str">
        <f t="shared" si="37"/>
        <v>2024</v>
      </c>
      <c r="AR467" t="str">
        <f t="shared" si="38"/>
        <v>anomaly</v>
      </c>
      <c r="AS467">
        <f t="shared" si="39"/>
        <v>8</v>
      </c>
      <c r="AT467" t="str">
        <f>IF(COUNTIFS( $A:$A,A467,$B:$B,B467,$C:$C,C467,$D:$D,D467,$E:$E,E467,$F:$F,F467,$G:$G,G467,$H:$H,H467,$I:$I,I467,$J:$J,J467,$K:$K,K467,$L:$L,L467,$M:$M,M467,$T:$T,T467,$U:$U,U467,$W:$W,W467,$Z:$Z,Z467,$AA:$AA,AA467,$AB:$AB,AB467,$AC:$AC,AC467,$AD:$AD,AD467,$AE:$AE,AE467,$AF:$AF,AF467,$AG:$AG,AG467,$AH:$AH,AH467,$AI:$AI,AI467)&gt;1,"Duplicate","Unique")</f>
        <v>Unique</v>
      </c>
    </row>
    <row r="468" spans="1:46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  <c r="W468" t="s">
        <v>2283</v>
      </c>
      <c r="Z468" t="s">
        <v>2286</v>
      </c>
      <c r="AA468" t="str">
        <v>Mira Das</v>
      </c>
      <c r="AB468" t="str">
        <f>TRIM(PROPER(F:F))</f>
        <v>Small Business</v>
      </c>
      <c r="AC468" t="str">
        <f>TRIM(PROPER(G:G))</f>
        <v>East</v>
      </c>
      <c r="AD468" t="str">
        <f>TRIM(PROPER(H:H))</f>
        <v>Bihar</v>
      </c>
      <c r="AE468" t="str">
        <f>TRIM(PROPER(I:I))</f>
        <v>Patna</v>
      </c>
      <c r="AF468" t="str">
        <f>TRIM(PROPER(J:J))</f>
        <v>Technology</v>
      </c>
      <c r="AG468" t="str">
        <f>TRIM(PROPER(K:K))</f>
        <v>Accessories</v>
      </c>
      <c r="AH468" t="str">
        <f>TRIM(PROPER(L:L))</f>
        <v>Max Accessories 486</v>
      </c>
      <c r="AI468" t="str">
        <f>TRIM(PROPER(M:M))</f>
        <v>Same Day</v>
      </c>
      <c r="AJ468" s="5">
        <f>IF(OR(P468&lt;0,P468&gt;0.5),"invalid",P468)</f>
        <v>0.2</v>
      </c>
      <c r="AK468" s="6">
        <f>IFERROR(N468*O468*(1-AJ468), "NA")</f>
        <v>11462.112000000001</v>
      </c>
      <c r="AL468" s="6">
        <f>IFERROR(AK468-R468,"NA")</f>
        <v>4356.6320000000014</v>
      </c>
      <c r="AM468" s="5">
        <f t="shared" si="35"/>
        <v>0.38008981241851425</v>
      </c>
      <c r="AN468" t="str">
        <v>04-01-24</v>
      </c>
      <c r="AO468" t="str">
        <v>01-08-24</v>
      </c>
      <c r="AP468" t="str">
        <f t="shared" si="36"/>
        <v>January</v>
      </c>
      <c r="AQ468" t="str">
        <f t="shared" si="37"/>
        <v>2024</v>
      </c>
      <c r="AR468" t="str">
        <f t="shared" si="38"/>
        <v>anomaly</v>
      </c>
      <c r="AS468">
        <f t="shared" si="39"/>
        <v>210</v>
      </c>
      <c r="AT468" t="str">
        <f>IF(COUNTIFS( $A:$A,A468,$B:$B,B468,$C:$C,C468,$D:$D,D468,$E:$E,E468,$F:$F,F468,$G:$G,G468,$H:$H,H468,$I:$I,I468,$J:$J,J468,$K:$K,K468,$L:$L,L468,$M:$M,M468,$T:$T,T468,$U:$U,U468,$W:$W,W468,$Z:$Z,Z468,$AA:$AA,AA468,$AB:$AB,AB468,$AC:$AC,AC468,$AD:$AD,AD468,$AE:$AE,AE468,$AF:$AF,AF468,$AG:$AG,AG468,$AH:$AH,AH468,$AI:$AI,AI468)&gt;1,"Duplicate","Unique")</f>
        <v>Unique</v>
      </c>
    </row>
    <row r="469" spans="1:46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  <c r="W469" t="s">
        <v>2288</v>
      </c>
      <c r="Z469" t="s">
        <v>2290</v>
      </c>
      <c r="AA469" t="str">
        <v>Aditi Sen</v>
      </c>
      <c r="AB469" t="str">
        <f>TRIM(PROPER(F:F))</f>
        <v>Corporate</v>
      </c>
      <c r="AC469" t="str">
        <f>TRIM(PROPER(G:G))</f>
        <v>East</v>
      </c>
      <c r="AD469" t="str">
        <f>TRIM(PROPER(H:H))</f>
        <v>Odisha</v>
      </c>
      <c r="AE469" t="str">
        <f>TRIM(PROPER(I:I))</f>
        <v>Bhubaneswar</v>
      </c>
      <c r="AF469" t="str">
        <f>TRIM(PROPER(J:J))</f>
        <v>Technology</v>
      </c>
      <c r="AG469" t="str">
        <f>TRIM(PROPER(K:K))</f>
        <v>Copiers</v>
      </c>
      <c r="AH469" t="str">
        <f>TRIM(PROPER(L:L))</f>
        <v>Max Copiers 867</v>
      </c>
      <c r="AI469" t="str">
        <f>TRIM(PROPER(M:M))</f>
        <v>First Class</v>
      </c>
      <c r="AJ469" s="5">
        <f>IF(OR(P469&lt;0,P469&gt;0.5),"invalid",P469)</f>
        <v>0.1</v>
      </c>
      <c r="AK469" s="6">
        <f>IFERROR(N469*O469*(1-AJ469), "NA")</f>
        <v>19297.485000000001</v>
      </c>
      <c r="AL469" s="6">
        <f>IFERROR(AK469-R469,"NA")</f>
        <v>3845.8250000000007</v>
      </c>
      <c r="AM469" s="5">
        <f t="shared" si="35"/>
        <v>0.1992915138941681</v>
      </c>
      <c r="AN469" t="str">
        <v>20-08-24</v>
      </c>
      <c r="AO469" t="str">
        <v>21-08-24</v>
      </c>
      <c r="AP469" t="str">
        <f t="shared" si="36"/>
        <v>August</v>
      </c>
      <c r="AQ469" t="str">
        <f t="shared" si="37"/>
        <v>2024</v>
      </c>
      <c r="AR469" t="str">
        <f t="shared" si="38"/>
        <v xml:space="preserve"> </v>
      </c>
      <c r="AS469">
        <f t="shared" si="39"/>
        <v>1</v>
      </c>
      <c r="AT469" t="str">
        <f>IF(COUNTIFS( $A:$A,A469,$B:$B,B469,$C:$C,C469,$D:$D,D469,$E:$E,E469,$F:$F,F469,$G:$G,G469,$H:$H,H469,$I:$I,I469,$J:$J,J469,$K:$K,K469,$L:$L,L469,$M:$M,M469,$T:$T,T469,$U:$U,U469,$W:$W,W469,$Z:$Z,Z469,$AA:$AA,AA469,$AB:$AB,AB469,$AC:$AC,AC469,$AD:$AD,AD469,$AE:$AE,AE469,$AF:$AF,AF469,$AG:$AG,AG469,$AH:$AH,AH469,$AI:$AI,AI469)&gt;1,"Duplicate","Unique")</f>
        <v>Unique</v>
      </c>
    </row>
    <row r="470" spans="1:46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  <c r="W470" t="s">
        <v>2292</v>
      </c>
      <c r="Z470" t="s">
        <v>2295</v>
      </c>
      <c r="AA470" t="str">
        <v>Aarav Sharma</v>
      </c>
      <c r="AB470" t="str">
        <f>TRIM(PROPER(F:F))</f>
        <v>Home Office</v>
      </c>
      <c r="AC470" t="str">
        <f>TRIM(PROPER(G:G))</f>
        <v>East</v>
      </c>
      <c r="AD470" t="str">
        <f>TRIM(PROPER(H:H))</f>
        <v>West Bengal</v>
      </c>
      <c r="AE470" t="str">
        <f>TRIM(PROPER(I:I))</f>
        <v>Kolkata</v>
      </c>
      <c r="AF470" t="str">
        <f>TRIM(PROPER(J:J))</f>
        <v>Office Supplies</v>
      </c>
      <c r="AG470" t="str">
        <f>TRIM(PROPER(K:K))</f>
        <v>Binders</v>
      </c>
      <c r="AH470" t="str">
        <f>TRIM(PROPER(L:L))</f>
        <v>Pro Binders 555</v>
      </c>
      <c r="AI470" t="str">
        <f>TRIM(PROPER(M:M))</f>
        <v>Second Class</v>
      </c>
      <c r="AJ470" s="5">
        <f>IF(OR(P470&lt;0,P470&gt;0.5),"invalid",P470)</f>
        <v>0</v>
      </c>
      <c r="AK470" s="6">
        <f>IFERROR(N470*O470*(1-AJ470), "NA")</f>
        <v>6564.99</v>
      </c>
      <c r="AL470" s="6">
        <f>IFERROR(AK470-R470,"NA")</f>
        <v>1157.75</v>
      </c>
      <c r="AM470" s="5">
        <f t="shared" si="35"/>
        <v>0.17635213458055535</v>
      </c>
      <c r="AN470" t="str">
        <v>09-01-25</v>
      </c>
      <c r="AO470" t="str">
        <v>07-01-25</v>
      </c>
      <c r="AP470" t="str">
        <f t="shared" si="36"/>
        <v>January</v>
      </c>
      <c r="AQ470" t="str">
        <f t="shared" si="37"/>
        <v>2025</v>
      </c>
      <c r="AR470" t="str">
        <f t="shared" si="38"/>
        <v>anomaly</v>
      </c>
      <c r="AS470">
        <f t="shared" si="39"/>
        <v>-2</v>
      </c>
      <c r="AT470" t="str">
        <f>IF(COUNTIFS( $A:$A,A470,$B:$B,B470,$C:$C,C470,$D:$D,D470,$E:$E,E470,$F:$F,F470,$G:$G,G470,$H:$H,H470,$I:$I,I470,$J:$J,J470,$K:$K,K470,$L:$L,L470,$M:$M,M470,$T:$T,T470,$U:$U,U470,$W:$W,W470,$Z:$Z,Z470,$AA:$AA,AA470,$AB:$AB,AB470,$AC:$AC,AC470,$AD:$AD,AD470,$AE:$AE,AE470,$AF:$AF,AF470,$AG:$AG,AG470,$AH:$AH,AH470,$AI:$AI,AI470)&gt;1,"Duplicate","Unique")</f>
        <v>Unique</v>
      </c>
    </row>
    <row r="471" spans="1:46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  <c r="W471" t="s">
        <v>2297</v>
      </c>
      <c r="Z471" t="s">
        <v>2299</v>
      </c>
      <c r="AA471" t="str">
        <v>Aditi Sen</v>
      </c>
      <c r="AB471" t="str">
        <f>TRIM(PROPER(F:F))</f>
        <v>Corporate</v>
      </c>
      <c r="AC471" t="str">
        <f>TRIM(PROPER(G:G))</f>
        <v>West</v>
      </c>
      <c r="AD471" t="str">
        <f>TRIM(PROPER(H:H))</f>
        <v>Goa</v>
      </c>
      <c r="AE471" t="str">
        <f>TRIM(PROPER(I:I))</f>
        <v>Panaji</v>
      </c>
      <c r="AF471" t="str">
        <f>TRIM(PROPER(J:J))</f>
        <v>Technology</v>
      </c>
      <c r="AG471" t="str">
        <f>TRIM(PROPER(K:K))</f>
        <v>Copiers</v>
      </c>
      <c r="AH471" t="str">
        <f>TRIM(PROPER(L:L))</f>
        <v>Pro Copiers 971</v>
      </c>
      <c r="AI471" t="str">
        <f>TRIM(PROPER(M:M))</f>
        <v>First Class</v>
      </c>
      <c r="AJ471" s="5">
        <f>IF(OR(P471&lt;0,P471&gt;0.5),"invalid",P471)</f>
        <v>0.1</v>
      </c>
      <c r="AK471" s="6">
        <f>IFERROR(N471*O471*(1-AJ471), "NA")</f>
        <v>2812.4820000000004</v>
      </c>
      <c r="AL471" s="6">
        <f>IFERROR(AK471-R471,"NA")</f>
        <v>530.36200000000053</v>
      </c>
      <c r="AM471" s="5">
        <f t="shared" si="35"/>
        <v>0.18857436243147527</v>
      </c>
      <c r="AN471" t="str">
        <v>19-01-24</v>
      </c>
      <c r="AO471" t="str">
        <v>invalid date</v>
      </c>
      <c r="AP471" t="str">
        <f t="shared" si="36"/>
        <v>January</v>
      </c>
      <c r="AQ471" t="str">
        <f t="shared" si="37"/>
        <v>2024</v>
      </c>
      <c r="AR471" t="str">
        <f t="shared" si="38"/>
        <v>Invalid</v>
      </c>
      <c r="AS471" t="str">
        <f t="shared" si="39"/>
        <v>invalid date</v>
      </c>
      <c r="AT471" t="str">
        <f>IF(COUNTIFS( $A:$A,A471,$B:$B,B471,$C:$C,C471,$D:$D,D471,$E:$E,E471,$F:$F,F471,$G:$G,G471,$H:$H,H471,$I:$I,I471,$J:$J,J471,$K:$K,K471,$L:$L,L471,$M:$M,M471,$T:$T,T471,$U:$U,U471,$W:$W,W471,$Z:$Z,Z471,$AA:$AA,AA471,$AB:$AB,AB471,$AC:$AC,AC471,$AD:$AD,AD471,$AE:$AE,AE471,$AF:$AF,AF471,$AG:$AG,AG471,$AH:$AH,AH471,$AI:$AI,AI471)&gt;1,"Duplicate","Unique")</f>
        <v>Unique</v>
      </c>
    </row>
    <row r="472" spans="1:46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  <c r="W472" t="s">
        <v>2301</v>
      </c>
      <c r="Z472" t="s">
        <v>2303</v>
      </c>
      <c r="AA472" t="str">
        <v>Aditi Sen</v>
      </c>
      <c r="AB472" t="str">
        <f>TRIM(PROPER(F:F))</f>
        <v>Consumer</v>
      </c>
      <c r="AC472" t="str">
        <f>TRIM(PROPER(G:G))</f>
        <v>North</v>
      </c>
      <c r="AD472" t="str">
        <f>TRIM(PROPER(H:H))</f>
        <v>Rajasthan</v>
      </c>
      <c r="AE472" t="str">
        <f>TRIM(PROPER(I:I))</f>
        <v>Jaipur</v>
      </c>
      <c r="AF472" t="str">
        <f>TRIM(PROPER(J:J))</f>
        <v>Furniture</v>
      </c>
      <c r="AG472" t="str">
        <f>TRIM(PROPER(K:K))</f>
        <v>Tables</v>
      </c>
      <c r="AH472" t="str">
        <f>TRIM(PROPER(L:L))</f>
        <v>Pro Tables 833</v>
      </c>
      <c r="AI472" t="str">
        <f>TRIM(PROPER(M:M))</f>
        <v>Same Day</v>
      </c>
      <c r="AJ472" s="5">
        <f>IF(OR(P472&lt;0,P472&gt;0.5),"invalid",P472)</f>
        <v>0.2</v>
      </c>
      <c r="AK472" s="6">
        <f>IFERROR(N472*O472*(1-AJ472), "NA")</f>
        <v>7079.6480000000001</v>
      </c>
      <c r="AL472" s="6">
        <f>IFERROR(AK472-R472,"NA")</f>
        <v>2613.7380000000003</v>
      </c>
      <c r="AM472" s="5">
        <f t="shared" si="35"/>
        <v>0.36919038912669105</v>
      </c>
      <c r="AN472" t="str">
        <v>28-07-24</v>
      </c>
      <c r="AO472" t="str">
        <v>invalid date</v>
      </c>
      <c r="AP472" t="str">
        <f t="shared" si="36"/>
        <v>July</v>
      </c>
      <c r="AQ472" t="str">
        <f t="shared" si="37"/>
        <v>2024</v>
      </c>
      <c r="AR472" t="str">
        <f t="shared" si="38"/>
        <v>Invalid</v>
      </c>
      <c r="AS472" t="str">
        <f t="shared" si="39"/>
        <v>invalid date</v>
      </c>
      <c r="AT472" t="str">
        <f>IF(COUNTIFS( $A:$A,A472,$B:$B,B472,$C:$C,C472,$D:$D,D472,$E:$E,E472,$F:$F,F472,$G:$G,G472,$H:$H,H472,$I:$I,I472,$J:$J,J472,$K:$K,K472,$L:$L,L472,$M:$M,M472,$T:$T,T472,$U:$U,U472,$W:$W,W472,$Z:$Z,Z472,$AA:$AA,AA472,$AB:$AB,AB472,$AC:$AC,AC472,$AD:$AD,AD472,$AE:$AE,AE472,$AF:$AF,AF472,$AG:$AG,AG472,$AH:$AH,AH472,$AI:$AI,AI472)&gt;1,"Duplicate","Unique")</f>
        <v>Unique</v>
      </c>
    </row>
    <row r="473" spans="1:46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  <c r="W473" t="s">
        <v>2305</v>
      </c>
      <c r="Z473" t="s">
        <v>2308</v>
      </c>
      <c r="AA473" t="str">
        <v>Kabir Singh</v>
      </c>
      <c r="AB473" t="str">
        <f>TRIM(PROPER(F:F))</f>
        <v>Consumer</v>
      </c>
      <c r="AC473" t="str">
        <f>TRIM(PROPER(G:G))</f>
        <v>South</v>
      </c>
      <c r="AD473" t="str">
        <f>TRIM(PROPER(H:H))</f>
        <v>Telangana</v>
      </c>
      <c r="AE473" t="str">
        <f>TRIM(PROPER(I:I))</f>
        <v>Hyderabad</v>
      </c>
      <c r="AF473" t="str">
        <f>TRIM(PROPER(J:J))</f>
        <v>Office Supplies</v>
      </c>
      <c r="AG473" t="str">
        <f>TRIM(PROPER(K:K))</f>
        <v>Binders</v>
      </c>
      <c r="AH473" t="str">
        <f>TRIM(PROPER(L:L))</f>
        <v>Prime Binders 497</v>
      </c>
      <c r="AI473" t="str">
        <f>TRIM(PROPER(M:M))</f>
        <v>Standard Class</v>
      </c>
      <c r="AJ473" s="5">
        <f>IF(OR(P473&lt;0,P473&gt;0.5),"invalid",P473)</f>
        <v>0.25</v>
      </c>
      <c r="AK473" s="6">
        <f>IFERROR(N473*O473*(1-AJ473), "NA")</f>
        <v>6793.0650000000005</v>
      </c>
      <c r="AL473" s="6">
        <f>IFERROR(AK473-R473,"NA")</f>
        <v>1807.8450000000003</v>
      </c>
      <c r="AM473" s="5">
        <f t="shared" si="35"/>
        <v>0.26613097327936652</v>
      </c>
      <c r="AN473" t="str">
        <v>11-02-24</v>
      </c>
      <c r="AO473" t="str">
        <v>invalid date</v>
      </c>
      <c r="AP473" t="str">
        <f t="shared" si="36"/>
        <v>February</v>
      </c>
      <c r="AQ473" t="str">
        <f t="shared" si="37"/>
        <v>2024</v>
      </c>
      <c r="AR473" t="str">
        <f t="shared" si="38"/>
        <v>Invalid</v>
      </c>
      <c r="AS473" t="str">
        <f t="shared" si="39"/>
        <v>invalid date</v>
      </c>
      <c r="AT473" t="str">
        <f>IF(COUNTIFS( $A:$A,A473,$B:$B,B473,$C:$C,C473,$D:$D,D473,$E:$E,E473,$F:$F,F473,$G:$G,G473,$H:$H,H473,$I:$I,I473,$J:$J,J473,$K:$K,K473,$L:$L,L473,$M:$M,M473,$T:$T,T473,$U:$U,U473,$W:$W,W473,$Z:$Z,Z473,$AA:$AA,AA473,$AB:$AB,AB473,$AC:$AC,AC473,$AD:$AD,AD473,$AE:$AE,AE473,$AF:$AF,AF473,$AG:$AG,AG473,$AH:$AH,AH473,$AI:$AI,AI473)&gt;1,"Duplicate","Unique")</f>
        <v>Unique</v>
      </c>
    </row>
    <row r="474" spans="1:46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  <c r="W474" t="s">
        <v>2310</v>
      </c>
      <c r="Z474" t="s">
        <v>2312</v>
      </c>
      <c r="AA474" t="str">
        <v>Rohan Mehta</v>
      </c>
      <c r="AB474" t="str">
        <f>TRIM(PROPER(F:F))</f>
        <v>Corporate</v>
      </c>
      <c r="AC474" t="str">
        <f>TRIM(PROPER(G:G))</f>
        <v>East</v>
      </c>
      <c r="AD474" t="str">
        <f>TRIM(PROPER(H:H))</f>
        <v>Odisha</v>
      </c>
      <c r="AE474" t="str">
        <f>TRIM(PROPER(I:I))</f>
        <v>Bhubaneswar</v>
      </c>
      <c r="AF474" t="str">
        <f>TRIM(PROPER(J:J))</f>
        <v>Office Supplies</v>
      </c>
      <c r="AG474" t="str">
        <f>TRIM(PROPER(K:K))</f>
        <v>Storage</v>
      </c>
      <c r="AH474" t="str">
        <f>TRIM(PROPER(L:L))</f>
        <v>Pro Storage 756</v>
      </c>
      <c r="AI474" t="str">
        <f>TRIM(PROPER(M:M))</f>
        <v>Standard Class</v>
      </c>
      <c r="AJ474" s="5">
        <f>IF(OR(P474&lt;0,P474&gt;0.5),"invalid",P474)</f>
        <v>0</v>
      </c>
      <c r="AK474" s="6">
        <f>IFERROR(N474*O474*(1-AJ474), "NA")</f>
        <v>1844.2199999999998</v>
      </c>
      <c r="AL474" s="6">
        <f>IFERROR(AK474-R474,"NA")</f>
        <v>750.00999999999976</v>
      </c>
      <c r="AM474" s="5">
        <f t="shared" si="35"/>
        <v>0.40668141544934977</v>
      </c>
      <c r="AN474" t="str">
        <v>02-03-24</v>
      </c>
      <c r="AO474" t="str">
        <v>03-07-24</v>
      </c>
      <c r="AP474" t="str">
        <f t="shared" si="36"/>
        <v>March</v>
      </c>
      <c r="AQ474" t="str">
        <f t="shared" si="37"/>
        <v>2024</v>
      </c>
      <c r="AR474" t="str">
        <f t="shared" si="38"/>
        <v xml:space="preserve"> </v>
      </c>
      <c r="AS474">
        <f t="shared" si="39"/>
        <v>123</v>
      </c>
      <c r="AT474" t="str">
        <f>IF(COUNTIFS( $A:$A,A474,$B:$B,B474,$C:$C,C474,$D:$D,D474,$E:$E,E474,$F:$F,F474,$G:$G,G474,$H:$H,H474,$I:$I,I474,$J:$J,J474,$K:$K,K474,$L:$L,L474,$M:$M,M474,$T:$T,T474,$U:$U,U474,$W:$W,W474,$Z:$Z,Z474,$AA:$AA,AA474,$AB:$AB,AB474,$AC:$AC,AC474,$AD:$AD,AD474,$AE:$AE,AE474,$AF:$AF,AF474,$AG:$AG,AG474,$AH:$AH,AH474,$AI:$AI,AI474)&gt;1,"Duplicate","Unique")</f>
        <v>Unique</v>
      </c>
    </row>
    <row r="475" spans="1:46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  <c r="W475" t="s">
        <v>2314</v>
      </c>
      <c r="Z475" t="s">
        <v>2316</v>
      </c>
      <c r="AA475" t="str">
        <v>Priya Menon</v>
      </c>
      <c r="AB475" t="str">
        <f>TRIM(PROPER(F:F))</f>
        <v>Consumer</v>
      </c>
      <c r="AC475" t="str">
        <f>TRIM(PROPER(G:G))</f>
        <v>West</v>
      </c>
      <c r="AD475" t="str">
        <f>TRIM(PROPER(H:H))</f>
        <v>Goa</v>
      </c>
      <c r="AE475" t="str">
        <f>TRIM(PROPER(I:I))</f>
        <v>Panaji</v>
      </c>
      <c r="AF475" t="str">
        <f>TRIM(PROPER(J:J))</f>
        <v>Technology</v>
      </c>
      <c r="AG475" t="str">
        <f>TRIM(PROPER(K:K))</f>
        <v>Copiers</v>
      </c>
      <c r="AH475" t="str">
        <f>TRIM(PROPER(L:L))</f>
        <v>Max Copiers 829</v>
      </c>
      <c r="AI475" t="str">
        <f>TRIM(PROPER(M:M))</f>
        <v>Standard Class</v>
      </c>
      <c r="AJ475" s="5">
        <f>IF(OR(P475&lt;0,P475&gt;0.5),"invalid",P475)</f>
        <v>0.2</v>
      </c>
      <c r="AK475" s="6">
        <f>IFERROR(N475*O475*(1-AJ475), "NA")</f>
        <v>918.95999999999992</v>
      </c>
      <c r="AL475" s="6">
        <f>IFERROR(AK475-R475,"NA")</f>
        <v>364.78</v>
      </c>
      <c r="AM475" s="5">
        <f t="shared" si="35"/>
        <v>0.39694872464525116</v>
      </c>
      <c r="AN475" t="str">
        <v>13-11-24</v>
      </c>
      <c r="AO475" t="str">
        <v>13-11-24</v>
      </c>
      <c r="AP475" t="str">
        <f t="shared" si="36"/>
        <v>November</v>
      </c>
      <c r="AQ475" t="str">
        <f t="shared" si="37"/>
        <v>2024</v>
      </c>
      <c r="AR475" t="str">
        <f t="shared" si="38"/>
        <v xml:space="preserve"> </v>
      </c>
      <c r="AS475">
        <f t="shared" si="39"/>
        <v>0</v>
      </c>
      <c r="AT475" t="str">
        <f>IF(COUNTIFS( $A:$A,A475,$B:$B,B475,$C:$C,C475,$D:$D,D475,$E:$E,E475,$F:$F,F475,$G:$G,G475,$H:$H,H475,$I:$I,I475,$J:$J,J475,$K:$K,K475,$L:$L,L475,$M:$M,M475,$T:$T,T475,$U:$U,U475,$W:$W,W475,$Z:$Z,Z475,$AA:$AA,AA475,$AB:$AB,AB475,$AC:$AC,AC475,$AD:$AD,AD475,$AE:$AE,AE475,$AF:$AF,AF475,$AG:$AG,AG475,$AH:$AH,AH475,$AI:$AI,AI475)&gt;1,"Duplicate","Unique")</f>
        <v>Unique</v>
      </c>
    </row>
    <row r="476" spans="1:46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  <c r="W476" t="s">
        <v>2318</v>
      </c>
      <c r="Z476" t="s">
        <v>2320</v>
      </c>
      <c r="AA476" t="str">
        <v>Diya Patel</v>
      </c>
      <c r="AB476" t="str">
        <f>TRIM(PROPER(F:F))</f>
        <v>Corporate</v>
      </c>
      <c r="AC476" t="str">
        <f>TRIM(PROPER(G:G))</f>
        <v>North</v>
      </c>
      <c r="AD476" t="str">
        <f>TRIM(PROPER(H:H))</f>
        <v>Punjab</v>
      </c>
      <c r="AE476" t="str">
        <f>TRIM(PROPER(I:I))</f>
        <v>Ludhiana</v>
      </c>
      <c r="AF476" t="str">
        <f>TRIM(PROPER(J:J))</f>
        <v>Furniture</v>
      </c>
      <c r="AG476" t="str">
        <f>TRIM(PROPER(K:K))</f>
        <v>Furnishings</v>
      </c>
      <c r="AH476" t="str">
        <f>TRIM(PROPER(L:L))</f>
        <v>Prime Furnishings 827</v>
      </c>
      <c r="AI476" t="str">
        <f>TRIM(PROPER(M:M))</f>
        <v>Standard Class</v>
      </c>
      <c r="AJ476" s="5">
        <f>IF(OR(P476&lt;0,P476&gt;0.5),"invalid",P476)</f>
        <v>0</v>
      </c>
      <c r="AK476" s="6">
        <f>IFERROR(N476*O476*(1-AJ476), "NA")</f>
        <v>4900.71</v>
      </c>
      <c r="AL476" s="6">
        <f>IFERROR(AK476-R476,"NA")</f>
        <v>2186.81</v>
      </c>
      <c r="AM476" s="5">
        <f t="shared" si="35"/>
        <v>0.44622309828575857</v>
      </c>
      <c r="AN476" t="str">
        <v>03-06-24</v>
      </c>
      <c r="AO476" t="str">
        <v>10-06-24</v>
      </c>
      <c r="AP476" t="str">
        <f t="shared" si="36"/>
        <v>June</v>
      </c>
      <c r="AQ476" t="str">
        <f t="shared" si="37"/>
        <v>2024</v>
      </c>
      <c r="AR476" t="str">
        <f t="shared" si="38"/>
        <v xml:space="preserve"> </v>
      </c>
      <c r="AS476">
        <f t="shared" si="39"/>
        <v>7</v>
      </c>
      <c r="AT476" t="str">
        <f>IF(COUNTIFS( $A:$A,A476,$B:$B,B476,$C:$C,C476,$D:$D,D476,$E:$E,E476,$F:$F,F476,$G:$G,G476,$H:$H,H476,$I:$I,I476,$J:$J,J476,$K:$K,K476,$L:$L,L476,$M:$M,M476,$T:$T,T476,$U:$U,U476,$W:$W,W476,$Z:$Z,Z476,$AA:$AA,AA476,$AB:$AB,AB476,$AC:$AC,AC476,$AD:$AD,AD476,$AE:$AE,AE476,$AF:$AF,AF476,$AG:$AG,AG476,$AH:$AH,AH476,$AI:$AI,AI476)&gt;1,"Duplicate","Unique")</f>
        <v>Unique</v>
      </c>
    </row>
    <row r="477" spans="1:46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  <c r="W477" t="s">
        <v>2322</v>
      </c>
      <c r="Z477" t="s">
        <v>2325</v>
      </c>
      <c r="AA477" t="str">
        <v>Vikram Iyer</v>
      </c>
      <c r="AB477" t="str">
        <f>TRIM(PROPER(F:F))</f>
        <v>Consumer</v>
      </c>
      <c r="AC477" t="str">
        <f>TRIM(PROPER(G:G))</f>
        <v>East</v>
      </c>
      <c r="AD477" t="str">
        <f>TRIM(PROPER(H:H))</f>
        <v>West Bengal</v>
      </c>
      <c r="AE477" t="str">
        <f>TRIM(PROPER(I:I))</f>
        <v>Kolkata</v>
      </c>
      <c r="AF477" t="str">
        <f>TRIM(PROPER(J:J))</f>
        <v>Furniture</v>
      </c>
      <c r="AG477" t="str">
        <f>TRIM(PROPER(K:K))</f>
        <v>Chairs</v>
      </c>
      <c r="AH477" t="str">
        <f>TRIM(PROPER(L:L))</f>
        <v>Eco Chairs 365</v>
      </c>
      <c r="AI477" t="str">
        <f>TRIM(PROPER(M:M))</f>
        <v>Same Day</v>
      </c>
      <c r="AJ477" s="5">
        <f>IF(OR(P477&lt;0,P477&gt;0.5),"invalid",P477)</f>
        <v>0.25</v>
      </c>
      <c r="AK477" s="6">
        <f>IFERROR(N477*O477*(1-AJ477), "NA")</f>
        <v>20272.920000000002</v>
      </c>
      <c r="AL477" s="6">
        <f>IFERROR(AK477-R477,"NA")</f>
        <v>4399.5400000000027</v>
      </c>
      <c r="AM477" s="5">
        <f t="shared" si="35"/>
        <v>0.21701560505344086</v>
      </c>
      <c r="AN477" t="str">
        <v>03-01-25</v>
      </c>
      <c r="AO477" t="str">
        <v>08-03-25</v>
      </c>
      <c r="AP477" t="str">
        <f t="shared" si="36"/>
        <v>January</v>
      </c>
      <c r="AQ477" t="str">
        <f t="shared" si="37"/>
        <v>2025</v>
      </c>
      <c r="AR477" t="str">
        <f t="shared" si="38"/>
        <v xml:space="preserve"> </v>
      </c>
      <c r="AS477">
        <f t="shared" si="39"/>
        <v>64</v>
      </c>
      <c r="AT477" t="str">
        <f>IF(COUNTIFS( $A:$A,A477,$B:$B,B477,$C:$C,C477,$D:$D,D477,$E:$E,E477,$F:$F,F477,$G:$G,G477,$H:$H,H477,$I:$I,I477,$J:$J,J477,$K:$K,K477,$L:$L,L477,$M:$M,M477,$T:$T,T477,$U:$U,U477,$W:$W,W477,$Z:$Z,Z477,$AA:$AA,AA477,$AB:$AB,AB477,$AC:$AC,AC477,$AD:$AD,AD477,$AE:$AE,AE477,$AF:$AF,AF477,$AG:$AG,AG477,$AH:$AH,AH477,$AI:$AI,AI477)&gt;1,"Duplicate","Unique")</f>
        <v>Unique</v>
      </c>
    </row>
    <row r="478" spans="1:46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  <c r="W478" t="s">
        <v>2327</v>
      </c>
      <c r="Z478" t="s">
        <v>2330</v>
      </c>
      <c r="AA478" t="str">
        <v>Sneha Kapoor</v>
      </c>
      <c r="AB478" t="str">
        <f>TRIM(PROPER(F:F))</f>
        <v>Small Business</v>
      </c>
      <c r="AC478" t="str">
        <f>TRIM(PROPER(G:G))</f>
        <v>North</v>
      </c>
      <c r="AD478" t="str">
        <f>TRIM(PROPER(H:H))</f>
        <v>Rajasthan</v>
      </c>
      <c r="AE478" t="str">
        <f>TRIM(PROPER(I:I))</f>
        <v>Jaipur</v>
      </c>
      <c r="AF478" t="str">
        <f>TRIM(PROPER(J:J))</f>
        <v>Office Supplies</v>
      </c>
      <c r="AG478" t="str">
        <f>TRIM(PROPER(K:K))</f>
        <v>Storage</v>
      </c>
      <c r="AH478" t="str">
        <f>TRIM(PROPER(L:L))</f>
        <v>Classic Storage 545</v>
      </c>
      <c r="AI478" t="str">
        <f>TRIM(PROPER(M:M))</f>
        <v>First Class</v>
      </c>
      <c r="AJ478" s="5">
        <f>IF(OR(P478&lt;0,P478&gt;0.5),"invalid",P478)</f>
        <v>0.1</v>
      </c>
      <c r="AK478" s="6">
        <f>IFERROR(N478*O478*(1-AJ478), "NA")</f>
        <v>1035.6659999999999</v>
      </c>
      <c r="AL478" s="6">
        <f>IFERROR(AK478-R478,"NA")</f>
        <v>440.24599999999998</v>
      </c>
      <c r="AM478" s="5">
        <f t="shared" si="35"/>
        <v>0.42508492120046426</v>
      </c>
      <c r="AN478" t="str">
        <v>05-07-24</v>
      </c>
      <c r="AO478" t="str">
        <v>invalid date</v>
      </c>
      <c r="AP478" t="str">
        <f t="shared" si="36"/>
        <v>July</v>
      </c>
      <c r="AQ478" t="str">
        <f t="shared" si="37"/>
        <v>2024</v>
      </c>
      <c r="AR478" t="str">
        <f t="shared" si="38"/>
        <v>Invalid</v>
      </c>
      <c r="AS478" t="str">
        <f t="shared" si="39"/>
        <v>invalid date</v>
      </c>
      <c r="AT478" t="str">
        <f>IF(COUNTIFS( $A:$A,A478,$B:$B,B478,$C:$C,C478,$D:$D,D478,$E:$E,E478,$F:$F,F478,$G:$G,G478,$H:$H,H478,$I:$I,I478,$J:$J,J478,$K:$K,K478,$L:$L,L478,$M:$M,M478,$T:$T,T478,$U:$U,U478,$W:$W,W478,$Z:$Z,Z478,$AA:$AA,AA478,$AB:$AB,AB478,$AC:$AC,AC478,$AD:$AD,AD478,$AE:$AE,AE478,$AF:$AF,AF478,$AG:$AG,AG478,$AH:$AH,AH478,$AI:$AI,AI478)&gt;1,"Duplicate","Unique")</f>
        <v>Unique</v>
      </c>
    </row>
    <row r="479" spans="1:46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  <c r="W479" t="s">
        <v>2332</v>
      </c>
      <c r="Z479" t="s">
        <v>2335</v>
      </c>
      <c r="AA479" t="str">
        <v>Vikram Iyer</v>
      </c>
      <c r="AB479" t="str">
        <f>TRIM(PROPER(F:F))</f>
        <v>Corporate</v>
      </c>
      <c r="AC479" t="str">
        <f>TRIM(PROPER(G:G))</f>
        <v>West</v>
      </c>
      <c r="AD479" t="str">
        <f>TRIM(PROPER(H:H))</f>
        <v>Gujarat</v>
      </c>
      <c r="AE479" t="str">
        <f>TRIM(PROPER(I:I))</f>
        <v>Ahmedabad</v>
      </c>
      <c r="AF479" t="str">
        <f>TRIM(PROPER(J:J))</f>
        <v>Furniture</v>
      </c>
      <c r="AG479" t="str">
        <f>TRIM(PROPER(K:K))</f>
        <v>Chairs</v>
      </c>
      <c r="AH479" t="str">
        <f>TRIM(PROPER(L:L))</f>
        <v>Pro Chairs 186</v>
      </c>
      <c r="AI479" t="str">
        <f>TRIM(PROPER(M:M))</f>
        <v>Standard Class</v>
      </c>
      <c r="AJ479" s="5">
        <f>IF(OR(P479&lt;0,P479&gt;0.5),"invalid",P479)</f>
        <v>0.1</v>
      </c>
      <c r="AK479" s="6">
        <f>IFERROR(N479*O479*(1-AJ479), "NA")</f>
        <v>11843.442000000001</v>
      </c>
      <c r="AL479" s="6">
        <f>IFERROR(AK479-R479,"NA")</f>
        <v>2486.5620000000017</v>
      </c>
      <c r="AM479" s="5">
        <f t="shared" si="35"/>
        <v>0.20995264721184953</v>
      </c>
      <c r="AN479" t="str">
        <v>invalid date</v>
      </c>
      <c r="AO479" t="str">
        <v>28-08-25</v>
      </c>
      <c r="AP479" t="str">
        <f t="shared" si="36"/>
        <v>invalid date</v>
      </c>
      <c r="AQ479" t="str">
        <f t="shared" si="37"/>
        <v>invalid date</v>
      </c>
      <c r="AR479" t="str">
        <f t="shared" si="38"/>
        <v>Invalid</v>
      </c>
      <c r="AS479" t="str">
        <f t="shared" si="39"/>
        <v>invalid date</v>
      </c>
      <c r="AT479" t="str">
        <f>IF(COUNTIFS( $A:$A,A479,$B:$B,B479,$C:$C,C479,$D:$D,D479,$E:$E,E479,$F:$F,F479,$G:$G,G479,$H:$H,H479,$I:$I,I479,$J:$J,J479,$K:$K,K479,$L:$L,L479,$M:$M,M479,$T:$T,T479,$U:$U,U479,$W:$W,W479,$Z:$Z,Z479,$AA:$AA,AA479,$AB:$AB,AB479,$AC:$AC,AC479,$AD:$AD,AD479,$AE:$AE,AE479,$AF:$AF,AF479,$AG:$AG,AG479,$AH:$AH,AH479,$AI:$AI,AI479)&gt;1,"Duplicate","Unique")</f>
        <v>Unique</v>
      </c>
    </row>
    <row r="480" spans="1:46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  <c r="W480" t="s">
        <v>2337</v>
      </c>
      <c r="Z480" t="s">
        <v>2340</v>
      </c>
      <c r="AA480" t="str">
        <v>Mira Das</v>
      </c>
      <c r="AB480" t="str">
        <f>TRIM(PROPER(F:F))</f>
        <v>Home Office</v>
      </c>
      <c r="AC480" t="s">
        <v>4111</v>
      </c>
      <c r="AD480" t="str">
        <f>TRIM(PROPER(H:H))</f>
        <v>Uttar Pradesh</v>
      </c>
      <c r="AE480" t="str">
        <f>TRIM(PROPER(I:I))</f>
        <v>Noida</v>
      </c>
      <c r="AF480" t="str">
        <f>TRIM(PROPER(J:J))</f>
        <v>Technology</v>
      </c>
      <c r="AG480" t="str">
        <f>TRIM(PROPER(K:K))</f>
        <v>Machines</v>
      </c>
      <c r="AH480" t="str">
        <f>TRIM(PROPER(L:L))</f>
        <v>Classic Machines 561</v>
      </c>
      <c r="AI480" t="str">
        <f>TRIM(PROPER(M:M))</f>
        <v>Same Day</v>
      </c>
      <c r="AJ480" s="5">
        <f>IF(OR(P480&lt;0,P480&gt;0.5),"invalid",P480)</f>
        <v>0.1</v>
      </c>
      <c r="AK480" s="6">
        <f>IFERROR(N480*O480*(1-AJ480), "NA")</f>
        <v>25702.173000000003</v>
      </c>
      <c r="AL480" s="6">
        <f>IFERROR(AK480-R480,"NA")</f>
        <v>11130.693000000003</v>
      </c>
      <c r="AM480" s="5">
        <f t="shared" si="35"/>
        <v>0.43306427826160854</v>
      </c>
      <c r="AN480" t="str">
        <v>06-09-24</v>
      </c>
      <c r="AO480" t="str">
        <v>13-06-24</v>
      </c>
      <c r="AP480" t="str">
        <f t="shared" si="36"/>
        <v>September</v>
      </c>
      <c r="AQ480" t="str">
        <f t="shared" si="37"/>
        <v>2024</v>
      </c>
      <c r="AR480" t="str">
        <f t="shared" si="38"/>
        <v xml:space="preserve"> </v>
      </c>
      <c r="AS480">
        <f t="shared" si="39"/>
        <v>-85</v>
      </c>
      <c r="AT480" t="str">
        <f>IF(COUNTIFS( $A:$A,A480,$B:$B,B480,$C:$C,C480,$D:$D,D480,$E:$E,E480,$F:$F,F480,$G:$G,G480,$H:$H,H480,$I:$I,I480,$J:$J,J480,$K:$K,K480,$L:$L,L480,$M:$M,M480,$T:$T,T480,$U:$U,U480,$W:$W,W480,$Z:$Z,Z480,$AA:$AA,AA480,$AB:$AB,AB480,$AC:$AC,AC480,$AD:$AD,AD480,$AE:$AE,AE480,$AF:$AF,AF480,$AG:$AG,AG480,$AH:$AH,AH480,$AI:$AI,AI480)&gt;1,"Duplicate","Unique")</f>
        <v>Unique</v>
      </c>
    </row>
    <row r="481" spans="1:46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  <c r="W481" t="s">
        <v>2342</v>
      </c>
      <c r="Z481" t="s">
        <v>2344</v>
      </c>
      <c r="AA481" t="str">
        <v>Arjun Bose</v>
      </c>
      <c r="AB481" t="str">
        <f>TRIM(PROPER(F:F))</f>
        <v>Corporate</v>
      </c>
      <c r="AC481" t="str">
        <f>TRIM(PROPER(G:G))</f>
        <v>East</v>
      </c>
      <c r="AD481" t="str">
        <f>TRIM(PROPER(H:H))</f>
        <v>Odisha</v>
      </c>
      <c r="AE481" t="str">
        <f>TRIM(PROPER(I:I))</f>
        <v>Bhubaneswar</v>
      </c>
      <c r="AF481" t="str">
        <f>TRIM(PROPER(J:J))</f>
        <v>Furniture</v>
      </c>
      <c r="AG481" t="str">
        <f>TRIM(PROPER(K:K))</f>
        <v>Chairs</v>
      </c>
      <c r="AH481" t="str">
        <f>TRIM(PROPER(L:L))</f>
        <v>Max Chairs 594</v>
      </c>
      <c r="AI481" t="str">
        <f>TRIM(PROPER(M:M))</f>
        <v>Second Class</v>
      </c>
      <c r="AJ481" s="5">
        <f>IF(OR(P481&lt;0,P481&gt;0.5),"invalid",P481)</f>
        <v>0</v>
      </c>
      <c r="AK481" s="6">
        <f>IFERROR(N481*O481*(1-AJ481), "NA")</f>
        <v>2202.5500000000002</v>
      </c>
      <c r="AL481" s="6">
        <f>IFERROR(AK481-R481,"NA")</f>
        <v>1167.9800000000002</v>
      </c>
      <c r="AM481" s="5">
        <f t="shared" si="35"/>
        <v>0.53028535107035035</v>
      </c>
      <c r="AN481" t="str">
        <v>23-02-24</v>
      </c>
      <c r="AO481" t="str">
        <v>20-02-24</v>
      </c>
      <c r="AP481" t="str">
        <f t="shared" si="36"/>
        <v>February</v>
      </c>
      <c r="AQ481" t="str">
        <f t="shared" si="37"/>
        <v>2024</v>
      </c>
      <c r="AR481" t="str">
        <f t="shared" si="38"/>
        <v>anomaly</v>
      </c>
      <c r="AS481">
        <f t="shared" si="39"/>
        <v>-3</v>
      </c>
      <c r="AT481" t="str">
        <f>IF(COUNTIFS( $A:$A,A481,$B:$B,B481,$C:$C,C481,$D:$D,D481,$E:$E,E481,$F:$F,F481,$G:$G,G481,$H:$H,H481,$I:$I,I481,$J:$J,J481,$K:$K,K481,$L:$L,L481,$M:$M,M481,$T:$T,T481,$U:$U,U481,$W:$W,W481,$Z:$Z,Z481,$AA:$AA,AA481,$AB:$AB,AB481,$AC:$AC,AC481,$AD:$AD,AD481,$AE:$AE,AE481,$AF:$AF,AF481,$AG:$AG,AG481,$AH:$AH,AH481,$AI:$AI,AI481)&gt;1,"Duplicate","Unique")</f>
        <v>Unique</v>
      </c>
    </row>
    <row r="482" spans="1:46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  <c r="W482" t="s">
        <v>2346</v>
      </c>
      <c r="Z482" t="s">
        <v>2347</v>
      </c>
      <c r="AA482" t="str">
        <v>Neha Gupta</v>
      </c>
      <c r="AB482" t="str">
        <f>TRIM(PROPER(F:F))</f>
        <v>Small Business</v>
      </c>
      <c r="AC482" t="str">
        <f>TRIM(PROPER(G:G))</f>
        <v>South</v>
      </c>
      <c r="AD482" t="str">
        <f>TRIM(PROPER(H:H))</f>
        <v>Tamil Nadu</v>
      </c>
      <c r="AE482" t="str">
        <f>TRIM(PROPER(I:I))</f>
        <v>Chennai</v>
      </c>
      <c r="AF482" t="str">
        <f>TRIM(PROPER(J:J))</f>
        <v>Office Supplies</v>
      </c>
      <c r="AG482" t="str">
        <f>TRIM(PROPER(K:K))</f>
        <v>Storage</v>
      </c>
      <c r="AH482" t="str">
        <f>TRIM(PROPER(L:L))</f>
        <v>Eco Storage 923</v>
      </c>
      <c r="AI482" t="s">
        <v>4095</v>
      </c>
      <c r="AJ482" s="5">
        <f>IF(OR(P482&lt;0,P482&gt;0.5),"invalid",P482)</f>
        <v>0</v>
      </c>
      <c r="AK482" s="6">
        <f>IFERROR(N482*O482*(1-AJ482), "NA")</f>
        <v>4525.8</v>
      </c>
      <c r="AL482" s="6">
        <f>IFERROR(AK482-R482,"NA")</f>
        <v>1811.29</v>
      </c>
      <c r="AM482" s="5">
        <f t="shared" si="35"/>
        <v>0.40021432674886204</v>
      </c>
      <c r="AN482" t="str">
        <v>05-01-25</v>
      </c>
      <c r="AO482" t="str">
        <v>09-01-25</v>
      </c>
      <c r="AP482" t="str">
        <f t="shared" si="36"/>
        <v>January</v>
      </c>
      <c r="AQ482" t="str">
        <f t="shared" si="37"/>
        <v>2025</v>
      </c>
      <c r="AR482" t="str">
        <f t="shared" si="38"/>
        <v xml:space="preserve"> </v>
      </c>
      <c r="AS482">
        <f t="shared" si="39"/>
        <v>4</v>
      </c>
      <c r="AT482" t="str">
        <f>IF(COUNTIFS( $A:$A,A482,$B:$B,B482,$C:$C,C482,$D:$D,D482,$E:$E,E482,$F:$F,F482,$G:$G,G482,$H:$H,H482,$I:$I,I482,$J:$J,J482,$K:$K,K482,$L:$L,L482,$M:$M,M482,$T:$T,T482,$U:$U,U482,$W:$W,W482,$Z:$Z,Z482,$AA:$AA,AA482,$AB:$AB,AB482,$AC:$AC,AC482,$AD:$AD,AD482,$AE:$AE,AE482,$AF:$AF,AF482,$AG:$AG,AG482,$AH:$AH,AH482,$AI:$AI,AI482)&gt;1,"Duplicate","Unique")</f>
        <v>Unique</v>
      </c>
    </row>
    <row r="483" spans="1:46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  <c r="W483" t="s">
        <v>2349</v>
      </c>
      <c r="Z483" t="s">
        <v>2352</v>
      </c>
      <c r="AA483" t="str">
        <v>Isha Nair</v>
      </c>
      <c r="AB483" t="str">
        <f>TRIM(PROPER(F:F))</f>
        <v>Consumer</v>
      </c>
      <c r="AC483" t="str">
        <f>TRIM(PROPER(G:G))</f>
        <v>North</v>
      </c>
      <c r="AD483" t="str">
        <f>TRIM(PROPER(H:H))</f>
        <v>Uttar Pradesh</v>
      </c>
      <c r="AE483" t="str">
        <f>TRIM(PROPER(I:I))</f>
        <v>Noida</v>
      </c>
      <c r="AF483" t="str">
        <f>TRIM(PROPER(J:J))</f>
        <v>Technology</v>
      </c>
      <c r="AG483" t="str">
        <f>TRIM(PROPER(K:K))</f>
        <v>Machines</v>
      </c>
      <c r="AH483" t="str">
        <f>TRIM(PROPER(L:L))</f>
        <v>Classic Machines 287</v>
      </c>
      <c r="AI483" t="str">
        <f>TRIM(PROPER(M:M))</f>
        <v>Same Day</v>
      </c>
      <c r="AJ483" s="5" t="str">
        <f>IF(OR(P483&lt;0,P483&gt;0.5),"invalid",P483)</f>
        <v>invalid</v>
      </c>
      <c r="AK483" s="6" t="str">
        <f>IFERROR(N483*O483*(1-AJ483), "NA")</f>
        <v>NA</v>
      </c>
      <c r="AL483" s="6" t="str">
        <f>IFERROR(AK483-R483,"NA")</f>
        <v>NA</v>
      </c>
      <c r="AM483" s="5" t="str">
        <f t="shared" si="35"/>
        <v>NA</v>
      </c>
      <c r="AN483" t="str">
        <v>05-06-25</v>
      </c>
      <c r="AO483" t="str">
        <v>invalid date</v>
      </c>
      <c r="AP483" t="str">
        <f t="shared" si="36"/>
        <v>June</v>
      </c>
      <c r="AQ483" t="str">
        <f t="shared" si="37"/>
        <v>2025</v>
      </c>
      <c r="AR483" t="str">
        <f t="shared" si="38"/>
        <v>Invalid</v>
      </c>
      <c r="AS483" t="str">
        <f t="shared" si="39"/>
        <v>invalid date</v>
      </c>
      <c r="AT483" t="str">
        <f>IF(COUNTIFS( $A:$A,A483,$B:$B,B483,$C:$C,C483,$D:$D,D483,$E:$E,E483,$F:$F,F483,$G:$G,G483,$H:$H,H483,$I:$I,I483,$J:$J,J483,$K:$K,K483,$L:$L,L483,$M:$M,M483,$T:$T,T483,$U:$U,U483,$W:$W,W483,$Z:$Z,Z483,$AA:$AA,AA483,$AB:$AB,AB483,$AC:$AC,AC483,$AD:$AD,AD483,$AE:$AE,AE483,$AF:$AF,AF483,$AG:$AG,AG483,$AH:$AH,AH483,$AI:$AI,AI483)&gt;1,"Duplicate","Unique")</f>
        <v>Unique</v>
      </c>
    </row>
    <row r="484" spans="1:46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  <c r="W484" t="s">
        <v>2354</v>
      </c>
      <c r="Z484" t="s">
        <v>2355</v>
      </c>
      <c r="AA484" t="str">
        <v>Priya Menon</v>
      </c>
      <c r="AB484" t="str">
        <f>TRIM(PROPER(F:F))</f>
        <v>Consumer</v>
      </c>
      <c r="AC484" t="str">
        <f>TRIM(PROPER(G:G))</f>
        <v>South</v>
      </c>
      <c r="AD484" t="str">
        <f>TRIM(PROPER(H:H))</f>
        <v>Karnataka</v>
      </c>
      <c r="AE484" t="str">
        <f>TRIM(PROPER(I:I))</f>
        <v>Bengaluru</v>
      </c>
      <c r="AF484" t="str">
        <f>TRIM(PROPER(J:J))</f>
        <v>Technology</v>
      </c>
      <c r="AG484" t="str">
        <f>TRIM(PROPER(K:K))</f>
        <v>Accessories</v>
      </c>
      <c r="AH484" t="str">
        <f>TRIM(PROPER(L:L))</f>
        <v>Basic Accessories 518</v>
      </c>
      <c r="AI484" t="str">
        <f>TRIM(PROPER(M:M))</f>
        <v>Second Class</v>
      </c>
      <c r="AJ484" s="5">
        <f>IF(OR(P484&lt;0,P484&gt;0.5),"invalid",P484)</f>
        <v>0.25</v>
      </c>
      <c r="AK484" s="6">
        <f>IFERROR(N484*O484*(1-AJ484), "NA")</f>
        <v>2893.9949999999999</v>
      </c>
      <c r="AL484" s="6">
        <f>IFERROR(AK484-R484,"NA")</f>
        <v>1037.9649999999999</v>
      </c>
      <c r="AM484" s="5">
        <f t="shared" si="35"/>
        <v>0.35866164247001114</v>
      </c>
      <c r="AN484" t="str">
        <v>invalid date</v>
      </c>
      <c r="AO484" t="str">
        <v>invalid date</v>
      </c>
      <c r="AP484" t="str">
        <f t="shared" si="36"/>
        <v>invalid date</v>
      </c>
      <c r="AQ484" t="str">
        <f t="shared" si="37"/>
        <v>invalid date</v>
      </c>
      <c r="AR484" t="str">
        <f t="shared" si="38"/>
        <v>Invalid</v>
      </c>
      <c r="AS484" t="str">
        <f t="shared" si="39"/>
        <v>invalid date</v>
      </c>
      <c r="AT484" t="str">
        <f>IF(COUNTIFS( $A:$A,A484,$B:$B,B484,$C:$C,C484,$D:$D,D484,$E:$E,E484,$F:$F,F484,$G:$G,G484,$H:$H,H484,$I:$I,I484,$J:$J,J484,$K:$K,K484,$L:$L,L484,$M:$M,M484,$T:$T,T484,$U:$U,U484,$W:$W,W484,$Z:$Z,Z484,$AA:$AA,AA484,$AB:$AB,AB484,$AC:$AC,AC484,$AD:$AD,AD484,$AE:$AE,AE484,$AF:$AF,AF484,$AG:$AG,AG484,$AH:$AH,AH484,$AI:$AI,AI484)&gt;1,"Duplicate","Unique")</f>
        <v>Unique</v>
      </c>
    </row>
    <row r="485" spans="1:46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  <c r="W485" t="s">
        <v>2357</v>
      </c>
      <c r="Z485" t="s">
        <v>2359</v>
      </c>
      <c r="AA485" t="str">
        <v>Mira Das</v>
      </c>
      <c r="AB485" t="str">
        <f>TRIM(PROPER(F:F))</f>
        <v>Corporate</v>
      </c>
      <c r="AC485" t="str">
        <f>TRIM(PROPER(G:G))</f>
        <v>East</v>
      </c>
      <c r="AD485" t="str">
        <f>TRIM(PROPER(H:H))</f>
        <v>Bihar</v>
      </c>
      <c r="AE485" t="str">
        <f>TRIM(PROPER(I:I))</f>
        <v>Patna</v>
      </c>
      <c r="AF485" t="str">
        <f>TRIM(PROPER(J:J))</f>
        <v>Technology</v>
      </c>
      <c r="AG485" t="str">
        <f>TRIM(PROPER(K:K))</f>
        <v>Copiers</v>
      </c>
      <c r="AH485" t="str">
        <f>TRIM(PROPER(L:L))</f>
        <v>Pro Copiers 984</v>
      </c>
      <c r="AI485" t="str">
        <f>TRIM(PROPER(M:M))</f>
        <v>Standard Class</v>
      </c>
      <c r="AJ485" s="5">
        <f>IF(OR(P485&lt;0,P485&gt;0.5),"invalid",P485)</f>
        <v>0.15</v>
      </c>
      <c r="AK485" s="6">
        <f>IFERROR(N485*O485*(1-AJ485), "NA")</f>
        <v>705.2109999999999</v>
      </c>
      <c r="AL485" s="6">
        <f>IFERROR(AK485-R485,"NA")</f>
        <v>266.89099999999991</v>
      </c>
      <c r="AM485" s="5">
        <f t="shared" si="35"/>
        <v>0.37845552607659261</v>
      </c>
      <c r="AN485" t="str">
        <v>25-12-24</v>
      </c>
      <c r="AO485" t="str">
        <v>25-12-24</v>
      </c>
      <c r="AP485" t="str">
        <f t="shared" si="36"/>
        <v>December</v>
      </c>
      <c r="AQ485" t="str">
        <f t="shared" si="37"/>
        <v>2024</v>
      </c>
      <c r="AR485" t="str">
        <f t="shared" si="38"/>
        <v xml:space="preserve"> </v>
      </c>
      <c r="AS485">
        <f t="shared" si="39"/>
        <v>0</v>
      </c>
      <c r="AT485" t="str">
        <f>IF(COUNTIFS( $A:$A,A485,$B:$B,B485,$C:$C,C485,$D:$D,D485,$E:$E,E485,$F:$F,F485,$G:$G,G485,$H:$H,H485,$I:$I,I485,$J:$J,J485,$K:$K,K485,$L:$L,L485,$M:$M,M485,$T:$T,T485,$U:$U,U485,$W:$W,W485,$Z:$Z,Z485,$AA:$AA,AA485,$AB:$AB,AB485,$AC:$AC,AC485,$AD:$AD,AD485,$AE:$AE,AE485,$AF:$AF,AF485,$AG:$AG,AG485,$AH:$AH,AH485,$AI:$AI,AI485)&gt;1,"Duplicate","Unique")</f>
        <v>Unique</v>
      </c>
    </row>
    <row r="486" spans="1:46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  <c r="W486" t="s">
        <v>2361</v>
      </c>
      <c r="Z486" t="s">
        <v>2364</v>
      </c>
      <c r="AA486" t="str">
        <v>Mira Das</v>
      </c>
      <c r="AB486" t="str">
        <f>TRIM(PROPER(F:F))</f>
        <v>Small Business</v>
      </c>
      <c r="AC486" t="str">
        <f>TRIM(PROPER(G:G))</f>
        <v>South</v>
      </c>
      <c r="AD486" t="str">
        <f>TRIM(PROPER(H:H))</f>
        <v>Andhra Pradesh</v>
      </c>
      <c r="AE486" t="str">
        <f>TRIM(PROPER(I:I))</f>
        <v>Vijayawada</v>
      </c>
      <c r="AF486" t="str">
        <f>TRIM(PROPER(J:J))</f>
        <v>Furniture</v>
      </c>
      <c r="AG486" t="str">
        <f>TRIM(PROPER(K:K))</f>
        <v>Furnishings</v>
      </c>
      <c r="AH486" t="str">
        <f>TRIM(PROPER(L:L))</f>
        <v>Max Furnishings 297</v>
      </c>
      <c r="AI486" t="str">
        <f>TRIM(PROPER(M:M))</f>
        <v>First Class</v>
      </c>
      <c r="AJ486" s="5">
        <f>IF(OR(P486&lt;0,P486&gt;0.5),"invalid",P486)</f>
        <v>0.25</v>
      </c>
      <c r="AK486" s="6">
        <f>IFERROR(N486*O486*(1-AJ486), "NA")</f>
        <v>16385.489999999998</v>
      </c>
      <c r="AL486" s="6">
        <f>IFERROR(AK486-R486,"NA")</f>
        <v>2706.2499999999982</v>
      </c>
      <c r="AM486" s="5">
        <f t="shared" si="35"/>
        <v>0.16516137143289572</v>
      </c>
      <c r="AN486" t="str">
        <v>28-12-24</v>
      </c>
      <c r="AO486" t="str">
        <v>invalid date</v>
      </c>
      <c r="AP486" t="str">
        <f t="shared" si="36"/>
        <v>December</v>
      </c>
      <c r="AQ486" t="str">
        <f t="shared" si="37"/>
        <v>2024</v>
      </c>
      <c r="AR486" t="str">
        <f t="shared" si="38"/>
        <v>Invalid</v>
      </c>
      <c r="AS486" t="str">
        <f t="shared" si="39"/>
        <v>invalid date</v>
      </c>
      <c r="AT486" t="str">
        <f>IF(COUNTIFS( $A:$A,A486,$B:$B,B486,$C:$C,C486,$D:$D,D486,$E:$E,E486,$F:$F,F486,$G:$G,G486,$H:$H,H486,$I:$I,I486,$J:$J,J486,$K:$K,K486,$L:$L,L486,$M:$M,M486,$T:$T,T486,$U:$U,U486,$W:$W,W486,$Z:$Z,Z486,$AA:$AA,AA486,$AB:$AB,AB486,$AC:$AC,AC486,$AD:$AD,AD486,$AE:$AE,AE486,$AF:$AF,AF486,$AG:$AG,AG486,$AH:$AH,AH486,$AI:$AI,AI486)&gt;1,"Duplicate","Unique")</f>
        <v>Unique</v>
      </c>
    </row>
    <row r="487" spans="1:46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  <c r="W487" t="s">
        <v>2366</v>
      </c>
      <c r="Z487" t="s">
        <v>2367</v>
      </c>
      <c r="AA487" t="str">
        <v>Rahul Verma</v>
      </c>
      <c r="AB487" t="str">
        <f>TRIM(PROPER(F:F))</f>
        <v>Corporate</v>
      </c>
      <c r="AC487" t="str">
        <f>TRIM(PROPER(G:G))</f>
        <v>West</v>
      </c>
      <c r="AD487" t="str">
        <f>TRIM(PROPER(H:H))</f>
        <v>Goa</v>
      </c>
      <c r="AE487" t="str">
        <f>TRIM(PROPER(I:I))</f>
        <v>Panaji</v>
      </c>
      <c r="AF487" t="str">
        <f>TRIM(PROPER(J:J))</f>
        <v>Furniture</v>
      </c>
      <c r="AG487" t="str">
        <f>TRIM(PROPER(K:K))</f>
        <v>Bookcases</v>
      </c>
      <c r="AH487" t="str">
        <f>TRIM(PROPER(L:L))</f>
        <v>Elite Bookcases 802</v>
      </c>
      <c r="AI487" t="str">
        <f>TRIM(PROPER(M:M))</f>
        <v>Standard Class</v>
      </c>
      <c r="AJ487" s="5">
        <f>IF(OR(P487&lt;0,P487&gt;0.5),"invalid",P487)</f>
        <v>0.25</v>
      </c>
      <c r="AK487" s="6">
        <f>IFERROR(N487*O487*(1-AJ487), "NA")</f>
        <v>7665.57</v>
      </c>
      <c r="AL487" s="6">
        <f>IFERROR(AK487-R487,"NA")</f>
        <v>2069.9699999999993</v>
      </c>
      <c r="AM487" s="5">
        <f t="shared" si="35"/>
        <v>0.27003471366121495</v>
      </c>
      <c r="AN487" t="str">
        <v>22-01-25</v>
      </c>
      <c r="AO487" t="str">
        <v>23-01-25</v>
      </c>
      <c r="AP487" t="str">
        <f t="shared" si="36"/>
        <v>January</v>
      </c>
      <c r="AQ487" t="str">
        <f t="shared" si="37"/>
        <v>2025</v>
      </c>
      <c r="AR487" t="str">
        <f t="shared" si="38"/>
        <v xml:space="preserve"> </v>
      </c>
      <c r="AS487">
        <f t="shared" si="39"/>
        <v>1</v>
      </c>
      <c r="AT487" t="str">
        <f>IF(COUNTIFS( $A:$A,A487,$B:$B,B487,$C:$C,C487,$D:$D,D487,$E:$E,E487,$F:$F,F487,$G:$G,G487,$H:$H,H487,$I:$I,I487,$J:$J,J487,$K:$K,K487,$L:$L,L487,$M:$M,M487,$T:$T,T487,$U:$U,U487,$W:$W,W487,$Z:$Z,Z487,$AA:$AA,AA487,$AB:$AB,AB487,$AC:$AC,AC487,$AD:$AD,AD487,$AE:$AE,AE487,$AF:$AF,AF487,$AG:$AG,AG487,$AH:$AH,AH487,$AI:$AI,AI487)&gt;1,"Duplicate","Unique")</f>
        <v>Unique</v>
      </c>
    </row>
    <row r="488" spans="1:46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  <c r="W488" t="s">
        <v>2369</v>
      </c>
      <c r="Z488" t="s">
        <v>2372</v>
      </c>
      <c r="AA488" t="str">
        <v>Rahul Verma</v>
      </c>
      <c r="AB488" t="str">
        <f>TRIM(PROPER(F:F))</f>
        <v>Corporate</v>
      </c>
      <c r="AC488" t="str">
        <f>TRIM(PROPER(G:G))</f>
        <v>West</v>
      </c>
      <c r="AD488" t="str">
        <f>TRIM(PROPER(H:H))</f>
        <v>Goa</v>
      </c>
      <c r="AE488" t="str">
        <f>TRIM(PROPER(I:I))</f>
        <v>Panaji</v>
      </c>
      <c r="AF488" t="str">
        <f>TRIM(PROPER(J:J))</f>
        <v>Furniture</v>
      </c>
      <c r="AG488" t="str">
        <f>TRIM(PROPER(K:K))</f>
        <v>Tables</v>
      </c>
      <c r="AH488" t="str">
        <f>TRIM(PROPER(L:L))</f>
        <v>Pro Tables 257</v>
      </c>
      <c r="AI488" t="str">
        <f>TRIM(PROPER(M:M))</f>
        <v>Standard Class</v>
      </c>
      <c r="AJ488" s="5">
        <f>IF(OR(P488&lt;0,P488&gt;0.5),"invalid",P488)</f>
        <v>0.2</v>
      </c>
      <c r="AK488" s="6">
        <f>IFERROR(N488*O488*(1-AJ488), "NA")</f>
        <v>4670.8320000000003</v>
      </c>
      <c r="AL488" s="6">
        <f>IFERROR(AK488-R488,"NA")</f>
        <v>1504.3420000000006</v>
      </c>
      <c r="AM488" s="5">
        <f t="shared" si="35"/>
        <v>0.3220715281560117</v>
      </c>
      <c r="AN488" t="str">
        <v>22-06-25</v>
      </c>
      <c r="AO488" t="str">
        <v>invalid date</v>
      </c>
      <c r="AP488" t="str">
        <f t="shared" si="36"/>
        <v>June</v>
      </c>
      <c r="AQ488" t="str">
        <f t="shared" si="37"/>
        <v>2025</v>
      </c>
      <c r="AR488" t="str">
        <f t="shared" si="38"/>
        <v>Invalid</v>
      </c>
      <c r="AS488" t="str">
        <f t="shared" si="39"/>
        <v>invalid date</v>
      </c>
      <c r="AT488" t="str">
        <f>IF(COUNTIFS( $A:$A,A488,$B:$B,B488,$C:$C,C488,$D:$D,D488,$E:$E,E488,$F:$F,F488,$G:$G,G488,$H:$H,H488,$I:$I,I488,$J:$J,J488,$K:$K,K488,$L:$L,L488,$M:$M,M488,$T:$T,T488,$U:$U,U488,$W:$W,W488,$Z:$Z,Z488,$AA:$AA,AA488,$AB:$AB,AB488,$AC:$AC,AC488,$AD:$AD,AD488,$AE:$AE,AE488,$AF:$AF,AF488,$AG:$AG,AG488,$AH:$AH,AH488,$AI:$AI,AI488)&gt;1,"Duplicate","Unique")</f>
        <v>Unique</v>
      </c>
    </row>
    <row r="489" spans="1:46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  <c r="W489" t="s">
        <v>2374</v>
      </c>
      <c r="Z489" t="s">
        <v>2376</v>
      </c>
      <c r="AA489" t="str">
        <v>Rahul Verma</v>
      </c>
      <c r="AB489" t="str">
        <f>TRIM(PROPER(F:F))</f>
        <v>Corporate</v>
      </c>
      <c r="AC489" t="str">
        <f>TRIM(PROPER(G:G))</f>
        <v>South</v>
      </c>
      <c r="AD489" t="str">
        <f>TRIM(PROPER(H:H))</f>
        <v>Telangana</v>
      </c>
      <c r="AE489" t="str">
        <f>TRIM(PROPER(I:I))</f>
        <v>Hyderabad</v>
      </c>
      <c r="AF489" t="str">
        <f>TRIM(PROPER(J:J))</f>
        <v>Furniture</v>
      </c>
      <c r="AG489" t="str">
        <f>TRIM(PROPER(K:K))</f>
        <v>Furnishings</v>
      </c>
      <c r="AH489" t="str">
        <f>TRIM(PROPER(L:L))</f>
        <v>Prime Furnishings 299</v>
      </c>
      <c r="AI489" t="str">
        <f>TRIM(PROPER(M:M))</f>
        <v>Standard Class</v>
      </c>
      <c r="AJ489" s="5">
        <f>IF(OR(P489&lt;0,P489&gt;0.5),"invalid",P489)</f>
        <v>0</v>
      </c>
      <c r="AK489" s="6">
        <f>IFERROR(N489*O489*(1-AJ489), "NA")</f>
        <v>6155.5</v>
      </c>
      <c r="AL489" s="6">
        <f>IFERROR(AK489-R489,"NA")</f>
        <v>1873.4099999999999</v>
      </c>
      <c r="AM489" s="5">
        <f t="shared" si="35"/>
        <v>0.3043473316546178</v>
      </c>
      <c r="AN489" t="str">
        <v>10-06-25</v>
      </c>
      <c r="AO489" t="str">
        <v>invalid date</v>
      </c>
      <c r="AP489" t="str">
        <f t="shared" si="36"/>
        <v>June</v>
      </c>
      <c r="AQ489" t="str">
        <f t="shared" si="37"/>
        <v>2025</v>
      </c>
      <c r="AR489" t="str">
        <f t="shared" si="38"/>
        <v>Invalid</v>
      </c>
      <c r="AS489" t="str">
        <f t="shared" si="39"/>
        <v>invalid date</v>
      </c>
      <c r="AT489" t="str">
        <f>IF(COUNTIFS( $A:$A,A489,$B:$B,B489,$C:$C,C489,$D:$D,D489,$E:$E,E489,$F:$F,F489,$G:$G,G489,$H:$H,H489,$I:$I,I489,$J:$J,J489,$K:$K,K489,$L:$L,L489,$M:$M,M489,$T:$T,T489,$U:$U,U489,$W:$W,W489,$Z:$Z,Z489,$AA:$AA,AA489,$AB:$AB,AB489,$AC:$AC,AC489,$AD:$AD,AD489,$AE:$AE,AE489,$AF:$AF,AF489,$AG:$AG,AG489,$AH:$AH,AH489,$AI:$AI,AI489)&gt;1,"Duplicate","Unique")</f>
        <v>Unique</v>
      </c>
    </row>
    <row r="490" spans="1:46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  <c r="W490" t="s">
        <v>2378</v>
      </c>
      <c r="Z490" t="s">
        <v>2381</v>
      </c>
      <c r="AA490" t="str">
        <v>Aditi Sen</v>
      </c>
      <c r="AB490" t="str">
        <f>TRIM(PROPER(F:F))</f>
        <v>Small Business</v>
      </c>
      <c r="AC490" t="str">
        <f>TRIM(PROPER(G:G))</f>
        <v>North</v>
      </c>
      <c r="AD490" t="str">
        <f>TRIM(PROPER(H:H))</f>
        <v>Rajasthan</v>
      </c>
      <c r="AE490" t="str">
        <f>TRIM(PROPER(I:I))</f>
        <v>Jaipur</v>
      </c>
      <c r="AF490" t="str">
        <f>TRIM(PROPER(J:J))</f>
        <v>Furniture</v>
      </c>
      <c r="AG490" t="str">
        <f>TRIM(PROPER(K:K))</f>
        <v>Tables</v>
      </c>
      <c r="AH490" t="str">
        <f>TRIM(PROPER(L:L))</f>
        <v>Eco Tables 487</v>
      </c>
      <c r="AI490" t="str">
        <f>TRIM(PROPER(M:M))</f>
        <v>Same Day</v>
      </c>
      <c r="AJ490" s="5">
        <f>IF(OR(P490&lt;0,P490&gt;0.5),"invalid",P490)</f>
        <v>0.2</v>
      </c>
      <c r="AK490" s="6">
        <f>IFERROR(N490*O490*(1-AJ490), "NA")</f>
        <v>8666.56</v>
      </c>
      <c r="AL490" s="6">
        <f>IFERROR(AK490-R490,"NA")</f>
        <v>2699.12</v>
      </c>
      <c r="AM490" s="5">
        <f t="shared" si="35"/>
        <v>0.31144075619392242</v>
      </c>
      <c r="AN490" t="str">
        <v>14-10-24</v>
      </c>
      <c r="AO490" t="str">
        <v>20-10-24</v>
      </c>
      <c r="AP490" t="str">
        <f t="shared" si="36"/>
        <v>October</v>
      </c>
      <c r="AQ490" t="str">
        <f t="shared" si="37"/>
        <v>2024</v>
      </c>
      <c r="AR490" t="str">
        <f t="shared" si="38"/>
        <v xml:space="preserve"> </v>
      </c>
      <c r="AS490">
        <f t="shared" si="39"/>
        <v>6</v>
      </c>
      <c r="AT490" t="str">
        <f>IF(COUNTIFS( $A:$A,A490,$B:$B,B490,$C:$C,C490,$D:$D,D490,$E:$E,E490,$F:$F,F490,$G:$G,G490,$H:$H,H490,$I:$I,I490,$J:$J,J490,$K:$K,K490,$L:$L,L490,$M:$M,M490,$T:$T,T490,$U:$U,U490,$W:$W,W490,$Z:$Z,Z490,$AA:$AA,AA490,$AB:$AB,AB490,$AC:$AC,AC490,$AD:$AD,AD490,$AE:$AE,AE490,$AF:$AF,AF490,$AG:$AG,AG490,$AH:$AH,AH490,$AI:$AI,AI490)&gt;1,"Duplicate","Unique")</f>
        <v>Unique</v>
      </c>
    </row>
    <row r="491" spans="1:46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  <c r="W491" t="s">
        <v>2383</v>
      </c>
      <c r="Z491" t="s">
        <v>2385</v>
      </c>
      <c r="AA491" t="str">
        <v>Arjun Bose</v>
      </c>
      <c r="AB491" t="str">
        <f>TRIM(PROPER(F:F))</f>
        <v>Home Office</v>
      </c>
      <c r="AC491" t="str">
        <f>TRIM(PROPER(G:G))</f>
        <v>East</v>
      </c>
      <c r="AD491" t="str">
        <f>TRIM(PROPER(H:H))</f>
        <v>West Bengal</v>
      </c>
      <c r="AE491" t="str">
        <f>TRIM(PROPER(I:I))</f>
        <v>Kolkata</v>
      </c>
      <c r="AF491" t="str">
        <f>TRIM(PROPER(J:J))</f>
        <v>Technology</v>
      </c>
      <c r="AG491" t="str">
        <f>TRIM(PROPER(K:K))</f>
        <v>Accessories</v>
      </c>
      <c r="AH491" t="str">
        <f>TRIM(PROPER(L:L))</f>
        <v>Prime Accessories 960</v>
      </c>
      <c r="AI491" t="str">
        <f>TRIM(PROPER(M:M))</f>
        <v>Second Class</v>
      </c>
      <c r="AJ491" s="5">
        <f>IF(OR(P491&lt;0,P491&gt;0.5),"invalid",P491)</f>
        <v>0.2</v>
      </c>
      <c r="AK491" s="6">
        <f>IFERROR(N491*O491*(1-AJ491), "NA")</f>
        <v>361.75200000000001</v>
      </c>
      <c r="AL491" s="6">
        <f>IFERROR(AK491-R491,"NA")</f>
        <v>99.222000000000037</v>
      </c>
      <c r="AM491" s="5">
        <f t="shared" si="35"/>
        <v>0.27428182843495003</v>
      </c>
      <c r="AN491" t="str">
        <v>07-02-24</v>
      </c>
      <c r="AO491" t="str">
        <v>12-02-24</v>
      </c>
      <c r="AP491" t="str">
        <f t="shared" si="36"/>
        <v>February</v>
      </c>
      <c r="AQ491" t="str">
        <f t="shared" si="37"/>
        <v>2024</v>
      </c>
      <c r="AR491" t="str">
        <f t="shared" si="38"/>
        <v xml:space="preserve"> </v>
      </c>
      <c r="AS491">
        <f t="shared" si="39"/>
        <v>5</v>
      </c>
      <c r="AT491" t="str">
        <f>IF(COUNTIFS( $A:$A,A491,$B:$B,B491,$C:$C,C491,$D:$D,D491,$E:$E,E491,$F:$F,F491,$G:$G,G491,$H:$H,H491,$I:$I,I491,$J:$J,J491,$K:$K,K491,$L:$L,L491,$M:$M,M491,$T:$T,T491,$U:$U,U491,$W:$W,W491,$Z:$Z,Z491,$AA:$AA,AA491,$AB:$AB,AB491,$AC:$AC,AC491,$AD:$AD,AD491,$AE:$AE,AE491,$AF:$AF,AF491,$AG:$AG,AG491,$AH:$AH,AH491,$AI:$AI,AI491)&gt;1,"Duplicate","Unique")</f>
        <v>Unique</v>
      </c>
    </row>
    <row r="492" spans="1:46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  <c r="W492" t="s">
        <v>2387</v>
      </c>
      <c r="Z492" t="s">
        <v>2389</v>
      </c>
      <c r="AA492" t="str">
        <v>Aditi Sen</v>
      </c>
      <c r="AB492" t="str">
        <f>TRIM(PROPER(F:F))</f>
        <v>Consumer</v>
      </c>
      <c r="AC492" t="str">
        <f>TRIM(PROPER(G:G))</f>
        <v>West</v>
      </c>
      <c r="AD492" t="str">
        <f>TRIM(PROPER(H:H))</f>
        <v>Rajasthan</v>
      </c>
      <c r="AE492" t="str">
        <f>TRIM(PROPER(I:I))</f>
        <v>Udaipur</v>
      </c>
      <c r="AF492" t="str">
        <f>TRIM(PROPER(J:J))</f>
        <v>Office Supplies</v>
      </c>
      <c r="AG492" t="str">
        <f>TRIM(PROPER(K:K))</f>
        <v>Binders</v>
      </c>
      <c r="AH492" t="str">
        <f>TRIM(PROPER(L:L))</f>
        <v>Smart Binders 191</v>
      </c>
      <c r="AI492" t="str">
        <f>TRIM(PROPER(M:M))</f>
        <v>First Class</v>
      </c>
      <c r="AJ492" s="5">
        <f>IF(OR(P492&lt;0,P492&gt;0.5),"invalid",P492)</f>
        <v>0.15</v>
      </c>
      <c r="AK492" s="6">
        <f>IFERROR(N492*O492*(1-AJ492), "NA")</f>
        <v>2418.1990000000001</v>
      </c>
      <c r="AL492" s="6">
        <f>IFERROR(AK492-R492,"NA")</f>
        <v>804.37900000000013</v>
      </c>
      <c r="AM492" s="5">
        <f t="shared" si="35"/>
        <v>0.33263556886757462</v>
      </c>
      <c r="AN492" t="str">
        <v>16-09-24</v>
      </c>
      <c r="AO492" t="str">
        <v>invalid date</v>
      </c>
      <c r="AP492" t="str">
        <f t="shared" si="36"/>
        <v>September</v>
      </c>
      <c r="AQ492" t="str">
        <f t="shared" si="37"/>
        <v>2024</v>
      </c>
      <c r="AR492" t="str">
        <f t="shared" si="38"/>
        <v>Invalid</v>
      </c>
      <c r="AS492" t="str">
        <f t="shared" si="39"/>
        <v>invalid date</v>
      </c>
      <c r="AT492" t="str">
        <f>IF(COUNTIFS( $A:$A,A492,$B:$B,B492,$C:$C,C492,$D:$D,D492,$E:$E,E492,$F:$F,F492,$G:$G,G492,$H:$H,H492,$I:$I,I492,$J:$J,J492,$K:$K,K492,$L:$L,L492,$M:$M,M492,$T:$T,T492,$U:$U,U492,$W:$W,W492,$Z:$Z,Z492,$AA:$AA,AA492,$AB:$AB,AB492,$AC:$AC,AC492,$AD:$AD,AD492,$AE:$AE,AE492,$AF:$AF,AF492,$AG:$AG,AG492,$AH:$AH,AH492,$AI:$AI,AI492)&gt;1,"Duplicate","Unique")</f>
        <v>Unique</v>
      </c>
    </row>
    <row r="493" spans="1:46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  <c r="W493" t="s">
        <v>2391</v>
      </c>
      <c r="Z493" t="s">
        <v>2393</v>
      </c>
      <c r="AA493" t="str">
        <v>Mira Das</v>
      </c>
      <c r="AB493" t="str">
        <f>TRIM(PROPER(F:F))</f>
        <v>Corporate</v>
      </c>
      <c r="AC493" t="str">
        <f>TRIM(PROPER(G:G))</f>
        <v>South</v>
      </c>
      <c r="AD493" t="str">
        <f>TRIM(PROPER(H:H))</f>
        <v>Kerala</v>
      </c>
      <c r="AE493" t="str">
        <f>TRIM(PROPER(I:I))</f>
        <v>Kochi</v>
      </c>
      <c r="AF493" t="str">
        <f>TRIM(PROPER(J:J))</f>
        <v>Technology</v>
      </c>
      <c r="AG493" t="str">
        <f>TRIM(PROPER(K:K))</f>
        <v>Accessories</v>
      </c>
      <c r="AH493" t="str">
        <f>TRIM(PROPER(L:L))</f>
        <v>Prime Accessories 118</v>
      </c>
      <c r="AI493" t="str">
        <f>TRIM(PROPER(M:M))</f>
        <v>Standard Class</v>
      </c>
      <c r="AJ493" s="5">
        <f>IF(OR(P493&lt;0,P493&gt;0.5),"invalid",P493)</f>
        <v>0.2</v>
      </c>
      <c r="AK493" s="6">
        <f>IFERROR(N493*O493*(1-AJ493), "NA")</f>
        <v>1941.0560000000003</v>
      </c>
      <c r="AL493" s="6">
        <f>IFERROR(AK493-R493,"NA")</f>
        <v>733.63600000000019</v>
      </c>
      <c r="AM493" s="5">
        <f t="shared" si="35"/>
        <v>0.37795715321969076</v>
      </c>
      <c r="AN493" t="str">
        <v>29-04-25</v>
      </c>
      <c r="AO493" t="str">
        <v>30-04-25</v>
      </c>
      <c r="AP493" t="str">
        <f t="shared" si="36"/>
        <v>April</v>
      </c>
      <c r="AQ493" t="str">
        <f t="shared" si="37"/>
        <v>2025</v>
      </c>
      <c r="AR493" t="str">
        <f t="shared" si="38"/>
        <v xml:space="preserve"> </v>
      </c>
      <c r="AS493">
        <f t="shared" si="39"/>
        <v>1</v>
      </c>
      <c r="AT493" t="str">
        <f>IF(COUNTIFS( $A:$A,A493,$B:$B,B493,$C:$C,C493,$D:$D,D493,$E:$E,E493,$F:$F,F493,$G:$G,G493,$H:$H,H493,$I:$I,I493,$J:$J,J493,$K:$K,K493,$L:$L,L493,$M:$M,M493,$T:$T,T493,$U:$U,U493,$W:$W,W493,$Z:$Z,Z493,$AA:$AA,AA493,$AB:$AB,AB493,$AC:$AC,AC493,$AD:$AD,AD493,$AE:$AE,AE493,$AF:$AF,AF493,$AG:$AG,AG493,$AH:$AH,AH493,$AI:$AI,AI493)&gt;1,"Duplicate","Unique")</f>
        <v>Unique</v>
      </c>
    </row>
    <row r="494" spans="1:46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  <c r="W494" t="s">
        <v>2395</v>
      </c>
      <c r="Z494" t="s">
        <v>2398</v>
      </c>
      <c r="AA494" t="str">
        <v>Ananya Rao</v>
      </c>
      <c r="AB494" t="str">
        <f>TRIM(PROPER(F:F))</f>
        <v>Corporate</v>
      </c>
      <c r="AC494" t="str">
        <f>TRIM(PROPER(G:G))</f>
        <v>South</v>
      </c>
      <c r="AD494" t="str">
        <f>TRIM(PROPER(H:H))</f>
        <v>Andhra Pradesh</v>
      </c>
      <c r="AE494" t="str">
        <f>TRIM(PROPER(I:I))</f>
        <v>Vijayawada</v>
      </c>
      <c r="AF494" t="str">
        <f>TRIM(PROPER(J:J))</f>
        <v>Office Supplies</v>
      </c>
      <c r="AG494" t="str">
        <f>TRIM(PROPER(K:K))</f>
        <v>Storage</v>
      </c>
      <c r="AH494" t="str">
        <f>TRIM(PROPER(L:L))</f>
        <v>Elite Storage 331</v>
      </c>
      <c r="AI494" t="str">
        <f>TRIM(PROPER(M:M))</f>
        <v>Second Class</v>
      </c>
      <c r="AJ494" s="5">
        <f>IF(OR(P494&lt;0,P494&gt;0.5),"invalid",P494)</f>
        <v>0.25</v>
      </c>
      <c r="AK494" s="6">
        <f>IFERROR(N494*O494*(1-AJ494), "NA")</f>
        <v>4088.16</v>
      </c>
      <c r="AL494" s="6">
        <f>IFERROR(AK494-R494,"NA")</f>
        <v>882.48</v>
      </c>
      <c r="AM494" s="5">
        <f t="shared" si="35"/>
        <v>0.21586239286133616</v>
      </c>
      <c r="AN494" t="str">
        <v>28-06-25</v>
      </c>
      <c r="AO494" t="str">
        <v>07-02-25</v>
      </c>
      <c r="AP494" t="str">
        <f t="shared" si="36"/>
        <v>June</v>
      </c>
      <c r="AQ494" t="str">
        <f t="shared" si="37"/>
        <v>2025</v>
      </c>
      <c r="AR494" t="str">
        <f t="shared" si="38"/>
        <v>anomaly</v>
      </c>
      <c r="AS494">
        <f t="shared" si="39"/>
        <v>-141</v>
      </c>
      <c r="AT494" t="str">
        <f>IF(COUNTIFS( $A:$A,A494,$B:$B,B494,$C:$C,C494,$D:$D,D494,$E:$E,E494,$F:$F,F494,$G:$G,G494,$H:$H,H494,$I:$I,I494,$J:$J,J494,$K:$K,K494,$L:$L,L494,$M:$M,M494,$T:$T,T494,$U:$U,U494,$W:$W,W494,$Z:$Z,Z494,$AA:$AA,AA494,$AB:$AB,AB494,$AC:$AC,AC494,$AD:$AD,AD494,$AE:$AE,AE494,$AF:$AF,AF494,$AG:$AG,AG494,$AH:$AH,AH494,$AI:$AI,AI494)&gt;1,"Duplicate","Unique")</f>
        <v>Unique</v>
      </c>
    </row>
    <row r="495" spans="1:46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  <c r="W495" t="s">
        <v>2400</v>
      </c>
      <c r="Z495" t="s">
        <v>2402</v>
      </c>
      <c r="AA495" t="str">
        <v>Kabir Singh</v>
      </c>
      <c r="AB495" t="str">
        <f>TRIM(PROPER(F:F))</f>
        <v>Corporate</v>
      </c>
      <c r="AC495" t="str">
        <f>TRIM(PROPER(G:G))</f>
        <v>East</v>
      </c>
      <c r="AD495" t="str">
        <f>TRIM(PROPER(H:H))</f>
        <v>Odisha</v>
      </c>
      <c r="AE495" t="str">
        <f>TRIM(PROPER(I:I))</f>
        <v>Bhubaneswar</v>
      </c>
      <c r="AF495" t="str">
        <f>TRIM(PROPER(J:J))</f>
        <v>Office Supplies</v>
      </c>
      <c r="AG495" t="str">
        <f>TRIM(PROPER(K:K))</f>
        <v>Paper</v>
      </c>
      <c r="AH495" t="str">
        <f>TRIM(PROPER(L:L))</f>
        <v>Prime Paper 996</v>
      </c>
      <c r="AI495" t="str">
        <f>TRIM(PROPER(M:M))</f>
        <v>Second Class</v>
      </c>
      <c r="AJ495" s="5">
        <f>IF(OR(P495&lt;0,P495&gt;0.5),"invalid",P495)</f>
        <v>0.05</v>
      </c>
      <c r="AK495" s="6">
        <f>IFERROR(N495*O495*(1-AJ495), "NA")</f>
        <v>15273.054999999997</v>
      </c>
      <c r="AL495" s="6">
        <f>IFERROR(AK495-R495,"NA")</f>
        <v>4184.2949999999964</v>
      </c>
      <c r="AM495" s="5">
        <f t="shared" si="35"/>
        <v>0.27396581757873573</v>
      </c>
      <c r="AN495" t="str">
        <v>13-02-25</v>
      </c>
      <c r="AO495" t="str">
        <v>13-02-25</v>
      </c>
      <c r="AP495" t="str">
        <f t="shared" si="36"/>
        <v>February</v>
      </c>
      <c r="AQ495" t="str">
        <f t="shared" si="37"/>
        <v>2025</v>
      </c>
      <c r="AR495" t="str">
        <f t="shared" si="38"/>
        <v xml:space="preserve"> </v>
      </c>
      <c r="AS495">
        <f t="shared" si="39"/>
        <v>0</v>
      </c>
      <c r="AT495" t="str">
        <f>IF(COUNTIFS( $A:$A,A495,$B:$B,B495,$C:$C,C495,$D:$D,D495,$E:$E,E495,$F:$F,F495,$G:$G,G495,$H:$H,H495,$I:$I,I495,$J:$J,J495,$K:$K,K495,$L:$L,L495,$M:$M,M495,$T:$T,T495,$U:$U,U495,$W:$W,W495,$Z:$Z,Z495,$AA:$AA,AA495,$AB:$AB,AB495,$AC:$AC,AC495,$AD:$AD,AD495,$AE:$AE,AE495,$AF:$AF,AF495,$AG:$AG,AG495,$AH:$AH,AH495,$AI:$AI,AI495)&gt;1,"Duplicate","Unique")</f>
        <v>Unique</v>
      </c>
    </row>
    <row r="496" spans="1:46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  <c r="W496" t="s">
        <v>2405</v>
      </c>
      <c r="Z496" t="s">
        <v>2408</v>
      </c>
      <c r="AA496" t="str">
        <v>Isha Nair</v>
      </c>
      <c r="AB496" t="str">
        <f>TRIM(PROPER(F:F))</f>
        <v>Consumer</v>
      </c>
      <c r="AC496" t="str">
        <f>TRIM(PROPER(G:G))</f>
        <v>West</v>
      </c>
      <c r="AD496" t="str">
        <f>TRIM(PROPER(H:H))</f>
        <v>Madhya Pradesh</v>
      </c>
      <c r="AE496" t="str">
        <f>TRIM(PROPER(I:I))</f>
        <v>Indore</v>
      </c>
      <c r="AF496" t="str">
        <f>TRIM(PROPER(J:J))</f>
        <v>Technology</v>
      </c>
      <c r="AG496" t="str">
        <f>TRIM(PROPER(K:K))</f>
        <v>Phones</v>
      </c>
      <c r="AH496" t="str">
        <f>TRIM(PROPER(L:L))</f>
        <v>Smart Phones 125</v>
      </c>
      <c r="AI496" t="str">
        <f>TRIM(PROPER(M:M))</f>
        <v>Standard Class</v>
      </c>
      <c r="AJ496" s="5" t="str">
        <f>IF(OR(P496&lt;0,P496&gt;0.5),"invalid",P496)</f>
        <v>invalid</v>
      </c>
      <c r="AK496" s="6" t="str">
        <f>IFERROR(N496*O496*(1-AJ496), "NA")</f>
        <v>NA</v>
      </c>
      <c r="AL496" s="6" t="str">
        <f>IFERROR(AK496-R496,"NA")</f>
        <v>NA</v>
      </c>
      <c r="AM496" s="5" t="str">
        <f t="shared" si="35"/>
        <v>NA</v>
      </c>
      <c r="AN496" t="str">
        <v>14-11-24</v>
      </c>
      <c r="AO496" t="str">
        <v>22-11-24</v>
      </c>
      <c r="AP496" t="str">
        <f t="shared" si="36"/>
        <v>November</v>
      </c>
      <c r="AQ496" t="str">
        <f t="shared" si="37"/>
        <v>2024</v>
      </c>
      <c r="AR496" t="str">
        <f t="shared" si="38"/>
        <v xml:space="preserve"> </v>
      </c>
      <c r="AS496">
        <f t="shared" si="39"/>
        <v>8</v>
      </c>
      <c r="AT496" t="str">
        <f>IF(COUNTIFS( $A:$A,A496,$B:$B,B496,$C:$C,C496,$D:$D,D496,$E:$E,E496,$F:$F,F496,$G:$G,G496,$H:$H,H496,$I:$I,I496,$J:$J,J496,$K:$K,K496,$L:$L,L496,$M:$M,M496,$T:$T,T496,$U:$U,U496,$W:$W,W496,$Z:$Z,Z496,$AA:$AA,AA496,$AB:$AB,AB496,$AC:$AC,AC496,$AD:$AD,AD496,$AE:$AE,AE496,$AF:$AF,AF496,$AG:$AG,AG496,$AH:$AH,AH496,$AI:$AI,AI496)&gt;1,"Duplicate","Unique")</f>
        <v>Unique</v>
      </c>
    </row>
    <row r="497" spans="1:46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  <c r="W497" t="s">
        <v>2410</v>
      </c>
      <c r="Z497" t="s">
        <v>2412</v>
      </c>
      <c r="AA497" t="str">
        <v>Mira Das</v>
      </c>
      <c r="AB497" t="str">
        <f>TRIM(PROPER(F:F))</f>
        <v>Small Business</v>
      </c>
      <c r="AC497" t="str">
        <f>TRIM(PROPER(G:G))</f>
        <v>East</v>
      </c>
      <c r="AD497" t="str">
        <f>TRIM(PROPER(H:H))</f>
        <v>Assam</v>
      </c>
      <c r="AE497" t="str">
        <f>TRIM(PROPER(I:I))</f>
        <v>Guwahati</v>
      </c>
      <c r="AF497" t="str">
        <f>TRIM(PROPER(J:J))</f>
        <v>Technology</v>
      </c>
      <c r="AG497" t="str">
        <f>TRIM(PROPER(K:K))</f>
        <v>Phones</v>
      </c>
      <c r="AH497" t="str">
        <f>TRIM(PROPER(L:L))</f>
        <v>Eco Phones 220</v>
      </c>
      <c r="AI497" t="str">
        <f>TRIM(PROPER(M:M))</f>
        <v>Second Class</v>
      </c>
      <c r="AJ497" s="5">
        <f>IF(OR(P497&lt;0,P497&gt;0.5),"invalid",P497)</f>
        <v>0.05</v>
      </c>
      <c r="AK497" s="6">
        <f>IFERROR(N497*O497*(1-AJ497), "NA")</f>
        <v>3784.7239999999997</v>
      </c>
      <c r="AL497" s="6">
        <f>IFERROR(AK497-R497,"NA")</f>
        <v>1365.4839999999999</v>
      </c>
      <c r="AM497" s="5">
        <f t="shared" si="35"/>
        <v>0.36078826355633858</v>
      </c>
      <c r="AN497" t="str">
        <v>05-09-24</v>
      </c>
      <c r="AO497" t="str">
        <v>invalid date</v>
      </c>
      <c r="AP497" t="str">
        <f t="shared" si="36"/>
        <v>September</v>
      </c>
      <c r="AQ497" t="str">
        <f t="shared" si="37"/>
        <v>2024</v>
      </c>
      <c r="AR497" t="str">
        <f t="shared" si="38"/>
        <v>Invalid</v>
      </c>
      <c r="AS497" t="str">
        <f t="shared" si="39"/>
        <v>invalid date</v>
      </c>
      <c r="AT497" t="str">
        <f>IF(COUNTIFS( $A:$A,A497,$B:$B,B497,$C:$C,C497,$D:$D,D497,$E:$E,E497,$F:$F,F497,$G:$G,G497,$H:$H,H497,$I:$I,I497,$J:$J,J497,$K:$K,K497,$L:$L,L497,$M:$M,M497,$T:$T,T497,$U:$U,U497,$W:$W,W497,$Z:$Z,Z497,$AA:$AA,AA497,$AB:$AB,AB497,$AC:$AC,AC497,$AD:$AD,AD497,$AE:$AE,AE497,$AF:$AF,AF497,$AG:$AG,AG497,$AH:$AH,AH497,$AI:$AI,AI497)&gt;1,"Duplicate","Unique")</f>
        <v>Unique</v>
      </c>
    </row>
    <row r="498" spans="1:46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  <c r="W498" t="s">
        <v>2414</v>
      </c>
      <c r="Z498" t="s">
        <v>2417</v>
      </c>
      <c r="AA498" t="str">
        <v>Kabir Singh</v>
      </c>
      <c r="AB498" t="str">
        <f>TRIM(PROPER(F:F))</f>
        <v>Small Business</v>
      </c>
      <c r="AC498" t="str">
        <f>TRIM(PROPER(G:G))</f>
        <v>East</v>
      </c>
      <c r="AD498" t="str">
        <f>TRIM(PROPER(H:H))</f>
        <v>Jharkhand</v>
      </c>
      <c r="AE498" t="str">
        <f>TRIM(PROPER(I:I))</f>
        <v>Ranchi</v>
      </c>
      <c r="AF498" t="str">
        <f>TRIM(PROPER(J:J))</f>
        <v>Furniture</v>
      </c>
      <c r="AG498" t="str">
        <f>TRIM(PROPER(K:K))</f>
        <v>Chairs</v>
      </c>
      <c r="AH498" t="str">
        <f>TRIM(PROPER(L:L))</f>
        <v>Eco Chairs 795</v>
      </c>
      <c r="AI498" t="str">
        <f>TRIM(PROPER(M:M))</f>
        <v>Second Class</v>
      </c>
      <c r="AJ498" s="5">
        <f>IF(OR(P498&lt;0,P498&gt;0.5),"invalid",P498)</f>
        <v>0.1</v>
      </c>
      <c r="AK498" s="6">
        <f>IFERROR(N498*O498*(1-AJ498), "NA")</f>
        <v>6635.5560000000005</v>
      </c>
      <c r="AL498" s="6">
        <f>IFERROR(AK498-R498,"NA")</f>
        <v>2982.6460000000006</v>
      </c>
      <c r="AM498" s="5">
        <f t="shared" si="35"/>
        <v>0.44949451108543131</v>
      </c>
      <c r="AN498" t="str">
        <v>04-07-25</v>
      </c>
      <c r="AO498" t="str">
        <v>06-07-25</v>
      </c>
      <c r="AP498" t="str">
        <f t="shared" si="36"/>
        <v>July</v>
      </c>
      <c r="AQ498" t="str">
        <f t="shared" si="37"/>
        <v>2025</v>
      </c>
      <c r="AR498" t="str">
        <f t="shared" si="38"/>
        <v xml:space="preserve"> </v>
      </c>
      <c r="AS498">
        <f t="shared" si="39"/>
        <v>2</v>
      </c>
      <c r="AT498" t="str">
        <f>IF(COUNTIFS( $A:$A,A498,$B:$B,B498,$C:$C,C498,$D:$D,D498,$E:$E,E498,$F:$F,F498,$G:$G,G498,$H:$H,H498,$I:$I,I498,$J:$J,J498,$K:$K,K498,$L:$L,L498,$M:$M,M498,$T:$T,T498,$U:$U,U498,$W:$W,W498,$Z:$Z,Z498,$AA:$AA,AA498,$AB:$AB,AB498,$AC:$AC,AC498,$AD:$AD,AD498,$AE:$AE,AE498,$AF:$AF,AF498,$AG:$AG,AG498,$AH:$AH,AH498,$AI:$AI,AI498)&gt;1,"Duplicate","Unique")</f>
        <v>Unique</v>
      </c>
    </row>
    <row r="499" spans="1:46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  <c r="W499" t="s">
        <v>2419</v>
      </c>
      <c r="Z499" t="s">
        <v>2421</v>
      </c>
      <c r="AA499" t="str">
        <v>Sneha Kapoor</v>
      </c>
      <c r="AB499" t="str">
        <f>TRIM(PROPER(F:F))</f>
        <v>Small Business</v>
      </c>
      <c r="AC499" t="str">
        <f>TRIM(PROPER(G:G))</f>
        <v>North</v>
      </c>
      <c r="AD499" t="str">
        <f>TRIM(PROPER(H:H))</f>
        <v>Uttar Pradesh</v>
      </c>
      <c r="AE499" t="str">
        <f>TRIM(PROPER(I:I))</f>
        <v>Noida</v>
      </c>
      <c r="AF499" t="str">
        <f>TRIM(PROPER(J:J))</f>
        <v>Technology</v>
      </c>
      <c r="AG499" t="str">
        <f>TRIM(PROPER(K:K))</f>
        <v>Accessories</v>
      </c>
      <c r="AH499" t="str">
        <f>TRIM(PROPER(L:L))</f>
        <v>Smart Accessories 896</v>
      </c>
      <c r="AI499" t="str">
        <f>TRIM(PROPER(M:M))</f>
        <v>Second Class</v>
      </c>
      <c r="AJ499" s="5">
        <f>IF(OR(P499&lt;0,P499&gt;0.5),"invalid",P499)</f>
        <v>0.2</v>
      </c>
      <c r="AK499" s="6">
        <f>IFERROR(N499*O499*(1-AJ499), "NA")</f>
        <v>2485.5040000000004</v>
      </c>
      <c r="AL499" s="6">
        <f>IFERROR(AK499-R499,"NA")</f>
        <v>457.0740000000003</v>
      </c>
      <c r="AM499" s="5">
        <f t="shared" si="35"/>
        <v>0.18389590199814615</v>
      </c>
      <c r="AN499" t="str">
        <v>29-08-24</v>
      </c>
      <c r="AO499" t="str">
        <v>29-08-24</v>
      </c>
      <c r="AP499" t="str">
        <f t="shared" si="36"/>
        <v>August</v>
      </c>
      <c r="AQ499" t="str">
        <f t="shared" si="37"/>
        <v>2024</v>
      </c>
      <c r="AR499" t="str">
        <f t="shared" si="38"/>
        <v xml:space="preserve"> </v>
      </c>
      <c r="AS499">
        <f t="shared" si="39"/>
        <v>0</v>
      </c>
      <c r="AT499" t="str">
        <f>IF(COUNTIFS( $A:$A,A499,$B:$B,B499,$C:$C,C499,$D:$D,D499,$E:$E,E499,$F:$F,F499,$G:$G,G499,$H:$H,H499,$I:$I,I499,$J:$J,J499,$K:$K,K499,$L:$L,L499,$M:$M,M499,$T:$T,T499,$U:$U,U499,$W:$W,W499,$Z:$Z,Z499,$AA:$AA,AA499,$AB:$AB,AB499,$AC:$AC,AC499,$AD:$AD,AD499,$AE:$AE,AE499,$AF:$AF,AF499,$AG:$AG,AG499,$AH:$AH,AH499,$AI:$AI,AI499)&gt;1,"Duplicate","Unique")</f>
        <v>Unique</v>
      </c>
    </row>
    <row r="500" spans="1:46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  <c r="W500" t="s">
        <v>2423</v>
      </c>
      <c r="Z500" t="s">
        <v>2426</v>
      </c>
      <c r="AA500" t="str">
        <v>Karan Malhotra</v>
      </c>
      <c r="AB500" t="str">
        <f>TRIM(PROPER(F:F))</f>
        <v>Consumer</v>
      </c>
      <c r="AC500" t="str">
        <f>TRIM(PROPER(G:G))</f>
        <v>North</v>
      </c>
      <c r="AD500" t="str">
        <f>TRIM(PROPER(H:H))</f>
        <v>Punjab</v>
      </c>
      <c r="AE500" t="str">
        <f>TRIM(PROPER(I:I))</f>
        <v>Ludhiana</v>
      </c>
      <c r="AF500" t="str">
        <f>TRIM(PROPER(J:J))</f>
        <v>Furniture</v>
      </c>
      <c r="AG500" t="str">
        <f>TRIM(PROPER(K:K))</f>
        <v>Chairs</v>
      </c>
      <c r="AH500" t="str">
        <f>TRIM(PROPER(L:L))</f>
        <v>Basic Chairs 255</v>
      </c>
      <c r="AI500" t="str">
        <f>TRIM(PROPER(M:M))</f>
        <v>Same Day</v>
      </c>
      <c r="AJ500" s="5">
        <f>IF(OR(P500&lt;0,P500&gt;0.5),"invalid",P500)</f>
        <v>0.05</v>
      </c>
      <c r="AK500" s="6">
        <f>IFERROR(N500*O500*(1-AJ500), "NA")</f>
        <v>850.34500000000003</v>
      </c>
      <c r="AL500" s="6">
        <f>IFERROR(AK500-R500,"NA")</f>
        <v>249.36500000000001</v>
      </c>
      <c r="AM500" s="5">
        <f t="shared" si="35"/>
        <v>0.29325156260106194</v>
      </c>
      <c r="AN500" t="str">
        <v>07-09-25</v>
      </c>
      <c r="AO500" t="str">
        <v>10-09-25</v>
      </c>
      <c r="AP500" t="str">
        <f t="shared" si="36"/>
        <v>September</v>
      </c>
      <c r="AQ500" t="str">
        <f t="shared" si="37"/>
        <v>2025</v>
      </c>
      <c r="AR500" t="str">
        <f t="shared" si="38"/>
        <v xml:space="preserve"> </v>
      </c>
      <c r="AS500">
        <f t="shared" si="39"/>
        <v>3</v>
      </c>
      <c r="AT500" t="str">
        <f>IF(COUNTIFS( $A:$A,A500,$B:$B,B500,$C:$C,C500,$D:$D,D500,$E:$E,E500,$F:$F,F500,$G:$G,G500,$H:$H,H500,$I:$I,I500,$J:$J,J500,$K:$K,K500,$L:$L,L500,$M:$M,M500,$T:$T,T500,$U:$U,U500,$W:$W,W500,$Z:$Z,Z500,$AA:$AA,AA500,$AB:$AB,AB500,$AC:$AC,AC500,$AD:$AD,AD500,$AE:$AE,AE500,$AF:$AF,AF500,$AG:$AG,AG500,$AH:$AH,AH500,$AI:$AI,AI500)&gt;1,"Duplicate","Unique")</f>
        <v>Unique</v>
      </c>
    </row>
    <row r="501" spans="1:46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  <c r="W501" t="s">
        <v>2429</v>
      </c>
      <c r="Z501" t="s">
        <v>2431</v>
      </c>
      <c r="AA501" t="str">
        <v>Rahul Verma</v>
      </c>
      <c r="AB501" t="str">
        <f>TRIM(PROPER(F:F))</f>
        <v>Home Office</v>
      </c>
      <c r="AC501" t="str">
        <f>TRIM(PROPER(G:G))</f>
        <v>North</v>
      </c>
      <c r="AD501" t="str">
        <f>TRIM(PROPER(H:H))</f>
        <v>Uttar Pradesh</v>
      </c>
      <c r="AE501" t="str">
        <f>TRIM(PROPER(I:I))</f>
        <v>Noida</v>
      </c>
      <c r="AF501" t="str">
        <f>TRIM(PROPER(J:J))</f>
        <v>Furniture</v>
      </c>
      <c r="AG501" t="str">
        <f>TRIM(PROPER(K:K))</f>
        <v>Chairs</v>
      </c>
      <c r="AH501" t="str">
        <f>TRIM(PROPER(L:L))</f>
        <v>Eco Chairs 210</v>
      </c>
      <c r="AI501" t="str">
        <f>TRIM(PROPER(M:M))</f>
        <v>Standard Class</v>
      </c>
      <c r="AJ501" s="5">
        <f>IF(OR(P501&lt;0,P501&gt;0.5),"invalid",P501)</f>
        <v>0</v>
      </c>
      <c r="AK501" s="6">
        <f>IFERROR(N501*O501*(1-AJ501), "NA")</f>
        <v>9997.8299999999981</v>
      </c>
      <c r="AL501" s="6">
        <f>IFERROR(AK501-R501,"NA")</f>
        <v>3938.7599999999984</v>
      </c>
      <c r="AM501" s="5">
        <f t="shared" si="35"/>
        <v>0.3939614896432525</v>
      </c>
      <c r="AN501" t="str">
        <v>22-12-24</v>
      </c>
      <c r="AO501" t="str">
        <v>26-12-24</v>
      </c>
      <c r="AP501" t="str">
        <f t="shared" si="36"/>
        <v>December</v>
      </c>
      <c r="AQ501" t="str">
        <f t="shared" si="37"/>
        <v>2024</v>
      </c>
      <c r="AR501" t="str">
        <f t="shared" si="38"/>
        <v xml:space="preserve"> </v>
      </c>
      <c r="AS501">
        <f t="shared" si="39"/>
        <v>4</v>
      </c>
      <c r="AT501" t="str">
        <f>IF(COUNTIFS( $A:$A,A501,$B:$B,B501,$C:$C,C501,$D:$D,D501,$E:$E,E501,$F:$F,F501,$G:$G,G501,$H:$H,H501,$I:$I,I501,$J:$J,J501,$K:$K,K501,$L:$L,L501,$M:$M,M501,$T:$T,T501,$U:$U,U501,$W:$W,W501,$Z:$Z,Z501,$AA:$AA,AA501,$AB:$AB,AB501,$AC:$AC,AC501,$AD:$AD,AD501,$AE:$AE,AE501,$AF:$AF,AF501,$AG:$AG,AG501,$AH:$AH,AH501,$AI:$AI,AI501)&gt;1,"Duplicate","Unique")</f>
        <v>Unique</v>
      </c>
    </row>
    <row r="502" spans="1:46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  <c r="W502" t="s">
        <v>2433</v>
      </c>
      <c r="Z502" t="s">
        <v>2435</v>
      </c>
      <c r="AA502" t="str">
        <v>Sneha Kapoor</v>
      </c>
      <c r="AB502" t="str">
        <f>TRIM(PROPER(F:F))</f>
        <v>Consumer</v>
      </c>
      <c r="AC502" t="str">
        <f>TRIM(PROPER(G:G))</f>
        <v>South</v>
      </c>
      <c r="AD502" t="str">
        <f>TRIM(PROPER(H:H))</f>
        <v>Kerala</v>
      </c>
      <c r="AE502" t="str">
        <f>TRIM(PROPER(I:I))</f>
        <v>Kochi</v>
      </c>
      <c r="AF502" t="str">
        <f>TRIM(PROPER(J:J))</f>
        <v>Technology</v>
      </c>
      <c r="AG502" t="str">
        <f>TRIM(PROPER(K:K))</f>
        <v>Phones</v>
      </c>
      <c r="AH502" t="str">
        <f>TRIM(PROPER(L:L))</f>
        <v>Prime Phones 533</v>
      </c>
      <c r="AI502" t="str">
        <f>TRIM(PROPER(M:M))</f>
        <v>Same Day</v>
      </c>
      <c r="AJ502" s="5" t="str">
        <f>IF(OR(P502&lt;0,P502&gt;0.5),"invalid",P502)</f>
        <v>invalid</v>
      </c>
      <c r="AK502" s="6" t="str">
        <f>IFERROR(N502*O502*(1-AJ502), "NA")</f>
        <v>NA</v>
      </c>
      <c r="AL502" s="6" t="str">
        <f>IFERROR(AK502-R502,"NA")</f>
        <v>NA</v>
      </c>
      <c r="AM502" s="5" t="str">
        <f t="shared" si="35"/>
        <v>NA</v>
      </c>
      <c r="AN502" t="str">
        <v>invalid date</v>
      </c>
      <c r="AO502" t="str">
        <v>invalid date</v>
      </c>
      <c r="AP502" t="str">
        <f t="shared" si="36"/>
        <v>invalid date</v>
      </c>
      <c r="AQ502" t="str">
        <f t="shared" si="37"/>
        <v>invalid date</v>
      </c>
      <c r="AR502" t="str">
        <f t="shared" si="38"/>
        <v>Invalid</v>
      </c>
      <c r="AS502" t="str">
        <f t="shared" si="39"/>
        <v>invalid date</v>
      </c>
      <c r="AT502" t="str">
        <f>IF(COUNTIFS( $A:$A,A502,$B:$B,B502,$C:$C,C502,$D:$D,D502,$E:$E,E502,$F:$F,F502,$G:$G,G502,$H:$H,H502,$I:$I,I502,$J:$J,J502,$K:$K,K502,$L:$L,L502,$M:$M,M502,$T:$T,T502,$U:$U,U502,$W:$W,W502,$Z:$Z,Z502,$AA:$AA,AA502,$AB:$AB,AB502,$AC:$AC,AC502,$AD:$AD,AD502,$AE:$AE,AE502,$AF:$AF,AF502,$AG:$AG,AG502,$AH:$AH,AH502,$AI:$AI,AI502)&gt;1,"Duplicate","Unique")</f>
        <v>Unique</v>
      </c>
    </row>
    <row r="503" spans="1:46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  <c r="W503" t="s">
        <v>2437</v>
      </c>
      <c r="Z503" t="s">
        <v>1237</v>
      </c>
      <c r="AA503" t="str">
        <v>Neha Gupta</v>
      </c>
      <c r="AB503" t="str">
        <f>TRIM(PROPER(F:F))</f>
        <v>Consumer</v>
      </c>
      <c r="AC503" t="str">
        <f>TRIM(PROPER(G:G))</f>
        <v>East</v>
      </c>
      <c r="AD503" t="str">
        <f>TRIM(PROPER(H:H))</f>
        <v>Jharkhand</v>
      </c>
      <c r="AE503" t="str">
        <f>TRIM(PROPER(I:I))</f>
        <v>Ranchi</v>
      </c>
      <c r="AF503" t="str">
        <f>TRIM(PROPER(J:J))</f>
        <v>Office Supplies</v>
      </c>
      <c r="AG503" t="str">
        <f>TRIM(PROPER(K:K))</f>
        <v>Art</v>
      </c>
      <c r="AH503" t="str">
        <f>TRIM(PROPER(L:L))</f>
        <v>Elite Art 325</v>
      </c>
      <c r="AI503" t="str">
        <f>TRIM(PROPER(M:M))</f>
        <v>Second Class</v>
      </c>
      <c r="AJ503" s="5">
        <f>IF(OR(P503&lt;0,P503&gt;0.5),"invalid",P503)</f>
        <v>0.15</v>
      </c>
      <c r="AK503" s="6">
        <f>IFERROR(N503*O503*(1-AJ503), "NA")</f>
        <v>17837.453999999998</v>
      </c>
      <c r="AL503" s="6">
        <f>IFERROR(AK503-R503,"NA")</f>
        <v>4210.4339999999975</v>
      </c>
      <c r="AM503" s="5">
        <f t="shared" si="35"/>
        <v>0.23604456106796395</v>
      </c>
      <c r="AN503" t="str">
        <v>11-08-24</v>
      </c>
      <c r="AO503" t="str">
        <v>invalid date</v>
      </c>
      <c r="AP503" t="str">
        <f t="shared" si="36"/>
        <v>August</v>
      </c>
      <c r="AQ503" t="str">
        <f t="shared" si="37"/>
        <v>2024</v>
      </c>
      <c r="AR503" t="str">
        <f t="shared" si="38"/>
        <v>Invalid</v>
      </c>
      <c r="AS503" t="str">
        <f t="shared" si="39"/>
        <v>invalid date</v>
      </c>
      <c r="AT503" t="str">
        <f>IF(COUNTIFS( $A:$A,A503,$B:$B,B503,$C:$C,C503,$D:$D,D503,$E:$E,E503,$F:$F,F503,$G:$G,G503,$H:$H,H503,$I:$I,I503,$J:$J,J503,$K:$K,K503,$L:$L,L503,$M:$M,M503,$T:$T,T503,$U:$U,U503,$W:$W,W503,$Z:$Z,Z503,$AA:$AA,AA503,$AB:$AB,AB503,$AC:$AC,AC503,$AD:$AD,AD503,$AE:$AE,AE503,$AF:$AF,AF503,$AG:$AG,AG503,$AH:$AH,AH503,$AI:$AI,AI503)&gt;1,"Duplicate","Unique")</f>
        <v>Unique</v>
      </c>
    </row>
    <row r="504" spans="1:46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  <c r="W504" t="s">
        <v>2441</v>
      </c>
      <c r="Z504" t="s">
        <v>2444</v>
      </c>
      <c r="AA504" t="str">
        <v>Priya Menon</v>
      </c>
      <c r="AB504" t="str">
        <f>TRIM(PROPER(F:F))</f>
        <v>Small Business</v>
      </c>
      <c r="AC504" t="str">
        <f>TRIM(PROPER(G:G))</f>
        <v>East</v>
      </c>
      <c r="AD504" t="str">
        <f>TRIM(PROPER(H:H))</f>
        <v>Odisha</v>
      </c>
      <c r="AE504" t="str">
        <f>TRIM(PROPER(I:I))</f>
        <v>Bhubaneswar</v>
      </c>
      <c r="AF504" t="str">
        <f>TRIM(PROPER(J:J))</f>
        <v>Technology</v>
      </c>
      <c r="AG504" t="str">
        <f>TRIM(PROPER(K:K))</f>
        <v>Copiers</v>
      </c>
      <c r="AH504" t="str">
        <f>TRIM(PROPER(L:L))</f>
        <v>Prime Copiers 557</v>
      </c>
      <c r="AI504" t="str">
        <f>TRIM(PROPER(M:M))</f>
        <v>Second Class</v>
      </c>
      <c r="AJ504" s="5">
        <f>IF(OR(P504&lt;0,P504&gt;0.5),"invalid",P504)</f>
        <v>0.1</v>
      </c>
      <c r="AK504" s="6">
        <f>IFERROR(N504*O504*(1-AJ504), "NA")</f>
        <v>4465.4220000000005</v>
      </c>
      <c r="AL504" s="6">
        <f>IFERROR(AK504-R504,"NA")</f>
        <v>1088.3220000000006</v>
      </c>
      <c r="AM504" s="5">
        <f t="shared" si="35"/>
        <v>0.24372209390288319</v>
      </c>
      <c r="AN504" t="str">
        <v>04-01-24</v>
      </c>
      <c r="AO504" t="str">
        <v>09-04-24</v>
      </c>
      <c r="AP504" t="str">
        <f t="shared" si="36"/>
        <v>January</v>
      </c>
      <c r="AQ504" t="str">
        <f t="shared" si="37"/>
        <v>2024</v>
      </c>
      <c r="AR504" t="str">
        <f t="shared" si="38"/>
        <v xml:space="preserve"> </v>
      </c>
      <c r="AS504">
        <f t="shared" si="39"/>
        <v>96</v>
      </c>
      <c r="AT504" t="str">
        <f>IF(COUNTIFS( $A:$A,A504,$B:$B,B504,$C:$C,C504,$D:$D,D504,$E:$E,E504,$F:$F,F504,$G:$G,G504,$H:$H,H504,$I:$I,I504,$J:$J,J504,$K:$K,K504,$L:$L,L504,$M:$M,M504,$T:$T,T504,$U:$U,U504,$W:$W,W504,$Z:$Z,Z504,$AA:$AA,AA504,$AB:$AB,AB504,$AC:$AC,AC504,$AD:$AD,AD504,$AE:$AE,AE504,$AF:$AF,AF504,$AG:$AG,AG504,$AH:$AH,AH504,$AI:$AI,AI504)&gt;1,"Duplicate","Unique")</f>
        <v>Unique</v>
      </c>
    </row>
    <row r="505" spans="1:46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  <c r="W505" t="s">
        <v>2446</v>
      </c>
      <c r="Z505" t="s">
        <v>2449</v>
      </c>
      <c r="AA505" t="str">
        <v>Aarav Sharma</v>
      </c>
      <c r="AB505" t="str">
        <f>TRIM(PROPER(F:F))</f>
        <v>Consumer</v>
      </c>
      <c r="AC505" t="str">
        <f>TRIM(PROPER(G:G))</f>
        <v>South</v>
      </c>
      <c r="AD505" t="str">
        <f>TRIM(PROPER(H:H))</f>
        <v>Tamil Nadu</v>
      </c>
      <c r="AE505" t="str">
        <f>TRIM(PROPER(I:I))</f>
        <v>Chennai</v>
      </c>
      <c r="AF505" t="str">
        <f>TRIM(PROPER(J:J))</f>
        <v>Technology</v>
      </c>
      <c r="AG505" t="str">
        <f>TRIM(PROPER(K:K))</f>
        <v>Phones</v>
      </c>
      <c r="AH505" t="str">
        <f>TRIM(PROPER(L:L))</f>
        <v>Smart Phones 674</v>
      </c>
      <c r="AI505" t="str">
        <f>TRIM(PROPER(M:M))</f>
        <v>Standard Class</v>
      </c>
      <c r="AJ505" s="5">
        <f>IF(OR(P505&lt;0,P505&gt;0.5),"invalid",P505)</f>
        <v>0.1</v>
      </c>
      <c r="AK505" s="6">
        <f>IFERROR(N505*O505*(1-AJ505), "NA")</f>
        <v>10594.08</v>
      </c>
      <c r="AL505" s="6">
        <f>IFERROR(AK505-R505,"NA")</f>
        <v>3433.7699999999995</v>
      </c>
      <c r="AM505" s="5">
        <f t="shared" si="35"/>
        <v>0.32412158488514337</v>
      </c>
      <c r="AN505" t="str">
        <v>28-09-24</v>
      </c>
      <c r="AO505" t="str">
        <v>05-10-24</v>
      </c>
      <c r="AP505" t="str">
        <f t="shared" si="36"/>
        <v>September</v>
      </c>
      <c r="AQ505" t="str">
        <f t="shared" si="37"/>
        <v>2024</v>
      </c>
      <c r="AR505" t="str">
        <f t="shared" si="38"/>
        <v>anomaly</v>
      </c>
      <c r="AS505">
        <f t="shared" si="39"/>
        <v>7</v>
      </c>
      <c r="AT505" t="str">
        <f>IF(COUNTIFS( $A:$A,A505,$B:$B,B505,$C:$C,C505,$D:$D,D505,$E:$E,E505,$F:$F,F505,$G:$G,G505,$H:$H,H505,$I:$I,I505,$J:$J,J505,$K:$K,K505,$L:$L,L505,$M:$M,M505,$T:$T,T505,$U:$U,U505,$W:$W,W505,$Z:$Z,Z505,$AA:$AA,AA505,$AB:$AB,AB505,$AC:$AC,AC505,$AD:$AD,AD505,$AE:$AE,AE505,$AF:$AF,AF505,$AG:$AG,AG505,$AH:$AH,AH505,$AI:$AI,AI505)&gt;1,"Duplicate","Unique")</f>
        <v>Unique</v>
      </c>
    </row>
    <row r="506" spans="1:46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  <c r="W506" t="s">
        <v>2451</v>
      </c>
      <c r="Z506" t="s">
        <v>2454</v>
      </c>
      <c r="AA506" t="str">
        <v>Arjun Bose</v>
      </c>
      <c r="AB506" t="str">
        <f>TRIM(PROPER(F:F))</f>
        <v>Corporate</v>
      </c>
      <c r="AC506" t="str">
        <f>TRIM(PROPER(G:G))</f>
        <v>West</v>
      </c>
      <c r="AD506" t="str">
        <f>TRIM(PROPER(H:H))</f>
        <v>Gujarat</v>
      </c>
      <c r="AE506" t="str">
        <f>TRIM(PROPER(I:I))</f>
        <v>Ahmedabad</v>
      </c>
      <c r="AF506" t="str">
        <f>TRIM(PROPER(J:J))</f>
        <v>Office Supplies</v>
      </c>
      <c r="AG506" t="str">
        <f>TRIM(PROPER(K:K))</f>
        <v>Art</v>
      </c>
      <c r="AH506" t="str">
        <f>TRIM(PROPER(L:L))</f>
        <v>Elite Art 553</v>
      </c>
      <c r="AI506" t="str">
        <f>TRIM(PROPER(M:M))</f>
        <v>Standard Class</v>
      </c>
      <c r="AJ506" s="5">
        <f>IF(OR(P506&lt;0,P506&gt;0.5),"invalid",P506)</f>
        <v>0</v>
      </c>
      <c r="AK506" s="6">
        <f>IFERROR(N506*O506*(1-AJ506), "NA")</f>
        <v>17312.48</v>
      </c>
      <c r="AL506" s="6">
        <f>IFERROR(AK506-R506,"NA")</f>
        <v>2888.26</v>
      </c>
      <c r="AM506" s="5">
        <f t="shared" si="35"/>
        <v>0.16683109525613893</v>
      </c>
      <c r="AN506" t="str">
        <v>12-02-25</v>
      </c>
      <c r="AO506" t="str">
        <v>17-02-25</v>
      </c>
      <c r="AP506" t="str">
        <f t="shared" si="36"/>
        <v>February</v>
      </c>
      <c r="AQ506" t="str">
        <f t="shared" si="37"/>
        <v>2025</v>
      </c>
      <c r="AR506" t="str">
        <f t="shared" si="38"/>
        <v xml:space="preserve"> </v>
      </c>
      <c r="AS506">
        <f t="shared" si="39"/>
        <v>5</v>
      </c>
      <c r="AT506" t="str">
        <f>IF(COUNTIFS( $A:$A,A506,$B:$B,B506,$C:$C,C506,$D:$D,D506,$E:$E,E506,$F:$F,F506,$G:$G,G506,$H:$H,H506,$I:$I,I506,$J:$J,J506,$K:$K,K506,$L:$L,L506,$M:$M,M506,$T:$T,T506,$U:$U,U506,$W:$W,W506,$Z:$Z,Z506,$AA:$AA,AA506,$AB:$AB,AB506,$AC:$AC,AC506,$AD:$AD,AD506,$AE:$AE,AE506,$AF:$AF,AF506,$AG:$AG,AG506,$AH:$AH,AH506,$AI:$AI,AI506)&gt;1,"Duplicate","Unique")</f>
        <v>Unique</v>
      </c>
    </row>
    <row r="507" spans="1:46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  <c r="W507" t="s">
        <v>2456</v>
      </c>
      <c r="Z507" t="s">
        <v>2458</v>
      </c>
      <c r="AA507" t="str">
        <v>Neha Gupta</v>
      </c>
      <c r="AB507" t="str">
        <f>TRIM(PROPER(F:F))</f>
        <v>Corporate</v>
      </c>
      <c r="AC507" t="str">
        <f>TRIM(PROPER(G:G))</f>
        <v>West</v>
      </c>
      <c r="AD507" t="str">
        <f>TRIM(PROPER(H:H))</f>
        <v>Madhya Pradesh</v>
      </c>
      <c r="AE507" t="str">
        <f>TRIM(PROPER(I:I))</f>
        <v>Indore</v>
      </c>
      <c r="AF507" t="str">
        <f>TRIM(PROPER(J:J))</f>
        <v>Office Supplies</v>
      </c>
      <c r="AG507" t="str">
        <f>TRIM(PROPER(K:K))</f>
        <v>Art</v>
      </c>
      <c r="AH507" t="str">
        <f>TRIM(PROPER(L:L))</f>
        <v>Classic Art 339</v>
      </c>
      <c r="AI507" t="str">
        <f>TRIM(PROPER(M:M))</f>
        <v>First Class</v>
      </c>
      <c r="AJ507" s="5">
        <f>IF(OR(P507&lt;0,P507&gt;0.5),"invalid",P507)</f>
        <v>0.2</v>
      </c>
      <c r="AK507" s="6">
        <f>IFERROR(N507*O507*(1-AJ507), "NA")</f>
        <v>17555.688000000002</v>
      </c>
      <c r="AL507" s="6">
        <f>IFERROR(AK507-R507,"NA")</f>
        <v>4262.4880000000012</v>
      </c>
      <c r="AM507" s="5">
        <f t="shared" si="35"/>
        <v>0.24279811762432785</v>
      </c>
      <c r="AN507" t="str">
        <v>09-11-24</v>
      </c>
      <c r="AO507" t="str">
        <v>14-11-24</v>
      </c>
      <c r="AP507" t="str">
        <f t="shared" si="36"/>
        <v>November</v>
      </c>
      <c r="AQ507" t="str">
        <f t="shared" si="37"/>
        <v>2024</v>
      </c>
      <c r="AR507" t="str">
        <f t="shared" si="38"/>
        <v xml:space="preserve"> </v>
      </c>
      <c r="AS507">
        <f t="shared" si="39"/>
        <v>5</v>
      </c>
      <c r="AT507" t="str">
        <f>IF(COUNTIFS( $A:$A,A507,$B:$B,B507,$C:$C,C507,$D:$D,D507,$E:$E,E507,$F:$F,F507,$G:$G,G507,$H:$H,H507,$I:$I,I507,$J:$J,J507,$K:$K,K507,$L:$L,L507,$M:$M,M507,$T:$T,T507,$U:$U,U507,$W:$W,W507,$Z:$Z,Z507,$AA:$AA,AA507,$AB:$AB,AB507,$AC:$AC,AC507,$AD:$AD,AD507,$AE:$AE,AE507,$AF:$AF,AF507,$AG:$AG,AG507,$AH:$AH,AH507,$AI:$AI,AI507)&gt;1,"Duplicate","Unique")</f>
        <v>Unique</v>
      </c>
    </row>
    <row r="508" spans="1:46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  <c r="W508" t="s">
        <v>2460</v>
      </c>
      <c r="Z508" t="s">
        <v>2463</v>
      </c>
      <c r="AA508" t="str">
        <v>Aarav Sharma</v>
      </c>
      <c r="AB508" t="str">
        <f>TRIM(PROPER(F:F))</f>
        <v>Small Business</v>
      </c>
      <c r="AC508" t="str">
        <f>TRIM(PROPER(G:G))</f>
        <v>North</v>
      </c>
      <c r="AD508" t="str">
        <f>TRIM(PROPER(H:H))</f>
        <v>Punjab</v>
      </c>
      <c r="AE508" t="str">
        <f>TRIM(PROPER(I:I))</f>
        <v>Ludhiana</v>
      </c>
      <c r="AF508" t="str">
        <f>TRIM(PROPER(J:J))</f>
        <v>Furniture</v>
      </c>
      <c r="AG508" t="str">
        <f>TRIM(PROPER(K:K))</f>
        <v>Furnishings</v>
      </c>
      <c r="AH508" t="str">
        <f>TRIM(PROPER(L:L))</f>
        <v>Smart Furnishings 352</v>
      </c>
      <c r="AI508" t="str">
        <f>TRIM(PROPER(M:M))</f>
        <v>First Class</v>
      </c>
      <c r="AJ508" s="5">
        <f>IF(OR(P508&lt;0,P508&gt;0.5),"invalid",P508)</f>
        <v>0.1</v>
      </c>
      <c r="AK508" s="6">
        <f>IFERROR(N508*O508*(1-AJ508), "NA")</f>
        <v>1205.6399999999999</v>
      </c>
      <c r="AL508" s="6">
        <f>IFERROR(AK508-R508,"NA")</f>
        <v>363.56999999999982</v>
      </c>
      <c r="AM508" s="5">
        <f t="shared" si="35"/>
        <v>0.30155767890912699</v>
      </c>
      <c r="AN508" t="str">
        <v>15-12-24</v>
      </c>
      <c r="AO508" t="str">
        <v>15-12-24</v>
      </c>
      <c r="AP508" t="str">
        <f t="shared" si="36"/>
        <v>December</v>
      </c>
      <c r="AQ508" t="str">
        <f t="shared" si="37"/>
        <v>2024</v>
      </c>
      <c r="AR508" t="str">
        <f t="shared" si="38"/>
        <v xml:space="preserve"> </v>
      </c>
      <c r="AS508">
        <f t="shared" si="39"/>
        <v>0</v>
      </c>
      <c r="AT508" t="str">
        <f>IF(COUNTIFS( $A:$A,A508,$B:$B,B508,$C:$C,C508,$D:$D,D508,$E:$E,E508,$F:$F,F508,$G:$G,G508,$H:$H,H508,$I:$I,I508,$J:$J,J508,$K:$K,K508,$L:$L,L508,$M:$M,M508,$T:$T,T508,$U:$U,U508,$W:$W,W508,$Z:$Z,Z508,$AA:$AA,AA508,$AB:$AB,AB508,$AC:$AC,AC508,$AD:$AD,AD508,$AE:$AE,AE508,$AF:$AF,AF508,$AG:$AG,AG508,$AH:$AH,AH508,$AI:$AI,AI508)&gt;1,"Duplicate","Unique")</f>
        <v>Unique</v>
      </c>
    </row>
    <row r="509" spans="1:46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  <c r="W509" t="s">
        <v>2465</v>
      </c>
      <c r="Z509" t="s">
        <v>2466</v>
      </c>
      <c r="AA509" t="str">
        <v>Isha Nair</v>
      </c>
      <c r="AB509" t="str">
        <f>TRIM(PROPER(F:F))</f>
        <v>Small Business</v>
      </c>
      <c r="AC509" t="str">
        <f>TRIM(PROPER(G:G))</f>
        <v>North</v>
      </c>
      <c r="AD509" t="str">
        <f>TRIM(PROPER(H:H))</f>
        <v>Haryana</v>
      </c>
      <c r="AE509" t="str">
        <f>TRIM(PROPER(I:I))</f>
        <v>Gurugram</v>
      </c>
      <c r="AF509" t="str">
        <f>TRIM(PROPER(J:J))</f>
        <v>Office Supplies</v>
      </c>
      <c r="AG509" t="str">
        <f>TRIM(PROPER(K:K))</f>
        <v>Binders</v>
      </c>
      <c r="AH509" t="str">
        <f>TRIM(PROPER(L:L))</f>
        <v>Classic Binders 602</v>
      </c>
      <c r="AI509" t="str">
        <f>TRIM(PROPER(M:M))</f>
        <v>Same Day</v>
      </c>
      <c r="AJ509" s="5">
        <f>IF(OR(P509&lt;0,P509&gt;0.5),"invalid",P509)</f>
        <v>0.25</v>
      </c>
      <c r="AK509" s="6">
        <f>IFERROR(N509*O509*(1-AJ509), "NA")</f>
        <v>8971.26</v>
      </c>
      <c r="AL509" s="6">
        <f>IFERROR(AK509-R509,"NA")</f>
        <v>2156.91</v>
      </c>
      <c r="AM509" s="5">
        <f t="shared" si="35"/>
        <v>0.24042442198754688</v>
      </c>
      <c r="AN509" t="str">
        <v>15-04-25</v>
      </c>
      <c r="AO509" t="str">
        <v>22-04-25</v>
      </c>
      <c r="AP509" t="str">
        <f t="shared" si="36"/>
        <v>April</v>
      </c>
      <c r="AQ509" t="str">
        <f t="shared" si="37"/>
        <v>2025</v>
      </c>
      <c r="AR509" t="str">
        <f t="shared" si="38"/>
        <v xml:space="preserve"> </v>
      </c>
      <c r="AS509">
        <f t="shared" si="39"/>
        <v>7</v>
      </c>
      <c r="AT509" t="str">
        <f>IF(COUNTIFS( $A:$A,A509,$B:$B,B509,$C:$C,C509,$D:$D,D509,$E:$E,E509,$F:$F,F509,$G:$G,G509,$H:$H,H509,$I:$I,I509,$J:$J,J509,$K:$K,K509,$L:$L,L509,$M:$M,M509,$T:$T,T509,$U:$U,U509,$W:$W,W509,$Z:$Z,Z509,$AA:$AA,AA509,$AB:$AB,AB509,$AC:$AC,AC509,$AD:$AD,AD509,$AE:$AE,AE509,$AF:$AF,AF509,$AG:$AG,AG509,$AH:$AH,AH509,$AI:$AI,AI509)&gt;1,"Duplicate","Unique")</f>
        <v>Unique</v>
      </c>
    </row>
    <row r="510" spans="1:46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  <c r="W510" t="s">
        <v>2468</v>
      </c>
      <c r="Z510" t="s">
        <v>2470</v>
      </c>
      <c r="AA510" t="str">
        <v>Isha Nair</v>
      </c>
      <c r="AB510" t="str">
        <f>TRIM(PROPER(F:F))</f>
        <v>Small Business</v>
      </c>
      <c r="AC510" t="str">
        <f>TRIM(PROPER(G:G))</f>
        <v>North</v>
      </c>
      <c r="AD510" t="str">
        <f>TRIM(PROPER(H:H))</f>
        <v>Haryana</v>
      </c>
      <c r="AE510" t="str">
        <f>TRIM(PROPER(I:I))</f>
        <v>Gurugram</v>
      </c>
      <c r="AF510" t="str">
        <f>TRIM(PROPER(J:J))</f>
        <v>Technology</v>
      </c>
      <c r="AG510" t="str">
        <f>TRIM(PROPER(K:K))</f>
        <v>Machines</v>
      </c>
      <c r="AH510" t="str">
        <f>TRIM(PROPER(L:L))</f>
        <v>Smart Machines 853</v>
      </c>
      <c r="AI510" t="str">
        <f>TRIM(PROPER(M:M))</f>
        <v>Second Class</v>
      </c>
      <c r="AJ510" s="5">
        <f>IF(OR(P510&lt;0,P510&gt;0.5),"invalid",P510)</f>
        <v>0</v>
      </c>
      <c r="AK510" s="6">
        <f>IFERROR(N510*O510*(1-AJ510), "NA")</f>
        <v>7324</v>
      </c>
      <c r="AL510" s="6">
        <f>IFERROR(AK510-R510,"NA")</f>
        <v>3144.37</v>
      </c>
      <c r="AM510" s="5">
        <f t="shared" si="35"/>
        <v>0.42932413981430911</v>
      </c>
      <c r="AN510" t="str">
        <v>31-03-24</v>
      </c>
      <c r="AO510" t="str">
        <v>07-04-24</v>
      </c>
      <c r="AP510" t="str">
        <f t="shared" si="36"/>
        <v>March</v>
      </c>
      <c r="AQ510" t="str">
        <f t="shared" si="37"/>
        <v>2024</v>
      </c>
      <c r="AR510" t="str">
        <f t="shared" si="38"/>
        <v>anomaly</v>
      </c>
      <c r="AS510">
        <f t="shared" si="39"/>
        <v>7</v>
      </c>
      <c r="AT510" t="str">
        <f>IF(COUNTIFS( $A:$A,A510,$B:$B,B510,$C:$C,C510,$D:$D,D510,$E:$E,E510,$F:$F,F510,$G:$G,G510,$H:$H,H510,$I:$I,I510,$J:$J,J510,$K:$K,K510,$L:$L,L510,$M:$M,M510,$T:$T,T510,$U:$U,U510,$W:$W,W510,$Z:$Z,Z510,$AA:$AA,AA510,$AB:$AB,AB510,$AC:$AC,AC510,$AD:$AD,AD510,$AE:$AE,AE510,$AF:$AF,AF510,$AG:$AG,AG510,$AH:$AH,AH510,$AI:$AI,AI510)&gt;1,"Duplicate","Unique")</f>
        <v>Unique</v>
      </c>
    </row>
    <row r="511" spans="1:46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  <c r="W511" t="s">
        <v>2472</v>
      </c>
      <c r="Z511" t="s">
        <v>2475</v>
      </c>
      <c r="AA511" t="str">
        <v>Neha Gupta</v>
      </c>
      <c r="AB511" t="str">
        <f>TRIM(PROPER(F:F))</f>
        <v>Consumer</v>
      </c>
      <c r="AC511" t="str">
        <f>TRIM(PROPER(G:G))</f>
        <v>West</v>
      </c>
      <c r="AD511" t="str">
        <f>TRIM(PROPER(H:H))</f>
        <v>Gujarat</v>
      </c>
      <c r="AE511" t="str">
        <f>TRIM(PROPER(I:I))</f>
        <v>Ahmedabad</v>
      </c>
      <c r="AF511" t="str">
        <f>TRIM(PROPER(J:J))</f>
        <v>Technology</v>
      </c>
      <c r="AG511" t="str">
        <f>TRIM(PROPER(K:K))</f>
        <v>Machines</v>
      </c>
      <c r="AH511" t="str">
        <f>TRIM(PROPER(L:L))</f>
        <v>Classic Machines 599</v>
      </c>
      <c r="AI511" t="str">
        <f>TRIM(PROPER(M:M))</f>
        <v>Same Day</v>
      </c>
      <c r="AJ511" s="5">
        <f>IF(OR(P511&lt;0,P511&gt;0.5),"invalid",P511)</f>
        <v>0.2</v>
      </c>
      <c r="AK511" s="6">
        <f>IFERROR(N511*O511*(1-AJ511), "NA")</f>
        <v>23241.216</v>
      </c>
      <c r="AL511" s="6">
        <f>IFERROR(AK511-R511,"NA")</f>
        <v>6020.3159999999989</v>
      </c>
      <c r="AM511" s="5">
        <f t="shared" si="35"/>
        <v>0.25903618812371948</v>
      </c>
      <c r="AN511" t="str">
        <v>12-05-25</v>
      </c>
      <c r="AO511" t="str">
        <v>invalid date</v>
      </c>
      <c r="AP511" t="str">
        <f t="shared" si="36"/>
        <v>May</v>
      </c>
      <c r="AQ511" t="str">
        <f t="shared" si="37"/>
        <v>2025</v>
      </c>
      <c r="AR511" t="str">
        <f t="shared" si="38"/>
        <v>Invalid</v>
      </c>
      <c r="AS511" t="str">
        <f t="shared" si="39"/>
        <v>invalid date</v>
      </c>
      <c r="AT511" t="str">
        <f>IF(COUNTIFS( $A:$A,A511,$B:$B,B511,$C:$C,C511,$D:$D,D511,$E:$E,E511,$F:$F,F511,$G:$G,G511,$H:$H,H511,$I:$I,I511,$J:$J,J511,$K:$K,K511,$L:$L,L511,$M:$M,M511,$T:$T,T511,$U:$U,U511,$W:$W,W511,$Z:$Z,Z511,$AA:$AA,AA511,$AB:$AB,AB511,$AC:$AC,AC511,$AD:$AD,AD511,$AE:$AE,AE511,$AF:$AF,AF511,$AG:$AG,AG511,$AH:$AH,AH511,$AI:$AI,AI511)&gt;1,"Duplicate","Unique")</f>
        <v>Unique</v>
      </c>
    </row>
    <row r="512" spans="1:46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  <c r="W512" t="s">
        <v>2477</v>
      </c>
      <c r="Z512" t="s">
        <v>2479</v>
      </c>
      <c r="AA512" t="str">
        <v>Aarav Sharma</v>
      </c>
      <c r="AB512" t="str">
        <f>TRIM(PROPER(F:F))</f>
        <v>Consumer</v>
      </c>
      <c r="AC512" t="str">
        <f>TRIM(PROPER(G:G))</f>
        <v>South</v>
      </c>
      <c r="AD512" t="str">
        <f>TRIM(PROPER(H:H))</f>
        <v>Karnataka</v>
      </c>
      <c r="AE512" t="str">
        <f>TRIM(PROPER(I:I))</f>
        <v>Bengaluru</v>
      </c>
      <c r="AF512" t="str">
        <f>TRIM(PROPER(J:J))</f>
        <v>Office Supplies</v>
      </c>
      <c r="AG512" t="str">
        <f>TRIM(PROPER(K:K))</f>
        <v>Storage</v>
      </c>
      <c r="AH512" t="str">
        <f>TRIM(PROPER(L:L))</f>
        <v>Pro Storage 373</v>
      </c>
      <c r="AI512" t="str">
        <f>TRIM(PROPER(M:M))</f>
        <v>Second Class</v>
      </c>
      <c r="AJ512" s="5">
        <f>IF(OR(P512&lt;0,P512&gt;0.5),"invalid",P512)</f>
        <v>0</v>
      </c>
      <c r="AK512" s="6">
        <f>IFERROR(N512*O512*(1-AJ512), "NA")</f>
        <v>8477.02</v>
      </c>
      <c r="AL512" s="6">
        <f>IFERROR(AK512-R512,"NA")</f>
        <v>1592.0600000000004</v>
      </c>
      <c r="AM512" s="5">
        <f t="shared" si="35"/>
        <v>0.18780892341884298</v>
      </c>
      <c r="AN512" t="str">
        <v>invalid date</v>
      </c>
      <c r="AO512" t="str">
        <v>21-10-24</v>
      </c>
      <c r="AP512" t="str">
        <f t="shared" si="36"/>
        <v>invalid date</v>
      </c>
      <c r="AQ512" t="str">
        <f t="shared" si="37"/>
        <v>invalid date</v>
      </c>
      <c r="AR512" t="str">
        <f t="shared" si="38"/>
        <v>Invalid</v>
      </c>
      <c r="AS512" t="str">
        <f t="shared" si="39"/>
        <v>invalid date</v>
      </c>
      <c r="AT512" t="str">
        <f>IF(COUNTIFS( $A:$A,A512,$B:$B,B512,$C:$C,C512,$D:$D,D512,$E:$E,E512,$F:$F,F512,$G:$G,G512,$H:$H,H512,$I:$I,I512,$J:$J,J512,$K:$K,K512,$L:$L,L512,$M:$M,M512,$T:$T,T512,$U:$U,U512,$W:$W,W512,$Z:$Z,Z512,$AA:$AA,AA512,$AB:$AB,AB512,$AC:$AC,AC512,$AD:$AD,AD512,$AE:$AE,AE512,$AF:$AF,AF512,$AG:$AG,AG512,$AH:$AH,AH512,$AI:$AI,AI512)&gt;1,"Duplicate","Unique")</f>
        <v>Unique</v>
      </c>
    </row>
    <row r="513" spans="1:46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  <c r="W513" t="s">
        <v>2482</v>
      </c>
      <c r="Z513" t="s">
        <v>2485</v>
      </c>
      <c r="AA513" t="str">
        <v>Sneha Kapoor</v>
      </c>
      <c r="AB513" t="str">
        <f>TRIM(PROPER(F:F))</f>
        <v>Consumer</v>
      </c>
      <c r="AC513" t="str">
        <f>TRIM(PROPER(G:G))</f>
        <v>West</v>
      </c>
      <c r="AD513" t="str">
        <f>TRIM(PROPER(H:H))</f>
        <v>Madhya Pradesh</v>
      </c>
      <c r="AE513" t="str">
        <f>TRIM(PROPER(I:I))</f>
        <v>Indore</v>
      </c>
      <c r="AF513" t="str">
        <f>TRIM(PROPER(J:J))</f>
        <v>Furniture</v>
      </c>
      <c r="AG513" t="str">
        <f>TRIM(PROPER(K:K))</f>
        <v>Bookcases</v>
      </c>
      <c r="AH513" t="str">
        <f>TRIM(PROPER(L:L))</f>
        <v>Smart Bookcases 920</v>
      </c>
      <c r="AI513" t="str">
        <f>TRIM(PROPER(M:M))</f>
        <v>Standard Class</v>
      </c>
      <c r="AJ513" s="5">
        <f>IF(OR(P513&lt;0,P513&gt;0.5),"invalid",P513)</f>
        <v>0.25</v>
      </c>
      <c r="AK513" s="6">
        <f>IFERROR(N513*O513*(1-AJ513), "NA")</f>
        <v>3673.8225000000002</v>
      </c>
      <c r="AL513" s="6">
        <f>IFERROR(AK513-R513,"NA")</f>
        <v>1585.6725000000001</v>
      </c>
      <c r="AM513" s="5">
        <f t="shared" si="35"/>
        <v>0.43161380278987349</v>
      </c>
      <c r="AN513" t="str">
        <v>invalid date</v>
      </c>
      <c r="AO513" t="str">
        <v>26-10-24</v>
      </c>
      <c r="AP513" t="str">
        <f t="shared" si="36"/>
        <v>invalid date</v>
      </c>
      <c r="AQ513" t="str">
        <f t="shared" si="37"/>
        <v>invalid date</v>
      </c>
      <c r="AR513" t="str">
        <f t="shared" si="38"/>
        <v>Invalid</v>
      </c>
      <c r="AS513" t="str">
        <f t="shared" si="39"/>
        <v>invalid date</v>
      </c>
      <c r="AT513" t="str">
        <f>IF(COUNTIFS( $A:$A,A513,$B:$B,B513,$C:$C,C513,$D:$D,D513,$E:$E,E513,$F:$F,F513,$G:$G,G513,$H:$H,H513,$I:$I,I513,$J:$J,J513,$K:$K,K513,$L:$L,L513,$M:$M,M513,$T:$T,T513,$U:$U,U513,$W:$W,W513,$Z:$Z,Z513,$AA:$AA,AA513,$AB:$AB,AB513,$AC:$AC,AC513,$AD:$AD,AD513,$AE:$AE,AE513,$AF:$AF,AF513,$AG:$AG,AG513,$AH:$AH,AH513,$AI:$AI,AI513)&gt;1,"Duplicate","Unique")</f>
        <v>Unique</v>
      </c>
    </row>
    <row r="514" spans="1:46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  <c r="W514" t="s">
        <v>2487</v>
      </c>
      <c r="Z514" t="s">
        <v>1900</v>
      </c>
      <c r="AA514" t="str">
        <v>Isha Nair</v>
      </c>
      <c r="AB514" t="str">
        <f>TRIM(PROPER(F:F))</f>
        <v>Corporate</v>
      </c>
      <c r="AC514" t="str">
        <f>TRIM(PROPER(G:G))</f>
        <v>South</v>
      </c>
      <c r="AD514" t="str">
        <f>TRIM(PROPER(H:H))</f>
        <v>Kerala</v>
      </c>
      <c r="AE514" t="str">
        <f>TRIM(PROPER(I:I))</f>
        <v>Kochi</v>
      </c>
      <c r="AF514" t="str">
        <f>TRIM(PROPER(J:J))</f>
        <v>Office Supplies</v>
      </c>
      <c r="AG514" t="str">
        <f>TRIM(PROPER(K:K))</f>
        <v>Labels</v>
      </c>
      <c r="AH514" t="str">
        <f>TRIM(PROPER(L:L))</f>
        <v>Pro Labels 849</v>
      </c>
      <c r="AI514" t="str">
        <f>TRIM(PROPER(M:M))</f>
        <v>Second Class</v>
      </c>
      <c r="AJ514" s="5">
        <f>IF(OR(P514&lt;0,P514&gt;0.5),"invalid",P514)</f>
        <v>0.25</v>
      </c>
      <c r="AK514" s="6">
        <f>IFERROR(N514*O514*(1-AJ514), "NA")</f>
        <v>6047.1749999999993</v>
      </c>
      <c r="AL514" s="6">
        <f>IFERROR(AK514-R514,"NA")</f>
        <v>2678.3849999999993</v>
      </c>
      <c r="AM514" s="5">
        <f t="shared" si="35"/>
        <v>0.44291508018206843</v>
      </c>
      <c r="AN514" t="str">
        <v>03-02-25</v>
      </c>
      <c r="AO514" t="str">
        <v>03-03-25</v>
      </c>
      <c r="AP514" t="str">
        <f t="shared" si="36"/>
        <v>February</v>
      </c>
      <c r="AQ514" t="str">
        <f t="shared" si="37"/>
        <v>2025</v>
      </c>
      <c r="AR514" t="str">
        <f t="shared" si="38"/>
        <v xml:space="preserve"> </v>
      </c>
      <c r="AS514">
        <f t="shared" si="39"/>
        <v>28</v>
      </c>
      <c r="AT514" t="str">
        <f>IF(COUNTIFS( $A:$A,A514,$B:$B,B514,$C:$C,C514,$D:$D,D514,$E:$E,E514,$F:$F,F514,$G:$G,G514,$H:$H,H514,$I:$I,I514,$J:$J,J514,$K:$K,K514,$L:$L,L514,$M:$M,M514,$T:$T,T514,$U:$U,U514,$W:$W,W514,$Z:$Z,Z514,$AA:$AA,AA514,$AB:$AB,AB514,$AC:$AC,AC514,$AD:$AD,AD514,$AE:$AE,AE514,$AF:$AF,AF514,$AG:$AG,AG514,$AH:$AH,AH514,$AI:$AI,AI514)&gt;1,"Duplicate","Unique")</f>
        <v>Unique</v>
      </c>
    </row>
    <row r="515" spans="1:46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  <c r="W515" t="s">
        <v>2490</v>
      </c>
      <c r="Z515" t="s">
        <v>2491</v>
      </c>
      <c r="AA515" t="str">
        <v>Aarav Sharma</v>
      </c>
      <c r="AB515" t="str">
        <f>TRIM(PROPER(F:F))</f>
        <v>Corporate</v>
      </c>
      <c r="AC515" t="str">
        <f>TRIM(PROPER(G:G))</f>
        <v>South</v>
      </c>
      <c r="AD515" t="str">
        <f>TRIM(PROPER(H:H))</f>
        <v>Kerala</v>
      </c>
      <c r="AE515" t="str">
        <f>TRIM(PROPER(I:I))</f>
        <v>Kochi</v>
      </c>
      <c r="AF515" t="str">
        <f>TRIM(PROPER(J:J))</f>
        <v>Technology</v>
      </c>
      <c r="AG515" t="str">
        <f>TRIM(PROPER(K:K))</f>
        <v>Accessories</v>
      </c>
      <c r="AH515" t="str">
        <f>TRIM(PROPER(L:L))</f>
        <v>Prime Accessories 849</v>
      </c>
      <c r="AI515" t="str">
        <f>TRIM(PROPER(M:M))</f>
        <v>First Class</v>
      </c>
      <c r="AJ515" s="5">
        <f>IF(OR(P515&lt;0,P515&gt;0.5),"invalid",P515)</f>
        <v>0.1</v>
      </c>
      <c r="AK515" s="6">
        <f>IFERROR(N515*O515*(1-AJ515), "NA")</f>
        <v>5937.246000000001</v>
      </c>
      <c r="AL515" s="6">
        <f>IFERROR(AK515-R515,"NA")</f>
        <v>1848.786000000001</v>
      </c>
      <c r="AM515" s="5">
        <f t="shared" ref="AM515:AM578" si="40">IFERROR(AL515/AK515,"NA")</f>
        <v>0.31138780505304997</v>
      </c>
      <c r="AN515" t="str">
        <v>27-06-25</v>
      </c>
      <c r="AO515" t="str">
        <v>07-02-25</v>
      </c>
      <c r="AP515" t="str">
        <f t="shared" ref="AP515:AP578" si="41">TEXT(AN515,"mmmm")</f>
        <v>June</v>
      </c>
      <c r="AQ515" t="str">
        <f t="shared" ref="AQ515:AQ578" si="42">TEXT(AN515,"yyyy")</f>
        <v>2025</v>
      </c>
      <c r="AR515" t="str">
        <f t="shared" ref="AR515:AR578" si="43">IF(OR(AN515="Invalid Date",AO515="Invalid Date"),"Invalid",(IF(AO515&lt;AN515,"anomaly"," ")))</f>
        <v>anomaly</v>
      </c>
      <c r="AS515">
        <f t="shared" ref="AS515:AS578" si="44">IFERROR(AO515-AN515, "invalid date")</f>
        <v>-140</v>
      </c>
      <c r="AT515" t="str">
        <f>IF(COUNTIFS( $A:$A,A515,$B:$B,B515,$C:$C,C515,$D:$D,D515,$E:$E,E515,$F:$F,F515,$G:$G,G515,$H:$H,H515,$I:$I,I515,$J:$J,J515,$K:$K,K515,$L:$L,L515,$M:$M,M515,$T:$T,T515,$U:$U,U515,$W:$W,W515,$Z:$Z,Z515,$AA:$AA,AA515,$AB:$AB,AB515,$AC:$AC,AC515,$AD:$AD,AD515,$AE:$AE,AE515,$AF:$AF,AF515,$AG:$AG,AG515,$AH:$AH,AH515,$AI:$AI,AI515)&gt;1,"Duplicate","Unique")</f>
        <v>Unique</v>
      </c>
    </row>
    <row r="516" spans="1:46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  <c r="W516" t="s">
        <v>2493</v>
      </c>
      <c r="Z516" t="s">
        <v>2495</v>
      </c>
      <c r="AA516" t="str">
        <v>Karan Malhotra</v>
      </c>
      <c r="AB516" t="str">
        <f>TRIM(PROPER(F:F))</f>
        <v>Home Office</v>
      </c>
      <c r="AC516" t="str">
        <f>TRIM(PROPER(G:G))</f>
        <v>South</v>
      </c>
      <c r="AD516" t="str">
        <f>TRIM(PROPER(H:H))</f>
        <v>Kerala</v>
      </c>
      <c r="AE516" t="str">
        <f>TRIM(PROPER(I:I))</f>
        <v>Kochi</v>
      </c>
      <c r="AF516" t="str">
        <f>TRIM(PROPER(J:J))</f>
        <v>Technology</v>
      </c>
      <c r="AG516" t="str">
        <f>TRIM(PROPER(K:K))</f>
        <v>Accessories</v>
      </c>
      <c r="AH516" t="str">
        <f>TRIM(PROPER(L:L))</f>
        <v>Smart Accessories 388</v>
      </c>
      <c r="AI516" t="str">
        <f>TRIM(PROPER(M:M))</f>
        <v>Standard Class</v>
      </c>
      <c r="AJ516" s="5">
        <f>IF(OR(P516&lt;0,P516&gt;0.5),"invalid",P516)</f>
        <v>0.1</v>
      </c>
      <c r="AK516" s="6">
        <f>IFERROR(N516*O516*(1-AJ516), "NA")</f>
        <v>20913.876</v>
      </c>
      <c r="AL516" s="6">
        <f>IFERROR(AK516-R516,"NA")</f>
        <v>9229.1959999999999</v>
      </c>
      <c r="AM516" s="5">
        <f t="shared" si="40"/>
        <v>0.44129533903710627</v>
      </c>
      <c r="AN516" t="str">
        <v>18-11-24</v>
      </c>
      <c r="AO516" t="str">
        <v>22-11-24</v>
      </c>
      <c r="AP516" t="str">
        <f t="shared" si="41"/>
        <v>November</v>
      </c>
      <c r="AQ516" t="str">
        <f t="shared" si="42"/>
        <v>2024</v>
      </c>
      <c r="AR516" t="str">
        <f t="shared" si="43"/>
        <v xml:space="preserve"> </v>
      </c>
      <c r="AS516">
        <f t="shared" si="44"/>
        <v>4</v>
      </c>
      <c r="AT516" t="str">
        <f>IF(COUNTIFS( $A:$A,A516,$B:$B,B516,$C:$C,C516,$D:$D,D516,$E:$E,E516,$F:$F,F516,$G:$G,G516,$H:$H,H516,$I:$I,I516,$J:$J,J516,$K:$K,K516,$L:$L,L516,$M:$M,M516,$T:$T,T516,$U:$U,U516,$W:$W,W516,$Z:$Z,Z516,$AA:$AA,AA516,$AB:$AB,AB516,$AC:$AC,AC516,$AD:$AD,AD516,$AE:$AE,AE516,$AF:$AF,AF516,$AG:$AG,AG516,$AH:$AH,AH516,$AI:$AI,AI516)&gt;1,"Duplicate","Unique")</f>
        <v>Unique</v>
      </c>
    </row>
    <row r="517" spans="1:46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  <c r="W517" t="s">
        <v>2497</v>
      </c>
      <c r="Z517" t="s">
        <v>2499</v>
      </c>
      <c r="AA517" t="str">
        <v>Rahul Verma</v>
      </c>
      <c r="AB517" t="str">
        <f>TRIM(PROPER(F:F))</f>
        <v>Corporate</v>
      </c>
      <c r="AC517" t="str">
        <f>TRIM(PROPER(G:G))</f>
        <v>North</v>
      </c>
      <c r="AD517" t="str">
        <f>TRIM(PROPER(H:H))</f>
        <v>Delhi</v>
      </c>
      <c r="AE517" t="str">
        <f>TRIM(PROPER(I:I))</f>
        <v>New Delhi</v>
      </c>
      <c r="AF517" t="str">
        <f>TRIM(PROPER(J:J))</f>
        <v>Office Supplies</v>
      </c>
      <c r="AG517" t="str">
        <f>TRIM(PROPER(K:K))</f>
        <v>Paper</v>
      </c>
      <c r="AH517" t="str">
        <f>TRIM(PROPER(L:L))</f>
        <v>Classic Paper 752</v>
      </c>
      <c r="AI517" t="str">
        <f>TRIM(PROPER(M:M))</f>
        <v>Standard Class</v>
      </c>
      <c r="AJ517" s="5" t="str">
        <f>IF(OR(P517&lt;0,P517&gt;0.5),"invalid",P517)</f>
        <v>invalid</v>
      </c>
      <c r="AK517" s="6" t="str">
        <f>IFERROR(N517*O517*(1-AJ517), "NA")</f>
        <v>NA</v>
      </c>
      <c r="AL517" s="6" t="str">
        <f>IFERROR(AK517-R517,"NA")</f>
        <v>NA</v>
      </c>
      <c r="AM517" s="5" t="str">
        <f t="shared" si="40"/>
        <v>NA</v>
      </c>
      <c r="AN517" t="str">
        <v>04-11-25</v>
      </c>
      <c r="AO517" t="str">
        <v>11-04-25</v>
      </c>
      <c r="AP517" t="str">
        <f t="shared" si="41"/>
        <v>November</v>
      </c>
      <c r="AQ517" t="str">
        <f t="shared" si="42"/>
        <v>2025</v>
      </c>
      <c r="AR517" t="str">
        <f t="shared" si="43"/>
        <v xml:space="preserve"> </v>
      </c>
      <c r="AS517">
        <f t="shared" si="44"/>
        <v>-207</v>
      </c>
      <c r="AT517" t="str">
        <f>IF(COUNTIFS( $A:$A,A517,$B:$B,B517,$C:$C,C517,$D:$D,D517,$E:$E,E517,$F:$F,F517,$G:$G,G517,$H:$H,H517,$I:$I,I517,$J:$J,J517,$K:$K,K517,$L:$L,L517,$M:$M,M517,$T:$T,T517,$U:$U,U517,$W:$W,W517,$Z:$Z,Z517,$AA:$AA,AA517,$AB:$AB,AB517,$AC:$AC,AC517,$AD:$AD,AD517,$AE:$AE,AE517,$AF:$AF,AF517,$AG:$AG,AG517,$AH:$AH,AH517,$AI:$AI,AI517)&gt;1,"Duplicate","Unique")</f>
        <v>Unique</v>
      </c>
    </row>
    <row r="518" spans="1:46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  <c r="W518" t="s">
        <v>2501</v>
      </c>
      <c r="Z518" t="s">
        <v>2504</v>
      </c>
      <c r="AA518" t="str">
        <v>Kabir Singh</v>
      </c>
      <c r="AB518" t="str">
        <f>TRIM(PROPER(F:F))</f>
        <v>Home Office</v>
      </c>
      <c r="AC518" t="str">
        <f>TRIM(PROPER(G:G))</f>
        <v>North</v>
      </c>
      <c r="AD518" t="str">
        <f>TRIM(PROPER(H:H))</f>
        <v>Delhi</v>
      </c>
      <c r="AE518" t="str">
        <f>TRIM(PROPER(I:I))</f>
        <v>New Delhi</v>
      </c>
      <c r="AF518" t="str">
        <f>TRIM(PROPER(J:J))</f>
        <v>Technology</v>
      </c>
      <c r="AG518" t="str">
        <f>TRIM(PROPER(K:K))</f>
        <v>Copiers</v>
      </c>
      <c r="AH518" t="str">
        <f>TRIM(PROPER(L:L))</f>
        <v>Classic Copiers 143</v>
      </c>
      <c r="AI518" t="str">
        <f>TRIM(PROPER(M:M))</f>
        <v>Standard Class</v>
      </c>
      <c r="AJ518" s="5">
        <f>IF(OR(P518&lt;0,P518&gt;0.5),"invalid",P518)</f>
        <v>0</v>
      </c>
      <c r="AK518" s="6">
        <f>IFERROR(N518*O518*(1-AJ518), "NA")</f>
        <v>2233.1799999999998</v>
      </c>
      <c r="AL518" s="6">
        <f>IFERROR(AK518-R518,"NA")</f>
        <v>647.3599999999999</v>
      </c>
      <c r="AM518" s="5">
        <f t="shared" si="40"/>
        <v>0.28988258895386843</v>
      </c>
      <c r="AN518" t="str">
        <v>invalid date</v>
      </c>
      <c r="AO518" t="str">
        <v>04-10-24</v>
      </c>
      <c r="AP518" t="str">
        <f t="shared" si="41"/>
        <v>invalid date</v>
      </c>
      <c r="AQ518" t="str">
        <f t="shared" si="42"/>
        <v>invalid date</v>
      </c>
      <c r="AR518" t="str">
        <f t="shared" si="43"/>
        <v>Invalid</v>
      </c>
      <c r="AS518" t="str">
        <f t="shared" si="44"/>
        <v>invalid date</v>
      </c>
      <c r="AT518" t="str">
        <f>IF(COUNTIFS( $A:$A,A518,$B:$B,B518,$C:$C,C518,$D:$D,D518,$E:$E,E518,$F:$F,F518,$G:$G,G518,$H:$H,H518,$I:$I,I518,$J:$J,J518,$K:$K,K518,$L:$L,L518,$M:$M,M518,$T:$T,T518,$U:$U,U518,$W:$W,W518,$Z:$Z,Z518,$AA:$AA,AA518,$AB:$AB,AB518,$AC:$AC,AC518,$AD:$AD,AD518,$AE:$AE,AE518,$AF:$AF,AF518,$AG:$AG,AG518,$AH:$AH,AH518,$AI:$AI,AI518)&gt;1,"Duplicate","Unique")</f>
        <v>Unique</v>
      </c>
    </row>
    <row r="519" spans="1:46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  <c r="W519" t="s">
        <v>2506</v>
      </c>
      <c r="Z519" t="s">
        <v>2508</v>
      </c>
      <c r="AA519" t="str">
        <v>Rahul Verma</v>
      </c>
      <c r="AB519" t="str">
        <f>TRIM(PROPER(F:F))</f>
        <v>Consumer</v>
      </c>
      <c r="AC519" t="str">
        <f>TRIM(PROPER(G:G))</f>
        <v>East</v>
      </c>
      <c r="AD519" t="str">
        <f>TRIM(PROPER(H:H))</f>
        <v>Odisha</v>
      </c>
      <c r="AE519" t="str">
        <f>TRIM(PROPER(I:I))</f>
        <v>Bhubaneswar</v>
      </c>
      <c r="AF519" t="str">
        <f>TRIM(PROPER(J:J))</f>
        <v>Furniture</v>
      </c>
      <c r="AG519" t="str">
        <f>TRIM(PROPER(K:K))</f>
        <v>Furnishings</v>
      </c>
      <c r="AH519" t="str">
        <f>TRIM(PROPER(L:L))</f>
        <v>Basic Furnishings 386</v>
      </c>
      <c r="AI519" t="str">
        <f>TRIM(PROPER(M:M))</f>
        <v>Second Class</v>
      </c>
      <c r="AJ519" s="5">
        <f>IF(OR(P519&lt;0,P519&gt;0.5),"invalid",P519)</f>
        <v>0.2</v>
      </c>
      <c r="AK519" s="6">
        <f>IFERROR(N519*O519*(1-AJ519), "NA")</f>
        <v>11890.368000000002</v>
      </c>
      <c r="AL519" s="6">
        <f>IFERROR(AK519-R519,"NA")</f>
        <v>2655.8380000000016</v>
      </c>
      <c r="AM519" s="5">
        <f t="shared" si="40"/>
        <v>0.22336045444514427</v>
      </c>
      <c r="AN519" t="str">
        <v>25-05-25</v>
      </c>
      <c r="AO519" t="str">
        <v>27-05-25</v>
      </c>
      <c r="AP519" t="str">
        <f t="shared" si="41"/>
        <v>May</v>
      </c>
      <c r="AQ519" t="str">
        <f t="shared" si="42"/>
        <v>2025</v>
      </c>
      <c r="AR519" t="str">
        <f t="shared" si="43"/>
        <v xml:space="preserve"> </v>
      </c>
      <c r="AS519">
        <f t="shared" si="44"/>
        <v>2</v>
      </c>
      <c r="AT519" t="str">
        <f>IF(COUNTIFS( $A:$A,A519,$B:$B,B519,$C:$C,C519,$D:$D,D519,$E:$E,E519,$F:$F,F519,$G:$G,G519,$H:$H,H519,$I:$I,I519,$J:$J,J519,$K:$K,K519,$L:$L,L519,$M:$M,M519,$T:$T,T519,$U:$U,U519,$W:$W,W519,$Z:$Z,Z519,$AA:$AA,AA519,$AB:$AB,AB519,$AC:$AC,AC519,$AD:$AD,AD519,$AE:$AE,AE519,$AF:$AF,AF519,$AG:$AG,AG519,$AH:$AH,AH519,$AI:$AI,AI519)&gt;1,"Duplicate","Unique")</f>
        <v>Unique</v>
      </c>
    </row>
    <row r="520" spans="1:46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  <c r="W520" t="s">
        <v>2510</v>
      </c>
      <c r="Z520" t="s">
        <v>2512</v>
      </c>
      <c r="AA520" t="str">
        <v>Diya Patel</v>
      </c>
      <c r="AB520" t="str">
        <f>TRIM(PROPER(F:F))</f>
        <v>Corporate</v>
      </c>
      <c r="AC520" t="str">
        <f>TRIM(PROPER(G:G))</f>
        <v>East</v>
      </c>
      <c r="AD520" t="str">
        <f>TRIM(PROPER(H:H))</f>
        <v>Odisha</v>
      </c>
      <c r="AE520" t="str">
        <f>TRIM(PROPER(I:I))</f>
        <v>Bhubaneswar</v>
      </c>
      <c r="AF520" t="str">
        <f>TRIM(PROPER(J:J))</f>
        <v>Furniture</v>
      </c>
      <c r="AG520" t="str">
        <f>TRIM(PROPER(K:K))</f>
        <v>Tables</v>
      </c>
      <c r="AH520" t="str">
        <f>TRIM(PROPER(L:L))</f>
        <v>Classic Tables 592</v>
      </c>
      <c r="AI520" t="str">
        <f>TRIM(PROPER(M:M))</f>
        <v>First Class</v>
      </c>
      <c r="AJ520" s="5">
        <f>IF(OR(P520&lt;0,P520&gt;0.5),"invalid",P520)</f>
        <v>0.25</v>
      </c>
      <c r="AK520" s="6">
        <f>IFERROR(N520*O520*(1-AJ520), "NA")</f>
        <v>8421.682499999999</v>
      </c>
      <c r="AL520" s="6">
        <f>IFERROR(AK520-R520,"NA")</f>
        <v>1887.2124999999987</v>
      </c>
      <c r="AM520" s="5">
        <f t="shared" si="40"/>
        <v>0.22408972316398759</v>
      </c>
      <c r="AN520" t="str">
        <v>30-04-25</v>
      </c>
      <c r="AO520" t="str">
        <v>26-04-25</v>
      </c>
      <c r="AP520" t="str">
        <f t="shared" si="41"/>
        <v>April</v>
      </c>
      <c r="AQ520" t="str">
        <f t="shared" si="42"/>
        <v>2025</v>
      </c>
      <c r="AR520" t="str">
        <f t="shared" si="43"/>
        <v>anomaly</v>
      </c>
      <c r="AS520">
        <f t="shared" si="44"/>
        <v>-4</v>
      </c>
      <c r="AT520" t="str">
        <f>IF(COUNTIFS( $A:$A,A520,$B:$B,B520,$C:$C,C520,$D:$D,D520,$E:$E,E520,$F:$F,F520,$G:$G,G520,$H:$H,H520,$I:$I,I520,$J:$J,J520,$K:$K,K520,$L:$L,L520,$M:$M,M520,$T:$T,T520,$U:$U,U520,$W:$W,W520,$Z:$Z,Z520,$AA:$AA,AA520,$AB:$AB,AB520,$AC:$AC,AC520,$AD:$AD,AD520,$AE:$AE,AE520,$AF:$AF,AF520,$AG:$AG,AG520,$AH:$AH,AH520,$AI:$AI,AI520)&gt;1,"Duplicate","Unique")</f>
        <v>Unique</v>
      </c>
    </row>
    <row r="521" spans="1:46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  <c r="W521" t="s">
        <v>2514</v>
      </c>
      <c r="Z521" t="s">
        <v>2516</v>
      </c>
      <c r="AA521" t="str">
        <v>Priya Menon</v>
      </c>
      <c r="AB521" t="str">
        <f>TRIM(PROPER(F:F))</f>
        <v>Consumer</v>
      </c>
      <c r="AC521" t="str">
        <f>TRIM(PROPER(G:G))</f>
        <v>North</v>
      </c>
      <c r="AD521" t="str">
        <f>TRIM(PROPER(H:H))</f>
        <v>Uttar Pradesh</v>
      </c>
      <c r="AE521" t="str">
        <f>TRIM(PROPER(I:I))</f>
        <v>Noida</v>
      </c>
      <c r="AF521" t="str">
        <f>TRIM(PROPER(J:J))</f>
        <v>Furniture</v>
      </c>
      <c r="AG521" t="str">
        <f>TRIM(PROPER(K:K))</f>
        <v>Tables</v>
      </c>
      <c r="AH521" t="str">
        <f>TRIM(PROPER(L:L))</f>
        <v>Pro Tables 412</v>
      </c>
      <c r="AI521" t="str">
        <f>TRIM(PROPER(M:M))</f>
        <v>Standard Class</v>
      </c>
      <c r="AJ521" s="5">
        <f>IF(OR(P521&lt;0,P521&gt;0.5),"invalid",P521)</f>
        <v>0.2</v>
      </c>
      <c r="AK521" s="6">
        <f>IFERROR(N521*O521*(1-AJ521), "NA")</f>
        <v>13968.672</v>
      </c>
      <c r="AL521" s="6">
        <f>IFERROR(AK521-R521,"NA")</f>
        <v>5111.0920000000006</v>
      </c>
      <c r="AM521" s="5">
        <f t="shared" si="40"/>
        <v>0.36589677243477409</v>
      </c>
      <c r="AN521" t="str">
        <v>03-07-25</v>
      </c>
      <c r="AO521" t="str">
        <v>07-07-25</v>
      </c>
      <c r="AP521" t="str">
        <f t="shared" si="41"/>
        <v>July</v>
      </c>
      <c r="AQ521" t="str">
        <f t="shared" si="42"/>
        <v>2025</v>
      </c>
      <c r="AR521" t="str">
        <f t="shared" si="43"/>
        <v xml:space="preserve"> </v>
      </c>
      <c r="AS521">
        <f t="shared" si="44"/>
        <v>4</v>
      </c>
      <c r="AT521" t="str">
        <f>IF(COUNTIFS( $A:$A,A521,$B:$B,B521,$C:$C,C521,$D:$D,D521,$E:$E,E521,$F:$F,F521,$G:$G,G521,$H:$H,H521,$I:$I,I521,$J:$J,J521,$K:$K,K521,$L:$L,L521,$M:$M,M521,$T:$T,T521,$U:$U,U521,$W:$W,W521,$Z:$Z,Z521,$AA:$AA,AA521,$AB:$AB,AB521,$AC:$AC,AC521,$AD:$AD,AD521,$AE:$AE,AE521,$AF:$AF,AF521,$AG:$AG,AG521,$AH:$AH,AH521,$AI:$AI,AI521)&gt;1,"Duplicate","Unique")</f>
        <v>Unique</v>
      </c>
    </row>
    <row r="522" spans="1:46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  <c r="W522" t="s">
        <v>2518</v>
      </c>
      <c r="Z522" t="s">
        <v>2520</v>
      </c>
      <c r="AA522" t="str">
        <v>Aarav Sharma</v>
      </c>
      <c r="AB522" t="str">
        <f>TRIM(PROPER(F:F))</f>
        <v>Home Office</v>
      </c>
      <c r="AC522" t="str">
        <f>TRIM(PROPER(G:G))</f>
        <v>South</v>
      </c>
      <c r="AD522" t="str">
        <f>TRIM(PROPER(H:H))</f>
        <v>Karnataka</v>
      </c>
      <c r="AE522" t="str">
        <f>TRIM(PROPER(I:I))</f>
        <v>Bengaluru</v>
      </c>
      <c r="AF522" t="str">
        <f>TRIM(PROPER(J:J))</f>
        <v>Technology</v>
      </c>
      <c r="AG522" t="str">
        <f>TRIM(PROPER(K:K))</f>
        <v>Machines</v>
      </c>
      <c r="AH522" t="str">
        <f>TRIM(PROPER(L:L))</f>
        <v>Prime Machines 393</v>
      </c>
      <c r="AI522" t="str">
        <f>TRIM(PROPER(M:M))</f>
        <v>Same Day</v>
      </c>
      <c r="AJ522" s="5">
        <f>IF(OR(P522&lt;0,P522&gt;0.5),"invalid",P522)</f>
        <v>0.05</v>
      </c>
      <c r="AK522" s="6">
        <f>IFERROR(N522*O522*(1-AJ522), "NA")</f>
        <v>1611.1144999999999</v>
      </c>
      <c r="AL522" s="6">
        <f>IFERROR(AK522-R522,"NA")</f>
        <v>715.96449999999993</v>
      </c>
      <c r="AM522" s="5">
        <f t="shared" si="40"/>
        <v>0.44439082386757739</v>
      </c>
      <c r="AN522" t="str">
        <v>16-07-24</v>
      </c>
      <c r="AO522" t="str">
        <v>23-07-24</v>
      </c>
      <c r="AP522" t="str">
        <f t="shared" si="41"/>
        <v>July</v>
      </c>
      <c r="AQ522" t="str">
        <f t="shared" si="42"/>
        <v>2024</v>
      </c>
      <c r="AR522" t="str">
        <f t="shared" si="43"/>
        <v xml:space="preserve"> </v>
      </c>
      <c r="AS522">
        <f t="shared" si="44"/>
        <v>7</v>
      </c>
      <c r="AT522" t="str">
        <f>IF(COUNTIFS( $A:$A,A522,$B:$B,B522,$C:$C,C522,$D:$D,D522,$E:$E,E522,$F:$F,F522,$G:$G,G522,$H:$H,H522,$I:$I,I522,$J:$J,J522,$K:$K,K522,$L:$L,L522,$M:$M,M522,$T:$T,T522,$U:$U,U522,$W:$W,W522,$Z:$Z,Z522,$AA:$AA,AA522,$AB:$AB,AB522,$AC:$AC,AC522,$AD:$AD,AD522,$AE:$AE,AE522,$AF:$AF,AF522,$AG:$AG,AG522,$AH:$AH,AH522,$AI:$AI,AI522)&gt;1,"Duplicate","Unique")</f>
        <v>Unique</v>
      </c>
    </row>
    <row r="523" spans="1:46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  <c r="W523" t="s">
        <v>2522</v>
      </c>
      <c r="Z523" t="s">
        <v>2525</v>
      </c>
      <c r="AA523" t="str">
        <v>Diya Patel</v>
      </c>
      <c r="AB523" t="str">
        <f>TRIM(PROPER(F:F))</f>
        <v>Consumer</v>
      </c>
      <c r="AC523" t="str">
        <f>TRIM(PROPER(G:G))</f>
        <v>North</v>
      </c>
      <c r="AD523" t="str">
        <f>TRIM(PROPER(H:H))</f>
        <v>Punjab</v>
      </c>
      <c r="AE523" t="str">
        <f>TRIM(PROPER(I:I))</f>
        <v>Ludhiana</v>
      </c>
      <c r="AF523" t="str">
        <f>TRIM(PROPER(J:J))</f>
        <v>Office Supplies</v>
      </c>
      <c r="AG523" t="str">
        <f>TRIM(PROPER(K:K))</f>
        <v>Labels</v>
      </c>
      <c r="AH523" t="str">
        <f>TRIM(PROPER(L:L))</f>
        <v>Classic Labels 776</v>
      </c>
      <c r="AI523" t="str">
        <f>TRIM(PROPER(M:M))</f>
        <v>Second Class</v>
      </c>
      <c r="AJ523" s="5">
        <f>IF(OR(P523&lt;0,P523&gt;0.5),"invalid",P523)</f>
        <v>0.05</v>
      </c>
      <c r="AK523" s="6">
        <f>IFERROR(N523*O523*(1-AJ523), "NA")</f>
        <v>12495.027</v>
      </c>
      <c r="AL523" s="6">
        <f>IFERROR(AK523-R523,"NA")</f>
        <v>3310.5069999999996</v>
      </c>
      <c r="AM523" s="5">
        <f t="shared" si="40"/>
        <v>0.26494596610315446</v>
      </c>
      <c r="AN523" t="str">
        <v>25-03-25</v>
      </c>
      <c r="AO523" t="str">
        <v>01-04-25</v>
      </c>
      <c r="AP523" t="str">
        <f t="shared" si="41"/>
        <v>March</v>
      </c>
      <c r="AQ523" t="str">
        <f t="shared" si="42"/>
        <v>2025</v>
      </c>
      <c r="AR523" t="str">
        <f t="shared" si="43"/>
        <v>anomaly</v>
      </c>
      <c r="AS523">
        <f t="shared" si="44"/>
        <v>7</v>
      </c>
      <c r="AT523" t="str">
        <f>IF(COUNTIFS( $A:$A,A523,$B:$B,B523,$C:$C,C523,$D:$D,D523,$E:$E,E523,$F:$F,F523,$G:$G,G523,$H:$H,H523,$I:$I,I523,$J:$J,J523,$K:$K,K523,$L:$L,L523,$M:$M,M523,$T:$T,T523,$U:$U,U523,$W:$W,W523,$Z:$Z,Z523,$AA:$AA,AA523,$AB:$AB,AB523,$AC:$AC,AC523,$AD:$AD,AD523,$AE:$AE,AE523,$AF:$AF,AF523,$AG:$AG,AG523,$AH:$AH,AH523,$AI:$AI,AI523)&gt;1,"Duplicate","Unique")</f>
        <v>Unique</v>
      </c>
    </row>
    <row r="524" spans="1:46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  <c r="W524" t="s">
        <v>2527</v>
      </c>
      <c r="Z524" t="s">
        <v>2529</v>
      </c>
      <c r="AA524" t="str">
        <v>Neha Gupta</v>
      </c>
      <c r="AB524" t="str">
        <f>TRIM(PROPER(F:F))</f>
        <v>Small Business</v>
      </c>
      <c r="AC524" t="str">
        <f>TRIM(PROPER(G:G))</f>
        <v>East</v>
      </c>
      <c r="AD524" t="str">
        <f>TRIM(PROPER(H:H))</f>
        <v>Jharkhand</v>
      </c>
      <c r="AE524" t="str">
        <f>TRIM(PROPER(I:I))</f>
        <v>Ranchi</v>
      </c>
      <c r="AF524" t="str">
        <f>TRIM(PROPER(J:J))</f>
        <v>Technology</v>
      </c>
      <c r="AG524" t="str">
        <f>TRIM(PROPER(K:K))</f>
        <v>Phones</v>
      </c>
      <c r="AH524" t="str">
        <f>TRIM(PROPER(L:L))</f>
        <v>Max Phones 612</v>
      </c>
      <c r="AI524" t="str">
        <f>TRIM(PROPER(M:M))</f>
        <v>First Class</v>
      </c>
      <c r="AJ524" s="5">
        <f>IF(OR(P524&lt;0,P524&gt;0.5),"invalid",P524)</f>
        <v>0</v>
      </c>
      <c r="AK524" s="6">
        <f>IFERROR(N524*O524*(1-AJ524), "NA")</f>
        <v>33034.86</v>
      </c>
      <c r="AL524" s="6">
        <f>IFERROR(AK524-R524,"NA")</f>
        <v>8495.0299999999988</v>
      </c>
      <c r="AM524" s="5">
        <f t="shared" si="40"/>
        <v>0.25715350390466307</v>
      </c>
      <c r="AN524" t="str">
        <v>invalid date</v>
      </c>
      <c r="AO524" t="str">
        <v>08-03-25</v>
      </c>
      <c r="AP524" t="str">
        <f t="shared" si="41"/>
        <v>invalid date</v>
      </c>
      <c r="AQ524" t="str">
        <f t="shared" si="42"/>
        <v>invalid date</v>
      </c>
      <c r="AR524" t="str">
        <f t="shared" si="43"/>
        <v>Invalid</v>
      </c>
      <c r="AS524" t="str">
        <f t="shared" si="44"/>
        <v>invalid date</v>
      </c>
      <c r="AT524" t="str">
        <f>IF(COUNTIFS( $A:$A,A524,$B:$B,B524,$C:$C,C524,$D:$D,D524,$E:$E,E524,$F:$F,F524,$G:$G,G524,$H:$H,H524,$I:$I,I524,$J:$J,J524,$K:$K,K524,$L:$L,L524,$M:$M,M524,$T:$T,T524,$U:$U,U524,$W:$W,W524,$Z:$Z,Z524,$AA:$AA,AA524,$AB:$AB,AB524,$AC:$AC,AC524,$AD:$AD,AD524,$AE:$AE,AE524,$AF:$AF,AF524,$AG:$AG,AG524,$AH:$AH,AH524,$AI:$AI,AI524)&gt;1,"Duplicate","Unique")</f>
        <v>Unique</v>
      </c>
    </row>
    <row r="525" spans="1:46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  <c r="W525" t="s">
        <v>2531</v>
      </c>
      <c r="Z525" t="s">
        <v>2534</v>
      </c>
      <c r="AA525" t="str">
        <v>Kabir Singh</v>
      </c>
      <c r="AB525" t="str">
        <f>TRIM(PROPER(F:F))</f>
        <v>Home Office</v>
      </c>
      <c r="AC525" t="str">
        <f>TRIM(PROPER(G:G))</f>
        <v>West</v>
      </c>
      <c r="AD525" t="str">
        <f>TRIM(PROPER(H:H))</f>
        <v>Goa</v>
      </c>
      <c r="AE525" t="str">
        <f>TRIM(PROPER(I:I))</f>
        <v>Panaji</v>
      </c>
      <c r="AF525" t="str">
        <f>TRIM(PROPER(J:J))</f>
        <v>Office Supplies</v>
      </c>
      <c r="AG525" t="str">
        <f>TRIM(PROPER(K:K))</f>
        <v>Paper</v>
      </c>
      <c r="AH525" t="str">
        <f>TRIM(PROPER(L:L))</f>
        <v>Basic Paper 315</v>
      </c>
      <c r="AI525" t="str">
        <f>TRIM(PROPER(M:M))</f>
        <v>Second Class</v>
      </c>
      <c r="AJ525" s="5">
        <f>IF(OR(P525&lt;0,P525&gt;0.5),"invalid",P525)</f>
        <v>0</v>
      </c>
      <c r="AK525" s="6">
        <f>IFERROR(N525*O525*(1-AJ525), "NA")</f>
        <v>5805.26</v>
      </c>
      <c r="AL525" s="6">
        <f>IFERROR(AK525-R525,"NA")</f>
        <v>1150.9000000000005</v>
      </c>
      <c r="AM525" s="5">
        <f t="shared" si="40"/>
        <v>0.19825124111581574</v>
      </c>
      <c r="AN525" t="str">
        <v>02-04-24</v>
      </c>
      <c r="AO525" t="str">
        <v>03-04-24</v>
      </c>
      <c r="AP525" t="str">
        <f t="shared" si="41"/>
        <v>April</v>
      </c>
      <c r="AQ525" t="str">
        <f t="shared" si="42"/>
        <v>2024</v>
      </c>
      <c r="AR525" t="str">
        <f t="shared" si="43"/>
        <v xml:space="preserve"> </v>
      </c>
      <c r="AS525">
        <f t="shared" si="44"/>
        <v>1</v>
      </c>
      <c r="AT525" t="str">
        <f>IF(COUNTIFS( $A:$A,A525,$B:$B,B525,$C:$C,C525,$D:$D,D525,$E:$E,E525,$F:$F,F525,$G:$G,G525,$H:$H,H525,$I:$I,I525,$J:$J,J525,$K:$K,K525,$L:$L,L525,$M:$M,M525,$T:$T,T525,$U:$U,U525,$W:$W,W525,$Z:$Z,Z525,$AA:$AA,AA525,$AB:$AB,AB525,$AC:$AC,AC525,$AD:$AD,AD525,$AE:$AE,AE525,$AF:$AF,AF525,$AG:$AG,AG525,$AH:$AH,AH525,$AI:$AI,AI525)&gt;1,"Duplicate","Unique")</f>
        <v>Unique</v>
      </c>
    </row>
    <row r="526" spans="1:46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  <c r="W526" t="s">
        <v>2536</v>
      </c>
      <c r="Z526" t="s">
        <v>2539</v>
      </c>
      <c r="AA526" t="str">
        <v>Ananya Rao</v>
      </c>
      <c r="AB526" t="str">
        <f>TRIM(PROPER(F:F))</f>
        <v>Corporate</v>
      </c>
      <c r="AC526" t="str">
        <f>TRIM(PROPER(G:G))</f>
        <v>West</v>
      </c>
      <c r="AD526" t="str">
        <f>TRIM(PROPER(H:H))</f>
        <v>Gujarat</v>
      </c>
      <c r="AE526" t="str">
        <f>TRIM(PROPER(I:I))</f>
        <v>Ahmedabad</v>
      </c>
      <c r="AF526" t="str">
        <f>TRIM(PROPER(J:J))</f>
        <v>Furniture</v>
      </c>
      <c r="AG526" t="str">
        <f>TRIM(PROPER(K:K))</f>
        <v>Chairs</v>
      </c>
      <c r="AH526" t="str">
        <f>TRIM(PROPER(L:L))</f>
        <v>Basic Chairs 333</v>
      </c>
      <c r="AI526" t="str">
        <f>TRIM(PROPER(M:M))</f>
        <v>First Class</v>
      </c>
      <c r="AJ526" s="5">
        <f>IF(OR(P526&lt;0,P526&gt;0.5),"invalid",P526)</f>
        <v>0.1</v>
      </c>
      <c r="AK526" s="6">
        <f>IFERROR(N526*O526*(1-AJ526), "NA")</f>
        <v>34079.616000000002</v>
      </c>
      <c r="AL526" s="6">
        <f>IFERROR(AK526-R526,"NA")</f>
        <v>12208.226000000002</v>
      </c>
      <c r="AM526" s="5">
        <f t="shared" si="40"/>
        <v>0.35822663025311091</v>
      </c>
      <c r="AN526" t="str">
        <v>30-11-24</v>
      </c>
      <c r="AO526" t="str">
        <v>01-12-24</v>
      </c>
      <c r="AP526" t="str">
        <f t="shared" si="41"/>
        <v>November</v>
      </c>
      <c r="AQ526" t="str">
        <f t="shared" si="42"/>
        <v>2024</v>
      </c>
      <c r="AR526" t="str">
        <f t="shared" si="43"/>
        <v>anomaly</v>
      </c>
      <c r="AS526">
        <f t="shared" si="44"/>
        <v>1</v>
      </c>
      <c r="AT526" t="str">
        <f>IF(COUNTIFS( $A:$A,A526,$B:$B,B526,$C:$C,C526,$D:$D,D526,$E:$E,E526,$F:$F,F526,$G:$G,G526,$H:$H,H526,$I:$I,I526,$J:$J,J526,$K:$K,K526,$L:$L,L526,$M:$M,M526,$T:$T,T526,$U:$U,U526,$W:$W,W526,$Z:$Z,Z526,$AA:$AA,AA526,$AB:$AB,AB526,$AC:$AC,AC526,$AD:$AD,AD526,$AE:$AE,AE526,$AF:$AF,AF526,$AG:$AG,AG526,$AH:$AH,AH526,$AI:$AI,AI526)&gt;1,"Duplicate","Unique")</f>
        <v>Unique</v>
      </c>
    </row>
    <row r="527" spans="1:46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  <c r="W527" t="s">
        <v>2541</v>
      </c>
      <c r="Z527" t="s">
        <v>2544</v>
      </c>
      <c r="AA527" t="str">
        <v>Priya Menon</v>
      </c>
      <c r="AB527" t="str">
        <f>TRIM(PROPER(F:F))</f>
        <v>Home Office</v>
      </c>
      <c r="AC527" t="str">
        <f>TRIM(PROPER(G:G))</f>
        <v>East</v>
      </c>
      <c r="AD527" t="str">
        <f>TRIM(PROPER(H:H))</f>
        <v>West Bengal</v>
      </c>
      <c r="AE527" t="str">
        <f>TRIM(PROPER(I:I))</f>
        <v>Kolkata</v>
      </c>
      <c r="AF527" t="str">
        <f>TRIM(PROPER(J:J))</f>
        <v>Furniture</v>
      </c>
      <c r="AG527" t="str">
        <f>TRIM(PROPER(K:K))</f>
        <v>Chairs</v>
      </c>
      <c r="AH527" t="str">
        <f>TRIM(PROPER(L:L))</f>
        <v>Prime Chairs 215</v>
      </c>
      <c r="AI527" t="str">
        <f>TRIM(PROPER(M:M))</f>
        <v>Standard Class</v>
      </c>
      <c r="AJ527" s="5">
        <f>IF(OR(P527&lt;0,P527&gt;0.5),"invalid",P527)</f>
        <v>0.1</v>
      </c>
      <c r="AK527" s="6">
        <f>IFERROR(N527*O527*(1-AJ527), "NA")</f>
        <v>11359.800000000001</v>
      </c>
      <c r="AL527" s="6">
        <f>IFERROR(AK527-R527,"NA")</f>
        <v>4297.3600000000015</v>
      </c>
      <c r="AM527" s="5">
        <f t="shared" si="40"/>
        <v>0.37829539252451638</v>
      </c>
      <c r="AN527" t="str">
        <v>invalid date</v>
      </c>
      <c r="AO527" t="str">
        <v>17-10-24</v>
      </c>
      <c r="AP527" t="str">
        <f t="shared" si="41"/>
        <v>invalid date</v>
      </c>
      <c r="AQ527" t="str">
        <f t="shared" si="42"/>
        <v>invalid date</v>
      </c>
      <c r="AR527" t="str">
        <f t="shared" si="43"/>
        <v>Invalid</v>
      </c>
      <c r="AS527" t="str">
        <f t="shared" si="44"/>
        <v>invalid date</v>
      </c>
      <c r="AT527" t="str">
        <f>IF(COUNTIFS( $A:$A,A527,$B:$B,B527,$C:$C,C527,$D:$D,D527,$E:$E,E527,$F:$F,F527,$G:$G,G527,$H:$H,H527,$I:$I,I527,$J:$J,J527,$K:$K,K527,$L:$L,L527,$M:$M,M527,$T:$T,T527,$U:$U,U527,$W:$W,W527,$Z:$Z,Z527,$AA:$AA,AA527,$AB:$AB,AB527,$AC:$AC,AC527,$AD:$AD,AD527,$AE:$AE,AE527,$AF:$AF,AF527,$AG:$AG,AG527,$AH:$AH,AH527,$AI:$AI,AI527)&gt;1,"Duplicate","Unique")</f>
        <v>Unique</v>
      </c>
    </row>
    <row r="528" spans="1:46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  <c r="W528" t="s">
        <v>2546</v>
      </c>
      <c r="Z528" t="s">
        <v>2549</v>
      </c>
      <c r="AA528" t="str">
        <v>Priya Menon</v>
      </c>
      <c r="AB528" t="str">
        <f>TRIM(PROPER(F:F))</f>
        <v>Consumer</v>
      </c>
      <c r="AC528" t="str">
        <f>TRIM(PROPER(G:G))</f>
        <v>East</v>
      </c>
      <c r="AD528" t="str">
        <f>TRIM(PROPER(H:H))</f>
        <v>Odisha</v>
      </c>
      <c r="AE528" t="str">
        <f>TRIM(PROPER(I:I))</f>
        <v>Bhubaneswar</v>
      </c>
      <c r="AF528" t="str">
        <f>TRIM(PROPER(J:J))</f>
        <v>Furniture</v>
      </c>
      <c r="AG528" t="str">
        <f>TRIM(PROPER(K:K))</f>
        <v>Tables</v>
      </c>
      <c r="AH528" t="str">
        <f>TRIM(PROPER(L:L))</f>
        <v>Elite Tables 815</v>
      </c>
      <c r="AI528" t="str">
        <f>TRIM(PROPER(M:M))</f>
        <v>Second Class</v>
      </c>
      <c r="AJ528" s="5">
        <f>IF(OR(P528&lt;0,P528&gt;0.5),"invalid",P528)</f>
        <v>0</v>
      </c>
      <c r="AK528" s="6">
        <f>IFERROR(N528*O528*(1-AJ528), "NA")</f>
        <v>1136.1600000000001</v>
      </c>
      <c r="AL528" s="6">
        <f>IFERROR(AK528-R528,"NA")</f>
        <v>564.08000000000004</v>
      </c>
      <c r="AM528" s="5">
        <f t="shared" si="40"/>
        <v>0.49647936910294327</v>
      </c>
      <c r="AN528" t="str">
        <v>18-07-25</v>
      </c>
      <c r="AO528" t="str">
        <v>21-07-25</v>
      </c>
      <c r="AP528" t="str">
        <f t="shared" si="41"/>
        <v>July</v>
      </c>
      <c r="AQ528" t="str">
        <f t="shared" si="42"/>
        <v>2025</v>
      </c>
      <c r="AR528" t="str">
        <f t="shared" si="43"/>
        <v xml:space="preserve"> </v>
      </c>
      <c r="AS528">
        <f t="shared" si="44"/>
        <v>3</v>
      </c>
      <c r="AT528" t="str">
        <f>IF(COUNTIFS( $A:$A,A528,$B:$B,B528,$C:$C,C528,$D:$D,D528,$E:$E,E528,$F:$F,F528,$G:$G,G528,$H:$H,H528,$I:$I,I528,$J:$J,J528,$K:$K,K528,$L:$L,L528,$M:$M,M528,$T:$T,T528,$U:$U,U528,$W:$W,W528,$Z:$Z,Z528,$AA:$AA,AA528,$AB:$AB,AB528,$AC:$AC,AC528,$AD:$AD,AD528,$AE:$AE,AE528,$AF:$AF,AF528,$AG:$AG,AG528,$AH:$AH,AH528,$AI:$AI,AI528)&gt;1,"Duplicate","Unique")</f>
        <v>Unique</v>
      </c>
    </row>
    <row r="529" spans="1:46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  <c r="W529" t="s">
        <v>2551</v>
      </c>
      <c r="Z529" t="s">
        <v>2554</v>
      </c>
      <c r="AA529" t="str">
        <v>Aditi Sen</v>
      </c>
      <c r="AB529" t="str">
        <f>TRIM(PROPER(F:F))</f>
        <v>Home Office</v>
      </c>
      <c r="AC529" t="str">
        <f>TRIM(PROPER(G:G))</f>
        <v>North</v>
      </c>
      <c r="AD529" t="str">
        <f>TRIM(PROPER(H:H))</f>
        <v>Haryana</v>
      </c>
      <c r="AE529" t="str">
        <f>TRIM(PROPER(I:I))</f>
        <v>Gurugram</v>
      </c>
      <c r="AF529" t="str">
        <f>TRIM(PROPER(J:J))</f>
        <v>Office Supplies</v>
      </c>
      <c r="AG529" t="str">
        <f>TRIM(PROPER(K:K))</f>
        <v>Paper</v>
      </c>
      <c r="AH529" t="str">
        <f>TRIM(PROPER(L:L))</f>
        <v>Basic Paper 388</v>
      </c>
      <c r="AI529" t="str">
        <f>TRIM(PROPER(M:M))</f>
        <v>First Class</v>
      </c>
      <c r="AJ529" s="5">
        <f>IF(OR(P529&lt;0,P529&gt;0.5),"invalid",P529)</f>
        <v>0.15</v>
      </c>
      <c r="AK529" s="6">
        <f>IFERROR(N529*O529*(1-AJ529), "NA")</f>
        <v>13802.13</v>
      </c>
      <c r="AL529" s="6">
        <f>IFERROR(AK529-R529,"NA")</f>
        <v>3726.1999999999989</v>
      </c>
      <c r="AM529" s="5">
        <f t="shared" si="40"/>
        <v>0.26997282303528508</v>
      </c>
      <c r="AN529" t="str">
        <v>01-10-25</v>
      </c>
      <c r="AO529" t="str">
        <v>05-10-25</v>
      </c>
      <c r="AP529" t="str">
        <f t="shared" si="41"/>
        <v>October</v>
      </c>
      <c r="AQ529" t="str">
        <f t="shared" si="42"/>
        <v>2025</v>
      </c>
      <c r="AR529" t="str">
        <f t="shared" si="43"/>
        <v xml:space="preserve"> </v>
      </c>
      <c r="AS529">
        <f t="shared" si="44"/>
        <v>4</v>
      </c>
      <c r="AT529" t="str">
        <f>IF(COUNTIFS( $A:$A,A529,$B:$B,B529,$C:$C,C529,$D:$D,D529,$E:$E,E529,$F:$F,F529,$G:$G,G529,$H:$H,H529,$I:$I,I529,$J:$J,J529,$K:$K,K529,$L:$L,L529,$M:$M,M529,$T:$T,T529,$U:$U,U529,$W:$W,W529,$Z:$Z,Z529,$AA:$AA,AA529,$AB:$AB,AB529,$AC:$AC,AC529,$AD:$AD,AD529,$AE:$AE,AE529,$AF:$AF,AF529,$AG:$AG,AG529,$AH:$AH,AH529,$AI:$AI,AI529)&gt;1,"Duplicate","Unique")</f>
        <v>Unique</v>
      </c>
    </row>
    <row r="530" spans="1:46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  <c r="W530" t="s">
        <v>2556</v>
      </c>
      <c r="Z530" t="s">
        <v>2559</v>
      </c>
      <c r="AA530" t="str">
        <v>Diya Patel</v>
      </c>
      <c r="AB530" t="str">
        <f>TRIM(PROPER(F:F))</f>
        <v>Consumer</v>
      </c>
      <c r="AC530" t="str">
        <f>TRIM(PROPER(G:G))</f>
        <v>South</v>
      </c>
      <c r="AD530" t="str">
        <f>TRIM(PROPER(H:H))</f>
        <v>Tamil Nadu</v>
      </c>
      <c r="AE530" t="str">
        <f>TRIM(PROPER(I:I))</f>
        <v>Chennai</v>
      </c>
      <c r="AF530" t="str">
        <f>TRIM(PROPER(J:J))</f>
        <v>Office Supplies</v>
      </c>
      <c r="AG530" t="str">
        <f>TRIM(PROPER(K:K))</f>
        <v>Binders</v>
      </c>
      <c r="AH530" t="str">
        <f>TRIM(PROPER(L:L))</f>
        <v>Eco Binders 855</v>
      </c>
      <c r="AI530" t="str">
        <f>TRIM(PROPER(M:M))</f>
        <v>Standard Class</v>
      </c>
      <c r="AJ530" s="5">
        <f>IF(OR(P530&lt;0,P530&gt;0.5),"invalid",P530)</f>
        <v>0.05</v>
      </c>
      <c r="AK530" s="6">
        <f>IFERROR(N530*O530*(1-AJ530), "NA")</f>
        <v>29558.119500000001</v>
      </c>
      <c r="AL530" s="6">
        <f>IFERROR(AK530-R530,"NA")</f>
        <v>8255.9894999999997</v>
      </c>
      <c r="AM530" s="5">
        <f t="shared" si="40"/>
        <v>0.27931376013281223</v>
      </c>
      <c r="AN530" t="str">
        <v>07-10-24</v>
      </c>
      <c r="AO530" t="str">
        <v>09-10-24</v>
      </c>
      <c r="AP530" t="str">
        <f t="shared" si="41"/>
        <v>October</v>
      </c>
      <c r="AQ530" t="str">
        <f t="shared" si="42"/>
        <v>2024</v>
      </c>
      <c r="AR530" t="str">
        <f t="shared" si="43"/>
        <v xml:space="preserve"> </v>
      </c>
      <c r="AS530">
        <f t="shared" si="44"/>
        <v>2</v>
      </c>
      <c r="AT530" t="str">
        <f>IF(COUNTIFS( $A:$A,A530,$B:$B,B530,$C:$C,C530,$D:$D,D530,$E:$E,E530,$F:$F,F530,$G:$G,G530,$H:$H,H530,$I:$I,I530,$J:$J,J530,$K:$K,K530,$L:$L,L530,$M:$M,M530,$T:$T,T530,$U:$U,U530,$W:$W,W530,$Z:$Z,Z530,$AA:$AA,AA530,$AB:$AB,AB530,$AC:$AC,AC530,$AD:$AD,AD530,$AE:$AE,AE530,$AF:$AF,AF530,$AG:$AG,AG530,$AH:$AH,AH530,$AI:$AI,AI530)&gt;1,"Duplicate","Unique")</f>
        <v>Unique</v>
      </c>
    </row>
    <row r="531" spans="1:46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  <c r="W531" t="s">
        <v>2561</v>
      </c>
      <c r="Z531" t="s">
        <v>1110</v>
      </c>
      <c r="AA531" t="str">
        <v>Karan Malhotra</v>
      </c>
      <c r="AB531" t="str">
        <f>TRIM(PROPER(F:F))</f>
        <v>Consumer</v>
      </c>
      <c r="AC531" t="str">
        <f>TRIM(PROPER(G:G))</f>
        <v>East</v>
      </c>
      <c r="AD531" t="str">
        <f>TRIM(PROPER(H:H))</f>
        <v>Jharkhand</v>
      </c>
      <c r="AE531" t="str">
        <f>TRIM(PROPER(I:I))</f>
        <v>Ranchi</v>
      </c>
      <c r="AF531" t="str">
        <f>TRIM(PROPER(J:J))</f>
        <v>Furniture</v>
      </c>
      <c r="AG531" t="str">
        <f>TRIM(PROPER(K:K))</f>
        <v>Bookcases</v>
      </c>
      <c r="AH531" t="str">
        <f>TRIM(PROPER(L:L))</f>
        <v>Classic Bookcases 947</v>
      </c>
      <c r="AI531" t="str">
        <f>TRIM(PROPER(M:M))</f>
        <v>Second Class</v>
      </c>
      <c r="AJ531" s="5">
        <f>IF(OR(P531&lt;0,P531&gt;0.5),"invalid",P531)</f>
        <v>0</v>
      </c>
      <c r="AK531" s="6">
        <f>IFERROR(N531*O531*(1-AJ531), "NA")</f>
        <v>16400.25</v>
      </c>
      <c r="AL531" s="6">
        <f>IFERROR(AK531-R531,"NA")</f>
        <v>4253.2900000000009</v>
      </c>
      <c r="AM531" s="5">
        <f t="shared" si="40"/>
        <v>0.25934299782015524</v>
      </c>
      <c r="AN531" t="str">
        <v>06-02-24</v>
      </c>
      <c r="AO531" t="str">
        <v>08-02-24</v>
      </c>
      <c r="AP531" t="str">
        <f t="shared" si="41"/>
        <v>February</v>
      </c>
      <c r="AQ531" t="str">
        <f t="shared" si="42"/>
        <v>2024</v>
      </c>
      <c r="AR531" t="str">
        <f t="shared" si="43"/>
        <v xml:space="preserve"> </v>
      </c>
      <c r="AS531">
        <f t="shared" si="44"/>
        <v>2</v>
      </c>
      <c r="AT531" t="str">
        <f>IF(COUNTIFS( $A:$A,A531,$B:$B,B531,$C:$C,C531,$D:$D,D531,$E:$E,E531,$F:$F,F531,$G:$G,G531,$H:$H,H531,$I:$I,I531,$J:$J,J531,$K:$K,K531,$L:$L,L531,$M:$M,M531,$T:$T,T531,$U:$U,U531,$W:$W,W531,$Z:$Z,Z531,$AA:$AA,AA531,$AB:$AB,AB531,$AC:$AC,AC531,$AD:$AD,AD531,$AE:$AE,AE531,$AF:$AF,AF531,$AG:$AG,AG531,$AH:$AH,AH531,$AI:$AI,AI531)&gt;1,"Duplicate","Unique")</f>
        <v>Unique</v>
      </c>
    </row>
    <row r="532" spans="1:46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  <c r="W532" t="s">
        <v>2564</v>
      </c>
      <c r="Z532" t="s">
        <v>2567</v>
      </c>
      <c r="AA532" t="str">
        <v>Rahul Verma</v>
      </c>
      <c r="AB532" t="str">
        <f>TRIM(PROPER(F:F))</f>
        <v>Home Office</v>
      </c>
      <c r="AC532" t="str">
        <f>TRIM(PROPER(G:G))</f>
        <v>South</v>
      </c>
      <c r="AD532" t="str">
        <f>TRIM(PROPER(H:H))</f>
        <v>Tamil Nadu</v>
      </c>
      <c r="AE532" t="str">
        <f>TRIM(PROPER(I:I))</f>
        <v>Chennai</v>
      </c>
      <c r="AF532" t="str">
        <f>TRIM(PROPER(J:J))</f>
        <v>Office Supplies</v>
      </c>
      <c r="AG532" t="str">
        <f>TRIM(PROPER(K:K))</f>
        <v>Binders</v>
      </c>
      <c r="AH532" t="str">
        <f>TRIM(PROPER(L:L))</f>
        <v>Eco Binders 352</v>
      </c>
      <c r="AI532" t="str">
        <f>TRIM(PROPER(M:M))</f>
        <v>Standard Class</v>
      </c>
      <c r="AJ532" s="5">
        <f>IF(OR(P532&lt;0,P532&gt;0.5),"invalid",P532)</f>
        <v>0.05</v>
      </c>
      <c r="AK532" s="6">
        <f>IFERROR(N532*O532*(1-AJ532), "NA")</f>
        <v>17053.0605</v>
      </c>
      <c r="AL532" s="6">
        <f>IFERROR(AK532-R532,"NA")</f>
        <v>6310.6805000000004</v>
      </c>
      <c r="AM532" s="5">
        <f t="shared" si="40"/>
        <v>0.37006146198801093</v>
      </c>
      <c r="AN532" t="str">
        <v>invalid date</v>
      </c>
      <c r="AO532" t="str">
        <v>01-06-25</v>
      </c>
      <c r="AP532" t="str">
        <f t="shared" si="41"/>
        <v>invalid date</v>
      </c>
      <c r="AQ532" t="str">
        <f t="shared" si="42"/>
        <v>invalid date</v>
      </c>
      <c r="AR532" t="str">
        <f t="shared" si="43"/>
        <v>Invalid</v>
      </c>
      <c r="AS532" t="str">
        <f t="shared" si="44"/>
        <v>invalid date</v>
      </c>
      <c r="AT532" t="str">
        <f>IF(COUNTIFS( $A:$A,A532,$B:$B,B532,$C:$C,C532,$D:$D,D532,$E:$E,E532,$F:$F,F532,$G:$G,G532,$H:$H,H532,$I:$I,I532,$J:$J,J532,$K:$K,K532,$L:$L,L532,$M:$M,M532,$T:$T,T532,$U:$U,U532,$W:$W,W532,$Z:$Z,Z532,$AA:$AA,AA532,$AB:$AB,AB532,$AC:$AC,AC532,$AD:$AD,AD532,$AE:$AE,AE532,$AF:$AF,AF532,$AG:$AG,AG532,$AH:$AH,AH532,$AI:$AI,AI532)&gt;1,"Duplicate","Unique")</f>
        <v>Unique</v>
      </c>
    </row>
    <row r="533" spans="1:46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  <c r="W533" t="s">
        <v>2569</v>
      </c>
      <c r="Z533" t="s">
        <v>2571</v>
      </c>
      <c r="AA533" t="str">
        <v>Diya Patel</v>
      </c>
      <c r="AB533" t="str">
        <f>TRIM(PROPER(F:F))</f>
        <v>Small Business</v>
      </c>
      <c r="AC533" t="str">
        <f>TRIM(PROPER(G:G))</f>
        <v>West</v>
      </c>
      <c r="AD533" t="str">
        <f>TRIM(PROPER(H:H))</f>
        <v>Maharashtra</v>
      </c>
      <c r="AE533" t="str">
        <f>TRIM(PROPER(I:I))</f>
        <v>Mumbai</v>
      </c>
      <c r="AF533" t="str">
        <f>TRIM(PROPER(J:J))</f>
        <v>Office Supplies</v>
      </c>
      <c r="AG533" t="str">
        <f>TRIM(PROPER(K:K))</f>
        <v>Storage</v>
      </c>
      <c r="AH533" t="str">
        <f>TRIM(PROPER(L:L))</f>
        <v>Pro Storage 364</v>
      </c>
      <c r="AI533" t="s">
        <v>4095</v>
      </c>
      <c r="AJ533" s="5">
        <f>IF(OR(P533&lt;0,P533&gt;0.5),"invalid",P533)</f>
        <v>0.1</v>
      </c>
      <c r="AK533" s="6">
        <f>IFERROR(N533*O533*(1-AJ533), "NA")</f>
        <v>398.67300000000006</v>
      </c>
      <c r="AL533" s="6">
        <f>IFERROR(AK533-R533,"NA")</f>
        <v>87.013000000000034</v>
      </c>
      <c r="AM533" s="5">
        <f t="shared" si="40"/>
        <v>0.21825656615822997</v>
      </c>
      <c r="AN533" t="str">
        <v>01-08-24</v>
      </c>
      <c r="AO533" t="str">
        <v>08-08-24</v>
      </c>
      <c r="AP533" t="str">
        <f t="shared" si="41"/>
        <v>August</v>
      </c>
      <c r="AQ533" t="str">
        <f t="shared" si="42"/>
        <v>2024</v>
      </c>
      <c r="AR533" t="str">
        <f t="shared" si="43"/>
        <v xml:space="preserve"> </v>
      </c>
      <c r="AS533">
        <f t="shared" si="44"/>
        <v>7</v>
      </c>
      <c r="AT533" t="str">
        <f>IF(COUNTIFS( $A:$A,A533,$B:$B,B533,$C:$C,C533,$D:$D,D533,$E:$E,E533,$F:$F,F533,$G:$G,G533,$H:$H,H533,$I:$I,I533,$J:$J,J533,$K:$K,K533,$L:$L,L533,$M:$M,M533,$T:$T,T533,$U:$U,U533,$W:$W,W533,$Z:$Z,Z533,$AA:$AA,AA533,$AB:$AB,AB533,$AC:$AC,AC533,$AD:$AD,AD533,$AE:$AE,AE533,$AF:$AF,AF533,$AG:$AG,AG533,$AH:$AH,AH533,$AI:$AI,AI533)&gt;1,"Duplicate","Unique")</f>
        <v>Unique</v>
      </c>
    </row>
    <row r="534" spans="1:46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  <c r="W534" t="s">
        <v>2573</v>
      </c>
      <c r="Z534" t="s">
        <v>2574</v>
      </c>
      <c r="AA534" t="str">
        <v>Priya Menon</v>
      </c>
      <c r="AB534" t="str">
        <f>TRIM(PROPER(F:F))</f>
        <v>Corporate</v>
      </c>
      <c r="AC534" t="str">
        <f>TRIM(PROPER(G:G))</f>
        <v>East</v>
      </c>
      <c r="AD534" t="str">
        <f>TRIM(PROPER(H:H))</f>
        <v>Assam</v>
      </c>
      <c r="AE534" t="str">
        <f>TRIM(PROPER(I:I))</f>
        <v>Guwahati</v>
      </c>
      <c r="AF534" t="str">
        <f>TRIM(PROPER(J:J))</f>
        <v>Furniture</v>
      </c>
      <c r="AG534" t="str">
        <f>TRIM(PROPER(K:K))</f>
        <v>Tables</v>
      </c>
      <c r="AH534" t="str">
        <f>TRIM(PROPER(L:L))</f>
        <v>Classic Tables 213</v>
      </c>
      <c r="AI534" t="str">
        <f>TRIM(PROPER(M:M))</f>
        <v>Second Class</v>
      </c>
      <c r="AJ534" s="5">
        <f>IF(OR(P534&lt;0,P534&gt;0.5),"invalid",P534)</f>
        <v>0.05</v>
      </c>
      <c r="AK534" s="6">
        <f>IFERROR(N534*O534*(1-AJ534), "NA")</f>
        <v>17862.146999999997</v>
      </c>
      <c r="AL534" s="6">
        <f>IFERROR(AK534-R534,"NA")</f>
        <v>7969.9369999999981</v>
      </c>
      <c r="AM534" s="5">
        <f t="shared" si="40"/>
        <v>0.44619143488182017</v>
      </c>
      <c r="AN534" t="str">
        <v>05-10-25</v>
      </c>
      <c r="AO534" t="str">
        <v>10-10-25</v>
      </c>
      <c r="AP534" t="str">
        <f t="shared" si="41"/>
        <v>October</v>
      </c>
      <c r="AQ534" t="str">
        <f t="shared" si="42"/>
        <v>2025</v>
      </c>
      <c r="AR534" t="str">
        <f t="shared" si="43"/>
        <v xml:space="preserve"> </v>
      </c>
      <c r="AS534">
        <f t="shared" si="44"/>
        <v>5</v>
      </c>
      <c r="AT534" t="str">
        <f>IF(COUNTIFS( $A:$A,A534,$B:$B,B534,$C:$C,C534,$D:$D,D534,$E:$E,E534,$F:$F,F534,$G:$G,G534,$H:$H,H534,$I:$I,I534,$J:$J,J534,$K:$K,K534,$L:$L,L534,$M:$M,M534,$T:$T,T534,$U:$U,U534,$W:$W,W534,$Z:$Z,Z534,$AA:$AA,AA534,$AB:$AB,AB534,$AC:$AC,AC534,$AD:$AD,AD534,$AE:$AE,AE534,$AF:$AF,AF534,$AG:$AG,AG534,$AH:$AH,AH534,$AI:$AI,AI534)&gt;1,"Duplicate","Unique")</f>
        <v>Unique</v>
      </c>
    </row>
    <row r="535" spans="1:46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  <c r="W535" t="s">
        <v>2576</v>
      </c>
      <c r="Z535" t="s">
        <v>2578</v>
      </c>
      <c r="AA535" t="str">
        <v>Isha Nair</v>
      </c>
      <c r="AB535" t="str">
        <f>TRIM(PROPER(F:F))</f>
        <v>Home Office</v>
      </c>
      <c r="AC535" t="str">
        <f>TRIM(PROPER(G:G))</f>
        <v>North</v>
      </c>
      <c r="AD535" t="str">
        <f>TRIM(PROPER(H:H))</f>
        <v>Rajasthan</v>
      </c>
      <c r="AE535" t="str">
        <f>TRIM(PROPER(I:I))</f>
        <v>Jaipur</v>
      </c>
      <c r="AF535" t="str">
        <f>TRIM(PROPER(J:J))</f>
        <v>Furniture</v>
      </c>
      <c r="AG535" t="str">
        <f>TRIM(PROPER(K:K))</f>
        <v>Tables</v>
      </c>
      <c r="AH535" t="str">
        <f>TRIM(PROPER(L:L))</f>
        <v>Smart Tables 659</v>
      </c>
      <c r="AI535" t="str">
        <f>TRIM(PROPER(M:M))</f>
        <v>Same Day</v>
      </c>
      <c r="AJ535" s="5">
        <f>IF(OR(P535&lt;0,P535&gt;0.5),"invalid",P535)</f>
        <v>0.25</v>
      </c>
      <c r="AK535" s="6">
        <f>IFERROR(N535*O535*(1-AJ535), "NA")</f>
        <v>2165.8500000000004</v>
      </c>
      <c r="AL535" s="6">
        <f>IFERROR(AK535-R535,"NA")</f>
        <v>41.370000000000346</v>
      </c>
      <c r="AM535" s="5">
        <f t="shared" si="40"/>
        <v>1.91010457787937E-2</v>
      </c>
      <c r="AN535" t="str">
        <v>25-08-24</v>
      </c>
      <c r="AO535" t="str">
        <v>01-09-24</v>
      </c>
      <c r="AP535" t="str">
        <f t="shared" si="41"/>
        <v>August</v>
      </c>
      <c r="AQ535" t="str">
        <f t="shared" si="42"/>
        <v>2024</v>
      </c>
      <c r="AR535" t="str">
        <f t="shared" si="43"/>
        <v>anomaly</v>
      </c>
      <c r="AS535">
        <f t="shared" si="44"/>
        <v>7</v>
      </c>
      <c r="AT535" t="str">
        <f>IF(COUNTIFS( $A:$A,A535,$B:$B,B535,$C:$C,C535,$D:$D,D535,$E:$E,E535,$F:$F,F535,$G:$G,G535,$H:$H,H535,$I:$I,I535,$J:$J,J535,$K:$K,K535,$L:$L,L535,$M:$M,M535,$T:$T,T535,$U:$U,U535,$W:$W,W535,$Z:$Z,Z535,$AA:$AA,AA535,$AB:$AB,AB535,$AC:$AC,AC535,$AD:$AD,AD535,$AE:$AE,AE535,$AF:$AF,AF535,$AG:$AG,AG535,$AH:$AH,AH535,$AI:$AI,AI535)&gt;1,"Duplicate","Unique")</f>
        <v>Unique</v>
      </c>
    </row>
    <row r="536" spans="1:46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  <c r="W536" t="s">
        <v>2580</v>
      </c>
      <c r="Z536" t="s">
        <v>2583</v>
      </c>
      <c r="AA536" t="str">
        <v>Rohan Mehta</v>
      </c>
      <c r="AB536" t="str">
        <f>TRIM(PROPER(F:F))</f>
        <v>Home Office</v>
      </c>
      <c r="AC536" t="str">
        <f>TRIM(PROPER(G:G))</f>
        <v>East</v>
      </c>
      <c r="AD536" t="str">
        <f>TRIM(PROPER(H:H))</f>
        <v>Bihar</v>
      </c>
      <c r="AE536" t="str">
        <f>TRIM(PROPER(I:I))</f>
        <v>Patna</v>
      </c>
      <c r="AF536" t="str">
        <f>TRIM(PROPER(J:J))</f>
        <v>Technology</v>
      </c>
      <c r="AG536" t="str">
        <f>TRIM(PROPER(K:K))</f>
        <v>Accessories</v>
      </c>
      <c r="AH536" t="str">
        <f>TRIM(PROPER(L:L))</f>
        <v>Classic Accessories 325</v>
      </c>
      <c r="AI536" t="str">
        <f>TRIM(PROPER(M:M))</f>
        <v>Second Class</v>
      </c>
      <c r="AJ536" s="5">
        <f>IF(OR(P536&lt;0,P536&gt;0.5),"invalid",P536)</f>
        <v>0.1</v>
      </c>
      <c r="AK536" s="6">
        <f>IFERROR(N536*O536*(1-AJ536), "NA")</f>
        <v>14268.204</v>
      </c>
      <c r="AL536" s="6">
        <f>IFERROR(AK536-R536,"NA")</f>
        <v>2562.9040000000005</v>
      </c>
      <c r="AM536" s="5">
        <f t="shared" si="40"/>
        <v>0.17962344805274724</v>
      </c>
      <c r="AN536" t="str">
        <v>invalid date</v>
      </c>
      <c r="AO536" t="str">
        <v>05-05-25</v>
      </c>
      <c r="AP536" t="str">
        <f t="shared" si="41"/>
        <v>invalid date</v>
      </c>
      <c r="AQ536" t="str">
        <f t="shared" si="42"/>
        <v>invalid date</v>
      </c>
      <c r="AR536" t="str">
        <f t="shared" si="43"/>
        <v>Invalid</v>
      </c>
      <c r="AS536" t="str">
        <f t="shared" si="44"/>
        <v>invalid date</v>
      </c>
      <c r="AT536" t="str">
        <f>IF(COUNTIFS( $A:$A,A536,$B:$B,B536,$C:$C,C536,$D:$D,D536,$E:$E,E536,$F:$F,F536,$G:$G,G536,$H:$H,H536,$I:$I,I536,$J:$J,J536,$K:$K,K536,$L:$L,L536,$M:$M,M536,$T:$T,T536,$U:$U,U536,$W:$W,W536,$Z:$Z,Z536,$AA:$AA,AA536,$AB:$AB,AB536,$AC:$AC,AC536,$AD:$AD,AD536,$AE:$AE,AE536,$AF:$AF,AF536,$AG:$AG,AG536,$AH:$AH,AH536,$AI:$AI,AI536)&gt;1,"Duplicate","Unique")</f>
        <v>Unique</v>
      </c>
    </row>
    <row r="537" spans="1:46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  <c r="W537" t="s">
        <v>2585</v>
      </c>
      <c r="Z537" t="s">
        <v>2588</v>
      </c>
      <c r="AA537" t="str">
        <v>Diya Patel</v>
      </c>
      <c r="AB537" t="str">
        <f>TRIM(PROPER(F:F))</f>
        <v>Small Business</v>
      </c>
      <c r="AC537" t="str">
        <f>TRIM(PROPER(G:G))</f>
        <v>West</v>
      </c>
      <c r="AD537" t="str">
        <f>TRIM(PROPER(H:H))</f>
        <v>Maharashtra</v>
      </c>
      <c r="AE537" t="str">
        <f>TRIM(PROPER(I:I))</f>
        <v>Mumbai</v>
      </c>
      <c r="AF537" t="str">
        <f>TRIM(PROPER(J:J))</f>
        <v>Technology</v>
      </c>
      <c r="AG537" t="str">
        <f>TRIM(PROPER(K:K))</f>
        <v>Copiers</v>
      </c>
      <c r="AH537" t="str">
        <f>TRIM(PROPER(L:L))</f>
        <v>Eco Copiers 243</v>
      </c>
      <c r="AI537" t="str">
        <f>TRIM(PROPER(M:M))</f>
        <v>First Class</v>
      </c>
      <c r="AJ537" s="5">
        <f>IF(OR(P537&lt;0,P537&gt;0.5),"invalid",P537)</f>
        <v>0.2</v>
      </c>
      <c r="AK537" s="6">
        <f>IFERROR(N537*O537*(1-AJ537), "NA")</f>
        <v>9602.3520000000008</v>
      </c>
      <c r="AL537" s="6">
        <f>IFERROR(AK537-R537,"NA")</f>
        <v>2214.7820000000011</v>
      </c>
      <c r="AM537" s="5">
        <f t="shared" si="40"/>
        <v>0.23064994909580494</v>
      </c>
      <c r="AN537" t="str">
        <v>19-05-24</v>
      </c>
      <c r="AO537" t="str">
        <v>21-05-24</v>
      </c>
      <c r="AP537" t="str">
        <f t="shared" si="41"/>
        <v>May</v>
      </c>
      <c r="AQ537" t="str">
        <f t="shared" si="42"/>
        <v>2024</v>
      </c>
      <c r="AR537" t="str">
        <f t="shared" si="43"/>
        <v xml:space="preserve"> </v>
      </c>
      <c r="AS537">
        <f t="shared" si="44"/>
        <v>2</v>
      </c>
      <c r="AT537" t="str">
        <f>IF(COUNTIFS( $A:$A,A537,$B:$B,B537,$C:$C,C537,$D:$D,D537,$E:$E,E537,$F:$F,F537,$G:$G,G537,$H:$H,H537,$I:$I,I537,$J:$J,J537,$K:$K,K537,$L:$L,L537,$M:$M,M537,$T:$T,T537,$U:$U,U537,$W:$W,W537,$Z:$Z,Z537,$AA:$AA,AA537,$AB:$AB,AB537,$AC:$AC,AC537,$AD:$AD,AD537,$AE:$AE,AE537,$AF:$AF,AF537,$AG:$AG,AG537,$AH:$AH,AH537,$AI:$AI,AI537)&gt;1,"Duplicate","Unique")</f>
        <v>Unique</v>
      </c>
    </row>
    <row r="538" spans="1:46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  <c r="W538" t="s">
        <v>2590</v>
      </c>
      <c r="Z538" t="s">
        <v>2593</v>
      </c>
      <c r="AA538" t="str">
        <v>Ananya Rao</v>
      </c>
      <c r="AB538" t="str">
        <f>TRIM(PROPER(F:F))</f>
        <v>Small Business</v>
      </c>
      <c r="AC538" t="str">
        <f>TRIM(PROPER(G:G))</f>
        <v>West</v>
      </c>
      <c r="AD538" t="str">
        <f>TRIM(PROPER(H:H))</f>
        <v>Rajasthan</v>
      </c>
      <c r="AE538" t="str">
        <f>TRIM(PROPER(I:I))</f>
        <v>Udaipur</v>
      </c>
      <c r="AF538" t="str">
        <f>TRIM(PROPER(J:J))</f>
        <v>Furniture</v>
      </c>
      <c r="AG538" t="str">
        <f>TRIM(PROPER(K:K))</f>
        <v>Chairs</v>
      </c>
      <c r="AH538" t="str">
        <f>TRIM(PROPER(L:L))</f>
        <v>Elite Chairs 777</v>
      </c>
      <c r="AI538" t="str">
        <f>TRIM(PROPER(M:M))</f>
        <v>First Class</v>
      </c>
      <c r="AJ538" s="5">
        <f>IF(OR(P538&lt;0,P538&gt;0.5),"invalid",P538)</f>
        <v>0.25</v>
      </c>
      <c r="AK538" s="6">
        <f>IFERROR(N538*O538*(1-AJ538), "NA")</f>
        <v>19891.724999999999</v>
      </c>
      <c r="AL538" s="6">
        <f>IFERROR(AK538-R538,"NA")</f>
        <v>7595.9649999999983</v>
      </c>
      <c r="AM538" s="5">
        <f t="shared" si="40"/>
        <v>0.38186557475533162</v>
      </c>
      <c r="AN538" t="str">
        <v>10-04-25</v>
      </c>
      <c r="AO538" t="str">
        <v>17-04-25</v>
      </c>
      <c r="AP538" t="str">
        <f t="shared" si="41"/>
        <v>April</v>
      </c>
      <c r="AQ538" t="str">
        <f t="shared" si="42"/>
        <v>2025</v>
      </c>
      <c r="AR538" t="str">
        <f t="shared" si="43"/>
        <v xml:space="preserve"> </v>
      </c>
      <c r="AS538">
        <f t="shared" si="44"/>
        <v>7</v>
      </c>
      <c r="AT538" t="str">
        <f>IF(COUNTIFS( $A:$A,A538,$B:$B,B538,$C:$C,C538,$D:$D,D538,$E:$E,E538,$F:$F,F538,$G:$G,G538,$H:$H,H538,$I:$I,I538,$J:$J,J538,$K:$K,K538,$L:$L,L538,$M:$M,M538,$T:$T,T538,$U:$U,U538,$W:$W,W538,$Z:$Z,Z538,$AA:$AA,AA538,$AB:$AB,AB538,$AC:$AC,AC538,$AD:$AD,AD538,$AE:$AE,AE538,$AF:$AF,AF538,$AG:$AG,AG538,$AH:$AH,AH538,$AI:$AI,AI538)&gt;1,"Duplicate","Unique")</f>
        <v>Unique</v>
      </c>
    </row>
    <row r="539" spans="1:46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  <c r="W539" t="s">
        <v>2595</v>
      </c>
      <c r="Z539" t="s">
        <v>2597</v>
      </c>
      <c r="AA539" t="str">
        <v>Ananya Rao</v>
      </c>
      <c r="AB539" t="str">
        <f>TRIM(PROPER(F:F))</f>
        <v>Small Business</v>
      </c>
      <c r="AC539" t="str">
        <f>TRIM(PROPER(G:G))</f>
        <v>North</v>
      </c>
      <c r="AD539" t="str">
        <f>TRIM(PROPER(H:H))</f>
        <v>Haryana</v>
      </c>
      <c r="AE539" t="str">
        <f>TRIM(PROPER(I:I))</f>
        <v>Gurugram</v>
      </c>
      <c r="AF539" t="str">
        <f>TRIM(PROPER(J:J))</f>
        <v>Office Supplies</v>
      </c>
      <c r="AG539" t="str">
        <f>TRIM(PROPER(K:K))</f>
        <v>Art</v>
      </c>
      <c r="AH539" t="str">
        <f>TRIM(PROPER(L:L))</f>
        <v>Classic Art 772</v>
      </c>
      <c r="AI539" t="str">
        <f>TRIM(PROPER(M:M))</f>
        <v>Same Day</v>
      </c>
      <c r="AJ539" s="5">
        <f>IF(OR(P539&lt;0,P539&gt;0.5),"invalid",P539)</f>
        <v>0.05</v>
      </c>
      <c r="AK539" s="6">
        <f>IFERROR(N539*O539*(1-AJ539), "NA")</f>
        <v>1927.6545000000001</v>
      </c>
      <c r="AL539" s="6">
        <f>IFERROR(AK539-R539,"NA")</f>
        <v>467.05450000000019</v>
      </c>
      <c r="AM539" s="5">
        <f t="shared" si="40"/>
        <v>0.24229160360427668</v>
      </c>
      <c r="AN539" t="str">
        <v>22-01-24</v>
      </c>
      <c r="AO539" t="str">
        <v>30-01-24</v>
      </c>
      <c r="AP539" t="str">
        <f t="shared" si="41"/>
        <v>January</v>
      </c>
      <c r="AQ539" t="str">
        <f t="shared" si="42"/>
        <v>2024</v>
      </c>
      <c r="AR539" t="str">
        <f t="shared" si="43"/>
        <v xml:space="preserve"> </v>
      </c>
      <c r="AS539">
        <f t="shared" si="44"/>
        <v>8</v>
      </c>
      <c r="AT539" t="str">
        <f>IF(COUNTIFS( $A:$A,A539,$B:$B,B539,$C:$C,C539,$D:$D,D539,$E:$E,E539,$F:$F,F539,$G:$G,G539,$H:$H,H539,$I:$I,I539,$J:$J,J539,$K:$K,K539,$L:$L,L539,$M:$M,M539,$T:$T,T539,$U:$U,U539,$W:$W,W539,$Z:$Z,Z539,$AA:$AA,AA539,$AB:$AB,AB539,$AC:$AC,AC539,$AD:$AD,AD539,$AE:$AE,AE539,$AF:$AF,AF539,$AG:$AG,AG539,$AH:$AH,AH539,$AI:$AI,AI539)&gt;1,"Duplicate","Unique")</f>
        <v>Unique</v>
      </c>
    </row>
    <row r="540" spans="1:46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  <c r="W540" t="s">
        <v>2599</v>
      </c>
      <c r="Z540" t="s">
        <v>2601</v>
      </c>
      <c r="AA540" t="str">
        <v>Diya Patel</v>
      </c>
      <c r="AB540" t="str">
        <f>TRIM(PROPER(F:F))</f>
        <v>Small Business</v>
      </c>
      <c r="AC540" t="str">
        <f>TRIM(PROPER(G:G))</f>
        <v>East</v>
      </c>
      <c r="AD540" t="str">
        <f>TRIM(PROPER(H:H))</f>
        <v>Jharkhand</v>
      </c>
      <c r="AE540" t="str">
        <f>TRIM(PROPER(I:I))</f>
        <v>Ranchi</v>
      </c>
      <c r="AF540" t="str">
        <f>TRIM(PROPER(J:J))</f>
        <v>Furniture</v>
      </c>
      <c r="AG540" t="str">
        <f>TRIM(PROPER(K:K))</f>
        <v>Tables</v>
      </c>
      <c r="AH540" t="str">
        <f>TRIM(PROPER(L:L))</f>
        <v>Elite Tables 888</v>
      </c>
      <c r="AI540" t="str">
        <f>TRIM(PROPER(M:M))</f>
        <v>Second Class</v>
      </c>
      <c r="AJ540" s="5">
        <f>IF(OR(P540&lt;0,P540&gt;0.5),"invalid",P540)</f>
        <v>0.15</v>
      </c>
      <c r="AK540" s="6">
        <f>IFERROR(N540*O540*(1-AJ540), "NA")</f>
        <v>29900.79</v>
      </c>
      <c r="AL540" s="6">
        <f>IFERROR(AK540-R540,"NA")</f>
        <v>5250.1200000000026</v>
      </c>
      <c r="AM540" s="5">
        <f t="shared" si="40"/>
        <v>0.17558465846554563</v>
      </c>
      <c r="AN540" t="str">
        <v>25-09-24</v>
      </c>
      <c r="AO540" t="str">
        <v>01-10-24</v>
      </c>
      <c r="AP540" t="str">
        <f t="shared" si="41"/>
        <v>September</v>
      </c>
      <c r="AQ540" t="str">
        <f t="shared" si="42"/>
        <v>2024</v>
      </c>
      <c r="AR540" t="str">
        <f t="shared" si="43"/>
        <v>anomaly</v>
      </c>
      <c r="AS540">
        <f t="shared" si="44"/>
        <v>6</v>
      </c>
      <c r="AT540" t="str">
        <f>IF(COUNTIFS( $A:$A,A540,$B:$B,B540,$C:$C,C540,$D:$D,D540,$E:$E,E540,$F:$F,F540,$G:$G,G540,$H:$H,H540,$I:$I,I540,$J:$J,J540,$K:$K,K540,$L:$L,L540,$M:$M,M540,$T:$T,T540,$U:$U,U540,$W:$W,W540,$Z:$Z,Z540,$AA:$AA,AA540,$AB:$AB,AB540,$AC:$AC,AC540,$AD:$AD,AD540,$AE:$AE,AE540,$AF:$AF,AF540,$AG:$AG,AG540,$AH:$AH,AH540,$AI:$AI,AI540)&gt;1,"Duplicate","Unique")</f>
        <v>Unique</v>
      </c>
    </row>
    <row r="541" spans="1:46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  <c r="W541" t="s">
        <v>2603</v>
      </c>
      <c r="Z541" t="s">
        <v>2604</v>
      </c>
      <c r="AA541" t="str">
        <v>mira das</v>
      </c>
      <c r="AB541" t="str">
        <f>TRIM(PROPER(F:F))</f>
        <v>Small Business</v>
      </c>
      <c r="AC541" t="str">
        <f>TRIM(PROPER(G:G))</f>
        <v>South</v>
      </c>
      <c r="AD541" t="str">
        <f>TRIM(PROPER(H:H))</f>
        <v>Tamil Nadu</v>
      </c>
      <c r="AE541" t="str">
        <f>TRIM(PROPER(I:I))</f>
        <v>Chennai</v>
      </c>
      <c r="AF541" t="str">
        <f>TRIM(PROPER(J:J))</f>
        <v>Furniture</v>
      </c>
      <c r="AG541" t="str">
        <f>TRIM(PROPER(K:K))</f>
        <v>Chairs</v>
      </c>
      <c r="AH541" t="str">
        <f>TRIM(PROPER(L:L))</f>
        <v>Classic Chairs 666</v>
      </c>
      <c r="AI541" t="str">
        <f>TRIM(PROPER(M:M))</f>
        <v>Standard Class</v>
      </c>
      <c r="AJ541" s="5">
        <f>IF(OR(P541&lt;0,P541&gt;0.5),"invalid",P541)</f>
        <v>0.1</v>
      </c>
      <c r="AK541" s="6">
        <f>IFERROR(N541*O541*(1-AJ541), "NA")</f>
        <v>1904.4450000000002</v>
      </c>
      <c r="AL541" s="6">
        <f>IFERROR(AK541-R541,"NA")</f>
        <v>587.9050000000002</v>
      </c>
      <c r="AM541" s="5">
        <f t="shared" si="40"/>
        <v>0.30870148520960183</v>
      </c>
      <c r="AN541" t="str">
        <v>07-04-25</v>
      </c>
      <c r="AO541" t="str">
        <v>04-07-25</v>
      </c>
      <c r="AP541" t="str">
        <f t="shared" si="41"/>
        <v>April</v>
      </c>
      <c r="AQ541" t="str">
        <f t="shared" si="42"/>
        <v>2025</v>
      </c>
      <c r="AR541" t="str">
        <f t="shared" si="43"/>
        <v>anomaly</v>
      </c>
      <c r="AS541">
        <f t="shared" si="44"/>
        <v>88</v>
      </c>
      <c r="AT541" t="str">
        <f>IF(COUNTIFS( $A:$A,A541,$B:$B,B541,$C:$C,C541,$D:$D,D541,$E:$E,E541,$F:$F,F541,$G:$G,G541,$H:$H,H541,$I:$I,I541,$J:$J,J541,$K:$K,K541,$L:$L,L541,$M:$M,M541,$T:$T,T541,$U:$U,U541,$W:$W,W541,$Z:$Z,Z541,$AA:$AA,AA541,$AB:$AB,AB541,$AC:$AC,AC541,$AD:$AD,AD541,$AE:$AE,AE541,$AF:$AF,AF541,$AG:$AG,AG541,$AH:$AH,AH541,$AI:$AI,AI541)&gt;1,"Duplicate","Unique")</f>
        <v>Unique</v>
      </c>
    </row>
    <row r="542" spans="1:46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  <c r="W542" t="s">
        <v>2607</v>
      </c>
      <c r="Z542" t="s">
        <v>2609</v>
      </c>
      <c r="AA542" t="str">
        <v>Kabir Singh</v>
      </c>
      <c r="AB542" t="str">
        <f>TRIM(PROPER(F:F))</f>
        <v>Consumer</v>
      </c>
      <c r="AC542" t="str">
        <f>TRIM(PROPER(G:G))</f>
        <v>West</v>
      </c>
      <c r="AD542" t="str">
        <f>TRIM(PROPER(H:H))</f>
        <v>Gujarat</v>
      </c>
      <c r="AE542" t="str">
        <f>TRIM(PROPER(I:I))</f>
        <v>Ahmedabad</v>
      </c>
      <c r="AF542" t="str">
        <f>TRIM(PROPER(J:J))</f>
        <v>Furniture</v>
      </c>
      <c r="AG542" t="str">
        <f>TRIM(PROPER(K:K))</f>
        <v>Furnishings</v>
      </c>
      <c r="AH542" t="str">
        <f>TRIM(PROPER(L:L))</f>
        <v>Basic Furnishings 350</v>
      </c>
      <c r="AI542" t="str">
        <f>TRIM(PROPER(M:M))</f>
        <v>Standard Class</v>
      </c>
      <c r="AJ542" s="5">
        <f>IF(OR(P542&lt;0,P542&gt;0.5),"invalid",P542)</f>
        <v>0.2</v>
      </c>
      <c r="AK542" s="6">
        <f>IFERROR(N542*O542*(1-AJ542), "NA")</f>
        <v>21571.592000000004</v>
      </c>
      <c r="AL542" s="6">
        <f>IFERROR(AK542-R542,"NA")</f>
        <v>4453.5220000000045</v>
      </c>
      <c r="AM542" s="5">
        <f t="shared" si="40"/>
        <v>0.20645309813017063</v>
      </c>
      <c r="AN542" t="str">
        <v>26-02-24</v>
      </c>
      <c r="AO542" t="str">
        <v>23-02-24</v>
      </c>
      <c r="AP542" t="str">
        <f t="shared" si="41"/>
        <v>February</v>
      </c>
      <c r="AQ542" t="str">
        <f t="shared" si="42"/>
        <v>2024</v>
      </c>
      <c r="AR542" t="str">
        <f t="shared" si="43"/>
        <v>anomaly</v>
      </c>
      <c r="AS542">
        <f t="shared" si="44"/>
        <v>-3</v>
      </c>
      <c r="AT542" t="str">
        <f>IF(COUNTIFS( $A:$A,A542,$B:$B,B542,$C:$C,C542,$D:$D,D542,$E:$E,E542,$F:$F,F542,$G:$G,G542,$H:$H,H542,$I:$I,I542,$J:$J,J542,$K:$K,K542,$L:$L,L542,$M:$M,M542,$T:$T,T542,$U:$U,U542,$W:$W,W542,$Z:$Z,Z542,$AA:$AA,AA542,$AB:$AB,AB542,$AC:$AC,AC542,$AD:$AD,AD542,$AE:$AE,AE542,$AF:$AF,AF542,$AG:$AG,AG542,$AH:$AH,AH542,$AI:$AI,AI542)&gt;1,"Duplicate","Unique")</f>
        <v>Unique</v>
      </c>
    </row>
    <row r="543" spans="1:46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  <c r="W543" t="s">
        <v>2611</v>
      </c>
      <c r="Z543" t="s">
        <v>2614</v>
      </c>
      <c r="AA543" t="str">
        <v>Sneha Kapoor</v>
      </c>
      <c r="AB543" t="str">
        <f>TRIM(PROPER(F:F))</f>
        <v>Consumer</v>
      </c>
      <c r="AC543" t="str">
        <f>TRIM(PROPER(G:G))</f>
        <v>West</v>
      </c>
      <c r="AD543" t="str">
        <f>TRIM(PROPER(H:H))</f>
        <v>Maharashtra</v>
      </c>
      <c r="AE543" t="str">
        <f>TRIM(PROPER(I:I))</f>
        <v>Mumbai</v>
      </c>
      <c r="AF543" t="str">
        <f>TRIM(PROPER(J:J))</f>
        <v>Technology</v>
      </c>
      <c r="AG543" t="str">
        <f>TRIM(PROPER(K:K))</f>
        <v>Copiers</v>
      </c>
      <c r="AH543" t="str">
        <f>TRIM(PROPER(L:L))</f>
        <v>Elite Copiers 831</v>
      </c>
      <c r="AI543" t="str">
        <f>TRIM(PROPER(M:M))</f>
        <v>Same Day</v>
      </c>
      <c r="AJ543" s="5">
        <f>IF(OR(P543&lt;0,P543&gt;0.5),"invalid",P543)</f>
        <v>0</v>
      </c>
      <c r="AK543" s="6">
        <f>IFERROR(N543*O543*(1-AJ543), "NA")</f>
        <v>8641.68</v>
      </c>
      <c r="AL543" s="6">
        <f>IFERROR(AK543-R543,"NA")</f>
        <v>2894.59</v>
      </c>
      <c r="AM543" s="5">
        <f t="shared" si="40"/>
        <v>0.33495686024013849</v>
      </c>
      <c r="AN543" t="str">
        <v>08-07-25</v>
      </c>
      <c r="AO543" t="str">
        <v>09-07-25</v>
      </c>
      <c r="AP543" t="str">
        <f t="shared" si="41"/>
        <v>July</v>
      </c>
      <c r="AQ543" t="str">
        <f t="shared" si="42"/>
        <v>2025</v>
      </c>
      <c r="AR543" t="str">
        <f t="shared" si="43"/>
        <v xml:space="preserve"> </v>
      </c>
      <c r="AS543">
        <f t="shared" si="44"/>
        <v>1</v>
      </c>
      <c r="AT543" t="str">
        <f>IF(COUNTIFS( $A:$A,A543,$B:$B,B543,$C:$C,C543,$D:$D,D543,$E:$E,E543,$F:$F,F543,$G:$G,G543,$H:$H,H543,$I:$I,I543,$J:$J,J543,$K:$K,K543,$L:$L,L543,$M:$M,M543,$T:$T,T543,$U:$U,U543,$W:$W,W543,$Z:$Z,Z543,$AA:$AA,AA543,$AB:$AB,AB543,$AC:$AC,AC543,$AD:$AD,AD543,$AE:$AE,AE543,$AF:$AF,AF543,$AG:$AG,AG543,$AH:$AH,AH543,$AI:$AI,AI543)&gt;1,"Duplicate","Unique")</f>
        <v>Unique</v>
      </c>
    </row>
    <row r="544" spans="1:46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  <c r="W544" t="s">
        <v>2616</v>
      </c>
      <c r="Z544" t="s">
        <v>2619</v>
      </c>
      <c r="AA544" t="str">
        <v>Rahul Verma</v>
      </c>
      <c r="AB544" t="str">
        <f>TRIM(PROPER(F:F))</f>
        <v>Home Office</v>
      </c>
      <c r="AC544" t="str">
        <f>TRIM(PROPER(G:G))</f>
        <v>South</v>
      </c>
      <c r="AD544" t="str">
        <f>TRIM(PROPER(H:H))</f>
        <v>Kerala</v>
      </c>
      <c r="AE544" t="str">
        <f>TRIM(PROPER(I:I))</f>
        <v>Kochi</v>
      </c>
      <c r="AF544" t="str">
        <f>TRIM(PROPER(J:J))</f>
        <v>Furniture</v>
      </c>
      <c r="AG544" t="str">
        <f>TRIM(PROPER(K:K))</f>
        <v>Bookcases</v>
      </c>
      <c r="AH544" t="str">
        <f>TRIM(PROPER(L:L))</f>
        <v>Eco Bookcases 759</v>
      </c>
      <c r="AI544" t="str">
        <f>TRIM(PROPER(M:M))</f>
        <v>Second Class</v>
      </c>
      <c r="AJ544" s="5">
        <f>IF(OR(P544&lt;0,P544&gt;0.5),"invalid",P544)</f>
        <v>0.2</v>
      </c>
      <c r="AK544" s="6">
        <f>IFERROR(N544*O544*(1-AJ544), "NA")</f>
        <v>9762.2880000000005</v>
      </c>
      <c r="AL544" s="6">
        <f>IFERROR(AK544-R544,"NA")</f>
        <v>1394.0480000000007</v>
      </c>
      <c r="AM544" s="5">
        <f t="shared" si="40"/>
        <v>0.14279931098119628</v>
      </c>
      <c r="AN544" t="str">
        <v>invalid date</v>
      </c>
      <c r="AO544" t="str">
        <v>23-09-24</v>
      </c>
      <c r="AP544" t="str">
        <f t="shared" si="41"/>
        <v>invalid date</v>
      </c>
      <c r="AQ544" t="str">
        <f t="shared" si="42"/>
        <v>invalid date</v>
      </c>
      <c r="AR544" t="str">
        <f t="shared" si="43"/>
        <v>Invalid</v>
      </c>
      <c r="AS544" t="str">
        <f t="shared" si="44"/>
        <v>invalid date</v>
      </c>
      <c r="AT544" t="str">
        <f>IF(COUNTIFS( $A:$A,A544,$B:$B,B544,$C:$C,C544,$D:$D,D544,$E:$E,E544,$F:$F,F544,$G:$G,G544,$H:$H,H544,$I:$I,I544,$J:$J,J544,$K:$K,K544,$L:$L,L544,$M:$M,M544,$T:$T,T544,$U:$U,U544,$W:$W,W544,$Z:$Z,Z544,$AA:$AA,AA544,$AB:$AB,AB544,$AC:$AC,AC544,$AD:$AD,AD544,$AE:$AE,AE544,$AF:$AF,AF544,$AG:$AG,AG544,$AH:$AH,AH544,$AI:$AI,AI544)&gt;1,"Duplicate","Unique")</f>
        <v>Unique</v>
      </c>
    </row>
    <row r="545" spans="1:46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  <c r="W545" t="s">
        <v>2622</v>
      </c>
      <c r="Z545" t="s">
        <v>2624</v>
      </c>
      <c r="AA545" t="str">
        <v>Mira Das</v>
      </c>
      <c r="AB545" t="str">
        <f>TRIM(PROPER(F:F))</f>
        <v>Consumer</v>
      </c>
      <c r="AC545" t="str">
        <f>TRIM(PROPER(G:G))</f>
        <v>East</v>
      </c>
      <c r="AD545" t="str">
        <f>TRIM(PROPER(H:H))</f>
        <v>Bihar</v>
      </c>
      <c r="AE545" t="str">
        <f>TRIM(PROPER(I:I))</f>
        <v>Patna</v>
      </c>
      <c r="AF545" t="str">
        <f>TRIM(PROPER(J:J))</f>
        <v>Technology</v>
      </c>
      <c r="AG545" t="str">
        <f>TRIM(PROPER(K:K))</f>
        <v>Copiers</v>
      </c>
      <c r="AH545" t="str">
        <f>TRIM(PROPER(L:L))</f>
        <v>Max Copiers 440</v>
      </c>
      <c r="AI545" t="str">
        <f>TRIM(PROPER(M:M))</f>
        <v>Same Day</v>
      </c>
      <c r="AJ545" s="5">
        <f>IF(OR(P545&lt;0,P545&gt;0.5),"invalid",P545)</f>
        <v>0.15</v>
      </c>
      <c r="AK545" s="6">
        <f>IFERROR(N545*O545*(1-AJ545), "NA")</f>
        <v>418.76949999999999</v>
      </c>
      <c r="AL545" s="6">
        <f>IFERROR(AK545-R545,"NA")</f>
        <v>105.04949999999997</v>
      </c>
      <c r="AM545" s="5">
        <f t="shared" si="40"/>
        <v>0.25085279610859906</v>
      </c>
      <c r="AN545" t="str">
        <v>14-07-24</v>
      </c>
      <c r="AO545" t="str">
        <v>20-07-24</v>
      </c>
      <c r="AP545" t="str">
        <f t="shared" si="41"/>
        <v>July</v>
      </c>
      <c r="AQ545" t="str">
        <f t="shared" si="42"/>
        <v>2024</v>
      </c>
      <c r="AR545" t="str">
        <f t="shared" si="43"/>
        <v xml:space="preserve"> </v>
      </c>
      <c r="AS545">
        <f t="shared" si="44"/>
        <v>6</v>
      </c>
      <c r="AT545" t="str">
        <f>IF(COUNTIFS( $A:$A,A545,$B:$B,B545,$C:$C,C545,$D:$D,D545,$E:$E,E545,$F:$F,F545,$G:$G,G545,$H:$H,H545,$I:$I,I545,$J:$J,J545,$K:$K,K545,$L:$L,L545,$M:$M,M545,$T:$T,T545,$U:$U,U545,$W:$W,W545,$Z:$Z,Z545,$AA:$AA,AA545,$AB:$AB,AB545,$AC:$AC,AC545,$AD:$AD,AD545,$AE:$AE,AE545,$AF:$AF,AF545,$AG:$AG,AG545,$AH:$AH,AH545,$AI:$AI,AI545)&gt;1,"Duplicate","Unique")</f>
        <v>Unique</v>
      </c>
    </row>
    <row r="546" spans="1:46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  <c r="W546" t="s">
        <v>2626</v>
      </c>
      <c r="Z546" t="s">
        <v>2628</v>
      </c>
      <c r="AA546" t="str">
        <v>Ananya Rao</v>
      </c>
      <c r="AB546" t="str">
        <f>TRIM(PROPER(F:F))</f>
        <v>Consumer</v>
      </c>
      <c r="AC546" t="str">
        <f>TRIM(PROPER(G:G))</f>
        <v>South</v>
      </c>
      <c r="AD546" t="str">
        <f>TRIM(PROPER(H:H))</f>
        <v>Kerala</v>
      </c>
      <c r="AE546" t="str">
        <f>TRIM(PROPER(I:I))</f>
        <v>Kochi</v>
      </c>
      <c r="AF546" t="str">
        <f>TRIM(PROPER(J:J))</f>
        <v>Office Supplies</v>
      </c>
      <c r="AG546" t="str">
        <f>TRIM(PROPER(K:K))</f>
        <v>Art</v>
      </c>
      <c r="AH546" t="str">
        <f>TRIM(PROPER(L:L))</f>
        <v>Smart Art 201</v>
      </c>
      <c r="AI546" t="str">
        <f>TRIM(PROPER(M:M))</f>
        <v>Same Day</v>
      </c>
      <c r="AJ546" s="5">
        <f>IF(OR(P546&lt;0,P546&gt;0.5),"invalid",P546)</f>
        <v>0.25</v>
      </c>
      <c r="AK546" s="6">
        <f>IFERROR(N546*O546*(1-AJ546), "NA")</f>
        <v>21861.72</v>
      </c>
      <c r="AL546" s="6">
        <f>IFERROR(AK546-R546,"NA")</f>
        <v>3397.380000000001</v>
      </c>
      <c r="AM546" s="5">
        <f t="shared" si="40"/>
        <v>0.1554031430280875</v>
      </c>
      <c r="AN546" t="str">
        <v>29-01-25</v>
      </c>
      <c r="AO546" t="str">
        <v>02-05-25</v>
      </c>
      <c r="AP546" t="str">
        <f t="shared" si="41"/>
        <v>January</v>
      </c>
      <c r="AQ546" t="str">
        <f t="shared" si="42"/>
        <v>2025</v>
      </c>
      <c r="AR546" t="str">
        <f t="shared" si="43"/>
        <v>anomaly</v>
      </c>
      <c r="AS546">
        <f t="shared" si="44"/>
        <v>93</v>
      </c>
      <c r="AT546" t="str">
        <f>IF(COUNTIFS( $A:$A,A546,$B:$B,B546,$C:$C,C546,$D:$D,D546,$E:$E,E546,$F:$F,F546,$G:$G,G546,$H:$H,H546,$I:$I,I546,$J:$J,J546,$K:$K,K546,$L:$L,L546,$M:$M,M546,$T:$T,T546,$U:$U,U546,$W:$W,W546,$Z:$Z,Z546,$AA:$AA,AA546,$AB:$AB,AB546,$AC:$AC,AC546,$AD:$AD,AD546,$AE:$AE,AE546,$AF:$AF,AF546,$AG:$AG,AG546,$AH:$AH,AH546,$AI:$AI,AI546)&gt;1,"Duplicate","Unique")</f>
        <v>Unique</v>
      </c>
    </row>
    <row r="547" spans="1:46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  <c r="W547" t="s">
        <v>2630</v>
      </c>
      <c r="Z547" t="s">
        <v>2633</v>
      </c>
      <c r="AA547" t="str">
        <v>Kabir Singh</v>
      </c>
      <c r="AB547" t="str">
        <f>TRIM(PROPER(F:F))</f>
        <v>Small Business</v>
      </c>
      <c r="AC547" t="str">
        <f>TRIM(PROPER(G:G))</f>
        <v>East</v>
      </c>
      <c r="AD547" t="str">
        <f>TRIM(PROPER(H:H))</f>
        <v>Jharkhand</v>
      </c>
      <c r="AE547" t="str">
        <f>TRIM(PROPER(I:I))</f>
        <v>Ranchi</v>
      </c>
      <c r="AF547" t="str">
        <f>TRIM(PROPER(J:J))</f>
        <v>Office Supplies</v>
      </c>
      <c r="AG547" t="str">
        <f>TRIM(PROPER(K:K))</f>
        <v>Storage</v>
      </c>
      <c r="AH547" t="str">
        <f>TRIM(PROPER(L:L))</f>
        <v>Classic Storage 755</v>
      </c>
      <c r="AI547" t="str">
        <f>TRIM(PROPER(M:M))</f>
        <v>Same Day</v>
      </c>
      <c r="AJ547" s="5">
        <f>IF(OR(P547&lt;0,P547&gt;0.5),"invalid",P547)</f>
        <v>0.15</v>
      </c>
      <c r="AK547" s="6">
        <f>IFERROR(N547*O547*(1-AJ547), "NA")</f>
        <v>17260.116999999998</v>
      </c>
      <c r="AL547" s="6">
        <f>IFERROR(AK547-R547,"NA")</f>
        <v>3746.6069999999982</v>
      </c>
      <c r="AM547" s="5">
        <f t="shared" si="40"/>
        <v>0.21706730029697935</v>
      </c>
      <c r="AN547" t="str">
        <v>invalid date</v>
      </c>
      <c r="AO547" t="str">
        <v>30-05-24</v>
      </c>
      <c r="AP547" t="str">
        <f t="shared" si="41"/>
        <v>invalid date</v>
      </c>
      <c r="AQ547" t="str">
        <f t="shared" si="42"/>
        <v>invalid date</v>
      </c>
      <c r="AR547" t="str">
        <f t="shared" si="43"/>
        <v>Invalid</v>
      </c>
      <c r="AS547" t="str">
        <f t="shared" si="44"/>
        <v>invalid date</v>
      </c>
      <c r="AT547" t="str">
        <f>IF(COUNTIFS( $A:$A,A547,$B:$B,B547,$C:$C,C547,$D:$D,D547,$E:$E,E547,$F:$F,F547,$G:$G,G547,$H:$H,H547,$I:$I,I547,$J:$J,J547,$K:$K,K547,$L:$L,L547,$M:$M,M547,$T:$T,T547,$U:$U,U547,$W:$W,W547,$Z:$Z,Z547,$AA:$AA,AA547,$AB:$AB,AB547,$AC:$AC,AC547,$AD:$AD,AD547,$AE:$AE,AE547,$AF:$AF,AF547,$AG:$AG,AG547,$AH:$AH,AH547,$AI:$AI,AI547)&gt;1,"Duplicate","Unique")</f>
        <v>Unique</v>
      </c>
    </row>
    <row r="548" spans="1:46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  <c r="W548" t="s">
        <v>2635</v>
      </c>
      <c r="Z548" t="s">
        <v>2637</v>
      </c>
      <c r="AA548" t="str">
        <v>Arjun Bose</v>
      </c>
      <c r="AB548" t="str">
        <f>TRIM(PROPER(F:F))</f>
        <v>Corporate</v>
      </c>
      <c r="AC548" t="str">
        <f>TRIM(PROPER(G:G))</f>
        <v>West</v>
      </c>
      <c r="AD548" t="str">
        <f>TRIM(PROPER(H:H))</f>
        <v>Gujarat</v>
      </c>
      <c r="AE548" t="str">
        <f>TRIM(PROPER(I:I))</f>
        <v>Ahmedabad</v>
      </c>
      <c r="AF548" t="str">
        <f>TRIM(PROPER(J:J))</f>
        <v>Office Supplies</v>
      </c>
      <c r="AG548" t="str">
        <f>TRIM(PROPER(K:K))</f>
        <v>Paper</v>
      </c>
      <c r="AH548" t="str">
        <f>TRIM(PROPER(L:L))</f>
        <v>Prime Paper 143</v>
      </c>
      <c r="AI548" t="str">
        <f>TRIM(PROPER(M:M))</f>
        <v>First Class</v>
      </c>
      <c r="AJ548" s="5">
        <f>IF(OR(P548&lt;0,P548&gt;0.5),"invalid",P548)</f>
        <v>0.15</v>
      </c>
      <c r="AK548" s="6">
        <f>IFERROR(N548*O548*(1-AJ548), "NA")</f>
        <v>10911.322499999998</v>
      </c>
      <c r="AL548" s="6">
        <f>IFERROR(AK548-R548,"NA")</f>
        <v>3944.8824999999988</v>
      </c>
      <c r="AM548" s="5">
        <f t="shared" si="40"/>
        <v>0.36154027158486052</v>
      </c>
      <c r="AN548" t="str">
        <v>14-08-25</v>
      </c>
      <c r="AO548" t="str">
        <v>22-08-25</v>
      </c>
      <c r="AP548" t="str">
        <f t="shared" si="41"/>
        <v>August</v>
      </c>
      <c r="AQ548" t="str">
        <f t="shared" si="42"/>
        <v>2025</v>
      </c>
      <c r="AR548" t="str">
        <f t="shared" si="43"/>
        <v xml:space="preserve"> </v>
      </c>
      <c r="AS548">
        <f t="shared" si="44"/>
        <v>8</v>
      </c>
      <c r="AT548" t="str">
        <f>IF(COUNTIFS( $A:$A,A548,$B:$B,B548,$C:$C,C548,$D:$D,D548,$E:$E,E548,$F:$F,F548,$G:$G,G548,$H:$H,H548,$I:$I,I548,$J:$J,J548,$K:$K,K548,$L:$L,L548,$M:$M,M548,$T:$T,T548,$U:$U,U548,$W:$W,W548,$Z:$Z,Z548,$AA:$AA,AA548,$AB:$AB,AB548,$AC:$AC,AC548,$AD:$AD,AD548,$AE:$AE,AE548,$AF:$AF,AF548,$AG:$AG,AG548,$AH:$AH,AH548,$AI:$AI,AI548)&gt;1,"Duplicate","Unique")</f>
        <v>Unique</v>
      </c>
    </row>
    <row r="549" spans="1:46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  <c r="W549" t="s">
        <v>2640</v>
      </c>
      <c r="Z549" t="s">
        <v>2643</v>
      </c>
      <c r="AA549" t="str">
        <v>Neha Gupta</v>
      </c>
      <c r="AB549" t="str">
        <f>TRIM(PROPER(F:F))</f>
        <v>Small Business</v>
      </c>
      <c r="AC549" t="str">
        <f>TRIM(PROPER(G:G))</f>
        <v>North</v>
      </c>
      <c r="AD549" t="str">
        <f>TRIM(PROPER(H:H))</f>
        <v>Uttar Pradesh</v>
      </c>
      <c r="AE549" t="str">
        <f>TRIM(PROPER(I:I))</f>
        <v>Noida</v>
      </c>
      <c r="AF549" t="str">
        <f>TRIM(PROPER(J:J))</f>
        <v>Technology</v>
      </c>
      <c r="AG549" t="str">
        <f>TRIM(PROPER(K:K))</f>
        <v>Copiers</v>
      </c>
      <c r="AH549" t="str">
        <f>TRIM(PROPER(L:L))</f>
        <v>Max Copiers 607</v>
      </c>
      <c r="AI549" t="str">
        <f>TRIM(PROPER(M:M))</f>
        <v>Standard Class</v>
      </c>
      <c r="AJ549" s="5">
        <f>IF(OR(P549&lt;0,P549&gt;0.5),"invalid",P549)</f>
        <v>0.1</v>
      </c>
      <c r="AK549" s="6">
        <f>IFERROR(N549*O549*(1-AJ549), "NA")</f>
        <v>30148.929</v>
      </c>
      <c r="AL549" s="6">
        <f>IFERROR(AK549-R549,"NA")</f>
        <v>4993.8590000000004</v>
      </c>
      <c r="AM549" s="5">
        <f t="shared" si="40"/>
        <v>0.16563968159532302</v>
      </c>
      <c r="AN549" t="str">
        <v>16-05-24</v>
      </c>
      <c r="AO549" t="str">
        <v>23-05-24</v>
      </c>
      <c r="AP549" t="str">
        <f t="shared" si="41"/>
        <v>May</v>
      </c>
      <c r="AQ549" t="str">
        <f t="shared" si="42"/>
        <v>2024</v>
      </c>
      <c r="AR549" t="str">
        <f t="shared" si="43"/>
        <v xml:space="preserve"> </v>
      </c>
      <c r="AS549">
        <f t="shared" si="44"/>
        <v>7</v>
      </c>
      <c r="AT549" t="str">
        <f>IF(COUNTIFS( $A:$A,A549,$B:$B,B549,$C:$C,C549,$D:$D,D549,$E:$E,E549,$F:$F,F549,$G:$G,G549,$H:$H,H549,$I:$I,I549,$J:$J,J549,$K:$K,K549,$L:$L,L549,$M:$M,M549,$T:$T,T549,$U:$U,U549,$W:$W,W549,$Z:$Z,Z549,$AA:$AA,AA549,$AB:$AB,AB549,$AC:$AC,AC549,$AD:$AD,AD549,$AE:$AE,AE549,$AF:$AF,AF549,$AG:$AG,AG549,$AH:$AH,AH549,$AI:$AI,AI549)&gt;1,"Duplicate","Unique")</f>
        <v>Unique</v>
      </c>
    </row>
    <row r="550" spans="1:46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  <c r="W550" t="s">
        <v>2645</v>
      </c>
      <c r="Z550" t="s">
        <v>2646</v>
      </c>
      <c r="AA550" t="str">
        <v>Rohan Mehta</v>
      </c>
      <c r="AB550" t="str">
        <f>TRIM(PROPER(F:F))</f>
        <v>Corporate</v>
      </c>
      <c r="AC550" t="str">
        <f>TRIM(PROPER(G:G))</f>
        <v>East</v>
      </c>
      <c r="AD550" t="str">
        <f>TRIM(PROPER(H:H))</f>
        <v>Bihar</v>
      </c>
      <c r="AE550" t="str">
        <f>TRIM(PROPER(I:I))</f>
        <v>Patna</v>
      </c>
      <c r="AF550" t="str">
        <f>TRIM(PROPER(J:J))</f>
        <v>Furniture</v>
      </c>
      <c r="AG550" t="str">
        <f>TRIM(PROPER(K:K))</f>
        <v>Bookcases</v>
      </c>
      <c r="AH550" t="str">
        <f>TRIM(PROPER(L:L))</f>
        <v>Prime Bookcases 402</v>
      </c>
      <c r="AI550" t="str">
        <f>TRIM(PROPER(M:M))</f>
        <v>Same Day</v>
      </c>
      <c r="AJ550" s="5">
        <f>IF(OR(P550&lt;0,P550&gt;0.5),"invalid",P550)</f>
        <v>0</v>
      </c>
      <c r="AK550" s="6">
        <f>IFERROR(N550*O550*(1-AJ550), "NA")</f>
        <v>1072.01</v>
      </c>
      <c r="AL550" s="6">
        <f>IFERROR(AK550-R550,"NA")</f>
        <v>219.39</v>
      </c>
      <c r="AM550" s="5">
        <f t="shared" si="40"/>
        <v>0.20465294167032022</v>
      </c>
      <c r="AN550" t="str">
        <v>29-05-24</v>
      </c>
      <c r="AO550" t="str">
        <v>29-05-24</v>
      </c>
      <c r="AP550" t="str">
        <f t="shared" si="41"/>
        <v>May</v>
      </c>
      <c r="AQ550" t="str">
        <f t="shared" si="42"/>
        <v>2024</v>
      </c>
      <c r="AR550" t="str">
        <f t="shared" si="43"/>
        <v xml:space="preserve"> </v>
      </c>
      <c r="AS550">
        <f t="shared" si="44"/>
        <v>0</v>
      </c>
      <c r="AT550" t="str">
        <f>IF(COUNTIFS( $A:$A,A550,$B:$B,B550,$C:$C,C550,$D:$D,D550,$E:$E,E550,$F:$F,F550,$G:$G,G550,$H:$H,H550,$I:$I,I550,$J:$J,J550,$K:$K,K550,$L:$L,L550,$M:$M,M550,$T:$T,T550,$U:$U,U550,$W:$W,W550,$Z:$Z,Z550,$AA:$AA,AA550,$AB:$AB,AB550,$AC:$AC,AC550,$AD:$AD,AD550,$AE:$AE,AE550,$AF:$AF,AF550,$AG:$AG,AG550,$AH:$AH,AH550,$AI:$AI,AI550)&gt;1,"Duplicate","Unique")</f>
        <v>Unique</v>
      </c>
    </row>
    <row r="551" spans="1:46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  <c r="W551" t="s">
        <v>2648</v>
      </c>
      <c r="Z551" t="s">
        <v>2651</v>
      </c>
      <c r="AA551" t="str">
        <v>Mira Das</v>
      </c>
      <c r="AB551" t="str">
        <f>TRIM(PROPER(F:F))</f>
        <v>Corporate</v>
      </c>
      <c r="AC551" t="str">
        <f>TRIM(PROPER(G:G))</f>
        <v>South</v>
      </c>
      <c r="AD551" t="str">
        <f>TRIM(PROPER(H:H))</f>
        <v>Telangana</v>
      </c>
      <c r="AE551" t="str">
        <f>TRIM(PROPER(I:I))</f>
        <v>Hyderabad</v>
      </c>
      <c r="AF551" t="str">
        <f>TRIM(PROPER(J:J))</f>
        <v>Office Supplies</v>
      </c>
      <c r="AG551" t="str">
        <f>TRIM(PROPER(K:K))</f>
        <v>Art</v>
      </c>
      <c r="AH551" t="str">
        <f>TRIM(PROPER(L:L))</f>
        <v>Pro Art 287</v>
      </c>
      <c r="AI551" t="str">
        <f>TRIM(PROPER(M:M))</f>
        <v>Second Class</v>
      </c>
      <c r="AJ551" s="5">
        <f>IF(OR(P551&lt;0,P551&gt;0.5),"invalid",P551)</f>
        <v>0.1</v>
      </c>
      <c r="AK551" s="6">
        <f>IFERROR(N551*O551*(1-AJ551), "NA")</f>
        <v>10271.529</v>
      </c>
      <c r="AL551" s="6">
        <f>IFERROR(AK551-R551,"NA")</f>
        <v>1999.2890000000007</v>
      </c>
      <c r="AM551" s="5">
        <f t="shared" si="40"/>
        <v>0.19464375751652949</v>
      </c>
      <c r="AN551" t="str">
        <v>10-11-25</v>
      </c>
      <c r="AO551" t="str">
        <v>13-10-25</v>
      </c>
      <c r="AP551" t="str">
        <f t="shared" si="41"/>
        <v>November</v>
      </c>
      <c r="AQ551" t="str">
        <f t="shared" si="42"/>
        <v>2025</v>
      </c>
      <c r="AR551" t="str">
        <f t="shared" si="43"/>
        <v xml:space="preserve"> </v>
      </c>
      <c r="AS551">
        <f t="shared" si="44"/>
        <v>-28</v>
      </c>
      <c r="AT551" t="str">
        <f>IF(COUNTIFS( $A:$A,A551,$B:$B,B551,$C:$C,C551,$D:$D,D551,$E:$E,E551,$F:$F,F551,$G:$G,G551,$H:$H,H551,$I:$I,I551,$J:$J,J551,$K:$K,K551,$L:$L,L551,$M:$M,M551,$T:$T,T551,$U:$U,U551,$W:$W,W551,$Z:$Z,Z551,$AA:$AA,AA551,$AB:$AB,AB551,$AC:$AC,AC551,$AD:$AD,AD551,$AE:$AE,AE551,$AF:$AF,AF551,$AG:$AG,AG551,$AH:$AH,AH551,$AI:$AI,AI551)&gt;1,"Duplicate","Unique")</f>
        <v>Unique</v>
      </c>
    </row>
    <row r="552" spans="1:46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  <c r="W552" t="s">
        <v>2653</v>
      </c>
      <c r="Z552" t="s">
        <v>2655</v>
      </c>
      <c r="AA552" t="str">
        <v>Mira Das</v>
      </c>
      <c r="AB552" t="str">
        <f>TRIM(PROPER(F:F))</f>
        <v>Home Office</v>
      </c>
      <c r="AC552" t="str">
        <f>TRIM(PROPER(G:G))</f>
        <v>East</v>
      </c>
      <c r="AD552" t="str">
        <f>TRIM(PROPER(H:H))</f>
        <v>Odisha</v>
      </c>
      <c r="AE552" t="str">
        <f>TRIM(PROPER(I:I))</f>
        <v>Bhubaneswar</v>
      </c>
      <c r="AF552" t="str">
        <f>TRIM(PROPER(J:J))</f>
        <v>Technology</v>
      </c>
      <c r="AG552" t="str">
        <f>TRIM(PROPER(K:K))</f>
        <v>Accessories</v>
      </c>
      <c r="AH552" t="str">
        <f>TRIM(PROPER(L:L))</f>
        <v>Max Accessories 591</v>
      </c>
      <c r="AI552" t="str">
        <f>TRIM(PROPER(M:M))</f>
        <v>Standard Class</v>
      </c>
      <c r="AJ552" s="5">
        <f>IF(OR(P552&lt;0,P552&gt;0.5),"invalid",P552)</f>
        <v>0.2</v>
      </c>
      <c r="AK552" s="6">
        <f>IFERROR(N552*O552*(1-AJ552), "NA")</f>
        <v>10206.912</v>
      </c>
      <c r="AL552" s="6">
        <f>IFERROR(AK552-R552,"NA")</f>
        <v>3442.3820000000005</v>
      </c>
      <c r="AM552" s="5">
        <f t="shared" si="40"/>
        <v>0.33725988820125036</v>
      </c>
      <c r="AN552" t="str">
        <v>02-08-24</v>
      </c>
      <c r="AO552" t="str">
        <v>08-10-24</v>
      </c>
      <c r="AP552" t="str">
        <f t="shared" si="41"/>
        <v>August</v>
      </c>
      <c r="AQ552" t="str">
        <f t="shared" si="42"/>
        <v>2024</v>
      </c>
      <c r="AR552" t="str">
        <f t="shared" si="43"/>
        <v xml:space="preserve"> </v>
      </c>
      <c r="AS552">
        <f t="shared" si="44"/>
        <v>67</v>
      </c>
      <c r="AT552" t="str">
        <f>IF(COUNTIFS( $A:$A,A552,$B:$B,B552,$C:$C,C552,$D:$D,D552,$E:$E,E552,$F:$F,F552,$G:$G,G552,$H:$H,H552,$I:$I,I552,$J:$J,J552,$K:$K,K552,$L:$L,L552,$M:$M,M552,$T:$T,T552,$U:$U,U552,$W:$W,W552,$Z:$Z,Z552,$AA:$AA,AA552,$AB:$AB,AB552,$AC:$AC,AC552,$AD:$AD,AD552,$AE:$AE,AE552,$AF:$AF,AF552,$AG:$AG,AG552,$AH:$AH,AH552,$AI:$AI,AI552)&gt;1,"Duplicate","Unique")</f>
        <v>Unique</v>
      </c>
    </row>
    <row r="553" spans="1:46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  <c r="W553" t="s">
        <v>2657</v>
      </c>
      <c r="Z553" t="s">
        <v>2659</v>
      </c>
      <c r="AA553" t="str">
        <v>Sneha Kapoor</v>
      </c>
      <c r="AB553" t="str">
        <f>TRIM(PROPER(F:F))</f>
        <v>Consumer</v>
      </c>
      <c r="AC553" t="str">
        <f>TRIM(PROPER(G:G))</f>
        <v>East</v>
      </c>
      <c r="AD553" t="str">
        <f>TRIM(PROPER(H:H))</f>
        <v>Jharkhand</v>
      </c>
      <c r="AE553" t="str">
        <f>TRIM(PROPER(I:I))</f>
        <v>Ranchi</v>
      </c>
      <c r="AF553" t="str">
        <f>TRIM(PROPER(J:J))</f>
        <v>Furniture</v>
      </c>
      <c r="AG553" t="str">
        <f>TRIM(PROPER(K:K))</f>
        <v>Chairs</v>
      </c>
      <c r="AH553" t="str">
        <f>TRIM(PROPER(L:L))</f>
        <v>Elite Chairs 314</v>
      </c>
      <c r="AI553" t="str">
        <f>TRIM(PROPER(M:M))</f>
        <v>Second Class</v>
      </c>
      <c r="AJ553" s="5">
        <f>IF(OR(P553&lt;0,P553&gt;0.5),"invalid",P553)</f>
        <v>0.15</v>
      </c>
      <c r="AK553" s="6">
        <f>IFERROR(N553*O553*(1-AJ553), "NA")</f>
        <v>8027.6295</v>
      </c>
      <c r="AL553" s="6">
        <f>IFERROR(AK553-R553,"NA")</f>
        <v>2531.5394999999999</v>
      </c>
      <c r="AM553" s="5">
        <f t="shared" si="40"/>
        <v>0.31535330572991688</v>
      </c>
      <c r="AN553" t="str">
        <v>27-02-24</v>
      </c>
      <c r="AO553" t="str">
        <v>27-02-24</v>
      </c>
      <c r="AP553" t="str">
        <f t="shared" si="41"/>
        <v>February</v>
      </c>
      <c r="AQ553" t="str">
        <f t="shared" si="42"/>
        <v>2024</v>
      </c>
      <c r="AR553" t="str">
        <f t="shared" si="43"/>
        <v xml:space="preserve"> </v>
      </c>
      <c r="AS553">
        <f t="shared" si="44"/>
        <v>0</v>
      </c>
      <c r="AT553" t="str">
        <f>IF(COUNTIFS( $A:$A,A553,$B:$B,B553,$C:$C,C553,$D:$D,D553,$E:$E,E553,$F:$F,F553,$G:$G,G553,$H:$H,H553,$I:$I,I553,$J:$J,J553,$K:$K,K553,$L:$L,L553,$M:$M,M553,$T:$T,T553,$U:$U,U553,$W:$W,W553,$Z:$Z,Z553,$AA:$AA,AA553,$AB:$AB,AB553,$AC:$AC,AC553,$AD:$AD,AD553,$AE:$AE,AE553,$AF:$AF,AF553,$AG:$AG,AG553,$AH:$AH,AH553,$AI:$AI,AI553)&gt;1,"Duplicate","Unique")</f>
        <v>Unique</v>
      </c>
    </row>
    <row r="554" spans="1:46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  <c r="W554" t="s">
        <v>2661</v>
      </c>
      <c r="Z554" t="s">
        <v>2662</v>
      </c>
      <c r="AA554" t="str">
        <v>Ananya Rao</v>
      </c>
      <c r="AB554" t="str">
        <f>TRIM(PROPER(F:F))</f>
        <v>Corporate</v>
      </c>
      <c r="AC554" t="str">
        <f>TRIM(PROPER(G:G))</f>
        <v>East</v>
      </c>
      <c r="AD554" t="str">
        <f>TRIM(PROPER(H:H))</f>
        <v>West Bengal</v>
      </c>
      <c r="AE554" t="str">
        <f>TRIM(PROPER(I:I))</f>
        <v>Kolkata</v>
      </c>
      <c r="AF554" t="str">
        <f>TRIM(PROPER(J:J))</f>
        <v>Technology</v>
      </c>
      <c r="AG554" t="str">
        <f>TRIM(PROPER(K:K))</f>
        <v>Copiers</v>
      </c>
      <c r="AH554" t="str">
        <f>TRIM(PROPER(L:L))</f>
        <v>Pro Copiers 246</v>
      </c>
      <c r="AI554" t="str">
        <f>TRIM(PROPER(M:M))</f>
        <v>Standard Class</v>
      </c>
      <c r="AJ554" s="5" t="str">
        <f>IF(OR(P554&lt;0,P554&gt;0.5),"invalid",P554)</f>
        <v>invalid</v>
      </c>
      <c r="AK554" s="6" t="str">
        <f>IFERROR(N554*O554*(1-AJ554), "NA")</f>
        <v>NA</v>
      </c>
      <c r="AL554" s="6" t="str">
        <f>IFERROR(AK554-R554,"NA")</f>
        <v>NA</v>
      </c>
      <c r="AM554" s="5" t="str">
        <f t="shared" si="40"/>
        <v>NA</v>
      </c>
      <c r="AN554" t="str">
        <v>24-01-25</v>
      </c>
      <c r="AO554" t="str">
        <v>30-01-25</v>
      </c>
      <c r="AP554" t="str">
        <f t="shared" si="41"/>
        <v>January</v>
      </c>
      <c r="AQ554" t="str">
        <f t="shared" si="42"/>
        <v>2025</v>
      </c>
      <c r="AR554" t="str">
        <f t="shared" si="43"/>
        <v xml:space="preserve"> </v>
      </c>
      <c r="AS554">
        <f t="shared" si="44"/>
        <v>6</v>
      </c>
      <c r="AT554" t="str">
        <f>IF(COUNTIFS( $A:$A,A554,$B:$B,B554,$C:$C,C554,$D:$D,D554,$E:$E,E554,$F:$F,F554,$G:$G,G554,$H:$H,H554,$I:$I,I554,$J:$J,J554,$K:$K,K554,$L:$L,L554,$M:$M,M554,$T:$T,T554,$U:$U,U554,$W:$W,W554,$Z:$Z,Z554,$AA:$AA,AA554,$AB:$AB,AB554,$AC:$AC,AC554,$AD:$AD,AD554,$AE:$AE,AE554,$AF:$AF,AF554,$AG:$AG,AG554,$AH:$AH,AH554,$AI:$AI,AI554)&gt;1,"Duplicate","Unique")</f>
        <v>Unique</v>
      </c>
    </row>
    <row r="555" spans="1:46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  <c r="W555" t="s">
        <v>2664</v>
      </c>
      <c r="Z555" t="s">
        <v>2667</v>
      </c>
      <c r="AA555" t="str">
        <v>Aarav Sharma</v>
      </c>
      <c r="AB555" t="str">
        <f>TRIM(PROPER(F:F))</f>
        <v>Small Business</v>
      </c>
      <c r="AC555" t="str">
        <f>TRIM(PROPER(G:G))</f>
        <v>West</v>
      </c>
      <c r="AD555" t="str">
        <f>TRIM(PROPER(H:H))</f>
        <v>Gujarat</v>
      </c>
      <c r="AE555" t="str">
        <f>TRIM(PROPER(I:I))</f>
        <v>Ahmedabad</v>
      </c>
      <c r="AF555" t="str">
        <f>TRIM(PROPER(J:J))</f>
        <v>Office Supplies</v>
      </c>
      <c r="AG555" t="str">
        <f>TRIM(PROPER(K:K))</f>
        <v>Storage</v>
      </c>
      <c r="AH555" t="str">
        <f>TRIM(PROPER(L:L))</f>
        <v>Pro Storage 128</v>
      </c>
      <c r="AI555" t="str">
        <f>TRIM(PROPER(M:M))</f>
        <v>First Class</v>
      </c>
      <c r="AJ555" s="5">
        <f>IF(OR(P555&lt;0,P555&gt;0.5),"invalid",P555)</f>
        <v>0.25</v>
      </c>
      <c r="AK555" s="6">
        <f>IFERROR(N555*O555*(1-AJ555), "NA")</f>
        <v>8735.2425000000003</v>
      </c>
      <c r="AL555" s="6">
        <f>IFERROR(AK555-R555,"NA")</f>
        <v>2115.1725000000006</v>
      </c>
      <c r="AM555" s="5">
        <f t="shared" si="40"/>
        <v>0.24214239043735769</v>
      </c>
      <c r="AN555" t="str">
        <v>invalid date</v>
      </c>
      <c r="AO555" t="str">
        <v>28-04-25</v>
      </c>
      <c r="AP555" t="str">
        <f t="shared" si="41"/>
        <v>invalid date</v>
      </c>
      <c r="AQ555" t="str">
        <f t="shared" si="42"/>
        <v>invalid date</v>
      </c>
      <c r="AR555" t="str">
        <f t="shared" si="43"/>
        <v>Invalid</v>
      </c>
      <c r="AS555" t="str">
        <f t="shared" si="44"/>
        <v>invalid date</v>
      </c>
      <c r="AT555" t="str">
        <f>IF(COUNTIFS( $A:$A,A555,$B:$B,B555,$C:$C,C555,$D:$D,D555,$E:$E,E555,$F:$F,F555,$G:$G,G555,$H:$H,H555,$I:$I,I555,$J:$J,J555,$K:$K,K555,$L:$L,L555,$M:$M,M555,$T:$T,T555,$U:$U,U555,$W:$W,W555,$Z:$Z,Z555,$AA:$AA,AA555,$AB:$AB,AB555,$AC:$AC,AC555,$AD:$AD,AD555,$AE:$AE,AE555,$AF:$AF,AF555,$AG:$AG,AG555,$AH:$AH,AH555,$AI:$AI,AI555)&gt;1,"Duplicate","Unique")</f>
        <v>Unique</v>
      </c>
    </row>
    <row r="556" spans="1:46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  <c r="W556" t="s">
        <v>2669</v>
      </c>
      <c r="Z556" t="s">
        <v>2672</v>
      </c>
      <c r="AA556" t="str">
        <v>Arjun Bose</v>
      </c>
      <c r="AB556" t="str">
        <f>TRIM(PROPER(F:F))</f>
        <v>Consumer</v>
      </c>
      <c r="AC556" t="s">
        <v>4111</v>
      </c>
      <c r="AD556" t="str">
        <f>TRIM(PROPER(H:H))</f>
        <v>Jharkhand</v>
      </c>
      <c r="AE556" t="str">
        <f>TRIM(PROPER(I:I))</f>
        <v>Ranchi</v>
      </c>
      <c r="AF556" t="str">
        <f>TRIM(PROPER(J:J))</f>
        <v>Furniture</v>
      </c>
      <c r="AG556" t="str">
        <f>TRIM(PROPER(K:K))</f>
        <v>Furnishings</v>
      </c>
      <c r="AH556" t="str">
        <f>TRIM(PROPER(L:L))</f>
        <v>Prime Furnishings 892</v>
      </c>
      <c r="AI556" t="str">
        <f>TRIM(PROPER(M:M))</f>
        <v>Standard Class</v>
      </c>
      <c r="AJ556" s="5">
        <f>IF(OR(P556&lt;0,P556&gt;0.5),"invalid",P556)</f>
        <v>0.05</v>
      </c>
      <c r="AK556" s="6">
        <f>IFERROR(N556*O556*(1-AJ556), "NA")</f>
        <v>4070.636</v>
      </c>
      <c r="AL556" s="6">
        <f>IFERROR(AK556-R556,"NA")</f>
        <v>1239.0160000000001</v>
      </c>
      <c r="AM556" s="5">
        <f t="shared" si="40"/>
        <v>0.30437897173807732</v>
      </c>
      <c r="AN556" t="str">
        <v>12-10-24</v>
      </c>
      <c r="AO556" t="str">
        <v>17-10-24</v>
      </c>
      <c r="AP556" t="str">
        <f t="shared" si="41"/>
        <v>October</v>
      </c>
      <c r="AQ556" t="str">
        <f t="shared" si="42"/>
        <v>2024</v>
      </c>
      <c r="AR556" t="str">
        <f t="shared" si="43"/>
        <v xml:space="preserve"> </v>
      </c>
      <c r="AS556">
        <f t="shared" si="44"/>
        <v>5</v>
      </c>
      <c r="AT556" t="str">
        <f>IF(COUNTIFS( $A:$A,A556,$B:$B,B556,$C:$C,C556,$D:$D,D556,$E:$E,E556,$F:$F,F556,$G:$G,G556,$H:$H,H556,$I:$I,I556,$J:$J,J556,$K:$K,K556,$L:$L,L556,$M:$M,M556,$T:$T,T556,$U:$U,U556,$W:$W,W556,$Z:$Z,Z556,$AA:$AA,AA556,$AB:$AB,AB556,$AC:$AC,AC556,$AD:$AD,AD556,$AE:$AE,AE556,$AF:$AF,AF556,$AG:$AG,AG556,$AH:$AH,AH556,$AI:$AI,AI556)&gt;1,"Duplicate","Unique")</f>
        <v>Unique</v>
      </c>
    </row>
    <row r="557" spans="1:46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  <c r="W557" t="s">
        <v>2674</v>
      </c>
      <c r="Z557" t="s">
        <v>2676</v>
      </c>
      <c r="AA557" t="str">
        <v>Ananya Rao</v>
      </c>
      <c r="AB557" t="str">
        <f>TRIM(PROPER(F:F))</f>
        <v>Small Business</v>
      </c>
      <c r="AC557" t="str">
        <f>TRIM(PROPER(G:G))</f>
        <v>South</v>
      </c>
      <c r="AD557" t="str">
        <f>TRIM(PROPER(H:H))</f>
        <v>Telangana</v>
      </c>
      <c r="AE557" t="str">
        <f>TRIM(PROPER(I:I))</f>
        <v>Hyderabad</v>
      </c>
      <c r="AF557" t="str">
        <f>TRIM(PROPER(J:J))</f>
        <v>Office Supplies</v>
      </c>
      <c r="AG557" t="str">
        <f>TRIM(PROPER(K:K))</f>
        <v>Storage</v>
      </c>
      <c r="AH557" t="str">
        <f>TRIM(PROPER(L:L))</f>
        <v>Prime Storage 689</v>
      </c>
      <c r="AI557" t="str">
        <f>TRIM(PROPER(M:M))</f>
        <v>Standard Class</v>
      </c>
      <c r="AJ557" s="5">
        <f>IF(OR(P557&lt;0,P557&gt;0.5),"invalid",P557)</f>
        <v>0.05</v>
      </c>
      <c r="AK557" s="6">
        <f>IFERROR(N557*O557*(1-AJ557), "NA")</f>
        <v>5943.9599999999991</v>
      </c>
      <c r="AL557" s="6">
        <f>IFERROR(AK557-R557,"NA")</f>
        <v>2339.8199999999993</v>
      </c>
      <c r="AM557" s="5">
        <f t="shared" si="40"/>
        <v>0.39364665980255581</v>
      </c>
      <c r="AN557" t="str">
        <v>04-02-25</v>
      </c>
      <c r="AO557" t="str">
        <v>10-02-25</v>
      </c>
      <c r="AP557" t="str">
        <f t="shared" si="41"/>
        <v>February</v>
      </c>
      <c r="AQ557" t="str">
        <f t="shared" si="42"/>
        <v>2025</v>
      </c>
      <c r="AR557" t="str">
        <f t="shared" si="43"/>
        <v xml:space="preserve"> </v>
      </c>
      <c r="AS557">
        <f t="shared" si="44"/>
        <v>6</v>
      </c>
      <c r="AT557" t="str">
        <f>IF(COUNTIFS( $A:$A,A557,$B:$B,B557,$C:$C,C557,$D:$D,D557,$E:$E,E557,$F:$F,F557,$G:$G,G557,$H:$H,H557,$I:$I,I557,$J:$J,J557,$K:$K,K557,$L:$L,L557,$M:$M,M557,$T:$T,T557,$U:$U,U557,$W:$W,W557,$Z:$Z,Z557,$AA:$AA,AA557,$AB:$AB,AB557,$AC:$AC,AC557,$AD:$AD,AD557,$AE:$AE,AE557,$AF:$AF,AF557,$AG:$AG,AG557,$AH:$AH,AH557,$AI:$AI,AI557)&gt;1,"Duplicate","Unique")</f>
        <v>Unique</v>
      </c>
    </row>
    <row r="558" spans="1:46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  <c r="W558" t="s">
        <v>2678</v>
      </c>
      <c r="Z558" t="s">
        <v>2679</v>
      </c>
      <c r="AA558" t="str">
        <v>Neha Gupta</v>
      </c>
      <c r="AB558" t="str">
        <f>TRIM(PROPER(F:F))</f>
        <v>Consumer</v>
      </c>
      <c r="AC558" t="str">
        <f>TRIM(PROPER(G:G))</f>
        <v>North</v>
      </c>
      <c r="AD558" t="str">
        <f>TRIM(PROPER(H:H))</f>
        <v>Haryana</v>
      </c>
      <c r="AE558" t="str">
        <f>TRIM(PROPER(I:I))</f>
        <v>Gurugram</v>
      </c>
      <c r="AF558" t="str">
        <f>TRIM(PROPER(J:J))</f>
        <v>Furniture</v>
      </c>
      <c r="AG558" t="str">
        <f>TRIM(PROPER(K:K))</f>
        <v>Tables</v>
      </c>
      <c r="AH558" t="str">
        <f>TRIM(PROPER(L:L))</f>
        <v>Classic Tables 769</v>
      </c>
      <c r="AI558" t="str">
        <f>TRIM(PROPER(M:M))</f>
        <v>First Class</v>
      </c>
      <c r="AJ558" s="5">
        <f>IF(OR(P558&lt;0,P558&gt;0.5),"invalid",P558)</f>
        <v>0</v>
      </c>
      <c r="AK558" s="6">
        <f>IFERROR(N558*O558*(1-AJ558), "NA")</f>
        <v>4426.66</v>
      </c>
      <c r="AL558" s="6">
        <f>IFERROR(AK558-R558,"NA")</f>
        <v>1391.46</v>
      </c>
      <c r="AM558" s="5">
        <f t="shared" si="40"/>
        <v>0.31433631677156143</v>
      </c>
      <c r="AN558" t="str">
        <v>23-06-24</v>
      </c>
      <c r="AO558" t="str">
        <v>29-06-24</v>
      </c>
      <c r="AP558" t="str">
        <f t="shared" si="41"/>
        <v>June</v>
      </c>
      <c r="AQ558" t="str">
        <f t="shared" si="42"/>
        <v>2024</v>
      </c>
      <c r="AR558" t="str">
        <f t="shared" si="43"/>
        <v xml:space="preserve"> </v>
      </c>
      <c r="AS558">
        <f t="shared" si="44"/>
        <v>6</v>
      </c>
      <c r="AT558" t="str">
        <f>IF(COUNTIFS( $A:$A,A558,$B:$B,B558,$C:$C,C558,$D:$D,D558,$E:$E,E558,$F:$F,F558,$G:$G,G558,$H:$H,H558,$I:$I,I558,$J:$J,J558,$K:$K,K558,$L:$L,L558,$M:$M,M558,$T:$T,T558,$U:$U,U558,$W:$W,W558,$Z:$Z,Z558,$AA:$AA,AA558,$AB:$AB,AB558,$AC:$AC,AC558,$AD:$AD,AD558,$AE:$AE,AE558,$AF:$AF,AF558,$AG:$AG,AG558,$AH:$AH,AH558,$AI:$AI,AI558)&gt;1,"Duplicate","Unique")</f>
        <v>Unique</v>
      </c>
    </row>
    <row r="559" spans="1:46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  <c r="W559" t="s">
        <v>2681</v>
      </c>
      <c r="Z559" t="s">
        <v>2684</v>
      </c>
      <c r="AA559" t="str">
        <v>Vikram Iyer</v>
      </c>
      <c r="AB559" t="str">
        <f>TRIM(PROPER(F:F))</f>
        <v>Home Office</v>
      </c>
      <c r="AC559" t="str">
        <f>TRIM(PROPER(G:G))</f>
        <v>North</v>
      </c>
      <c r="AD559" t="str">
        <f>TRIM(PROPER(H:H))</f>
        <v>Haryana</v>
      </c>
      <c r="AE559" t="str">
        <f>TRIM(PROPER(I:I))</f>
        <v>Gurugram</v>
      </c>
      <c r="AF559" t="str">
        <f>TRIM(PROPER(J:J))</f>
        <v>Technology</v>
      </c>
      <c r="AG559" t="str">
        <f>TRIM(PROPER(K:K))</f>
        <v>Phones</v>
      </c>
      <c r="AH559" t="str">
        <f>TRIM(PROPER(L:L))</f>
        <v>Prime Phones 503</v>
      </c>
      <c r="AI559" t="str">
        <f>TRIM(PROPER(M:M))</f>
        <v>First Class</v>
      </c>
      <c r="AJ559" s="5">
        <f>IF(OR(P559&lt;0,P559&gt;0.5),"invalid",P559)</f>
        <v>0.05</v>
      </c>
      <c r="AK559" s="6">
        <f>IFERROR(N559*O559*(1-AJ559), "NA")</f>
        <v>32228.882999999998</v>
      </c>
      <c r="AL559" s="6">
        <f>IFERROR(AK559-R559,"NA")</f>
        <v>7257.5229999999974</v>
      </c>
      <c r="AM559" s="5">
        <f t="shared" si="40"/>
        <v>0.22518692317074712</v>
      </c>
      <c r="AN559" t="str">
        <v>08-05-24</v>
      </c>
      <c r="AO559" t="str">
        <v>14-05-24</v>
      </c>
      <c r="AP559" t="str">
        <f t="shared" si="41"/>
        <v>May</v>
      </c>
      <c r="AQ559" t="str">
        <f t="shared" si="42"/>
        <v>2024</v>
      </c>
      <c r="AR559" t="str">
        <f t="shared" si="43"/>
        <v xml:space="preserve"> </v>
      </c>
      <c r="AS559">
        <f t="shared" si="44"/>
        <v>6</v>
      </c>
      <c r="AT559" t="str">
        <f>IF(COUNTIFS( $A:$A,A559,$B:$B,B559,$C:$C,C559,$D:$D,D559,$E:$E,E559,$F:$F,F559,$G:$G,G559,$H:$H,H559,$I:$I,I559,$J:$J,J559,$K:$K,K559,$L:$L,L559,$M:$M,M559,$T:$T,T559,$U:$U,U559,$W:$W,W559,$Z:$Z,Z559,$AA:$AA,AA559,$AB:$AB,AB559,$AC:$AC,AC559,$AD:$AD,AD559,$AE:$AE,AE559,$AF:$AF,AF559,$AG:$AG,AG559,$AH:$AH,AH559,$AI:$AI,AI559)&gt;1,"Duplicate","Unique")</f>
        <v>Unique</v>
      </c>
    </row>
    <row r="560" spans="1:46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  <c r="W560" t="s">
        <v>2686</v>
      </c>
      <c r="Z560" t="s">
        <v>2689</v>
      </c>
      <c r="AA560" t="str">
        <v>Aditi Sen</v>
      </c>
      <c r="AB560" t="str">
        <f>TRIM(PROPER(F:F))</f>
        <v>Corporate</v>
      </c>
      <c r="AC560" t="str">
        <f>TRIM(PROPER(G:G))</f>
        <v>North</v>
      </c>
      <c r="AD560" t="str">
        <f>TRIM(PROPER(H:H))</f>
        <v>Punjab</v>
      </c>
      <c r="AE560" t="str">
        <f>TRIM(PROPER(I:I))</f>
        <v>Ludhiana</v>
      </c>
      <c r="AF560" t="str">
        <f>TRIM(PROPER(J:J))</f>
        <v>Technology</v>
      </c>
      <c r="AG560" t="str">
        <f>TRIM(PROPER(K:K))</f>
        <v>Machines</v>
      </c>
      <c r="AH560" t="str">
        <f>TRIM(PROPER(L:L))</f>
        <v>Basic Machines 136</v>
      </c>
      <c r="AI560" t="str">
        <f>TRIM(PROPER(M:M))</f>
        <v>First Class</v>
      </c>
      <c r="AJ560" s="5">
        <f>IF(OR(P560&lt;0,P560&gt;0.5),"invalid",P560)</f>
        <v>0.2</v>
      </c>
      <c r="AK560" s="6">
        <f>IFERROR(N560*O560*(1-AJ560), "NA")</f>
        <v>19711.68</v>
      </c>
      <c r="AL560" s="6">
        <f>IFERROR(AK560-R560,"NA")</f>
        <v>5249.880000000001</v>
      </c>
      <c r="AM560" s="5">
        <f t="shared" si="40"/>
        <v>0.26633346320557155</v>
      </c>
      <c r="AN560" t="str">
        <v>04-09-25</v>
      </c>
      <c r="AO560" t="str">
        <v>09-04-25</v>
      </c>
      <c r="AP560" t="str">
        <f t="shared" si="41"/>
        <v>September</v>
      </c>
      <c r="AQ560" t="str">
        <f t="shared" si="42"/>
        <v>2025</v>
      </c>
      <c r="AR560" t="str">
        <f t="shared" si="43"/>
        <v xml:space="preserve"> </v>
      </c>
      <c r="AS560">
        <f t="shared" si="44"/>
        <v>-148</v>
      </c>
      <c r="AT560" t="str">
        <f>IF(COUNTIFS( $A:$A,A560,$B:$B,B560,$C:$C,C560,$D:$D,D560,$E:$E,E560,$F:$F,F560,$G:$G,G560,$H:$H,H560,$I:$I,I560,$J:$J,J560,$K:$K,K560,$L:$L,L560,$M:$M,M560,$T:$T,T560,$U:$U,U560,$W:$W,W560,$Z:$Z,Z560,$AA:$AA,AA560,$AB:$AB,AB560,$AC:$AC,AC560,$AD:$AD,AD560,$AE:$AE,AE560,$AF:$AF,AF560,$AG:$AG,AG560,$AH:$AH,AH560,$AI:$AI,AI560)&gt;1,"Duplicate","Unique")</f>
        <v>Unique</v>
      </c>
    </row>
    <row r="561" spans="1:46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  <c r="W561" t="s">
        <v>2691</v>
      </c>
      <c r="Z561" t="s">
        <v>2693</v>
      </c>
      <c r="AA561" t="str">
        <v>Diya Patel</v>
      </c>
      <c r="AB561" t="str">
        <f>TRIM(PROPER(F:F))</f>
        <v>Corporate</v>
      </c>
      <c r="AC561" t="str">
        <f>TRIM(PROPER(G:G))</f>
        <v>East</v>
      </c>
      <c r="AD561" t="str">
        <f>TRIM(PROPER(H:H))</f>
        <v>Bihar</v>
      </c>
      <c r="AE561" t="str">
        <f>TRIM(PROPER(I:I))</f>
        <v>Patna</v>
      </c>
      <c r="AF561" t="str">
        <f>TRIM(PROPER(J:J))</f>
        <v>Technology</v>
      </c>
      <c r="AG561" t="str">
        <f>TRIM(PROPER(K:K))</f>
        <v>Copiers</v>
      </c>
      <c r="AH561" t="str">
        <f>TRIM(PROPER(L:L))</f>
        <v>Basic Copiers 512</v>
      </c>
      <c r="AI561" t="str">
        <f>TRIM(PROPER(M:M))</f>
        <v>Second Class</v>
      </c>
      <c r="AJ561" s="5">
        <f>IF(OR(P561&lt;0,P561&gt;0.5),"invalid",P561)</f>
        <v>0.1</v>
      </c>
      <c r="AK561" s="6">
        <f>IFERROR(N561*O561*(1-AJ561), "NA")</f>
        <v>14750.190000000002</v>
      </c>
      <c r="AL561" s="6">
        <f>IFERROR(AK561-R561,"NA")</f>
        <v>5267.6100000000024</v>
      </c>
      <c r="AM561" s="5">
        <f t="shared" si="40"/>
        <v>0.35712150148574368</v>
      </c>
      <c r="AN561" t="str">
        <v>30-09-25</v>
      </c>
      <c r="AO561" t="str">
        <v>07-10-25</v>
      </c>
      <c r="AP561" t="str">
        <f t="shared" si="41"/>
        <v>September</v>
      </c>
      <c r="AQ561" t="str">
        <f t="shared" si="42"/>
        <v>2025</v>
      </c>
      <c r="AR561" t="str">
        <f t="shared" si="43"/>
        <v>anomaly</v>
      </c>
      <c r="AS561">
        <f t="shared" si="44"/>
        <v>7</v>
      </c>
      <c r="AT561" t="str">
        <f>IF(COUNTIFS( $A:$A,A561,$B:$B,B561,$C:$C,C561,$D:$D,D561,$E:$E,E561,$F:$F,F561,$G:$G,G561,$H:$H,H561,$I:$I,I561,$J:$J,J561,$K:$K,K561,$L:$L,L561,$M:$M,M561,$T:$T,T561,$U:$U,U561,$W:$W,W561,$Z:$Z,Z561,$AA:$AA,AA561,$AB:$AB,AB561,$AC:$AC,AC561,$AD:$AD,AD561,$AE:$AE,AE561,$AF:$AF,AF561,$AG:$AG,AG561,$AH:$AH,AH561,$AI:$AI,AI561)&gt;1,"Duplicate","Unique")</f>
        <v>Unique</v>
      </c>
    </row>
    <row r="562" spans="1:46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  <c r="W562" t="s">
        <v>2695</v>
      </c>
      <c r="Z562" t="s">
        <v>2697</v>
      </c>
      <c r="AA562" t="str">
        <v>Arjun Bose</v>
      </c>
      <c r="AB562" t="str">
        <f>TRIM(PROPER(F:F))</f>
        <v>Consumer</v>
      </c>
      <c r="AC562" t="str">
        <f>TRIM(PROPER(G:G))</f>
        <v>West</v>
      </c>
      <c r="AD562" t="str">
        <f>TRIM(PROPER(H:H))</f>
        <v>Goa</v>
      </c>
      <c r="AE562" t="str">
        <f>TRIM(PROPER(I:I))</f>
        <v>Panaji</v>
      </c>
      <c r="AF562" t="str">
        <f>TRIM(PROPER(J:J))</f>
        <v>Office Supplies</v>
      </c>
      <c r="AG562" t="str">
        <f>TRIM(PROPER(K:K))</f>
        <v>Storage</v>
      </c>
      <c r="AH562" t="str">
        <f>TRIM(PROPER(L:L))</f>
        <v>Smart Storage 767</v>
      </c>
      <c r="AI562" t="str">
        <f>TRIM(PROPER(M:M))</f>
        <v>Standard Class</v>
      </c>
      <c r="AJ562" s="5">
        <f>IF(OR(P562&lt;0,P562&gt;0.5),"invalid",P562)</f>
        <v>0</v>
      </c>
      <c r="AK562" s="6">
        <f>IFERROR(N562*O562*(1-AJ562), "NA")</f>
        <v>1130.1199999999999</v>
      </c>
      <c r="AL562" s="6">
        <f>IFERROR(AK562-R562,"NA")</f>
        <v>281.49999999999989</v>
      </c>
      <c r="AM562" s="5">
        <f t="shared" si="40"/>
        <v>0.249088592361873</v>
      </c>
      <c r="AN562" t="str">
        <v>16-01-24</v>
      </c>
      <c r="AO562" t="str">
        <v>22-01-24</v>
      </c>
      <c r="AP562" t="str">
        <f t="shared" si="41"/>
        <v>January</v>
      </c>
      <c r="AQ562" t="str">
        <f t="shared" si="42"/>
        <v>2024</v>
      </c>
      <c r="AR562" t="str">
        <f t="shared" si="43"/>
        <v xml:space="preserve"> </v>
      </c>
      <c r="AS562">
        <f t="shared" si="44"/>
        <v>6</v>
      </c>
      <c r="AT562" t="str">
        <f>IF(COUNTIFS( $A:$A,A562,$B:$B,B562,$C:$C,C562,$D:$D,D562,$E:$E,E562,$F:$F,F562,$G:$G,G562,$H:$H,H562,$I:$I,I562,$J:$J,J562,$K:$K,K562,$L:$L,L562,$M:$M,M562,$T:$T,T562,$U:$U,U562,$W:$W,W562,$Z:$Z,Z562,$AA:$AA,AA562,$AB:$AB,AB562,$AC:$AC,AC562,$AD:$AD,AD562,$AE:$AE,AE562,$AF:$AF,AF562,$AG:$AG,AG562,$AH:$AH,AH562,$AI:$AI,AI562)&gt;1,"Duplicate","Unique")</f>
        <v>Unique</v>
      </c>
    </row>
    <row r="563" spans="1:46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  <c r="W563" t="s">
        <v>2699</v>
      </c>
      <c r="Z563" t="s">
        <v>2701</v>
      </c>
      <c r="AA563" t="str">
        <v>Aditi Sen</v>
      </c>
      <c r="AB563" t="str">
        <f>TRIM(PROPER(F:F))</f>
        <v>Consumer</v>
      </c>
      <c r="AC563" t="str">
        <f>TRIM(PROPER(G:G))</f>
        <v>North</v>
      </c>
      <c r="AD563" t="str">
        <f>TRIM(PROPER(H:H))</f>
        <v>Punjab</v>
      </c>
      <c r="AE563" t="str">
        <f>TRIM(PROPER(I:I))</f>
        <v>Ludhiana</v>
      </c>
      <c r="AF563" t="str">
        <f>TRIM(PROPER(J:J))</f>
        <v>Technology</v>
      </c>
      <c r="AG563" t="str">
        <f>TRIM(PROPER(K:K))</f>
        <v>Copiers</v>
      </c>
      <c r="AH563" t="str">
        <f>TRIM(PROPER(L:L))</f>
        <v>Eco Copiers 954</v>
      </c>
      <c r="AI563" t="str">
        <f>TRIM(PROPER(M:M))</f>
        <v>First Class</v>
      </c>
      <c r="AJ563" s="5">
        <f>IF(OR(P563&lt;0,P563&gt;0.5),"invalid",P563)</f>
        <v>0</v>
      </c>
      <c r="AK563" s="6">
        <f>IFERROR(N563*O563*(1-AJ563), "NA")</f>
        <v>2900.88</v>
      </c>
      <c r="AL563" s="6">
        <f>IFERROR(AK563-R563,"NA")</f>
        <v>509.0300000000002</v>
      </c>
      <c r="AM563" s="5">
        <f t="shared" si="40"/>
        <v>0.17547433882132324</v>
      </c>
      <c r="AN563" t="str">
        <v>14-07-25</v>
      </c>
      <c r="AO563" t="str">
        <v>18-07-25</v>
      </c>
      <c r="AP563" t="str">
        <f t="shared" si="41"/>
        <v>July</v>
      </c>
      <c r="AQ563" t="str">
        <f t="shared" si="42"/>
        <v>2025</v>
      </c>
      <c r="AR563" t="str">
        <f t="shared" si="43"/>
        <v xml:space="preserve"> </v>
      </c>
      <c r="AS563">
        <f t="shared" si="44"/>
        <v>4</v>
      </c>
      <c r="AT563" t="str">
        <f>IF(COUNTIFS( $A:$A,A563,$B:$B,B563,$C:$C,C563,$D:$D,D563,$E:$E,E563,$F:$F,F563,$G:$G,G563,$H:$H,H563,$I:$I,I563,$J:$J,J563,$K:$K,K563,$L:$L,L563,$M:$M,M563,$T:$T,T563,$U:$U,U563,$W:$W,W563,$Z:$Z,Z563,$AA:$AA,AA563,$AB:$AB,AB563,$AC:$AC,AC563,$AD:$AD,AD563,$AE:$AE,AE563,$AF:$AF,AF563,$AG:$AG,AG563,$AH:$AH,AH563,$AI:$AI,AI563)&gt;1,"Duplicate","Unique")</f>
        <v>Unique</v>
      </c>
    </row>
    <row r="564" spans="1:46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  <c r="W564" t="s">
        <v>2703</v>
      </c>
      <c r="Z564" t="s">
        <v>2705</v>
      </c>
      <c r="AA564" t="str">
        <v>Karan Malhotra</v>
      </c>
      <c r="AB564" t="str">
        <f>TRIM(PROPER(F:F))</f>
        <v>Consumer</v>
      </c>
      <c r="AC564" t="str">
        <f>TRIM(PROPER(G:G))</f>
        <v>North</v>
      </c>
      <c r="AD564" t="str">
        <f>TRIM(PROPER(H:H))</f>
        <v>Punjab</v>
      </c>
      <c r="AE564" t="str">
        <f>TRIM(PROPER(I:I))</f>
        <v>Ludhiana</v>
      </c>
      <c r="AF564" t="str">
        <f>TRIM(PROPER(J:J))</f>
        <v>Office Supplies</v>
      </c>
      <c r="AG564" t="str">
        <f>TRIM(PROPER(K:K))</f>
        <v>Binders</v>
      </c>
      <c r="AH564" t="str">
        <f>TRIM(PROPER(L:L))</f>
        <v>Elite Binders 143</v>
      </c>
      <c r="AI564" t="str">
        <f>TRIM(PROPER(M:M))</f>
        <v>Same Day</v>
      </c>
      <c r="AJ564" s="5">
        <f>IF(OR(P564&lt;0,P564&gt;0.5),"invalid",P564)</f>
        <v>0.2</v>
      </c>
      <c r="AK564" s="6">
        <f>IFERROR(N564*O564*(1-AJ564), "NA")</f>
        <v>680.62400000000014</v>
      </c>
      <c r="AL564" s="6">
        <f>IFERROR(AK564-R564,"NA")</f>
        <v>217.13400000000013</v>
      </c>
      <c r="AM564" s="5">
        <f t="shared" si="40"/>
        <v>0.31902195632243363</v>
      </c>
      <c r="AN564" t="str">
        <v>10-05-24</v>
      </c>
      <c r="AO564" t="str">
        <v>16-05-24</v>
      </c>
      <c r="AP564" t="str">
        <f t="shared" si="41"/>
        <v>May</v>
      </c>
      <c r="AQ564" t="str">
        <f t="shared" si="42"/>
        <v>2024</v>
      </c>
      <c r="AR564" t="str">
        <f t="shared" si="43"/>
        <v xml:space="preserve"> </v>
      </c>
      <c r="AS564">
        <f t="shared" si="44"/>
        <v>6</v>
      </c>
      <c r="AT564" t="str">
        <f>IF(COUNTIFS( $A:$A,A564,$B:$B,B564,$C:$C,C564,$D:$D,D564,$E:$E,E564,$F:$F,F564,$G:$G,G564,$H:$H,H564,$I:$I,I564,$J:$J,J564,$K:$K,K564,$L:$L,L564,$M:$M,M564,$T:$T,T564,$U:$U,U564,$W:$W,W564,$Z:$Z,Z564,$AA:$AA,AA564,$AB:$AB,AB564,$AC:$AC,AC564,$AD:$AD,AD564,$AE:$AE,AE564,$AF:$AF,AF564,$AG:$AG,AG564,$AH:$AH,AH564,$AI:$AI,AI564)&gt;1,"Duplicate","Unique")</f>
        <v>Unique</v>
      </c>
    </row>
    <row r="565" spans="1:46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  <c r="W565" t="s">
        <v>2707</v>
      </c>
      <c r="Z565" t="s">
        <v>2709</v>
      </c>
      <c r="AA565" t="str">
        <v>Arjun Bose</v>
      </c>
      <c r="AB565" t="str">
        <f>TRIM(PROPER(F:F))</f>
        <v>Corporate</v>
      </c>
      <c r="AC565" t="str">
        <f>TRIM(PROPER(G:G))</f>
        <v>West</v>
      </c>
      <c r="AD565" t="str">
        <f>TRIM(PROPER(H:H))</f>
        <v>Goa</v>
      </c>
      <c r="AE565" t="str">
        <f>TRIM(PROPER(I:I))</f>
        <v>Panaji</v>
      </c>
      <c r="AF565" t="str">
        <f>TRIM(PROPER(J:J))</f>
        <v>Furniture</v>
      </c>
      <c r="AG565" t="str">
        <f>TRIM(PROPER(K:K))</f>
        <v>Tables</v>
      </c>
      <c r="AH565" t="str">
        <f>TRIM(PROPER(L:L))</f>
        <v>Classic Tables 560</v>
      </c>
      <c r="AI565" t="str">
        <f>TRIM(PROPER(M:M))</f>
        <v>Standard Class</v>
      </c>
      <c r="AJ565" s="5">
        <f>IF(OR(P565&lt;0,P565&gt;0.5),"invalid",P565)</f>
        <v>0.2</v>
      </c>
      <c r="AK565" s="6">
        <f>IFERROR(N565*O565*(1-AJ565), "NA")</f>
        <v>5694.9840000000004</v>
      </c>
      <c r="AL565" s="6">
        <f>IFERROR(AK565-R565,"NA")</f>
        <v>1076.6540000000005</v>
      </c>
      <c r="AM565" s="5">
        <f t="shared" si="40"/>
        <v>0.1890530333360024</v>
      </c>
      <c r="AN565" t="str">
        <v>05-06-24</v>
      </c>
      <c r="AO565" t="str">
        <v>12-05-24</v>
      </c>
      <c r="AP565" t="str">
        <f t="shared" si="41"/>
        <v>June</v>
      </c>
      <c r="AQ565" t="str">
        <f t="shared" si="42"/>
        <v>2024</v>
      </c>
      <c r="AR565" t="str">
        <f t="shared" si="43"/>
        <v xml:space="preserve"> </v>
      </c>
      <c r="AS565">
        <f t="shared" si="44"/>
        <v>-24</v>
      </c>
      <c r="AT565" t="str">
        <f>IF(COUNTIFS( $A:$A,A565,$B:$B,B565,$C:$C,C565,$D:$D,D565,$E:$E,E565,$F:$F,F565,$G:$G,G565,$H:$H,H565,$I:$I,I565,$J:$J,J565,$K:$K,K565,$L:$L,L565,$M:$M,M565,$T:$T,T565,$U:$U,U565,$W:$W,W565,$Z:$Z,Z565,$AA:$AA,AA565,$AB:$AB,AB565,$AC:$AC,AC565,$AD:$AD,AD565,$AE:$AE,AE565,$AF:$AF,AF565,$AG:$AG,AG565,$AH:$AH,AH565,$AI:$AI,AI565)&gt;1,"Duplicate","Unique")</f>
        <v>Unique</v>
      </c>
    </row>
    <row r="566" spans="1:46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  <c r="W566" t="s">
        <v>2711</v>
      </c>
      <c r="Z566" t="s">
        <v>2713</v>
      </c>
      <c r="AA566" t="str">
        <v>Sneha Kapoor</v>
      </c>
      <c r="AB566" t="str">
        <f>TRIM(PROPER(F:F))</f>
        <v>Corporate</v>
      </c>
      <c r="AC566" t="str">
        <f>TRIM(PROPER(G:G))</f>
        <v>South</v>
      </c>
      <c r="AD566" t="str">
        <f>TRIM(PROPER(H:H))</f>
        <v>Andhra Pradesh</v>
      </c>
      <c r="AE566" t="str">
        <f>TRIM(PROPER(I:I))</f>
        <v>Vijayawada</v>
      </c>
      <c r="AF566" t="str">
        <f>TRIM(PROPER(J:J))</f>
        <v>Furniture</v>
      </c>
      <c r="AG566" t="str">
        <f>TRIM(PROPER(K:K))</f>
        <v>Tables</v>
      </c>
      <c r="AH566" t="str">
        <f>TRIM(PROPER(L:L))</f>
        <v>Basic Tables 759</v>
      </c>
      <c r="AI566" t="str">
        <f>TRIM(PROPER(M:M))</f>
        <v>First Class</v>
      </c>
      <c r="AJ566" s="5">
        <f>IF(OR(P566&lt;0,P566&gt;0.5),"invalid",P566)</f>
        <v>0.2</v>
      </c>
      <c r="AK566" s="6">
        <f>IFERROR(N566*O566*(1-AJ566), "NA")</f>
        <v>1474.1440000000002</v>
      </c>
      <c r="AL566" s="6">
        <f>IFERROR(AK566-R566,"NA")</f>
        <v>505.6840000000002</v>
      </c>
      <c r="AM566" s="5">
        <f t="shared" si="40"/>
        <v>0.34303568715132315</v>
      </c>
      <c r="AN566" t="str">
        <v>11-10-24</v>
      </c>
      <c r="AO566" t="str">
        <v>14-11-24</v>
      </c>
      <c r="AP566" t="str">
        <f t="shared" si="41"/>
        <v>October</v>
      </c>
      <c r="AQ566" t="str">
        <f t="shared" si="42"/>
        <v>2024</v>
      </c>
      <c r="AR566" t="str">
        <f t="shared" si="43"/>
        <v xml:space="preserve"> </v>
      </c>
      <c r="AS566">
        <f t="shared" si="44"/>
        <v>34</v>
      </c>
      <c r="AT566" t="str">
        <f>IF(COUNTIFS( $A:$A,A566,$B:$B,B566,$C:$C,C566,$D:$D,D566,$E:$E,E566,$F:$F,F566,$G:$G,G566,$H:$H,H566,$I:$I,I566,$J:$J,J566,$K:$K,K566,$L:$L,L566,$M:$M,M566,$T:$T,T566,$U:$U,U566,$W:$W,W566,$Z:$Z,Z566,$AA:$AA,AA566,$AB:$AB,AB566,$AC:$AC,AC566,$AD:$AD,AD566,$AE:$AE,AE566,$AF:$AF,AF566,$AG:$AG,AG566,$AH:$AH,AH566,$AI:$AI,AI566)&gt;1,"Duplicate","Unique")</f>
        <v>Unique</v>
      </c>
    </row>
    <row r="567" spans="1:46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  <c r="W567" t="s">
        <v>2715</v>
      </c>
      <c r="Z567" t="s">
        <v>2717</v>
      </c>
      <c r="AA567" t="str">
        <v>Mira Das</v>
      </c>
      <c r="AB567" t="str">
        <f>TRIM(PROPER(F:F))</f>
        <v>Corporate</v>
      </c>
      <c r="AC567" t="str">
        <f>TRIM(PROPER(G:G))</f>
        <v>North</v>
      </c>
      <c r="AD567" t="str">
        <f>TRIM(PROPER(H:H))</f>
        <v>Delhi</v>
      </c>
      <c r="AE567" t="str">
        <f>TRIM(PROPER(I:I))</f>
        <v>New Delhi</v>
      </c>
      <c r="AF567" t="str">
        <f>TRIM(PROPER(J:J))</f>
        <v>Technology</v>
      </c>
      <c r="AG567" t="str">
        <f>TRIM(PROPER(K:K))</f>
        <v>Phones</v>
      </c>
      <c r="AH567" t="str">
        <f>TRIM(PROPER(L:L))</f>
        <v>Prime Phones 564</v>
      </c>
      <c r="AI567" t="str">
        <f>TRIM(PROPER(M:M))</f>
        <v>Standard Class</v>
      </c>
      <c r="AJ567" s="5">
        <f>IF(OR(P567&lt;0,P567&gt;0.5),"invalid",P567)</f>
        <v>0.2</v>
      </c>
      <c r="AK567" s="6">
        <f>IFERROR(N567*O567*(1-AJ567), "NA")</f>
        <v>9224.9279999999999</v>
      </c>
      <c r="AL567" s="6">
        <f>IFERROR(AK567-R567,"NA")</f>
        <v>2219.7280000000001</v>
      </c>
      <c r="AM567" s="5">
        <f t="shared" si="40"/>
        <v>0.24062279944081949</v>
      </c>
      <c r="AN567" t="str">
        <v>07-08-25</v>
      </c>
      <c r="AO567" t="str">
        <v>13-08-25</v>
      </c>
      <c r="AP567" t="str">
        <f t="shared" si="41"/>
        <v>August</v>
      </c>
      <c r="AQ567" t="str">
        <f t="shared" si="42"/>
        <v>2025</v>
      </c>
      <c r="AR567" t="str">
        <f t="shared" si="43"/>
        <v xml:space="preserve"> </v>
      </c>
      <c r="AS567">
        <f t="shared" si="44"/>
        <v>6</v>
      </c>
      <c r="AT567" t="str">
        <f>IF(COUNTIFS( $A:$A,A567,$B:$B,B567,$C:$C,C567,$D:$D,D567,$E:$E,E567,$F:$F,F567,$G:$G,G567,$H:$H,H567,$I:$I,I567,$J:$J,J567,$K:$K,K567,$L:$L,L567,$M:$M,M567,$T:$T,T567,$U:$U,U567,$W:$W,W567,$Z:$Z,Z567,$AA:$AA,AA567,$AB:$AB,AB567,$AC:$AC,AC567,$AD:$AD,AD567,$AE:$AE,AE567,$AF:$AF,AF567,$AG:$AG,AG567,$AH:$AH,AH567,$AI:$AI,AI567)&gt;1,"Duplicate","Unique")</f>
        <v>Unique</v>
      </c>
    </row>
    <row r="568" spans="1:46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  <c r="W568" t="s">
        <v>2719</v>
      </c>
      <c r="Z568" t="s">
        <v>2721</v>
      </c>
      <c r="AA568" t="str">
        <v>Sneha Kapoor</v>
      </c>
      <c r="AB568" t="str">
        <f>TRIM(PROPER(F:F))</f>
        <v>Small Business</v>
      </c>
      <c r="AC568" t="str">
        <f>TRIM(PROPER(G:G))</f>
        <v>West</v>
      </c>
      <c r="AD568" t="str">
        <f>TRIM(PROPER(H:H))</f>
        <v>Maharashtra</v>
      </c>
      <c r="AE568" t="str">
        <f>TRIM(PROPER(I:I))</f>
        <v>Mumbai</v>
      </c>
      <c r="AF568" t="str">
        <f>TRIM(PROPER(J:J))</f>
        <v>Office Supplies</v>
      </c>
      <c r="AG568" t="str">
        <f>TRIM(PROPER(K:K))</f>
        <v>Paper</v>
      </c>
      <c r="AH568" t="str">
        <f>TRIM(PROPER(L:L))</f>
        <v>Smart Paper 807</v>
      </c>
      <c r="AI568" t="str">
        <f>TRIM(PROPER(M:M))</f>
        <v>Same Day</v>
      </c>
      <c r="AJ568" s="5">
        <f>IF(OR(P568&lt;0,P568&gt;0.5),"invalid",P568)</f>
        <v>0.1</v>
      </c>
      <c r="AK568" s="6">
        <f>IFERROR(N568*O568*(1-AJ568), "NA")</f>
        <v>4712.2020000000002</v>
      </c>
      <c r="AL568" s="6">
        <f>IFERROR(AK568-R568,"NA")</f>
        <v>860.29200000000037</v>
      </c>
      <c r="AM568" s="5">
        <f t="shared" si="40"/>
        <v>0.18256687637754077</v>
      </c>
      <c r="AN568" t="str">
        <v>11-08-24</v>
      </c>
      <c r="AO568" t="str">
        <v>19-08-24</v>
      </c>
      <c r="AP568" t="str">
        <f t="shared" si="41"/>
        <v>August</v>
      </c>
      <c r="AQ568" t="str">
        <f t="shared" si="42"/>
        <v>2024</v>
      </c>
      <c r="AR568" t="str">
        <f t="shared" si="43"/>
        <v xml:space="preserve"> </v>
      </c>
      <c r="AS568">
        <f t="shared" si="44"/>
        <v>8</v>
      </c>
      <c r="AT568" t="str">
        <f>IF(COUNTIFS( $A:$A,A568,$B:$B,B568,$C:$C,C568,$D:$D,D568,$E:$E,E568,$F:$F,F568,$G:$G,G568,$H:$H,H568,$I:$I,I568,$J:$J,J568,$K:$K,K568,$L:$L,L568,$M:$M,M568,$T:$T,T568,$U:$U,U568,$W:$W,W568,$Z:$Z,Z568,$AA:$AA,AA568,$AB:$AB,AB568,$AC:$AC,AC568,$AD:$AD,AD568,$AE:$AE,AE568,$AF:$AF,AF568,$AG:$AG,AG568,$AH:$AH,AH568,$AI:$AI,AI568)&gt;1,"Duplicate","Unique")</f>
        <v>Unique</v>
      </c>
    </row>
    <row r="569" spans="1:46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  <c r="W569" t="s">
        <v>2723</v>
      </c>
      <c r="Z569" t="s">
        <v>2726</v>
      </c>
      <c r="AA569" t="str">
        <v>Arjun Bose</v>
      </c>
      <c r="AB569" t="str">
        <f>TRIM(PROPER(F:F))</f>
        <v>Home Office</v>
      </c>
      <c r="AC569" t="str">
        <f>TRIM(PROPER(G:G))</f>
        <v>North</v>
      </c>
      <c r="AD569" t="str">
        <f>TRIM(PROPER(H:H))</f>
        <v>Uttar Pradesh</v>
      </c>
      <c r="AE569" t="str">
        <f>TRIM(PROPER(I:I))</f>
        <v>Noida</v>
      </c>
      <c r="AF569" t="str">
        <f>TRIM(PROPER(J:J))</f>
        <v>Furniture</v>
      </c>
      <c r="AG569" t="str">
        <f>TRIM(PROPER(K:K))</f>
        <v>Furnishings</v>
      </c>
      <c r="AH569" t="str">
        <f>TRIM(PROPER(L:L))</f>
        <v>Pro Furnishings 108</v>
      </c>
      <c r="AI569" t="str">
        <f>TRIM(PROPER(M:M))</f>
        <v>Same Day</v>
      </c>
      <c r="AJ569" s="5">
        <f>IF(OR(P569&lt;0,P569&gt;0.5),"invalid",P569)</f>
        <v>0.05</v>
      </c>
      <c r="AK569" s="6">
        <f>IFERROR(N569*O569*(1-AJ569), "NA")</f>
        <v>1305.357</v>
      </c>
      <c r="AL569" s="6">
        <f>IFERROR(AK569-R569,"NA")</f>
        <v>573.46699999999998</v>
      </c>
      <c r="AM569" s="5">
        <f t="shared" si="40"/>
        <v>0.4393181328939133</v>
      </c>
      <c r="AN569" t="str">
        <v>06-02-24</v>
      </c>
      <c r="AO569" t="str">
        <v>10-02-24</v>
      </c>
      <c r="AP569" t="str">
        <f t="shared" si="41"/>
        <v>February</v>
      </c>
      <c r="AQ569" t="str">
        <f t="shared" si="42"/>
        <v>2024</v>
      </c>
      <c r="AR569" t="str">
        <f t="shared" si="43"/>
        <v xml:space="preserve"> </v>
      </c>
      <c r="AS569">
        <f t="shared" si="44"/>
        <v>4</v>
      </c>
      <c r="AT569" t="str">
        <f>IF(COUNTIFS( $A:$A,A569,$B:$B,B569,$C:$C,C569,$D:$D,D569,$E:$E,E569,$F:$F,F569,$G:$G,G569,$H:$H,H569,$I:$I,I569,$J:$J,J569,$K:$K,K569,$L:$L,L569,$M:$M,M569,$T:$T,T569,$U:$U,U569,$W:$W,W569,$Z:$Z,Z569,$AA:$AA,AA569,$AB:$AB,AB569,$AC:$AC,AC569,$AD:$AD,AD569,$AE:$AE,AE569,$AF:$AF,AF569,$AG:$AG,AG569,$AH:$AH,AH569,$AI:$AI,AI569)&gt;1,"Duplicate","Unique")</f>
        <v>Unique</v>
      </c>
    </row>
    <row r="570" spans="1:46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  <c r="W570" t="s">
        <v>2727</v>
      </c>
      <c r="Z570" t="s">
        <v>2729</v>
      </c>
      <c r="AA570" t="str">
        <v>Kabir Singh</v>
      </c>
      <c r="AB570" t="str">
        <f>TRIM(PROPER(F:F))</f>
        <v>Corporate</v>
      </c>
      <c r="AC570" t="str">
        <f>TRIM(PROPER(G:G))</f>
        <v>North</v>
      </c>
      <c r="AD570" t="str">
        <f>TRIM(PROPER(H:H))</f>
        <v>Punjab</v>
      </c>
      <c r="AE570" t="str">
        <f>TRIM(PROPER(I:I))</f>
        <v>Ludhiana</v>
      </c>
      <c r="AF570" t="str">
        <f>TRIM(PROPER(J:J))</f>
        <v>Technology</v>
      </c>
      <c r="AG570" t="str">
        <f>TRIM(PROPER(K:K))</f>
        <v>Machines</v>
      </c>
      <c r="AH570" t="str">
        <f>TRIM(PROPER(L:L))</f>
        <v>Classic Machines 522</v>
      </c>
      <c r="AI570" t="str">
        <f>TRIM(PROPER(M:M))</f>
        <v>Same Day</v>
      </c>
      <c r="AJ570" s="5">
        <f>IF(OR(P570&lt;0,P570&gt;0.5),"invalid",P570)</f>
        <v>0.25</v>
      </c>
      <c r="AK570" s="6">
        <f>IFERROR(N570*O570*(1-AJ570), "NA")</f>
        <v>2854.7250000000004</v>
      </c>
      <c r="AL570" s="6">
        <f>IFERROR(AK570-R570,"NA")</f>
        <v>886.60500000000047</v>
      </c>
      <c r="AM570" s="5">
        <f t="shared" si="40"/>
        <v>0.31057457373302172</v>
      </c>
      <c r="AN570" t="str">
        <v>21-01-24</v>
      </c>
      <c r="AO570" t="str">
        <v>24-01-24</v>
      </c>
      <c r="AP570" t="str">
        <f t="shared" si="41"/>
        <v>January</v>
      </c>
      <c r="AQ570" t="str">
        <f t="shared" si="42"/>
        <v>2024</v>
      </c>
      <c r="AR570" t="str">
        <f t="shared" si="43"/>
        <v xml:space="preserve"> </v>
      </c>
      <c r="AS570">
        <f t="shared" si="44"/>
        <v>3</v>
      </c>
      <c r="AT570" t="str">
        <f>IF(COUNTIFS( $A:$A,A570,$B:$B,B570,$C:$C,C570,$D:$D,D570,$E:$E,E570,$F:$F,F570,$G:$G,G570,$H:$H,H570,$I:$I,I570,$J:$J,J570,$K:$K,K570,$L:$L,L570,$M:$M,M570,$T:$T,T570,$U:$U,U570,$W:$W,W570,$Z:$Z,Z570,$AA:$AA,AA570,$AB:$AB,AB570,$AC:$AC,AC570,$AD:$AD,AD570,$AE:$AE,AE570,$AF:$AF,AF570,$AG:$AG,AG570,$AH:$AH,AH570,$AI:$AI,AI570)&gt;1,"Duplicate","Unique")</f>
        <v>Unique</v>
      </c>
    </row>
    <row r="571" spans="1:46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  <c r="W571" t="s">
        <v>2731</v>
      </c>
      <c r="Z571" t="s">
        <v>2734</v>
      </c>
      <c r="AA571" t="str">
        <v>Rahul Verma</v>
      </c>
      <c r="AB571" t="str">
        <f>TRIM(PROPER(F:F))</f>
        <v>Home Office</v>
      </c>
      <c r="AC571" t="str">
        <f>TRIM(PROPER(G:G))</f>
        <v>West</v>
      </c>
      <c r="AD571" t="str">
        <f>TRIM(PROPER(H:H))</f>
        <v>Maharashtra</v>
      </c>
      <c r="AE571" t="str">
        <f>TRIM(PROPER(I:I))</f>
        <v>Mumbai</v>
      </c>
      <c r="AF571" t="str">
        <f>TRIM(PROPER(J:J))</f>
        <v>Furniture</v>
      </c>
      <c r="AG571" t="str">
        <f>TRIM(PROPER(K:K))</f>
        <v>Furnishings</v>
      </c>
      <c r="AH571" t="str">
        <f>TRIM(PROPER(L:L))</f>
        <v>Elite Furnishings 822</v>
      </c>
      <c r="AI571" t="str">
        <f>TRIM(PROPER(M:M))</f>
        <v>Standard Class</v>
      </c>
      <c r="AJ571" s="5">
        <f>IF(OR(P571&lt;0,P571&gt;0.5),"invalid",P571)</f>
        <v>0.25</v>
      </c>
      <c r="AK571" s="6">
        <f>IFERROR(N571*O571*(1-AJ571), "NA")</f>
        <v>14630.264999999999</v>
      </c>
      <c r="AL571" s="6">
        <f>IFERROR(AK571-R571,"NA")</f>
        <v>2723.9049999999988</v>
      </c>
      <c r="AM571" s="5">
        <f t="shared" si="40"/>
        <v>0.18618288868998606</v>
      </c>
      <c r="AN571" t="str">
        <v>09-08-25</v>
      </c>
      <c r="AO571" t="str">
        <v>10-09-25</v>
      </c>
      <c r="AP571" t="str">
        <f t="shared" si="41"/>
        <v>August</v>
      </c>
      <c r="AQ571" t="str">
        <f t="shared" si="42"/>
        <v>2025</v>
      </c>
      <c r="AR571" t="str">
        <f t="shared" si="43"/>
        <v xml:space="preserve"> </v>
      </c>
      <c r="AS571">
        <f t="shared" si="44"/>
        <v>32</v>
      </c>
      <c r="AT571" t="str">
        <f>IF(COUNTIFS( $A:$A,A571,$B:$B,B571,$C:$C,C571,$D:$D,D571,$E:$E,E571,$F:$F,F571,$G:$G,G571,$H:$H,H571,$I:$I,I571,$J:$J,J571,$K:$K,K571,$L:$L,L571,$M:$M,M571,$T:$T,T571,$U:$U,U571,$W:$W,W571,$Z:$Z,Z571,$AA:$AA,AA571,$AB:$AB,AB571,$AC:$AC,AC571,$AD:$AD,AD571,$AE:$AE,AE571,$AF:$AF,AF571,$AG:$AG,AG571,$AH:$AH,AH571,$AI:$AI,AI571)&gt;1,"Duplicate","Unique")</f>
        <v>Unique</v>
      </c>
    </row>
    <row r="572" spans="1:46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  <c r="W572" t="s">
        <v>2736</v>
      </c>
      <c r="Z572" t="s">
        <v>2737</v>
      </c>
      <c r="AA572" t="str">
        <v>Arjun Bose</v>
      </c>
      <c r="AB572" t="str">
        <f>TRIM(PROPER(F:F))</f>
        <v>Consumer</v>
      </c>
      <c r="AC572" t="str">
        <f>TRIM(PROPER(G:G))</f>
        <v>East</v>
      </c>
      <c r="AD572" t="str">
        <f>TRIM(PROPER(H:H))</f>
        <v>Jharkhand</v>
      </c>
      <c r="AE572" t="str">
        <f>TRIM(PROPER(I:I))</f>
        <v>Ranchi</v>
      </c>
      <c r="AF572" t="str">
        <f>TRIM(PROPER(J:J))</f>
        <v>Furniture</v>
      </c>
      <c r="AG572" t="str">
        <f>TRIM(PROPER(K:K))</f>
        <v>Furnishings</v>
      </c>
      <c r="AH572" t="str">
        <f>TRIM(PROPER(L:L))</f>
        <v>Max Furnishings 647</v>
      </c>
      <c r="AI572" t="str">
        <f>TRIM(PROPER(M:M))</f>
        <v>Second Class</v>
      </c>
      <c r="AJ572" s="5">
        <f>IF(OR(P572&lt;0,P572&gt;0.5),"invalid",P572)</f>
        <v>0.25</v>
      </c>
      <c r="AK572" s="6">
        <f>IFERROR(N572*O572*(1-AJ572), "NA")</f>
        <v>8879.49</v>
      </c>
      <c r="AL572" s="6">
        <f>IFERROR(AK572-R572,"NA")</f>
        <v>2534.92</v>
      </c>
      <c r="AM572" s="5">
        <f t="shared" si="40"/>
        <v>0.28548035979543873</v>
      </c>
      <c r="AN572" t="str">
        <v>18-08-25</v>
      </c>
      <c r="AO572" t="str">
        <v>invalid date</v>
      </c>
      <c r="AP572" t="str">
        <f t="shared" si="41"/>
        <v>August</v>
      </c>
      <c r="AQ572" t="str">
        <f t="shared" si="42"/>
        <v>2025</v>
      </c>
      <c r="AR572" t="str">
        <f t="shared" si="43"/>
        <v>Invalid</v>
      </c>
      <c r="AS572" t="str">
        <f t="shared" si="44"/>
        <v>invalid date</v>
      </c>
      <c r="AT572" t="str">
        <f>IF(COUNTIFS( $A:$A,A572,$B:$B,B572,$C:$C,C572,$D:$D,D572,$E:$E,E572,$F:$F,F572,$G:$G,G572,$H:$H,H572,$I:$I,I572,$J:$J,J572,$K:$K,K572,$L:$L,L572,$M:$M,M572,$T:$T,T572,$U:$U,U572,$W:$W,W572,$Z:$Z,Z572,$AA:$AA,AA572,$AB:$AB,AB572,$AC:$AC,AC572,$AD:$AD,AD572,$AE:$AE,AE572,$AF:$AF,AF572,$AG:$AG,AG572,$AH:$AH,AH572,$AI:$AI,AI572)&gt;1,"Duplicate","Unique")</f>
        <v>Unique</v>
      </c>
    </row>
    <row r="573" spans="1:46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  <c r="W573" t="s">
        <v>2739</v>
      </c>
      <c r="Z573" t="s">
        <v>2741</v>
      </c>
      <c r="AA573" t="str">
        <v>Priya Menon</v>
      </c>
      <c r="AB573" t="str">
        <f>TRIM(PROPER(F:F))</f>
        <v>Small Business</v>
      </c>
      <c r="AC573" t="str">
        <f>TRIM(PROPER(G:G))</f>
        <v>North</v>
      </c>
      <c r="AD573" t="str">
        <f>TRIM(PROPER(H:H))</f>
        <v>Uttar Pradesh</v>
      </c>
      <c r="AE573" t="str">
        <f>TRIM(PROPER(I:I))</f>
        <v>Noida</v>
      </c>
      <c r="AF573" t="str">
        <f>TRIM(PROPER(J:J))</f>
        <v>Technology</v>
      </c>
      <c r="AG573" t="str">
        <f>TRIM(PROPER(K:K))</f>
        <v>Phones</v>
      </c>
      <c r="AH573" t="str">
        <f>TRIM(PROPER(L:L))</f>
        <v>Prime Phones 895</v>
      </c>
      <c r="AI573" t="s">
        <v>4095</v>
      </c>
      <c r="AJ573" s="5">
        <f>IF(OR(P573&lt;0,P573&gt;0.5),"invalid",P573)</f>
        <v>0</v>
      </c>
      <c r="AK573" s="6">
        <f>IFERROR(N573*O573*(1-AJ573), "NA")</f>
        <v>21381.45</v>
      </c>
      <c r="AL573" s="6">
        <f>IFERROR(AK573-R573,"NA")</f>
        <v>8141.2400000000016</v>
      </c>
      <c r="AM573" s="5">
        <f t="shared" si="40"/>
        <v>0.38076182859441249</v>
      </c>
      <c r="AN573" t="str">
        <v>10-02-25</v>
      </c>
      <c r="AO573" t="str">
        <v>14-02-25</v>
      </c>
      <c r="AP573" t="str">
        <f t="shared" si="41"/>
        <v>February</v>
      </c>
      <c r="AQ573" t="str">
        <f t="shared" si="42"/>
        <v>2025</v>
      </c>
      <c r="AR573" t="str">
        <f t="shared" si="43"/>
        <v xml:space="preserve"> </v>
      </c>
      <c r="AS573">
        <f t="shared" si="44"/>
        <v>4</v>
      </c>
      <c r="AT573" t="str">
        <f>IF(COUNTIFS( $A:$A,A573,$B:$B,B573,$C:$C,C573,$D:$D,D573,$E:$E,E573,$F:$F,F573,$G:$G,G573,$H:$H,H573,$I:$I,I573,$J:$J,J573,$K:$K,K573,$L:$L,L573,$M:$M,M573,$T:$T,T573,$U:$U,U573,$W:$W,W573,$Z:$Z,Z573,$AA:$AA,AA573,$AB:$AB,AB573,$AC:$AC,AC573,$AD:$AD,AD573,$AE:$AE,AE573,$AF:$AF,AF573,$AG:$AG,AG573,$AH:$AH,AH573,$AI:$AI,AI573)&gt;1,"Duplicate","Unique")</f>
        <v>Unique</v>
      </c>
    </row>
    <row r="574" spans="1:46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  <c r="W574" t="s">
        <v>2743</v>
      </c>
      <c r="Z574" t="s">
        <v>2746</v>
      </c>
      <c r="AA574" t="str">
        <v>Diya Patel</v>
      </c>
      <c r="AB574" t="str">
        <f>TRIM(PROPER(F:F))</f>
        <v>Corporate</v>
      </c>
      <c r="AC574" t="str">
        <f>TRIM(PROPER(G:G))</f>
        <v>North</v>
      </c>
      <c r="AD574" t="str">
        <f>TRIM(PROPER(H:H))</f>
        <v>Delhi</v>
      </c>
      <c r="AE574" t="str">
        <f>TRIM(PROPER(I:I))</f>
        <v>New Delhi</v>
      </c>
      <c r="AF574" t="str">
        <f>TRIM(PROPER(J:J))</f>
        <v>Technology</v>
      </c>
      <c r="AG574" t="str">
        <f>TRIM(PROPER(K:K))</f>
        <v>Phones</v>
      </c>
      <c r="AH574" t="str">
        <f>TRIM(PROPER(L:L))</f>
        <v>Eco Phones 368</v>
      </c>
      <c r="AI574" t="str">
        <f>TRIM(PROPER(M:M))</f>
        <v>Standard Class</v>
      </c>
      <c r="AJ574" s="5">
        <f>IF(OR(P574&lt;0,P574&gt;0.5),"invalid",P574)</f>
        <v>0.2</v>
      </c>
      <c r="AK574" s="6">
        <f>IFERROR(N574*O574*(1-AJ574), "NA")</f>
        <v>1774.944</v>
      </c>
      <c r="AL574" s="6">
        <f>IFERROR(AK574-R574,"NA")</f>
        <v>767.54399999999998</v>
      </c>
      <c r="AM574" s="5">
        <f t="shared" si="40"/>
        <v>0.43243279787982042</v>
      </c>
      <c r="AN574" t="str">
        <v>01-02-24</v>
      </c>
      <c r="AO574" t="str">
        <v>09-01-24</v>
      </c>
      <c r="AP574" t="str">
        <f t="shared" si="41"/>
        <v>February</v>
      </c>
      <c r="AQ574" t="str">
        <f t="shared" si="42"/>
        <v>2024</v>
      </c>
      <c r="AR574" t="str">
        <f t="shared" si="43"/>
        <v xml:space="preserve"> </v>
      </c>
      <c r="AS574">
        <f t="shared" si="44"/>
        <v>-23</v>
      </c>
      <c r="AT574" t="str">
        <f>IF(COUNTIFS( $A:$A,A574,$B:$B,B574,$C:$C,C574,$D:$D,D574,$E:$E,E574,$F:$F,F574,$G:$G,G574,$H:$H,H574,$I:$I,I574,$J:$J,J574,$K:$K,K574,$L:$L,L574,$M:$M,M574,$T:$T,T574,$U:$U,U574,$W:$W,W574,$Z:$Z,Z574,$AA:$AA,AA574,$AB:$AB,AB574,$AC:$AC,AC574,$AD:$AD,AD574,$AE:$AE,AE574,$AF:$AF,AF574,$AG:$AG,AG574,$AH:$AH,AH574,$AI:$AI,AI574)&gt;1,"Duplicate","Unique")</f>
        <v>Unique</v>
      </c>
    </row>
    <row r="575" spans="1:46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  <c r="W575" t="s">
        <v>2748</v>
      </c>
      <c r="Z575" t="s">
        <v>2751</v>
      </c>
      <c r="AA575" t="str">
        <v>Isha Nair</v>
      </c>
      <c r="AB575" t="str">
        <f>TRIM(PROPER(F:F))</f>
        <v>Consumer</v>
      </c>
      <c r="AC575" t="str">
        <f>TRIM(PROPER(G:G))</f>
        <v>South</v>
      </c>
      <c r="AD575" t="str">
        <f>TRIM(PROPER(H:H))</f>
        <v>Andhra Pradesh</v>
      </c>
      <c r="AE575" t="str">
        <f>TRIM(PROPER(I:I))</f>
        <v>Vijayawada</v>
      </c>
      <c r="AF575" t="str">
        <f>TRIM(PROPER(J:J))</f>
        <v>Technology</v>
      </c>
      <c r="AG575" t="str">
        <f>TRIM(PROPER(K:K))</f>
        <v>Phones</v>
      </c>
      <c r="AH575" t="str">
        <f>TRIM(PROPER(L:L))</f>
        <v>Pro Phones 644</v>
      </c>
      <c r="AI575" t="str">
        <f>TRIM(PROPER(M:M))</f>
        <v>Standard Class</v>
      </c>
      <c r="AJ575" s="5">
        <f>IF(OR(P575&lt;0,P575&gt;0.5),"invalid",P575)</f>
        <v>0</v>
      </c>
      <c r="AK575" s="6">
        <f>IFERROR(N575*O575*(1-AJ575), "NA")</f>
        <v>573.65</v>
      </c>
      <c r="AL575" s="6">
        <f>IFERROR(AK575-R575,"NA")</f>
        <v>250.97999999999996</v>
      </c>
      <c r="AM575" s="5">
        <f t="shared" si="40"/>
        <v>0.43751416368866031</v>
      </c>
      <c r="AN575" t="str">
        <v>invalid date</v>
      </c>
      <c r="AO575" t="str">
        <v>invalid date</v>
      </c>
      <c r="AP575" t="str">
        <f t="shared" si="41"/>
        <v>invalid date</v>
      </c>
      <c r="AQ575" t="str">
        <f t="shared" si="42"/>
        <v>invalid date</v>
      </c>
      <c r="AR575" t="str">
        <f t="shared" si="43"/>
        <v>Invalid</v>
      </c>
      <c r="AS575" t="str">
        <f t="shared" si="44"/>
        <v>invalid date</v>
      </c>
      <c r="AT575" t="str">
        <f>IF(COUNTIFS( $A:$A,A575,$B:$B,B575,$C:$C,C575,$D:$D,D575,$E:$E,E575,$F:$F,F575,$G:$G,G575,$H:$H,H575,$I:$I,I575,$J:$J,J575,$K:$K,K575,$L:$L,L575,$M:$M,M575,$T:$T,T575,$U:$U,U575,$W:$W,W575,$Z:$Z,Z575,$AA:$AA,AA575,$AB:$AB,AB575,$AC:$AC,AC575,$AD:$AD,AD575,$AE:$AE,AE575,$AF:$AF,AF575,$AG:$AG,AG575,$AH:$AH,AH575,$AI:$AI,AI575)&gt;1,"Duplicate","Unique")</f>
        <v>Unique</v>
      </c>
    </row>
    <row r="576" spans="1:46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  <c r="W576" t="s">
        <v>2753</v>
      </c>
      <c r="Z576" t="s">
        <v>1226</v>
      </c>
      <c r="AA576" t="str">
        <v>Diya Patel</v>
      </c>
      <c r="AB576" t="str">
        <f>TRIM(PROPER(F:F))</f>
        <v>Home Office</v>
      </c>
      <c r="AC576" t="str">
        <f>TRIM(PROPER(G:G))</f>
        <v>North</v>
      </c>
      <c r="AD576" t="str">
        <f>TRIM(PROPER(H:H))</f>
        <v>Punjab</v>
      </c>
      <c r="AE576" t="str">
        <f>TRIM(PROPER(I:I))</f>
        <v>Ludhiana</v>
      </c>
      <c r="AF576" t="str">
        <f>TRIM(PROPER(J:J))</f>
        <v>Technology</v>
      </c>
      <c r="AG576" t="str">
        <f>TRIM(PROPER(K:K))</f>
        <v>Machines</v>
      </c>
      <c r="AH576" t="str">
        <f>TRIM(PROPER(L:L))</f>
        <v>Smart Machines 566</v>
      </c>
      <c r="AI576" t="str">
        <f>TRIM(PROPER(M:M))</f>
        <v>Standard Class</v>
      </c>
      <c r="AJ576" s="5">
        <f>IF(OR(P576&lt;0,P576&gt;0.5),"invalid",P576)</f>
        <v>0</v>
      </c>
      <c r="AK576" s="6">
        <f>IFERROR(N576*O576*(1-AJ576), "NA")</f>
        <v>5423.2</v>
      </c>
      <c r="AL576" s="6">
        <f>IFERROR(AK576-R576,"NA")</f>
        <v>1350.7599999999998</v>
      </c>
      <c r="AM576" s="5">
        <f t="shared" si="40"/>
        <v>0.24907065938929043</v>
      </c>
      <c r="AN576" t="str">
        <v>20-02-24</v>
      </c>
      <c r="AO576" t="str">
        <v>25-02-24</v>
      </c>
      <c r="AP576" t="str">
        <f t="shared" si="41"/>
        <v>February</v>
      </c>
      <c r="AQ576" t="str">
        <f t="shared" si="42"/>
        <v>2024</v>
      </c>
      <c r="AR576" t="str">
        <f t="shared" si="43"/>
        <v xml:space="preserve"> </v>
      </c>
      <c r="AS576">
        <f t="shared" si="44"/>
        <v>5</v>
      </c>
      <c r="AT576" t="str">
        <f>IF(COUNTIFS( $A:$A,A576,$B:$B,B576,$C:$C,C576,$D:$D,D576,$E:$E,E576,$F:$F,F576,$G:$G,G576,$H:$H,H576,$I:$I,I576,$J:$J,J576,$K:$K,K576,$L:$L,L576,$M:$M,M576,$T:$T,T576,$U:$U,U576,$W:$W,W576,$Z:$Z,Z576,$AA:$AA,AA576,$AB:$AB,AB576,$AC:$AC,AC576,$AD:$AD,AD576,$AE:$AE,AE576,$AF:$AF,AF576,$AG:$AG,AG576,$AH:$AH,AH576,$AI:$AI,AI576)&gt;1,"Duplicate","Unique")</f>
        <v>Unique</v>
      </c>
    </row>
    <row r="577" spans="1:46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  <c r="W577" t="s">
        <v>2756</v>
      </c>
      <c r="Z577" t="s">
        <v>2759</v>
      </c>
      <c r="AA577" t="str">
        <v>Sneha Kapoor</v>
      </c>
      <c r="AB577" t="str">
        <f>TRIM(PROPER(F:F))</f>
        <v>Home Office</v>
      </c>
      <c r="AC577" t="str">
        <f>TRIM(PROPER(G:G))</f>
        <v>South</v>
      </c>
      <c r="AD577" t="str">
        <f>TRIM(PROPER(H:H))</f>
        <v>Kerala</v>
      </c>
      <c r="AE577" t="str">
        <f>TRIM(PROPER(I:I))</f>
        <v>Kochi</v>
      </c>
      <c r="AF577" t="str">
        <f>TRIM(PROPER(J:J))</f>
        <v>Furniture</v>
      </c>
      <c r="AG577" t="str">
        <f>TRIM(PROPER(K:K))</f>
        <v>Furnishings</v>
      </c>
      <c r="AH577" t="str">
        <f>TRIM(PROPER(L:L))</f>
        <v>Elite Furnishings 173</v>
      </c>
      <c r="AI577" t="str">
        <f>TRIM(PROPER(M:M))</f>
        <v>Same Day</v>
      </c>
      <c r="AJ577" s="5">
        <f>IF(OR(P577&lt;0,P577&gt;0.5),"invalid",P577)</f>
        <v>0.2</v>
      </c>
      <c r="AK577" s="6">
        <f>IFERROR(N577*O577*(1-AJ577), "NA")</f>
        <v>3983.424</v>
      </c>
      <c r="AL577" s="6">
        <f>IFERROR(AK577-R577,"NA")</f>
        <v>808.51400000000012</v>
      </c>
      <c r="AM577" s="5">
        <f t="shared" si="40"/>
        <v>0.2029696060474607</v>
      </c>
      <c r="AN577" t="str">
        <v>11-03-25</v>
      </c>
      <c r="AO577" t="str">
        <v>14-03-25</v>
      </c>
      <c r="AP577" t="str">
        <f t="shared" si="41"/>
        <v>March</v>
      </c>
      <c r="AQ577" t="str">
        <f t="shared" si="42"/>
        <v>2025</v>
      </c>
      <c r="AR577" t="str">
        <f t="shared" si="43"/>
        <v xml:space="preserve"> </v>
      </c>
      <c r="AS577">
        <f t="shared" si="44"/>
        <v>3</v>
      </c>
      <c r="AT577" t="str">
        <f>IF(COUNTIFS( $A:$A,A577,$B:$B,B577,$C:$C,C577,$D:$D,D577,$E:$E,E577,$F:$F,F577,$G:$G,G577,$H:$H,H577,$I:$I,I577,$J:$J,J577,$K:$K,K577,$L:$L,L577,$M:$M,M577,$T:$T,T577,$U:$U,U577,$W:$W,W577,$Z:$Z,Z577,$AA:$AA,AA577,$AB:$AB,AB577,$AC:$AC,AC577,$AD:$AD,AD577,$AE:$AE,AE577,$AF:$AF,AF577,$AG:$AG,AG577,$AH:$AH,AH577,$AI:$AI,AI577)&gt;1,"Duplicate","Unique")</f>
        <v>Unique</v>
      </c>
    </row>
    <row r="578" spans="1:46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  <c r="W578" t="s">
        <v>2761</v>
      </c>
      <c r="Z578" t="s">
        <v>2764</v>
      </c>
      <c r="AA578" t="str">
        <v>Rohan Mehta</v>
      </c>
      <c r="AB578" t="str">
        <f>TRIM(PROPER(F:F))</f>
        <v>Home Office</v>
      </c>
      <c r="AC578" t="s">
        <v>4111</v>
      </c>
      <c r="AD578" t="str">
        <f>TRIM(PROPER(H:H))</f>
        <v>Bihar</v>
      </c>
      <c r="AE578" t="str">
        <f>TRIM(PROPER(I:I))</f>
        <v>Patna</v>
      </c>
      <c r="AF578" t="str">
        <f>TRIM(PROPER(J:J))</f>
        <v>Office Supplies</v>
      </c>
      <c r="AG578" t="str">
        <f>TRIM(PROPER(K:K))</f>
        <v>Binders</v>
      </c>
      <c r="AH578" t="str">
        <f>TRIM(PROPER(L:L))</f>
        <v>Smart Binders 417</v>
      </c>
      <c r="AI578" t="str">
        <f>TRIM(PROPER(M:M))</f>
        <v>Standard Class</v>
      </c>
      <c r="AJ578" s="5">
        <f>IF(OR(P578&lt;0,P578&gt;0.5),"invalid",P578)</f>
        <v>0</v>
      </c>
      <c r="AK578" s="6">
        <f>IFERROR(N578*O578*(1-AJ578), "NA")</f>
        <v>23530.14</v>
      </c>
      <c r="AL578" s="6">
        <f>IFERROR(AK578-R578,"NA")</f>
        <v>3992.3499999999985</v>
      </c>
      <c r="AM578" s="5">
        <f t="shared" si="40"/>
        <v>0.16966962372514566</v>
      </c>
      <c r="AN578" t="str">
        <v>17-02-24</v>
      </c>
      <c r="AO578" t="str">
        <v>invalid date</v>
      </c>
      <c r="AP578" t="str">
        <f t="shared" si="41"/>
        <v>February</v>
      </c>
      <c r="AQ578" t="str">
        <f t="shared" si="42"/>
        <v>2024</v>
      </c>
      <c r="AR578" t="str">
        <f t="shared" si="43"/>
        <v>Invalid</v>
      </c>
      <c r="AS578" t="str">
        <f t="shared" si="44"/>
        <v>invalid date</v>
      </c>
      <c r="AT578" t="str">
        <f>IF(COUNTIFS( $A:$A,A578,$B:$B,B578,$C:$C,C578,$D:$D,D578,$E:$E,E578,$F:$F,F578,$G:$G,G578,$H:$H,H578,$I:$I,I578,$J:$J,J578,$K:$K,K578,$L:$L,L578,$M:$M,M578,$T:$T,T578,$U:$U,U578,$W:$W,W578,$Z:$Z,Z578,$AA:$AA,AA578,$AB:$AB,AB578,$AC:$AC,AC578,$AD:$AD,AD578,$AE:$AE,AE578,$AF:$AF,AF578,$AG:$AG,AG578,$AH:$AH,AH578,$AI:$AI,AI578)&gt;1,"Duplicate","Unique")</f>
        <v>Unique</v>
      </c>
    </row>
    <row r="579" spans="1:46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  <c r="W579" t="s">
        <v>2766</v>
      </c>
      <c r="Z579" t="s">
        <v>2768</v>
      </c>
      <c r="AA579" t="str">
        <v>Priya Menon</v>
      </c>
      <c r="AB579" t="str">
        <f>TRIM(PROPER(F:F))</f>
        <v>Corporate</v>
      </c>
      <c r="AC579" t="str">
        <f>TRIM(PROPER(G:G))</f>
        <v>West</v>
      </c>
      <c r="AD579" t="str">
        <f>TRIM(PROPER(H:H))</f>
        <v>Madhya Pradesh</v>
      </c>
      <c r="AE579" t="str">
        <f>TRIM(PROPER(I:I))</f>
        <v>Indore</v>
      </c>
      <c r="AF579" t="str">
        <f>TRIM(PROPER(J:J))</f>
        <v>Furniture</v>
      </c>
      <c r="AG579" t="str">
        <f>TRIM(PROPER(K:K))</f>
        <v>Furnishings</v>
      </c>
      <c r="AH579" t="str">
        <f>TRIM(PROPER(L:L))</f>
        <v>Smart Furnishings 714</v>
      </c>
      <c r="AI579" t="str">
        <f>TRIM(PROPER(M:M))</f>
        <v>Standard Class</v>
      </c>
      <c r="AJ579" s="5">
        <f>IF(OR(P579&lt;0,P579&gt;0.5),"invalid",P579)</f>
        <v>0</v>
      </c>
      <c r="AK579" s="6">
        <f>IFERROR(N579*O579*(1-AJ579), "NA")</f>
        <v>1879.1499999999999</v>
      </c>
      <c r="AL579" s="6">
        <f>IFERROR(AK579-R579,"NA")</f>
        <v>744.24999999999977</v>
      </c>
      <c r="AM579" s="5">
        <f t="shared" ref="AM579:AM642" si="45">IFERROR(AL579/AK579,"NA")</f>
        <v>0.39605672777585599</v>
      </c>
      <c r="AN579" t="str">
        <v>invalid date</v>
      </c>
      <c r="AO579" t="str">
        <v>03-09-25</v>
      </c>
      <c r="AP579" t="str">
        <f t="shared" ref="AP579:AP642" si="46">TEXT(AN579,"mmmm")</f>
        <v>invalid date</v>
      </c>
      <c r="AQ579" t="str">
        <f t="shared" ref="AQ579:AQ642" si="47">TEXT(AN579,"yyyy")</f>
        <v>invalid date</v>
      </c>
      <c r="AR579" t="str">
        <f t="shared" ref="AR579:AR642" si="48">IF(OR(AN579="Invalid Date",AO579="Invalid Date"),"Invalid",(IF(AO579&lt;AN579,"anomaly"," ")))</f>
        <v>Invalid</v>
      </c>
      <c r="AS579" t="str">
        <f t="shared" ref="AS579:AS642" si="49">IFERROR(AO579-AN579, "invalid date")</f>
        <v>invalid date</v>
      </c>
      <c r="AT579" t="str">
        <f>IF(COUNTIFS( $A:$A,A579,$B:$B,B579,$C:$C,C579,$D:$D,D579,$E:$E,E579,$F:$F,F579,$G:$G,G579,$H:$H,H579,$I:$I,I579,$J:$J,J579,$K:$K,K579,$L:$L,L579,$M:$M,M579,$T:$T,T579,$U:$U,U579,$W:$W,W579,$Z:$Z,Z579,$AA:$AA,AA579,$AB:$AB,AB579,$AC:$AC,AC579,$AD:$AD,AD579,$AE:$AE,AE579,$AF:$AF,AF579,$AG:$AG,AG579,$AH:$AH,AH579,$AI:$AI,AI579)&gt;1,"Duplicate","Unique")</f>
        <v>Unique</v>
      </c>
    </row>
    <row r="580" spans="1:46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  <c r="W580" t="s">
        <v>2770</v>
      </c>
      <c r="Z580" t="s">
        <v>417</v>
      </c>
      <c r="AA580" t="str">
        <v>Neha Gupta</v>
      </c>
      <c r="AB580" t="str">
        <f>TRIM(PROPER(F:F))</f>
        <v>Small Business</v>
      </c>
      <c r="AC580" t="str">
        <f>TRIM(PROPER(G:G))</f>
        <v>West</v>
      </c>
      <c r="AD580" t="str">
        <f>TRIM(PROPER(H:H))</f>
        <v>Gujarat</v>
      </c>
      <c r="AE580" t="str">
        <f>TRIM(PROPER(I:I))</f>
        <v>Ahmedabad</v>
      </c>
      <c r="AF580" t="str">
        <f>TRIM(PROPER(J:J))</f>
        <v>Technology</v>
      </c>
      <c r="AG580" t="str">
        <f>TRIM(PROPER(K:K))</f>
        <v>Copiers</v>
      </c>
      <c r="AH580" t="str">
        <f>TRIM(PROPER(L:L))</f>
        <v>Elite Copiers 682</v>
      </c>
      <c r="AI580" t="str">
        <f>TRIM(PROPER(M:M))</f>
        <v>First Class</v>
      </c>
      <c r="AJ580" s="5">
        <f>IF(OR(P580&lt;0,P580&gt;0.5),"invalid",P580)</f>
        <v>0.05</v>
      </c>
      <c r="AK580" s="6">
        <f>IFERROR(N580*O580*(1-AJ580), "NA")</f>
        <v>15011.805</v>
      </c>
      <c r="AL580" s="6">
        <f>IFERROR(AK580-R580,"NA")</f>
        <v>5351.4449999999997</v>
      </c>
      <c r="AM580" s="5">
        <f t="shared" si="45"/>
        <v>0.35648244831317749</v>
      </c>
      <c r="AN580" t="str">
        <v>21-02-24</v>
      </c>
      <c r="AO580" t="str">
        <v>23-02-24</v>
      </c>
      <c r="AP580" t="str">
        <f t="shared" si="46"/>
        <v>February</v>
      </c>
      <c r="AQ580" t="str">
        <f t="shared" si="47"/>
        <v>2024</v>
      </c>
      <c r="AR580" t="str">
        <f t="shared" si="48"/>
        <v xml:space="preserve"> </v>
      </c>
      <c r="AS580">
        <f t="shared" si="49"/>
        <v>2</v>
      </c>
      <c r="AT580" t="str">
        <f>IF(COUNTIFS( $A:$A,A580,$B:$B,B580,$C:$C,C580,$D:$D,D580,$E:$E,E580,$F:$F,F580,$G:$G,G580,$H:$H,H580,$I:$I,I580,$J:$J,J580,$K:$K,K580,$L:$L,L580,$M:$M,M580,$T:$T,T580,$U:$U,U580,$W:$W,W580,$Z:$Z,Z580,$AA:$AA,AA580,$AB:$AB,AB580,$AC:$AC,AC580,$AD:$AD,AD580,$AE:$AE,AE580,$AF:$AF,AF580,$AG:$AG,AG580,$AH:$AH,AH580,$AI:$AI,AI580)&gt;1,"Duplicate","Unique")</f>
        <v>Unique</v>
      </c>
    </row>
    <row r="581" spans="1:46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  <c r="W581" t="s">
        <v>2774</v>
      </c>
      <c r="Z581" t="s">
        <v>2777</v>
      </c>
      <c r="AA581" t="str">
        <v>Aarav Sharma</v>
      </c>
      <c r="AB581" t="str">
        <f>TRIM(PROPER(F:F))</f>
        <v>Small Business</v>
      </c>
      <c r="AC581" t="str">
        <f>TRIM(PROPER(G:G))</f>
        <v>South</v>
      </c>
      <c r="AD581" t="str">
        <f>TRIM(PROPER(H:H))</f>
        <v>Tamil Nadu</v>
      </c>
      <c r="AE581" t="str">
        <f>TRIM(PROPER(I:I))</f>
        <v>Chennai</v>
      </c>
      <c r="AF581" t="str">
        <f>TRIM(PROPER(J:J))</f>
        <v>Office Supplies</v>
      </c>
      <c r="AG581" t="str">
        <f>TRIM(PROPER(K:K))</f>
        <v>Storage</v>
      </c>
      <c r="AH581" t="str">
        <f>TRIM(PROPER(L:L))</f>
        <v>Pro Storage 482</v>
      </c>
      <c r="AI581" t="str">
        <f>TRIM(PROPER(M:M))</f>
        <v>Same Day</v>
      </c>
      <c r="AJ581" s="5">
        <f>IF(OR(P581&lt;0,P581&gt;0.5),"invalid",P581)</f>
        <v>0</v>
      </c>
      <c r="AK581" s="6">
        <f>IFERROR(N581*O581*(1-AJ581), "NA")</f>
        <v>3202.41</v>
      </c>
      <c r="AL581" s="6">
        <f>IFERROR(AK581-R581,"NA")</f>
        <v>593.9699999999998</v>
      </c>
      <c r="AM581" s="5">
        <f t="shared" si="45"/>
        <v>0.18547593843386695</v>
      </c>
      <c r="AN581" t="str">
        <v>19-06-24</v>
      </c>
      <c r="AO581" t="str">
        <v>24-06-24</v>
      </c>
      <c r="AP581" t="str">
        <f t="shared" si="46"/>
        <v>June</v>
      </c>
      <c r="AQ581" t="str">
        <f t="shared" si="47"/>
        <v>2024</v>
      </c>
      <c r="AR581" t="str">
        <f t="shared" si="48"/>
        <v xml:space="preserve"> </v>
      </c>
      <c r="AS581">
        <f t="shared" si="49"/>
        <v>5</v>
      </c>
      <c r="AT581" t="str">
        <f>IF(COUNTIFS( $A:$A,A581,$B:$B,B581,$C:$C,C581,$D:$D,D581,$E:$E,E581,$F:$F,F581,$G:$G,G581,$H:$H,H581,$I:$I,I581,$J:$J,J581,$K:$K,K581,$L:$L,L581,$M:$M,M581,$T:$T,T581,$U:$U,U581,$W:$W,W581,$Z:$Z,Z581,$AA:$AA,AA581,$AB:$AB,AB581,$AC:$AC,AC581,$AD:$AD,AD581,$AE:$AE,AE581,$AF:$AF,AF581,$AG:$AG,AG581,$AH:$AH,AH581,$AI:$AI,AI581)&gt;1,"Duplicate","Unique")</f>
        <v>Unique</v>
      </c>
    </row>
    <row r="582" spans="1:46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  <c r="W582" t="s">
        <v>2779</v>
      </c>
      <c r="Z582" t="s">
        <v>2781</v>
      </c>
      <c r="AA582" t="str">
        <v>Kabir Singh</v>
      </c>
      <c r="AB582" t="str">
        <f>TRIM(PROPER(F:F))</f>
        <v>Consumer</v>
      </c>
      <c r="AC582" t="str">
        <f>TRIM(PROPER(G:G))</f>
        <v>South</v>
      </c>
      <c r="AD582" t="str">
        <f>TRIM(PROPER(H:H))</f>
        <v>Kerala</v>
      </c>
      <c r="AE582" t="str">
        <f>TRIM(PROPER(I:I))</f>
        <v>Kochi</v>
      </c>
      <c r="AF582" t="str">
        <f>TRIM(PROPER(J:J))</f>
        <v>Furniture</v>
      </c>
      <c r="AG582" t="str">
        <f>TRIM(PROPER(K:K))</f>
        <v>Chairs</v>
      </c>
      <c r="AH582" t="str">
        <f>TRIM(PROPER(L:L))</f>
        <v>Pro Chairs 888</v>
      </c>
      <c r="AI582" t="str">
        <f>TRIM(PROPER(M:M))</f>
        <v>Standard Class</v>
      </c>
      <c r="AJ582" s="5">
        <f>IF(OR(P582&lt;0,P582&gt;0.5),"invalid",P582)</f>
        <v>0.15</v>
      </c>
      <c r="AK582" s="6">
        <f>IFERROR(N582*O582*(1-AJ582), "NA")</f>
        <v>417.48599999999999</v>
      </c>
      <c r="AL582" s="6">
        <f>IFERROR(AK582-R582,"NA")</f>
        <v>155.81599999999997</v>
      </c>
      <c r="AM582" s="5">
        <f t="shared" si="45"/>
        <v>0.37322449136018926</v>
      </c>
      <c r="AN582" t="str">
        <v>06-03-25</v>
      </c>
      <c r="AO582" t="str">
        <v>invalid date</v>
      </c>
      <c r="AP582" t="str">
        <f t="shared" si="46"/>
        <v>March</v>
      </c>
      <c r="AQ582" t="str">
        <f t="shared" si="47"/>
        <v>2025</v>
      </c>
      <c r="AR582" t="str">
        <f t="shared" si="48"/>
        <v>Invalid</v>
      </c>
      <c r="AS582" t="str">
        <f t="shared" si="49"/>
        <v>invalid date</v>
      </c>
      <c r="AT582" t="str">
        <f>IF(COUNTIFS( $A:$A,A582,$B:$B,B582,$C:$C,C582,$D:$D,D582,$E:$E,E582,$F:$F,F582,$G:$G,G582,$H:$H,H582,$I:$I,I582,$J:$J,J582,$K:$K,K582,$L:$L,L582,$M:$M,M582,$T:$T,T582,$U:$U,U582,$W:$W,W582,$Z:$Z,Z582,$AA:$AA,AA582,$AB:$AB,AB582,$AC:$AC,AC582,$AD:$AD,AD582,$AE:$AE,AE582,$AF:$AF,AF582,$AG:$AG,AG582,$AH:$AH,AH582,$AI:$AI,AI582)&gt;1,"Duplicate","Unique")</f>
        <v>Unique</v>
      </c>
    </row>
    <row r="583" spans="1:46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  <c r="W583" t="s">
        <v>2783</v>
      </c>
      <c r="Z583" t="s">
        <v>2785</v>
      </c>
      <c r="AA583" t="str">
        <v>Neha Gupta</v>
      </c>
      <c r="AB583" t="str">
        <f>TRIM(PROPER(F:F))</f>
        <v>Consumer</v>
      </c>
      <c r="AC583" t="str">
        <f>TRIM(PROPER(G:G))</f>
        <v>North</v>
      </c>
      <c r="AD583" t="str">
        <f>TRIM(PROPER(H:H))</f>
        <v>Delhi</v>
      </c>
      <c r="AE583" t="str">
        <f>TRIM(PROPER(I:I))</f>
        <v>New Delhi</v>
      </c>
      <c r="AF583" t="str">
        <f>TRIM(PROPER(J:J))</f>
        <v>Office Supplies</v>
      </c>
      <c r="AG583" t="str">
        <f>TRIM(PROPER(K:K))</f>
        <v>Art</v>
      </c>
      <c r="AH583" t="str">
        <f>TRIM(PROPER(L:L))</f>
        <v>Classic Art 611</v>
      </c>
      <c r="AI583" t="str">
        <f>TRIM(PROPER(M:M))</f>
        <v>Second Class</v>
      </c>
      <c r="AJ583" s="5">
        <f>IF(OR(P583&lt;0,P583&gt;0.5),"invalid",P583)</f>
        <v>0</v>
      </c>
      <c r="AK583" s="6">
        <f>IFERROR(N583*O583*(1-AJ583), "NA")</f>
        <v>16323.8</v>
      </c>
      <c r="AL583" s="6">
        <f>IFERROR(AK583-R583,"NA")</f>
        <v>6358.0099999999984</v>
      </c>
      <c r="AM583" s="5">
        <f t="shared" si="45"/>
        <v>0.38949325524693995</v>
      </c>
      <c r="AN583" t="str">
        <v>09-08-25</v>
      </c>
      <c r="AO583" t="str">
        <v>08-10-25</v>
      </c>
      <c r="AP583" t="str">
        <f t="shared" si="46"/>
        <v>August</v>
      </c>
      <c r="AQ583" t="str">
        <f t="shared" si="47"/>
        <v>2025</v>
      </c>
      <c r="AR583" t="str">
        <f t="shared" si="48"/>
        <v>anomaly</v>
      </c>
      <c r="AS583">
        <f t="shared" si="49"/>
        <v>60</v>
      </c>
      <c r="AT583" t="str">
        <f>IF(COUNTIFS( $A:$A,A583,$B:$B,B583,$C:$C,C583,$D:$D,D583,$E:$E,E583,$F:$F,F583,$G:$G,G583,$H:$H,H583,$I:$I,I583,$J:$J,J583,$K:$K,K583,$L:$L,L583,$M:$M,M583,$T:$T,T583,$U:$U,U583,$W:$W,W583,$Z:$Z,Z583,$AA:$AA,AA583,$AB:$AB,AB583,$AC:$AC,AC583,$AD:$AD,AD583,$AE:$AE,AE583,$AF:$AF,AF583,$AG:$AG,AG583,$AH:$AH,AH583,$AI:$AI,AI583)&gt;1,"Duplicate","Unique")</f>
        <v>Unique</v>
      </c>
    </row>
    <row r="584" spans="1:46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  <c r="W584" t="s">
        <v>2787</v>
      </c>
      <c r="Z584" t="s">
        <v>2790</v>
      </c>
      <c r="AA584" t="str">
        <v>Ananya Rao</v>
      </c>
      <c r="AB584" t="str">
        <f>TRIM(PROPER(F:F))</f>
        <v>Consumer</v>
      </c>
      <c r="AC584" t="str">
        <f>TRIM(PROPER(G:G))</f>
        <v>East</v>
      </c>
      <c r="AD584" t="str">
        <f>TRIM(PROPER(H:H))</f>
        <v>Odisha</v>
      </c>
      <c r="AE584" t="str">
        <f>TRIM(PROPER(I:I))</f>
        <v>Bhubaneswar</v>
      </c>
      <c r="AF584" t="str">
        <f>TRIM(PROPER(J:J))</f>
        <v>Office Supplies</v>
      </c>
      <c r="AG584" t="str">
        <f>TRIM(PROPER(K:K))</f>
        <v>Art</v>
      </c>
      <c r="AH584" t="str">
        <f>TRIM(PROPER(L:L))</f>
        <v>Basic Art 174</v>
      </c>
      <c r="AI584" t="str">
        <f>TRIM(PROPER(M:M))</f>
        <v>First Class</v>
      </c>
      <c r="AJ584" s="5">
        <f>IF(OR(P584&lt;0,P584&gt;0.5),"invalid",P584)</f>
        <v>0</v>
      </c>
      <c r="AK584" s="6">
        <f>IFERROR(N584*O584*(1-AJ584), "NA")</f>
        <v>3356.2</v>
      </c>
      <c r="AL584" s="6">
        <f>IFERROR(AK584-R584,"NA")</f>
        <v>1150.48</v>
      </c>
      <c r="AM584" s="5">
        <f t="shared" si="45"/>
        <v>0.34279244383528995</v>
      </c>
      <c r="AN584" t="str">
        <v>15-10-24</v>
      </c>
      <c r="AO584" t="str">
        <v>invalid date</v>
      </c>
      <c r="AP584" t="str">
        <f t="shared" si="46"/>
        <v>October</v>
      </c>
      <c r="AQ584" t="str">
        <f t="shared" si="47"/>
        <v>2024</v>
      </c>
      <c r="AR584" t="str">
        <f t="shared" si="48"/>
        <v>Invalid</v>
      </c>
      <c r="AS584" t="str">
        <f t="shared" si="49"/>
        <v>invalid date</v>
      </c>
      <c r="AT584" t="str">
        <f>IF(COUNTIFS( $A:$A,A584,$B:$B,B584,$C:$C,C584,$D:$D,D584,$E:$E,E584,$F:$F,F584,$G:$G,G584,$H:$H,H584,$I:$I,I584,$J:$J,J584,$K:$K,K584,$L:$L,L584,$M:$M,M584,$T:$T,T584,$U:$U,U584,$W:$W,W584,$Z:$Z,Z584,$AA:$AA,AA584,$AB:$AB,AB584,$AC:$AC,AC584,$AD:$AD,AD584,$AE:$AE,AE584,$AF:$AF,AF584,$AG:$AG,AG584,$AH:$AH,AH584,$AI:$AI,AI584)&gt;1,"Duplicate","Unique")</f>
        <v>Unique</v>
      </c>
    </row>
    <row r="585" spans="1:46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  <c r="W585" t="s">
        <v>2792</v>
      </c>
      <c r="Z585" t="s">
        <v>2794</v>
      </c>
      <c r="AA585" t="str">
        <v>Rohan Mehta</v>
      </c>
      <c r="AB585" t="str">
        <f>TRIM(PROPER(F:F))</f>
        <v>Small Business</v>
      </c>
      <c r="AC585" t="str">
        <f>TRIM(PROPER(G:G))</f>
        <v>East</v>
      </c>
      <c r="AD585" t="str">
        <f>TRIM(PROPER(H:H))</f>
        <v>West Bengal</v>
      </c>
      <c r="AE585" t="str">
        <f>TRIM(PROPER(I:I))</f>
        <v>Kolkata</v>
      </c>
      <c r="AF585" t="str">
        <f>TRIM(PROPER(J:J))</f>
        <v>Office Supplies</v>
      </c>
      <c r="AG585" t="str">
        <f>TRIM(PROPER(K:K))</f>
        <v>Storage</v>
      </c>
      <c r="AH585" t="str">
        <f>TRIM(PROPER(L:L))</f>
        <v>Classic Storage 451</v>
      </c>
      <c r="AI585" t="str">
        <f>TRIM(PROPER(M:M))</f>
        <v>First Class</v>
      </c>
      <c r="AJ585" s="5">
        <f>IF(OR(P585&lt;0,P585&gt;0.5),"invalid",P585)</f>
        <v>0.2</v>
      </c>
      <c r="AK585" s="6">
        <f>IFERROR(N585*O585*(1-AJ585), "NA")</f>
        <v>2101.4720000000002</v>
      </c>
      <c r="AL585" s="6">
        <f>IFERROR(AK585-R585,"NA")</f>
        <v>883.64200000000028</v>
      </c>
      <c r="AM585" s="5">
        <f t="shared" si="45"/>
        <v>0.42048716328364127</v>
      </c>
      <c r="AN585" t="str">
        <v>28-02-24</v>
      </c>
      <c r="AO585" t="str">
        <v>invalid date</v>
      </c>
      <c r="AP585" t="str">
        <f t="shared" si="46"/>
        <v>February</v>
      </c>
      <c r="AQ585" t="str">
        <f t="shared" si="47"/>
        <v>2024</v>
      </c>
      <c r="AR585" t="str">
        <f t="shared" si="48"/>
        <v>Invalid</v>
      </c>
      <c r="AS585" t="str">
        <f t="shared" si="49"/>
        <v>invalid date</v>
      </c>
      <c r="AT585" t="str">
        <f>IF(COUNTIFS( $A:$A,A585,$B:$B,B585,$C:$C,C585,$D:$D,D585,$E:$E,E585,$F:$F,F585,$G:$G,G585,$H:$H,H585,$I:$I,I585,$J:$J,J585,$K:$K,K585,$L:$L,L585,$M:$M,M585,$T:$T,T585,$U:$U,U585,$W:$W,W585,$Z:$Z,Z585,$AA:$AA,AA585,$AB:$AB,AB585,$AC:$AC,AC585,$AD:$AD,AD585,$AE:$AE,AE585,$AF:$AF,AF585,$AG:$AG,AG585,$AH:$AH,AH585,$AI:$AI,AI585)&gt;1,"Duplicate","Unique")</f>
        <v>Unique</v>
      </c>
    </row>
    <row r="586" spans="1:46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  <c r="W586" t="s">
        <v>2796</v>
      </c>
      <c r="Z586" t="s">
        <v>2799</v>
      </c>
      <c r="AA586" t="str">
        <v>Vikram Iyer</v>
      </c>
      <c r="AB586" t="str">
        <f>TRIM(PROPER(F:F))</f>
        <v>Consumer</v>
      </c>
      <c r="AC586" t="str">
        <f>TRIM(PROPER(G:G))</f>
        <v>East</v>
      </c>
      <c r="AD586" t="str">
        <f>TRIM(PROPER(H:H))</f>
        <v>Bihar</v>
      </c>
      <c r="AE586" t="str">
        <f>TRIM(PROPER(I:I))</f>
        <v>Patna</v>
      </c>
      <c r="AF586" t="str">
        <f>TRIM(PROPER(J:J))</f>
        <v>Office Supplies</v>
      </c>
      <c r="AG586" t="str">
        <f>TRIM(PROPER(K:K))</f>
        <v>Art</v>
      </c>
      <c r="AH586" t="str">
        <f>TRIM(PROPER(L:L))</f>
        <v>Pro Art 172</v>
      </c>
      <c r="AI586" t="str">
        <f>TRIM(PROPER(M:M))</f>
        <v>Same Day</v>
      </c>
      <c r="AJ586" s="5">
        <f>IF(OR(P586&lt;0,P586&gt;0.5),"invalid",P586)</f>
        <v>0.15</v>
      </c>
      <c r="AK586" s="6">
        <f>IFERROR(N586*O586*(1-AJ586), "NA")</f>
        <v>837.19049999999993</v>
      </c>
      <c r="AL586" s="6">
        <f>IFERROR(AK586-R586,"NA")</f>
        <v>253.40049999999997</v>
      </c>
      <c r="AM586" s="5">
        <f t="shared" si="45"/>
        <v>0.30267961712417901</v>
      </c>
      <c r="AN586" t="str">
        <v>08-04-24</v>
      </c>
      <c r="AO586" t="str">
        <v>10-08-24</v>
      </c>
      <c r="AP586" t="str">
        <f t="shared" si="46"/>
        <v>April</v>
      </c>
      <c r="AQ586" t="str">
        <f t="shared" si="47"/>
        <v>2024</v>
      </c>
      <c r="AR586" t="str">
        <f t="shared" si="48"/>
        <v xml:space="preserve"> </v>
      </c>
      <c r="AS586">
        <f t="shared" si="49"/>
        <v>124</v>
      </c>
      <c r="AT586" t="str">
        <f>IF(COUNTIFS( $A:$A,A586,$B:$B,B586,$C:$C,C586,$D:$D,D586,$E:$E,E586,$F:$F,F586,$G:$G,G586,$H:$H,H586,$I:$I,I586,$J:$J,J586,$K:$K,K586,$L:$L,L586,$M:$M,M586,$T:$T,T586,$U:$U,U586,$W:$W,W586,$Z:$Z,Z586,$AA:$AA,AA586,$AB:$AB,AB586,$AC:$AC,AC586,$AD:$AD,AD586,$AE:$AE,AE586,$AF:$AF,AF586,$AG:$AG,AG586,$AH:$AH,AH586,$AI:$AI,AI586)&gt;1,"Duplicate","Unique")</f>
        <v>Unique</v>
      </c>
    </row>
    <row r="587" spans="1:46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  <c r="W587" t="s">
        <v>2801</v>
      </c>
      <c r="Z587" t="s">
        <v>2803</v>
      </c>
      <c r="AA587" t="str">
        <v>Diya Patel</v>
      </c>
      <c r="AB587" t="str">
        <f>TRIM(PROPER(F:F))</f>
        <v>Small Business</v>
      </c>
      <c r="AC587" t="str">
        <f>TRIM(PROPER(G:G))</f>
        <v>West</v>
      </c>
      <c r="AD587" t="str">
        <f>TRIM(PROPER(H:H))</f>
        <v>Maharashtra</v>
      </c>
      <c r="AE587" t="str">
        <f>TRIM(PROPER(I:I))</f>
        <v>Mumbai</v>
      </c>
      <c r="AF587" t="str">
        <f>TRIM(PROPER(J:J))</f>
        <v>Technology</v>
      </c>
      <c r="AG587" t="str">
        <f>TRIM(PROPER(K:K))</f>
        <v>Phones</v>
      </c>
      <c r="AH587" t="str">
        <f>TRIM(PROPER(L:L))</f>
        <v>Prime Phones 744</v>
      </c>
      <c r="AI587" t="str">
        <f>TRIM(PROPER(M:M))</f>
        <v>First Class</v>
      </c>
      <c r="AJ587" s="5">
        <f>IF(OR(P587&lt;0,P587&gt;0.5),"invalid",P587)</f>
        <v>0</v>
      </c>
      <c r="AK587" s="6">
        <f>IFERROR(N587*O587*(1-AJ587), "NA")</f>
        <v>27629.279999999999</v>
      </c>
      <c r="AL587" s="6">
        <f>IFERROR(AK587-R587,"NA")</f>
        <v>5602.7999999999993</v>
      </c>
      <c r="AM587" s="5">
        <f t="shared" si="45"/>
        <v>0.20278487170132553</v>
      </c>
      <c r="AN587" t="str">
        <v>22-06-25</v>
      </c>
      <c r="AO587" t="str">
        <v>25-06-25</v>
      </c>
      <c r="AP587" t="str">
        <f t="shared" si="46"/>
        <v>June</v>
      </c>
      <c r="AQ587" t="str">
        <f t="shared" si="47"/>
        <v>2025</v>
      </c>
      <c r="AR587" t="str">
        <f t="shared" si="48"/>
        <v xml:space="preserve"> </v>
      </c>
      <c r="AS587">
        <f t="shared" si="49"/>
        <v>3</v>
      </c>
      <c r="AT587" t="str">
        <f>IF(COUNTIFS( $A:$A,A587,$B:$B,B587,$C:$C,C587,$D:$D,D587,$E:$E,E587,$F:$F,F587,$G:$G,G587,$H:$H,H587,$I:$I,I587,$J:$J,J587,$K:$K,K587,$L:$L,L587,$M:$M,M587,$T:$T,T587,$U:$U,U587,$W:$W,W587,$Z:$Z,Z587,$AA:$AA,AA587,$AB:$AB,AB587,$AC:$AC,AC587,$AD:$AD,AD587,$AE:$AE,AE587,$AF:$AF,AF587,$AG:$AG,AG587,$AH:$AH,AH587,$AI:$AI,AI587)&gt;1,"Duplicate","Unique")</f>
        <v>Unique</v>
      </c>
    </row>
    <row r="588" spans="1:46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  <c r="W588" t="s">
        <v>2805</v>
      </c>
      <c r="Z588" t="s">
        <v>2808</v>
      </c>
      <c r="AA588" t="str">
        <v>Mira Das</v>
      </c>
      <c r="AB588" t="str">
        <f>TRIM(PROPER(F:F))</f>
        <v>Home Office</v>
      </c>
      <c r="AC588" t="str">
        <f>TRIM(PROPER(G:G))</f>
        <v>North</v>
      </c>
      <c r="AD588" t="str">
        <f>TRIM(PROPER(H:H))</f>
        <v>Punjab</v>
      </c>
      <c r="AE588" t="str">
        <f>TRIM(PROPER(I:I))</f>
        <v>Ludhiana</v>
      </c>
      <c r="AF588" t="str">
        <f>TRIM(PROPER(J:J))</f>
        <v>Office Supplies</v>
      </c>
      <c r="AG588" t="str">
        <f>TRIM(PROPER(K:K))</f>
        <v>Binders</v>
      </c>
      <c r="AH588" t="str">
        <f>TRIM(PROPER(L:L))</f>
        <v>Prime Binders 249</v>
      </c>
      <c r="AI588" t="str">
        <f>TRIM(PROPER(M:M))</f>
        <v>Second Class</v>
      </c>
      <c r="AJ588" s="5">
        <f>IF(OR(P588&lt;0,P588&gt;0.5),"invalid",P588)</f>
        <v>0.2</v>
      </c>
      <c r="AK588" s="6">
        <f>IFERROR(N588*O588*(1-AJ588), "NA")</f>
        <v>7471.52</v>
      </c>
      <c r="AL588" s="6">
        <f>IFERROR(AK588-R588,"NA")</f>
        <v>1287.2000000000007</v>
      </c>
      <c r="AM588" s="5">
        <f t="shared" si="45"/>
        <v>0.17228087457438387</v>
      </c>
      <c r="AN588" t="str">
        <v>12-04-25</v>
      </c>
      <c r="AO588" t="str">
        <v>12-04-25</v>
      </c>
      <c r="AP588" t="str">
        <f t="shared" si="46"/>
        <v>April</v>
      </c>
      <c r="AQ588" t="str">
        <f t="shared" si="47"/>
        <v>2025</v>
      </c>
      <c r="AR588" t="str">
        <f t="shared" si="48"/>
        <v xml:space="preserve"> </v>
      </c>
      <c r="AS588">
        <f t="shared" si="49"/>
        <v>0</v>
      </c>
      <c r="AT588" t="str">
        <f>IF(COUNTIFS( $A:$A,A588,$B:$B,B588,$C:$C,C588,$D:$D,D588,$E:$E,E588,$F:$F,F588,$G:$G,G588,$H:$H,H588,$I:$I,I588,$J:$J,J588,$K:$K,K588,$L:$L,L588,$M:$M,M588,$T:$T,T588,$U:$U,U588,$W:$W,W588,$Z:$Z,Z588,$AA:$AA,AA588,$AB:$AB,AB588,$AC:$AC,AC588,$AD:$AD,AD588,$AE:$AE,AE588,$AF:$AF,AF588,$AG:$AG,AG588,$AH:$AH,AH588,$AI:$AI,AI588)&gt;1,"Duplicate","Unique")</f>
        <v>Unique</v>
      </c>
    </row>
    <row r="589" spans="1:46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  <c r="W589" t="s">
        <v>2810</v>
      </c>
      <c r="Z589" t="s">
        <v>2813</v>
      </c>
      <c r="AA589" t="str">
        <v>Kabir Singh</v>
      </c>
      <c r="AB589" t="str">
        <f>TRIM(PROPER(F:F))</f>
        <v>Home Office</v>
      </c>
      <c r="AC589" t="str">
        <f>TRIM(PROPER(G:G))</f>
        <v>West</v>
      </c>
      <c r="AD589" t="str">
        <f>TRIM(PROPER(H:H))</f>
        <v>Madhya Pradesh</v>
      </c>
      <c r="AE589" t="str">
        <f>TRIM(PROPER(I:I))</f>
        <v>Indore</v>
      </c>
      <c r="AF589" t="str">
        <f>TRIM(PROPER(J:J))</f>
        <v>Technology</v>
      </c>
      <c r="AG589" t="str">
        <f>TRIM(PROPER(K:K))</f>
        <v>Accessories</v>
      </c>
      <c r="AH589" t="str">
        <f>TRIM(PROPER(L:L))</f>
        <v>Eco Accessories 948</v>
      </c>
      <c r="AI589" t="str">
        <f>TRIM(PROPER(M:M))</f>
        <v>First Class</v>
      </c>
      <c r="AJ589" s="5">
        <f>IF(OR(P589&lt;0,P589&gt;0.5),"invalid",P589)</f>
        <v>0.15</v>
      </c>
      <c r="AK589" s="6">
        <f>IFERROR(N589*O589*(1-AJ589), "NA")</f>
        <v>3615.7640000000001</v>
      </c>
      <c r="AL589" s="6">
        <f>IFERROR(AK589-R589,"NA")</f>
        <v>664.24400000000014</v>
      </c>
      <c r="AM589" s="5">
        <f t="shared" si="45"/>
        <v>0.18370778623826114</v>
      </c>
      <c r="AN589" t="str">
        <v>23-07-25</v>
      </c>
      <c r="AO589" t="str">
        <v>31-07-25</v>
      </c>
      <c r="AP589" t="str">
        <f t="shared" si="46"/>
        <v>July</v>
      </c>
      <c r="AQ589" t="str">
        <f t="shared" si="47"/>
        <v>2025</v>
      </c>
      <c r="AR589" t="str">
        <f t="shared" si="48"/>
        <v xml:space="preserve"> </v>
      </c>
      <c r="AS589">
        <f t="shared" si="49"/>
        <v>8</v>
      </c>
      <c r="AT589" t="str">
        <f>IF(COUNTIFS( $A:$A,A589,$B:$B,B589,$C:$C,C589,$D:$D,D589,$E:$E,E589,$F:$F,F589,$G:$G,G589,$H:$H,H589,$I:$I,I589,$J:$J,J589,$K:$K,K589,$L:$L,L589,$M:$M,M589,$T:$T,T589,$U:$U,U589,$W:$W,W589,$Z:$Z,Z589,$AA:$AA,AA589,$AB:$AB,AB589,$AC:$AC,AC589,$AD:$AD,AD589,$AE:$AE,AE589,$AF:$AF,AF589,$AG:$AG,AG589,$AH:$AH,AH589,$AI:$AI,AI589)&gt;1,"Duplicate","Unique")</f>
        <v>Unique</v>
      </c>
    </row>
    <row r="590" spans="1:46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  <c r="W590" t="s">
        <v>2815</v>
      </c>
      <c r="Z590" t="s">
        <v>2818</v>
      </c>
      <c r="AA590" t="str">
        <v>Aarav Sharma</v>
      </c>
      <c r="AB590" t="str">
        <f>TRIM(PROPER(F:F))</f>
        <v>Home Office</v>
      </c>
      <c r="AC590" t="str">
        <f>TRIM(PROPER(G:G))</f>
        <v>South</v>
      </c>
      <c r="AD590" t="str">
        <f>TRIM(PROPER(H:H))</f>
        <v>Karnataka</v>
      </c>
      <c r="AE590" t="str">
        <f>TRIM(PROPER(I:I))</f>
        <v>Bengaluru</v>
      </c>
      <c r="AF590" t="str">
        <f>TRIM(PROPER(J:J))</f>
        <v>Technology</v>
      </c>
      <c r="AG590" t="str">
        <f>TRIM(PROPER(K:K))</f>
        <v>Accessories</v>
      </c>
      <c r="AH590" t="str">
        <f>TRIM(PROPER(L:L))</f>
        <v>Classic Accessories 458</v>
      </c>
      <c r="AI590" t="str">
        <f>TRIM(PROPER(M:M))</f>
        <v>Second Class</v>
      </c>
      <c r="AJ590" s="5">
        <f>IF(OR(P590&lt;0,P590&gt;0.5),"invalid",P590)</f>
        <v>0.1</v>
      </c>
      <c r="AK590" s="6">
        <f>IFERROR(N590*O590*(1-AJ590), "NA")</f>
        <v>32013.791999999998</v>
      </c>
      <c r="AL590" s="6">
        <f>IFERROR(AK590-R590,"NA")</f>
        <v>11116.911999999997</v>
      </c>
      <c r="AM590" s="5">
        <f t="shared" si="45"/>
        <v>0.34725383359771933</v>
      </c>
      <c r="AN590" t="str">
        <v>11-03-25</v>
      </c>
      <c r="AO590" t="str">
        <v>15-03-25</v>
      </c>
      <c r="AP590" t="str">
        <f t="shared" si="46"/>
        <v>March</v>
      </c>
      <c r="AQ590" t="str">
        <f t="shared" si="47"/>
        <v>2025</v>
      </c>
      <c r="AR590" t="str">
        <f t="shared" si="48"/>
        <v xml:space="preserve"> </v>
      </c>
      <c r="AS590">
        <f t="shared" si="49"/>
        <v>4</v>
      </c>
      <c r="AT590" t="str">
        <f>IF(COUNTIFS( $A:$A,A590,$B:$B,B590,$C:$C,C590,$D:$D,D590,$E:$E,E590,$F:$F,F590,$G:$G,G590,$H:$H,H590,$I:$I,I590,$J:$J,J590,$K:$K,K590,$L:$L,L590,$M:$M,M590,$T:$T,T590,$U:$U,U590,$W:$W,W590,$Z:$Z,Z590,$AA:$AA,AA590,$AB:$AB,AB590,$AC:$AC,AC590,$AD:$AD,AD590,$AE:$AE,AE590,$AF:$AF,AF590,$AG:$AG,AG590,$AH:$AH,AH590,$AI:$AI,AI590)&gt;1,"Duplicate","Unique")</f>
        <v>Unique</v>
      </c>
    </row>
    <row r="591" spans="1:46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  <c r="W591" t="s">
        <v>2820</v>
      </c>
      <c r="Z591" t="s">
        <v>2823</v>
      </c>
      <c r="AA591" t="str">
        <v>Rohan Mehta</v>
      </c>
      <c r="AB591" t="str">
        <f>TRIM(PROPER(F:F))</f>
        <v>Corporate</v>
      </c>
      <c r="AC591" t="str">
        <f>TRIM(PROPER(G:G))</f>
        <v>North</v>
      </c>
      <c r="AD591" t="str">
        <f>TRIM(PROPER(H:H))</f>
        <v>Uttar Pradesh</v>
      </c>
      <c r="AE591" t="str">
        <f>TRIM(PROPER(I:I))</f>
        <v>Noida</v>
      </c>
      <c r="AF591" t="str">
        <f>TRIM(PROPER(J:J))</f>
        <v>Technology</v>
      </c>
      <c r="AG591" t="str">
        <f>TRIM(PROPER(K:K))</f>
        <v>Phones</v>
      </c>
      <c r="AH591" t="str">
        <f>TRIM(PROPER(L:L))</f>
        <v>Max Phones 318</v>
      </c>
      <c r="AI591" t="str">
        <f>TRIM(PROPER(M:M))</f>
        <v>First Class</v>
      </c>
      <c r="AJ591" s="5">
        <f>IF(OR(P591&lt;0,P591&gt;0.5),"invalid",P591)</f>
        <v>0</v>
      </c>
      <c r="AK591" s="6">
        <f>IFERROR(N591*O591*(1-AJ591), "NA")</f>
        <v>1574.25</v>
      </c>
      <c r="AL591" s="6">
        <f>IFERROR(AK591-R591,"NA")</f>
        <v>248.13000000000011</v>
      </c>
      <c r="AM591" s="5">
        <f t="shared" si="45"/>
        <v>0.15761791329204389</v>
      </c>
      <c r="AN591" t="str">
        <v>06-12-24</v>
      </c>
      <c r="AO591" t="str">
        <v>12-12-24</v>
      </c>
      <c r="AP591" t="str">
        <f t="shared" si="46"/>
        <v>December</v>
      </c>
      <c r="AQ591" t="str">
        <f t="shared" si="47"/>
        <v>2024</v>
      </c>
      <c r="AR591" t="str">
        <f t="shared" si="48"/>
        <v xml:space="preserve"> </v>
      </c>
      <c r="AS591">
        <f t="shared" si="49"/>
        <v>6</v>
      </c>
      <c r="AT591" t="str">
        <f>IF(COUNTIFS( $A:$A,A591,$B:$B,B591,$C:$C,C591,$D:$D,D591,$E:$E,E591,$F:$F,F591,$G:$G,G591,$H:$H,H591,$I:$I,I591,$J:$J,J591,$K:$K,K591,$L:$L,L591,$M:$M,M591,$T:$T,T591,$U:$U,U591,$W:$W,W591,$Z:$Z,Z591,$AA:$AA,AA591,$AB:$AB,AB591,$AC:$AC,AC591,$AD:$AD,AD591,$AE:$AE,AE591,$AF:$AF,AF591,$AG:$AG,AG591,$AH:$AH,AH591,$AI:$AI,AI591)&gt;1,"Duplicate","Unique")</f>
        <v>Unique</v>
      </c>
    </row>
    <row r="592" spans="1:46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  <c r="W592" t="s">
        <v>2825</v>
      </c>
      <c r="Z592" t="s">
        <v>2827</v>
      </c>
      <c r="AA592" t="str">
        <v>Aarav Sharma</v>
      </c>
      <c r="AB592" t="str">
        <f>TRIM(PROPER(F:F))</f>
        <v>Home Office</v>
      </c>
      <c r="AC592" t="str">
        <f>TRIM(PROPER(G:G))</f>
        <v>North</v>
      </c>
      <c r="AD592" t="str">
        <f>TRIM(PROPER(H:H))</f>
        <v>Delhi</v>
      </c>
      <c r="AE592" t="str">
        <f>TRIM(PROPER(I:I))</f>
        <v>New Delhi</v>
      </c>
      <c r="AF592" t="str">
        <f>TRIM(PROPER(J:J))</f>
        <v>Furniture</v>
      </c>
      <c r="AG592" t="str">
        <f>TRIM(PROPER(K:K))</f>
        <v>Chairs</v>
      </c>
      <c r="AH592" t="str">
        <f>TRIM(PROPER(L:L))</f>
        <v>Elite Chairs 372</v>
      </c>
      <c r="AI592" t="str">
        <f>TRIM(PROPER(M:M))</f>
        <v>Same Day</v>
      </c>
      <c r="AJ592" s="5">
        <f>IF(OR(P592&lt;0,P592&gt;0.5),"invalid",P592)</f>
        <v>0</v>
      </c>
      <c r="AK592" s="6">
        <f>IFERROR(N592*O592*(1-AJ592), "NA")</f>
        <v>20582.099999999999</v>
      </c>
      <c r="AL592" s="6">
        <f>IFERROR(AK592-R592,"NA")</f>
        <v>4684.4499999999989</v>
      </c>
      <c r="AM592" s="5">
        <f t="shared" si="45"/>
        <v>0.22759825285077806</v>
      </c>
      <c r="AN592" t="str">
        <v>29-05-24</v>
      </c>
      <c r="AO592" t="str">
        <v>29-05-24</v>
      </c>
      <c r="AP592" t="str">
        <f t="shared" si="46"/>
        <v>May</v>
      </c>
      <c r="AQ592" t="str">
        <f t="shared" si="47"/>
        <v>2024</v>
      </c>
      <c r="AR592" t="str">
        <f t="shared" si="48"/>
        <v xml:space="preserve"> </v>
      </c>
      <c r="AS592">
        <f t="shared" si="49"/>
        <v>0</v>
      </c>
      <c r="AT592" t="str">
        <f>IF(COUNTIFS( $A:$A,A592,$B:$B,B592,$C:$C,C592,$D:$D,D592,$E:$E,E592,$F:$F,F592,$G:$G,G592,$H:$H,H592,$I:$I,I592,$J:$J,J592,$K:$K,K592,$L:$L,L592,$M:$M,M592,$T:$T,T592,$U:$U,U592,$W:$W,W592,$Z:$Z,Z592,$AA:$AA,AA592,$AB:$AB,AB592,$AC:$AC,AC592,$AD:$AD,AD592,$AE:$AE,AE592,$AF:$AF,AF592,$AG:$AG,AG592,$AH:$AH,AH592,$AI:$AI,AI592)&gt;1,"Duplicate","Unique")</f>
        <v>Unique</v>
      </c>
    </row>
    <row r="593" spans="1:46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  <c r="W593" t="s">
        <v>2829</v>
      </c>
      <c r="Z593" t="s">
        <v>2832</v>
      </c>
      <c r="AA593" t="str">
        <v>Sneha Kapoor</v>
      </c>
      <c r="AB593" t="str">
        <f>TRIM(PROPER(F:F))</f>
        <v>Consumer</v>
      </c>
      <c r="AC593" t="str">
        <f>TRIM(PROPER(G:G))</f>
        <v>South</v>
      </c>
      <c r="AD593" t="str">
        <f>TRIM(PROPER(H:H))</f>
        <v>Karnataka</v>
      </c>
      <c r="AE593" t="str">
        <f>TRIM(PROPER(I:I))</f>
        <v>Bengaluru</v>
      </c>
      <c r="AF593" t="str">
        <f>TRIM(PROPER(J:J))</f>
        <v>Technology</v>
      </c>
      <c r="AG593" t="str">
        <f>TRIM(PROPER(K:K))</f>
        <v>Copiers</v>
      </c>
      <c r="AH593" t="str">
        <f>TRIM(PROPER(L:L))</f>
        <v>Eco Copiers 324</v>
      </c>
      <c r="AI593" t="str">
        <f>TRIM(PROPER(M:M))</f>
        <v>First Class</v>
      </c>
      <c r="AJ593" s="5">
        <f>IF(OR(P593&lt;0,P593&gt;0.5),"invalid",P593)</f>
        <v>0</v>
      </c>
      <c r="AK593" s="6">
        <f>IFERROR(N593*O593*(1-AJ593), "NA")</f>
        <v>10635.24</v>
      </c>
      <c r="AL593" s="6">
        <f>IFERROR(AK593-R593,"NA")</f>
        <v>4603.3599999999997</v>
      </c>
      <c r="AM593" s="5">
        <f t="shared" si="45"/>
        <v>0.43284025560307055</v>
      </c>
      <c r="AN593" t="str">
        <v>22-02-24</v>
      </c>
      <c r="AO593" t="str">
        <v>24-02-24</v>
      </c>
      <c r="AP593" t="str">
        <f t="shared" si="46"/>
        <v>February</v>
      </c>
      <c r="AQ593" t="str">
        <f t="shared" si="47"/>
        <v>2024</v>
      </c>
      <c r="AR593" t="str">
        <f t="shared" si="48"/>
        <v xml:space="preserve"> </v>
      </c>
      <c r="AS593">
        <f t="shared" si="49"/>
        <v>2</v>
      </c>
      <c r="AT593" t="str">
        <f>IF(COUNTIFS( $A:$A,A593,$B:$B,B593,$C:$C,C593,$D:$D,D593,$E:$E,E593,$F:$F,F593,$G:$G,G593,$H:$H,H593,$I:$I,I593,$J:$J,J593,$K:$K,K593,$L:$L,L593,$M:$M,M593,$T:$T,T593,$U:$U,U593,$W:$W,W593,$Z:$Z,Z593,$AA:$AA,AA593,$AB:$AB,AB593,$AC:$AC,AC593,$AD:$AD,AD593,$AE:$AE,AE593,$AF:$AF,AF593,$AG:$AG,AG593,$AH:$AH,AH593,$AI:$AI,AI593)&gt;1,"Duplicate","Unique")</f>
        <v>Unique</v>
      </c>
    </row>
    <row r="594" spans="1:46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  <c r="W594" t="s">
        <v>2834</v>
      </c>
      <c r="Z594" t="s">
        <v>2835</v>
      </c>
      <c r="AA594" t="str">
        <v>Mira Das</v>
      </c>
      <c r="AB594" t="str">
        <f>TRIM(PROPER(F:F))</f>
        <v>Consumer</v>
      </c>
      <c r="AC594" t="str">
        <f>TRIM(PROPER(G:G))</f>
        <v>East</v>
      </c>
      <c r="AD594" t="str">
        <f>TRIM(PROPER(H:H))</f>
        <v>West Bengal</v>
      </c>
      <c r="AE594" t="str">
        <f>TRIM(PROPER(I:I))</f>
        <v>Kolkata</v>
      </c>
      <c r="AF594" t="str">
        <f>TRIM(PROPER(J:J))</f>
        <v>Technology</v>
      </c>
      <c r="AG594" t="str">
        <f>TRIM(PROPER(K:K))</f>
        <v>Accessories</v>
      </c>
      <c r="AH594" t="str">
        <f>TRIM(PROPER(L:L))</f>
        <v>Classic Accessories 131</v>
      </c>
      <c r="AI594" t="str">
        <f>TRIM(PROPER(M:M))</f>
        <v>Same Day</v>
      </c>
      <c r="AJ594" s="5">
        <f>IF(OR(P594&lt;0,P594&gt;0.5),"invalid",P594)</f>
        <v>0.15</v>
      </c>
      <c r="AK594" s="6">
        <f>IFERROR(N594*O594*(1-AJ594), "NA")</f>
        <v>29929.588</v>
      </c>
      <c r="AL594" s="6">
        <f>IFERROR(AK594-R594,"NA")</f>
        <v>7493.5580000000009</v>
      </c>
      <c r="AM594" s="5">
        <f t="shared" si="45"/>
        <v>0.25037290857461858</v>
      </c>
      <c r="AN594" t="str">
        <v>04-03-24</v>
      </c>
      <c r="AO594" t="str">
        <v>09-03-24</v>
      </c>
      <c r="AP594" t="str">
        <f t="shared" si="46"/>
        <v>March</v>
      </c>
      <c r="AQ594" t="str">
        <f t="shared" si="47"/>
        <v>2024</v>
      </c>
      <c r="AR594" t="str">
        <f t="shared" si="48"/>
        <v xml:space="preserve"> </v>
      </c>
      <c r="AS594">
        <f t="shared" si="49"/>
        <v>5</v>
      </c>
      <c r="AT594" t="str">
        <f>IF(COUNTIFS( $A:$A,A594,$B:$B,B594,$C:$C,C594,$D:$D,D594,$E:$E,E594,$F:$F,F594,$G:$G,G594,$H:$H,H594,$I:$I,I594,$J:$J,J594,$K:$K,K594,$L:$L,L594,$M:$M,M594,$T:$T,T594,$U:$U,U594,$W:$W,W594,$Z:$Z,Z594,$AA:$AA,AA594,$AB:$AB,AB594,$AC:$AC,AC594,$AD:$AD,AD594,$AE:$AE,AE594,$AF:$AF,AF594,$AG:$AG,AG594,$AH:$AH,AH594,$AI:$AI,AI594)&gt;1,"Duplicate","Unique")</f>
        <v>Unique</v>
      </c>
    </row>
    <row r="595" spans="1:46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  <c r="W595" t="s">
        <v>2837</v>
      </c>
      <c r="Z595" t="s">
        <v>2529</v>
      </c>
      <c r="AA595" t="str">
        <v>Arjun Bose</v>
      </c>
      <c r="AB595" t="str">
        <f>TRIM(PROPER(F:F))</f>
        <v>Home Office</v>
      </c>
      <c r="AC595" t="str">
        <f>TRIM(PROPER(G:G))</f>
        <v>North</v>
      </c>
      <c r="AD595" t="str">
        <f>TRIM(PROPER(H:H))</f>
        <v>Uttar Pradesh</v>
      </c>
      <c r="AE595" t="str">
        <f>TRIM(PROPER(I:I))</f>
        <v>Noida</v>
      </c>
      <c r="AF595" t="str">
        <f>TRIM(PROPER(J:J))</f>
        <v>Furniture</v>
      </c>
      <c r="AG595" t="str">
        <f>TRIM(PROPER(K:K))</f>
        <v>Tables</v>
      </c>
      <c r="AH595" t="str">
        <f>TRIM(PROPER(L:L))</f>
        <v>Eco Tables 550</v>
      </c>
      <c r="AI595" t="str">
        <f>TRIM(PROPER(M:M))</f>
        <v>Second Class</v>
      </c>
      <c r="AJ595" s="5">
        <f>IF(OR(P595&lt;0,P595&gt;0.5),"invalid",P595)</f>
        <v>0.25</v>
      </c>
      <c r="AK595" s="6">
        <f>IFERROR(N595*O595*(1-AJ595), "NA")</f>
        <v>27675.7425</v>
      </c>
      <c r="AL595" s="6">
        <f>IFERROR(AK595-R595,"NA")</f>
        <v>12104.6625</v>
      </c>
      <c r="AM595" s="5">
        <f t="shared" si="45"/>
        <v>0.4373744444254748</v>
      </c>
      <c r="AN595" t="str">
        <v>invalid date</v>
      </c>
      <c r="AO595" t="str">
        <v>29-09-25</v>
      </c>
      <c r="AP595" t="str">
        <f t="shared" si="46"/>
        <v>invalid date</v>
      </c>
      <c r="AQ595" t="str">
        <f t="shared" si="47"/>
        <v>invalid date</v>
      </c>
      <c r="AR595" t="str">
        <f t="shared" si="48"/>
        <v>Invalid</v>
      </c>
      <c r="AS595" t="str">
        <f t="shared" si="49"/>
        <v>invalid date</v>
      </c>
      <c r="AT595" t="str">
        <f>IF(COUNTIFS( $A:$A,A595,$B:$B,B595,$C:$C,C595,$D:$D,D595,$E:$E,E595,$F:$F,F595,$G:$G,G595,$H:$H,H595,$I:$I,I595,$J:$J,J595,$K:$K,K595,$L:$L,L595,$M:$M,M595,$T:$T,T595,$U:$U,U595,$W:$W,W595,$Z:$Z,Z595,$AA:$AA,AA595,$AB:$AB,AB595,$AC:$AC,AC595,$AD:$AD,AD595,$AE:$AE,AE595,$AF:$AF,AF595,$AG:$AG,AG595,$AH:$AH,AH595,$AI:$AI,AI595)&gt;1,"Duplicate","Unique")</f>
        <v>Unique</v>
      </c>
    </row>
    <row r="596" spans="1:46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  <c r="W596" t="s">
        <v>2840</v>
      </c>
      <c r="Z596" t="s">
        <v>2842</v>
      </c>
      <c r="AA596" t="str">
        <v>Karan Malhotra</v>
      </c>
      <c r="AB596" t="str">
        <f>TRIM(PROPER(F:F))</f>
        <v>Small Business</v>
      </c>
      <c r="AC596" t="str">
        <f>TRIM(PROPER(G:G))</f>
        <v>East</v>
      </c>
      <c r="AD596" t="str">
        <f>TRIM(PROPER(H:H))</f>
        <v>West Bengal</v>
      </c>
      <c r="AE596" t="str">
        <f>TRIM(PROPER(I:I))</f>
        <v>Kolkata</v>
      </c>
      <c r="AF596" t="str">
        <f>TRIM(PROPER(J:J))</f>
        <v>Furniture</v>
      </c>
      <c r="AG596" t="str">
        <f>TRIM(PROPER(K:K))</f>
        <v>Chairs</v>
      </c>
      <c r="AH596" t="str">
        <f>TRIM(PROPER(L:L))</f>
        <v>Basic Chairs 932</v>
      </c>
      <c r="AI596" t="str">
        <f>TRIM(PROPER(M:M))</f>
        <v>First Class</v>
      </c>
      <c r="AJ596" s="5">
        <f>IF(OR(P596&lt;0,P596&gt;0.5),"invalid",P596)</f>
        <v>0</v>
      </c>
      <c r="AK596" s="6">
        <f>IFERROR(N596*O596*(1-AJ596), "NA")</f>
        <v>11945.28</v>
      </c>
      <c r="AL596" s="6">
        <f>IFERROR(AK596-R596,"NA")</f>
        <v>2244.9700000000012</v>
      </c>
      <c r="AM596" s="5">
        <f t="shared" si="45"/>
        <v>0.18793782983739193</v>
      </c>
      <c r="AN596" t="str">
        <v>19-09-24</v>
      </c>
      <c r="AO596" t="str">
        <v>21-09-24</v>
      </c>
      <c r="AP596" t="str">
        <f t="shared" si="46"/>
        <v>September</v>
      </c>
      <c r="AQ596" t="str">
        <f t="shared" si="47"/>
        <v>2024</v>
      </c>
      <c r="AR596" t="str">
        <f t="shared" si="48"/>
        <v xml:space="preserve"> </v>
      </c>
      <c r="AS596">
        <f t="shared" si="49"/>
        <v>2</v>
      </c>
      <c r="AT596" t="str">
        <f>IF(COUNTIFS( $A:$A,A596,$B:$B,B596,$C:$C,C596,$D:$D,D596,$E:$E,E596,$F:$F,F596,$G:$G,G596,$H:$H,H596,$I:$I,I596,$J:$J,J596,$K:$K,K596,$L:$L,L596,$M:$M,M596,$T:$T,T596,$U:$U,U596,$W:$W,W596,$Z:$Z,Z596,$AA:$AA,AA596,$AB:$AB,AB596,$AC:$AC,AC596,$AD:$AD,AD596,$AE:$AE,AE596,$AF:$AF,AF596,$AG:$AG,AG596,$AH:$AH,AH596,$AI:$AI,AI596)&gt;1,"Duplicate","Unique")</f>
        <v>Unique</v>
      </c>
    </row>
    <row r="597" spans="1:46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  <c r="W597" t="s">
        <v>2844</v>
      </c>
      <c r="Z597" t="s">
        <v>2847</v>
      </c>
      <c r="AA597" t="str">
        <v>Mira Das</v>
      </c>
      <c r="AB597" t="str">
        <f>TRIM(PROPER(F:F))</f>
        <v>Corporate</v>
      </c>
      <c r="AC597" t="str">
        <f>TRIM(PROPER(G:G))</f>
        <v>North</v>
      </c>
      <c r="AD597" t="str">
        <f>TRIM(PROPER(H:H))</f>
        <v>Uttar Pradesh</v>
      </c>
      <c r="AE597" t="str">
        <f>TRIM(PROPER(I:I))</f>
        <v>Noida</v>
      </c>
      <c r="AF597" t="str">
        <f>TRIM(PROPER(J:J))</f>
        <v>Technology</v>
      </c>
      <c r="AG597" t="str">
        <f>TRIM(PROPER(K:K))</f>
        <v>Phones</v>
      </c>
      <c r="AH597" t="str">
        <f>TRIM(PROPER(L:L))</f>
        <v>Classic Phones 294</v>
      </c>
      <c r="AI597" t="str">
        <f>TRIM(PROPER(M:M))</f>
        <v>First Class</v>
      </c>
      <c r="AJ597" s="5">
        <f>IF(OR(P597&lt;0,P597&gt;0.5),"invalid",P597)</f>
        <v>0.1</v>
      </c>
      <c r="AK597" s="6">
        <f>IFERROR(N597*O597*(1-AJ597), "NA")</f>
        <v>13144.031999999999</v>
      </c>
      <c r="AL597" s="6">
        <f>IFERROR(AK597-R597,"NA")</f>
        <v>3380.0319999999992</v>
      </c>
      <c r="AM597" s="5">
        <f t="shared" si="45"/>
        <v>0.25715336055176974</v>
      </c>
      <c r="AN597" t="str">
        <v>02-11-25</v>
      </c>
      <c r="AO597" t="str">
        <v>16-02-25</v>
      </c>
      <c r="AP597" t="str">
        <f t="shared" si="46"/>
        <v>November</v>
      </c>
      <c r="AQ597" t="str">
        <f t="shared" si="47"/>
        <v>2025</v>
      </c>
      <c r="AR597" t="str">
        <f t="shared" si="48"/>
        <v xml:space="preserve"> </v>
      </c>
      <c r="AS597">
        <f t="shared" si="49"/>
        <v>-259</v>
      </c>
      <c r="AT597" t="str">
        <f>IF(COUNTIFS( $A:$A,A597,$B:$B,B597,$C:$C,C597,$D:$D,D597,$E:$E,E597,$F:$F,F597,$G:$G,G597,$H:$H,H597,$I:$I,I597,$J:$J,J597,$K:$K,K597,$L:$L,L597,$M:$M,M597,$T:$T,T597,$U:$U,U597,$W:$W,W597,$Z:$Z,Z597,$AA:$AA,AA597,$AB:$AB,AB597,$AC:$AC,AC597,$AD:$AD,AD597,$AE:$AE,AE597,$AF:$AF,AF597,$AG:$AG,AG597,$AH:$AH,AH597,$AI:$AI,AI597)&gt;1,"Duplicate","Unique")</f>
        <v>Unique</v>
      </c>
    </row>
    <row r="598" spans="1:46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  <c r="W598" t="s">
        <v>2849</v>
      </c>
      <c r="Z598" t="s">
        <v>2850</v>
      </c>
      <c r="AA598" t="str">
        <v>Aditi Sen</v>
      </c>
      <c r="AB598" t="str">
        <f>TRIM(PROPER(F:F))</f>
        <v>Consumer</v>
      </c>
      <c r="AC598" t="str">
        <f>TRIM(PROPER(G:G))</f>
        <v>South</v>
      </c>
      <c r="AD598" t="str">
        <f>TRIM(PROPER(H:H))</f>
        <v>Kerala</v>
      </c>
      <c r="AE598" t="str">
        <f>TRIM(PROPER(I:I))</f>
        <v>Kochi</v>
      </c>
      <c r="AF598" t="str">
        <f>TRIM(PROPER(J:J))</f>
        <v>Furniture</v>
      </c>
      <c r="AG598" t="str">
        <f>TRIM(PROPER(K:K))</f>
        <v>Chairs</v>
      </c>
      <c r="AH598" t="str">
        <f>TRIM(PROPER(L:L))</f>
        <v>Elite Chairs 700</v>
      </c>
      <c r="AI598" t="str">
        <f>TRIM(PROPER(M:M))</f>
        <v>Second Class</v>
      </c>
      <c r="AJ598" s="5">
        <f>IF(OR(P598&lt;0,P598&gt;0.5),"invalid",P598)</f>
        <v>0.25</v>
      </c>
      <c r="AK598" s="6">
        <f>IFERROR(N598*O598*(1-AJ598), "NA")</f>
        <v>18382.005000000005</v>
      </c>
      <c r="AL598" s="6">
        <f>IFERROR(AK598-R598,"NA")</f>
        <v>5273.8050000000039</v>
      </c>
      <c r="AM598" s="5">
        <f t="shared" si="45"/>
        <v>0.28690042245119629</v>
      </c>
      <c r="AN598" t="str">
        <v>10-04-24</v>
      </c>
      <c r="AO598" t="str">
        <v>invalid date</v>
      </c>
      <c r="AP598" t="str">
        <f t="shared" si="46"/>
        <v>April</v>
      </c>
      <c r="AQ598" t="str">
        <f t="shared" si="47"/>
        <v>2024</v>
      </c>
      <c r="AR598" t="str">
        <f t="shared" si="48"/>
        <v>Invalid</v>
      </c>
      <c r="AS598" t="str">
        <f t="shared" si="49"/>
        <v>invalid date</v>
      </c>
      <c r="AT598" t="str">
        <f>IF(COUNTIFS( $A:$A,A598,$B:$B,B598,$C:$C,C598,$D:$D,D598,$E:$E,E598,$F:$F,F598,$G:$G,G598,$H:$H,H598,$I:$I,I598,$J:$J,J598,$K:$K,K598,$L:$L,L598,$M:$M,M598,$T:$T,T598,$U:$U,U598,$W:$W,W598,$Z:$Z,Z598,$AA:$AA,AA598,$AB:$AB,AB598,$AC:$AC,AC598,$AD:$AD,AD598,$AE:$AE,AE598,$AF:$AF,AF598,$AG:$AG,AG598,$AH:$AH,AH598,$AI:$AI,AI598)&gt;1,"Duplicate","Unique")</f>
        <v>Unique</v>
      </c>
    </row>
    <row r="599" spans="1:46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  <c r="W599" t="s">
        <v>2852</v>
      </c>
      <c r="Z599" t="s">
        <v>2854</v>
      </c>
      <c r="AA599" t="str">
        <v>Aditi Sen</v>
      </c>
      <c r="AB599" t="str">
        <f>TRIM(PROPER(F:F))</f>
        <v>Consumer</v>
      </c>
      <c r="AC599" t="str">
        <f>TRIM(PROPER(G:G))</f>
        <v>South</v>
      </c>
      <c r="AD599" t="str">
        <f>TRIM(PROPER(H:H))</f>
        <v>Telangana</v>
      </c>
      <c r="AE599" t="str">
        <f>TRIM(PROPER(I:I))</f>
        <v>Hyderabad</v>
      </c>
      <c r="AF599" t="str">
        <f>TRIM(PROPER(J:J))</f>
        <v>Technology</v>
      </c>
      <c r="AG599" t="str">
        <f>TRIM(PROPER(K:K))</f>
        <v>Copiers</v>
      </c>
      <c r="AH599" t="str">
        <f>TRIM(PROPER(L:L))</f>
        <v>Prime Copiers 969</v>
      </c>
      <c r="AI599" t="str">
        <f>TRIM(PROPER(M:M))</f>
        <v>Same Day</v>
      </c>
      <c r="AJ599" s="5">
        <f>IF(OR(P599&lt;0,P599&gt;0.5),"invalid",P599)</f>
        <v>0.25</v>
      </c>
      <c r="AK599" s="6">
        <f>IFERROR(N599*O599*(1-AJ599), "NA")</f>
        <v>1855.44</v>
      </c>
      <c r="AL599" s="6">
        <f>IFERROR(AK599-R599,"NA")</f>
        <v>592.70000000000005</v>
      </c>
      <c r="AM599" s="5">
        <f t="shared" si="45"/>
        <v>0.3194390548872505</v>
      </c>
      <c r="AN599" t="str">
        <v>08-07-25</v>
      </c>
      <c r="AO599" t="str">
        <v>07-08-25</v>
      </c>
      <c r="AP599" t="str">
        <f t="shared" si="46"/>
        <v>July</v>
      </c>
      <c r="AQ599" t="str">
        <f t="shared" si="47"/>
        <v>2025</v>
      </c>
      <c r="AR599" t="str">
        <f t="shared" si="48"/>
        <v>anomaly</v>
      </c>
      <c r="AS599">
        <f t="shared" si="49"/>
        <v>30</v>
      </c>
      <c r="AT599" t="str">
        <f>IF(COUNTIFS( $A:$A,A599,$B:$B,B599,$C:$C,C599,$D:$D,D599,$E:$E,E599,$F:$F,F599,$G:$G,G599,$H:$H,H599,$I:$I,I599,$J:$J,J599,$K:$K,K599,$L:$L,L599,$M:$M,M599,$T:$T,T599,$U:$U,U599,$W:$W,W599,$Z:$Z,Z599,$AA:$AA,AA599,$AB:$AB,AB599,$AC:$AC,AC599,$AD:$AD,AD599,$AE:$AE,AE599,$AF:$AF,AF599,$AG:$AG,AG599,$AH:$AH,AH599,$AI:$AI,AI599)&gt;1,"Duplicate","Unique")</f>
        <v>Unique</v>
      </c>
    </row>
    <row r="600" spans="1:46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  <c r="W600" t="s">
        <v>2856</v>
      </c>
      <c r="Z600" t="s">
        <v>2858</v>
      </c>
      <c r="AA600" t="str">
        <v>Ananya Rao</v>
      </c>
      <c r="AB600" t="str">
        <f>TRIM(PROPER(F:F))</f>
        <v>Corporate</v>
      </c>
      <c r="AC600" t="str">
        <f>TRIM(PROPER(G:G))</f>
        <v>East</v>
      </c>
      <c r="AD600" t="str">
        <f>TRIM(PROPER(H:H))</f>
        <v>West Bengal</v>
      </c>
      <c r="AE600" t="str">
        <f>TRIM(PROPER(I:I))</f>
        <v>Kolkata</v>
      </c>
      <c r="AF600" t="str">
        <f>TRIM(PROPER(J:J))</f>
        <v>Technology</v>
      </c>
      <c r="AG600" t="str">
        <f>TRIM(PROPER(K:K))</f>
        <v>Copiers</v>
      </c>
      <c r="AH600" t="str">
        <f>TRIM(PROPER(L:L))</f>
        <v>Eco Copiers 268</v>
      </c>
      <c r="AI600" t="str">
        <f>TRIM(PROPER(M:M))</f>
        <v>Same Day</v>
      </c>
      <c r="AJ600" s="5">
        <f>IF(OR(P600&lt;0,P600&gt;0.5),"invalid",P600)</f>
        <v>0.25</v>
      </c>
      <c r="AK600" s="6">
        <f>IFERROR(N600*O600*(1-AJ600), "NA")</f>
        <v>3354.0524999999998</v>
      </c>
      <c r="AL600" s="6">
        <f>IFERROR(AK600-R600,"NA")</f>
        <v>681.38249999999971</v>
      </c>
      <c r="AM600" s="5">
        <f t="shared" si="45"/>
        <v>0.20315200790685289</v>
      </c>
      <c r="AN600" t="str">
        <v>invalid date</v>
      </c>
      <c r="AO600" t="str">
        <v>invalid date</v>
      </c>
      <c r="AP600" t="str">
        <f t="shared" si="46"/>
        <v>invalid date</v>
      </c>
      <c r="AQ600" t="str">
        <f t="shared" si="47"/>
        <v>invalid date</v>
      </c>
      <c r="AR600" t="str">
        <f t="shared" si="48"/>
        <v>Invalid</v>
      </c>
      <c r="AS600" t="str">
        <f t="shared" si="49"/>
        <v>invalid date</v>
      </c>
      <c r="AT600" t="str">
        <f>IF(COUNTIFS( $A:$A,A600,$B:$B,B600,$C:$C,C600,$D:$D,D600,$E:$E,E600,$F:$F,F600,$G:$G,G600,$H:$H,H600,$I:$I,I600,$J:$J,J600,$K:$K,K600,$L:$L,L600,$M:$M,M600,$T:$T,T600,$U:$U,U600,$W:$W,W600,$Z:$Z,Z600,$AA:$AA,AA600,$AB:$AB,AB600,$AC:$AC,AC600,$AD:$AD,AD600,$AE:$AE,AE600,$AF:$AF,AF600,$AG:$AG,AG600,$AH:$AH,AH600,$AI:$AI,AI600)&gt;1,"Duplicate","Unique")</f>
        <v>Unique</v>
      </c>
    </row>
    <row r="601" spans="1:46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  <c r="W601" t="s">
        <v>2860</v>
      </c>
      <c r="Z601" t="s">
        <v>2862</v>
      </c>
      <c r="AA601" t="str">
        <v>Arjun Bose</v>
      </c>
      <c r="AB601" t="str">
        <f>TRIM(PROPER(F:F))</f>
        <v>Consumer</v>
      </c>
      <c r="AC601" t="str">
        <f>TRIM(PROPER(G:G))</f>
        <v>North</v>
      </c>
      <c r="AD601" t="str">
        <f>TRIM(PROPER(H:H))</f>
        <v>Punjab</v>
      </c>
      <c r="AE601" t="str">
        <f>TRIM(PROPER(I:I))</f>
        <v>Ludhiana</v>
      </c>
      <c r="AF601" t="str">
        <f>TRIM(PROPER(J:J))</f>
        <v>Technology</v>
      </c>
      <c r="AG601" t="str">
        <f>TRIM(PROPER(K:K))</f>
        <v>Phones</v>
      </c>
      <c r="AH601" t="str">
        <f>TRIM(PROPER(L:L))</f>
        <v>Pro Phones 588</v>
      </c>
      <c r="AI601" t="str">
        <f>TRIM(PROPER(M:M))</f>
        <v>First Class</v>
      </c>
      <c r="AJ601" s="5">
        <f>IF(OR(P601&lt;0,P601&gt;0.5),"invalid",P601)</f>
        <v>0.25</v>
      </c>
      <c r="AK601" s="6">
        <f>IFERROR(N601*O601*(1-AJ601), "NA")</f>
        <v>2482.9650000000001</v>
      </c>
      <c r="AL601" s="6">
        <f>IFERROR(AK601-R601,"NA")</f>
        <v>861.24500000000012</v>
      </c>
      <c r="AM601" s="5">
        <f t="shared" si="45"/>
        <v>0.34686151435884116</v>
      </c>
      <c r="AN601" t="str">
        <v>19-08-24</v>
      </c>
      <c r="AO601" t="str">
        <v>21-08-24</v>
      </c>
      <c r="AP601" t="str">
        <f t="shared" si="46"/>
        <v>August</v>
      </c>
      <c r="AQ601" t="str">
        <f t="shared" si="47"/>
        <v>2024</v>
      </c>
      <c r="AR601" t="str">
        <f t="shared" si="48"/>
        <v xml:space="preserve"> </v>
      </c>
      <c r="AS601">
        <f t="shared" si="49"/>
        <v>2</v>
      </c>
      <c r="AT601" t="str">
        <f>IF(COUNTIFS( $A:$A,A601,$B:$B,B601,$C:$C,C601,$D:$D,D601,$E:$E,E601,$F:$F,F601,$G:$G,G601,$H:$H,H601,$I:$I,I601,$J:$J,J601,$K:$K,K601,$L:$L,L601,$M:$M,M601,$T:$T,T601,$U:$U,U601,$W:$W,W601,$Z:$Z,Z601,$AA:$AA,AA601,$AB:$AB,AB601,$AC:$AC,AC601,$AD:$AD,AD601,$AE:$AE,AE601,$AF:$AF,AF601,$AG:$AG,AG601,$AH:$AH,AH601,$AI:$AI,AI601)&gt;1,"Duplicate","Unique")</f>
        <v>Unique</v>
      </c>
    </row>
    <row r="602" spans="1:46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  <c r="W602" t="s">
        <v>2864</v>
      </c>
      <c r="Z602" t="s">
        <v>2867</v>
      </c>
      <c r="AA602" t="str">
        <v>Ananya Rao</v>
      </c>
      <c r="AB602" t="str">
        <f>TRIM(PROPER(F:F))</f>
        <v>Corporate</v>
      </c>
      <c r="AC602" t="str">
        <f>TRIM(PROPER(G:G))</f>
        <v>West</v>
      </c>
      <c r="AD602" t="str">
        <f>TRIM(PROPER(H:H))</f>
        <v>Madhya Pradesh</v>
      </c>
      <c r="AE602" t="str">
        <f>TRIM(PROPER(I:I))</f>
        <v>Indore</v>
      </c>
      <c r="AF602" t="str">
        <f>TRIM(PROPER(J:J))</f>
        <v>Office Supplies</v>
      </c>
      <c r="AG602" t="str">
        <f>TRIM(PROPER(K:K))</f>
        <v>Storage</v>
      </c>
      <c r="AH602" t="str">
        <f>TRIM(PROPER(L:L))</f>
        <v>Prime Storage 432</v>
      </c>
      <c r="AI602" t="str">
        <f>TRIM(PROPER(M:M))</f>
        <v>Same Day</v>
      </c>
      <c r="AJ602" s="5">
        <f>IF(OR(P602&lt;0,P602&gt;0.5),"invalid",P602)</f>
        <v>0</v>
      </c>
      <c r="AK602" s="6">
        <f>IFERROR(N602*O602*(1-AJ602), "NA")</f>
        <v>11048.25</v>
      </c>
      <c r="AL602" s="6">
        <f>IFERROR(AK602-R602,"NA")</f>
        <v>1985.5300000000007</v>
      </c>
      <c r="AM602" s="5">
        <f t="shared" si="45"/>
        <v>0.17971443441268986</v>
      </c>
      <c r="AN602" t="str">
        <v>05-03-25</v>
      </c>
      <c r="AO602" t="str">
        <v>12-03-25</v>
      </c>
      <c r="AP602" t="str">
        <f t="shared" si="46"/>
        <v>March</v>
      </c>
      <c r="AQ602" t="str">
        <f t="shared" si="47"/>
        <v>2025</v>
      </c>
      <c r="AR602" t="str">
        <f t="shared" si="48"/>
        <v xml:space="preserve"> </v>
      </c>
      <c r="AS602">
        <f t="shared" si="49"/>
        <v>7</v>
      </c>
      <c r="AT602" t="str">
        <f>IF(COUNTIFS( $A:$A,A602,$B:$B,B602,$C:$C,C602,$D:$D,D602,$E:$E,E602,$F:$F,F602,$G:$G,G602,$H:$H,H602,$I:$I,I602,$J:$J,J602,$K:$K,K602,$L:$L,L602,$M:$M,M602,$T:$T,T602,$U:$U,U602,$W:$W,W602,$Z:$Z,Z602,$AA:$AA,AA602,$AB:$AB,AB602,$AC:$AC,AC602,$AD:$AD,AD602,$AE:$AE,AE602,$AF:$AF,AF602,$AG:$AG,AG602,$AH:$AH,AH602,$AI:$AI,AI602)&gt;1,"Duplicate","Unique")</f>
        <v>Unique</v>
      </c>
    </row>
    <row r="603" spans="1:46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  <c r="W603" t="s">
        <v>2869</v>
      </c>
      <c r="Z603" t="s">
        <v>2872</v>
      </c>
      <c r="AA603" t="str">
        <v>Ananya Rao</v>
      </c>
      <c r="AB603" t="str">
        <f>TRIM(PROPER(F:F))</f>
        <v>Home Office</v>
      </c>
      <c r="AC603" t="str">
        <f>TRIM(PROPER(G:G))</f>
        <v>East</v>
      </c>
      <c r="AD603" t="str">
        <f>TRIM(PROPER(H:H))</f>
        <v>West Bengal</v>
      </c>
      <c r="AE603" t="str">
        <f>TRIM(PROPER(I:I))</f>
        <v>Kolkata</v>
      </c>
      <c r="AF603" t="str">
        <f>TRIM(PROPER(J:J))</f>
        <v>Office Supplies</v>
      </c>
      <c r="AG603" t="str">
        <f>TRIM(PROPER(K:K))</f>
        <v>Paper</v>
      </c>
      <c r="AH603" t="str">
        <f>TRIM(PROPER(L:L))</f>
        <v>Basic Paper 452</v>
      </c>
      <c r="AI603" t="str">
        <f>TRIM(PROPER(M:M))</f>
        <v>Second Class</v>
      </c>
      <c r="AJ603" s="5">
        <f>IF(OR(P603&lt;0,P603&gt;0.5),"invalid",P603)</f>
        <v>0.2</v>
      </c>
      <c r="AK603" s="6">
        <f>IFERROR(N603*O603*(1-AJ603), "NA")</f>
        <v>6460.12</v>
      </c>
      <c r="AL603" s="6">
        <f>IFERROR(AK603-R603,"NA")</f>
        <v>2856.0899999999997</v>
      </c>
      <c r="AM603" s="5">
        <f t="shared" si="45"/>
        <v>0.44211098245853014</v>
      </c>
      <c r="AN603" t="str">
        <v>26-01-24</v>
      </c>
      <c r="AO603" t="str">
        <v>invalid date</v>
      </c>
      <c r="AP603" t="str">
        <f t="shared" si="46"/>
        <v>January</v>
      </c>
      <c r="AQ603" t="str">
        <f t="shared" si="47"/>
        <v>2024</v>
      </c>
      <c r="AR603" t="str">
        <f t="shared" si="48"/>
        <v>Invalid</v>
      </c>
      <c r="AS603" t="str">
        <f t="shared" si="49"/>
        <v>invalid date</v>
      </c>
      <c r="AT603" t="str">
        <f>IF(COUNTIFS( $A:$A,A603,$B:$B,B603,$C:$C,C603,$D:$D,D603,$E:$E,E603,$F:$F,F603,$G:$G,G603,$H:$H,H603,$I:$I,I603,$J:$J,J603,$K:$K,K603,$L:$L,L603,$M:$M,M603,$T:$T,T603,$U:$U,U603,$W:$W,W603,$Z:$Z,Z603,$AA:$AA,AA603,$AB:$AB,AB603,$AC:$AC,AC603,$AD:$AD,AD603,$AE:$AE,AE603,$AF:$AF,AF603,$AG:$AG,AG603,$AH:$AH,AH603,$AI:$AI,AI603)&gt;1,"Duplicate","Unique")</f>
        <v>Unique</v>
      </c>
    </row>
    <row r="604" spans="1:46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  <c r="W604" t="s">
        <v>2874</v>
      </c>
      <c r="Z604" t="s">
        <v>2877</v>
      </c>
      <c r="AA604" t="str">
        <v>Aarav Sharma</v>
      </c>
      <c r="AB604" t="str">
        <f>TRIM(PROPER(F:F))</f>
        <v>Consumer</v>
      </c>
      <c r="AC604" t="str">
        <f>TRIM(PROPER(G:G))</f>
        <v>East</v>
      </c>
      <c r="AD604" t="str">
        <f>TRIM(PROPER(H:H))</f>
        <v>Jharkhand</v>
      </c>
      <c r="AE604" t="str">
        <f>TRIM(PROPER(I:I))</f>
        <v>Ranchi</v>
      </c>
      <c r="AF604" t="str">
        <f>TRIM(PROPER(J:J))</f>
        <v>Technology</v>
      </c>
      <c r="AG604" t="str">
        <f>TRIM(PROPER(K:K))</f>
        <v>Copiers</v>
      </c>
      <c r="AH604" t="str">
        <f>TRIM(PROPER(L:L))</f>
        <v>Max Copiers 477</v>
      </c>
      <c r="AI604" t="str">
        <f>TRIM(PROPER(M:M))</f>
        <v>Second Class</v>
      </c>
      <c r="AJ604" s="5">
        <f>IF(OR(P604&lt;0,P604&gt;0.5),"invalid",P604)</f>
        <v>0.15</v>
      </c>
      <c r="AK604" s="6">
        <f>IFERROR(N604*O604*(1-AJ604), "NA")</f>
        <v>26192.223000000002</v>
      </c>
      <c r="AL604" s="6">
        <f>IFERROR(AK604-R604,"NA")</f>
        <v>5396.6730000000025</v>
      </c>
      <c r="AM604" s="5">
        <f t="shared" si="45"/>
        <v>0.20604104508426041</v>
      </c>
      <c r="AN604" t="str">
        <v>23-10-24</v>
      </c>
      <c r="AO604" t="str">
        <v>30-10-24</v>
      </c>
      <c r="AP604" t="str">
        <f t="shared" si="46"/>
        <v>October</v>
      </c>
      <c r="AQ604" t="str">
        <f t="shared" si="47"/>
        <v>2024</v>
      </c>
      <c r="AR604" t="str">
        <f t="shared" si="48"/>
        <v xml:space="preserve"> </v>
      </c>
      <c r="AS604">
        <f t="shared" si="49"/>
        <v>7</v>
      </c>
      <c r="AT604" t="str">
        <f>IF(COUNTIFS( $A:$A,A604,$B:$B,B604,$C:$C,C604,$D:$D,D604,$E:$E,E604,$F:$F,F604,$G:$G,G604,$H:$H,H604,$I:$I,I604,$J:$J,J604,$K:$K,K604,$L:$L,L604,$M:$M,M604,$T:$T,T604,$U:$U,U604,$W:$W,W604,$Z:$Z,Z604,$AA:$AA,AA604,$AB:$AB,AB604,$AC:$AC,AC604,$AD:$AD,AD604,$AE:$AE,AE604,$AF:$AF,AF604,$AG:$AG,AG604,$AH:$AH,AH604,$AI:$AI,AI604)&gt;1,"Duplicate","Unique")</f>
        <v>Unique</v>
      </c>
    </row>
    <row r="605" spans="1:46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  <c r="W605" t="s">
        <v>2879</v>
      </c>
      <c r="Z605" t="s">
        <v>480</v>
      </c>
      <c r="AA605" t="str">
        <v>Vikram Iyer</v>
      </c>
      <c r="AB605" t="str">
        <f>TRIM(PROPER(F:F))</f>
        <v>Corporate</v>
      </c>
      <c r="AC605" t="str">
        <f>TRIM(PROPER(G:G))</f>
        <v>East</v>
      </c>
      <c r="AD605" t="str">
        <f>TRIM(PROPER(H:H))</f>
        <v>Bihar</v>
      </c>
      <c r="AE605" t="str">
        <f>TRIM(PROPER(I:I))</f>
        <v>Patna</v>
      </c>
      <c r="AF605" t="str">
        <f>TRIM(PROPER(J:J))</f>
        <v>Technology</v>
      </c>
      <c r="AG605" t="str">
        <f>TRIM(PROPER(K:K))</f>
        <v>Accessories</v>
      </c>
      <c r="AH605" t="str">
        <f>TRIM(PROPER(L:L))</f>
        <v>Prime Accessories 300</v>
      </c>
      <c r="AI605" t="str">
        <f>TRIM(PROPER(M:M))</f>
        <v>First Class</v>
      </c>
      <c r="AJ605" s="5">
        <f>IF(OR(P605&lt;0,P605&gt;0.5),"invalid",P605)</f>
        <v>0.05</v>
      </c>
      <c r="AK605" s="6">
        <f>IFERROR(N605*O605*(1-AJ605), "NA")</f>
        <v>19564.603999999999</v>
      </c>
      <c r="AL605" s="6">
        <f>IFERROR(AK605-R605,"NA")</f>
        <v>8410.0139999999992</v>
      </c>
      <c r="AM605" s="5">
        <f t="shared" si="45"/>
        <v>0.42985863654587642</v>
      </c>
      <c r="AN605" t="str">
        <v>01-03-25</v>
      </c>
      <c r="AO605" t="str">
        <v>11-01-25</v>
      </c>
      <c r="AP605" t="str">
        <f t="shared" si="46"/>
        <v>March</v>
      </c>
      <c r="AQ605" t="str">
        <f t="shared" si="47"/>
        <v>2025</v>
      </c>
      <c r="AR605" t="str">
        <f t="shared" si="48"/>
        <v xml:space="preserve"> </v>
      </c>
      <c r="AS605">
        <f t="shared" si="49"/>
        <v>-49</v>
      </c>
      <c r="AT605" t="str">
        <f>IF(COUNTIFS( $A:$A,A605,$B:$B,B605,$C:$C,C605,$D:$D,D605,$E:$E,E605,$F:$F,F605,$G:$G,G605,$H:$H,H605,$I:$I,I605,$J:$J,J605,$K:$K,K605,$L:$L,L605,$M:$M,M605,$T:$T,T605,$U:$U,U605,$W:$W,W605,$Z:$Z,Z605,$AA:$AA,AA605,$AB:$AB,AB605,$AC:$AC,AC605,$AD:$AD,AD605,$AE:$AE,AE605,$AF:$AF,AF605,$AG:$AG,AG605,$AH:$AH,AH605,$AI:$AI,AI605)&gt;1,"Duplicate","Unique")</f>
        <v>Unique</v>
      </c>
    </row>
    <row r="606" spans="1:46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  <c r="W606" t="s">
        <v>2882</v>
      </c>
      <c r="Z606" t="s">
        <v>2885</v>
      </c>
      <c r="AA606" t="str">
        <v>Ananya Rao</v>
      </c>
      <c r="AB606" t="str">
        <f>TRIM(PROPER(F:F))</f>
        <v>Consumer</v>
      </c>
      <c r="AC606" t="str">
        <f>TRIM(PROPER(G:G))</f>
        <v>West</v>
      </c>
      <c r="AD606" t="str">
        <f>TRIM(PROPER(H:H))</f>
        <v>Madhya Pradesh</v>
      </c>
      <c r="AE606" t="str">
        <f>TRIM(PROPER(I:I))</f>
        <v>Indore</v>
      </c>
      <c r="AF606" t="str">
        <f>TRIM(PROPER(J:J))</f>
        <v>Office Supplies</v>
      </c>
      <c r="AG606" t="str">
        <f>TRIM(PROPER(K:K))</f>
        <v>Binders</v>
      </c>
      <c r="AH606" t="str">
        <f>TRIM(PROPER(L:L))</f>
        <v>Max Binders 547</v>
      </c>
      <c r="AI606" t="str">
        <f>TRIM(PROPER(M:M))</f>
        <v>Same Day</v>
      </c>
      <c r="AJ606" s="5">
        <f>IF(OR(P606&lt;0,P606&gt;0.5),"invalid",P606)</f>
        <v>0</v>
      </c>
      <c r="AK606" s="6">
        <f>IFERROR(N606*O606*(1-AJ606), "NA")</f>
        <v>3228.8999999999996</v>
      </c>
      <c r="AL606" s="6">
        <f>IFERROR(AK606-R606,"NA")</f>
        <v>1375.6699999999996</v>
      </c>
      <c r="AM606" s="5">
        <f t="shared" si="45"/>
        <v>0.42604911889497965</v>
      </c>
      <c r="AN606" t="str">
        <v>05-02-25</v>
      </c>
      <c r="AO606" t="str">
        <v>02-06-25</v>
      </c>
      <c r="AP606" t="str">
        <f t="shared" si="46"/>
        <v>February</v>
      </c>
      <c r="AQ606" t="str">
        <f t="shared" si="47"/>
        <v>2025</v>
      </c>
      <c r="AR606" t="str">
        <f t="shared" si="48"/>
        <v>anomaly</v>
      </c>
      <c r="AS606">
        <f t="shared" si="49"/>
        <v>117</v>
      </c>
      <c r="AT606" t="str">
        <f>IF(COUNTIFS( $A:$A,A606,$B:$B,B606,$C:$C,C606,$D:$D,D606,$E:$E,E606,$F:$F,F606,$G:$G,G606,$H:$H,H606,$I:$I,I606,$J:$J,J606,$K:$K,K606,$L:$L,L606,$M:$M,M606,$T:$T,T606,$U:$U,U606,$W:$W,W606,$Z:$Z,Z606,$AA:$AA,AA606,$AB:$AB,AB606,$AC:$AC,AC606,$AD:$AD,AD606,$AE:$AE,AE606,$AF:$AF,AF606,$AG:$AG,AG606,$AH:$AH,AH606,$AI:$AI,AI606)&gt;1,"Duplicate","Unique")</f>
        <v>Unique</v>
      </c>
    </row>
    <row r="607" spans="1:46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  <c r="W607" t="s">
        <v>2887</v>
      </c>
      <c r="Z607" t="s">
        <v>2889</v>
      </c>
      <c r="AA607" t="str">
        <v>Kabir Singh</v>
      </c>
      <c r="AB607" t="str">
        <f>TRIM(PROPER(F:F))</f>
        <v>Corporate</v>
      </c>
      <c r="AC607" t="str">
        <f>TRIM(PROPER(G:G))</f>
        <v>West</v>
      </c>
      <c r="AD607" t="str">
        <f>TRIM(PROPER(H:H))</f>
        <v>Goa</v>
      </c>
      <c r="AE607" t="str">
        <f>TRIM(PROPER(I:I))</f>
        <v>Panaji</v>
      </c>
      <c r="AF607" t="str">
        <f>TRIM(PROPER(J:J))</f>
        <v>Furniture</v>
      </c>
      <c r="AG607" t="str">
        <f>TRIM(PROPER(K:K))</f>
        <v>Furnishings</v>
      </c>
      <c r="AH607" t="str">
        <f>TRIM(PROPER(L:L))</f>
        <v>Pro Furnishings 267</v>
      </c>
      <c r="AI607" t="str">
        <f>TRIM(PROPER(M:M))</f>
        <v>Second Class</v>
      </c>
      <c r="AJ607" s="5" t="str">
        <f>IF(OR(P607&lt;0,P607&gt;0.5),"invalid",P607)</f>
        <v>invalid</v>
      </c>
      <c r="AK607" s="6" t="str">
        <f>IFERROR(N607*O607*(1-AJ607), "NA")</f>
        <v>NA</v>
      </c>
      <c r="AL607" s="6" t="str">
        <f>IFERROR(AK607-R607,"NA")</f>
        <v>NA</v>
      </c>
      <c r="AM607" s="5" t="str">
        <f t="shared" si="45"/>
        <v>NA</v>
      </c>
      <c r="AN607" t="str">
        <v>09-07-25</v>
      </c>
      <c r="AO607" t="str">
        <v>13-07-25</v>
      </c>
      <c r="AP607" t="str">
        <f t="shared" si="46"/>
        <v>July</v>
      </c>
      <c r="AQ607" t="str">
        <f t="shared" si="47"/>
        <v>2025</v>
      </c>
      <c r="AR607" t="str">
        <f t="shared" si="48"/>
        <v xml:space="preserve"> </v>
      </c>
      <c r="AS607">
        <f t="shared" si="49"/>
        <v>4</v>
      </c>
      <c r="AT607" t="str">
        <f>IF(COUNTIFS( $A:$A,A607,$B:$B,B607,$C:$C,C607,$D:$D,D607,$E:$E,E607,$F:$F,F607,$G:$G,G607,$H:$H,H607,$I:$I,I607,$J:$J,J607,$K:$K,K607,$L:$L,L607,$M:$M,M607,$T:$T,T607,$U:$U,U607,$W:$W,W607,$Z:$Z,Z607,$AA:$AA,AA607,$AB:$AB,AB607,$AC:$AC,AC607,$AD:$AD,AD607,$AE:$AE,AE607,$AF:$AF,AF607,$AG:$AG,AG607,$AH:$AH,AH607,$AI:$AI,AI607)&gt;1,"Duplicate","Unique")</f>
        <v>Unique</v>
      </c>
    </row>
    <row r="608" spans="1:46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  <c r="W608" t="s">
        <v>2891</v>
      </c>
      <c r="Z608" t="s">
        <v>2893</v>
      </c>
      <c r="AA608" t="str">
        <v>Rahul Verma</v>
      </c>
      <c r="AB608" t="str">
        <f>TRIM(PROPER(F:F))</f>
        <v>Home Office</v>
      </c>
      <c r="AC608" t="str">
        <f>TRIM(PROPER(G:G))</f>
        <v>West</v>
      </c>
      <c r="AD608" t="str">
        <f>TRIM(PROPER(H:H))</f>
        <v>Madhya Pradesh</v>
      </c>
      <c r="AE608" t="str">
        <f>TRIM(PROPER(I:I))</f>
        <v>Indore</v>
      </c>
      <c r="AF608" t="str">
        <f>TRIM(PROPER(J:J))</f>
        <v>Technology</v>
      </c>
      <c r="AG608" t="str">
        <f>TRIM(PROPER(K:K))</f>
        <v>Copiers</v>
      </c>
      <c r="AH608" t="str">
        <f>TRIM(PROPER(L:L))</f>
        <v>Max Copiers 520</v>
      </c>
      <c r="AI608" t="str">
        <f>TRIM(PROPER(M:M))</f>
        <v>Same Day</v>
      </c>
      <c r="AJ608" s="5">
        <f>IF(OR(P608&lt;0,P608&gt;0.5),"invalid",P608)</f>
        <v>0.25</v>
      </c>
      <c r="AK608" s="6">
        <f>IFERROR(N608*O608*(1-AJ608), "NA")</f>
        <v>8754.3225000000002</v>
      </c>
      <c r="AL608" s="6">
        <f>IFERROR(AK608-R608,"NA")</f>
        <v>2515.4225000000006</v>
      </c>
      <c r="AM608" s="5">
        <f t="shared" si="45"/>
        <v>0.28733491369549163</v>
      </c>
      <c r="AN608" t="str">
        <v>22-02-25</v>
      </c>
      <c r="AO608" t="str">
        <v>invalid date</v>
      </c>
      <c r="AP608" t="str">
        <f t="shared" si="46"/>
        <v>February</v>
      </c>
      <c r="AQ608" t="str">
        <f t="shared" si="47"/>
        <v>2025</v>
      </c>
      <c r="AR608" t="str">
        <f t="shared" si="48"/>
        <v>Invalid</v>
      </c>
      <c r="AS608" t="str">
        <f t="shared" si="49"/>
        <v>invalid date</v>
      </c>
      <c r="AT608" t="str">
        <f>IF(COUNTIFS( $A:$A,A608,$B:$B,B608,$C:$C,C608,$D:$D,D608,$E:$E,E608,$F:$F,F608,$G:$G,G608,$H:$H,H608,$I:$I,I608,$J:$J,J608,$K:$K,K608,$L:$L,L608,$M:$M,M608,$T:$T,T608,$U:$U,U608,$W:$W,W608,$Z:$Z,Z608,$AA:$AA,AA608,$AB:$AB,AB608,$AC:$AC,AC608,$AD:$AD,AD608,$AE:$AE,AE608,$AF:$AF,AF608,$AG:$AG,AG608,$AH:$AH,AH608,$AI:$AI,AI608)&gt;1,"Duplicate","Unique")</f>
        <v>Unique</v>
      </c>
    </row>
    <row r="609" spans="1:46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  <c r="W609" t="s">
        <v>2895</v>
      </c>
      <c r="Z609" t="s">
        <v>2896</v>
      </c>
      <c r="AA609" t="str">
        <v>Sneha Kapoor</v>
      </c>
      <c r="AB609" t="str">
        <f>TRIM(PROPER(F:F))</f>
        <v>Home Office</v>
      </c>
      <c r="AC609" t="str">
        <f>TRIM(PROPER(G:G))</f>
        <v>East</v>
      </c>
      <c r="AD609" t="str">
        <f>TRIM(PROPER(H:H))</f>
        <v>Bihar</v>
      </c>
      <c r="AE609" t="str">
        <f>TRIM(PROPER(I:I))</f>
        <v>Patna</v>
      </c>
      <c r="AF609" t="str">
        <f>TRIM(PROPER(J:J))</f>
        <v>Office Supplies</v>
      </c>
      <c r="AG609" t="str">
        <f>TRIM(PROPER(K:K))</f>
        <v>Storage</v>
      </c>
      <c r="AH609" t="str">
        <f>TRIM(PROPER(L:L))</f>
        <v>Max Storage 424</v>
      </c>
      <c r="AI609" t="str">
        <f>TRIM(PROPER(M:M))</f>
        <v>Same Day</v>
      </c>
      <c r="AJ609" s="5">
        <f>IF(OR(P609&lt;0,P609&gt;0.5),"invalid",P609)</f>
        <v>0.15</v>
      </c>
      <c r="AK609" s="6">
        <f>IFERROR(N609*O609*(1-AJ609), "NA")</f>
        <v>4057.3474999999994</v>
      </c>
      <c r="AL609" s="6">
        <f>IFERROR(AK609-R609,"NA")</f>
        <v>1195.3174999999992</v>
      </c>
      <c r="AM609" s="5">
        <f t="shared" si="45"/>
        <v>0.29460565061286947</v>
      </c>
      <c r="AN609" t="str">
        <v>16-02-25</v>
      </c>
      <c r="AO609" t="str">
        <v>22-02-25</v>
      </c>
      <c r="AP609" t="str">
        <f t="shared" si="46"/>
        <v>February</v>
      </c>
      <c r="AQ609" t="str">
        <f t="shared" si="47"/>
        <v>2025</v>
      </c>
      <c r="AR609" t="str">
        <f t="shared" si="48"/>
        <v xml:space="preserve"> </v>
      </c>
      <c r="AS609">
        <f t="shared" si="49"/>
        <v>6</v>
      </c>
      <c r="AT609" t="str">
        <f>IF(COUNTIFS( $A:$A,A609,$B:$B,B609,$C:$C,C609,$D:$D,D609,$E:$E,E609,$F:$F,F609,$G:$G,G609,$H:$H,H609,$I:$I,I609,$J:$J,J609,$K:$K,K609,$L:$L,L609,$M:$M,M609,$T:$T,T609,$U:$U,U609,$W:$W,W609,$Z:$Z,Z609,$AA:$AA,AA609,$AB:$AB,AB609,$AC:$AC,AC609,$AD:$AD,AD609,$AE:$AE,AE609,$AF:$AF,AF609,$AG:$AG,AG609,$AH:$AH,AH609,$AI:$AI,AI609)&gt;1,"Duplicate","Unique")</f>
        <v>Unique</v>
      </c>
    </row>
    <row r="610" spans="1:46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  <c r="W610" t="s">
        <v>2898</v>
      </c>
      <c r="Z610" t="s">
        <v>2574</v>
      </c>
      <c r="AA610" t="str">
        <v>Karan Malhotra</v>
      </c>
      <c r="AB610" t="str">
        <f>TRIM(PROPER(F:F))</f>
        <v>Home Office</v>
      </c>
      <c r="AC610" t="str">
        <f>TRIM(PROPER(G:G))</f>
        <v>West</v>
      </c>
      <c r="AD610" t="str">
        <f>TRIM(PROPER(H:H))</f>
        <v>Goa</v>
      </c>
      <c r="AE610" t="str">
        <f>TRIM(PROPER(I:I))</f>
        <v>Panaji</v>
      </c>
      <c r="AF610" t="str">
        <f>TRIM(PROPER(J:J))</f>
        <v>Furniture</v>
      </c>
      <c r="AG610" t="str">
        <f>TRIM(PROPER(K:K))</f>
        <v>Furnishings</v>
      </c>
      <c r="AH610" t="str">
        <f>TRIM(PROPER(L:L))</f>
        <v>Elite Furnishings 706</v>
      </c>
      <c r="AI610" t="str">
        <f>TRIM(PROPER(M:M))</f>
        <v>Second Class</v>
      </c>
      <c r="AJ610" s="5">
        <f>IF(OR(P610&lt;0,P610&gt;0.5),"invalid",P610)</f>
        <v>0</v>
      </c>
      <c r="AK610" s="6">
        <f>IFERROR(N610*O610*(1-AJ610), "NA")</f>
        <v>19383.75</v>
      </c>
      <c r="AL610" s="6">
        <f>IFERROR(AK610-R610,"NA")</f>
        <v>7716.32</v>
      </c>
      <c r="AM610" s="5">
        <f t="shared" si="45"/>
        <v>0.39808189849745274</v>
      </c>
      <c r="AN610" t="str">
        <v>21-06-24</v>
      </c>
      <c r="AO610" t="str">
        <v>23-06-24</v>
      </c>
      <c r="AP610" t="str">
        <f t="shared" si="46"/>
        <v>June</v>
      </c>
      <c r="AQ610" t="str">
        <f t="shared" si="47"/>
        <v>2024</v>
      </c>
      <c r="AR610" t="str">
        <f t="shared" si="48"/>
        <v xml:space="preserve"> </v>
      </c>
      <c r="AS610">
        <f t="shared" si="49"/>
        <v>2</v>
      </c>
      <c r="AT610" t="str">
        <f>IF(COUNTIFS( $A:$A,A610,$B:$B,B610,$C:$C,C610,$D:$D,D610,$E:$E,E610,$F:$F,F610,$G:$G,G610,$H:$H,H610,$I:$I,I610,$J:$J,J610,$K:$K,K610,$L:$L,L610,$M:$M,M610,$T:$T,T610,$U:$U,U610,$W:$W,W610,$Z:$Z,Z610,$AA:$AA,AA610,$AB:$AB,AB610,$AC:$AC,AC610,$AD:$AD,AD610,$AE:$AE,AE610,$AF:$AF,AF610,$AG:$AG,AG610,$AH:$AH,AH610,$AI:$AI,AI610)&gt;1,"Duplicate","Unique")</f>
        <v>Unique</v>
      </c>
    </row>
    <row r="611" spans="1:46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  <c r="W611" t="s">
        <v>2900</v>
      </c>
      <c r="Z611" t="s">
        <v>2901</v>
      </c>
      <c r="AA611" t="str">
        <v>Sneha Kapoor</v>
      </c>
      <c r="AB611" t="str">
        <f>TRIM(PROPER(F:F))</f>
        <v>Home Office</v>
      </c>
      <c r="AC611" t="str">
        <f>TRIM(PROPER(G:G))</f>
        <v>South</v>
      </c>
      <c r="AD611" t="str">
        <f>TRIM(PROPER(H:H))</f>
        <v>Karnataka</v>
      </c>
      <c r="AE611" t="str">
        <f>TRIM(PROPER(I:I))</f>
        <v>Bengaluru</v>
      </c>
      <c r="AF611" t="str">
        <f>TRIM(PROPER(J:J))</f>
        <v>Furniture</v>
      </c>
      <c r="AG611" t="str">
        <f>TRIM(PROPER(K:K))</f>
        <v>Chairs</v>
      </c>
      <c r="AH611" t="str">
        <f>TRIM(PROPER(L:L))</f>
        <v>Pro Chairs 908</v>
      </c>
      <c r="AI611" t="str">
        <f>TRIM(PROPER(M:M))</f>
        <v>Standard Class</v>
      </c>
      <c r="AJ611" s="5">
        <f>IF(OR(P611&lt;0,P611&gt;0.5),"invalid",P611)</f>
        <v>0</v>
      </c>
      <c r="AK611" s="6">
        <f>IFERROR(N611*O611*(1-AJ611), "NA")</f>
        <v>30362.359999999997</v>
      </c>
      <c r="AL611" s="6">
        <f>IFERROR(AK611-R611,"NA")</f>
        <v>5296.9599999999955</v>
      </c>
      <c r="AM611" s="5">
        <f t="shared" si="45"/>
        <v>0.17445811195177174</v>
      </c>
      <c r="AN611" t="str">
        <v>08-01-25</v>
      </c>
      <c r="AO611" t="str">
        <v>12-01-25</v>
      </c>
      <c r="AP611" t="str">
        <f t="shared" si="46"/>
        <v>January</v>
      </c>
      <c r="AQ611" t="str">
        <f t="shared" si="47"/>
        <v>2025</v>
      </c>
      <c r="AR611" t="str">
        <f t="shared" si="48"/>
        <v xml:space="preserve"> </v>
      </c>
      <c r="AS611">
        <f t="shared" si="49"/>
        <v>4</v>
      </c>
      <c r="AT611" t="str">
        <f>IF(COUNTIFS( $A:$A,A611,$B:$B,B611,$C:$C,C611,$D:$D,D611,$E:$E,E611,$F:$F,F611,$G:$G,G611,$H:$H,H611,$I:$I,I611,$J:$J,J611,$K:$K,K611,$L:$L,L611,$M:$M,M611,$T:$T,T611,$U:$U,U611,$W:$W,W611,$Z:$Z,Z611,$AA:$AA,AA611,$AB:$AB,AB611,$AC:$AC,AC611,$AD:$AD,AD611,$AE:$AE,AE611,$AF:$AF,AF611,$AG:$AG,AG611,$AH:$AH,AH611,$AI:$AI,AI611)&gt;1,"Duplicate","Unique")</f>
        <v>Unique</v>
      </c>
    </row>
    <row r="612" spans="1:46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  <c r="W612" t="s">
        <v>2903</v>
      </c>
      <c r="Z612" t="s">
        <v>2080</v>
      </c>
      <c r="AA612" t="str">
        <v>Karan Malhotra</v>
      </c>
      <c r="AB612" t="str">
        <f>TRIM(PROPER(F:F))</f>
        <v>Home Office</v>
      </c>
      <c r="AC612" t="str">
        <f>TRIM(PROPER(G:G))</f>
        <v>West</v>
      </c>
      <c r="AD612" t="str">
        <f>TRIM(PROPER(H:H))</f>
        <v>Madhya Pradesh</v>
      </c>
      <c r="AE612" t="str">
        <f>TRIM(PROPER(I:I))</f>
        <v>Indore</v>
      </c>
      <c r="AF612" t="str">
        <f>TRIM(PROPER(J:J))</f>
        <v>Furniture</v>
      </c>
      <c r="AG612" t="str">
        <f>TRIM(PROPER(K:K))</f>
        <v>Chairs</v>
      </c>
      <c r="AH612" t="str">
        <f>TRIM(PROPER(L:L))</f>
        <v>Pro Chairs 712</v>
      </c>
      <c r="AI612" t="str">
        <f>TRIM(PROPER(M:M))</f>
        <v>Standard Class</v>
      </c>
      <c r="AJ612" s="5">
        <f>IF(OR(P612&lt;0,P612&gt;0.5),"invalid",P612)</f>
        <v>0.1</v>
      </c>
      <c r="AK612" s="6">
        <f>IFERROR(N612*O612*(1-AJ612), "NA")</f>
        <v>2729.6549999999997</v>
      </c>
      <c r="AL612" s="6">
        <f>IFERROR(AK612-R612,"NA")</f>
        <v>1014.2949999999998</v>
      </c>
      <c r="AM612" s="5">
        <f t="shared" si="45"/>
        <v>0.37158358840219735</v>
      </c>
      <c r="AN612" t="str">
        <v>20-05-24</v>
      </c>
      <c r="AO612" t="str">
        <v>invalid date</v>
      </c>
      <c r="AP612" t="str">
        <f t="shared" si="46"/>
        <v>May</v>
      </c>
      <c r="AQ612" t="str">
        <f t="shared" si="47"/>
        <v>2024</v>
      </c>
      <c r="AR612" t="str">
        <f t="shared" si="48"/>
        <v>Invalid</v>
      </c>
      <c r="AS612" t="str">
        <f t="shared" si="49"/>
        <v>invalid date</v>
      </c>
      <c r="AT612" t="str">
        <f>IF(COUNTIFS( $A:$A,A612,$B:$B,B612,$C:$C,C612,$D:$D,D612,$E:$E,E612,$F:$F,F612,$G:$G,G612,$H:$H,H612,$I:$I,I612,$J:$J,J612,$K:$K,K612,$L:$L,L612,$M:$M,M612,$T:$T,T612,$U:$U,U612,$W:$W,W612,$Z:$Z,Z612,$AA:$AA,AA612,$AB:$AB,AB612,$AC:$AC,AC612,$AD:$AD,AD612,$AE:$AE,AE612,$AF:$AF,AF612,$AG:$AG,AG612,$AH:$AH,AH612,$AI:$AI,AI612)&gt;1,"Duplicate","Unique")</f>
        <v>Unique</v>
      </c>
    </row>
    <row r="613" spans="1:46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  <c r="W613" t="s">
        <v>2907</v>
      </c>
      <c r="Z613" t="s">
        <v>2909</v>
      </c>
      <c r="AA613" t="str">
        <v>Ananya Rao</v>
      </c>
      <c r="AB613" t="str">
        <f>TRIM(PROPER(F:F))</f>
        <v>Small Business</v>
      </c>
      <c r="AC613" t="str">
        <f>TRIM(PROPER(G:G))</f>
        <v>North</v>
      </c>
      <c r="AD613" t="str">
        <f>TRIM(PROPER(H:H))</f>
        <v>Rajasthan</v>
      </c>
      <c r="AE613" t="str">
        <f>TRIM(PROPER(I:I))</f>
        <v>Jaipur</v>
      </c>
      <c r="AF613" t="str">
        <f>TRIM(PROPER(J:J))</f>
        <v>Office Supplies</v>
      </c>
      <c r="AG613" t="str">
        <f>TRIM(PROPER(K:K))</f>
        <v>Binders</v>
      </c>
      <c r="AH613" t="str">
        <f>TRIM(PROPER(L:L))</f>
        <v>Max Binders 785</v>
      </c>
      <c r="AI613" t="str">
        <f>TRIM(PROPER(M:M))</f>
        <v>Same Day</v>
      </c>
      <c r="AJ613" s="5">
        <f>IF(OR(P613&lt;0,P613&gt;0.5),"invalid",P613)</f>
        <v>0.1</v>
      </c>
      <c r="AK613" s="6">
        <f>IFERROR(N613*O613*(1-AJ613), "NA")</f>
        <v>4718.0159999999996</v>
      </c>
      <c r="AL613" s="6">
        <f>IFERROR(AK613-R613,"NA")</f>
        <v>809.7859999999996</v>
      </c>
      <c r="AM613" s="5">
        <f t="shared" si="45"/>
        <v>0.17163697622051297</v>
      </c>
      <c r="AN613" t="str">
        <v>08-07-25</v>
      </c>
      <c r="AO613" t="str">
        <v>15-07-25</v>
      </c>
      <c r="AP613" t="str">
        <f t="shared" si="46"/>
        <v>July</v>
      </c>
      <c r="AQ613" t="str">
        <f t="shared" si="47"/>
        <v>2025</v>
      </c>
      <c r="AR613" t="str">
        <f t="shared" si="48"/>
        <v xml:space="preserve"> </v>
      </c>
      <c r="AS613">
        <f t="shared" si="49"/>
        <v>7</v>
      </c>
      <c r="AT613" t="str">
        <f>IF(COUNTIFS( $A:$A,A613,$B:$B,B613,$C:$C,C613,$D:$D,D613,$E:$E,E613,$F:$F,F613,$G:$G,G613,$H:$H,H613,$I:$I,I613,$J:$J,J613,$K:$K,K613,$L:$L,L613,$M:$M,M613,$T:$T,T613,$U:$U,U613,$W:$W,W613,$Z:$Z,Z613,$AA:$AA,AA613,$AB:$AB,AB613,$AC:$AC,AC613,$AD:$AD,AD613,$AE:$AE,AE613,$AF:$AF,AF613,$AG:$AG,AG613,$AH:$AH,AH613,$AI:$AI,AI613)&gt;1,"Duplicate","Unique")</f>
        <v>Unique</v>
      </c>
    </row>
    <row r="614" spans="1:46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  <c r="W614" t="s">
        <v>2911</v>
      </c>
      <c r="Z614" t="s">
        <v>2914</v>
      </c>
      <c r="AA614" t="str">
        <v>Aditi Sen</v>
      </c>
      <c r="AB614" t="str">
        <f>TRIM(PROPER(F:F))</f>
        <v>Consumer</v>
      </c>
      <c r="AC614" t="s">
        <v>4111</v>
      </c>
      <c r="AD614" t="str">
        <f>TRIM(PROPER(H:H))</f>
        <v>Odisha</v>
      </c>
      <c r="AE614" t="str">
        <f>TRIM(PROPER(I:I))</f>
        <v>Bhubaneswar</v>
      </c>
      <c r="AF614" t="str">
        <f>TRIM(PROPER(J:J))</f>
        <v>Technology</v>
      </c>
      <c r="AG614" t="str">
        <f>TRIM(PROPER(K:K))</f>
        <v>Phones</v>
      </c>
      <c r="AH614" t="str">
        <f>TRIM(PROPER(L:L))</f>
        <v>Elite Phones 239</v>
      </c>
      <c r="AI614" t="str">
        <f>TRIM(PROPER(M:M))</f>
        <v>Standard Class</v>
      </c>
      <c r="AJ614" s="5">
        <f>IF(OR(P614&lt;0,P614&gt;0.5),"invalid",P614)</f>
        <v>0</v>
      </c>
      <c r="AK614" s="6">
        <f>IFERROR(N614*O614*(1-AJ614), "NA")</f>
        <v>3844.01</v>
      </c>
      <c r="AL614" s="6">
        <f>IFERROR(AK614-R614,"NA")</f>
        <v>1648.2200000000003</v>
      </c>
      <c r="AM614" s="5">
        <f t="shared" si="45"/>
        <v>0.42877619985379856</v>
      </c>
      <c r="AN614" t="str">
        <v>06-04-25</v>
      </c>
      <c r="AO614" t="str">
        <v>13-04-25</v>
      </c>
      <c r="AP614" t="str">
        <f t="shared" si="46"/>
        <v>April</v>
      </c>
      <c r="AQ614" t="str">
        <f t="shared" si="47"/>
        <v>2025</v>
      </c>
      <c r="AR614" t="str">
        <f t="shared" si="48"/>
        <v xml:space="preserve"> </v>
      </c>
      <c r="AS614">
        <f t="shared" si="49"/>
        <v>7</v>
      </c>
      <c r="AT614" t="str">
        <f>IF(COUNTIFS( $A:$A,A614,$B:$B,B614,$C:$C,C614,$D:$D,D614,$E:$E,E614,$F:$F,F614,$G:$G,G614,$H:$H,H614,$I:$I,I614,$J:$J,J614,$K:$K,K614,$L:$L,L614,$M:$M,M614,$T:$T,T614,$U:$U,U614,$W:$W,W614,$Z:$Z,Z614,$AA:$AA,AA614,$AB:$AB,AB614,$AC:$AC,AC614,$AD:$AD,AD614,$AE:$AE,AE614,$AF:$AF,AF614,$AG:$AG,AG614,$AH:$AH,AH614,$AI:$AI,AI614)&gt;1,"Duplicate","Unique")</f>
        <v>Unique</v>
      </c>
    </row>
    <row r="615" spans="1:46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  <c r="W615" t="s">
        <v>2916</v>
      </c>
      <c r="Z615" t="s">
        <v>2918</v>
      </c>
      <c r="AA615" t="str">
        <v>Diya Patel</v>
      </c>
      <c r="AB615" t="str">
        <f>TRIM(PROPER(F:F))</f>
        <v>Home Office</v>
      </c>
      <c r="AC615" t="str">
        <f>TRIM(PROPER(G:G))</f>
        <v>West</v>
      </c>
      <c r="AD615" t="str">
        <f>TRIM(PROPER(H:H))</f>
        <v>Gujarat</v>
      </c>
      <c r="AE615" t="str">
        <f>TRIM(PROPER(I:I))</f>
        <v>Ahmedabad</v>
      </c>
      <c r="AF615" t="str">
        <f>TRIM(PROPER(J:J))</f>
        <v>Technology</v>
      </c>
      <c r="AG615" t="str">
        <f>TRIM(PROPER(K:K))</f>
        <v>Machines</v>
      </c>
      <c r="AH615" t="str">
        <f>TRIM(PROPER(L:L))</f>
        <v>Basic Machines 413</v>
      </c>
      <c r="AI615" t="str">
        <f>TRIM(PROPER(M:M))</f>
        <v>Same Day</v>
      </c>
      <c r="AJ615" s="5">
        <f>IF(OR(P615&lt;0,P615&gt;0.5),"invalid",P615)</f>
        <v>0.25</v>
      </c>
      <c r="AK615" s="6">
        <f>IFERROR(N615*O615*(1-AJ615), "NA")</f>
        <v>22688.775000000001</v>
      </c>
      <c r="AL615" s="6">
        <f>IFERROR(AK615-R615,"NA")</f>
        <v>8016.3650000000016</v>
      </c>
      <c r="AM615" s="5">
        <f t="shared" si="45"/>
        <v>0.35331854628555315</v>
      </c>
      <c r="AN615" t="str">
        <v>05-10-24</v>
      </c>
      <c r="AO615" t="str">
        <v>10-10-24</v>
      </c>
      <c r="AP615" t="str">
        <f t="shared" si="46"/>
        <v>October</v>
      </c>
      <c r="AQ615" t="str">
        <f t="shared" si="47"/>
        <v>2024</v>
      </c>
      <c r="AR615" t="str">
        <f t="shared" si="48"/>
        <v xml:space="preserve"> </v>
      </c>
      <c r="AS615">
        <f t="shared" si="49"/>
        <v>5</v>
      </c>
      <c r="AT615" t="str">
        <f>IF(COUNTIFS( $A:$A,A615,$B:$B,B615,$C:$C,C615,$D:$D,D615,$E:$E,E615,$F:$F,F615,$G:$G,G615,$H:$H,H615,$I:$I,I615,$J:$J,J615,$K:$K,K615,$L:$L,L615,$M:$M,M615,$T:$T,T615,$U:$U,U615,$W:$W,W615,$Z:$Z,Z615,$AA:$AA,AA615,$AB:$AB,AB615,$AC:$AC,AC615,$AD:$AD,AD615,$AE:$AE,AE615,$AF:$AF,AF615,$AG:$AG,AG615,$AH:$AH,AH615,$AI:$AI,AI615)&gt;1,"Duplicate","Unique")</f>
        <v>Unique</v>
      </c>
    </row>
    <row r="616" spans="1:46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  <c r="W616" t="s">
        <v>2920</v>
      </c>
      <c r="Z616" t="s">
        <v>2922</v>
      </c>
      <c r="AA616" t="str">
        <v>Ananya Rao</v>
      </c>
      <c r="AB616" t="str">
        <f>TRIM(PROPER(F:F))</f>
        <v>Home Office</v>
      </c>
      <c r="AC616" t="str">
        <f>TRIM(PROPER(G:G))</f>
        <v>South</v>
      </c>
      <c r="AD616" t="str">
        <f>TRIM(PROPER(H:H))</f>
        <v>Telangana</v>
      </c>
      <c r="AE616" t="str">
        <f>TRIM(PROPER(I:I))</f>
        <v>Hyderabad</v>
      </c>
      <c r="AF616" t="str">
        <f>TRIM(PROPER(J:J))</f>
        <v>Furniture</v>
      </c>
      <c r="AG616" t="str">
        <f>TRIM(PROPER(K:K))</f>
        <v>Chairs</v>
      </c>
      <c r="AH616" t="str">
        <f>TRIM(PROPER(L:L))</f>
        <v>Elite Chairs 140</v>
      </c>
      <c r="AI616" t="str">
        <f>TRIM(PROPER(M:M))</f>
        <v>Standard Class</v>
      </c>
      <c r="AJ616" s="5">
        <f>IF(OR(P616&lt;0,P616&gt;0.5),"invalid",P616)</f>
        <v>0.25</v>
      </c>
      <c r="AK616" s="6">
        <f>IFERROR(N616*O616*(1-AJ616), "NA")</f>
        <v>20389.920000000002</v>
      </c>
      <c r="AL616" s="6">
        <f>IFERROR(AK616-R616,"NA")</f>
        <v>3728.84</v>
      </c>
      <c r="AM616" s="5">
        <f t="shared" si="45"/>
        <v>0.18287663708342161</v>
      </c>
      <c r="AN616" t="str">
        <v>11-02-24</v>
      </c>
      <c r="AO616" t="str">
        <v>19-02-24</v>
      </c>
      <c r="AP616" t="str">
        <f t="shared" si="46"/>
        <v>February</v>
      </c>
      <c r="AQ616" t="str">
        <f t="shared" si="47"/>
        <v>2024</v>
      </c>
      <c r="AR616" t="str">
        <f t="shared" si="48"/>
        <v xml:space="preserve"> </v>
      </c>
      <c r="AS616">
        <f t="shared" si="49"/>
        <v>8</v>
      </c>
      <c r="AT616" t="str">
        <f>IF(COUNTIFS( $A:$A,A616,$B:$B,B616,$C:$C,C616,$D:$D,D616,$E:$E,E616,$F:$F,F616,$G:$G,G616,$H:$H,H616,$I:$I,I616,$J:$J,J616,$K:$K,K616,$L:$L,L616,$M:$M,M616,$T:$T,T616,$U:$U,U616,$W:$W,W616,$Z:$Z,Z616,$AA:$AA,AA616,$AB:$AB,AB616,$AC:$AC,AC616,$AD:$AD,AD616,$AE:$AE,AE616,$AF:$AF,AF616,$AG:$AG,AG616,$AH:$AH,AH616,$AI:$AI,AI616)&gt;1,"Duplicate","Unique")</f>
        <v>Unique</v>
      </c>
    </row>
    <row r="617" spans="1:46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  <c r="W617" t="s">
        <v>2924</v>
      </c>
      <c r="Z617" t="s">
        <v>2927</v>
      </c>
      <c r="AA617" t="str">
        <v>Rahul Verma</v>
      </c>
      <c r="AB617" t="str">
        <f>TRIM(PROPER(F:F))</f>
        <v>Corporate</v>
      </c>
      <c r="AC617" t="str">
        <f>TRIM(PROPER(G:G))</f>
        <v>South</v>
      </c>
      <c r="AD617" t="str">
        <f>TRIM(PROPER(H:H))</f>
        <v>Kerala</v>
      </c>
      <c r="AE617" t="str">
        <f>TRIM(PROPER(I:I))</f>
        <v>Kochi</v>
      </c>
      <c r="AF617" t="str">
        <f>TRIM(PROPER(J:J))</f>
        <v>Office Supplies</v>
      </c>
      <c r="AG617" t="str">
        <f>TRIM(PROPER(K:K))</f>
        <v>Art</v>
      </c>
      <c r="AH617" t="str">
        <f>TRIM(PROPER(L:L))</f>
        <v>Basic Art 771</v>
      </c>
      <c r="AI617" t="str">
        <f>TRIM(PROPER(M:M))</f>
        <v>Second Class</v>
      </c>
      <c r="AJ617" s="5">
        <f>IF(OR(P617&lt;0,P617&gt;0.5),"invalid",P617)</f>
        <v>0.1</v>
      </c>
      <c r="AK617" s="6">
        <f>IFERROR(N617*O617*(1-AJ617), "NA")</f>
        <v>5659.884</v>
      </c>
      <c r="AL617" s="6">
        <f>IFERROR(AK617-R617,"NA")</f>
        <v>1322.0940000000001</v>
      </c>
      <c r="AM617" s="5">
        <f t="shared" si="45"/>
        <v>0.23359029973052453</v>
      </c>
      <c r="AN617" t="str">
        <v>04-10-24</v>
      </c>
      <c r="AO617" t="str">
        <v>10-07-24</v>
      </c>
      <c r="AP617" t="str">
        <f t="shared" si="46"/>
        <v>October</v>
      </c>
      <c r="AQ617" t="str">
        <f t="shared" si="47"/>
        <v>2024</v>
      </c>
      <c r="AR617" t="str">
        <f t="shared" si="48"/>
        <v xml:space="preserve"> </v>
      </c>
      <c r="AS617">
        <f t="shared" si="49"/>
        <v>-86</v>
      </c>
      <c r="AT617" t="str">
        <f>IF(COUNTIFS( $A:$A,A617,$B:$B,B617,$C:$C,C617,$D:$D,D617,$E:$E,E617,$F:$F,F617,$G:$G,G617,$H:$H,H617,$I:$I,I617,$J:$J,J617,$K:$K,K617,$L:$L,L617,$M:$M,M617,$T:$T,T617,$U:$U,U617,$W:$W,W617,$Z:$Z,Z617,$AA:$AA,AA617,$AB:$AB,AB617,$AC:$AC,AC617,$AD:$AD,AD617,$AE:$AE,AE617,$AF:$AF,AF617,$AG:$AG,AG617,$AH:$AH,AH617,$AI:$AI,AI617)&gt;1,"Duplicate","Unique")</f>
        <v>Unique</v>
      </c>
    </row>
    <row r="618" spans="1:46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  <c r="W618" t="s">
        <v>2929</v>
      </c>
      <c r="Z618" t="s">
        <v>2931</v>
      </c>
      <c r="AA618" t="str">
        <v>Kabir Singh</v>
      </c>
      <c r="AB618" t="str">
        <f>TRIM(PROPER(F:F))</f>
        <v>Consumer</v>
      </c>
      <c r="AC618" t="str">
        <f>TRIM(PROPER(G:G))</f>
        <v>South</v>
      </c>
      <c r="AD618" t="str">
        <f>TRIM(PROPER(H:H))</f>
        <v>Telangana</v>
      </c>
      <c r="AE618" t="str">
        <f>TRIM(PROPER(I:I))</f>
        <v>Hyderabad</v>
      </c>
      <c r="AF618" t="str">
        <f>TRIM(PROPER(J:J))</f>
        <v>Office Supplies</v>
      </c>
      <c r="AG618" t="str">
        <f>TRIM(PROPER(K:K))</f>
        <v>Paper</v>
      </c>
      <c r="AH618" t="str">
        <f>TRIM(PROPER(L:L))</f>
        <v>Prime Paper 664</v>
      </c>
      <c r="AI618" t="str">
        <f>TRIM(PROPER(M:M))</f>
        <v>Standard Class</v>
      </c>
      <c r="AJ618" s="5">
        <f>IF(OR(P618&lt;0,P618&gt;0.5),"invalid",P618)</f>
        <v>0.2</v>
      </c>
      <c r="AK618" s="6">
        <f>IFERROR(N618*O618*(1-AJ618), "NA")</f>
        <v>18842.640000000003</v>
      </c>
      <c r="AL618" s="6">
        <f>IFERROR(AK618-R618,"NA")</f>
        <v>7002.0600000000031</v>
      </c>
      <c r="AM618" s="5">
        <f t="shared" si="45"/>
        <v>0.37160716332743193</v>
      </c>
      <c r="AN618" t="str">
        <v>16-08-24</v>
      </c>
      <c r="AO618" t="str">
        <v>19-08-24</v>
      </c>
      <c r="AP618" t="str">
        <f t="shared" si="46"/>
        <v>August</v>
      </c>
      <c r="AQ618" t="str">
        <f t="shared" si="47"/>
        <v>2024</v>
      </c>
      <c r="AR618" t="str">
        <f t="shared" si="48"/>
        <v xml:space="preserve"> </v>
      </c>
      <c r="AS618">
        <f t="shared" si="49"/>
        <v>3</v>
      </c>
      <c r="AT618" t="str">
        <f>IF(COUNTIFS( $A:$A,A618,$B:$B,B618,$C:$C,C618,$D:$D,D618,$E:$E,E618,$F:$F,F618,$G:$G,G618,$H:$H,H618,$I:$I,I618,$J:$J,J618,$K:$K,K618,$L:$L,L618,$M:$M,M618,$T:$T,T618,$U:$U,U618,$W:$W,W618,$Z:$Z,Z618,$AA:$AA,AA618,$AB:$AB,AB618,$AC:$AC,AC618,$AD:$AD,AD618,$AE:$AE,AE618,$AF:$AF,AF618,$AG:$AG,AG618,$AH:$AH,AH618,$AI:$AI,AI618)&gt;1,"Duplicate","Unique")</f>
        <v>Unique</v>
      </c>
    </row>
    <row r="619" spans="1:46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  <c r="W619" t="s">
        <v>2933</v>
      </c>
      <c r="Z619" t="s">
        <v>2935</v>
      </c>
      <c r="AA619" t="str">
        <v>Mira Das</v>
      </c>
      <c r="AB619" t="str">
        <f>TRIM(PROPER(F:F))</f>
        <v>Home Office</v>
      </c>
      <c r="AC619" t="str">
        <f>TRIM(PROPER(G:G))</f>
        <v>South</v>
      </c>
      <c r="AD619" t="str">
        <f>TRIM(PROPER(H:H))</f>
        <v>Telangana</v>
      </c>
      <c r="AE619" t="str">
        <f>TRIM(PROPER(I:I))</f>
        <v>Hyderabad</v>
      </c>
      <c r="AF619" t="str">
        <f>TRIM(PROPER(J:J))</f>
        <v>Technology</v>
      </c>
      <c r="AG619" t="str">
        <f>TRIM(PROPER(K:K))</f>
        <v>Phones</v>
      </c>
      <c r="AH619" t="str">
        <f>TRIM(PROPER(L:L))</f>
        <v>Pro Phones 226</v>
      </c>
      <c r="AI619" t="str">
        <f>TRIM(PROPER(M:M))</f>
        <v>Standard Class</v>
      </c>
      <c r="AJ619" s="5">
        <f>IF(OR(P619&lt;0,P619&gt;0.5),"invalid",P619)</f>
        <v>0</v>
      </c>
      <c r="AK619" s="6">
        <f>IFERROR(N619*O619*(1-AJ619), "NA")</f>
        <v>24677.19</v>
      </c>
      <c r="AL619" s="6">
        <f>IFERROR(AK619-R619,"NA")</f>
        <v>4326.34</v>
      </c>
      <c r="AM619" s="5">
        <f t="shared" si="45"/>
        <v>0.17531736798233513</v>
      </c>
      <c r="AN619" t="str">
        <v>invalid date</v>
      </c>
      <c r="AO619" t="str">
        <v>30-09-24</v>
      </c>
      <c r="AP619" t="str">
        <f t="shared" si="46"/>
        <v>invalid date</v>
      </c>
      <c r="AQ619" t="str">
        <f t="shared" si="47"/>
        <v>invalid date</v>
      </c>
      <c r="AR619" t="str">
        <f t="shared" si="48"/>
        <v>Invalid</v>
      </c>
      <c r="AS619" t="str">
        <f t="shared" si="49"/>
        <v>invalid date</v>
      </c>
      <c r="AT619" t="str">
        <f>IF(COUNTIFS( $A:$A,A619,$B:$B,B619,$C:$C,C619,$D:$D,D619,$E:$E,E619,$F:$F,F619,$G:$G,G619,$H:$H,H619,$I:$I,I619,$J:$J,J619,$K:$K,K619,$L:$L,L619,$M:$M,M619,$T:$T,T619,$U:$U,U619,$W:$W,W619,$Z:$Z,Z619,$AA:$AA,AA619,$AB:$AB,AB619,$AC:$AC,AC619,$AD:$AD,AD619,$AE:$AE,AE619,$AF:$AF,AF619,$AG:$AG,AG619,$AH:$AH,AH619,$AI:$AI,AI619)&gt;1,"Duplicate","Unique")</f>
        <v>Unique</v>
      </c>
    </row>
    <row r="620" spans="1:46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  <c r="W620" t="s">
        <v>2937</v>
      </c>
      <c r="Z620" t="s">
        <v>2939</v>
      </c>
      <c r="AA620" t="str">
        <v>Kabir Singh</v>
      </c>
      <c r="AB620" t="str">
        <f>TRIM(PROPER(F:F))</f>
        <v>Corporate</v>
      </c>
      <c r="AC620" t="str">
        <f>TRIM(PROPER(G:G))</f>
        <v>North</v>
      </c>
      <c r="AD620" t="str">
        <f>TRIM(PROPER(H:H))</f>
        <v>Rajasthan</v>
      </c>
      <c r="AE620" t="str">
        <f>TRIM(PROPER(I:I))</f>
        <v>Jaipur</v>
      </c>
      <c r="AF620" t="str">
        <f>TRIM(PROPER(J:J))</f>
        <v>Furniture</v>
      </c>
      <c r="AG620" t="str">
        <f>TRIM(PROPER(K:K))</f>
        <v>Tables</v>
      </c>
      <c r="AH620" t="str">
        <f>TRIM(PROPER(L:L))</f>
        <v>Basic Tables 684</v>
      </c>
      <c r="AI620" t="str">
        <f>TRIM(PROPER(M:M))</f>
        <v>Same Day</v>
      </c>
      <c r="AJ620" s="5">
        <f>IF(OR(P620&lt;0,P620&gt;0.5),"invalid",P620)</f>
        <v>0.25</v>
      </c>
      <c r="AK620" s="6">
        <f>IFERROR(N620*O620*(1-AJ620), "NA")</f>
        <v>12623.242499999998</v>
      </c>
      <c r="AL620" s="6">
        <f>IFERROR(AK620-R620,"NA")</f>
        <v>2082.4424999999992</v>
      </c>
      <c r="AM620" s="5">
        <f t="shared" si="45"/>
        <v>0.16496890557239943</v>
      </c>
      <c r="AN620" t="str">
        <v>23-07-24</v>
      </c>
      <c r="AO620" t="str">
        <v>30-07-24</v>
      </c>
      <c r="AP620" t="str">
        <f t="shared" si="46"/>
        <v>July</v>
      </c>
      <c r="AQ620" t="str">
        <f t="shared" si="47"/>
        <v>2024</v>
      </c>
      <c r="AR620" t="str">
        <f t="shared" si="48"/>
        <v xml:space="preserve"> </v>
      </c>
      <c r="AS620">
        <f t="shared" si="49"/>
        <v>7</v>
      </c>
      <c r="AT620" t="str">
        <f>IF(COUNTIFS( $A:$A,A620,$B:$B,B620,$C:$C,C620,$D:$D,D620,$E:$E,E620,$F:$F,F620,$G:$G,G620,$H:$H,H620,$I:$I,I620,$J:$J,J620,$K:$K,K620,$L:$L,L620,$M:$M,M620,$T:$T,T620,$U:$U,U620,$W:$W,W620,$Z:$Z,Z620,$AA:$AA,AA620,$AB:$AB,AB620,$AC:$AC,AC620,$AD:$AD,AD620,$AE:$AE,AE620,$AF:$AF,AF620,$AG:$AG,AG620,$AH:$AH,AH620,$AI:$AI,AI620)&gt;1,"Duplicate","Unique")</f>
        <v>Unique</v>
      </c>
    </row>
    <row r="621" spans="1:46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  <c r="W621" t="s">
        <v>2941</v>
      </c>
      <c r="Z621" t="s">
        <v>2943</v>
      </c>
      <c r="AA621" t="str">
        <v>Priya Menon</v>
      </c>
      <c r="AB621" t="str">
        <f>TRIM(PROPER(F:F))</f>
        <v>Corporate</v>
      </c>
      <c r="AC621" t="str">
        <f>TRIM(PROPER(G:G))</f>
        <v>South</v>
      </c>
      <c r="AD621" t="str">
        <f>TRIM(PROPER(H:H))</f>
        <v>Tamil Nadu</v>
      </c>
      <c r="AE621" t="str">
        <f>TRIM(PROPER(I:I))</f>
        <v>Chennai</v>
      </c>
      <c r="AF621" t="str">
        <f>TRIM(PROPER(J:J))</f>
        <v>Office Supplies</v>
      </c>
      <c r="AG621" t="str">
        <f>TRIM(PROPER(K:K))</f>
        <v>Binders</v>
      </c>
      <c r="AH621" t="str">
        <f>TRIM(PROPER(L:L))</f>
        <v>Prime Binders 938</v>
      </c>
      <c r="AI621" t="str">
        <f>TRIM(PROPER(M:M))</f>
        <v>First Class</v>
      </c>
      <c r="AJ621" s="5">
        <f>IF(OR(P621&lt;0,P621&gt;0.5),"invalid",P621)</f>
        <v>0.2</v>
      </c>
      <c r="AK621" s="6">
        <f>IFERROR(N621*O621*(1-AJ621), "NA")</f>
        <v>3401.0080000000003</v>
      </c>
      <c r="AL621" s="6">
        <f>IFERROR(AK621-R621,"NA")</f>
        <v>483.4680000000003</v>
      </c>
      <c r="AM621" s="5">
        <f t="shared" si="45"/>
        <v>0.14215432601158254</v>
      </c>
      <c r="AN621" t="str">
        <v>invalid date</v>
      </c>
      <c r="AO621" t="str">
        <v>27-11-24</v>
      </c>
      <c r="AP621" t="str">
        <f t="shared" si="46"/>
        <v>invalid date</v>
      </c>
      <c r="AQ621" t="str">
        <f t="shared" si="47"/>
        <v>invalid date</v>
      </c>
      <c r="AR621" t="str">
        <f t="shared" si="48"/>
        <v>Invalid</v>
      </c>
      <c r="AS621" t="str">
        <f t="shared" si="49"/>
        <v>invalid date</v>
      </c>
      <c r="AT621" t="str">
        <f>IF(COUNTIFS( $A:$A,A621,$B:$B,B621,$C:$C,C621,$D:$D,D621,$E:$E,E621,$F:$F,F621,$G:$G,G621,$H:$H,H621,$I:$I,I621,$J:$J,J621,$K:$K,K621,$L:$L,L621,$M:$M,M621,$T:$T,T621,$U:$U,U621,$W:$W,W621,$Z:$Z,Z621,$AA:$AA,AA621,$AB:$AB,AB621,$AC:$AC,AC621,$AD:$AD,AD621,$AE:$AE,AE621,$AF:$AF,AF621,$AG:$AG,AG621,$AH:$AH,AH621,$AI:$AI,AI621)&gt;1,"Duplicate","Unique")</f>
        <v>Unique</v>
      </c>
    </row>
    <row r="622" spans="1:46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  <c r="W622" t="s">
        <v>2945</v>
      </c>
      <c r="Z622" t="s">
        <v>2948</v>
      </c>
      <c r="AA622" t="str">
        <v>Vikram Iyer</v>
      </c>
      <c r="AB622" t="str">
        <f>TRIM(PROPER(F:F))</f>
        <v>Consumer</v>
      </c>
      <c r="AC622" t="str">
        <f>TRIM(PROPER(G:G))</f>
        <v>North</v>
      </c>
      <c r="AD622" t="str">
        <f>TRIM(PROPER(H:H))</f>
        <v>Uttar Pradesh</v>
      </c>
      <c r="AE622" t="str">
        <f>TRIM(PROPER(I:I))</f>
        <v>Noida</v>
      </c>
      <c r="AF622" t="str">
        <f>TRIM(PROPER(J:J))</f>
        <v>Technology</v>
      </c>
      <c r="AG622" t="str">
        <f>TRIM(PROPER(K:K))</f>
        <v>Machines</v>
      </c>
      <c r="AH622" t="str">
        <f>TRIM(PROPER(L:L))</f>
        <v>Classic Machines 337</v>
      </c>
      <c r="AI622" t="str">
        <f>TRIM(PROPER(M:M))</f>
        <v>Standard Class</v>
      </c>
      <c r="AJ622" s="5">
        <f>IF(OR(P622&lt;0,P622&gt;0.5),"invalid",P622)</f>
        <v>0</v>
      </c>
      <c r="AK622" s="6">
        <f>IFERROR(N622*O622*(1-AJ622), "NA")</f>
        <v>6609.06</v>
      </c>
      <c r="AL622" s="6">
        <f>IFERROR(AK622-R622,"NA")</f>
        <v>1662.2800000000007</v>
      </c>
      <c r="AM622" s="5">
        <f t="shared" si="45"/>
        <v>0.25151534408826681</v>
      </c>
      <c r="AN622" t="str">
        <v>18-08-24</v>
      </c>
      <c r="AO622" t="str">
        <v>invalid date</v>
      </c>
      <c r="AP622" t="str">
        <f t="shared" si="46"/>
        <v>August</v>
      </c>
      <c r="AQ622" t="str">
        <f t="shared" si="47"/>
        <v>2024</v>
      </c>
      <c r="AR622" t="str">
        <f t="shared" si="48"/>
        <v>Invalid</v>
      </c>
      <c r="AS622" t="str">
        <f t="shared" si="49"/>
        <v>invalid date</v>
      </c>
      <c r="AT622" t="str">
        <f>IF(COUNTIFS( $A:$A,A622,$B:$B,B622,$C:$C,C622,$D:$D,D622,$E:$E,E622,$F:$F,F622,$G:$G,G622,$H:$H,H622,$I:$I,I622,$J:$J,J622,$K:$K,K622,$L:$L,L622,$M:$M,M622,$T:$T,T622,$U:$U,U622,$W:$W,W622,$Z:$Z,Z622,$AA:$AA,AA622,$AB:$AB,AB622,$AC:$AC,AC622,$AD:$AD,AD622,$AE:$AE,AE622,$AF:$AF,AF622,$AG:$AG,AG622,$AH:$AH,AH622,$AI:$AI,AI622)&gt;1,"Duplicate","Unique")</f>
        <v>Unique</v>
      </c>
    </row>
    <row r="623" spans="1:46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  <c r="W623" t="s">
        <v>2950</v>
      </c>
      <c r="Z623" t="s">
        <v>2952</v>
      </c>
      <c r="AA623" t="str">
        <v>Aditi Sen</v>
      </c>
      <c r="AB623" t="str">
        <f>TRIM(PROPER(F:F))</f>
        <v>Consumer</v>
      </c>
      <c r="AC623" t="str">
        <f>TRIM(PROPER(G:G))</f>
        <v>West</v>
      </c>
      <c r="AD623" t="str">
        <f>TRIM(PROPER(H:H))</f>
        <v>Maharashtra</v>
      </c>
      <c r="AE623" t="str">
        <f>TRIM(PROPER(I:I))</f>
        <v>Mumbai</v>
      </c>
      <c r="AF623" t="str">
        <f>TRIM(PROPER(J:J))</f>
        <v>Furniture</v>
      </c>
      <c r="AG623" t="str">
        <f>TRIM(PROPER(K:K))</f>
        <v>Chairs</v>
      </c>
      <c r="AH623" t="str">
        <f>TRIM(PROPER(L:L))</f>
        <v>Max Chairs 748</v>
      </c>
      <c r="AI623" t="str">
        <f>TRIM(PROPER(M:M))</f>
        <v>Same Day</v>
      </c>
      <c r="AJ623" s="5">
        <f>IF(OR(P623&lt;0,P623&gt;0.5),"invalid",P623)</f>
        <v>0</v>
      </c>
      <c r="AK623" s="6">
        <f>IFERROR(N623*O623*(1-AJ623), "NA")</f>
        <v>5464.2</v>
      </c>
      <c r="AL623" s="6">
        <f>IFERROR(AK623-R623,"NA")</f>
        <v>2146.1099999999997</v>
      </c>
      <c r="AM623" s="5">
        <f t="shared" si="45"/>
        <v>0.39275831777753373</v>
      </c>
      <c r="AN623" t="str">
        <v>28-11-24</v>
      </c>
      <c r="AO623" t="str">
        <v>06-12-24</v>
      </c>
      <c r="AP623" t="str">
        <f t="shared" si="46"/>
        <v>November</v>
      </c>
      <c r="AQ623" t="str">
        <f t="shared" si="47"/>
        <v>2024</v>
      </c>
      <c r="AR623" t="str">
        <f t="shared" si="48"/>
        <v>anomaly</v>
      </c>
      <c r="AS623">
        <f t="shared" si="49"/>
        <v>8</v>
      </c>
      <c r="AT623" t="str">
        <f>IF(COUNTIFS( $A:$A,A623,$B:$B,B623,$C:$C,C623,$D:$D,D623,$E:$E,E623,$F:$F,F623,$G:$G,G623,$H:$H,H623,$I:$I,I623,$J:$J,J623,$K:$K,K623,$L:$L,L623,$M:$M,M623,$T:$T,T623,$U:$U,U623,$W:$W,W623,$Z:$Z,Z623,$AA:$AA,AA623,$AB:$AB,AB623,$AC:$AC,AC623,$AD:$AD,AD623,$AE:$AE,AE623,$AF:$AF,AF623,$AG:$AG,AG623,$AH:$AH,AH623,$AI:$AI,AI623)&gt;1,"Duplicate","Unique")</f>
        <v>Unique</v>
      </c>
    </row>
    <row r="624" spans="1:46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  <c r="W624" t="s">
        <v>2954</v>
      </c>
      <c r="Z624" t="s">
        <v>2957</v>
      </c>
      <c r="AA624" t="str">
        <v>Vikram Iyer</v>
      </c>
      <c r="AB624" t="str">
        <f>TRIM(PROPER(F:F))</f>
        <v>Consumer</v>
      </c>
      <c r="AC624" t="str">
        <f>TRIM(PROPER(G:G))</f>
        <v>East</v>
      </c>
      <c r="AD624" t="str">
        <f>TRIM(PROPER(H:H))</f>
        <v>Bihar</v>
      </c>
      <c r="AE624" t="str">
        <f>TRIM(PROPER(I:I))</f>
        <v>Patna</v>
      </c>
      <c r="AF624" t="str">
        <f>TRIM(PROPER(J:J))</f>
        <v>Office Supplies</v>
      </c>
      <c r="AG624" t="str">
        <f>TRIM(PROPER(K:K))</f>
        <v>Storage</v>
      </c>
      <c r="AH624" t="str">
        <f>TRIM(PROPER(L:L))</f>
        <v>Basic Storage 934</v>
      </c>
      <c r="AI624" t="str">
        <f>TRIM(PROPER(M:M))</f>
        <v>Standard Class</v>
      </c>
      <c r="AJ624" s="5">
        <f>IF(OR(P624&lt;0,P624&gt;0.5),"invalid",P624)</f>
        <v>0.05</v>
      </c>
      <c r="AK624" s="6">
        <f>IFERROR(N624*O624*(1-AJ624), "NA")</f>
        <v>10484.238000000001</v>
      </c>
      <c r="AL624" s="6">
        <f>IFERROR(AK624-R624,"NA")</f>
        <v>3804.0880000000016</v>
      </c>
      <c r="AM624" s="5">
        <f t="shared" si="45"/>
        <v>0.36283876806306775</v>
      </c>
      <c r="AN624" t="str">
        <v>29-01-25</v>
      </c>
      <c r="AO624" t="str">
        <v>06-02-25</v>
      </c>
      <c r="AP624" t="str">
        <f t="shared" si="46"/>
        <v>January</v>
      </c>
      <c r="AQ624" t="str">
        <f t="shared" si="47"/>
        <v>2025</v>
      </c>
      <c r="AR624" t="str">
        <f t="shared" si="48"/>
        <v>anomaly</v>
      </c>
      <c r="AS624">
        <f t="shared" si="49"/>
        <v>8</v>
      </c>
      <c r="AT624" t="str">
        <f>IF(COUNTIFS( $A:$A,A624,$B:$B,B624,$C:$C,C624,$D:$D,D624,$E:$E,E624,$F:$F,F624,$G:$G,G624,$H:$H,H624,$I:$I,I624,$J:$J,J624,$K:$K,K624,$L:$L,L624,$M:$M,M624,$T:$T,T624,$U:$U,U624,$W:$W,W624,$Z:$Z,Z624,$AA:$AA,AA624,$AB:$AB,AB624,$AC:$AC,AC624,$AD:$AD,AD624,$AE:$AE,AE624,$AF:$AF,AF624,$AG:$AG,AG624,$AH:$AH,AH624,$AI:$AI,AI624)&gt;1,"Duplicate","Unique")</f>
        <v>Unique</v>
      </c>
    </row>
    <row r="625" spans="1:46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  <c r="W625" t="s">
        <v>2959</v>
      </c>
      <c r="Z625" t="s">
        <v>2962</v>
      </c>
      <c r="AA625" t="str">
        <v>Vikram Iyer</v>
      </c>
      <c r="AB625" t="str">
        <f>TRIM(PROPER(F:F))</f>
        <v>Home Office</v>
      </c>
      <c r="AC625" t="str">
        <f>TRIM(PROPER(G:G))</f>
        <v>North</v>
      </c>
      <c r="AD625" t="str">
        <f>TRIM(PROPER(H:H))</f>
        <v>Punjab</v>
      </c>
      <c r="AE625" t="str">
        <f>TRIM(PROPER(I:I))</f>
        <v>Ludhiana</v>
      </c>
      <c r="AF625" t="str">
        <f>TRIM(PROPER(J:J))</f>
        <v>Office Supplies</v>
      </c>
      <c r="AG625" t="str">
        <f>TRIM(PROPER(K:K))</f>
        <v>Storage</v>
      </c>
      <c r="AH625" t="str">
        <f>TRIM(PROPER(L:L))</f>
        <v>Pro Storage 509</v>
      </c>
      <c r="AI625" t="str">
        <f>TRIM(PROPER(M:M))</f>
        <v>Second Class</v>
      </c>
      <c r="AJ625" s="5">
        <f>IF(OR(P625&lt;0,P625&gt;0.5),"invalid",P625)</f>
        <v>0.05</v>
      </c>
      <c r="AK625" s="6">
        <f>IFERROR(N625*O625*(1-AJ625), "NA")</f>
        <v>10329.843999999999</v>
      </c>
      <c r="AL625" s="6">
        <f>IFERROR(AK625-R625,"NA")</f>
        <v>2817.6239999999989</v>
      </c>
      <c r="AM625" s="5">
        <f t="shared" si="45"/>
        <v>0.27276539703794161</v>
      </c>
      <c r="AN625" t="str">
        <v>08-08-24</v>
      </c>
      <c r="AO625" t="str">
        <v>14-08-24</v>
      </c>
      <c r="AP625" t="str">
        <f t="shared" si="46"/>
        <v>August</v>
      </c>
      <c r="AQ625" t="str">
        <f t="shared" si="47"/>
        <v>2024</v>
      </c>
      <c r="AR625" t="str">
        <f t="shared" si="48"/>
        <v xml:space="preserve"> </v>
      </c>
      <c r="AS625">
        <f t="shared" si="49"/>
        <v>6</v>
      </c>
      <c r="AT625" t="str">
        <f>IF(COUNTIFS( $A:$A,A625,$B:$B,B625,$C:$C,C625,$D:$D,D625,$E:$E,E625,$F:$F,F625,$G:$G,G625,$H:$H,H625,$I:$I,I625,$J:$J,J625,$K:$K,K625,$L:$L,L625,$M:$M,M625,$T:$T,T625,$U:$U,U625,$W:$W,W625,$Z:$Z,Z625,$AA:$AA,AA625,$AB:$AB,AB625,$AC:$AC,AC625,$AD:$AD,AD625,$AE:$AE,AE625,$AF:$AF,AF625,$AG:$AG,AG625,$AH:$AH,AH625,$AI:$AI,AI625)&gt;1,"Duplicate","Unique")</f>
        <v>Unique</v>
      </c>
    </row>
    <row r="626" spans="1:46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  <c r="W626" t="s">
        <v>2964</v>
      </c>
      <c r="Z626" t="s">
        <v>2967</v>
      </c>
      <c r="AA626" t="str">
        <v>Neha Gupta</v>
      </c>
      <c r="AB626" t="str">
        <f>TRIM(PROPER(F:F))</f>
        <v>Home Office</v>
      </c>
      <c r="AC626" t="str">
        <f>TRIM(PROPER(G:G))</f>
        <v>East</v>
      </c>
      <c r="AD626" t="str">
        <f>TRIM(PROPER(H:H))</f>
        <v>Assam</v>
      </c>
      <c r="AE626" t="str">
        <f>TRIM(PROPER(I:I))</f>
        <v>Guwahati</v>
      </c>
      <c r="AF626" t="str">
        <f>TRIM(PROPER(J:J))</f>
        <v>Furniture</v>
      </c>
      <c r="AG626" t="str">
        <f>TRIM(PROPER(K:K))</f>
        <v>Chairs</v>
      </c>
      <c r="AH626" t="str">
        <f>TRIM(PROPER(L:L))</f>
        <v>Prime Chairs 765</v>
      </c>
      <c r="AI626" t="str">
        <f>TRIM(PROPER(M:M))</f>
        <v>First Class</v>
      </c>
      <c r="AJ626" s="5">
        <f>IF(OR(P626&lt;0,P626&gt;0.5),"invalid",P626)</f>
        <v>0.05</v>
      </c>
      <c r="AK626" s="6">
        <f>IFERROR(N626*O626*(1-AJ626), "NA")</f>
        <v>8456.9569999999985</v>
      </c>
      <c r="AL626" s="6">
        <f>IFERROR(AK626-R626,"NA")</f>
        <v>2994.1069999999982</v>
      </c>
      <c r="AM626" s="5">
        <f t="shared" si="45"/>
        <v>0.35404070282017502</v>
      </c>
      <c r="AN626" t="str">
        <v>invalid date</v>
      </c>
      <c r="AO626" t="str">
        <v>01-02-24</v>
      </c>
      <c r="AP626" t="str">
        <f t="shared" si="46"/>
        <v>invalid date</v>
      </c>
      <c r="AQ626" t="str">
        <f t="shared" si="47"/>
        <v>invalid date</v>
      </c>
      <c r="AR626" t="str">
        <f t="shared" si="48"/>
        <v>Invalid</v>
      </c>
      <c r="AS626" t="str">
        <f t="shared" si="49"/>
        <v>invalid date</v>
      </c>
      <c r="AT626" t="str">
        <f>IF(COUNTIFS( $A:$A,A626,$B:$B,B626,$C:$C,C626,$D:$D,D626,$E:$E,E626,$F:$F,F626,$G:$G,G626,$H:$H,H626,$I:$I,I626,$J:$J,J626,$K:$K,K626,$L:$L,L626,$M:$M,M626,$T:$T,T626,$U:$U,U626,$W:$W,W626,$Z:$Z,Z626,$AA:$AA,AA626,$AB:$AB,AB626,$AC:$AC,AC626,$AD:$AD,AD626,$AE:$AE,AE626,$AF:$AF,AF626,$AG:$AG,AG626,$AH:$AH,AH626,$AI:$AI,AI626)&gt;1,"Duplicate","Unique")</f>
        <v>Unique</v>
      </c>
    </row>
    <row r="627" spans="1:46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  <c r="W627" t="s">
        <v>2969</v>
      </c>
      <c r="Z627" t="s">
        <v>2971</v>
      </c>
      <c r="AA627" t="str">
        <v>Diya Patel</v>
      </c>
      <c r="AB627" t="str">
        <f>TRIM(PROPER(F:F))</f>
        <v>Corporate</v>
      </c>
      <c r="AC627" t="str">
        <f>TRIM(PROPER(G:G))</f>
        <v>West</v>
      </c>
      <c r="AD627" t="str">
        <f>TRIM(PROPER(H:H))</f>
        <v>Rajasthan</v>
      </c>
      <c r="AE627" t="str">
        <f>TRIM(PROPER(I:I))</f>
        <v>Udaipur</v>
      </c>
      <c r="AF627" t="str">
        <f>TRIM(PROPER(J:J))</f>
        <v>Furniture</v>
      </c>
      <c r="AG627" t="str">
        <f>TRIM(PROPER(K:K))</f>
        <v>Chairs</v>
      </c>
      <c r="AH627" t="str">
        <f>TRIM(PROPER(L:L))</f>
        <v>Elite Chairs 358</v>
      </c>
      <c r="AI627" t="str">
        <f>TRIM(PROPER(M:M))</f>
        <v>Same Day</v>
      </c>
      <c r="AJ627" s="5">
        <f>IF(OR(P627&lt;0,P627&gt;0.5),"invalid",P627)</f>
        <v>0.2</v>
      </c>
      <c r="AK627" s="6">
        <f>IFERROR(N627*O627*(1-AJ627), "NA")</f>
        <v>1266.4079999999999</v>
      </c>
      <c r="AL627" s="6">
        <f>IFERROR(AK627-R627,"NA")</f>
        <v>282.48799999999994</v>
      </c>
      <c r="AM627" s="5">
        <f t="shared" si="45"/>
        <v>0.22306239379410109</v>
      </c>
      <c r="AN627" t="str">
        <v>invalid date</v>
      </c>
      <c r="AO627" t="str">
        <v>21-12-24</v>
      </c>
      <c r="AP627" t="str">
        <f t="shared" si="46"/>
        <v>invalid date</v>
      </c>
      <c r="AQ627" t="str">
        <f t="shared" si="47"/>
        <v>invalid date</v>
      </c>
      <c r="AR627" t="str">
        <f t="shared" si="48"/>
        <v>Invalid</v>
      </c>
      <c r="AS627" t="str">
        <f t="shared" si="49"/>
        <v>invalid date</v>
      </c>
      <c r="AT627" t="str">
        <f>IF(COUNTIFS( $A:$A,A627,$B:$B,B627,$C:$C,C627,$D:$D,D627,$E:$E,E627,$F:$F,F627,$G:$G,G627,$H:$H,H627,$I:$I,I627,$J:$J,J627,$K:$K,K627,$L:$L,L627,$M:$M,M627,$T:$T,T627,$U:$U,U627,$W:$W,W627,$Z:$Z,Z627,$AA:$AA,AA627,$AB:$AB,AB627,$AC:$AC,AC627,$AD:$AD,AD627,$AE:$AE,AE627,$AF:$AF,AF627,$AG:$AG,AG627,$AH:$AH,AH627,$AI:$AI,AI627)&gt;1,"Duplicate","Unique")</f>
        <v>Unique</v>
      </c>
    </row>
    <row r="628" spans="1:46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  <c r="W628" t="s">
        <v>2973</v>
      </c>
      <c r="Z628" t="s">
        <v>2975</v>
      </c>
      <c r="AA628" t="str">
        <v>Sneha Kapoor</v>
      </c>
      <c r="AB628" t="str">
        <f>TRIM(PROPER(F:F))</f>
        <v>Home Office</v>
      </c>
      <c r="AC628" t="str">
        <f>TRIM(PROPER(G:G))</f>
        <v>East</v>
      </c>
      <c r="AD628" t="str">
        <f>TRIM(PROPER(H:H))</f>
        <v>Assam</v>
      </c>
      <c r="AE628" t="str">
        <f>TRIM(PROPER(I:I))</f>
        <v>Guwahati</v>
      </c>
      <c r="AF628" t="str">
        <f>TRIM(PROPER(J:J))</f>
        <v>Technology</v>
      </c>
      <c r="AG628" t="str">
        <f>TRIM(PROPER(K:K))</f>
        <v>Machines</v>
      </c>
      <c r="AH628" t="str">
        <f>TRIM(PROPER(L:L))</f>
        <v>Elite Machines 971</v>
      </c>
      <c r="AI628" t="str">
        <f>TRIM(PROPER(M:M))</f>
        <v>Standard Class</v>
      </c>
      <c r="AJ628" s="5">
        <f>IF(OR(P628&lt;0,P628&gt;0.5),"invalid",P628)</f>
        <v>0</v>
      </c>
      <c r="AK628" s="6">
        <f>IFERROR(N628*O628*(1-AJ628), "NA")</f>
        <v>11473.04</v>
      </c>
      <c r="AL628" s="6">
        <f>IFERROR(AK628-R628,"NA")</f>
        <v>2541.7100000000009</v>
      </c>
      <c r="AM628" s="5">
        <f t="shared" si="45"/>
        <v>0.22153762211236086</v>
      </c>
      <c r="AN628" t="str">
        <v>04-06-25</v>
      </c>
      <c r="AO628" t="str">
        <v>06-07-25</v>
      </c>
      <c r="AP628" t="str">
        <f t="shared" si="46"/>
        <v>June</v>
      </c>
      <c r="AQ628" t="str">
        <f t="shared" si="47"/>
        <v>2025</v>
      </c>
      <c r="AR628" t="str">
        <f t="shared" si="48"/>
        <v xml:space="preserve"> </v>
      </c>
      <c r="AS628">
        <f t="shared" si="49"/>
        <v>32</v>
      </c>
      <c r="AT628" t="str">
        <f>IF(COUNTIFS( $A:$A,A628,$B:$B,B628,$C:$C,C628,$D:$D,D628,$E:$E,E628,$F:$F,F628,$G:$G,G628,$H:$H,H628,$I:$I,I628,$J:$J,J628,$K:$K,K628,$L:$L,L628,$M:$M,M628,$T:$T,T628,$U:$U,U628,$W:$W,W628,$Z:$Z,Z628,$AA:$AA,AA628,$AB:$AB,AB628,$AC:$AC,AC628,$AD:$AD,AD628,$AE:$AE,AE628,$AF:$AF,AF628,$AG:$AG,AG628,$AH:$AH,AH628,$AI:$AI,AI628)&gt;1,"Duplicate","Unique")</f>
        <v>Unique</v>
      </c>
    </row>
    <row r="629" spans="1:46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  <c r="W629" t="s">
        <v>2977</v>
      </c>
      <c r="Z629" t="s">
        <v>2978</v>
      </c>
      <c r="AA629" t="str">
        <v>Karan Malhotra</v>
      </c>
      <c r="AB629" t="str">
        <f>TRIM(PROPER(F:F))</f>
        <v>Small Business</v>
      </c>
      <c r="AC629" t="str">
        <f>TRIM(PROPER(G:G))</f>
        <v>South</v>
      </c>
      <c r="AD629" t="str">
        <f>TRIM(PROPER(H:H))</f>
        <v>Kerala</v>
      </c>
      <c r="AE629" t="str">
        <f>TRIM(PROPER(I:I))</f>
        <v>Kochi</v>
      </c>
      <c r="AF629" t="str">
        <f>TRIM(PROPER(J:J))</f>
        <v>Technology</v>
      </c>
      <c r="AG629" t="str">
        <f>TRIM(PROPER(K:K))</f>
        <v>Phones</v>
      </c>
      <c r="AH629" t="str">
        <f>TRIM(PROPER(L:L))</f>
        <v>Max Phones 825</v>
      </c>
      <c r="AI629" t="str">
        <f>TRIM(PROPER(M:M))</f>
        <v>Second Class</v>
      </c>
      <c r="AJ629" s="5">
        <f>IF(OR(P629&lt;0,P629&gt;0.5),"invalid",P629)</f>
        <v>0.15</v>
      </c>
      <c r="AK629" s="6">
        <f>IFERROR(N629*O629*(1-AJ629), "NA")</f>
        <v>4012.0339999999997</v>
      </c>
      <c r="AL629" s="6">
        <f>IFERROR(AK629-R629,"NA")</f>
        <v>869.11399999999958</v>
      </c>
      <c r="AM629" s="5">
        <f t="shared" si="45"/>
        <v>0.21662677833737193</v>
      </c>
      <c r="AN629" t="str">
        <v>invalid date</v>
      </c>
      <c r="AO629" t="str">
        <v>21-02-25</v>
      </c>
      <c r="AP629" t="str">
        <f t="shared" si="46"/>
        <v>invalid date</v>
      </c>
      <c r="AQ629" t="str">
        <f t="shared" si="47"/>
        <v>invalid date</v>
      </c>
      <c r="AR629" t="str">
        <f t="shared" si="48"/>
        <v>Invalid</v>
      </c>
      <c r="AS629" t="str">
        <f t="shared" si="49"/>
        <v>invalid date</v>
      </c>
      <c r="AT629" t="str">
        <f>IF(COUNTIFS( $A:$A,A629,$B:$B,B629,$C:$C,C629,$D:$D,D629,$E:$E,E629,$F:$F,F629,$G:$G,G629,$H:$H,H629,$I:$I,I629,$J:$J,J629,$K:$K,K629,$L:$L,L629,$M:$M,M629,$T:$T,T629,$U:$U,U629,$W:$W,W629,$Z:$Z,Z629,$AA:$AA,AA629,$AB:$AB,AB629,$AC:$AC,AC629,$AD:$AD,AD629,$AE:$AE,AE629,$AF:$AF,AF629,$AG:$AG,AG629,$AH:$AH,AH629,$AI:$AI,AI629)&gt;1,"Duplicate","Unique")</f>
        <v>Unique</v>
      </c>
    </row>
    <row r="630" spans="1:46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  <c r="W630" t="s">
        <v>2980</v>
      </c>
      <c r="Z630" t="s">
        <v>2982</v>
      </c>
      <c r="AA630" t="str">
        <v>Ananya Rao</v>
      </c>
      <c r="AB630" t="str">
        <f>TRIM(PROPER(F:F))</f>
        <v>Home Office</v>
      </c>
      <c r="AC630" t="str">
        <f>TRIM(PROPER(G:G))</f>
        <v>East</v>
      </c>
      <c r="AD630" t="str">
        <f>TRIM(PROPER(H:H))</f>
        <v>Jharkhand</v>
      </c>
      <c r="AE630" t="str">
        <f>TRIM(PROPER(I:I))</f>
        <v>Ranchi</v>
      </c>
      <c r="AF630" t="str">
        <f>TRIM(PROPER(J:J))</f>
        <v>Technology</v>
      </c>
      <c r="AG630" t="str">
        <f>TRIM(PROPER(K:K))</f>
        <v>Accessories</v>
      </c>
      <c r="AH630" t="str">
        <f>TRIM(PROPER(L:L))</f>
        <v>Eco Accessories 933</v>
      </c>
      <c r="AI630" t="str">
        <f>TRIM(PROPER(M:M))</f>
        <v>Same Day</v>
      </c>
      <c r="AJ630" s="5">
        <f>IF(OR(P630&lt;0,P630&gt;0.5),"invalid",P630)</f>
        <v>0.05</v>
      </c>
      <c r="AK630" s="6">
        <f>IFERROR(N630*O630*(1-AJ630), "NA")</f>
        <v>5364.3554999999997</v>
      </c>
      <c r="AL630" s="6">
        <f>IFERROR(AK630-R630,"NA")</f>
        <v>973.0654999999997</v>
      </c>
      <c r="AM630" s="5">
        <f t="shared" si="45"/>
        <v>0.18139467080434915</v>
      </c>
      <c r="AN630" t="str">
        <v>05-10-25</v>
      </c>
      <c r="AO630" t="str">
        <v>12-10-25</v>
      </c>
      <c r="AP630" t="str">
        <f t="shared" si="46"/>
        <v>October</v>
      </c>
      <c r="AQ630" t="str">
        <f t="shared" si="47"/>
        <v>2025</v>
      </c>
      <c r="AR630" t="str">
        <f t="shared" si="48"/>
        <v xml:space="preserve"> </v>
      </c>
      <c r="AS630">
        <f t="shared" si="49"/>
        <v>7</v>
      </c>
      <c r="AT630" t="str">
        <f>IF(COUNTIFS( $A:$A,A630,$B:$B,B630,$C:$C,C630,$D:$D,D630,$E:$E,E630,$F:$F,F630,$G:$G,G630,$H:$H,H630,$I:$I,I630,$J:$J,J630,$K:$K,K630,$L:$L,L630,$M:$M,M630,$T:$T,T630,$U:$U,U630,$W:$W,W630,$Z:$Z,Z630,$AA:$AA,AA630,$AB:$AB,AB630,$AC:$AC,AC630,$AD:$AD,AD630,$AE:$AE,AE630,$AF:$AF,AF630,$AG:$AG,AG630,$AH:$AH,AH630,$AI:$AI,AI630)&gt;1,"Duplicate","Unique")</f>
        <v>Unique</v>
      </c>
    </row>
    <row r="631" spans="1:46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  <c r="W631" t="s">
        <v>2984</v>
      </c>
      <c r="Z631" t="s">
        <v>2986</v>
      </c>
      <c r="AA631" t="str">
        <v>Arjun Bose</v>
      </c>
      <c r="AB631" t="str">
        <f>TRIM(PROPER(F:F))</f>
        <v>Home Office</v>
      </c>
      <c r="AC631" t="str">
        <f>TRIM(PROPER(G:G))</f>
        <v>West</v>
      </c>
      <c r="AD631" t="str">
        <f>TRIM(PROPER(H:H))</f>
        <v>Gujarat</v>
      </c>
      <c r="AE631" t="str">
        <f>TRIM(PROPER(I:I))</f>
        <v>Ahmedabad</v>
      </c>
      <c r="AF631" t="str">
        <f>TRIM(PROPER(J:J))</f>
        <v>Furniture</v>
      </c>
      <c r="AG631" t="str">
        <f>TRIM(PROPER(K:K))</f>
        <v>Tables</v>
      </c>
      <c r="AH631" t="str">
        <f>TRIM(PROPER(L:L))</f>
        <v>Max Tables 908</v>
      </c>
      <c r="AI631" t="str">
        <f>TRIM(PROPER(M:M))</f>
        <v>Same Day</v>
      </c>
      <c r="AJ631" s="5">
        <f>IF(OR(P631&lt;0,P631&gt;0.5),"invalid",P631)</f>
        <v>0.15</v>
      </c>
      <c r="AK631" s="6">
        <f>IFERROR(N631*O631*(1-AJ631), "NA")</f>
        <v>10706.073</v>
      </c>
      <c r="AL631" s="6">
        <f>IFERROR(AK631-R631,"NA")</f>
        <v>4778.973</v>
      </c>
      <c r="AM631" s="5">
        <f t="shared" si="45"/>
        <v>0.44637963892082555</v>
      </c>
      <c r="AN631" t="str">
        <v>09-10-25</v>
      </c>
      <c r="AO631" t="str">
        <v>14-09-25</v>
      </c>
      <c r="AP631" t="str">
        <f t="shared" si="46"/>
        <v>October</v>
      </c>
      <c r="AQ631" t="str">
        <f t="shared" si="47"/>
        <v>2025</v>
      </c>
      <c r="AR631" t="str">
        <f t="shared" si="48"/>
        <v xml:space="preserve"> </v>
      </c>
      <c r="AS631">
        <f t="shared" si="49"/>
        <v>-25</v>
      </c>
      <c r="AT631" t="str">
        <f>IF(COUNTIFS( $A:$A,A631,$B:$B,B631,$C:$C,C631,$D:$D,D631,$E:$E,E631,$F:$F,F631,$G:$G,G631,$H:$H,H631,$I:$I,I631,$J:$J,J631,$K:$K,K631,$L:$L,L631,$M:$M,M631,$T:$T,T631,$U:$U,U631,$W:$W,W631,$Z:$Z,Z631,$AA:$AA,AA631,$AB:$AB,AB631,$AC:$AC,AC631,$AD:$AD,AD631,$AE:$AE,AE631,$AF:$AF,AF631,$AG:$AG,AG631,$AH:$AH,AH631,$AI:$AI,AI631)&gt;1,"Duplicate","Unique")</f>
        <v>Unique</v>
      </c>
    </row>
    <row r="632" spans="1:46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  <c r="W632" t="s">
        <v>2988</v>
      </c>
      <c r="Z632" t="s">
        <v>2989</v>
      </c>
      <c r="AA632" t="str">
        <v>Priya Menon</v>
      </c>
      <c r="AB632" t="str">
        <f>TRIM(PROPER(F:F))</f>
        <v>Corporate</v>
      </c>
      <c r="AC632" t="str">
        <f>TRIM(PROPER(G:G))</f>
        <v>East</v>
      </c>
      <c r="AD632" t="str">
        <f>TRIM(PROPER(H:H))</f>
        <v>Assam</v>
      </c>
      <c r="AE632" t="str">
        <f>TRIM(PROPER(I:I))</f>
        <v>Guwahati</v>
      </c>
      <c r="AF632" t="str">
        <f>TRIM(PROPER(J:J))</f>
        <v>Office Supplies</v>
      </c>
      <c r="AG632" t="str">
        <f>TRIM(PROPER(K:K))</f>
        <v>Paper</v>
      </c>
      <c r="AH632" t="str">
        <f>TRIM(PROPER(L:L))</f>
        <v>Elite Paper 239</v>
      </c>
      <c r="AI632" t="str">
        <f>TRIM(PROPER(M:M))</f>
        <v>Standard Class</v>
      </c>
      <c r="AJ632" s="5">
        <f>IF(OR(P632&lt;0,P632&gt;0.5),"invalid",P632)</f>
        <v>0.1</v>
      </c>
      <c r="AK632" s="6">
        <f>IFERROR(N632*O632*(1-AJ632), "NA")</f>
        <v>10969.380000000001</v>
      </c>
      <c r="AL632" s="6">
        <f>IFERROR(AK632-R632,"NA")</f>
        <v>1714.9200000000019</v>
      </c>
      <c r="AM632" s="5">
        <f t="shared" si="45"/>
        <v>0.15633700354988173</v>
      </c>
      <c r="AN632" t="str">
        <v>09-04-24</v>
      </c>
      <c r="AO632" t="str">
        <v>10-04-24</v>
      </c>
      <c r="AP632" t="str">
        <f t="shared" si="46"/>
        <v>April</v>
      </c>
      <c r="AQ632" t="str">
        <f t="shared" si="47"/>
        <v>2024</v>
      </c>
      <c r="AR632" t="str">
        <f t="shared" si="48"/>
        <v xml:space="preserve"> </v>
      </c>
      <c r="AS632">
        <f t="shared" si="49"/>
        <v>1</v>
      </c>
      <c r="AT632" t="str">
        <f>IF(COUNTIFS( $A:$A,A632,$B:$B,B632,$C:$C,C632,$D:$D,D632,$E:$E,E632,$F:$F,F632,$G:$G,G632,$H:$H,H632,$I:$I,I632,$J:$J,J632,$K:$K,K632,$L:$L,L632,$M:$M,M632,$T:$T,T632,$U:$U,U632,$W:$W,W632,$Z:$Z,Z632,$AA:$AA,AA632,$AB:$AB,AB632,$AC:$AC,AC632,$AD:$AD,AD632,$AE:$AE,AE632,$AF:$AF,AF632,$AG:$AG,AG632,$AH:$AH,AH632,$AI:$AI,AI632)&gt;1,"Duplicate","Unique")</f>
        <v>Unique</v>
      </c>
    </row>
    <row r="633" spans="1:46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  <c r="W633" t="s">
        <v>2991</v>
      </c>
      <c r="Z633" t="s">
        <v>2992</v>
      </c>
      <c r="AA633" t="str">
        <v>Aarav Sharma</v>
      </c>
      <c r="AB633" t="str">
        <f>TRIM(PROPER(F:F))</f>
        <v>Home Office</v>
      </c>
      <c r="AC633" t="str">
        <f>TRIM(PROPER(G:G))</f>
        <v>West</v>
      </c>
      <c r="AD633" t="str">
        <f>TRIM(PROPER(H:H))</f>
        <v>Rajasthan</v>
      </c>
      <c r="AE633" t="str">
        <f>TRIM(PROPER(I:I))</f>
        <v>Udaipur</v>
      </c>
      <c r="AF633" t="str">
        <f>TRIM(PROPER(J:J))</f>
        <v>Furniture</v>
      </c>
      <c r="AG633" t="str">
        <f>TRIM(PROPER(K:K))</f>
        <v>Chairs</v>
      </c>
      <c r="AH633" t="str">
        <f>TRIM(PROPER(L:L))</f>
        <v>Eco Chairs 452</v>
      </c>
      <c r="AI633" t="str">
        <f>TRIM(PROPER(M:M))</f>
        <v>Standard Class</v>
      </c>
      <c r="AJ633" s="5">
        <f>IF(OR(P633&lt;0,P633&gt;0.5),"invalid",P633)</f>
        <v>0.1</v>
      </c>
      <c r="AK633" s="6">
        <f>IFERROR(N633*O633*(1-AJ633), "NA")</f>
        <v>31409.855999999996</v>
      </c>
      <c r="AL633" s="6">
        <f>IFERROR(AK633-R633,"NA")</f>
        <v>8886.3159999999953</v>
      </c>
      <c r="AM633" s="5">
        <f t="shared" si="45"/>
        <v>0.2829148914277097</v>
      </c>
      <c r="AN633" t="str">
        <v>10-04-24</v>
      </c>
      <c r="AO633" t="str">
        <v>15-04-24</v>
      </c>
      <c r="AP633" t="str">
        <f t="shared" si="46"/>
        <v>April</v>
      </c>
      <c r="AQ633" t="str">
        <f t="shared" si="47"/>
        <v>2024</v>
      </c>
      <c r="AR633" t="str">
        <f t="shared" si="48"/>
        <v xml:space="preserve"> </v>
      </c>
      <c r="AS633">
        <f t="shared" si="49"/>
        <v>5</v>
      </c>
      <c r="AT633" t="str">
        <f>IF(COUNTIFS( $A:$A,A633,$B:$B,B633,$C:$C,C633,$D:$D,D633,$E:$E,E633,$F:$F,F633,$G:$G,G633,$H:$H,H633,$I:$I,I633,$J:$J,J633,$K:$K,K633,$L:$L,L633,$M:$M,M633,$T:$T,T633,$U:$U,U633,$W:$W,W633,$Z:$Z,Z633,$AA:$AA,AA633,$AB:$AB,AB633,$AC:$AC,AC633,$AD:$AD,AD633,$AE:$AE,AE633,$AF:$AF,AF633,$AG:$AG,AG633,$AH:$AH,AH633,$AI:$AI,AI633)&gt;1,"Duplicate","Unique")</f>
        <v>Unique</v>
      </c>
    </row>
    <row r="634" spans="1:46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  <c r="W634" t="s">
        <v>2994</v>
      </c>
      <c r="Z634" t="s">
        <v>2997</v>
      </c>
      <c r="AA634" t="str">
        <v>Sneha Kapoor</v>
      </c>
      <c r="AB634" t="str">
        <f>TRIM(PROPER(F:F))</f>
        <v>Small Business</v>
      </c>
      <c r="AC634" t="str">
        <f>TRIM(PROPER(G:G))</f>
        <v>South</v>
      </c>
      <c r="AD634" t="str">
        <f>TRIM(PROPER(H:H))</f>
        <v>Karnataka</v>
      </c>
      <c r="AE634" t="str">
        <f>TRIM(PROPER(I:I))</f>
        <v>Bengaluru</v>
      </c>
      <c r="AF634" t="str">
        <f>TRIM(PROPER(J:J))</f>
        <v>Furniture</v>
      </c>
      <c r="AG634" t="str">
        <f>TRIM(PROPER(K:K))</f>
        <v>Furnishings</v>
      </c>
      <c r="AH634" t="str">
        <f>TRIM(PROPER(L:L))</f>
        <v>Smart Furnishings 721</v>
      </c>
      <c r="AI634" t="str">
        <f>TRIM(PROPER(M:M))</f>
        <v>First Class</v>
      </c>
      <c r="AJ634" s="5">
        <f>IF(OR(P634&lt;0,P634&gt;0.5),"invalid",P634)</f>
        <v>0</v>
      </c>
      <c r="AK634" s="6">
        <f>IFERROR(N634*O634*(1-AJ634), "NA")</f>
        <v>14252.650000000001</v>
      </c>
      <c r="AL634" s="6">
        <f>IFERROR(AK634-R634,"NA")</f>
        <v>2694.340000000002</v>
      </c>
      <c r="AM634" s="5">
        <f t="shared" si="45"/>
        <v>0.18904133617257154</v>
      </c>
      <c r="AN634" t="str">
        <v>15-04-25</v>
      </c>
      <c r="AO634" t="str">
        <v>16-04-25</v>
      </c>
      <c r="AP634" t="str">
        <f t="shared" si="46"/>
        <v>April</v>
      </c>
      <c r="AQ634" t="str">
        <f t="shared" si="47"/>
        <v>2025</v>
      </c>
      <c r="AR634" t="str">
        <f t="shared" si="48"/>
        <v xml:space="preserve"> </v>
      </c>
      <c r="AS634">
        <f t="shared" si="49"/>
        <v>1</v>
      </c>
      <c r="AT634" t="str">
        <f>IF(COUNTIFS( $A:$A,A634,$B:$B,B634,$C:$C,C634,$D:$D,D634,$E:$E,E634,$F:$F,F634,$G:$G,G634,$H:$H,H634,$I:$I,I634,$J:$J,J634,$K:$K,K634,$L:$L,L634,$M:$M,M634,$T:$T,T634,$U:$U,U634,$W:$W,W634,$Z:$Z,Z634,$AA:$AA,AA634,$AB:$AB,AB634,$AC:$AC,AC634,$AD:$AD,AD634,$AE:$AE,AE634,$AF:$AF,AF634,$AG:$AG,AG634,$AH:$AH,AH634,$AI:$AI,AI634)&gt;1,"Duplicate","Unique")</f>
        <v>Unique</v>
      </c>
    </row>
    <row r="635" spans="1:46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  <c r="W635" t="s">
        <v>2999</v>
      </c>
      <c r="Z635" t="s">
        <v>3002</v>
      </c>
      <c r="AA635" t="str">
        <v>Aarav Sharma</v>
      </c>
      <c r="AB635" t="str">
        <f>TRIM(PROPER(F:F))</f>
        <v>Small Business</v>
      </c>
      <c r="AC635" t="str">
        <f>TRIM(PROPER(G:G))</f>
        <v>South</v>
      </c>
      <c r="AD635" t="str">
        <f>TRIM(PROPER(H:H))</f>
        <v>Tamil Nadu</v>
      </c>
      <c r="AE635" t="str">
        <f>TRIM(PROPER(I:I))</f>
        <v>Chennai</v>
      </c>
      <c r="AF635" t="str">
        <f>TRIM(PROPER(J:J))</f>
        <v>Technology</v>
      </c>
      <c r="AG635" t="str">
        <f>TRIM(PROPER(K:K))</f>
        <v>Accessories</v>
      </c>
      <c r="AH635" t="str">
        <f>TRIM(PROPER(L:L))</f>
        <v>Basic Accessories 729</v>
      </c>
      <c r="AI635" t="str">
        <f>TRIM(PROPER(M:M))</f>
        <v>Second Class</v>
      </c>
      <c r="AJ635" s="5">
        <f>IF(OR(P635&lt;0,P635&gt;0.5),"invalid",P635)</f>
        <v>0.15</v>
      </c>
      <c r="AK635" s="6">
        <f>IFERROR(N635*O635*(1-AJ635), "NA")</f>
        <v>1382.1679999999999</v>
      </c>
      <c r="AL635" s="6">
        <f>IFERROR(AK635-R635,"NA")</f>
        <v>572.13799999999992</v>
      </c>
      <c r="AM635" s="5">
        <f t="shared" si="45"/>
        <v>0.4139424440444287</v>
      </c>
      <c r="AN635" t="str">
        <v>invalid date</v>
      </c>
      <c r="AO635" t="str">
        <v>20-04-25</v>
      </c>
      <c r="AP635" t="str">
        <f t="shared" si="46"/>
        <v>invalid date</v>
      </c>
      <c r="AQ635" t="str">
        <f t="shared" si="47"/>
        <v>invalid date</v>
      </c>
      <c r="AR635" t="str">
        <f t="shared" si="48"/>
        <v>Invalid</v>
      </c>
      <c r="AS635" t="str">
        <f t="shared" si="49"/>
        <v>invalid date</v>
      </c>
      <c r="AT635" t="str">
        <f>IF(COUNTIFS( $A:$A,A635,$B:$B,B635,$C:$C,C635,$D:$D,D635,$E:$E,E635,$F:$F,F635,$G:$G,G635,$H:$H,H635,$I:$I,I635,$J:$J,J635,$K:$K,K635,$L:$L,L635,$M:$M,M635,$T:$T,T635,$U:$U,U635,$W:$W,W635,$Z:$Z,Z635,$AA:$AA,AA635,$AB:$AB,AB635,$AC:$AC,AC635,$AD:$AD,AD635,$AE:$AE,AE635,$AF:$AF,AF635,$AG:$AG,AG635,$AH:$AH,AH635,$AI:$AI,AI635)&gt;1,"Duplicate","Unique")</f>
        <v>Unique</v>
      </c>
    </row>
    <row r="636" spans="1:46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  <c r="W636" t="s">
        <v>3004</v>
      </c>
      <c r="Z636" t="s">
        <v>3006</v>
      </c>
      <c r="AA636" t="str">
        <v>Aditi Sen</v>
      </c>
      <c r="AB636" t="str">
        <f>TRIM(PROPER(F:F))</f>
        <v>Consumer</v>
      </c>
      <c r="AC636" t="str">
        <f>TRIM(PROPER(G:G))</f>
        <v>South</v>
      </c>
      <c r="AD636" t="str">
        <f>TRIM(PROPER(H:H))</f>
        <v>Telangana</v>
      </c>
      <c r="AE636" t="str">
        <f>TRIM(PROPER(I:I))</f>
        <v>Hyderabad</v>
      </c>
      <c r="AF636" t="str">
        <f>TRIM(PROPER(J:J))</f>
        <v>Furniture</v>
      </c>
      <c r="AG636" t="str">
        <f>TRIM(PROPER(K:K))</f>
        <v>Chairs</v>
      </c>
      <c r="AH636" t="str">
        <f>TRIM(PROPER(L:L))</f>
        <v>Classic Chairs 220</v>
      </c>
      <c r="AI636" t="str">
        <f>TRIM(PROPER(M:M))</f>
        <v>Second Class</v>
      </c>
      <c r="AJ636" s="5">
        <f>IF(OR(P636&lt;0,P636&gt;0.5),"invalid",P636)</f>
        <v>0.05</v>
      </c>
      <c r="AK636" s="6">
        <f>IFERROR(N636*O636*(1-AJ636), "NA")</f>
        <v>9223.17</v>
      </c>
      <c r="AL636" s="6">
        <f>IFERROR(AK636-R636,"NA")</f>
        <v>4119.47</v>
      </c>
      <c r="AM636" s="5">
        <f t="shared" si="45"/>
        <v>0.44664361602355807</v>
      </c>
      <c r="AN636" t="str">
        <v>01-11-25</v>
      </c>
      <c r="AO636" t="str">
        <v>12-01-25</v>
      </c>
      <c r="AP636" t="str">
        <f t="shared" si="46"/>
        <v>November</v>
      </c>
      <c r="AQ636" t="str">
        <f t="shared" si="47"/>
        <v>2025</v>
      </c>
      <c r="AR636" t="str">
        <f t="shared" si="48"/>
        <v xml:space="preserve"> </v>
      </c>
      <c r="AS636">
        <f t="shared" si="49"/>
        <v>-293</v>
      </c>
      <c r="AT636" t="str">
        <f>IF(COUNTIFS( $A:$A,A636,$B:$B,B636,$C:$C,C636,$D:$D,D636,$E:$E,E636,$F:$F,F636,$G:$G,G636,$H:$H,H636,$I:$I,I636,$J:$J,J636,$K:$K,K636,$L:$L,L636,$M:$M,M636,$T:$T,T636,$U:$U,U636,$W:$W,W636,$Z:$Z,Z636,$AA:$AA,AA636,$AB:$AB,AB636,$AC:$AC,AC636,$AD:$AD,AD636,$AE:$AE,AE636,$AF:$AF,AF636,$AG:$AG,AG636,$AH:$AH,AH636,$AI:$AI,AI636)&gt;1,"Duplicate","Unique")</f>
        <v>Unique</v>
      </c>
    </row>
    <row r="637" spans="1:46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  <c r="W637" t="s">
        <v>3008</v>
      </c>
      <c r="Z637" t="s">
        <v>3010</v>
      </c>
      <c r="AA637" t="str">
        <v>Mira Das</v>
      </c>
      <c r="AB637" t="str">
        <f>TRIM(PROPER(F:F))</f>
        <v>Corporate</v>
      </c>
      <c r="AC637" t="str">
        <f>TRIM(PROPER(G:G))</f>
        <v>South</v>
      </c>
      <c r="AD637" t="str">
        <f>TRIM(PROPER(H:H))</f>
        <v>Andhra Pradesh</v>
      </c>
      <c r="AE637" t="str">
        <f>TRIM(PROPER(I:I))</f>
        <v>Vijayawada</v>
      </c>
      <c r="AF637" t="str">
        <f>TRIM(PROPER(J:J))</f>
        <v>Furniture</v>
      </c>
      <c r="AG637" t="str">
        <f>TRIM(PROPER(K:K))</f>
        <v>Chairs</v>
      </c>
      <c r="AH637" t="str">
        <f>TRIM(PROPER(L:L))</f>
        <v>Max Chairs 305</v>
      </c>
      <c r="AI637" t="str">
        <f>TRIM(PROPER(M:M))</f>
        <v>Same Day</v>
      </c>
      <c r="AJ637" s="5">
        <f>IF(OR(P637&lt;0,P637&gt;0.5),"invalid",P637)</f>
        <v>0.25</v>
      </c>
      <c r="AK637" s="6">
        <f>IFERROR(N637*O637*(1-AJ637), "NA")</f>
        <v>16394.962500000001</v>
      </c>
      <c r="AL637" s="6">
        <f>IFERROR(AK637-R637,"NA")</f>
        <v>5990.7925000000014</v>
      </c>
      <c r="AM637" s="5">
        <f t="shared" si="45"/>
        <v>0.36540446493854445</v>
      </c>
      <c r="AN637" t="str">
        <v>20-05-24</v>
      </c>
      <c r="AO637" t="str">
        <v>25-05-24</v>
      </c>
      <c r="AP637" t="str">
        <f t="shared" si="46"/>
        <v>May</v>
      </c>
      <c r="AQ637" t="str">
        <f t="shared" si="47"/>
        <v>2024</v>
      </c>
      <c r="AR637" t="str">
        <f t="shared" si="48"/>
        <v xml:space="preserve"> </v>
      </c>
      <c r="AS637">
        <f t="shared" si="49"/>
        <v>5</v>
      </c>
      <c r="AT637" t="str">
        <f>IF(COUNTIFS( $A:$A,A637,$B:$B,B637,$C:$C,C637,$D:$D,D637,$E:$E,E637,$F:$F,F637,$G:$G,G637,$H:$H,H637,$I:$I,I637,$J:$J,J637,$K:$K,K637,$L:$L,L637,$M:$M,M637,$T:$T,T637,$U:$U,U637,$W:$W,W637,$Z:$Z,Z637,$AA:$AA,AA637,$AB:$AB,AB637,$AC:$AC,AC637,$AD:$AD,AD637,$AE:$AE,AE637,$AF:$AF,AF637,$AG:$AG,AG637,$AH:$AH,AH637,$AI:$AI,AI637)&gt;1,"Duplicate","Unique")</f>
        <v>Unique</v>
      </c>
    </row>
    <row r="638" spans="1:46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  <c r="W638" t="s">
        <v>3012</v>
      </c>
      <c r="Z638" t="s">
        <v>3015</v>
      </c>
      <c r="AA638" t="str">
        <v>Ananya Rao</v>
      </c>
      <c r="AB638" t="str">
        <f>TRIM(PROPER(F:F))</f>
        <v>Consumer</v>
      </c>
      <c r="AC638" t="str">
        <f>TRIM(PROPER(G:G))</f>
        <v>South</v>
      </c>
      <c r="AD638" t="str">
        <f>TRIM(PROPER(H:H))</f>
        <v>Tamil Nadu</v>
      </c>
      <c r="AE638" t="str">
        <f>TRIM(PROPER(I:I))</f>
        <v>Chennai</v>
      </c>
      <c r="AF638" t="str">
        <f>TRIM(PROPER(J:J))</f>
        <v>Office Supplies</v>
      </c>
      <c r="AG638" t="str">
        <f>TRIM(PROPER(K:K))</f>
        <v>Paper</v>
      </c>
      <c r="AH638" t="str">
        <f>TRIM(PROPER(L:L))</f>
        <v>Smart Paper 872</v>
      </c>
      <c r="AI638" t="str">
        <f>TRIM(PROPER(M:M))</f>
        <v>Standard Class</v>
      </c>
      <c r="AJ638" s="5">
        <f>IF(OR(P638&lt;0,P638&gt;0.5),"invalid",P638)</f>
        <v>0.15</v>
      </c>
      <c r="AK638" s="6">
        <f>IFERROR(N638*O638*(1-AJ638), "NA")</f>
        <v>12990.108</v>
      </c>
      <c r="AL638" s="6">
        <f>IFERROR(AK638-R638,"NA")</f>
        <v>2789.3080000000009</v>
      </c>
      <c r="AM638" s="5">
        <f t="shared" si="45"/>
        <v>0.2147255434673831</v>
      </c>
      <c r="AN638" t="str">
        <v>02-10-24</v>
      </c>
      <c r="AO638" t="str">
        <v>09-10-24</v>
      </c>
      <c r="AP638" t="str">
        <f t="shared" si="46"/>
        <v>October</v>
      </c>
      <c r="AQ638" t="str">
        <f t="shared" si="47"/>
        <v>2024</v>
      </c>
      <c r="AR638" t="str">
        <f t="shared" si="48"/>
        <v xml:space="preserve"> </v>
      </c>
      <c r="AS638">
        <f t="shared" si="49"/>
        <v>7</v>
      </c>
      <c r="AT638" t="str">
        <f>IF(COUNTIFS( $A:$A,A638,$B:$B,B638,$C:$C,C638,$D:$D,D638,$E:$E,E638,$F:$F,F638,$G:$G,G638,$H:$H,H638,$I:$I,I638,$J:$J,J638,$K:$K,K638,$L:$L,L638,$M:$M,M638,$T:$T,T638,$U:$U,U638,$W:$W,W638,$Z:$Z,Z638,$AA:$AA,AA638,$AB:$AB,AB638,$AC:$AC,AC638,$AD:$AD,AD638,$AE:$AE,AE638,$AF:$AF,AF638,$AG:$AG,AG638,$AH:$AH,AH638,$AI:$AI,AI638)&gt;1,"Duplicate","Unique")</f>
        <v>Unique</v>
      </c>
    </row>
    <row r="639" spans="1:46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  <c r="W639" t="s">
        <v>3017</v>
      </c>
      <c r="Z639" t="s">
        <v>3020</v>
      </c>
      <c r="AA639" t="str">
        <v>Rahul Verma</v>
      </c>
      <c r="AB639" t="str">
        <f>TRIM(PROPER(F:F))</f>
        <v>Small Business</v>
      </c>
      <c r="AC639" t="str">
        <f>TRIM(PROPER(G:G))</f>
        <v>West</v>
      </c>
      <c r="AD639" t="str">
        <f>TRIM(PROPER(H:H))</f>
        <v>Goa</v>
      </c>
      <c r="AE639" t="str">
        <f>TRIM(PROPER(I:I))</f>
        <v>Panaji</v>
      </c>
      <c r="AF639" t="str">
        <f>TRIM(PROPER(J:J))</f>
        <v>Technology</v>
      </c>
      <c r="AG639" t="str">
        <f>TRIM(PROPER(K:K))</f>
        <v>Copiers</v>
      </c>
      <c r="AH639" t="str">
        <f>TRIM(PROPER(L:L))</f>
        <v>Max Copiers 994</v>
      </c>
      <c r="AI639" t="str">
        <f>TRIM(PROPER(M:M))</f>
        <v>First Class</v>
      </c>
      <c r="AJ639" s="5">
        <f>IF(OR(P639&lt;0,P639&gt;0.5),"invalid",P639)</f>
        <v>0.2</v>
      </c>
      <c r="AK639" s="6">
        <f>IFERROR(N639*O639*(1-AJ639), "NA")</f>
        <v>5107.9520000000002</v>
      </c>
      <c r="AL639" s="6">
        <f>IFERROR(AK639-R639,"NA")</f>
        <v>1974.8720000000003</v>
      </c>
      <c r="AM639" s="5">
        <f t="shared" si="45"/>
        <v>0.38662696908663202</v>
      </c>
      <c r="AN639" t="str">
        <v>26-05-24</v>
      </c>
      <c r="AO639" t="str">
        <v>26-05-24</v>
      </c>
      <c r="AP639" t="str">
        <f t="shared" si="46"/>
        <v>May</v>
      </c>
      <c r="AQ639" t="str">
        <f t="shared" si="47"/>
        <v>2024</v>
      </c>
      <c r="AR639" t="str">
        <f t="shared" si="48"/>
        <v xml:space="preserve"> </v>
      </c>
      <c r="AS639">
        <f t="shared" si="49"/>
        <v>0</v>
      </c>
      <c r="AT639" t="str">
        <f>IF(COUNTIFS( $A:$A,A639,$B:$B,B639,$C:$C,C639,$D:$D,D639,$E:$E,E639,$F:$F,F639,$G:$G,G639,$H:$H,H639,$I:$I,I639,$J:$J,J639,$K:$K,K639,$L:$L,L639,$M:$M,M639,$T:$T,T639,$U:$U,U639,$W:$W,W639,$Z:$Z,Z639,$AA:$AA,AA639,$AB:$AB,AB639,$AC:$AC,AC639,$AD:$AD,AD639,$AE:$AE,AE639,$AF:$AF,AF639,$AG:$AG,AG639,$AH:$AH,AH639,$AI:$AI,AI639)&gt;1,"Duplicate","Unique")</f>
        <v>Unique</v>
      </c>
    </row>
    <row r="640" spans="1:46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  <c r="W640" t="s">
        <v>3022</v>
      </c>
      <c r="Z640" t="s">
        <v>3024</v>
      </c>
      <c r="AA640" t="str">
        <v>Karan Malhotra</v>
      </c>
      <c r="AB640" t="str">
        <f>TRIM(PROPER(F:F))</f>
        <v>Corporate</v>
      </c>
      <c r="AC640" t="str">
        <f>TRIM(PROPER(G:G))</f>
        <v>South</v>
      </c>
      <c r="AD640" t="str">
        <f>TRIM(PROPER(H:H))</f>
        <v>Kerala</v>
      </c>
      <c r="AE640" t="str">
        <f>TRIM(PROPER(I:I))</f>
        <v>Kochi</v>
      </c>
      <c r="AF640" t="str">
        <f>TRIM(PROPER(J:J))</f>
        <v>Office Supplies</v>
      </c>
      <c r="AG640" t="str">
        <f>TRIM(PROPER(K:K))</f>
        <v>Storage</v>
      </c>
      <c r="AH640" t="str">
        <f>TRIM(PROPER(L:L))</f>
        <v>Pro Storage 744</v>
      </c>
      <c r="AI640" t="str">
        <f>TRIM(PROPER(M:M))</f>
        <v>Second Class</v>
      </c>
      <c r="AJ640" s="5">
        <f>IF(OR(P640&lt;0,P640&gt;0.5),"invalid",P640)</f>
        <v>0.2</v>
      </c>
      <c r="AK640" s="6">
        <f>IFERROR(N640*O640*(1-AJ640), "NA")</f>
        <v>7738.3680000000013</v>
      </c>
      <c r="AL640" s="6">
        <f>IFERROR(AK640-R640,"NA")</f>
        <v>3111.5180000000009</v>
      </c>
      <c r="AM640" s="5">
        <f t="shared" si="45"/>
        <v>0.40208969126306743</v>
      </c>
      <c r="AN640" t="str">
        <v>26-01-24</v>
      </c>
      <c r="AO640" t="str">
        <v>31-01-24</v>
      </c>
      <c r="AP640" t="str">
        <f t="shared" si="46"/>
        <v>January</v>
      </c>
      <c r="AQ640" t="str">
        <f t="shared" si="47"/>
        <v>2024</v>
      </c>
      <c r="AR640" t="str">
        <f t="shared" si="48"/>
        <v xml:space="preserve"> </v>
      </c>
      <c r="AS640">
        <f t="shared" si="49"/>
        <v>5</v>
      </c>
      <c r="AT640" t="str">
        <f>IF(COUNTIFS( $A:$A,A640,$B:$B,B640,$C:$C,C640,$D:$D,D640,$E:$E,E640,$F:$F,F640,$G:$G,G640,$H:$H,H640,$I:$I,I640,$J:$J,J640,$K:$K,K640,$L:$L,L640,$M:$M,M640,$T:$T,T640,$U:$U,U640,$W:$W,W640,$Z:$Z,Z640,$AA:$AA,AA640,$AB:$AB,AB640,$AC:$AC,AC640,$AD:$AD,AD640,$AE:$AE,AE640,$AF:$AF,AF640,$AG:$AG,AG640,$AH:$AH,AH640,$AI:$AI,AI640)&gt;1,"Duplicate","Unique")</f>
        <v>Unique</v>
      </c>
    </row>
    <row r="641" spans="1:46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  <c r="W641" t="s">
        <v>3026</v>
      </c>
      <c r="Z641" t="s">
        <v>3028</v>
      </c>
      <c r="AA641" t="str">
        <v>Isha Nair</v>
      </c>
      <c r="AB641" t="str">
        <f>TRIM(PROPER(F:F))</f>
        <v>Small Business</v>
      </c>
      <c r="AC641" t="str">
        <f>TRIM(PROPER(G:G))</f>
        <v>East</v>
      </c>
      <c r="AD641" t="str">
        <f>TRIM(PROPER(H:H))</f>
        <v>Odisha</v>
      </c>
      <c r="AE641" t="str">
        <f>TRIM(PROPER(I:I))</f>
        <v>Bhubaneswar</v>
      </c>
      <c r="AF641" t="str">
        <f>TRIM(PROPER(J:J))</f>
        <v>Furniture</v>
      </c>
      <c r="AG641" t="str">
        <f>TRIM(PROPER(K:K))</f>
        <v>Chairs</v>
      </c>
      <c r="AH641" t="str">
        <f>TRIM(PROPER(L:L))</f>
        <v>Elite Chairs 744</v>
      </c>
      <c r="AI641" t="str">
        <f>TRIM(PROPER(M:M))</f>
        <v>Second Class</v>
      </c>
      <c r="AJ641" s="5">
        <f>IF(OR(P641&lt;0,P641&gt;0.5),"invalid",P641)</f>
        <v>0.05</v>
      </c>
      <c r="AK641" s="6">
        <f>IFERROR(N641*O641*(1-AJ641), "NA")</f>
        <v>1514.9649999999999</v>
      </c>
      <c r="AL641" s="6">
        <f>IFERROR(AK641-R641,"NA")</f>
        <v>468.79499999999985</v>
      </c>
      <c r="AM641" s="5">
        <f t="shared" si="45"/>
        <v>0.3094427924077453</v>
      </c>
      <c r="AN641" t="str">
        <v>invalid date</v>
      </c>
      <c r="AO641" t="str">
        <v>31-12-24</v>
      </c>
      <c r="AP641" t="str">
        <f t="shared" si="46"/>
        <v>invalid date</v>
      </c>
      <c r="AQ641" t="str">
        <f t="shared" si="47"/>
        <v>invalid date</v>
      </c>
      <c r="AR641" t="str">
        <f t="shared" si="48"/>
        <v>Invalid</v>
      </c>
      <c r="AS641" t="str">
        <f t="shared" si="49"/>
        <v>invalid date</v>
      </c>
      <c r="AT641" t="str">
        <f>IF(COUNTIFS( $A:$A,A641,$B:$B,B641,$C:$C,C641,$D:$D,D641,$E:$E,E641,$F:$F,F641,$G:$G,G641,$H:$H,H641,$I:$I,I641,$J:$J,J641,$K:$K,K641,$L:$L,L641,$M:$M,M641,$T:$T,T641,$U:$U,U641,$W:$W,W641,$Z:$Z,Z641,$AA:$AA,AA641,$AB:$AB,AB641,$AC:$AC,AC641,$AD:$AD,AD641,$AE:$AE,AE641,$AF:$AF,AF641,$AG:$AG,AG641,$AH:$AH,AH641,$AI:$AI,AI641)&gt;1,"Duplicate","Unique")</f>
        <v>Unique</v>
      </c>
    </row>
    <row r="642" spans="1:46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  <c r="W642" t="s">
        <v>3030</v>
      </c>
      <c r="Z642" t="s">
        <v>3033</v>
      </c>
      <c r="AA642" t="str">
        <v>Vikram Iyer</v>
      </c>
      <c r="AB642" t="str">
        <f>TRIM(PROPER(F:F))</f>
        <v>Consumer</v>
      </c>
      <c r="AC642" t="str">
        <f>TRIM(PROPER(G:G))</f>
        <v>West</v>
      </c>
      <c r="AD642" t="str">
        <f>TRIM(PROPER(H:H))</f>
        <v>Goa</v>
      </c>
      <c r="AE642" t="str">
        <f>TRIM(PROPER(I:I))</f>
        <v>Panaji</v>
      </c>
      <c r="AF642" t="str">
        <f>TRIM(PROPER(J:J))</f>
        <v>Office Supplies</v>
      </c>
      <c r="AG642" t="str">
        <f>TRIM(PROPER(K:K))</f>
        <v>Storage</v>
      </c>
      <c r="AH642" t="str">
        <f>TRIM(PROPER(L:L))</f>
        <v>Basic Storage 973</v>
      </c>
      <c r="AI642" t="str">
        <f>TRIM(PROPER(M:M))</f>
        <v>First Class</v>
      </c>
      <c r="AJ642" s="5">
        <f>IF(OR(P642&lt;0,P642&gt;0.5),"invalid",P642)</f>
        <v>0.2</v>
      </c>
      <c r="AK642" s="6">
        <f>IFERROR(N642*O642*(1-AJ642), "NA")</f>
        <v>1267.296</v>
      </c>
      <c r="AL642" s="6">
        <f>IFERROR(AK642-R642,"NA")</f>
        <v>343.76600000000008</v>
      </c>
      <c r="AM642" s="5">
        <f t="shared" si="45"/>
        <v>0.27125943741635739</v>
      </c>
      <c r="AN642" t="str">
        <v>14-01-25</v>
      </c>
      <c r="AO642" t="str">
        <v>17-01-25</v>
      </c>
      <c r="AP642" t="str">
        <f t="shared" si="46"/>
        <v>January</v>
      </c>
      <c r="AQ642" t="str">
        <f t="shared" si="47"/>
        <v>2025</v>
      </c>
      <c r="AR642" t="str">
        <f t="shared" si="48"/>
        <v xml:space="preserve"> </v>
      </c>
      <c r="AS642">
        <f t="shared" si="49"/>
        <v>3</v>
      </c>
      <c r="AT642" t="str">
        <f>IF(COUNTIFS( $A:$A,A642,$B:$B,B642,$C:$C,C642,$D:$D,D642,$E:$E,E642,$F:$F,F642,$G:$G,G642,$H:$H,H642,$I:$I,I642,$J:$J,J642,$K:$K,K642,$L:$L,L642,$M:$M,M642,$T:$T,T642,$U:$U,U642,$W:$W,W642,$Z:$Z,Z642,$AA:$AA,AA642,$AB:$AB,AB642,$AC:$AC,AC642,$AD:$AD,AD642,$AE:$AE,AE642,$AF:$AF,AF642,$AG:$AG,AG642,$AH:$AH,AH642,$AI:$AI,AI642)&gt;1,"Duplicate","Unique")</f>
        <v>Unique</v>
      </c>
    </row>
    <row r="643" spans="1:46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  <c r="W643" t="s">
        <v>3035</v>
      </c>
      <c r="Z643" t="s">
        <v>3037</v>
      </c>
      <c r="AA643" t="str">
        <v>Karan Malhotra</v>
      </c>
      <c r="AB643" t="str">
        <f>TRIM(PROPER(F:F))</f>
        <v>Consumer</v>
      </c>
      <c r="AC643" t="str">
        <f>TRIM(PROPER(G:G))</f>
        <v>North</v>
      </c>
      <c r="AD643" t="str">
        <f>TRIM(PROPER(H:H))</f>
        <v>Delhi</v>
      </c>
      <c r="AE643" t="str">
        <f>TRIM(PROPER(I:I))</f>
        <v>New Delhi</v>
      </c>
      <c r="AF643" t="str">
        <f>TRIM(PROPER(J:J))</f>
        <v>Furniture</v>
      </c>
      <c r="AG643" t="str">
        <f>TRIM(PROPER(K:K))</f>
        <v>Furnishings</v>
      </c>
      <c r="AH643" t="str">
        <f>TRIM(PROPER(L:L))</f>
        <v>Smart Furnishings 783</v>
      </c>
      <c r="AI643" t="str">
        <f>TRIM(PROPER(M:M))</f>
        <v>Same Day</v>
      </c>
      <c r="AJ643" s="5">
        <f>IF(OR(P643&lt;0,P643&gt;0.5),"invalid",P643)</f>
        <v>0</v>
      </c>
      <c r="AK643" s="6">
        <f>IFERROR(N643*O643*(1-AJ643), "NA")</f>
        <v>6405.74</v>
      </c>
      <c r="AL643" s="6">
        <f>IFERROR(AK643-R643,"NA")</f>
        <v>2843.87</v>
      </c>
      <c r="AM643" s="5">
        <f t="shared" ref="AM643:AM706" si="50">IFERROR(AL643/AK643,"NA")</f>
        <v>0.44395651400150488</v>
      </c>
      <c r="AN643" t="str">
        <v>09-04-25</v>
      </c>
      <c r="AO643" t="str">
        <v>14-04-25</v>
      </c>
      <c r="AP643" t="str">
        <f t="shared" ref="AP643:AP706" si="51">TEXT(AN643,"mmmm")</f>
        <v>April</v>
      </c>
      <c r="AQ643" t="str">
        <f t="shared" ref="AQ643:AQ706" si="52">TEXT(AN643,"yyyy")</f>
        <v>2025</v>
      </c>
      <c r="AR643" t="str">
        <f t="shared" ref="AR643:AR706" si="53">IF(OR(AN643="Invalid Date",AO643="Invalid Date"),"Invalid",(IF(AO643&lt;AN643,"anomaly"," ")))</f>
        <v xml:space="preserve"> </v>
      </c>
      <c r="AS643">
        <f t="shared" ref="AS643:AS706" si="54">IFERROR(AO643-AN643, "invalid date")</f>
        <v>5</v>
      </c>
      <c r="AT643" t="str">
        <f>IF(COUNTIFS( $A:$A,A643,$B:$B,B643,$C:$C,C643,$D:$D,D643,$E:$E,E643,$F:$F,F643,$G:$G,G643,$H:$H,H643,$I:$I,I643,$J:$J,J643,$K:$K,K643,$L:$L,L643,$M:$M,M643,$T:$T,T643,$U:$U,U643,$W:$W,W643,$Z:$Z,Z643,$AA:$AA,AA643,$AB:$AB,AB643,$AC:$AC,AC643,$AD:$AD,AD643,$AE:$AE,AE643,$AF:$AF,AF643,$AG:$AG,AG643,$AH:$AH,AH643,$AI:$AI,AI643)&gt;1,"Duplicate","Unique")</f>
        <v>Unique</v>
      </c>
    </row>
    <row r="644" spans="1:46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  <c r="W644" t="s">
        <v>3039</v>
      </c>
      <c r="Z644" t="s">
        <v>3040</v>
      </c>
      <c r="AA644" t="str">
        <v>Isha Nair</v>
      </c>
      <c r="AB644" t="str">
        <f>TRIM(PROPER(F:F))</f>
        <v>Home Office</v>
      </c>
      <c r="AC644" t="str">
        <f>TRIM(PROPER(G:G))</f>
        <v>East</v>
      </c>
      <c r="AD644" t="str">
        <f>TRIM(PROPER(H:H))</f>
        <v>Assam</v>
      </c>
      <c r="AE644" t="str">
        <f>TRIM(PROPER(I:I))</f>
        <v>Guwahati</v>
      </c>
      <c r="AF644" t="str">
        <f>TRIM(PROPER(J:J))</f>
        <v>Office Supplies</v>
      </c>
      <c r="AG644" t="str">
        <f>TRIM(PROPER(K:K))</f>
        <v>Binders</v>
      </c>
      <c r="AH644" t="str">
        <f>TRIM(PROPER(L:L))</f>
        <v>Prime Binders 287</v>
      </c>
      <c r="AI644" t="str">
        <f>TRIM(PROPER(M:M))</f>
        <v>Second Class</v>
      </c>
      <c r="AJ644" s="5">
        <f>IF(OR(P644&lt;0,P644&gt;0.5),"invalid",P644)</f>
        <v>0.25</v>
      </c>
      <c r="AK644" s="6">
        <f>IFERROR(N644*O644*(1-AJ644), "NA")</f>
        <v>8607.6674999999996</v>
      </c>
      <c r="AL644" s="6">
        <f>IFERROR(AK644-R644,"NA")</f>
        <v>3270.0274999999992</v>
      </c>
      <c r="AM644" s="5">
        <f t="shared" si="50"/>
        <v>0.37989705108846261</v>
      </c>
      <c r="AN644" t="str">
        <v>invalid date</v>
      </c>
      <c r="AO644" t="str">
        <v>invalid date</v>
      </c>
      <c r="AP644" t="str">
        <f t="shared" si="51"/>
        <v>invalid date</v>
      </c>
      <c r="AQ644" t="str">
        <f t="shared" si="52"/>
        <v>invalid date</v>
      </c>
      <c r="AR644" t="str">
        <f t="shared" si="53"/>
        <v>Invalid</v>
      </c>
      <c r="AS644" t="str">
        <f t="shared" si="54"/>
        <v>invalid date</v>
      </c>
      <c r="AT644" t="str">
        <f>IF(COUNTIFS( $A:$A,A644,$B:$B,B644,$C:$C,C644,$D:$D,D644,$E:$E,E644,$F:$F,F644,$G:$G,G644,$H:$H,H644,$I:$I,I644,$J:$J,J644,$K:$K,K644,$L:$L,L644,$M:$M,M644,$T:$T,T644,$U:$U,U644,$W:$W,W644,$Z:$Z,Z644,$AA:$AA,AA644,$AB:$AB,AB644,$AC:$AC,AC644,$AD:$AD,AD644,$AE:$AE,AE644,$AF:$AF,AF644,$AG:$AG,AG644,$AH:$AH,AH644,$AI:$AI,AI644)&gt;1,"Duplicate","Unique")</f>
        <v>Unique</v>
      </c>
    </row>
    <row r="645" spans="1:46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  <c r="W645" t="s">
        <v>3043</v>
      </c>
      <c r="Z645" t="s">
        <v>1096</v>
      </c>
      <c r="AA645" t="str">
        <v>Aarav Sharma</v>
      </c>
      <c r="AB645" t="str">
        <f>TRIM(PROPER(F:F))</f>
        <v>Home Office</v>
      </c>
      <c r="AC645" t="str">
        <f>TRIM(PROPER(G:G))</f>
        <v>North</v>
      </c>
      <c r="AD645" t="str">
        <f>TRIM(PROPER(H:H))</f>
        <v>Uttar Pradesh</v>
      </c>
      <c r="AE645" t="str">
        <f>TRIM(PROPER(I:I))</f>
        <v>Noida</v>
      </c>
      <c r="AF645" t="str">
        <f>TRIM(PROPER(J:J))</f>
        <v>Office Supplies</v>
      </c>
      <c r="AG645" t="str">
        <f>TRIM(PROPER(K:K))</f>
        <v>Labels</v>
      </c>
      <c r="AH645" t="str">
        <f>TRIM(PROPER(L:L))</f>
        <v>Elite Labels 654</v>
      </c>
      <c r="AI645" t="str">
        <f>TRIM(PROPER(M:M))</f>
        <v>Standard Class</v>
      </c>
      <c r="AJ645" s="5">
        <f>IF(OR(P645&lt;0,P645&gt;0.5),"invalid",P645)</f>
        <v>0.15</v>
      </c>
      <c r="AK645" s="6">
        <f>IFERROR(N645*O645*(1-AJ645), "NA")</f>
        <v>26324.023999999998</v>
      </c>
      <c r="AL645" s="6">
        <f>IFERROR(AK645-R645,"NA")</f>
        <v>10046.063999999998</v>
      </c>
      <c r="AM645" s="5">
        <f t="shared" si="50"/>
        <v>0.3816310150758106</v>
      </c>
      <c r="AN645" t="str">
        <v>05-02-24</v>
      </c>
      <c r="AO645" t="str">
        <v>13-02-24</v>
      </c>
      <c r="AP645" t="str">
        <f t="shared" si="51"/>
        <v>February</v>
      </c>
      <c r="AQ645" t="str">
        <f t="shared" si="52"/>
        <v>2024</v>
      </c>
      <c r="AR645" t="str">
        <f t="shared" si="53"/>
        <v xml:space="preserve"> </v>
      </c>
      <c r="AS645">
        <f t="shared" si="54"/>
        <v>8</v>
      </c>
      <c r="AT645" t="str">
        <f>IF(COUNTIFS( $A:$A,A645,$B:$B,B645,$C:$C,C645,$D:$D,D645,$E:$E,E645,$F:$F,F645,$G:$G,G645,$H:$H,H645,$I:$I,I645,$J:$J,J645,$K:$K,K645,$L:$L,L645,$M:$M,M645,$T:$T,T645,$U:$U,U645,$W:$W,W645,$Z:$Z,Z645,$AA:$AA,AA645,$AB:$AB,AB645,$AC:$AC,AC645,$AD:$AD,AD645,$AE:$AE,AE645,$AF:$AF,AF645,$AG:$AG,AG645,$AH:$AH,AH645,$AI:$AI,AI645)&gt;1,"Duplicate","Unique")</f>
        <v>Unique</v>
      </c>
    </row>
    <row r="646" spans="1:46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  <c r="W646" t="s">
        <v>3047</v>
      </c>
      <c r="Z646" t="s">
        <v>3049</v>
      </c>
      <c r="AA646" t="str">
        <v>Vikram Iyer</v>
      </c>
      <c r="AB646" t="str">
        <f>TRIM(PROPER(F:F))</f>
        <v>Consumer</v>
      </c>
      <c r="AC646" t="str">
        <f>TRIM(PROPER(G:G))</f>
        <v>East</v>
      </c>
      <c r="AD646" t="str">
        <f>TRIM(PROPER(H:H))</f>
        <v>West Bengal</v>
      </c>
      <c r="AE646" t="str">
        <f>TRIM(PROPER(I:I))</f>
        <v>Kolkata</v>
      </c>
      <c r="AF646" t="str">
        <f>TRIM(PROPER(J:J))</f>
        <v>Furniture</v>
      </c>
      <c r="AG646" t="str">
        <f>TRIM(PROPER(K:K))</f>
        <v>Chairs</v>
      </c>
      <c r="AH646" t="str">
        <f>TRIM(PROPER(L:L))</f>
        <v>Pro Chairs 812</v>
      </c>
      <c r="AI646" t="str">
        <f>TRIM(PROPER(M:M))</f>
        <v>Standard Class</v>
      </c>
      <c r="AJ646" s="5">
        <f>IF(OR(P646&lt;0,P646&gt;0.5),"invalid",P646)</f>
        <v>0.05</v>
      </c>
      <c r="AK646" s="6">
        <f>IFERROR(N646*O646*(1-AJ646), "NA")</f>
        <v>14250.075999999999</v>
      </c>
      <c r="AL646" s="6">
        <f>IFERROR(AK646-R646,"NA")</f>
        <v>3335.155999999999</v>
      </c>
      <c r="AM646" s="5">
        <f t="shared" si="50"/>
        <v>0.23404478684885605</v>
      </c>
      <c r="AN646" t="str">
        <v>10-04-25</v>
      </c>
      <c r="AO646" t="str">
        <v>invalid date</v>
      </c>
      <c r="AP646" t="str">
        <f t="shared" si="51"/>
        <v>April</v>
      </c>
      <c r="AQ646" t="str">
        <f t="shared" si="52"/>
        <v>2025</v>
      </c>
      <c r="AR646" t="str">
        <f t="shared" si="53"/>
        <v>Invalid</v>
      </c>
      <c r="AS646" t="str">
        <f t="shared" si="54"/>
        <v>invalid date</v>
      </c>
      <c r="AT646" t="str">
        <f>IF(COUNTIFS( $A:$A,A646,$B:$B,B646,$C:$C,C646,$D:$D,D646,$E:$E,E646,$F:$F,F646,$G:$G,G646,$H:$H,H646,$I:$I,I646,$J:$J,J646,$K:$K,K646,$L:$L,L646,$M:$M,M646,$T:$T,T646,$U:$U,U646,$W:$W,W646,$Z:$Z,Z646,$AA:$AA,AA646,$AB:$AB,AB646,$AC:$AC,AC646,$AD:$AD,AD646,$AE:$AE,AE646,$AF:$AF,AF646,$AG:$AG,AG646,$AH:$AH,AH646,$AI:$AI,AI646)&gt;1,"Duplicate","Unique")</f>
        <v>Unique</v>
      </c>
    </row>
    <row r="647" spans="1:46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  <c r="W647" t="s">
        <v>3051</v>
      </c>
      <c r="Z647" t="s">
        <v>3053</v>
      </c>
      <c r="AA647" t="str">
        <v>Kabir Singh</v>
      </c>
      <c r="AB647" t="str">
        <f>TRIM(PROPER(F:F))</f>
        <v>Consumer</v>
      </c>
      <c r="AC647" t="str">
        <f>TRIM(PROPER(G:G))</f>
        <v>East</v>
      </c>
      <c r="AD647" t="str">
        <f>TRIM(PROPER(H:H))</f>
        <v>Bihar</v>
      </c>
      <c r="AE647" t="str">
        <f>TRIM(PROPER(I:I))</f>
        <v>Patna</v>
      </c>
      <c r="AF647" t="str">
        <f>TRIM(PROPER(J:J))</f>
        <v>Furniture</v>
      </c>
      <c r="AG647" t="str">
        <f>TRIM(PROPER(K:K))</f>
        <v>Chairs</v>
      </c>
      <c r="AH647" t="str">
        <f>TRIM(PROPER(L:L))</f>
        <v>Basic Chairs 480</v>
      </c>
      <c r="AI647" t="str">
        <f>TRIM(PROPER(M:M))</f>
        <v>Second Class</v>
      </c>
      <c r="AJ647" s="5">
        <f>IF(OR(P647&lt;0,P647&gt;0.5),"invalid",P647)</f>
        <v>0.1</v>
      </c>
      <c r="AK647" s="6">
        <f>IFERROR(N647*O647*(1-AJ647), "NA")</f>
        <v>13087.494000000001</v>
      </c>
      <c r="AL647" s="6">
        <f>IFERROR(AK647-R647,"NA")</f>
        <v>5478.6040000000003</v>
      </c>
      <c r="AM647" s="5">
        <f t="shared" si="50"/>
        <v>0.41861367806548755</v>
      </c>
      <c r="AN647" t="str">
        <v>04-01-24</v>
      </c>
      <c r="AO647" t="str">
        <v>09-01-24</v>
      </c>
      <c r="AP647" t="str">
        <f t="shared" si="51"/>
        <v>January</v>
      </c>
      <c r="AQ647" t="str">
        <f t="shared" si="52"/>
        <v>2024</v>
      </c>
      <c r="AR647" t="str">
        <f t="shared" si="53"/>
        <v xml:space="preserve"> </v>
      </c>
      <c r="AS647">
        <f t="shared" si="54"/>
        <v>5</v>
      </c>
      <c r="AT647" t="str">
        <f>IF(COUNTIFS( $A:$A,A647,$B:$B,B647,$C:$C,C647,$D:$D,D647,$E:$E,E647,$F:$F,F647,$G:$G,G647,$H:$H,H647,$I:$I,I647,$J:$J,J647,$K:$K,K647,$L:$L,L647,$M:$M,M647,$T:$T,T647,$U:$U,U647,$W:$W,W647,$Z:$Z,Z647,$AA:$AA,AA647,$AB:$AB,AB647,$AC:$AC,AC647,$AD:$AD,AD647,$AE:$AE,AE647,$AF:$AF,AF647,$AG:$AG,AG647,$AH:$AH,AH647,$AI:$AI,AI647)&gt;1,"Duplicate","Unique")</f>
        <v>Unique</v>
      </c>
    </row>
    <row r="648" spans="1:46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  <c r="W648" t="s">
        <v>3055</v>
      </c>
      <c r="Z648" t="s">
        <v>3058</v>
      </c>
      <c r="AA648" t="str">
        <v>Vikram Iyer</v>
      </c>
      <c r="AB648" t="str">
        <f>TRIM(PROPER(F:F))</f>
        <v>Small Business</v>
      </c>
      <c r="AC648" t="str">
        <f>TRIM(PROPER(G:G))</f>
        <v>East</v>
      </c>
      <c r="AD648" t="str">
        <f>TRIM(PROPER(H:H))</f>
        <v>Jharkhand</v>
      </c>
      <c r="AE648" t="str">
        <f>TRIM(PROPER(I:I))</f>
        <v>Ranchi</v>
      </c>
      <c r="AF648" t="str">
        <f>TRIM(PROPER(J:J))</f>
        <v>Technology</v>
      </c>
      <c r="AG648" t="str">
        <f>TRIM(PROPER(K:K))</f>
        <v>Machines</v>
      </c>
      <c r="AH648" t="str">
        <f>TRIM(PROPER(L:L))</f>
        <v>Elite Machines 955</v>
      </c>
      <c r="AI648" t="str">
        <f>TRIM(PROPER(M:M))</f>
        <v>First Class</v>
      </c>
      <c r="AJ648" s="5">
        <f>IF(OR(P648&lt;0,P648&gt;0.5),"invalid",P648)</f>
        <v>0.25</v>
      </c>
      <c r="AK648" s="6">
        <f>IFERROR(N648*O648*(1-AJ648), "NA")</f>
        <v>1640.5650000000001</v>
      </c>
      <c r="AL648" s="6">
        <f>IFERROR(AK648-R648,"NA")</f>
        <v>503.58500000000004</v>
      </c>
      <c r="AM648" s="5">
        <f t="shared" si="50"/>
        <v>0.30695827352162214</v>
      </c>
      <c r="AN648" t="str">
        <v>invalid date</v>
      </c>
      <c r="AO648" t="str">
        <v>24-09-24</v>
      </c>
      <c r="AP648" t="str">
        <f t="shared" si="51"/>
        <v>invalid date</v>
      </c>
      <c r="AQ648" t="str">
        <f t="shared" si="52"/>
        <v>invalid date</v>
      </c>
      <c r="AR648" t="str">
        <f t="shared" si="53"/>
        <v>Invalid</v>
      </c>
      <c r="AS648" t="str">
        <f t="shared" si="54"/>
        <v>invalid date</v>
      </c>
      <c r="AT648" t="str">
        <f>IF(COUNTIFS( $A:$A,A648,$B:$B,B648,$C:$C,C648,$D:$D,D648,$E:$E,E648,$F:$F,F648,$G:$G,G648,$H:$H,H648,$I:$I,I648,$J:$J,J648,$K:$K,K648,$L:$L,L648,$M:$M,M648,$T:$T,T648,$U:$U,U648,$W:$W,W648,$Z:$Z,Z648,$AA:$AA,AA648,$AB:$AB,AB648,$AC:$AC,AC648,$AD:$AD,AD648,$AE:$AE,AE648,$AF:$AF,AF648,$AG:$AG,AG648,$AH:$AH,AH648,$AI:$AI,AI648)&gt;1,"Duplicate","Unique")</f>
        <v>Unique</v>
      </c>
    </row>
    <row r="649" spans="1:46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  <c r="W649" t="s">
        <v>3060</v>
      </c>
      <c r="Z649" t="s">
        <v>3062</v>
      </c>
      <c r="AA649" t="str">
        <v>Rohan Mehta</v>
      </c>
      <c r="AB649" t="str">
        <f>TRIM(PROPER(F:F))</f>
        <v>Small Business</v>
      </c>
      <c r="AC649" t="str">
        <f>TRIM(PROPER(G:G))</f>
        <v>North</v>
      </c>
      <c r="AD649" t="str">
        <f>TRIM(PROPER(H:H))</f>
        <v>Punjab</v>
      </c>
      <c r="AE649" t="str">
        <f>TRIM(PROPER(I:I))</f>
        <v>Ludhiana</v>
      </c>
      <c r="AF649" t="str">
        <f>TRIM(PROPER(J:J))</f>
        <v>Office Supplies</v>
      </c>
      <c r="AG649" t="str">
        <f>TRIM(PROPER(K:K))</f>
        <v>Art</v>
      </c>
      <c r="AH649" t="str">
        <f>TRIM(PROPER(L:L))</f>
        <v>Prime Art 461</v>
      </c>
      <c r="AI649" t="str">
        <f>TRIM(PROPER(M:M))</f>
        <v>First Class</v>
      </c>
      <c r="AJ649" s="5">
        <f>IF(OR(P649&lt;0,P649&gt;0.5),"invalid",P649)</f>
        <v>0.15</v>
      </c>
      <c r="AK649" s="6">
        <f>IFERROR(N649*O649*(1-AJ649), "NA")</f>
        <v>14441.907999999999</v>
      </c>
      <c r="AL649" s="6">
        <f>IFERROR(AK649-R649,"NA")</f>
        <v>3569.018</v>
      </c>
      <c r="AM649" s="5">
        <f t="shared" si="50"/>
        <v>0.24712925743606731</v>
      </c>
      <c r="AN649" t="str">
        <v>01-01-25</v>
      </c>
      <c r="AO649" t="str">
        <v>09-01-25</v>
      </c>
      <c r="AP649" t="str">
        <f t="shared" si="51"/>
        <v>January</v>
      </c>
      <c r="AQ649" t="str">
        <f t="shared" si="52"/>
        <v>2025</v>
      </c>
      <c r="AR649" t="str">
        <f t="shared" si="53"/>
        <v xml:space="preserve"> </v>
      </c>
      <c r="AS649">
        <f t="shared" si="54"/>
        <v>8</v>
      </c>
      <c r="AT649" t="str">
        <f>IF(COUNTIFS( $A:$A,A649,$B:$B,B649,$C:$C,C649,$D:$D,D649,$E:$E,E649,$F:$F,F649,$G:$G,G649,$H:$H,H649,$I:$I,I649,$J:$J,J649,$K:$K,K649,$L:$L,L649,$M:$M,M649,$T:$T,T649,$U:$U,U649,$W:$W,W649,$Z:$Z,Z649,$AA:$AA,AA649,$AB:$AB,AB649,$AC:$AC,AC649,$AD:$AD,AD649,$AE:$AE,AE649,$AF:$AF,AF649,$AG:$AG,AG649,$AH:$AH,AH649,$AI:$AI,AI649)&gt;1,"Duplicate","Unique")</f>
        <v>Unique</v>
      </c>
    </row>
    <row r="650" spans="1:46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  <c r="W650" t="s">
        <v>3065</v>
      </c>
      <c r="Z650" t="s">
        <v>3067</v>
      </c>
      <c r="AA650" t="str">
        <v>Neha Gupta</v>
      </c>
      <c r="AB650" t="str">
        <f>TRIM(PROPER(F:F))</f>
        <v>Small Business</v>
      </c>
      <c r="AC650" t="str">
        <f>TRIM(PROPER(G:G))</f>
        <v>South</v>
      </c>
      <c r="AD650" t="str">
        <f>TRIM(PROPER(H:H))</f>
        <v>Andhra Pradesh</v>
      </c>
      <c r="AE650" t="str">
        <f>TRIM(PROPER(I:I))</f>
        <v>Vijayawada</v>
      </c>
      <c r="AF650" t="str">
        <f>TRIM(PROPER(J:J))</f>
        <v>Office Supplies</v>
      </c>
      <c r="AG650" t="str">
        <f>TRIM(PROPER(K:K))</f>
        <v>Art</v>
      </c>
      <c r="AH650" t="str">
        <f>TRIM(PROPER(L:L))</f>
        <v>Prime Art 301</v>
      </c>
      <c r="AI650" t="str">
        <f>TRIM(PROPER(M:M))</f>
        <v>Same Day</v>
      </c>
      <c r="AJ650" s="5">
        <f>IF(OR(P650&lt;0,P650&gt;0.5),"invalid",P650)</f>
        <v>0.2</v>
      </c>
      <c r="AK650" s="6">
        <f>IFERROR(N650*O650*(1-AJ650), "NA")</f>
        <v>5065.8480000000009</v>
      </c>
      <c r="AL650" s="6">
        <f>IFERROR(AK650-R650,"NA")</f>
        <v>1548.6180000000008</v>
      </c>
      <c r="AM650" s="5">
        <f t="shared" si="50"/>
        <v>0.30569768378364304</v>
      </c>
      <c r="AN650" t="str">
        <v>21-04-24</v>
      </c>
      <c r="AO650" t="str">
        <v>24-04-24</v>
      </c>
      <c r="AP650" t="str">
        <f t="shared" si="51"/>
        <v>April</v>
      </c>
      <c r="AQ650" t="str">
        <f t="shared" si="52"/>
        <v>2024</v>
      </c>
      <c r="AR650" t="str">
        <f t="shared" si="53"/>
        <v xml:space="preserve"> </v>
      </c>
      <c r="AS650">
        <f t="shared" si="54"/>
        <v>3</v>
      </c>
      <c r="AT650" t="str">
        <f>IF(COUNTIFS( $A:$A,A650,$B:$B,B650,$C:$C,C650,$D:$D,D650,$E:$E,E650,$F:$F,F650,$G:$G,G650,$H:$H,H650,$I:$I,I650,$J:$J,J650,$K:$K,K650,$L:$L,L650,$M:$M,M650,$T:$T,T650,$U:$U,U650,$W:$W,W650,$Z:$Z,Z650,$AA:$AA,AA650,$AB:$AB,AB650,$AC:$AC,AC650,$AD:$AD,AD650,$AE:$AE,AE650,$AF:$AF,AF650,$AG:$AG,AG650,$AH:$AH,AH650,$AI:$AI,AI650)&gt;1,"Duplicate","Unique")</f>
        <v>Unique</v>
      </c>
    </row>
    <row r="651" spans="1:46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  <c r="W651" t="s">
        <v>3069</v>
      </c>
      <c r="Z651" t="s">
        <v>3072</v>
      </c>
      <c r="AA651" t="str">
        <v>Kabir Singh</v>
      </c>
      <c r="AB651" t="str">
        <f>TRIM(PROPER(F:F))</f>
        <v>Small Business</v>
      </c>
      <c r="AC651" t="str">
        <f>TRIM(PROPER(G:G))</f>
        <v>South</v>
      </c>
      <c r="AD651" t="str">
        <f>TRIM(PROPER(H:H))</f>
        <v>Kerala</v>
      </c>
      <c r="AE651" t="str">
        <f>TRIM(PROPER(I:I))</f>
        <v>Kochi</v>
      </c>
      <c r="AF651" t="str">
        <f>TRIM(PROPER(J:J))</f>
        <v>Technology</v>
      </c>
      <c r="AG651" t="str">
        <f>TRIM(PROPER(K:K))</f>
        <v>Accessories</v>
      </c>
      <c r="AH651" t="str">
        <f>TRIM(PROPER(L:L))</f>
        <v>Classic Accessories 354</v>
      </c>
      <c r="AI651" t="str">
        <f>TRIM(PROPER(M:M))</f>
        <v>Standard Class</v>
      </c>
      <c r="AJ651" s="5">
        <f>IF(OR(P651&lt;0,P651&gt;0.5),"invalid",P651)</f>
        <v>0.25</v>
      </c>
      <c r="AK651" s="6">
        <f>IFERROR(N651*O651*(1-AJ651), "NA")</f>
        <v>6776.88</v>
      </c>
      <c r="AL651" s="6">
        <f>IFERROR(AK651-R651,"NA")</f>
        <v>2940.6400000000003</v>
      </c>
      <c r="AM651" s="5">
        <f t="shared" si="50"/>
        <v>0.43392239496641527</v>
      </c>
      <c r="AN651" t="str">
        <v>11-08-25</v>
      </c>
      <c r="AO651" t="str">
        <v>19-08-25</v>
      </c>
      <c r="AP651" t="str">
        <f t="shared" si="51"/>
        <v>August</v>
      </c>
      <c r="AQ651" t="str">
        <f t="shared" si="52"/>
        <v>2025</v>
      </c>
      <c r="AR651" t="str">
        <f t="shared" si="53"/>
        <v xml:space="preserve"> </v>
      </c>
      <c r="AS651">
        <f t="shared" si="54"/>
        <v>8</v>
      </c>
      <c r="AT651" t="str">
        <f>IF(COUNTIFS( $A:$A,A651,$B:$B,B651,$C:$C,C651,$D:$D,D651,$E:$E,E651,$F:$F,F651,$G:$G,G651,$H:$H,H651,$I:$I,I651,$J:$J,J651,$K:$K,K651,$L:$L,L651,$M:$M,M651,$T:$T,T651,$U:$U,U651,$W:$W,W651,$Z:$Z,Z651,$AA:$AA,AA651,$AB:$AB,AB651,$AC:$AC,AC651,$AD:$AD,AD651,$AE:$AE,AE651,$AF:$AF,AF651,$AG:$AG,AG651,$AH:$AH,AH651,$AI:$AI,AI651)&gt;1,"Duplicate","Unique")</f>
        <v>Unique</v>
      </c>
    </row>
    <row r="652" spans="1:46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  <c r="W652" t="s">
        <v>3074</v>
      </c>
      <c r="Z652" t="s">
        <v>547</v>
      </c>
      <c r="AA652" t="str">
        <v>Aarav Sharma</v>
      </c>
      <c r="AB652" t="str">
        <f>TRIM(PROPER(F:F))</f>
        <v>Home Office</v>
      </c>
      <c r="AC652" t="str">
        <f>TRIM(PROPER(G:G))</f>
        <v>East</v>
      </c>
      <c r="AD652" t="str">
        <f>TRIM(PROPER(H:H))</f>
        <v>Bihar</v>
      </c>
      <c r="AE652" t="str">
        <f>TRIM(PROPER(I:I))</f>
        <v>Patna</v>
      </c>
      <c r="AF652" t="str">
        <f>TRIM(PROPER(J:J))</f>
        <v>Technology</v>
      </c>
      <c r="AG652" t="str">
        <f>TRIM(PROPER(K:K))</f>
        <v>Accessories</v>
      </c>
      <c r="AH652" t="str">
        <f>TRIM(PROPER(L:L))</f>
        <v>Basic Accessories 210</v>
      </c>
      <c r="AI652" t="str">
        <f>TRIM(PROPER(M:M))</f>
        <v>Same Day</v>
      </c>
      <c r="AJ652" s="5">
        <f>IF(OR(P652&lt;0,P652&gt;0.5),"invalid",P652)</f>
        <v>0.15</v>
      </c>
      <c r="AK652" s="6">
        <f>IFERROR(N652*O652*(1-AJ652), "NA")</f>
        <v>15760.121999999999</v>
      </c>
      <c r="AL652" s="6">
        <f>IFERROR(AK652-R652,"NA")</f>
        <v>5828.5919999999987</v>
      </c>
      <c r="AM652" s="5">
        <f t="shared" si="50"/>
        <v>0.36983165485647884</v>
      </c>
      <c r="AN652" t="str">
        <v>invalid date</v>
      </c>
      <c r="AO652" t="str">
        <v>21-04-24</v>
      </c>
      <c r="AP652" t="str">
        <f t="shared" si="51"/>
        <v>invalid date</v>
      </c>
      <c r="AQ652" t="str">
        <f t="shared" si="52"/>
        <v>invalid date</v>
      </c>
      <c r="AR652" t="str">
        <f t="shared" si="53"/>
        <v>Invalid</v>
      </c>
      <c r="AS652" t="str">
        <f t="shared" si="54"/>
        <v>invalid date</v>
      </c>
      <c r="AT652" t="str">
        <f>IF(COUNTIFS( $A:$A,A652,$B:$B,B652,$C:$C,C652,$D:$D,D652,$E:$E,E652,$F:$F,F652,$G:$G,G652,$H:$H,H652,$I:$I,I652,$J:$J,J652,$K:$K,K652,$L:$L,L652,$M:$M,M652,$T:$T,T652,$U:$U,U652,$W:$W,W652,$Z:$Z,Z652,$AA:$AA,AA652,$AB:$AB,AB652,$AC:$AC,AC652,$AD:$AD,AD652,$AE:$AE,AE652,$AF:$AF,AF652,$AG:$AG,AG652,$AH:$AH,AH652,$AI:$AI,AI652)&gt;1,"Duplicate","Unique")</f>
        <v>Unique</v>
      </c>
    </row>
    <row r="653" spans="1:46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  <c r="W653" t="s">
        <v>3078</v>
      </c>
      <c r="Z653" t="s">
        <v>3080</v>
      </c>
      <c r="AA653" t="str">
        <v>Mira Das</v>
      </c>
      <c r="AB653" t="str">
        <f>TRIM(PROPER(F:F))</f>
        <v>Small Business</v>
      </c>
      <c r="AC653" t="str">
        <f>TRIM(PROPER(G:G))</f>
        <v>South</v>
      </c>
      <c r="AD653" t="str">
        <f>TRIM(PROPER(H:H))</f>
        <v>Andhra Pradesh</v>
      </c>
      <c r="AE653" t="str">
        <f>TRIM(PROPER(I:I))</f>
        <v>Vijayawada</v>
      </c>
      <c r="AF653" t="str">
        <f>TRIM(PROPER(J:J))</f>
        <v>Office Supplies</v>
      </c>
      <c r="AG653" t="str">
        <f>TRIM(PROPER(K:K))</f>
        <v>Paper</v>
      </c>
      <c r="AH653" t="str">
        <f>TRIM(PROPER(L:L))</f>
        <v>Smart Paper 364</v>
      </c>
      <c r="AI653" t="str">
        <f>TRIM(PROPER(M:M))</f>
        <v>Second Class</v>
      </c>
      <c r="AJ653" s="5">
        <f>IF(OR(P653&lt;0,P653&gt;0.5),"invalid",P653)</f>
        <v>0</v>
      </c>
      <c r="AK653" s="6">
        <f>IFERROR(N653*O653*(1-AJ653), "NA")</f>
        <v>1795.6499999999999</v>
      </c>
      <c r="AL653" s="6">
        <f>IFERROR(AK653-R653,"NA")</f>
        <v>798.92999999999984</v>
      </c>
      <c r="AM653" s="5">
        <f t="shared" si="50"/>
        <v>0.44492523598696843</v>
      </c>
      <c r="AN653" t="str">
        <v>06-08-25</v>
      </c>
      <c r="AO653" t="str">
        <v>09-08-25</v>
      </c>
      <c r="AP653" t="str">
        <f t="shared" si="51"/>
        <v>August</v>
      </c>
      <c r="AQ653" t="str">
        <f t="shared" si="52"/>
        <v>2025</v>
      </c>
      <c r="AR653" t="str">
        <f t="shared" si="53"/>
        <v xml:space="preserve"> </v>
      </c>
      <c r="AS653">
        <f t="shared" si="54"/>
        <v>3</v>
      </c>
      <c r="AT653" t="str">
        <f>IF(COUNTIFS( $A:$A,A653,$B:$B,B653,$C:$C,C653,$D:$D,D653,$E:$E,E653,$F:$F,F653,$G:$G,G653,$H:$H,H653,$I:$I,I653,$J:$J,J653,$K:$K,K653,$L:$L,L653,$M:$M,M653,$T:$T,T653,$U:$U,U653,$W:$W,W653,$Z:$Z,Z653,$AA:$AA,AA653,$AB:$AB,AB653,$AC:$AC,AC653,$AD:$AD,AD653,$AE:$AE,AE653,$AF:$AF,AF653,$AG:$AG,AG653,$AH:$AH,AH653,$AI:$AI,AI653)&gt;1,"Duplicate","Unique")</f>
        <v>Unique</v>
      </c>
    </row>
    <row r="654" spans="1:46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  <c r="W654" t="s">
        <v>3082</v>
      </c>
      <c r="Z654" t="s">
        <v>2567</v>
      </c>
      <c r="AA654" t="str">
        <v>Sneha Kapoor</v>
      </c>
      <c r="AB654" t="str">
        <f>TRIM(PROPER(F:F))</f>
        <v>Consumer</v>
      </c>
      <c r="AC654" t="str">
        <f>TRIM(PROPER(G:G))</f>
        <v>North</v>
      </c>
      <c r="AD654" t="str">
        <f>TRIM(PROPER(H:H))</f>
        <v>Uttar Pradesh</v>
      </c>
      <c r="AE654" t="str">
        <f>TRIM(PROPER(I:I))</f>
        <v>Noida</v>
      </c>
      <c r="AF654" t="str">
        <f>TRIM(PROPER(J:J))</f>
        <v>Office Supplies</v>
      </c>
      <c r="AG654" t="str">
        <f>TRIM(PROPER(K:K))</f>
        <v>Binders</v>
      </c>
      <c r="AH654" t="str">
        <f>TRIM(PROPER(L:L))</f>
        <v>Smart Binders 999</v>
      </c>
      <c r="AI654" t="str">
        <f>TRIM(PROPER(M:M))</f>
        <v>Standard Class</v>
      </c>
      <c r="AJ654" s="5">
        <f>IF(OR(P654&lt;0,P654&gt;0.5),"invalid",P654)</f>
        <v>0.15</v>
      </c>
      <c r="AK654" s="6">
        <f>IFERROR(N654*O654*(1-AJ654), "NA")</f>
        <v>18362.5075</v>
      </c>
      <c r="AL654" s="6">
        <f>IFERROR(AK654-R654,"NA")</f>
        <v>7228.5375000000004</v>
      </c>
      <c r="AM654" s="5">
        <f t="shared" si="50"/>
        <v>0.39365742941153326</v>
      </c>
      <c r="AN654" t="str">
        <v>invalid date</v>
      </c>
      <c r="AO654" t="str">
        <v>21-03-25</v>
      </c>
      <c r="AP654" t="str">
        <f t="shared" si="51"/>
        <v>invalid date</v>
      </c>
      <c r="AQ654" t="str">
        <f t="shared" si="52"/>
        <v>invalid date</v>
      </c>
      <c r="AR654" t="str">
        <f t="shared" si="53"/>
        <v>Invalid</v>
      </c>
      <c r="AS654" t="str">
        <f t="shared" si="54"/>
        <v>invalid date</v>
      </c>
      <c r="AT654" t="str">
        <f>IF(COUNTIFS( $A:$A,A654,$B:$B,B654,$C:$C,C654,$D:$D,D654,$E:$E,E654,$F:$F,F654,$G:$G,G654,$H:$H,H654,$I:$I,I654,$J:$J,J654,$K:$K,K654,$L:$L,L654,$M:$M,M654,$T:$T,T654,$U:$U,U654,$W:$W,W654,$Z:$Z,Z654,$AA:$AA,AA654,$AB:$AB,AB654,$AC:$AC,AC654,$AD:$AD,AD654,$AE:$AE,AE654,$AF:$AF,AF654,$AG:$AG,AG654,$AH:$AH,AH654,$AI:$AI,AI654)&gt;1,"Duplicate","Unique")</f>
        <v>Unique</v>
      </c>
    </row>
    <row r="655" spans="1:46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  <c r="W655" t="s">
        <v>3086</v>
      </c>
      <c r="Z655" t="s">
        <v>3089</v>
      </c>
      <c r="AA655" t="str">
        <v>Priya Menon</v>
      </c>
      <c r="AB655" t="str">
        <f>TRIM(PROPER(F:F))</f>
        <v>Small Business</v>
      </c>
      <c r="AC655" t="str">
        <f>TRIM(PROPER(G:G))</f>
        <v>South</v>
      </c>
      <c r="AD655" t="str">
        <f>TRIM(PROPER(H:H))</f>
        <v>Tamil Nadu</v>
      </c>
      <c r="AE655" t="str">
        <f>TRIM(PROPER(I:I))</f>
        <v>Chennai</v>
      </c>
      <c r="AF655" t="str">
        <f>TRIM(PROPER(J:J))</f>
        <v>Technology</v>
      </c>
      <c r="AG655" t="str">
        <f>TRIM(PROPER(K:K))</f>
        <v>Copiers</v>
      </c>
      <c r="AH655" t="str">
        <f>TRIM(PROPER(L:L))</f>
        <v>Max Copiers 356</v>
      </c>
      <c r="AI655" t="str">
        <f>TRIM(PROPER(M:M))</f>
        <v>Second Class</v>
      </c>
      <c r="AJ655" s="5">
        <f>IF(OR(P655&lt;0,P655&gt;0.5),"invalid",P655)</f>
        <v>0.15</v>
      </c>
      <c r="AK655" s="6">
        <f>IFERROR(N655*O655*(1-AJ655), "NA")</f>
        <v>26524.683500000003</v>
      </c>
      <c r="AL655" s="6">
        <f>IFERROR(AK655-R655,"NA")</f>
        <v>5950.3835000000036</v>
      </c>
      <c r="AM655" s="5">
        <f t="shared" si="50"/>
        <v>0.22433381721595294</v>
      </c>
      <c r="AN655" t="str">
        <v>04-04-25</v>
      </c>
      <c r="AO655" t="str">
        <v>04-07-25</v>
      </c>
      <c r="AP655" t="str">
        <f t="shared" si="51"/>
        <v>April</v>
      </c>
      <c r="AQ655" t="str">
        <f t="shared" si="52"/>
        <v>2025</v>
      </c>
      <c r="AR655" t="str">
        <f t="shared" si="53"/>
        <v xml:space="preserve"> </v>
      </c>
      <c r="AS655">
        <f t="shared" si="54"/>
        <v>91</v>
      </c>
      <c r="AT655" t="str">
        <f>IF(COUNTIFS( $A:$A,A655,$B:$B,B655,$C:$C,C655,$D:$D,D655,$E:$E,E655,$F:$F,F655,$G:$G,G655,$H:$H,H655,$I:$I,I655,$J:$J,J655,$K:$K,K655,$L:$L,L655,$M:$M,M655,$T:$T,T655,$U:$U,U655,$W:$W,W655,$Z:$Z,Z655,$AA:$AA,AA655,$AB:$AB,AB655,$AC:$AC,AC655,$AD:$AD,AD655,$AE:$AE,AE655,$AF:$AF,AF655,$AG:$AG,AG655,$AH:$AH,AH655,$AI:$AI,AI655)&gt;1,"Duplicate","Unique")</f>
        <v>Unique</v>
      </c>
    </row>
    <row r="656" spans="1:46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  <c r="W656" t="s">
        <v>3091</v>
      </c>
      <c r="Z656" t="s">
        <v>1416</v>
      </c>
      <c r="AA656" t="str">
        <v>Diya Patel</v>
      </c>
      <c r="AB656" t="str">
        <f>TRIM(PROPER(F:F))</f>
        <v>Corporate</v>
      </c>
      <c r="AC656" t="str">
        <f>TRIM(PROPER(G:G))</f>
        <v>East</v>
      </c>
      <c r="AD656" t="str">
        <f>TRIM(PROPER(H:H))</f>
        <v>Bihar</v>
      </c>
      <c r="AE656" t="str">
        <f>TRIM(PROPER(I:I))</f>
        <v>Patna</v>
      </c>
      <c r="AF656" t="str">
        <f>TRIM(PROPER(J:J))</f>
        <v>Technology</v>
      </c>
      <c r="AG656" t="str">
        <f>TRIM(PROPER(K:K))</f>
        <v>Machines</v>
      </c>
      <c r="AH656" t="str">
        <f>TRIM(PROPER(L:L))</f>
        <v>Classic Machines 639</v>
      </c>
      <c r="AI656" t="str">
        <f>TRIM(PROPER(M:M))</f>
        <v>Same Day</v>
      </c>
      <c r="AJ656" s="5">
        <f>IF(OR(P656&lt;0,P656&gt;0.5),"invalid",P656)</f>
        <v>0.2</v>
      </c>
      <c r="AK656" s="6">
        <f>IFERROR(N656*O656*(1-AJ656), "NA")</f>
        <v>2056.0480000000002</v>
      </c>
      <c r="AL656" s="6">
        <f>IFERROR(AK656-R656,"NA")</f>
        <v>393.65800000000013</v>
      </c>
      <c r="AM656" s="5">
        <f t="shared" si="50"/>
        <v>0.19146342886936496</v>
      </c>
      <c r="AN656" t="str">
        <v>10-12-25</v>
      </c>
      <c r="AO656" t="str">
        <v>16-10-25</v>
      </c>
      <c r="AP656" t="str">
        <f t="shared" si="51"/>
        <v>December</v>
      </c>
      <c r="AQ656" t="str">
        <f t="shared" si="52"/>
        <v>2025</v>
      </c>
      <c r="AR656" t="str">
        <f t="shared" si="53"/>
        <v xml:space="preserve"> </v>
      </c>
      <c r="AS656">
        <f t="shared" si="54"/>
        <v>-55</v>
      </c>
      <c r="AT656" t="str">
        <f>IF(COUNTIFS( $A:$A,A656,$B:$B,B656,$C:$C,C656,$D:$D,D656,$E:$E,E656,$F:$F,F656,$G:$G,G656,$H:$H,H656,$I:$I,I656,$J:$J,J656,$K:$K,K656,$L:$L,L656,$M:$M,M656,$T:$T,T656,$U:$U,U656,$W:$W,W656,$Z:$Z,Z656,$AA:$AA,AA656,$AB:$AB,AB656,$AC:$AC,AC656,$AD:$AD,AD656,$AE:$AE,AE656,$AF:$AF,AF656,$AG:$AG,AG656,$AH:$AH,AH656,$AI:$AI,AI656)&gt;1,"Duplicate","Unique")</f>
        <v>Unique</v>
      </c>
    </row>
    <row r="657" spans="1:46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  <c r="W657" t="s">
        <v>3094</v>
      </c>
      <c r="Z657" t="s">
        <v>3095</v>
      </c>
      <c r="AA657" t="str">
        <v>Neha Gupta</v>
      </c>
      <c r="AB657" t="str">
        <f>TRIM(PROPER(F:F))</f>
        <v>Home Office</v>
      </c>
      <c r="AC657" t="str">
        <f>TRIM(PROPER(G:G))</f>
        <v>East</v>
      </c>
      <c r="AD657" t="str">
        <f>TRIM(PROPER(H:H))</f>
        <v>West Bengal</v>
      </c>
      <c r="AE657" t="str">
        <f>TRIM(PROPER(I:I))</f>
        <v>Kolkata</v>
      </c>
      <c r="AF657" t="str">
        <f>TRIM(PROPER(J:J))</f>
        <v>Furniture</v>
      </c>
      <c r="AG657" t="str">
        <f>TRIM(PROPER(K:K))</f>
        <v>Furnishings</v>
      </c>
      <c r="AH657" t="str">
        <f>TRIM(PROPER(L:L))</f>
        <v>Smart Furnishings 748</v>
      </c>
      <c r="AI657" t="str">
        <f>TRIM(PROPER(M:M))</f>
        <v>Standard Class</v>
      </c>
      <c r="AJ657" s="5">
        <f>IF(OR(P657&lt;0,P657&gt;0.5),"invalid",P657)</f>
        <v>0</v>
      </c>
      <c r="AK657" s="6">
        <f>IFERROR(N657*O657*(1-AJ657), "NA")</f>
        <v>8607.2800000000007</v>
      </c>
      <c r="AL657" s="6">
        <f>IFERROR(AK657-R657,"NA")</f>
        <v>3483.2700000000004</v>
      </c>
      <c r="AM657" s="5">
        <f t="shared" si="50"/>
        <v>0.40468882155570635</v>
      </c>
      <c r="AN657" t="str">
        <v>invalid date</v>
      </c>
      <c r="AO657" t="str">
        <v>invalid date</v>
      </c>
      <c r="AP657" t="str">
        <f t="shared" si="51"/>
        <v>invalid date</v>
      </c>
      <c r="AQ657" t="str">
        <f t="shared" si="52"/>
        <v>invalid date</v>
      </c>
      <c r="AR657" t="str">
        <f t="shared" si="53"/>
        <v>Invalid</v>
      </c>
      <c r="AS657" t="str">
        <f t="shared" si="54"/>
        <v>invalid date</v>
      </c>
      <c r="AT657" t="str">
        <f>IF(COUNTIFS( $A:$A,A657,$B:$B,B657,$C:$C,C657,$D:$D,D657,$E:$E,E657,$F:$F,F657,$G:$G,G657,$H:$H,H657,$I:$I,I657,$J:$J,J657,$K:$K,K657,$L:$L,L657,$M:$M,M657,$T:$T,T657,$U:$U,U657,$W:$W,W657,$Z:$Z,Z657,$AA:$AA,AA657,$AB:$AB,AB657,$AC:$AC,AC657,$AD:$AD,AD657,$AE:$AE,AE657,$AF:$AF,AF657,$AG:$AG,AG657,$AH:$AH,AH657,$AI:$AI,AI657)&gt;1,"Duplicate","Unique")</f>
        <v>Unique</v>
      </c>
    </row>
    <row r="658" spans="1:46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  <c r="W658" t="s">
        <v>3097</v>
      </c>
      <c r="Z658" t="s">
        <v>3099</v>
      </c>
      <c r="AA658" t="str">
        <v>Neha Gupta</v>
      </c>
      <c r="AB658" t="str">
        <f>TRIM(PROPER(F:F))</f>
        <v>Small Business</v>
      </c>
      <c r="AC658" t="str">
        <f>TRIM(PROPER(G:G))</f>
        <v>North</v>
      </c>
      <c r="AD658" t="str">
        <f>TRIM(PROPER(H:H))</f>
        <v>Haryana</v>
      </c>
      <c r="AE658" t="str">
        <f>TRIM(PROPER(I:I))</f>
        <v>Gurugram</v>
      </c>
      <c r="AF658" t="str">
        <f>TRIM(PROPER(J:J))</f>
        <v>Technology</v>
      </c>
      <c r="AG658" t="str">
        <f>TRIM(PROPER(K:K))</f>
        <v>Machines</v>
      </c>
      <c r="AH658" t="str">
        <f>TRIM(PROPER(L:L))</f>
        <v>Pro Machines 589</v>
      </c>
      <c r="AI658" t="str">
        <f>TRIM(PROPER(M:M))</f>
        <v>Same Day</v>
      </c>
      <c r="AJ658" s="5" t="str">
        <f>IF(OR(P658&lt;0,P658&gt;0.5),"invalid",P658)</f>
        <v>invalid</v>
      </c>
      <c r="AK658" s="6" t="str">
        <f>IFERROR(N658*O658*(1-AJ658), "NA")</f>
        <v>NA</v>
      </c>
      <c r="AL658" s="6" t="str">
        <f>IFERROR(AK658-R658,"NA")</f>
        <v>NA</v>
      </c>
      <c r="AM658" s="5" t="str">
        <f t="shared" si="50"/>
        <v>NA</v>
      </c>
      <c r="AN658" t="str">
        <v>07-05-24</v>
      </c>
      <c r="AO658" t="str">
        <v>invalid date</v>
      </c>
      <c r="AP658" t="str">
        <f t="shared" si="51"/>
        <v>May</v>
      </c>
      <c r="AQ658" t="str">
        <f t="shared" si="52"/>
        <v>2024</v>
      </c>
      <c r="AR658" t="str">
        <f t="shared" si="53"/>
        <v>Invalid</v>
      </c>
      <c r="AS658" t="str">
        <f t="shared" si="54"/>
        <v>invalid date</v>
      </c>
      <c r="AT658" t="str">
        <f>IF(COUNTIFS( $A:$A,A658,$B:$B,B658,$C:$C,C658,$D:$D,D658,$E:$E,E658,$F:$F,F658,$G:$G,G658,$H:$H,H658,$I:$I,I658,$J:$J,J658,$K:$K,K658,$L:$L,L658,$M:$M,M658,$T:$T,T658,$U:$U,U658,$W:$W,W658,$Z:$Z,Z658,$AA:$AA,AA658,$AB:$AB,AB658,$AC:$AC,AC658,$AD:$AD,AD658,$AE:$AE,AE658,$AF:$AF,AF658,$AG:$AG,AG658,$AH:$AH,AH658,$AI:$AI,AI658)&gt;1,"Duplicate","Unique")</f>
        <v>Unique</v>
      </c>
    </row>
    <row r="659" spans="1:46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  <c r="W659" t="s">
        <v>3101</v>
      </c>
      <c r="Z659" t="s">
        <v>3104</v>
      </c>
      <c r="AA659" t="str">
        <v>Aditi Sen</v>
      </c>
      <c r="AB659" t="str">
        <f>TRIM(PROPER(F:F))</f>
        <v>Home Office</v>
      </c>
      <c r="AC659" t="str">
        <f>TRIM(PROPER(G:G))</f>
        <v>East</v>
      </c>
      <c r="AD659" t="str">
        <f>TRIM(PROPER(H:H))</f>
        <v>Bihar</v>
      </c>
      <c r="AE659" t="str">
        <f>TRIM(PROPER(I:I))</f>
        <v>Patna</v>
      </c>
      <c r="AF659" t="str">
        <f>TRIM(PROPER(J:J))</f>
        <v>Office Supplies</v>
      </c>
      <c r="AG659" t="str">
        <f>TRIM(PROPER(K:K))</f>
        <v>Storage</v>
      </c>
      <c r="AH659" t="str">
        <f>TRIM(PROPER(L:L))</f>
        <v>Eco Storage 316</v>
      </c>
      <c r="AI659" t="str">
        <f>TRIM(PROPER(M:M))</f>
        <v>Second Class</v>
      </c>
      <c r="AJ659" s="5">
        <f>IF(OR(P659&lt;0,P659&gt;0.5),"invalid",P659)</f>
        <v>0.2</v>
      </c>
      <c r="AK659" s="6">
        <f>IFERROR(N659*O659*(1-AJ659), "NA")</f>
        <v>2033</v>
      </c>
      <c r="AL659" s="6">
        <f>IFERROR(AK659-R659,"NA")</f>
        <v>741.58999999999992</v>
      </c>
      <c r="AM659" s="5">
        <f t="shared" si="50"/>
        <v>0.36477619281849477</v>
      </c>
      <c r="AN659" t="str">
        <v>08-07-25</v>
      </c>
      <c r="AO659" t="str">
        <v>10-08-25</v>
      </c>
      <c r="AP659" t="str">
        <f t="shared" si="51"/>
        <v>July</v>
      </c>
      <c r="AQ659" t="str">
        <f t="shared" si="52"/>
        <v>2025</v>
      </c>
      <c r="AR659" t="str">
        <f t="shared" si="53"/>
        <v xml:space="preserve"> </v>
      </c>
      <c r="AS659">
        <f t="shared" si="54"/>
        <v>33</v>
      </c>
      <c r="AT659" t="str">
        <f>IF(COUNTIFS( $A:$A,A659,$B:$B,B659,$C:$C,C659,$D:$D,D659,$E:$E,E659,$F:$F,F659,$G:$G,G659,$H:$H,H659,$I:$I,I659,$J:$J,J659,$K:$K,K659,$L:$L,L659,$M:$M,M659,$T:$T,T659,$U:$U,U659,$W:$W,W659,$Z:$Z,Z659,$AA:$AA,AA659,$AB:$AB,AB659,$AC:$AC,AC659,$AD:$AD,AD659,$AE:$AE,AE659,$AF:$AF,AF659,$AG:$AG,AG659,$AH:$AH,AH659,$AI:$AI,AI659)&gt;1,"Duplicate","Unique")</f>
        <v>Unique</v>
      </c>
    </row>
    <row r="660" spans="1:46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  <c r="W660" t="s">
        <v>3106</v>
      </c>
      <c r="Z660" t="s">
        <v>3108</v>
      </c>
      <c r="AA660" t="str">
        <v>Sneha Kapoor</v>
      </c>
      <c r="AB660" t="str">
        <f>TRIM(PROPER(F:F))</f>
        <v>Consumer</v>
      </c>
      <c r="AC660" t="s">
        <v>4111</v>
      </c>
      <c r="AD660" t="str">
        <f>TRIM(PROPER(H:H))</f>
        <v>Bihar</v>
      </c>
      <c r="AE660" t="str">
        <f>TRIM(PROPER(I:I))</f>
        <v>Patna</v>
      </c>
      <c r="AF660" t="str">
        <f>TRIM(PROPER(J:J))</f>
        <v>Office Supplies</v>
      </c>
      <c r="AG660" t="str">
        <f>TRIM(PROPER(K:K))</f>
        <v>Art</v>
      </c>
      <c r="AH660" t="str">
        <f>TRIM(PROPER(L:L))</f>
        <v>Eco Art 763</v>
      </c>
      <c r="AI660" t="str">
        <f>TRIM(PROPER(M:M))</f>
        <v>First Class</v>
      </c>
      <c r="AJ660" s="5">
        <f>IF(OR(P660&lt;0,P660&gt;0.5),"invalid",P660)</f>
        <v>0</v>
      </c>
      <c r="AK660" s="6">
        <f>IFERROR(N660*O660*(1-AJ660), "NA")</f>
        <v>19966.940000000002</v>
      </c>
      <c r="AL660" s="6">
        <f>IFERROR(AK660-R660,"NA")</f>
        <v>7276.1100000000024</v>
      </c>
      <c r="AM660" s="5">
        <f t="shared" si="50"/>
        <v>0.36440786620283339</v>
      </c>
      <c r="AN660" t="str">
        <v>09-06-25</v>
      </c>
      <c r="AO660" t="str">
        <v>06-12-25</v>
      </c>
      <c r="AP660" t="str">
        <f t="shared" si="51"/>
        <v>June</v>
      </c>
      <c r="AQ660" t="str">
        <f t="shared" si="52"/>
        <v>2025</v>
      </c>
      <c r="AR660" t="str">
        <f t="shared" si="53"/>
        <v>anomaly</v>
      </c>
      <c r="AS660">
        <f t="shared" si="54"/>
        <v>180</v>
      </c>
      <c r="AT660" t="str">
        <f>IF(COUNTIFS( $A:$A,A660,$B:$B,B660,$C:$C,C660,$D:$D,D660,$E:$E,E660,$F:$F,F660,$G:$G,G660,$H:$H,H660,$I:$I,I660,$J:$J,J660,$K:$K,K660,$L:$L,L660,$M:$M,M660,$T:$T,T660,$U:$U,U660,$W:$W,W660,$Z:$Z,Z660,$AA:$AA,AA660,$AB:$AB,AB660,$AC:$AC,AC660,$AD:$AD,AD660,$AE:$AE,AE660,$AF:$AF,AF660,$AG:$AG,AG660,$AH:$AH,AH660,$AI:$AI,AI660)&gt;1,"Duplicate","Unique")</f>
        <v>Unique</v>
      </c>
    </row>
    <row r="661" spans="1:46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  <c r="W661" t="s">
        <v>3110</v>
      </c>
      <c r="Z661" t="s">
        <v>3111</v>
      </c>
      <c r="AA661" t="str">
        <v>Diya Patel</v>
      </c>
      <c r="AB661" t="str">
        <f>TRIM(PROPER(F:F))</f>
        <v>Corporate</v>
      </c>
      <c r="AC661" t="str">
        <f>TRIM(PROPER(G:G))</f>
        <v>South</v>
      </c>
      <c r="AD661" t="str">
        <f>TRIM(PROPER(H:H))</f>
        <v>Karnataka</v>
      </c>
      <c r="AE661" t="str">
        <f>TRIM(PROPER(I:I))</f>
        <v>Bengaluru</v>
      </c>
      <c r="AF661" t="str">
        <f>TRIM(PROPER(J:J))</f>
        <v>Technology</v>
      </c>
      <c r="AG661" t="str">
        <f>TRIM(PROPER(K:K))</f>
        <v>Phones</v>
      </c>
      <c r="AH661" t="str">
        <f>TRIM(PROPER(L:L))</f>
        <v>Pro Phones 356</v>
      </c>
      <c r="AI661" t="str">
        <f>TRIM(PROPER(M:M))</f>
        <v>Second Class</v>
      </c>
      <c r="AJ661" s="5">
        <f>IF(OR(P661&lt;0,P661&gt;0.5),"invalid",P661)</f>
        <v>0.2</v>
      </c>
      <c r="AK661" s="6">
        <f>IFERROR(N661*O661*(1-AJ661), "NA")</f>
        <v>710.89600000000007</v>
      </c>
      <c r="AL661" s="6">
        <f>IFERROR(AK661-R661,"NA")</f>
        <v>197.01600000000008</v>
      </c>
      <c r="AM661" s="5">
        <f t="shared" si="50"/>
        <v>0.27713758411919615</v>
      </c>
      <c r="AN661" t="str">
        <v>21-01-25</v>
      </c>
      <c r="AO661" t="str">
        <v>22-01-25</v>
      </c>
      <c r="AP661" t="str">
        <f t="shared" si="51"/>
        <v>January</v>
      </c>
      <c r="AQ661" t="str">
        <f t="shared" si="52"/>
        <v>2025</v>
      </c>
      <c r="AR661" t="str">
        <f t="shared" si="53"/>
        <v xml:space="preserve"> </v>
      </c>
      <c r="AS661">
        <f t="shared" si="54"/>
        <v>1</v>
      </c>
      <c r="AT661" t="str">
        <f>IF(COUNTIFS( $A:$A,A661,$B:$B,B661,$C:$C,C661,$D:$D,D661,$E:$E,E661,$F:$F,F661,$G:$G,G661,$H:$H,H661,$I:$I,I661,$J:$J,J661,$K:$K,K661,$L:$L,L661,$M:$M,M661,$T:$T,T661,$U:$U,U661,$W:$W,W661,$Z:$Z,Z661,$AA:$AA,AA661,$AB:$AB,AB661,$AC:$AC,AC661,$AD:$AD,AD661,$AE:$AE,AE661,$AF:$AF,AF661,$AG:$AG,AG661,$AH:$AH,AH661,$AI:$AI,AI661)&gt;1,"Duplicate","Unique")</f>
        <v>Unique</v>
      </c>
    </row>
    <row r="662" spans="1:46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  <c r="W662" t="s">
        <v>3113</v>
      </c>
      <c r="Z662" t="s">
        <v>3115</v>
      </c>
      <c r="AA662" t="str">
        <v>Arjun Bose</v>
      </c>
      <c r="AB662" t="str">
        <f>TRIM(PROPER(F:F))</f>
        <v>Small Business</v>
      </c>
      <c r="AC662" t="str">
        <f>TRIM(PROPER(G:G))</f>
        <v>East</v>
      </c>
      <c r="AD662" t="str">
        <f>TRIM(PROPER(H:H))</f>
        <v>Jharkhand</v>
      </c>
      <c r="AE662" t="str">
        <f>TRIM(PROPER(I:I))</f>
        <v>Ranchi</v>
      </c>
      <c r="AF662" t="str">
        <f>TRIM(PROPER(J:J))</f>
        <v>Technology</v>
      </c>
      <c r="AG662" t="str">
        <f>TRIM(PROPER(K:K))</f>
        <v>Phones</v>
      </c>
      <c r="AH662" t="str">
        <f>TRIM(PROPER(L:L))</f>
        <v>Basic Phones 865</v>
      </c>
      <c r="AI662" t="str">
        <f>TRIM(PROPER(M:M))</f>
        <v>Same Day</v>
      </c>
      <c r="AJ662" s="5">
        <f>IF(OR(P662&lt;0,P662&gt;0.5),"invalid",P662)</f>
        <v>0.1</v>
      </c>
      <c r="AK662" s="6">
        <f>IFERROR(N662*O662*(1-AJ662), "NA")</f>
        <v>15994.476000000001</v>
      </c>
      <c r="AL662" s="6">
        <f>IFERROR(AK662-R662,"NA")</f>
        <v>6770.1959999999999</v>
      </c>
      <c r="AM662" s="5">
        <f t="shared" si="50"/>
        <v>0.42328338858991066</v>
      </c>
      <c r="AN662" t="str">
        <v>invalid date</v>
      </c>
      <c r="AO662" t="str">
        <v>15-07-25</v>
      </c>
      <c r="AP662" t="str">
        <f t="shared" si="51"/>
        <v>invalid date</v>
      </c>
      <c r="AQ662" t="str">
        <f t="shared" si="52"/>
        <v>invalid date</v>
      </c>
      <c r="AR662" t="str">
        <f t="shared" si="53"/>
        <v>Invalid</v>
      </c>
      <c r="AS662" t="str">
        <f t="shared" si="54"/>
        <v>invalid date</v>
      </c>
      <c r="AT662" t="str">
        <f>IF(COUNTIFS( $A:$A,A662,$B:$B,B662,$C:$C,C662,$D:$D,D662,$E:$E,E662,$F:$F,F662,$G:$G,G662,$H:$H,H662,$I:$I,I662,$J:$J,J662,$K:$K,K662,$L:$L,L662,$M:$M,M662,$T:$T,T662,$U:$U,U662,$W:$W,W662,$Z:$Z,Z662,$AA:$AA,AA662,$AB:$AB,AB662,$AC:$AC,AC662,$AD:$AD,AD662,$AE:$AE,AE662,$AF:$AF,AF662,$AG:$AG,AG662,$AH:$AH,AH662,$AI:$AI,AI662)&gt;1,"Duplicate","Unique")</f>
        <v>Unique</v>
      </c>
    </row>
    <row r="663" spans="1:46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  <c r="W663" t="s">
        <v>3117</v>
      </c>
      <c r="Z663" t="s">
        <v>3120</v>
      </c>
      <c r="AA663" t="str">
        <v>Sneha Kapoor</v>
      </c>
      <c r="AB663" t="str">
        <f>TRIM(PROPER(F:F))</f>
        <v>Consumer</v>
      </c>
      <c r="AC663" t="str">
        <f>TRIM(PROPER(G:G))</f>
        <v>South</v>
      </c>
      <c r="AD663" t="str">
        <f>TRIM(PROPER(H:H))</f>
        <v>Andhra Pradesh</v>
      </c>
      <c r="AE663" t="str">
        <f>TRIM(PROPER(I:I))</f>
        <v>Vijayawada</v>
      </c>
      <c r="AF663" t="str">
        <f>TRIM(PROPER(J:J))</f>
        <v>Technology</v>
      </c>
      <c r="AG663" t="str">
        <f>TRIM(PROPER(K:K))</f>
        <v>Machines</v>
      </c>
      <c r="AH663" t="str">
        <f>TRIM(PROPER(L:L))</f>
        <v>Max Machines 595</v>
      </c>
      <c r="AI663" t="str">
        <f>TRIM(PROPER(M:M))</f>
        <v>Second Class</v>
      </c>
      <c r="AJ663" s="5">
        <f>IF(OR(P663&lt;0,P663&gt;0.5),"invalid",P663)</f>
        <v>0</v>
      </c>
      <c r="AK663" s="6">
        <f>IFERROR(N663*O663*(1-AJ663), "NA")</f>
        <v>1627.5</v>
      </c>
      <c r="AL663" s="6">
        <f>IFERROR(AK663-R663,"NA")</f>
        <v>687.6</v>
      </c>
      <c r="AM663" s="5">
        <f t="shared" si="50"/>
        <v>0.4224884792626728</v>
      </c>
      <c r="AN663" t="str">
        <v>17-05-24</v>
      </c>
      <c r="AO663" t="str">
        <v>22-05-24</v>
      </c>
      <c r="AP663" t="str">
        <f t="shared" si="51"/>
        <v>May</v>
      </c>
      <c r="AQ663" t="str">
        <f t="shared" si="52"/>
        <v>2024</v>
      </c>
      <c r="AR663" t="str">
        <f t="shared" si="53"/>
        <v xml:space="preserve"> </v>
      </c>
      <c r="AS663">
        <f t="shared" si="54"/>
        <v>5</v>
      </c>
      <c r="AT663" t="str">
        <f>IF(COUNTIFS( $A:$A,A663,$B:$B,B663,$C:$C,C663,$D:$D,D663,$E:$E,E663,$F:$F,F663,$G:$G,G663,$H:$H,H663,$I:$I,I663,$J:$J,J663,$K:$K,K663,$L:$L,L663,$M:$M,M663,$T:$T,T663,$U:$U,U663,$W:$W,W663,$Z:$Z,Z663,$AA:$AA,AA663,$AB:$AB,AB663,$AC:$AC,AC663,$AD:$AD,AD663,$AE:$AE,AE663,$AF:$AF,AF663,$AG:$AG,AG663,$AH:$AH,AH663,$AI:$AI,AI663)&gt;1,"Duplicate","Unique")</f>
        <v>Unique</v>
      </c>
    </row>
    <row r="664" spans="1:46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  <c r="W664" t="s">
        <v>3122</v>
      </c>
      <c r="Z664" t="s">
        <v>3125</v>
      </c>
      <c r="AA664" t="str">
        <v>Mira Das</v>
      </c>
      <c r="AB664" t="str">
        <f>TRIM(PROPER(F:F))</f>
        <v>Home Office</v>
      </c>
      <c r="AC664" t="str">
        <f>TRIM(PROPER(G:G))</f>
        <v>West</v>
      </c>
      <c r="AD664" t="str">
        <f>TRIM(PROPER(H:H))</f>
        <v>Rajasthan</v>
      </c>
      <c r="AE664" t="str">
        <f>TRIM(PROPER(I:I))</f>
        <v>Udaipur</v>
      </c>
      <c r="AF664" t="str">
        <f>TRIM(PROPER(J:J))</f>
        <v>Technology</v>
      </c>
      <c r="AG664" t="str">
        <f>TRIM(PROPER(K:K))</f>
        <v>Machines</v>
      </c>
      <c r="AH664" t="str">
        <f>TRIM(PROPER(L:L))</f>
        <v>Elite Machines 367</v>
      </c>
      <c r="AI664" t="str">
        <f>TRIM(PROPER(M:M))</f>
        <v>Same Day</v>
      </c>
      <c r="AJ664" s="5">
        <f>IF(OR(P664&lt;0,P664&gt;0.5),"invalid",P664)</f>
        <v>0.1</v>
      </c>
      <c r="AK664" s="6">
        <f>IFERROR(N664*O664*(1-AJ664), "NA")</f>
        <v>9637.92</v>
      </c>
      <c r="AL664" s="6">
        <f>IFERROR(AK664-R664,"NA")</f>
        <v>2308.63</v>
      </c>
      <c r="AM664" s="5">
        <f t="shared" si="50"/>
        <v>0.2395361239769577</v>
      </c>
      <c r="AN664" t="str">
        <v>14-01-24</v>
      </c>
      <c r="AO664" t="str">
        <v>18-01-24</v>
      </c>
      <c r="AP664" t="str">
        <f t="shared" si="51"/>
        <v>January</v>
      </c>
      <c r="AQ664" t="str">
        <f t="shared" si="52"/>
        <v>2024</v>
      </c>
      <c r="AR664" t="str">
        <f t="shared" si="53"/>
        <v xml:space="preserve"> </v>
      </c>
      <c r="AS664">
        <f t="shared" si="54"/>
        <v>4</v>
      </c>
      <c r="AT664" t="str">
        <f>IF(COUNTIFS( $A:$A,A664,$B:$B,B664,$C:$C,C664,$D:$D,D664,$E:$E,E664,$F:$F,F664,$G:$G,G664,$H:$H,H664,$I:$I,I664,$J:$J,J664,$K:$K,K664,$L:$L,L664,$M:$M,M664,$T:$T,T664,$U:$U,U664,$W:$W,W664,$Z:$Z,Z664,$AA:$AA,AA664,$AB:$AB,AB664,$AC:$AC,AC664,$AD:$AD,AD664,$AE:$AE,AE664,$AF:$AF,AF664,$AG:$AG,AG664,$AH:$AH,AH664,$AI:$AI,AI664)&gt;1,"Duplicate","Unique")</f>
        <v>Unique</v>
      </c>
    </row>
    <row r="665" spans="1:46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  <c r="W665" t="s">
        <v>3127</v>
      </c>
      <c r="Z665" t="s">
        <v>3128</v>
      </c>
      <c r="AA665" t="str">
        <v>Rahul Verma</v>
      </c>
      <c r="AB665" t="str">
        <f>TRIM(PROPER(F:F))</f>
        <v>Home Office</v>
      </c>
      <c r="AC665" t="str">
        <f>TRIM(PROPER(G:G))</f>
        <v>East</v>
      </c>
      <c r="AD665" t="str">
        <f>TRIM(PROPER(H:H))</f>
        <v>Jharkhand</v>
      </c>
      <c r="AE665" t="str">
        <f>TRIM(PROPER(I:I))</f>
        <v>Ranchi</v>
      </c>
      <c r="AF665" t="str">
        <f>TRIM(PROPER(J:J))</f>
        <v>Technology</v>
      </c>
      <c r="AG665" t="str">
        <f>TRIM(PROPER(K:K))</f>
        <v>Copiers</v>
      </c>
      <c r="AH665" t="str">
        <f>TRIM(PROPER(L:L))</f>
        <v>Basic Copiers 787</v>
      </c>
      <c r="AI665" t="str">
        <f>TRIM(PROPER(M:M))</f>
        <v>Second Class</v>
      </c>
      <c r="AJ665" s="5" t="str">
        <f>IF(OR(P665&lt;0,P665&gt;0.5),"invalid",P665)</f>
        <v>invalid</v>
      </c>
      <c r="AK665" s="6" t="str">
        <f>IFERROR(N665*O665*(1-AJ665), "NA")</f>
        <v>NA</v>
      </c>
      <c r="AL665" s="6" t="str">
        <f>IFERROR(AK665-R665,"NA")</f>
        <v>NA</v>
      </c>
      <c r="AM665" s="5" t="str">
        <f t="shared" si="50"/>
        <v>NA</v>
      </c>
      <c r="AN665" t="str">
        <v>05-02-24</v>
      </c>
      <c r="AO665" t="str">
        <v>08-05-24</v>
      </c>
      <c r="AP665" t="str">
        <f t="shared" si="51"/>
        <v>February</v>
      </c>
      <c r="AQ665" t="str">
        <f t="shared" si="52"/>
        <v>2024</v>
      </c>
      <c r="AR665" t="str">
        <f t="shared" si="53"/>
        <v xml:space="preserve"> </v>
      </c>
      <c r="AS665">
        <f t="shared" si="54"/>
        <v>93</v>
      </c>
      <c r="AT665" t="str">
        <f>IF(COUNTIFS( $A:$A,A665,$B:$B,B665,$C:$C,C665,$D:$D,D665,$E:$E,E665,$F:$F,F665,$G:$G,G665,$H:$H,H665,$I:$I,I665,$J:$J,J665,$K:$K,K665,$L:$L,L665,$M:$M,M665,$T:$T,T665,$U:$U,U665,$W:$W,W665,$Z:$Z,Z665,$AA:$AA,AA665,$AB:$AB,AB665,$AC:$AC,AC665,$AD:$AD,AD665,$AE:$AE,AE665,$AF:$AF,AF665,$AG:$AG,AG665,$AH:$AH,AH665,$AI:$AI,AI665)&gt;1,"Duplicate","Unique")</f>
        <v>Unique</v>
      </c>
    </row>
    <row r="666" spans="1:46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  <c r="W666" t="s">
        <v>3130</v>
      </c>
      <c r="Z666" t="s">
        <v>3133</v>
      </c>
      <c r="AA666" t="str">
        <v>Mira Das</v>
      </c>
      <c r="AB666" t="str">
        <f>TRIM(PROPER(F:F))</f>
        <v>Home Office</v>
      </c>
      <c r="AC666" t="str">
        <f>TRIM(PROPER(G:G))</f>
        <v>South</v>
      </c>
      <c r="AD666" t="str">
        <f>TRIM(PROPER(H:H))</f>
        <v>Telangana</v>
      </c>
      <c r="AE666" t="str">
        <f>TRIM(PROPER(I:I))</f>
        <v>Hyderabad</v>
      </c>
      <c r="AF666" t="str">
        <f>TRIM(PROPER(J:J))</f>
        <v>Technology</v>
      </c>
      <c r="AG666" t="str">
        <f>TRIM(PROPER(K:K))</f>
        <v>Accessories</v>
      </c>
      <c r="AH666" t="str">
        <f>TRIM(PROPER(L:L))</f>
        <v>Max Accessories 903</v>
      </c>
      <c r="AI666" t="str">
        <f>TRIM(PROPER(M:M))</f>
        <v>Standard Class</v>
      </c>
      <c r="AJ666" s="5">
        <f>IF(OR(P666&lt;0,P666&gt;0.5),"invalid",P666)</f>
        <v>0.2</v>
      </c>
      <c r="AK666" s="6">
        <f>IFERROR(N666*O666*(1-AJ666), "NA")</f>
        <v>1527.0640000000001</v>
      </c>
      <c r="AL666" s="6">
        <f>IFERROR(AK666-R666,"NA")</f>
        <v>471.17399999999998</v>
      </c>
      <c r="AM666" s="5">
        <f t="shared" si="50"/>
        <v>0.30854895407134209</v>
      </c>
      <c r="AN666" t="str">
        <v>07-12-24</v>
      </c>
      <c r="AO666" t="str">
        <v>10-12-24</v>
      </c>
      <c r="AP666" t="str">
        <f t="shared" si="51"/>
        <v>December</v>
      </c>
      <c r="AQ666" t="str">
        <f t="shared" si="52"/>
        <v>2024</v>
      </c>
      <c r="AR666" t="str">
        <f t="shared" si="53"/>
        <v xml:space="preserve"> </v>
      </c>
      <c r="AS666">
        <f t="shared" si="54"/>
        <v>3</v>
      </c>
      <c r="AT666" t="str">
        <f>IF(COUNTIFS( $A:$A,A666,$B:$B,B666,$C:$C,C666,$D:$D,D666,$E:$E,E666,$F:$F,F666,$G:$G,G666,$H:$H,H666,$I:$I,I666,$J:$J,J666,$K:$K,K666,$L:$L,L666,$M:$M,M666,$T:$T,T666,$U:$U,U666,$W:$W,W666,$Z:$Z,Z666,$AA:$AA,AA666,$AB:$AB,AB666,$AC:$AC,AC666,$AD:$AD,AD666,$AE:$AE,AE666,$AF:$AF,AF666,$AG:$AG,AG666,$AH:$AH,AH666,$AI:$AI,AI666)&gt;1,"Duplicate","Unique")</f>
        <v>Unique</v>
      </c>
    </row>
    <row r="667" spans="1:46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  <c r="W667" t="s">
        <v>3135</v>
      </c>
      <c r="Z667" t="s">
        <v>3138</v>
      </c>
      <c r="AA667" t="str">
        <v>Rahul Verma</v>
      </c>
      <c r="AB667" t="str">
        <f>TRIM(PROPER(F:F))</f>
        <v>Home Office</v>
      </c>
      <c r="AC667" t="str">
        <f>TRIM(PROPER(G:G))</f>
        <v>West</v>
      </c>
      <c r="AD667" t="str">
        <f>TRIM(PROPER(H:H))</f>
        <v>Gujarat</v>
      </c>
      <c r="AE667" t="str">
        <f>TRIM(PROPER(I:I))</f>
        <v>Ahmedabad</v>
      </c>
      <c r="AF667" t="str">
        <f>TRIM(PROPER(J:J))</f>
        <v>Office Supplies</v>
      </c>
      <c r="AG667" t="str">
        <f>TRIM(PROPER(K:K))</f>
        <v>Art</v>
      </c>
      <c r="AH667" t="str">
        <f>TRIM(PROPER(L:L))</f>
        <v>Max Art 660</v>
      </c>
      <c r="AI667" t="str">
        <f>TRIM(PROPER(M:M))</f>
        <v>Standard Class</v>
      </c>
      <c r="AJ667" s="5">
        <f>IF(OR(P667&lt;0,P667&gt;0.5),"invalid",P667)</f>
        <v>0.1</v>
      </c>
      <c r="AK667" s="6">
        <f>IFERROR(N667*O667*(1-AJ667), "NA")</f>
        <v>5698.4039999999995</v>
      </c>
      <c r="AL667" s="6">
        <f>IFERROR(AK667-R667,"NA")</f>
        <v>2057.5139999999997</v>
      </c>
      <c r="AM667" s="5">
        <f t="shared" si="50"/>
        <v>0.36106846759197836</v>
      </c>
      <c r="AN667" t="str">
        <v>13-01-25</v>
      </c>
      <c r="AO667" t="str">
        <v>invalid date</v>
      </c>
      <c r="AP667" t="str">
        <f t="shared" si="51"/>
        <v>January</v>
      </c>
      <c r="AQ667" t="str">
        <f t="shared" si="52"/>
        <v>2025</v>
      </c>
      <c r="AR667" t="str">
        <f t="shared" si="53"/>
        <v>Invalid</v>
      </c>
      <c r="AS667" t="str">
        <f t="shared" si="54"/>
        <v>invalid date</v>
      </c>
      <c r="AT667" t="str">
        <f>IF(COUNTIFS( $A:$A,A667,$B:$B,B667,$C:$C,C667,$D:$D,D667,$E:$E,E667,$F:$F,F667,$G:$G,G667,$H:$H,H667,$I:$I,I667,$J:$J,J667,$K:$K,K667,$L:$L,L667,$M:$M,M667,$T:$T,T667,$U:$U,U667,$W:$W,W667,$Z:$Z,Z667,$AA:$AA,AA667,$AB:$AB,AB667,$AC:$AC,AC667,$AD:$AD,AD667,$AE:$AE,AE667,$AF:$AF,AF667,$AG:$AG,AG667,$AH:$AH,AH667,$AI:$AI,AI667)&gt;1,"Duplicate","Unique")</f>
        <v>Unique</v>
      </c>
    </row>
    <row r="668" spans="1:46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  <c r="W668" t="s">
        <v>3140</v>
      </c>
      <c r="Z668" t="s">
        <v>3141</v>
      </c>
      <c r="AA668" t="str">
        <v>Rohan Mehta</v>
      </c>
      <c r="AB668" t="str">
        <f>TRIM(PROPER(F:F))</f>
        <v>Small Business</v>
      </c>
      <c r="AC668" t="str">
        <f>TRIM(PROPER(G:G))</f>
        <v>North</v>
      </c>
      <c r="AD668" t="str">
        <f>TRIM(PROPER(H:H))</f>
        <v>Punjab</v>
      </c>
      <c r="AE668" t="str">
        <f>TRIM(PROPER(I:I))</f>
        <v>Ludhiana</v>
      </c>
      <c r="AF668" t="str">
        <f>TRIM(PROPER(J:J))</f>
        <v>Technology</v>
      </c>
      <c r="AG668" t="str">
        <f>TRIM(PROPER(K:K))</f>
        <v>Copiers</v>
      </c>
      <c r="AH668" t="str">
        <f>TRIM(PROPER(L:L))</f>
        <v>Classic Copiers 908</v>
      </c>
      <c r="AI668" t="str">
        <f>TRIM(PROPER(M:M))</f>
        <v>Same Day</v>
      </c>
      <c r="AJ668" s="5">
        <f>IF(OR(P668&lt;0,P668&gt;0.5),"invalid",P668)</f>
        <v>0.05</v>
      </c>
      <c r="AK668" s="6">
        <f>IFERROR(N668*O668*(1-AJ668), "NA")</f>
        <v>265.83849999999995</v>
      </c>
      <c r="AL668" s="6">
        <f>IFERROR(AK668-R668,"NA")</f>
        <v>42.348499999999945</v>
      </c>
      <c r="AM668" s="5">
        <f t="shared" si="50"/>
        <v>0.15930160605028976</v>
      </c>
      <c r="AN668" t="str">
        <v>21-06-24</v>
      </c>
      <c r="AO668" t="str">
        <v>invalid date</v>
      </c>
      <c r="AP668" t="str">
        <f t="shared" si="51"/>
        <v>June</v>
      </c>
      <c r="AQ668" t="str">
        <f t="shared" si="52"/>
        <v>2024</v>
      </c>
      <c r="AR668" t="str">
        <f t="shared" si="53"/>
        <v>Invalid</v>
      </c>
      <c r="AS668" t="str">
        <f t="shared" si="54"/>
        <v>invalid date</v>
      </c>
      <c r="AT668" t="str">
        <f>IF(COUNTIFS( $A:$A,A668,$B:$B,B668,$C:$C,C668,$D:$D,D668,$E:$E,E668,$F:$F,F668,$G:$G,G668,$H:$H,H668,$I:$I,I668,$J:$J,J668,$K:$K,K668,$L:$L,L668,$M:$M,M668,$T:$T,T668,$U:$U,U668,$W:$W,W668,$Z:$Z,Z668,$AA:$AA,AA668,$AB:$AB,AB668,$AC:$AC,AC668,$AD:$AD,AD668,$AE:$AE,AE668,$AF:$AF,AF668,$AG:$AG,AG668,$AH:$AH,AH668,$AI:$AI,AI668)&gt;1,"Duplicate","Unique")</f>
        <v>Unique</v>
      </c>
    </row>
    <row r="669" spans="1:46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  <c r="W669" t="s">
        <v>3143</v>
      </c>
      <c r="Z669" t="s">
        <v>3146</v>
      </c>
      <c r="AA669" t="str">
        <v>Diya Patel</v>
      </c>
      <c r="AB669" t="str">
        <f>TRIM(PROPER(F:F))</f>
        <v>Small Business</v>
      </c>
      <c r="AC669" t="str">
        <f>TRIM(PROPER(G:G))</f>
        <v>East</v>
      </c>
      <c r="AD669" t="str">
        <f>TRIM(PROPER(H:H))</f>
        <v>Bihar</v>
      </c>
      <c r="AE669" t="str">
        <f>TRIM(PROPER(I:I))</f>
        <v>Patna</v>
      </c>
      <c r="AF669" t="str">
        <f>TRIM(PROPER(J:J))</f>
        <v>Technology</v>
      </c>
      <c r="AG669" t="str">
        <f>TRIM(PROPER(K:K))</f>
        <v>Machines</v>
      </c>
      <c r="AH669" t="str">
        <f>TRIM(PROPER(L:L))</f>
        <v>Pro Machines 706</v>
      </c>
      <c r="AI669" t="str">
        <f>TRIM(PROPER(M:M))</f>
        <v>Standard Class</v>
      </c>
      <c r="AJ669" s="5">
        <f>IF(OR(P669&lt;0,P669&gt;0.5),"invalid",P669)</f>
        <v>0</v>
      </c>
      <c r="AK669" s="6">
        <f>IFERROR(N669*O669*(1-AJ669), "NA")</f>
        <v>3959.14</v>
      </c>
      <c r="AL669" s="6">
        <f>IFERROR(AK669-R669,"NA")</f>
        <v>719.60999999999967</v>
      </c>
      <c r="AM669" s="5">
        <f t="shared" si="50"/>
        <v>0.18175916992074029</v>
      </c>
      <c r="AN669" t="str">
        <v>20-05-25</v>
      </c>
      <c r="AO669" t="str">
        <v>27-05-25</v>
      </c>
      <c r="AP669" t="str">
        <f t="shared" si="51"/>
        <v>May</v>
      </c>
      <c r="AQ669" t="str">
        <f t="shared" si="52"/>
        <v>2025</v>
      </c>
      <c r="AR669" t="str">
        <f t="shared" si="53"/>
        <v xml:space="preserve"> </v>
      </c>
      <c r="AS669">
        <f t="shared" si="54"/>
        <v>7</v>
      </c>
      <c r="AT669" t="str">
        <f>IF(COUNTIFS( $A:$A,A669,$B:$B,B669,$C:$C,C669,$D:$D,D669,$E:$E,E669,$F:$F,F669,$G:$G,G669,$H:$H,H669,$I:$I,I669,$J:$J,J669,$K:$K,K669,$L:$L,L669,$M:$M,M669,$T:$T,T669,$U:$U,U669,$W:$W,W669,$Z:$Z,Z669,$AA:$AA,AA669,$AB:$AB,AB669,$AC:$AC,AC669,$AD:$AD,AD669,$AE:$AE,AE669,$AF:$AF,AF669,$AG:$AG,AG669,$AH:$AH,AH669,$AI:$AI,AI669)&gt;1,"Duplicate","Unique")</f>
        <v>Unique</v>
      </c>
    </row>
    <row r="670" spans="1:46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  <c r="W670" t="s">
        <v>3148</v>
      </c>
      <c r="Z670" t="s">
        <v>3150</v>
      </c>
      <c r="AA670" t="str">
        <v>Mira Das</v>
      </c>
      <c r="AB670" t="str">
        <f>TRIM(PROPER(F:F))</f>
        <v>Corporate</v>
      </c>
      <c r="AC670" t="str">
        <f>TRIM(PROPER(G:G))</f>
        <v>West</v>
      </c>
      <c r="AD670" t="str">
        <f>TRIM(PROPER(H:H))</f>
        <v>Gujarat</v>
      </c>
      <c r="AE670" t="str">
        <f>TRIM(PROPER(I:I))</f>
        <v>Ahmedabad</v>
      </c>
      <c r="AF670" t="str">
        <f>TRIM(PROPER(J:J))</f>
        <v>Office Supplies</v>
      </c>
      <c r="AG670" t="str">
        <f>TRIM(PROPER(K:K))</f>
        <v>Paper</v>
      </c>
      <c r="AH670" t="str">
        <f>TRIM(PROPER(L:L))</f>
        <v>Pro Paper 187</v>
      </c>
      <c r="AI670" t="str">
        <f>TRIM(PROPER(M:M))</f>
        <v>Second Class</v>
      </c>
      <c r="AJ670" s="5">
        <f>IF(OR(P670&lt;0,P670&gt;0.5),"invalid",P670)</f>
        <v>0.2</v>
      </c>
      <c r="AK670" s="6">
        <f>IFERROR(N670*O670*(1-AJ670), "NA")</f>
        <v>2401.84</v>
      </c>
      <c r="AL670" s="6">
        <f>IFERROR(AK670-R670,"NA")</f>
        <v>528.73000000000025</v>
      </c>
      <c r="AM670" s="5">
        <f t="shared" si="50"/>
        <v>0.22013539619624964</v>
      </c>
      <c r="AN670" t="str">
        <v>invalid date</v>
      </c>
      <c r="AO670" t="str">
        <v>23-11-24</v>
      </c>
      <c r="AP670" t="str">
        <f t="shared" si="51"/>
        <v>invalid date</v>
      </c>
      <c r="AQ670" t="str">
        <f t="shared" si="52"/>
        <v>invalid date</v>
      </c>
      <c r="AR670" t="str">
        <f t="shared" si="53"/>
        <v>Invalid</v>
      </c>
      <c r="AS670" t="str">
        <f t="shared" si="54"/>
        <v>invalid date</v>
      </c>
      <c r="AT670" t="str">
        <f>IF(COUNTIFS( $A:$A,A670,$B:$B,B670,$C:$C,C670,$D:$D,D670,$E:$E,E670,$F:$F,F670,$G:$G,G670,$H:$H,H670,$I:$I,I670,$J:$J,J670,$K:$K,K670,$L:$L,L670,$M:$M,M670,$T:$T,T670,$U:$U,U670,$W:$W,W670,$Z:$Z,Z670,$AA:$AA,AA670,$AB:$AB,AB670,$AC:$AC,AC670,$AD:$AD,AD670,$AE:$AE,AE670,$AF:$AF,AF670,$AG:$AG,AG670,$AH:$AH,AH670,$AI:$AI,AI670)&gt;1,"Duplicate","Unique")</f>
        <v>Unique</v>
      </c>
    </row>
    <row r="671" spans="1:46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  <c r="W671" t="s">
        <v>3152</v>
      </c>
      <c r="Z671" t="s">
        <v>3155</v>
      </c>
      <c r="AA671" t="str">
        <v>Ananya Rao</v>
      </c>
      <c r="AB671" t="str">
        <f>TRIM(PROPER(F:F))</f>
        <v>Home Office</v>
      </c>
      <c r="AC671" t="str">
        <f>TRIM(PROPER(G:G))</f>
        <v>West</v>
      </c>
      <c r="AD671" t="str">
        <f>TRIM(PROPER(H:H))</f>
        <v>Maharashtra</v>
      </c>
      <c r="AE671" t="str">
        <f>TRIM(PROPER(I:I))</f>
        <v>Mumbai</v>
      </c>
      <c r="AF671" t="str">
        <f>TRIM(PROPER(J:J))</f>
        <v>Furniture</v>
      </c>
      <c r="AG671" t="str">
        <f>TRIM(PROPER(K:K))</f>
        <v>Tables</v>
      </c>
      <c r="AH671" t="str">
        <f>TRIM(PROPER(L:L))</f>
        <v>Classic Tables 606</v>
      </c>
      <c r="AI671" t="str">
        <f>TRIM(PROPER(M:M))</f>
        <v>Second Class</v>
      </c>
      <c r="AJ671" s="5">
        <f>IF(OR(P671&lt;0,P671&gt;0.5),"invalid",P671)</f>
        <v>0.25</v>
      </c>
      <c r="AK671" s="6">
        <f>IFERROR(N671*O671*(1-AJ671), "NA")</f>
        <v>5102.16</v>
      </c>
      <c r="AL671" s="6">
        <f>IFERROR(AK671-R671,"NA")</f>
        <v>1875.71</v>
      </c>
      <c r="AM671" s="5">
        <f t="shared" si="50"/>
        <v>0.36763057214983458</v>
      </c>
      <c r="AN671" t="str">
        <v>24-03-24</v>
      </c>
      <c r="AO671" t="str">
        <v>01-04-24</v>
      </c>
      <c r="AP671" t="str">
        <f t="shared" si="51"/>
        <v>March</v>
      </c>
      <c r="AQ671" t="str">
        <f t="shared" si="52"/>
        <v>2024</v>
      </c>
      <c r="AR671" t="str">
        <f t="shared" si="53"/>
        <v>anomaly</v>
      </c>
      <c r="AS671">
        <f t="shared" si="54"/>
        <v>8</v>
      </c>
      <c r="AT671" t="str">
        <f>IF(COUNTIFS( $A:$A,A671,$B:$B,B671,$C:$C,C671,$D:$D,D671,$E:$E,E671,$F:$F,F671,$G:$G,G671,$H:$H,H671,$I:$I,I671,$J:$J,J671,$K:$K,K671,$L:$L,L671,$M:$M,M671,$T:$T,T671,$U:$U,U671,$W:$W,W671,$Z:$Z,Z671,$AA:$AA,AA671,$AB:$AB,AB671,$AC:$AC,AC671,$AD:$AD,AD671,$AE:$AE,AE671,$AF:$AF,AF671,$AG:$AG,AG671,$AH:$AH,AH671,$AI:$AI,AI671)&gt;1,"Duplicate","Unique")</f>
        <v>Unique</v>
      </c>
    </row>
    <row r="672" spans="1:46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  <c r="W672" t="s">
        <v>3157</v>
      </c>
      <c r="Z672" t="s">
        <v>2431</v>
      </c>
      <c r="AA672" t="str">
        <v>Sneha Kapoor</v>
      </c>
      <c r="AB672" t="str">
        <f>TRIM(PROPER(F:F))</f>
        <v>Corporate</v>
      </c>
      <c r="AC672" t="str">
        <f>TRIM(PROPER(G:G))</f>
        <v>North</v>
      </c>
      <c r="AD672" t="str">
        <f>TRIM(PROPER(H:H))</f>
        <v>Uttar Pradesh</v>
      </c>
      <c r="AE672" t="str">
        <f>TRIM(PROPER(I:I))</f>
        <v>Noida</v>
      </c>
      <c r="AF672" t="str">
        <f>TRIM(PROPER(J:J))</f>
        <v>Furniture</v>
      </c>
      <c r="AG672" t="str">
        <f>TRIM(PROPER(K:K))</f>
        <v>Tables</v>
      </c>
      <c r="AH672" t="str">
        <f>TRIM(PROPER(L:L))</f>
        <v>Smart Tables 835</v>
      </c>
      <c r="AI672" t="str">
        <f>TRIM(PROPER(M:M))</f>
        <v>Standard Class</v>
      </c>
      <c r="AJ672" s="5">
        <f>IF(OR(P672&lt;0,P672&gt;0.5),"invalid",P672)</f>
        <v>0.1</v>
      </c>
      <c r="AK672" s="6">
        <f>IFERROR(N672*O672*(1-AJ672), "NA")</f>
        <v>6176.5920000000006</v>
      </c>
      <c r="AL672" s="6">
        <f>IFERROR(AK672-R672,"NA")</f>
        <v>2615.6320000000005</v>
      </c>
      <c r="AM672" s="5">
        <f t="shared" si="50"/>
        <v>0.42347495188285067</v>
      </c>
      <c r="AN672" t="str">
        <v>02-02-25</v>
      </c>
      <c r="AO672" t="str">
        <v>06-02-25</v>
      </c>
      <c r="AP672" t="str">
        <f t="shared" si="51"/>
        <v>February</v>
      </c>
      <c r="AQ672" t="str">
        <f t="shared" si="52"/>
        <v>2025</v>
      </c>
      <c r="AR672" t="str">
        <f t="shared" si="53"/>
        <v xml:space="preserve"> </v>
      </c>
      <c r="AS672">
        <f t="shared" si="54"/>
        <v>4</v>
      </c>
      <c r="AT672" t="str">
        <f>IF(COUNTIFS( $A:$A,A672,$B:$B,B672,$C:$C,C672,$D:$D,D672,$E:$E,E672,$F:$F,F672,$G:$G,G672,$H:$H,H672,$I:$I,I672,$J:$J,J672,$K:$K,K672,$L:$L,L672,$M:$M,M672,$T:$T,T672,$U:$U,U672,$W:$W,W672,$Z:$Z,Z672,$AA:$AA,AA672,$AB:$AB,AB672,$AC:$AC,AC672,$AD:$AD,AD672,$AE:$AE,AE672,$AF:$AF,AF672,$AG:$AG,AG672,$AH:$AH,AH672,$AI:$AI,AI672)&gt;1,"Duplicate","Unique")</f>
        <v>Unique</v>
      </c>
    </row>
    <row r="673" spans="1:46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  <c r="W673" t="s">
        <v>3160</v>
      </c>
      <c r="Z673" t="s">
        <v>3163</v>
      </c>
      <c r="AA673" t="str">
        <v>Aditi Sen</v>
      </c>
      <c r="AB673" t="str">
        <f>TRIM(PROPER(F:F))</f>
        <v>Home Office</v>
      </c>
      <c r="AC673" t="str">
        <f>TRIM(PROPER(G:G))</f>
        <v>West</v>
      </c>
      <c r="AD673" t="str">
        <f>TRIM(PROPER(H:H))</f>
        <v>Goa</v>
      </c>
      <c r="AE673" t="str">
        <f>TRIM(PROPER(I:I))</f>
        <v>Panaji</v>
      </c>
      <c r="AF673" t="str">
        <f>TRIM(PROPER(J:J))</f>
        <v>Technology</v>
      </c>
      <c r="AG673" t="str">
        <f>TRIM(PROPER(K:K))</f>
        <v>Copiers</v>
      </c>
      <c r="AH673" t="str">
        <f>TRIM(PROPER(L:L))</f>
        <v>Classic Copiers 583</v>
      </c>
      <c r="AI673" t="str">
        <f>TRIM(PROPER(M:M))</f>
        <v>Second Class</v>
      </c>
      <c r="AJ673" s="5">
        <f>IF(OR(P673&lt;0,P673&gt;0.5),"invalid",P673)</f>
        <v>0.05</v>
      </c>
      <c r="AK673" s="6">
        <f>IFERROR(N673*O673*(1-AJ673), "NA")</f>
        <v>31203.310500000003</v>
      </c>
      <c r="AL673" s="6">
        <f>IFERROR(AK673-R673,"NA")</f>
        <v>13465.180500000002</v>
      </c>
      <c r="AM673" s="5">
        <f t="shared" si="50"/>
        <v>0.43153051020019179</v>
      </c>
      <c r="AN673" t="str">
        <v>22-03-24</v>
      </c>
      <c r="AO673" t="str">
        <v>27-03-24</v>
      </c>
      <c r="AP673" t="str">
        <f t="shared" si="51"/>
        <v>March</v>
      </c>
      <c r="AQ673" t="str">
        <f t="shared" si="52"/>
        <v>2024</v>
      </c>
      <c r="AR673" t="str">
        <f t="shared" si="53"/>
        <v xml:space="preserve"> </v>
      </c>
      <c r="AS673">
        <f t="shared" si="54"/>
        <v>5</v>
      </c>
      <c r="AT673" t="str">
        <f>IF(COUNTIFS( $A:$A,A673,$B:$B,B673,$C:$C,C673,$D:$D,D673,$E:$E,E673,$F:$F,F673,$G:$G,G673,$H:$H,H673,$I:$I,I673,$J:$J,J673,$K:$K,K673,$L:$L,L673,$M:$M,M673,$T:$T,T673,$U:$U,U673,$W:$W,W673,$Z:$Z,Z673,$AA:$AA,AA673,$AB:$AB,AB673,$AC:$AC,AC673,$AD:$AD,AD673,$AE:$AE,AE673,$AF:$AF,AF673,$AG:$AG,AG673,$AH:$AH,AH673,$AI:$AI,AI673)&gt;1,"Duplicate","Unique")</f>
        <v>Unique</v>
      </c>
    </row>
    <row r="674" spans="1:46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  <c r="W674" t="s">
        <v>3166</v>
      </c>
      <c r="Z674" t="s">
        <v>3169</v>
      </c>
      <c r="AA674" t="str">
        <v>Aditi Sen</v>
      </c>
      <c r="AB674" t="str">
        <f>TRIM(PROPER(F:F))</f>
        <v>Corporate</v>
      </c>
      <c r="AC674" t="str">
        <f>TRIM(PROPER(G:G))</f>
        <v>West</v>
      </c>
      <c r="AD674" t="str">
        <f>TRIM(PROPER(H:H))</f>
        <v>Madhya Pradesh</v>
      </c>
      <c r="AE674" t="str">
        <f>TRIM(PROPER(I:I))</f>
        <v>Indore</v>
      </c>
      <c r="AF674" t="str">
        <f>TRIM(PROPER(J:J))</f>
        <v>Furniture</v>
      </c>
      <c r="AG674" t="str">
        <f>TRIM(PROPER(K:K))</f>
        <v>Chairs</v>
      </c>
      <c r="AH674" t="str">
        <f>TRIM(PROPER(L:L))</f>
        <v>Classic Chairs 460</v>
      </c>
      <c r="AI674" t="str">
        <f>TRIM(PROPER(M:M))</f>
        <v>Standard Class</v>
      </c>
      <c r="AJ674" s="5">
        <f>IF(OR(P674&lt;0,P674&gt;0.5),"invalid",P674)</f>
        <v>0.05</v>
      </c>
      <c r="AK674" s="6">
        <f>IFERROR(N674*O674*(1-AJ674), "NA")</f>
        <v>12010.5175</v>
      </c>
      <c r="AL674" s="6">
        <f>IFERROR(AK674-R674,"NA")</f>
        <v>4145.9075000000003</v>
      </c>
      <c r="AM674" s="5">
        <f t="shared" si="50"/>
        <v>0.34518974723612039</v>
      </c>
      <c r="AN674" t="str">
        <v>04-09-24</v>
      </c>
      <c r="AO674" t="str">
        <v>05-09-24</v>
      </c>
      <c r="AP674" t="str">
        <f t="shared" si="51"/>
        <v>September</v>
      </c>
      <c r="AQ674" t="str">
        <f t="shared" si="52"/>
        <v>2024</v>
      </c>
      <c r="AR674" t="str">
        <f t="shared" si="53"/>
        <v xml:space="preserve"> </v>
      </c>
      <c r="AS674">
        <f t="shared" si="54"/>
        <v>1</v>
      </c>
      <c r="AT674" t="str">
        <f>IF(COUNTIFS( $A:$A,A674,$B:$B,B674,$C:$C,C674,$D:$D,D674,$E:$E,E674,$F:$F,F674,$G:$G,G674,$H:$H,H674,$I:$I,I674,$J:$J,J674,$K:$K,K674,$L:$L,L674,$M:$M,M674,$T:$T,T674,$U:$U,U674,$W:$W,W674,$Z:$Z,Z674,$AA:$AA,AA674,$AB:$AB,AB674,$AC:$AC,AC674,$AD:$AD,AD674,$AE:$AE,AE674,$AF:$AF,AF674,$AG:$AG,AG674,$AH:$AH,AH674,$AI:$AI,AI674)&gt;1,"Duplicate","Unique")</f>
        <v>Unique</v>
      </c>
    </row>
    <row r="675" spans="1:46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  <c r="W675" t="s">
        <v>3171</v>
      </c>
      <c r="Z675" t="s">
        <v>3173</v>
      </c>
      <c r="AA675" t="str">
        <v>Arjun Bose</v>
      </c>
      <c r="AB675" t="str">
        <f>TRIM(PROPER(F:F))</f>
        <v>Small Business</v>
      </c>
      <c r="AC675" t="str">
        <f>TRIM(PROPER(G:G))</f>
        <v>West</v>
      </c>
      <c r="AD675" t="str">
        <f>TRIM(PROPER(H:H))</f>
        <v>Rajasthan</v>
      </c>
      <c r="AE675" t="str">
        <f>TRIM(PROPER(I:I))</f>
        <v>Udaipur</v>
      </c>
      <c r="AF675" t="str">
        <f>TRIM(PROPER(J:J))</f>
        <v>Furniture</v>
      </c>
      <c r="AG675" t="str">
        <f>TRIM(PROPER(K:K))</f>
        <v>Bookcases</v>
      </c>
      <c r="AH675" t="str">
        <f>TRIM(PROPER(L:L))</f>
        <v>Classic Bookcases 488</v>
      </c>
      <c r="AI675" t="str">
        <f>TRIM(PROPER(M:M))</f>
        <v>Second Class</v>
      </c>
      <c r="AJ675" s="5">
        <f>IF(OR(P675&lt;0,P675&gt;0.5),"invalid",P675)</f>
        <v>0.15</v>
      </c>
      <c r="AK675" s="6">
        <f>IFERROR(N675*O675*(1-AJ675), "NA")</f>
        <v>13847.86</v>
      </c>
      <c r="AL675" s="6">
        <f>IFERROR(AK675-R675,"NA")</f>
        <v>5376.08</v>
      </c>
      <c r="AM675" s="5">
        <f t="shared" si="50"/>
        <v>0.38822460654570451</v>
      </c>
      <c r="AN675" t="str">
        <v>13-02-25</v>
      </c>
      <c r="AO675" t="str">
        <v>16-02-25</v>
      </c>
      <c r="AP675" t="str">
        <f t="shared" si="51"/>
        <v>February</v>
      </c>
      <c r="AQ675" t="str">
        <f t="shared" si="52"/>
        <v>2025</v>
      </c>
      <c r="AR675" t="str">
        <f t="shared" si="53"/>
        <v xml:space="preserve"> </v>
      </c>
      <c r="AS675">
        <f t="shared" si="54"/>
        <v>3</v>
      </c>
      <c r="AT675" t="str">
        <f>IF(COUNTIFS( $A:$A,A675,$B:$B,B675,$C:$C,C675,$D:$D,D675,$E:$E,E675,$F:$F,F675,$G:$G,G675,$H:$H,H675,$I:$I,I675,$J:$J,J675,$K:$K,K675,$L:$L,L675,$M:$M,M675,$T:$T,T675,$U:$U,U675,$W:$W,W675,$Z:$Z,Z675,$AA:$AA,AA675,$AB:$AB,AB675,$AC:$AC,AC675,$AD:$AD,AD675,$AE:$AE,AE675,$AF:$AF,AF675,$AG:$AG,AG675,$AH:$AH,AH675,$AI:$AI,AI675)&gt;1,"Duplicate","Unique")</f>
        <v>Unique</v>
      </c>
    </row>
    <row r="676" spans="1:46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  <c r="W676" t="s">
        <v>3175</v>
      </c>
      <c r="Z676" t="s">
        <v>3178</v>
      </c>
      <c r="AA676" t="str">
        <v>Vikram Iyer</v>
      </c>
      <c r="AB676" t="str">
        <f>TRIM(PROPER(F:F))</f>
        <v>Corporate</v>
      </c>
      <c r="AC676" t="str">
        <f>TRIM(PROPER(G:G))</f>
        <v>East</v>
      </c>
      <c r="AD676" t="str">
        <f>TRIM(PROPER(H:H))</f>
        <v>Jharkhand</v>
      </c>
      <c r="AE676" t="str">
        <f>TRIM(PROPER(I:I))</f>
        <v>Ranchi</v>
      </c>
      <c r="AF676" t="str">
        <f>TRIM(PROPER(J:J))</f>
        <v>Technology</v>
      </c>
      <c r="AG676" t="str">
        <f>TRIM(PROPER(K:K))</f>
        <v>Accessories</v>
      </c>
      <c r="AH676" t="str">
        <f>TRIM(PROPER(L:L))</f>
        <v>Basic Accessories 944</v>
      </c>
      <c r="AI676" t="str">
        <f>TRIM(PROPER(M:M))</f>
        <v>Second Class</v>
      </c>
      <c r="AJ676" s="5">
        <f>IF(OR(P676&lt;0,P676&gt;0.5),"invalid",P676)</f>
        <v>0</v>
      </c>
      <c r="AK676" s="6">
        <f>IFERROR(N676*O676*(1-AJ676), "NA")</f>
        <v>1033.71</v>
      </c>
      <c r="AL676" s="6">
        <f>IFERROR(AK676-R676,"NA")</f>
        <v>402.89</v>
      </c>
      <c r="AM676" s="5">
        <f t="shared" si="50"/>
        <v>0.38975147768716562</v>
      </c>
      <c r="AN676" t="str">
        <v>18-05-24</v>
      </c>
      <c r="AO676" t="str">
        <v>21-05-24</v>
      </c>
      <c r="AP676" t="str">
        <f t="shared" si="51"/>
        <v>May</v>
      </c>
      <c r="AQ676" t="str">
        <f t="shared" si="52"/>
        <v>2024</v>
      </c>
      <c r="AR676" t="str">
        <f t="shared" si="53"/>
        <v xml:space="preserve"> </v>
      </c>
      <c r="AS676">
        <f t="shared" si="54"/>
        <v>3</v>
      </c>
      <c r="AT676" t="str">
        <f>IF(COUNTIFS( $A:$A,A676,$B:$B,B676,$C:$C,C676,$D:$D,D676,$E:$E,E676,$F:$F,F676,$G:$G,G676,$H:$H,H676,$I:$I,I676,$J:$J,J676,$K:$K,K676,$L:$L,L676,$M:$M,M676,$T:$T,T676,$U:$U,U676,$W:$W,W676,$Z:$Z,Z676,$AA:$AA,AA676,$AB:$AB,AB676,$AC:$AC,AC676,$AD:$AD,AD676,$AE:$AE,AE676,$AF:$AF,AF676,$AG:$AG,AG676,$AH:$AH,AH676,$AI:$AI,AI676)&gt;1,"Duplicate","Unique")</f>
        <v>Unique</v>
      </c>
    </row>
    <row r="677" spans="1:46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  <c r="W677" t="s">
        <v>3180</v>
      </c>
      <c r="Z677" t="s">
        <v>3033</v>
      </c>
      <c r="AA677" t="str">
        <v>Aarav Sharma</v>
      </c>
      <c r="AB677" t="str">
        <f>TRIM(PROPER(F:F))</f>
        <v>Consumer</v>
      </c>
      <c r="AC677" t="str">
        <f>TRIM(PROPER(G:G))</f>
        <v>North</v>
      </c>
      <c r="AD677" t="str">
        <f>TRIM(PROPER(H:H))</f>
        <v>Rajasthan</v>
      </c>
      <c r="AE677" t="str">
        <f>TRIM(PROPER(I:I))</f>
        <v>Jaipur</v>
      </c>
      <c r="AF677" t="str">
        <f>TRIM(PROPER(J:J))</f>
        <v>Furniture</v>
      </c>
      <c r="AG677" t="str">
        <f>TRIM(PROPER(K:K))</f>
        <v>Furnishings</v>
      </c>
      <c r="AH677" t="str">
        <f>TRIM(PROPER(L:L))</f>
        <v>Eco Furnishings 217</v>
      </c>
      <c r="AI677" t="str">
        <f>TRIM(PROPER(M:M))</f>
        <v>Same Day</v>
      </c>
      <c r="AJ677" s="5">
        <f>IF(OR(P677&lt;0,P677&gt;0.5),"invalid",P677)</f>
        <v>0</v>
      </c>
      <c r="AK677" s="6">
        <f>IFERROR(N677*O677*(1-AJ677), "NA")</f>
        <v>2889.7799999999997</v>
      </c>
      <c r="AL677" s="6">
        <f>IFERROR(AK677-R677,"NA")</f>
        <v>1078.5499999999997</v>
      </c>
      <c r="AM677" s="5">
        <f t="shared" si="50"/>
        <v>0.37322910394562903</v>
      </c>
      <c r="AN677" t="str">
        <v>07-06-25</v>
      </c>
      <c r="AO677" t="str">
        <v>06-10-25</v>
      </c>
      <c r="AP677" t="str">
        <f t="shared" si="51"/>
        <v>June</v>
      </c>
      <c r="AQ677" t="str">
        <f t="shared" si="52"/>
        <v>2025</v>
      </c>
      <c r="AR677" t="str">
        <f t="shared" si="53"/>
        <v>anomaly</v>
      </c>
      <c r="AS677">
        <f t="shared" si="54"/>
        <v>121</v>
      </c>
      <c r="AT677" t="str">
        <f>IF(COUNTIFS( $A:$A,A677,$B:$B,B677,$C:$C,C677,$D:$D,D677,$E:$E,E677,$F:$F,F677,$G:$G,G677,$H:$H,H677,$I:$I,I677,$J:$J,J677,$K:$K,K677,$L:$L,L677,$M:$M,M677,$T:$T,T677,$U:$U,U677,$W:$W,W677,$Z:$Z,Z677,$AA:$AA,AA677,$AB:$AB,AB677,$AC:$AC,AC677,$AD:$AD,AD677,$AE:$AE,AE677,$AF:$AF,AF677,$AG:$AG,AG677,$AH:$AH,AH677,$AI:$AI,AI677)&gt;1,"Duplicate","Unique")</f>
        <v>Unique</v>
      </c>
    </row>
    <row r="678" spans="1:46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  <c r="W678" t="s">
        <v>3184</v>
      </c>
      <c r="Z678" t="s">
        <v>3187</v>
      </c>
      <c r="AA678" t="str">
        <v>Rahul Verma</v>
      </c>
      <c r="AB678" t="str">
        <f>TRIM(PROPER(F:F))</f>
        <v>Small Business</v>
      </c>
      <c r="AC678" t="str">
        <f>TRIM(PROPER(G:G))</f>
        <v>North</v>
      </c>
      <c r="AD678" t="str">
        <f>TRIM(PROPER(H:H))</f>
        <v>Delhi</v>
      </c>
      <c r="AE678" t="str">
        <f>TRIM(PROPER(I:I))</f>
        <v>New Delhi</v>
      </c>
      <c r="AF678" t="str">
        <f>TRIM(PROPER(J:J))</f>
        <v>Technology</v>
      </c>
      <c r="AG678" t="str">
        <f>TRIM(PROPER(K:K))</f>
        <v>Phones</v>
      </c>
      <c r="AH678" t="str">
        <f>TRIM(PROPER(L:L))</f>
        <v>Smart Phones 967</v>
      </c>
      <c r="AI678" t="str">
        <f>TRIM(PROPER(M:M))</f>
        <v>Same Day</v>
      </c>
      <c r="AJ678" s="5">
        <f>IF(OR(P678&lt;0,P678&gt;0.5),"invalid",P678)</f>
        <v>0.15</v>
      </c>
      <c r="AK678" s="6">
        <f>IFERROR(N678*O678*(1-AJ678), "NA")</f>
        <v>20296.699499999999</v>
      </c>
      <c r="AL678" s="6">
        <f>IFERROR(AK678-R678,"NA")</f>
        <v>5375.829499999998</v>
      </c>
      <c r="AM678" s="5">
        <f t="shared" si="50"/>
        <v>0.26486225014071862</v>
      </c>
      <c r="AN678" t="str">
        <v>09-11-25</v>
      </c>
      <c r="AO678" t="str">
        <v>invalid date</v>
      </c>
      <c r="AP678" t="str">
        <f t="shared" si="51"/>
        <v>November</v>
      </c>
      <c r="AQ678" t="str">
        <f t="shared" si="52"/>
        <v>2025</v>
      </c>
      <c r="AR678" t="str">
        <f t="shared" si="53"/>
        <v>Invalid</v>
      </c>
      <c r="AS678" t="str">
        <f t="shared" si="54"/>
        <v>invalid date</v>
      </c>
      <c r="AT678" t="str">
        <f>IF(COUNTIFS( $A:$A,A678,$B:$B,B678,$C:$C,C678,$D:$D,D678,$E:$E,E678,$F:$F,F678,$G:$G,G678,$H:$H,H678,$I:$I,I678,$J:$J,J678,$K:$K,K678,$L:$L,L678,$M:$M,M678,$T:$T,T678,$U:$U,U678,$W:$W,W678,$Z:$Z,Z678,$AA:$AA,AA678,$AB:$AB,AB678,$AC:$AC,AC678,$AD:$AD,AD678,$AE:$AE,AE678,$AF:$AF,AF678,$AG:$AG,AG678,$AH:$AH,AH678,$AI:$AI,AI678)&gt;1,"Duplicate","Unique")</f>
        <v>Unique</v>
      </c>
    </row>
    <row r="679" spans="1:46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  <c r="W679" t="s">
        <v>3189</v>
      </c>
      <c r="Z679" t="s">
        <v>24</v>
      </c>
      <c r="AA679" t="str">
        <v>Isha Nair</v>
      </c>
      <c r="AB679" t="str">
        <f>TRIM(PROPER(F:F))</f>
        <v>Home Office</v>
      </c>
      <c r="AC679" t="str">
        <f>TRIM(PROPER(G:G))</f>
        <v>South</v>
      </c>
      <c r="AD679" t="str">
        <f>TRIM(PROPER(H:H))</f>
        <v>Karnataka</v>
      </c>
      <c r="AE679" t="str">
        <f>TRIM(PROPER(I:I))</f>
        <v>Bengaluru</v>
      </c>
      <c r="AF679" t="str">
        <f>TRIM(PROPER(J:J))</f>
        <v>Furniture</v>
      </c>
      <c r="AG679" t="str">
        <f>TRIM(PROPER(K:K))</f>
        <v>Chairs</v>
      </c>
      <c r="AH679" t="str">
        <f>TRIM(PROPER(L:L))</f>
        <v>Smart Chairs 610</v>
      </c>
      <c r="AI679" t="str">
        <f>TRIM(PROPER(M:M))</f>
        <v>Same Day</v>
      </c>
      <c r="AJ679" s="5">
        <f>IF(OR(P679&lt;0,P679&gt;0.5),"invalid",P679)</f>
        <v>0</v>
      </c>
      <c r="AK679" s="6">
        <f>IFERROR(N679*O679*(1-AJ679), "NA")</f>
        <v>18364.36</v>
      </c>
      <c r="AL679" s="6">
        <f>IFERROR(AK679-R679,"NA")</f>
        <v>2918.5500000000011</v>
      </c>
      <c r="AM679" s="5">
        <f t="shared" si="50"/>
        <v>0.15892467801763857</v>
      </c>
      <c r="AN679" t="str">
        <v>22-06-24</v>
      </c>
      <c r="AO679" t="str">
        <v>27-06-24</v>
      </c>
      <c r="AP679" t="str">
        <f t="shared" si="51"/>
        <v>June</v>
      </c>
      <c r="AQ679" t="str">
        <f t="shared" si="52"/>
        <v>2024</v>
      </c>
      <c r="AR679" t="str">
        <f t="shared" si="53"/>
        <v xml:space="preserve"> </v>
      </c>
      <c r="AS679">
        <f t="shared" si="54"/>
        <v>5</v>
      </c>
      <c r="AT679" t="str">
        <f>IF(COUNTIFS( $A:$A,A679,$B:$B,B679,$C:$C,C679,$D:$D,D679,$E:$E,E679,$F:$F,F679,$G:$G,G679,$H:$H,H679,$I:$I,I679,$J:$J,J679,$K:$K,K679,$L:$L,L679,$M:$M,M679,$T:$T,T679,$U:$U,U679,$W:$W,W679,$Z:$Z,Z679,$AA:$AA,AA679,$AB:$AB,AB679,$AC:$AC,AC679,$AD:$AD,AD679,$AE:$AE,AE679,$AF:$AF,AF679,$AG:$AG,AG679,$AH:$AH,AH679,$AI:$AI,AI679)&gt;1,"Duplicate","Unique")</f>
        <v>Unique</v>
      </c>
    </row>
    <row r="680" spans="1:46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  <c r="W680" t="s">
        <v>3193</v>
      </c>
      <c r="Z680" t="s">
        <v>3196</v>
      </c>
      <c r="AA680" t="str">
        <v>Kabir Singh</v>
      </c>
      <c r="AB680" t="str">
        <f>TRIM(PROPER(F:F))</f>
        <v>Corporate</v>
      </c>
      <c r="AC680" t="str">
        <f>TRIM(PROPER(G:G))</f>
        <v>South</v>
      </c>
      <c r="AD680" t="str">
        <f>TRIM(PROPER(H:H))</f>
        <v>Karnataka</v>
      </c>
      <c r="AE680" t="str">
        <f>TRIM(PROPER(I:I))</f>
        <v>Bengaluru</v>
      </c>
      <c r="AF680" t="str">
        <f>TRIM(PROPER(J:J))</f>
        <v>Furniture</v>
      </c>
      <c r="AG680" t="str">
        <f>TRIM(PROPER(K:K))</f>
        <v>Tables</v>
      </c>
      <c r="AH680" t="str">
        <f>TRIM(PROPER(L:L))</f>
        <v>Prime Tables 123</v>
      </c>
      <c r="AI680" t="str">
        <f>TRIM(PROPER(M:M))</f>
        <v>Second Class</v>
      </c>
      <c r="AJ680" s="5">
        <f>IF(OR(P680&lt;0,P680&gt;0.5),"invalid",P680)</f>
        <v>0.15</v>
      </c>
      <c r="AK680" s="6">
        <f>IFERROR(N680*O680*(1-AJ680), "NA")</f>
        <v>21141.6165</v>
      </c>
      <c r="AL680" s="6">
        <f>IFERROR(AK680-R680,"NA")</f>
        <v>9465.2865000000002</v>
      </c>
      <c r="AM680" s="5">
        <f t="shared" si="50"/>
        <v>0.44770874071999178</v>
      </c>
      <c r="AN680" t="str">
        <v>24-11-24</v>
      </c>
      <c r="AO680" t="str">
        <v>12-01-24</v>
      </c>
      <c r="AP680" t="str">
        <f t="shared" si="51"/>
        <v>November</v>
      </c>
      <c r="AQ680" t="str">
        <f t="shared" si="52"/>
        <v>2024</v>
      </c>
      <c r="AR680" t="str">
        <f t="shared" si="53"/>
        <v>anomaly</v>
      </c>
      <c r="AS680">
        <f t="shared" si="54"/>
        <v>-317</v>
      </c>
      <c r="AT680" t="str">
        <f>IF(COUNTIFS( $A:$A,A680,$B:$B,B680,$C:$C,C680,$D:$D,D680,$E:$E,E680,$F:$F,F680,$G:$G,G680,$H:$H,H680,$I:$I,I680,$J:$J,J680,$K:$K,K680,$L:$L,L680,$M:$M,M680,$T:$T,T680,$U:$U,U680,$W:$W,W680,$Z:$Z,Z680,$AA:$AA,AA680,$AB:$AB,AB680,$AC:$AC,AC680,$AD:$AD,AD680,$AE:$AE,AE680,$AF:$AF,AF680,$AG:$AG,AG680,$AH:$AH,AH680,$AI:$AI,AI680)&gt;1,"Duplicate","Unique")</f>
        <v>Unique</v>
      </c>
    </row>
    <row r="681" spans="1:46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  <c r="W681" t="s">
        <v>3198</v>
      </c>
      <c r="Z681" t="s">
        <v>3200</v>
      </c>
      <c r="AA681" t="str">
        <v>Rohan Mehta</v>
      </c>
      <c r="AB681" t="str">
        <f>TRIM(PROPER(F:F))</f>
        <v>Corporate</v>
      </c>
      <c r="AC681" t="str">
        <f>TRIM(PROPER(G:G))</f>
        <v>North</v>
      </c>
      <c r="AD681" t="str">
        <f>TRIM(PROPER(H:H))</f>
        <v>Punjab</v>
      </c>
      <c r="AE681" t="str">
        <f>TRIM(PROPER(I:I))</f>
        <v>Ludhiana</v>
      </c>
      <c r="AF681" t="str">
        <f>TRIM(PROPER(J:J))</f>
        <v>Technology</v>
      </c>
      <c r="AG681" t="str">
        <f>TRIM(PROPER(K:K))</f>
        <v>Copiers</v>
      </c>
      <c r="AH681" t="str">
        <f>TRIM(PROPER(L:L))</f>
        <v>Smart Copiers 579</v>
      </c>
      <c r="AI681" t="str">
        <f>TRIM(PROPER(M:M))</f>
        <v>Same Day</v>
      </c>
      <c r="AJ681" s="5" t="str">
        <f>IF(OR(P681&lt;0,P681&gt;0.5),"invalid",P681)</f>
        <v>invalid</v>
      </c>
      <c r="AK681" s="6" t="str">
        <f>IFERROR(N681*O681*(1-AJ681), "NA")</f>
        <v>NA</v>
      </c>
      <c r="AL681" s="6" t="str">
        <f>IFERROR(AK681-R681,"NA")</f>
        <v>NA</v>
      </c>
      <c r="AM681" s="5" t="str">
        <f t="shared" si="50"/>
        <v>NA</v>
      </c>
      <c r="AN681" t="str">
        <v>16-08-25</v>
      </c>
      <c r="AO681" t="str">
        <v>23-08-25</v>
      </c>
      <c r="AP681" t="str">
        <f t="shared" si="51"/>
        <v>August</v>
      </c>
      <c r="AQ681" t="str">
        <f t="shared" si="52"/>
        <v>2025</v>
      </c>
      <c r="AR681" t="str">
        <f t="shared" si="53"/>
        <v xml:space="preserve"> </v>
      </c>
      <c r="AS681">
        <f t="shared" si="54"/>
        <v>7</v>
      </c>
      <c r="AT681" t="str">
        <f>IF(COUNTIFS( $A:$A,A681,$B:$B,B681,$C:$C,C681,$D:$D,D681,$E:$E,E681,$F:$F,F681,$G:$G,G681,$H:$H,H681,$I:$I,I681,$J:$J,J681,$K:$K,K681,$L:$L,L681,$M:$M,M681,$T:$T,T681,$U:$U,U681,$W:$W,W681,$Z:$Z,Z681,$AA:$AA,AA681,$AB:$AB,AB681,$AC:$AC,AC681,$AD:$AD,AD681,$AE:$AE,AE681,$AF:$AF,AF681,$AG:$AG,AG681,$AH:$AH,AH681,$AI:$AI,AI681)&gt;1,"Duplicate","Unique")</f>
        <v>Unique</v>
      </c>
    </row>
    <row r="682" spans="1:46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  <c r="W682" t="s">
        <v>3202</v>
      </c>
      <c r="Z682" t="s">
        <v>3203</v>
      </c>
      <c r="AA682" t="str">
        <v>Kabir Singh</v>
      </c>
      <c r="AB682" t="str">
        <f>TRIM(PROPER(F:F))</f>
        <v>Corporate</v>
      </c>
      <c r="AC682" t="str">
        <f>TRIM(PROPER(G:G))</f>
        <v>South</v>
      </c>
      <c r="AD682" t="str">
        <f>TRIM(PROPER(H:H))</f>
        <v>Tamil Nadu</v>
      </c>
      <c r="AE682" t="str">
        <f>TRIM(PROPER(I:I))</f>
        <v>Chennai</v>
      </c>
      <c r="AF682" t="str">
        <f>TRIM(PROPER(J:J))</f>
        <v>Technology</v>
      </c>
      <c r="AG682" t="str">
        <f>TRIM(PROPER(K:K))</f>
        <v>Accessories</v>
      </c>
      <c r="AH682" t="str">
        <f>TRIM(PROPER(L:L))</f>
        <v>Eco Accessories 658</v>
      </c>
      <c r="AI682" t="str">
        <f>TRIM(PROPER(M:M))</f>
        <v>First Class</v>
      </c>
      <c r="AJ682" s="5">
        <f>IF(OR(P682&lt;0,P682&gt;0.5),"invalid",P682)</f>
        <v>0</v>
      </c>
      <c r="AK682" s="6">
        <f>IFERROR(N682*O682*(1-AJ682), "NA")</f>
        <v>14800.96</v>
      </c>
      <c r="AL682" s="6">
        <f>IFERROR(AK682-R682,"NA")</f>
        <v>2752.5699999999997</v>
      </c>
      <c r="AM682" s="5">
        <f t="shared" si="50"/>
        <v>0.18597239638509933</v>
      </c>
      <c r="AN682" t="str">
        <v>29-05-24</v>
      </c>
      <c r="AO682" t="str">
        <v>05-06-24</v>
      </c>
      <c r="AP682" t="str">
        <f t="shared" si="51"/>
        <v>May</v>
      </c>
      <c r="AQ682" t="str">
        <f t="shared" si="52"/>
        <v>2024</v>
      </c>
      <c r="AR682" t="str">
        <f t="shared" si="53"/>
        <v>anomaly</v>
      </c>
      <c r="AS682">
        <f t="shared" si="54"/>
        <v>7</v>
      </c>
      <c r="AT682" t="str">
        <f>IF(COUNTIFS( $A:$A,A682,$B:$B,B682,$C:$C,C682,$D:$D,D682,$E:$E,E682,$F:$F,F682,$G:$G,G682,$H:$H,H682,$I:$I,I682,$J:$J,J682,$K:$K,K682,$L:$L,L682,$M:$M,M682,$T:$T,T682,$U:$U,U682,$W:$W,W682,$Z:$Z,Z682,$AA:$AA,AA682,$AB:$AB,AB682,$AC:$AC,AC682,$AD:$AD,AD682,$AE:$AE,AE682,$AF:$AF,AF682,$AG:$AG,AG682,$AH:$AH,AH682,$AI:$AI,AI682)&gt;1,"Duplicate","Unique")</f>
        <v>Unique</v>
      </c>
    </row>
    <row r="683" spans="1:46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  <c r="W683" t="s">
        <v>3205</v>
      </c>
      <c r="Z683" t="s">
        <v>3208</v>
      </c>
      <c r="AA683" t="str">
        <v>Vikram Iyer</v>
      </c>
      <c r="AB683" t="str">
        <f>TRIM(PROPER(F:F))</f>
        <v>Corporate</v>
      </c>
      <c r="AC683" t="str">
        <f>TRIM(PROPER(G:G))</f>
        <v>North</v>
      </c>
      <c r="AD683" t="str">
        <f>TRIM(PROPER(H:H))</f>
        <v>Delhi</v>
      </c>
      <c r="AE683" t="str">
        <f>TRIM(PROPER(I:I))</f>
        <v>New Delhi</v>
      </c>
      <c r="AF683" t="str">
        <f>TRIM(PROPER(J:J))</f>
        <v>Furniture</v>
      </c>
      <c r="AG683" t="str">
        <f>TRIM(PROPER(K:K))</f>
        <v>Tables</v>
      </c>
      <c r="AH683" t="str">
        <f>TRIM(PROPER(L:L))</f>
        <v>Smart Tables 777</v>
      </c>
      <c r="AI683" t="str">
        <f>TRIM(PROPER(M:M))</f>
        <v>Second Class</v>
      </c>
      <c r="AJ683" s="5">
        <f>IF(OR(P683&lt;0,P683&gt;0.5),"invalid",P683)</f>
        <v>0</v>
      </c>
      <c r="AK683" s="6">
        <f>IFERROR(N683*O683*(1-AJ683), "NA")</f>
        <v>6001.35</v>
      </c>
      <c r="AL683" s="6">
        <f>IFERROR(AK683-R683,"NA")</f>
        <v>1818.3600000000006</v>
      </c>
      <c r="AM683" s="5">
        <f t="shared" si="50"/>
        <v>0.30299182683896131</v>
      </c>
      <c r="AN683" t="str">
        <v>07-04-24</v>
      </c>
      <c r="AO683" t="str">
        <v>10-07-24</v>
      </c>
      <c r="AP683" t="str">
        <f t="shared" si="51"/>
        <v>April</v>
      </c>
      <c r="AQ683" t="str">
        <f t="shared" si="52"/>
        <v>2024</v>
      </c>
      <c r="AR683" t="str">
        <f t="shared" si="53"/>
        <v xml:space="preserve"> </v>
      </c>
      <c r="AS683">
        <f t="shared" si="54"/>
        <v>94</v>
      </c>
      <c r="AT683" t="str">
        <f>IF(COUNTIFS( $A:$A,A683,$B:$B,B683,$C:$C,C683,$D:$D,D683,$E:$E,E683,$F:$F,F683,$G:$G,G683,$H:$H,H683,$I:$I,I683,$J:$J,J683,$K:$K,K683,$L:$L,L683,$M:$M,M683,$T:$T,T683,$U:$U,U683,$W:$W,W683,$Z:$Z,Z683,$AA:$AA,AA683,$AB:$AB,AB683,$AC:$AC,AC683,$AD:$AD,AD683,$AE:$AE,AE683,$AF:$AF,AF683,$AG:$AG,AG683,$AH:$AH,AH683,$AI:$AI,AI683)&gt;1,"Duplicate","Unique")</f>
        <v>Unique</v>
      </c>
    </row>
    <row r="684" spans="1:46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  <c r="W684" t="s">
        <v>3210</v>
      </c>
      <c r="Z684" t="s">
        <v>3211</v>
      </c>
      <c r="AA684" t="str">
        <v>ananya rao</v>
      </c>
      <c r="AB684" t="str">
        <f>TRIM(PROPER(F:F))</f>
        <v>Corporate</v>
      </c>
      <c r="AC684" t="str">
        <f>TRIM(PROPER(G:G))</f>
        <v>North</v>
      </c>
      <c r="AD684" t="str">
        <f>TRIM(PROPER(H:H))</f>
        <v>Haryana</v>
      </c>
      <c r="AE684" t="str">
        <f>TRIM(PROPER(I:I))</f>
        <v>Gurugram</v>
      </c>
      <c r="AF684" t="str">
        <f>TRIM(PROPER(J:J))</f>
        <v>Office Supplies</v>
      </c>
      <c r="AG684" t="str">
        <f>TRIM(PROPER(K:K))</f>
        <v>Storage</v>
      </c>
      <c r="AH684" t="str">
        <f>TRIM(PROPER(L:L))</f>
        <v>Eco Storage 861</v>
      </c>
      <c r="AI684" t="str">
        <f>TRIM(PROPER(M:M))</f>
        <v>Same Day</v>
      </c>
      <c r="AJ684" s="5">
        <f>IF(OR(P684&lt;0,P684&gt;0.5),"invalid",P684)</f>
        <v>0</v>
      </c>
      <c r="AK684" s="6">
        <f>IFERROR(N684*O684*(1-AJ684), "NA")</f>
        <v>7772.34</v>
      </c>
      <c r="AL684" s="6">
        <f>IFERROR(AK684-R684,"NA")</f>
        <v>3658.6800000000003</v>
      </c>
      <c r="AM684" s="5">
        <f t="shared" si="50"/>
        <v>0.47073082237781677</v>
      </c>
      <c r="AN684" t="str">
        <v>05-02-25</v>
      </c>
      <c r="AO684" t="str">
        <v>05-02-25</v>
      </c>
      <c r="AP684" t="str">
        <f t="shared" si="51"/>
        <v>February</v>
      </c>
      <c r="AQ684" t="str">
        <f t="shared" si="52"/>
        <v>2025</v>
      </c>
      <c r="AR684" t="str">
        <f t="shared" si="53"/>
        <v xml:space="preserve"> </v>
      </c>
      <c r="AS684">
        <f t="shared" si="54"/>
        <v>0</v>
      </c>
      <c r="AT684" t="str">
        <f>IF(COUNTIFS( $A:$A,A684,$B:$B,B684,$C:$C,C684,$D:$D,D684,$E:$E,E684,$F:$F,F684,$G:$G,G684,$H:$H,H684,$I:$I,I684,$J:$J,J684,$K:$K,K684,$L:$L,L684,$M:$M,M684,$T:$T,T684,$U:$U,U684,$W:$W,W684,$Z:$Z,Z684,$AA:$AA,AA684,$AB:$AB,AB684,$AC:$AC,AC684,$AD:$AD,AD684,$AE:$AE,AE684,$AF:$AF,AF684,$AG:$AG,AG684,$AH:$AH,AH684,$AI:$AI,AI684)&gt;1,"Duplicate","Unique")</f>
        <v>Unique</v>
      </c>
    </row>
    <row r="685" spans="1:46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  <c r="W685" t="s">
        <v>3214</v>
      </c>
      <c r="Z685" t="s">
        <v>3216</v>
      </c>
      <c r="AA685" t="str">
        <v>Arjun Bose</v>
      </c>
      <c r="AB685" t="str">
        <f>TRIM(PROPER(F:F))</f>
        <v>Small Business</v>
      </c>
      <c r="AC685" t="str">
        <f>TRIM(PROPER(G:G))</f>
        <v>South</v>
      </c>
      <c r="AD685" t="str">
        <f>TRIM(PROPER(H:H))</f>
        <v>Telangana</v>
      </c>
      <c r="AE685" t="str">
        <f>TRIM(PROPER(I:I))</f>
        <v>Hyderabad</v>
      </c>
      <c r="AF685" t="str">
        <f>TRIM(PROPER(J:J))</f>
        <v>Furniture</v>
      </c>
      <c r="AG685" t="str">
        <f>TRIM(PROPER(K:K))</f>
        <v>Furnishings</v>
      </c>
      <c r="AH685" t="str">
        <f>TRIM(PROPER(L:L))</f>
        <v>Eco Furnishings 875</v>
      </c>
      <c r="AI685" t="str">
        <f>TRIM(PROPER(M:M))</f>
        <v>Second Class</v>
      </c>
      <c r="AJ685" s="5">
        <f>IF(OR(P685&lt;0,P685&gt;0.5),"invalid",P685)</f>
        <v>0.2</v>
      </c>
      <c r="AK685" s="6">
        <f>IFERROR(N685*O685*(1-AJ685), "NA")</f>
        <v>7902.9600000000009</v>
      </c>
      <c r="AL685" s="6">
        <f>IFERROR(AK685-R685,"NA")</f>
        <v>2390.9300000000012</v>
      </c>
      <c r="AM685" s="5">
        <f t="shared" si="50"/>
        <v>0.30253601182341816</v>
      </c>
      <c r="AN685" t="str">
        <v>20-07-25</v>
      </c>
      <c r="AO685" t="str">
        <v>24-07-25</v>
      </c>
      <c r="AP685" t="str">
        <f t="shared" si="51"/>
        <v>July</v>
      </c>
      <c r="AQ685" t="str">
        <f t="shared" si="52"/>
        <v>2025</v>
      </c>
      <c r="AR685" t="str">
        <f t="shared" si="53"/>
        <v xml:space="preserve"> </v>
      </c>
      <c r="AS685">
        <f t="shared" si="54"/>
        <v>4</v>
      </c>
      <c r="AT685" t="str">
        <f>IF(COUNTIFS( $A:$A,A685,$B:$B,B685,$C:$C,C685,$D:$D,D685,$E:$E,E685,$F:$F,F685,$G:$G,G685,$H:$H,H685,$I:$I,I685,$J:$J,J685,$K:$K,K685,$L:$L,L685,$M:$M,M685,$T:$T,T685,$U:$U,U685,$W:$W,W685,$Z:$Z,Z685,$AA:$AA,AA685,$AB:$AB,AB685,$AC:$AC,AC685,$AD:$AD,AD685,$AE:$AE,AE685,$AF:$AF,AF685,$AG:$AG,AG685,$AH:$AH,AH685,$AI:$AI,AI685)&gt;1,"Duplicate","Unique")</f>
        <v>Unique</v>
      </c>
    </row>
    <row r="686" spans="1:46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  <c r="W686" t="s">
        <v>3218</v>
      </c>
      <c r="Z686" t="s">
        <v>3220</v>
      </c>
      <c r="AA686" t="str">
        <v>Isha Nair</v>
      </c>
      <c r="AB686" t="str">
        <f>TRIM(PROPER(F:F))</f>
        <v>Home Office</v>
      </c>
      <c r="AC686" t="str">
        <f>TRIM(PROPER(G:G))</f>
        <v>South</v>
      </c>
      <c r="AD686" t="str">
        <f>TRIM(PROPER(H:H))</f>
        <v>Tamil Nadu</v>
      </c>
      <c r="AE686" t="str">
        <f>TRIM(PROPER(I:I))</f>
        <v>Chennai</v>
      </c>
      <c r="AF686" t="str">
        <f>TRIM(PROPER(J:J))</f>
        <v>Furniture</v>
      </c>
      <c r="AG686" t="str">
        <f>TRIM(PROPER(K:K))</f>
        <v>Bookcases</v>
      </c>
      <c r="AH686" t="str">
        <f>TRIM(PROPER(L:L))</f>
        <v>Prime Bookcases 784</v>
      </c>
      <c r="AI686" t="str">
        <f>TRIM(PROPER(M:M))</f>
        <v>First Class</v>
      </c>
      <c r="AJ686" s="5">
        <f>IF(OR(P686&lt;0,P686&gt;0.5),"invalid",P686)</f>
        <v>0.2</v>
      </c>
      <c r="AK686" s="6">
        <f>IFERROR(N686*O686*(1-AJ686), "NA")</f>
        <v>24621.239999999998</v>
      </c>
      <c r="AL686" s="6">
        <f>IFERROR(AK686-R686,"NA")</f>
        <v>7465.7599999999984</v>
      </c>
      <c r="AM686" s="5">
        <f t="shared" si="50"/>
        <v>0.3032243705028666</v>
      </c>
      <c r="AN686" t="str">
        <v>21-07-25</v>
      </c>
      <c r="AO686" t="str">
        <v>21-07-25</v>
      </c>
      <c r="AP686" t="str">
        <f t="shared" si="51"/>
        <v>July</v>
      </c>
      <c r="AQ686" t="str">
        <f t="shared" si="52"/>
        <v>2025</v>
      </c>
      <c r="AR686" t="str">
        <f t="shared" si="53"/>
        <v xml:space="preserve"> </v>
      </c>
      <c r="AS686">
        <f t="shared" si="54"/>
        <v>0</v>
      </c>
      <c r="AT686" t="str">
        <f>IF(COUNTIFS( $A:$A,A686,$B:$B,B686,$C:$C,C686,$D:$D,D686,$E:$E,E686,$F:$F,F686,$G:$G,G686,$H:$H,H686,$I:$I,I686,$J:$J,J686,$K:$K,K686,$L:$L,L686,$M:$M,M686,$T:$T,T686,$U:$U,U686,$W:$W,W686,$Z:$Z,Z686,$AA:$AA,AA686,$AB:$AB,AB686,$AC:$AC,AC686,$AD:$AD,AD686,$AE:$AE,AE686,$AF:$AF,AF686,$AG:$AG,AG686,$AH:$AH,AH686,$AI:$AI,AI686)&gt;1,"Duplicate","Unique")</f>
        <v>Unique</v>
      </c>
    </row>
    <row r="687" spans="1:46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  <c r="W687" t="s">
        <v>3222</v>
      </c>
      <c r="Z687" t="s">
        <v>2734</v>
      </c>
      <c r="AA687" t="str">
        <v>Neha Gupta</v>
      </c>
      <c r="AB687" t="str">
        <f>TRIM(PROPER(F:F))</f>
        <v>Corporate</v>
      </c>
      <c r="AC687" t="str">
        <f>TRIM(PROPER(G:G))</f>
        <v>West</v>
      </c>
      <c r="AD687" t="str">
        <f>TRIM(PROPER(H:H))</f>
        <v>Goa</v>
      </c>
      <c r="AE687" t="str">
        <f>TRIM(PROPER(I:I))</f>
        <v>Panaji</v>
      </c>
      <c r="AF687" t="str">
        <f>TRIM(PROPER(J:J))</f>
        <v>Office Supplies</v>
      </c>
      <c r="AG687" t="str">
        <f>TRIM(PROPER(K:K))</f>
        <v>Art</v>
      </c>
      <c r="AH687" t="str">
        <f>TRIM(PROPER(L:L))</f>
        <v>Classic Art 380</v>
      </c>
      <c r="AI687" t="str">
        <f>TRIM(PROPER(M:M))</f>
        <v>Standard Class</v>
      </c>
      <c r="AJ687" s="5" t="str">
        <f>IF(OR(P687&lt;0,P687&gt;0.5),"invalid",P687)</f>
        <v>invalid</v>
      </c>
      <c r="AK687" s="6" t="str">
        <f>IFERROR(N687*O687*(1-AJ687), "NA")</f>
        <v>NA</v>
      </c>
      <c r="AL687" s="6" t="str">
        <f>IFERROR(AK687-R687,"NA")</f>
        <v>NA</v>
      </c>
      <c r="AM687" s="5" t="str">
        <f t="shared" si="50"/>
        <v>NA</v>
      </c>
      <c r="AN687" t="str">
        <v>01-10-25</v>
      </c>
      <c r="AO687" t="str">
        <v>03-10-25</v>
      </c>
      <c r="AP687" t="str">
        <f t="shared" si="51"/>
        <v>October</v>
      </c>
      <c r="AQ687" t="str">
        <f t="shared" si="52"/>
        <v>2025</v>
      </c>
      <c r="AR687" t="str">
        <f t="shared" si="53"/>
        <v xml:space="preserve"> </v>
      </c>
      <c r="AS687">
        <f t="shared" si="54"/>
        <v>2</v>
      </c>
      <c r="AT687" t="str">
        <f>IF(COUNTIFS( $A:$A,A687,$B:$B,B687,$C:$C,C687,$D:$D,D687,$E:$E,E687,$F:$F,F687,$G:$G,G687,$H:$H,H687,$I:$I,I687,$J:$J,J687,$K:$K,K687,$L:$L,L687,$M:$M,M687,$T:$T,T687,$U:$U,U687,$W:$W,W687,$Z:$Z,Z687,$AA:$AA,AA687,$AB:$AB,AB687,$AC:$AC,AC687,$AD:$AD,AD687,$AE:$AE,AE687,$AF:$AF,AF687,$AG:$AG,AG687,$AH:$AH,AH687,$AI:$AI,AI687)&gt;1,"Duplicate","Unique")</f>
        <v>Unique</v>
      </c>
    </row>
    <row r="688" spans="1:46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  <c r="W688" t="s">
        <v>3225</v>
      </c>
      <c r="Z688" t="s">
        <v>3227</v>
      </c>
      <c r="AA688" t="str">
        <v>Sneha Kapoor</v>
      </c>
      <c r="AB688" t="str">
        <f>TRIM(PROPER(F:F))</f>
        <v>Home Office</v>
      </c>
      <c r="AC688" t="str">
        <f>TRIM(PROPER(G:G))</f>
        <v>South</v>
      </c>
      <c r="AD688" t="str">
        <f>TRIM(PROPER(H:H))</f>
        <v>Tamil Nadu</v>
      </c>
      <c r="AE688" t="str">
        <f>TRIM(PROPER(I:I))</f>
        <v>Chennai</v>
      </c>
      <c r="AF688" t="str">
        <f>TRIM(PROPER(J:J))</f>
        <v>Technology</v>
      </c>
      <c r="AG688" t="str">
        <f>TRIM(PROPER(K:K))</f>
        <v>Copiers</v>
      </c>
      <c r="AH688" t="str">
        <f>TRIM(PROPER(L:L))</f>
        <v>Pro Copiers 502</v>
      </c>
      <c r="AI688" t="str">
        <f>TRIM(PROPER(M:M))</f>
        <v>Standard Class</v>
      </c>
      <c r="AJ688" s="5">
        <f>IF(OR(P688&lt;0,P688&gt;0.5),"invalid",P688)</f>
        <v>0</v>
      </c>
      <c r="AK688" s="6">
        <f>IFERROR(N688*O688*(1-AJ688), "NA")</f>
        <v>4698.26</v>
      </c>
      <c r="AL688" s="6">
        <f>IFERROR(AK688-R688,"NA")</f>
        <v>2043.3400000000001</v>
      </c>
      <c r="AM688" s="5">
        <f t="shared" si="50"/>
        <v>0.43491420227914163</v>
      </c>
      <c r="AN688" t="str">
        <v>25-03-24</v>
      </c>
      <c r="AO688" t="str">
        <v>04-02-24</v>
      </c>
      <c r="AP688" t="str">
        <f t="shared" si="51"/>
        <v>March</v>
      </c>
      <c r="AQ688" t="str">
        <f t="shared" si="52"/>
        <v>2024</v>
      </c>
      <c r="AR688" t="str">
        <f t="shared" si="53"/>
        <v>anomaly</v>
      </c>
      <c r="AS688">
        <f t="shared" si="54"/>
        <v>-50</v>
      </c>
      <c r="AT688" t="str">
        <f>IF(COUNTIFS( $A:$A,A688,$B:$B,B688,$C:$C,C688,$D:$D,D688,$E:$E,E688,$F:$F,F688,$G:$G,G688,$H:$H,H688,$I:$I,I688,$J:$J,J688,$K:$K,K688,$L:$L,L688,$M:$M,M688,$T:$T,T688,$U:$U,U688,$W:$W,W688,$Z:$Z,Z688,$AA:$AA,AA688,$AB:$AB,AB688,$AC:$AC,AC688,$AD:$AD,AD688,$AE:$AE,AE688,$AF:$AF,AF688,$AG:$AG,AG688,$AH:$AH,AH688,$AI:$AI,AI688)&gt;1,"Duplicate","Unique")</f>
        <v>Unique</v>
      </c>
    </row>
    <row r="689" spans="1:46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  <c r="W689" t="s">
        <v>3229</v>
      </c>
      <c r="Z689" t="s">
        <v>3231</v>
      </c>
      <c r="AA689" t="str">
        <v>Mira Das</v>
      </c>
      <c r="AB689" t="str">
        <f>TRIM(PROPER(F:F))</f>
        <v>Home Office</v>
      </c>
      <c r="AC689" t="str">
        <f>TRIM(PROPER(G:G))</f>
        <v>North</v>
      </c>
      <c r="AD689" t="str">
        <f>TRIM(PROPER(H:H))</f>
        <v>Punjab</v>
      </c>
      <c r="AE689" t="str">
        <f>TRIM(PROPER(I:I))</f>
        <v>Ludhiana</v>
      </c>
      <c r="AF689" t="str">
        <f>TRIM(PROPER(J:J))</f>
        <v>Furniture</v>
      </c>
      <c r="AG689" t="str">
        <f>TRIM(PROPER(K:K))</f>
        <v>Tables</v>
      </c>
      <c r="AH689" t="str">
        <f>TRIM(PROPER(L:L))</f>
        <v>Prime Tables 604</v>
      </c>
      <c r="AI689" t="str">
        <f>TRIM(PROPER(M:M))</f>
        <v>First Class</v>
      </c>
      <c r="AJ689" s="5">
        <f>IF(OR(P689&lt;0,P689&gt;0.5),"invalid",P689)</f>
        <v>0</v>
      </c>
      <c r="AK689" s="6">
        <f>IFERROR(N689*O689*(1-AJ689), "NA")</f>
        <v>688.2</v>
      </c>
      <c r="AL689" s="6">
        <f>IFERROR(AK689-R689,"NA")</f>
        <v>190.52000000000004</v>
      </c>
      <c r="AM689" s="5">
        <f t="shared" si="50"/>
        <v>0.27683812845103173</v>
      </c>
      <c r="AN689" t="str">
        <v>08-10-25</v>
      </c>
      <c r="AO689" t="str">
        <v>13-10-25</v>
      </c>
      <c r="AP689" t="str">
        <f t="shared" si="51"/>
        <v>October</v>
      </c>
      <c r="AQ689" t="str">
        <f t="shared" si="52"/>
        <v>2025</v>
      </c>
      <c r="AR689" t="str">
        <f t="shared" si="53"/>
        <v xml:space="preserve"> </v>
      </c>
      <c r="AS689">
        <f t="shared" si="54"/>
        <v>5</v>
      </c>
      <c r="AT689" t="str">
        <f>IF(COUNTIFS( $A:$A,A689,$B:$B,B689,$C:$C,C689,$D:$D,D689,$E:$E,E689,$F:$F,F689,$G:$G,G689,$H:$H,H689,$I:$I,I689,$J:$J,J689,$K:$K,K689,$L:$L,L689,$M:$M,M689,$T:$T,T689,$U:$U,U689,$W:$W,W689,$Z:$Z,Z689,$AA:$AA,AA689,$AB:$AB,AB689,$AC:$AC,AC689,$AD:$AD,AD689,$AE:$AE,AE689,$AF:$AF,AF689,$AG:$AG,AG689,$AH:$AH,AH689,$AI:$AI,AI689)&gt;1,"Duplicate","Unique")</f>
        <v>Unique</v>
      </c>
    </row>
    <row r="690" spans="1:46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  <c r="W690" t="s">
        <v>3233</v>
      </c>
      <c r="Z690" t="s">
        <v>3235</v>
      </c>
      <c r="AA690" t="str">
        <v>Neha Gupta</v>
      </c>
      <c r="AB690" t="str">
        <f>TRIM(PROPER(F:F))</f>
        <v>Home Office</v>
      </c>
      <c r="AC690" t="str">
        <f>TRIM(PROPER(G:G))</f>
        <v>North</v>
      </c>
      <c r="AD690" t="str">
        <f>TRIM(PROPER(H:H))</f>
        <v>Haryana</v>
      </c>
      <c r="AE690" t="str">
        <f>TRIM(PROPER(I:I))</f>
        <v>Gurugram</v>
      </c>
      <c r="AF690" t="str">
        <f>TRIM(PROPER(J:J))</f>
        <v>Office Supplies</v>
      </c>
      <c r="AG690" t="str">
        <f>TRIM(PROPER(K:K))</f>
        <v>Art</v>
      </c>
      <c r="AH690" t="str">
        <f>TRIM(PROPER(L:L))</f>
        <v>Basic Art 798</v>
      </c>
      <c r="AI690" t="str">
        <f>TRIM(PROPER(M:M))</f>
        <v>Second Class</v>
      </c>
      <c r="AJ690" s="5">
        <f>IF(OR(P690&lt;0,P690&gt;0.5),"invalid",P690)</f>
        <v>0.15</v>
      </c>
      <c r="AK690" s="6">
        <f>IFERROR(N690*O690*(1-AJ690), "NA")</f>
        <v>15492.065999999999</v>
      </c>
      <c r="AL690" s="6">
        <f>IFERROR(AK690-R690,"NA")</f>
        <v>2910.8359999999993</v>
      </c>
      <c r="AM690" s="5">
        <f t="shared" si="50"/>
        <v>0.18789204745190213</v>
      </c>
      <c r="AN690" t="str">
        <v>26-02-25</v>
      </c>
      <c r="AO690" t="str">
        <v>27-02-25</v>
      </c>
      <c r="AP690" t="str">
        <f t="shared" si="51"/>
        <v>February</v>
      </c>
      <c r="AQ690" t="str">
        <f t="shared" si="52"/>
        <v>2025</v>
      </c>
      <c r="AR690" t="str">
        <f t="shared" si="53"/>
        <v xml:space="preserve"> </v>
      </c>
      <c r="AS690">
        <f t="shared" si="54"/>
        <v>1</v>
      </c>
      <c r="AT690" t="str">
        <f>IF(COUNTIFS( $A:$A,A690,$B:$B,B690,$C:$C,C690,$D:$D,D690,$E:$E,E690,$F:$F,F690,$G:$G,G690,$H:$H,H690,$I:$I,I690,$J:$J,J690,$K:$K,K690,$L:$L,L690,$M:$M,M690,$T:$T,T690,$U:$U,U690,$W:$W,W690,$Z:$Z,Z690,$AA:$AA,AA690,$AB:$AB,AB690,$AC:$AC,AC690,$AD:$AD,AD690,$AE:$AE,AE690,$AF:$AF,AF690,$AG:$AG,AG690,$AH:$AH,AH690,$AI:$AI,AI690)&gt;1,"Duplicate","Unique")</f>
        <v>Unique</v>
      </c>
    </row>
    <row r="691" spans="1:46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  <c r="W691" t="s">
        <v>3237</v>
      </c>
      <c r="Z691" t="s">
        <v>3240</v>
      </c>
      <c r="AA691" t="str">
        <v>Rohan Mehta</v>
      </c>
      <c r="AB691" t="str">
        <f>TRIM(PROPER(F:F))</f>
        <v>Small Business</v>
      </c>
      <c r="AC691" t="str">
        <f>TRIM(PROPER(G:G))</f>
        <v>North</v>
      </c>
      <c r="AD691" t="str">
        <f>TRIM(PROPER(H:H))</f>
        <v>Punjab</v>
      </c>
      <c r="AE691" t="str">
        <f>TRIM(PROPER(I:I))</f>
        <v>Ludhiana</v>
      </c>
      <c r="AF691" t="str">
        <f>TRIM(PROPER(J:J))</f>
        <v>Furniture</v>
      </c>
      <c r="AG691" t="str">
        <f>TRIM(PROPER(K:K))</f>
        <v>Tables</v>
      </c>
      <c r="AH691" t="str">
        <f>TRIM(PROPER(L:L))</f>
        <v>Elite Tables 717</v>
      </c>
      <c r="AI691" t="str">
        <f>TRIM(PROPER(M:M))</f>
        <v>Standard Class</v>
      </c>
      <c r="AJ691" s="5">
        <f>IF(OR(P691&lt;0,P691&gt;0.5),"invalid",P691)</f>
        <v>0.15</v>
      </c>
      <c r="AK691" s="6">
        <f>IFERROR(N691*O691*(1-AJ691), "NA")</f>
        <v>3745.2870000000003</v>
      </c>
      <c r="AL691" s="6">
        <f>IFERROR(AK691-R691,"NA")</f>
        <v>1442.6370000000002</v>
      </c>
      <c r="AM691" s="5">
        <f t="shared" si="50"/>
        <v>0.38518730340291679</v>
      </c>
      <c r="AN691" t="str">
        <v>05-10-24</v>
      </c>
      <c r="AO691" t="str">
        <v>06-10-24</v>
      </c>
      <c r="AP691" t="str">
        <f t="shared" si="51"/>
        <v>October</v>
      </c>
      <c r="AQ691" t="str">
        <f t="shared" si="52"/>
        <v>2024</v>
      </c>
      <c r="AR691" t="str">
        <f t="shared" si="53"/>
        <v xml:space="preserve"> </v>
      </c>
      <c r="AS691">
        <f t="shared" si="54"/>
        <v>1</v>
      </c>
      <c r="AT691" t="str">
        <f>IF(COUNTIFS( $A:$A,A691,$B:$B,B691,$C:$C,C691,$D:$D,D691,$E:$E,E691,$F:$F,F691,$G:$G,G691,$H:$H,H691,$I:$I,I691,$J:$J,J691,$K:$K,K691,$L:$L,L691,$M:$M,M691,$T:$T,T691,$U:$U,U691,$W:$W,W691,$Z:$Z,Z691,$AA:$AA,AA691,$AB:$AB,AB691,$AC:$AC,AC691,$AD:$AD,AD691,$AE:$AE,AE691,$AF:$AF,AF691,$AG:$AG,AG691,$AH:$AH,AH691,$AI:$AI,AI691)&gt;1,"Duplicate","Unique")</f>
        <v>Unique</v>
      </c>
    </row>
    <row r="692" spans="1:46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  <c r="W692" t="s">
        <v>3242</v>
      </c>
      <c r="Z692" t="s">
        <v>3244</v>
      </c>
      <c r="AA692" t="str">
        <v>Sneha Kapoor</v>
      </c>
      <c r="AB692" t="str">
        <f>TRIM(PROPER(F:F))</f>
        <v>Corporate</v>
      </c>
      <c r="AC692" t="str">
        <f>TRIM(PROPER(G:G))</f>
        <v>South</v>
      </c>
      <c r="AD692" t="str">
        <f>TRIM(PROPER(H:H))</f>
        <v>Tamil Nadu</v>
      </c>
      <c r="AE692" t="str">
        <f>TRIM(PROPER(I:I))</f>
        <v>Chennai</v>
      </c>
      <c r="AF692" t="str">
        <f>TRIM(PROPER(J:J))</f>
        <v>Office Supplies</v>
      </c>
      <c r="AG692" t="str">
        <f>TRIM(PROPER(K:K))</f>
        <v>Art</v>
      </c>
      <c r="AH692" t="str">
        <f>TRIM(PROPER(L:L))</f>
        <v>Max Art 725</v>
      </c>
      <c r="AI692" t="str">
        <f>TRIM(PROPER(M:M))</f>
        <v>Standard Class</v>
      </c>
      <c r="AJ692" s="5">
        <f>IF(OR(P692&lt;0,P692&gt;0.5),"invalid",P692)</f>
        <v>0</v>
      </c>
      <c r="AK692" s="6">
        <f>IFERROR(N692*O692*(1-AJ692), "NA")</f>
        <v>3462.52</v>
      </c>
      <c r="AL692" s="6">
        <f>IFERROR(AK692-R692,"NA")</f>
        <v>665.23</v>
      </c>
      <c r="AM692" s="5">
        <f t="shared" si="50"/>
        <v>0.19212307798944123</v>
      </c>
      <c r="AN692" t="str">
        <v>09-11-24</v>
      </c>
      <c r="AO692" t="str">
        <v>15-09-24</v>
      </c>
      <c r="AP692" t="str">
        <f t="shared" si="51"/>
        <v>November</v>
      </c>
      <c r="AQ692" t="str">
        <f t="shared" si="52"/>
        <v>2024</v>
      </c>
      <c r="AR692" t="str">
        <f t="shared" si="53"/>
        <v xml:space="preserve"> </v>
      </c>
      <c r="AS692">
        <f t="shared" si="54"/>
        <v>-55</v>
      </c>
      <c r="AT692" t="str">
        <f>IF(COUNTIFS( $A:$A,A692,$B:$B,B692,$C:$C,C692,$D:$D,D692,$E:$E,E692,$F:$F,F692,$G:$G,G692,$H:$H,H692,$I:$I,I692,$J:$J,J692,$K:$K,K692,$L:$L,L692,$M:$M,M692,$T:$T,T692,$U:$U,U692,$W:$W,W692,$Z:$Z,Z692,$AA:$AA,AA692,$AB:$AB,AB692,$AC:$AC,AC692,$AD:$AD,AD692,$AE:$AE,AE692,$AF:$AF,AF692,$AG:$AG,AG692,$AH:$AH,AH692,$AI:$AI,AI692)&gt;1,"Duplicate","Unique")</f>
        <v>Unique</v>
      </c>
    </row>
    <row r="693" spans="1:46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  <c r="W693" t="s">
        <v>3246</v>
      </c>
      <c r="Z693" t="s">
        <v>3248</v>
      </c>
      <c r="AA693" t="str">
        <v>Rohan Mehta</v>
      </c>
      <c r="AB693" t="str">
        <f>TRIM(PROPER(F:F))</f>
        <v>Consumer</v>
      </c>
      <c r="AC693" t="str">
        <f>TRIM(PROPER(G:G))</f>
        <v>East</v>
      </c>
      <c r="AD693" t="str">
        <f>TRIM(PROPER(H:H))</f>
        <v>Odisha</v>
      </c>
      <c r="AE693" t="str">
        <f>TRIM(PROPER(I:I))</f>
        <v>Bhubaneswar</v>
      </c>
      <c r="AF693" t="str">
        <f>TRIM(PROPER(J:J))</f>
        <v>Technology</v>
      </c>
      <c r="AG693" t="str">
        <f>TRIM(PROPER(K:K))</f>
        <v>Copiers</v>
      </c>
      <c r="AH693" t="str">
        <f>TRIM(PROPER(L:L))</f>
        <v>Smart Copiers 456</v>
      </c>
      <c r="AI693" t="str">
        <f>TRIM(PROPER(M:M))</f>
        <v>Second Class</v>
      </c>
      <c r="AJ693" s="5">
        <f>IF(OR(P693&lt;0,P693&gt;0.5),"invalid",P693)</f>
        <v>0.05</v>
      </c>
      <c r="AK693" s="6">
        <f>IFERROR(N693*O693*(1-AJ693), "NA")</f>
        <v>8767.1699999999983</v>
      </c>
      <c r="AL693" s="6">
        <f>IFERROR(AK693-R693,"NA")</f>
        <v>3668.9699999999984</v>
      </c>
      <c r="AM693" s="5">
        <f t="shared" si="50"/>
        <v>0.41848966085977563</v>
      </c>
      <c r="AN693" t="str">
        <v>15-12-24</v>
      </c>
      <c r="AO693" t="str">
        <v>16-12-24</v>
      </c>
      <c r="AP693" t="str">
        <f t="shared" si="51"/>
        <v>December</v>
      </c>
      <c r="AQ693" t="str">
        <f t="shared" si="52"/>
        <v>2024</v>
      </c>
      <c r="AR693" t="str">
        <f t="shared" si="53"/>
        <v xml:space="preserve"> </v>
      </c>
      <c r="AS693">
        <f t="shared" si="54"/>
        <v>1</v>
      </c>
      <c r="AT693" t="str">
        <f>IF(COUNTIFS( $A:$A,A693,$B:$B,B693,$C:$C,C693,$D:$D,D693,$E:$E,E693,$F:$F,F693,$G:$G,G693,$H:$H,H693,$I:$I,I693,$J:$J,J693,$K:$K,K693,$L:$L,L693,$M:$M,M693,$T:$T,T693,$U:$U,U693,$W:$W,W693,$Z:$Z,Z693,$AA:$AA,AA693,$AB:$AB,AB693,$AC:$AC,AC693,$AD:$AD,AD693,$AE:$AE,AE693,$AF:$AF,AF693,$AG:$AG,AG693,$AH:$AH,AH693,$AI:$AI,AI693)&gt;1,"Duplicate","Unique")</f>
        <v>Unique</v>
      </c>
    </row>
    <row r="694" spans="1:46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  <c r="W694" t="s">
        <v>3250</v>
      </c>
      <c r="Z694" t="s">
        <v>3252</v>
      </c>
      <c r="AA694" t="str">
        <v>Isha Nair</v>
      </c>
      <c r="AB694" t="str">
        <f>TRIM(PROPER(F:F))</f>
        <v>Corporate</v>
      </c>
      <c r="AC694" t="str">
        <f>TRIM(PROPER(G:G))</f>
        <v>South</v>
      </c>
      <c r="AD694" t="str">
        <f>TRIM(PROPER(H:H))</f>
        <v>Karnataka</v>
      </c>
      <c r="AE694" t="str">
        <f>TRIM(PROPER(I:I))</f>
        <v>Bengaluru</v>
      </c>
      <c r="AF694" t="str">
        <f>TRIM(PROPER(J:J))</f>
        <v>Furniture</v>
      </c>
      <c r="AG694" t="str">
        <f>TRIM(PROPER(K:K))</f>
        <v>Furnishings</v>
      </c>
      <c r="AH694" t="str">
        <f>TRIM(PROPER(L:L))</f>
        <v>Prime Furnishings 883</v>
      </c>
      <c r="AI694" t="str">
        <f>TRIM(PROPER(M:M))</f>
        <v>Second Class</v>
      </c>
      <c r="AJ694" s="5">
        <f>IF(OR(P694&lt;0,P694&gt;0.5),"invalid",P694)</f>
        <v>0.1</v>
      </c>
      <c r="AK694" s="6">
        <f>IFERROR(N694*O694*(1-AJ694), "NA")</f>
        <v>8516.4480000000003</v>
      </c>
      <c r="AL694" s="6">
        <f>IFERROR(AK694-R694,"NA")</f>
        <v>2612.6379999999999</v>
      </c>
      <c r="AM694" s="5">
        <f t="shared" si="50"/>
        <v>0.30677554774009069</v>
      </c>
      <c r="AN694" t="str">
        <v>05-10-25</v>
      </c>
      <c r="AO694" t="str">
        <v>10-10-25</v>
      </c>
      <c r="AP694" t="str">
        <f t="shared" si="51"/>
        <v>October</v>
      </c>
      <c r="AQ694" t="str">
        <f t="shared" si="52"/>
        <v>2025</v>
      </c>
      <c r="AR694" t="str">
        <f t="shared" si="53"/>
        <v xml:space="preserve"> </v>
      </c>
      <c r="AS694">
        <f t="shared" si="54"/>
        <v>5</v>
      </c>
      <c r="AT694" t="str">
        <f>IF(COUNTIFS( $A:$A,A694,$B:$B,B694,$C:$C,C694,$D:$D,D694,$E:$E,E694,$F:$F,F694,$G:$G,G694,$H:$H,H694,$I:$I,I694,$J:$J,J694,$K:$K,K694,$L:$L,L694,$M:$M,M694,$T:$T,T694,$U:$U,U694,$W:$W,W694,$Z:$Z,Z694,$AA:$AA,AA694,$AB:$AB,AB694,$AC:$AC,AC694,$AD:$AD,AD694,$AE:$AE,AE694,$AF:$AF,AF694,$AG:$AG,AG694,$AH:$AH,AH694,$AI:$AI,AI694)&gt;1,"Duplicate","Unique")</f>
        <v>Unique</v>
      </c>
    </row>
    <row r="695" spans="1:46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  <c r="W695" t="s">
        <v>3254</v>
      </c>
      <c r="Z695" t="s">
        <v>3256</v>
      </c>
      <c r="AA695" t="str">
        <v>Arjun Bose</v>
      </c>
      <c r="AB695" t="str">
        <f>TRIM(PROPER(F:F))</f>
        <v>Consumer</v>
      </c>
      <c r="AC695" t="str">
        <f>TRIM(PROPER(G:G))</f>
        <v>South</v>
      </c>
      <c r="AD695" t="str">
        <f>TRIM(PROPER(H:H))</f>
        <v>Tamil Nadu</v>
      </c>
      <c r="AE695" t="str">
        <f>TRIM(PROPER(I:I))</f>
        <v>Chennai</v>
      </c>
      <c r="AF695" t="str">
        <f>TRIM(PROPER(J:J))</f>
        <v>Furniture</v>
      </c>
      <c r="AG695" t="str">
        <f>TRIM(PROPER(K:K))</f>
        <v>Bookcases</v>
      </c>
      <c r="AH695" t="str">
        <f>TRIM(PROPER(L:L))</f>
        <v>Smart Bookcases 828</v>
      </c>
      <c r="AI695" t="str">
        <f>TRIM(PROPER(M:M))</f>
        <v>Second Class</v>
      </c>
      <c r="AJ695" s="5">
        <f>IF(OR(P695&lt;0,P695&gt;0.5),"invalid",P695)</f>
        <v>0.05</v>
      </c>
      <c r="AK695" s="6">
        <f>IFERROR(N695*O695*(1-AJ695), "NA")</f>
        <v>11826.844500000001</v>
      </c>
      <c r="AL695" s="6">
        <f>IFERROR(AK695-R695,"NA")</f>
        <v>3790.884500000001</v>
      </c>
      <c r="AM695" s="5">
        <f t="shared" si="50"/>
        <v>0.32053220112938835</v>
      </c>
      <c r="AN695" t="str">
        <v>03-04-25</v>
      </c>
      <c r="AO695" t="str">
        <v>11-04-25</v>
      </c>
      <c r="AP695" t="str">
        <f t="shared" si="51"/>
        <v>April</v>
      </c>
      <c r="AQ695" t="str">
        <f t="shared" si="52"/>
        <v>2025</v>
      </c>
      <c r="AR695" t="str">
        <f t="shared" si="53"/>
        <v xml:space="preserve"> </v>
      </c>
      <c r="AS695">
        <f t="shared" si="54"/>
        <v>8</v>
      </c>
      <c r="AT695" t="str">
        <f>IF(COUNTIFS( $A:$A,A695,$B:$B,B695,$C:$C,C695,$D:$D,D695,$E:$E,E695,$F:$F,F695,$G:$G,G695,$H:$H,H695,$I:$I,I695,$J:$J,J695,$K:$K,K695,$L:$L,L695,$M:$M,M695,$T:$T,T695,$U:$U,U695,$W:$W,W695,$Z:$Z,Z695,$AA:$AA,AA695,$AB:$AB,AB695,$AC:$AC,AC695,$AD:$AD,AD695,$AE:$AE,AE695,$AF:$AF,AF695,$AG:$AG,AG695,$AH:$AH,AH695,$AI:$AI,AI695)&gt;1,"Duplicate","Unique")</f>
        <v>Unique</v>
      </c>
    </row>
    <row r="696" spans="1:46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  <c r="W696" t="s">
        <v>3258</v>
      </c>
      <c r="Z696" t="s">
        <v>1738</v>
      </c>
      <c r="AA696" t="str">
        <v>Isha Nair</v>
      </c>
      <c r="AB696" t="str">
        <f>TRIM(PROPER(F:F))</f>
        <v>Consumer</v>
      </c>
      <c r="AC696" t="str">
        <f>TRIM(PROPER(G:G))</f>
        <v>South</v>
      </c>
      <c r="AD696" t="str">
        <f>TRIM(PROPER(H:H))</f>
        <v>Andhra Pradesh</v>
      </c>
      <c r="AE696" t="str">
        <f>TRIM(PROPER(I:I))</f>
        <v>Vijayawada</v>
      </c>
      <c r="AF696" t="str">
        <f>TRIM(PROPER(J:J))</f>
        <v>Office Supplies</v>
      </c>
      <c r="AG696" t="str">
        <f>TRIM(PROPER(K:K))</f>
        <v>Storage</v>
      </c>
      <c r="AH696" t="str">
        <f>TRIM(PROPER(L:L))</f>
        <v>Classic Storage 291</v>
      </c>
      <c r="AI696" t="str">
        <f>TRIM(PROPER(M:M))</f>
        <v>First Class</v>
      </c>
      <c r="AJ696" s="5">
        <f>IF(OR(P696&lt;0,P696&gt;0.5),"invalid",P696)</f>
        <v>0.15</v>
      </c>
      <c r="AK696" s="6">
        <f>IFERROR(N696*O696*(1-AJ696), "NA")</f>
        <v>11629.019999999999</v>
      </c>
      <c r="AL696" s="6">
        <f>IFERROR(AK696-R696,"NA")</f>
        <v>2001.8099999999995</v>
      </c>
      <c r="AM696" s="5">
        <f t="shared" si="50"/>
        <v>0.17213918283741877</v>
      </c>
      <c r="AN696" t="str">
        <v>01-08-25</v>
      </c>
      <c r="AO696" t="str">
        <v>09-08-25</v>
      </c>
      <c r="AP696" t="str">
        <f t="shared" si="51"/>
        <v>August</v>
      </c>
      <c r="AQ696" t="str">
        <f t="shared" si="52"/>
        <v>2025</v>
      </c>
      <c r="AR696" t="str">
        <f t="shared" si="53"/>
        <v xml:space="preserve"> </v>
      </c>
      <c r="AS696">
        <f t="shared" si="54"/>
        <v>8</v>
      </c>
      <c r="AT696" t="str">
        <f>IF(COUNTIFS( $A:$A,A696,$B:$B,B696,$C:$C,C696,$D:$D,D696,$E:$E,E696,$F:$F,F696,$G:$G,G696,$H:$H,H696,$I:$I,I696,$J:$J,J696,$K:$K,K696,$L:$L,L696,$M:$M,M696,$T:$T,T696,$U:$U,U696,$W:$W,W696,$Z:$Z,Z696,$AA:$AA,AA696,$AB:$AB,AB696,$AC:$AC,AC696,$AD:$AD,AD696,$AE:$AE,AE696,$AF:$AF,AF696,$AG:$AG,AG696,$AH:$AH,AH696,$AI:$AI,AI696)&gt;1,"Duplicate","Unique")</f>
        <v>Unique</v>
      </c>
    </row>
    <row r="697" spans="1:46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  <c r="W697" t="s">
        <v>3260</v>
      </c>
      <c r="Z697" t="s">
        <v>3262</v>
      </c>
      <c r="AA697" t="str">
        <v>Aarav Sharma</v>
      </c>
      <c r="AB697" t="str">
        <f>TRIM(PROPER(F:F))</f>
        <v>Consumer</v>
      </c>
      <c r="AC697" t="str">
        <f>TRIM(PROPER(G:G))</f>
        <v>West</v>
      </c>
      <c r="AD697" t="str">
        <f>TRIM(PROPER(H:H))</f>
        <v>Madhya Pradesh</v>
      </c>
      <c r="AE697" t="str">
        <f>TRIM(PROPER(I:I))</f>
        <v>Indore</v>
      </c>
      <c r="AF697" t="str">
        <f>TRIM(PROPER(J:J))</f>
        <v>Technology</v>
      </c>
      <c r="AG697" t="str">
        <f>TRIM(PROPER(K:K))</f>
        <v>Machines</v>
      </c>
      <c r="AH697" t="str">
        <f>TRIM(PROPER(L:L))</f>
        <v>Prime Machines 102</v>
      </c>
      <c r="AI697" t="str">
        <f>TRIM(PROPER(M:M))</f>
        <v>Standard Class</v>
      </c>
      <c r="AJ697" s="5">
        <f>IF(OR(P697&lt;0,P697&gt;0.5),"invalid",P697)</f>
        <v>0</v>
      </c>
      <c r="AK697" s="6">
        <f>IFERROR(N697*O697*(1-AJ697), "NA")</f>
        <v>1029.56</v>
      </c>
      <c r="AL697" s="6">
        <f>IFERROR(AK697-R697,"NA")</f>
        <v>403.2299999999999</v>
      </c>
      <c r="AM697" s="5">
        <f t="shared" si="50"/>
        <v>0.39165274486188267</v>
      </c>
      <c r="AN697" t="str">
        <v>01-07-24</v>
      </c>
      <c r="AO697" t="str">
        <v>01-07-24</v>
      </c>
      <c r="AP697" t="str">
        <f t="shared" si="51"/>
        <v>July</v>
      </c>
      <c r="AQ697" t="str">
        <f t="shared" si="52"/>
        <v>2024</v>
      </c>
      <c r="AR697" t="str">
        <f t="shared" si="53"/>
        <v xml:space="preserve"> </v>
      </c>
      <c r="AS697">
        <f t="shared" si="54"/>
        <v>0</v>
      </c>
      <c r="AT697" t="str">
        <f>IF(COUNTIFS( $A:$A,A697,$B:$B,B697,$C:$C,C697,$D:$D,D697,$E:$E,E697,$F:$F,F697,$G:$G,G697,$H:$H,H697,$I:$I,I697,$J:$J,J697,$K:$K,K697,$L:$L,L697,$M:$M,M697,$T:$T,T697,$U:$U,U697,$W:$W,W697,$Z:$Z,Z697,$AA:$AA,AA697,$AB:$AB,AB697,$AC:$AC,AC697,$AD:$AD,AD697,$AE:$AE,AE697,$AF:$AF,AF697,$AG:$AG,AG697,$AH:$AH,AH697,$AI:$AI,AI697)&gt;1,"Duplicate","Unique")</f>
        <v>Unique</v>
      </c>
    </row>
    <row r="698" spans="1:46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  <c r="W698" t="s">
        <v>3264</v>
      </c>
      <c r="Z698" t="s">
        <v>3267</v>
      </c>
      <c r="AA698" t="str">
        <v>Isha Nair</v>
      </c>
      <c r="AB698" t="str">
        <f>TRIM(PROPER(F:F))</f>
        <v>Small Business</v>
      </c>
      <c r="AC698" t="str">
        <f>TRIM(PROPER(G:G))</f>
        <v>South</v>
      </c>
      <c r="AD698" t="str">
        <f>TRIM(PROPER(H:H))</f>
        <v>Kerala</v>
      </c>
      <c r="AE698" t="str">
        <f>TRIM(PROPER(I:I))</f>
        <v>Kochi</v>
      </c>
      <c r="AF698" t="str">
        <f>TRIM(PROPER(J:J))</f>
        <v>Technology</v>
      </c>
      <c r="AG698" t="str">
        <f>TRIM(PROPER(K:K))</f>
        <v>Phones</v>
      </c>
      <c r="AH698" t="str">
        <f>TRIM(PROPER(L:L))</f>
        <v>Classic Phones 842</v>
      </c>
      <c r="AI698" t="s">
        <v>4095</v>
      </c>
      <c r="AJ698" s="5">
        <f>IF(OR(P698&lt;0,P698&gt;0.5),"invalid",P698)</f>
        <v>0.25</v>
      </c>
      <c r="AK698" s="6">
        <f>IFERROR(N698*O698*(1-AJ698), "NA")</f>
        <v>3536.5199999999995</v>
      </c>
      <c r="AL698" s="6">
        <f>IFERROR(AK698-R698,"NA")</f>
        <v>1434.1099999999997</v>
      </c>
      <c r="AM698" s="5">
        <f t="shared" si="50"/>
        <v>0.40551446054313278</v>
      </c>
      <c r="AN698" t="str">
        <v>22-09-25</v>
      </c>
      <c r="AO698" t="str">
        <v>25-09-25</v>
      </c>
      <c r="AP698" t="str">
        <f t="shared" si="51"/>
        <v>September</v>
      </c>
      <c r="AQ698" t="str">
        <f t="shared" si="52"/>
        <v>2025</v>
      </c>
      <c r="AR698" t="str">
        <f t="shared" si="53"/>
        <v xml:space="preserve"> </v>
      </c>
      <c r="AS698">
        <f t="shared" si="54"/>
        <v>3</v>
      </c>
      <c r="AT698" t="str">
        <f>IF(COUNTIFS( $A:$A,A698,$B:$B,B698,$C:$C,C698,$D:$D,D698,$E:$E,E698,$F:$F,F698,$G:$G,G698,$H:$H,H698,$I:$I,I698,$J:$J,J698,$K:$K,K698,$L:$L,L698,$M:$M,M698,$T:$T,T698,$U:$U,U698,$W:$W,W698,$Z:$Z,Z698,$AA:$AA,AA698,$AB:$AB,AB698,$AC:$AC,AC698,$AD:$AD,AD698,$AE:$AE,AE698,$AF:$AF,AF698,$AG:$AG,AG698,$AH:$AH,AH698,$AI:$AI,AI698)&gt;1,"Duplicate","Unique")</f>
        <v>Unique</v>
      </c>
    </row>
    <row r="699" spans="1:46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  <c r="W699" t="s">
        <v>3269</v>
      </c>
      <c r="Z699" t="s">
        <v>3270</v>
      </c>
      <c r="AA699" t="str">
        <v>Arjun Bose</v>
      </c>
      <c r="AB699" t="str">
        <f>TRIM(PROPER(F:F))</f>
        <v>Corporate</v>
      </c>
      <c r="AC699" t="str">
        <f>TRIM(PROPER(G:G))</f>
        <v>South</v>
      </c>
      <c r="AD699" t="str">
        <f>TRIM(PROPER(H:H))</f>
        <v>Andhra Pradesh</v>
      </c>
      <c r="AE699" t="str">
        <f>TRIM(PROPER(I:I))</f>
        <v>Vijayawada</v>
      </c>
      <c r="AF699" t="str">
        <f>TRIM(PROPER(J:J))</f>
        <v>Office Supplies</v>
      </c>
      <c r="AG699" t="str">
        <f>TRIM(PROPER(K:K))</f>
        <v>Labels</v>
      </c>
      <c r="AH699" t="str">
        <f>TRIM(PROPER(L:L))</f>
        <v>Max Labels 970</v>
      </c>
      <c r="AI699" t="str">
        <f>TRIM(PROPER(M:M))</f>
        <v>First Class</v>
      </c>
      <c r="AJ699" s="5">
        <f>IF(OR(P699&lt;0,P699&gt;0.5),"invalid",P699)</f>
        <v>0</v>
      </c>
      <c r="AK699" s="6">
        <f>IFERROR(N699*O699*(1-AJ699), "NA")</f>
        <v>3970.0499999999997</v>
      </c>
      <c r="AL699" s="6">
        <f>IFERROR(AK699-R699,"NA")</f>
        <v>2120.75</v>
      </c>
      <c r="AM699" s="5">
        <f t="shared" si="50"/>
        <v>0.53418722686112274</v>
      </c>
      <c r="AN699" t="str">
        <v>03-01-25</v>
      </c>
      <c r="AO699" t="str">
        <v>07-03-25</v>
      </c>
      <c r="AP699" t="str">
        <f t="shared" si="51"/>
        <v>January</v>
      </c>
      <c r="AQ699" t="str">
        <f t="shared" si="52"/>
        <v>2025</v>
      </c>
      <c r="AR699" t="str">
        <f t="shared" si="53"/>
        <v xml:space="preserve"> </v>
      </c>
      <c r="AS699">
        <f t="shared" si="54"/>
        <v>63</v>
      </c>
      <c r="AT699" t="str">
        <f>IF(COUNTIFS( $A:$A,A699,$B:$B,B699,$C:$C,C699,$D:$D,D699,$E:$E,E699,$F:$F,F699,$G:$G,G699,$H:$H,H699,$I:$I,I699,$J:$J,J699,$K:$K,K699,$L:$L,L699,$M:$M,M699,$T:$T,T699,$U:$U,U699,$W:$W,W699,$Z:$Z,Z699,$AA:$AA,AA699,$AB:$AB,AB699,$AC:$AC,AC699,$AD:$AD,AD699,$AE:$AE,AE699,$AF:$AF,AF699,$AG:$AG,AG699,$AH:$AH,AH699,$AI:$AI,AI699)&gt;1,"Duplicate","Unique")</f>
        <v>Unique</v>
      </c>
    </row>
    <row r="700" spans="1:46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  <c r="W700" t="s">
        <v>3272</v>
      </c>
      <c r="Z700" t="s">
        <v>3274</v>
      </c>
      <c r="AA700" t="str">
        <v>Mira Das</v>
      </c>
      <c r="AB700" t="str">
        <f>TRIM(PROPER(F:F))</f>
        <v>Corporate</v>
      </c>
      <c r="AC700" t="str">
        <f>TRIM(PROPER(G:G))</f>
        <v>North</v>
      </c>
      <c r="AD700" t="str">
        <f>TRIM(PROPER(H:H))</f>
        <v>Rajasthan</v>
      </c>
      <c r="AE700" t="str">
        <f>TRIM(PROPER(I:I))</f>
        <v>Jaipur</v>
      </c>
      <c r="AF700" t="str">
        <f>TRIM(PROPER(J:J))</f>
        <v>Technology</v>
      </c>
      <c r="AG700" t="str">
        <f>TRIM(PROPER(K:K))</f>
        <v>Machines</v>
      </c>
      <c r="AH700" t="str">
        <f>TRIM(PROPER(L:L))</f>
        <v>Classic Machines 648</v>
      </c>
      <c r="AI700" t="str">
        <f>TRIM(PROPER(M:M))</f>
        <v>Standard Class</v>
      </c>
      <c r="AJ700" s="5">
        <f>IF(OR(P700&lt;0,P700&gt;0.5),"invalid",P700)</f>
        <v>0.15</v>
      </c>
      <c r="AK700" s="6">
        <f>IFERROR(N700*O700*(1-AJ700), "NA")</f>
        <v>27755.287999999997</v>
      </c>
      <c r="AL700" s="6">
        <f>IFERROR(AK700-R700,"NA")</f>
        <v>4003.377999999997</v>
      </c>
      <c r="AM700" s="5">
        <f t="shared" si="50"/>
        <v>0.14423838801456493</v>
      </c>
      <c r="AN700" t="str">
        <v>14-09-24</v>
      </c>
      <c r="AO700" t="str">
        <v>14-09-24</v>
      </c>
      <c r="AP700" t="str">
        <f t="shared" si="51"/>
        <v>September</v>
      </c>
      <c r="AQ700" t="str">
        <f t="shared" si="52"/>
        <v>2024</v>
      </c>
      <c r="AR700" t="str">
        <f t="shared" si="53"/>
        <v xml:space="preserve"> </v>
      </c>
      <c r="AS700">
        <f t="shared" si="54"/>
        <v>0</v>
      </c>
      <c r="AT700" t="str">
        <f>IF(COUNTIFS( $A:$A,A700,$B:$B,B700,$C:$C,C700,$D:$D,D700,$E:$E,E700,$F:$F,F700,$G:$G,G700,$H:$H,H700,$I:$I,I700,$J:$J,J700,$K:$K,K700,$L:$L,L700,$M:$M,M700,$T:$T,T700,$U:$U,U700,$W:$W,W700,$Z:$Z,Z700,$AA:$AA,AA700,$AB:$AB,AB700,$AC:$AC,AC700,$AD:$AD,AD700,$AE:$AE,AE700,$AF:$AF,AF700,$AG:$AG,AG700,$AH:$AH,AH700,$AI:$AI,AI700)&gt;1,"Duplicate","Unique")</f>
        <v>Unique</v>
      </c>
    </row>
    <row r="701" spans="1:46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  <c r="W701" t="s">
        <v>3276</v>
      </c>
      <c r="Z701" t="s">
        <v>3279</v>
      </c>
      <c r="AA701" t="str">
        <v>Arjun Bose</v>
      </c>
      <c r="AB701" t="str">
        <f>TRIM(PROPER(F:F))</f>
        <v>Small Business</v>
      </c>
      <c r="AC701" t="str">
        <f>TRIM(PROPER(G:G))</f>
        <v>South</v>
      </c>
      <c r="AD701" t="str">
        <f>TRIM(PROPER(H:H))</f>
        <v>Karnataka</v>
      </c>
      <c r="AE701" t="str">
        <f>TRIM(PROPER(I:I))</f>
        <v>Bengaluru</v>
      </c>
      <c r="AF701" t="str">
        <f>TRIM(PROPER(J:J))</f>
        <v>Furniture</v>
      </c>
      <c r="AG701" t="str">
        <f>TRIM(PROPER(K:K))</f>
        <v>Bookcases</v>
      </c>
      <c r="AH701" t="str">
        <f>TRIM(PROPER(L:L))</f>
        <v>Max Bookcases 565</v>
      </c>
      <c r="AI701" t="str">
        <f>TRIM(PROPER(M:M))</f>
        <v>Standard Class</v>
      </c>
      <c r="AJ701" s="5">
        <f>IF(OR(P701&lt;0,P701&gt;0.5),"invalid",P701)</f>
        <v>0.25</v>
      </c>
      <c r="AK701" s="6">
        <f>IFERROR(N701*O701*(1-AJ701), "NA")</f>
        <v>9450.7425000000003</v>
      </c>
      <c r="AL701" s="6">
        <f>IFERROR(AK701-R701,"NA")</f>
        <v>1652.1824999999999</v>
      </c>
      <c r="AM701" s="5">
        <f t="shared" si="50"/>
        <v>0.17482039109625511</v>
      </c>
      <c r="AN701" t="str">
        <v>11-06-24</v>
      </c>
      <c r="AO701" t="str">
        <v>11-06-24</v>
      </c>
      <c r="AP701" t="str">
        <f t="shared" si="51"/>
        <v>June</v>
      </c>
      <c r="AQ701" t="str">
        <f t="shared" si="52"/>
        <v>2024</v>
      </c>
      <c r="AR701" t="str">
        <f t="shared" si="53"/>
        <v xml:space="preserve"> </v>
      </c>
      <c r="AS701">
        <f t="shared" si="54"/>
        <v>0</v>
      </c>
      <c r="AT701" t="str">
        <f>IF(COUNTIFS( $A:$A,A701,$B:$B,B701,$C:$C,C701,$D:$D,D701,$E:$E,E701,$F:$F,F701,$G:$G,G701,$H:$H,H701,$I:$I,I701,$J:$J,J701,$K:$K,K701,$L:$L,L701,$M:$M,M701,$T:$T,T701,$U:$U,U701,$W:$W,W701,$Z:$Z,Z701,$AA:$AA,AA701,$AB:$AB,AB701,$AC:$AC,AC701,$AD:$AD,AD701,$AE:$AE,AE701,$AF:$AF,AF701,$AG:$AG,AG701,$AH:$AH,AH701,$AI:$AI,AI701)&gt;1,"Duplicate","Unique")</f>
        <v>Unique</v>
      </c>
    </row>
    <row r="702" spans="1:46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  <c r="W702" t="s">
        <v>3281</v>
      </c>
      <c r="Z702" t="s">
        <v>3283</v>
      </c>
      <c r="AA702" t="str">
        <v>Neha Gupta</v>
      </c>
      <c r="AB702" t="str">
        <f>TRIM(PROPER(F:F))</f>
        <v>Corporate</v>
      </c>
      <c r="AC702" t="str">
        <f>TRIM(PROPER(G:G))</f>
        <v>East</v>
      </c>
      <c r="AD702" t="str">
        <f>TRIM(PROPER(H:H))</f>
        <v>West Bengal</v>
      </c>
      <c r="AE702" t="str">
        <f>TRIM(PROPER(I:I))</f>
        <v>Kolkata</v>
      </c>
      <c r="AF702" t="str">
        <f>TRIM(PROPER(J:J))</f>
        <v>Technology</v>
      </c>
      <c r="AG702" t="str">
        <f>TRIM(PROPER(K:K))</f>
        <v>Machines</v>
      </c>
      <c r="AH702" t="str">
        <f>TRIM(PROPER(L:L))</f>
        <v>Basic Machines 220</v>
      </c>
      <c r="AI702" t="str">
        <f>TRIM(PROPER(M:M))</f>
        <v>Standard Class</v>
      </c>
      <c r="AJ702" s="5">
        <f>IF(OR(P702&lt;0,P702&gt;0.5),"invalid",P702)</f>
        <v>0.15</v>
      </c>
      <c r="AK702" s="6">
        <f>IFERROR(N702*O702*(1-AJ702), "NA")</f>
        <v>7792.5450000000001</v>
      </c>
      <c r="AL702" s="6">
        <f>IFERROR(AK702-R702,"NA")</f>
        <v>3100.8150000000005</v>
      </c>
      <c r="AM702" s="5">
        <f t="shared" si="50"/>
        <v>0.39792070498149201</v>
      </c>
      <c r="AN702" t="str">
        <v>18-09-24</v>
      </c>
      <c r="AO702" t="str">
        <v>invalid date</v>
      </c>
      <c r="AP702" t="str">
        <f t="shared" si="51"/>
        <v>September</v>
      </c>
      <c r="AQ702" t="str">
        <f t="shared" si="52"/>
        <v>2024</v>
      </c>
      <c r="AR702" t="str">
        <f t="shared" si="53"/>
        <v>Invalid</v>
      </c>
      <c r="AS702" t="str">
        <f t="shared" si="54"/>
        <v>invalid date</v>
      </c>
      <c r="AT702" t="str">
        <f>IF(COUNTIFS( $A:$A,A702,$B:$B,B702,$C:$C,C702,$D:$D,D702,$E:$E,E702,$F:$F,F702,$G:$G,G702,$H:$H,H702,$I:$I,I702,$J:$J,J702,$K:$K,K702,$L:$L,L702,$M:$M,M702,$T:$T,T702,$U:$U,U702,$W:$W,W702,$Z:$Z,Z702,$AA:$AA,AA702,$AB:$AB,AB702,$AC:$AC,AC702,$AD:$AD,AD702,$AE:$AE,AE702,$AF:$AF,AF702,$AG:$AG,AG702,$AH:$AH,AH702,$AI:$AI,AI702)&gt;1,"Duplicate","Unique")</f>
        <v>Unique</v>
      </c>
    </row>
    <row r="703" spans="1:46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  <c r="W703" t="s">
        <v>3285</v>
      </c>
      <c r="Z703" t="s">
        <v>3286</v>
      </c>
      <c r="AA703" t="str">
        <v>Rohan Mehta</v>
      </c>
      <c r="AB703" t="str">
        <f>TRIM(PROPER(F:F))</f>
        <v>Small Business</v>
      </c>
      <c r="AC703" t="str">
        <f>TRIM(PROPER(G:G))</f>
        <v>West</v>
      </c>
      <c r="AD703" t="str">
        <f>TRIM(PROPER(H:H))</f>
        <v>Gujarat</v>
      </c>
      <c r="AE703" t="str">
        <f>TRIM(PROPER(I:I))</f>
        <v>Ahmedabad</v>
      </c>
      <c r="AF703" t="str">
        <f>TRIM(PROPER(J:J))</f>
        <v>Office Supplies</v>
      </c>
      <c r="AG703" t="str">
        <f>TRIM(PROPER(K:K))</f>
        <v>Art</v>
      </c>
      <c r="AH703" t="str">
        <f>TRIM(PROPER(L:L))</f>
        <v>Pro Art 151</v>
      </c>
      <c r="AI703" t="str">
        <f>TRIM(PROPER(M:M))</f>
        <v>Same Day</v>
      </c>
      <c r="AJ703" s="5">
        <f>IF(OR(P703&lt;0,P703&gt;0.5),"invalid",P703)</f>
        <v>0</v>
      </c>
      <c r="AK703" s="6">
        <f>IFERROR(N703*O703*(1-AJ703), "NA")</f>
        <v>8574.58</v>
      </c>
      <c r="AL703" s="6">
        <f>IFERROR(AK703-R703,"NA")</f>
        <v>1888.7699999999995</v>
      </c>
      <c r="AM703" s="5">
        <f t="shared" si="50"/>
        <v>0.22027551203674112</v>
      </c>
      <c r="AN703" t="str">
        <v>30-04-24</v>
      </c>
      <c r="AO703" t="str">
        <v>04-05-24</v>
      </c>
      <c r="AP703" t="str">
        <f t="shared" si="51"/>
        <v>April</v>
      </c>
      <c r="AQ703" t="str">
        <f t="shared" si="52"/>
        <v>2024</v>
      </c>
      <c r="AR703" t="str">
        <f t="shared" si="53"/>
        <v>anomaly</v>
      </c>
      <c r="AS703">
        <f t="shared" si="54"/>
        <v>4</v>
      </c>
      <c r="AT703" t="str">
        <f>IF(COUNTIFS( $A:$A,A703,$B:$B,B703,$C:$C,C703,$D:$D,D703,$E:$E,E703,$F:$F,F703,$G:$G,G703,$H:$H,H703,$I:$I,I703,$J:$J,J703,$K:$K,K703,$L:$L,L703,$M:$M,M703,$T:$T,T703,$U:$U,U703,$W:$W,W703,$Z:$Z,Z703,$AA:$AA,AA703,$AB:$AB,AB703,$AC:$AC,AC703,$AD:$AD,AD703,$AE:$AE,AE703,$AF:$AF,AF703,$AG:$AG,AG703,$AH:$AH,AH703,$AI:$AI,AI703)&gt;1,"Duplicate","Unique")</f>
        <v>Unique</v>
      </c>
    </row>
    <row r="704" spans="1:46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  <c r="W704" t="s">
        <v>3288</v>
      </c>
      <c r="Z704" t="s">
        <v>3290</v>
      </c>
      <c r="AA704" t="str">
        <v>Karan Malhotra</v>
      </c>
      <c r="AB704" t="str">
        <f>TRIM(PROPER(F:F))</f>
        <v>Small Business</v>
      </c>
      <c r="AC704" t="str">
        <f>TRIM(PROPER(G:G))</f>
        <v>West</v>
      </c>
      <c r="AD704" t="str">
        <f>TRIM(PROPER(H:H))</f>
        <v>Rajasthan</v>
      </c>
      <c r="AE704" t="str">
        <f>TRIM(PROPER(I:I))</f>
        <v>Udaipur</v>
      </c>
      <c r="AF704" t="str">
        <f>TRIM(PROPER(J:J))</f>
        <v>Furniture</v>
      </c>
      <c r="AG704" t="str">
        <f>TRIM(PROPER(K:K))</f>
        <v>Tables</v>
      </c>
      <c r="AH704" t="str">
        <f>TRIM(PROPER(L:L))</f>
        <v>Pro Tables 980</v>
      </c>
      <c r="AI704" t="str">
        <f>TRIM(PROPER(M:M))</f>
        <v>Second Class</v>
      </c>
      <c r="AJ704" s="5">
        <f>IF(OR(P704&lt;0,P704&gt;0.5),"invalid",P704)</f>
        <v>0.1</v>
      </c>
      <c r="AK704" s="6">
        <f>IFERROR(N704*O704*(1-AJ704), "NA")</f>
        <v>2692.8180000000002</v>
      </c>
      <c r="AL704" s="6">
        <f>IFERROR(AK704-R704,"NA")</f>
        <v>872.73800000000028</v>
      </c>
      <c r="AM704" s="5">
        <f t="shared" si="50"/>
        <v>0.32409839803506968</v>
      </c>
      <c r="AN704" t="str">
        <v>02-02-25</v>
      </c>
      <c r="AO704" t="str">
        <v>02-06-25</v>
      </c>
      <c r="AP704" t="str">
        <f t="shared" si="51"/>
        <v>February</v>
      </c>
      <c r="AQ704" t="str">
        <f t="shared" si="52"/>
        <v>2025</v>
      </c>
      <c r="AR704" t="str">
        <f t="shared" si="53"/>
        <v xml:space="preserve"> </v>
      </c>
      <c r="AS704">
        <f t="shared" si="54"/>
        <v>120</v>
      </c>
      <c r="AT704" t="str">
        <f>IF(COUNTIFS( $A:$A,A704,$B:$B,B704,$C:$C,C704,$D:$D,D704,$E:$E,E704,$F:$F,F704,$G:$G,G704,$H:$H,H704,$I:$I,I704,$J:$J,J704,$K:$K,K704,$L:$L,L704,$M:$M,M704,$T:$T,T704,$U:$U,U704,$W:$W,W704,$Z:$Z,Z704,$AA:$AA,AA704,$AB:$AB,AB704,$AC:$AC,AC704,$AD:$AD,AD704,$AE:$AE,AE704,$AF:$AF,AF704,$AG:$AG,AG704,$AH:$AH,AH704,$AI:$AI,AI704)&gt;1,"Duplicate","Unique")</f>
        <v>Unique</v>
      </c>
    </row>
    <row r="705" spans="1:46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  <c r="W705" t="s">
        <v>3292</v>
      </c>
      <c r="Z705" t="s">
        <v>3294</v>
      </c>
      <c r="AA705" t="str">
        <v>Aditi Sen</v>
      </c>
      <c r="AB705" t="str">
        <f>TRIM(PROPER(F:F))</f>
        <v>Corporate</v>
      </c>
      <c r="AC705" t="str">
        <f>TRIM(PROPER(G:G))</f>
        <v>North</v>
      </c>
      <c r="AD705" t="str">
        <f>TRIM(PROPER(H:H))</f>
        <v>Rajasthan</v>
      </c>
      <c r="AE705" t="str">
        <f>TRIM(PROPER(I:I))</f>
        <v>Jaipur</v>
      </c>
      <c r="AF705" t="str">
        <f>TRIM(PROPER(J:J))</f>
        <v>Furniture</v>
      </c>
      <c r="AG705" t="str">
        <f>TRIM(PROPER(K:K))</f>
        <v>Tables</v>
      </c>
      <c r="AH705" t="str">
        <f>TRIM(PROPER(L:L))</f>
        <v>Classic Tables 997</v>
      </c>
      <c r="AI705" t="str">
        <f>TRIM(PROPER(M:M))</f>
        <v>First Class</v>
      </c>
      <c r="AJ705" s="5">
        <f>IF(OR(P705&lt;0,P705&gt;0.5),"invalid",P705)</f>
        <v>0.1</v>
      </c>
      <c r="AK705" s="6">
        <f>IFERROR(N705*O705*(1-AJ705), "NA")</f>
        <v>1035.027</v>
      </c>
      <c r="AL705" s="6">
        <f>IFERROR(AK705-R705,"NA")</f>
        <v>180.67700000000002</v>
      </c>
      <c r="AM705" s="5">
        <f t="shared" si="50"/>
        <v>0.1745625959516032</v>
      </c>
      <c r="AN705" t="str">
        <v>19-10-24</v>
      </c>
      <c r="AO705" t="str">
        <v>20-10-24</v>
      </c>
      <c r="AP705" t="str">
        <f t="shared" si="51"/>
        <v>October</v>
      </c>
      <c r="AQ705" t="str">
        <f t="shared" si="52"/>
        <v>2024</v>
      </c>
      <c r="AR705" t="str">
        <f t="shared" si="53"/>
        <v xml:space="preserve"> </v>
      </c>
      <c r="AS705">
        <f t="shared" si="54"/>
        <v>1</v>
      </c>
      <c r="AT705" t="str">
        <f>IF(COUNTIFS( $A:$A,A705,$B:$B,B705,$C:$C,C705,$D:$D,D705,$E:$E,E705,$F:$F,F705,$G:$G,G705,$H:$H,H705,$I:$I,I705,$J:$J,J705,$K:$K,K705,$L:$L,L705,$M:$M,M705,$T:$T,T705,$U:$U,U705,$W:$W,W705,$Z:$Z,Z705,$AA:$AA,AA705,$AB:$AB,AB705,$AC:$AC,AC705,$AD:$AD,AD705,$AE:$AE,AE705,$AF:$AF,AF705,$AG:$AG,AG705,$AH:$AH,AH705,$AI:$AI,AI705)&gt;1,"Duplicate","Unique")</f>
        <v>Unique</v>
      </c>
    </row>
    <row r="706" spans="1:46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  <c r="W706" t="s">
        <v>3296</v>
      </c>
      <c r="Z706" t="s">
        <v>3298</v>
      </c>
      <c r="AA706" t="str">
        <v>Priya Menon</v>
      </c>
      <c r="AB706" t="str">
        <f>TRIM(PROPER(F:F))</f>
        <v>Home Office</v>
      </c>
      <c r="AC706" t="str">
        <f>TRIM(PROPER(G:G))</f>
        <v>South</v>
      </c>
      <c r="AD706" t="str">
        <f>TRIM(PROPER(H:H))</f>
        <v>Tamil Nadu</v>
      </c>
      <c r="AE706" t="str">
        <f>TRIM(PROPER(I:I))</f>
        <v>Chennai</v>
      </c>
      <c r="AF706" t="str">
        <f>TRIM(PROPER(J:J))</f>
        <v>Furniture</v>
      </c>
      <c r="AG706" t="str">
        <f>TRIM(PROPER(K:K))</f>
        <v>Bookcases</v>
      </c>
      <c r="AH706" t="str">
        <f>TRIM(PROPER(L:L))</f>
        <v>Max Bookcases 738</v>
      </c>
      <c r="AI706" t="s">
        <v>4095</v>
      </c>
      <c r="AJ706" s="5">
        <f>IF(OR(P706&lt;0,P706&gt;0.5),"invalid",P706)</f>
        <v>0.15</v>
      </c>
      <c r="AK706" s="6">
        <f>IFERROR(N706*O706*(1-AJ706), "NA")</f>
        <v>2401.7855</v>
      </c>
      <c r="AL706" s="6">
        <f>IFERROR(AK706-R706,"NA")</f>
        <v>581.44550000000004</v>
      </c>
      <c r="AM706" s="5">
        <f t="shared" si="50"/>
        <v>0.24208885431276025</v>
      </c>
      <c r="AN706" t="str">
        <v>13-03-24</v>
      </c>
      <c r="AO706" t="str">
        <v>invalid date</v>
      </c>
      <c r="AP706" t="str">
        <f t="shared" si="51"/>
        <v>March</v>
      </c>
      <c r="AQ706" t="str">
        <f t="shared" si="52"/>
        <v>2024</v>
      </c>
      <c r="AR706" t="str">
        <f t="shared" si="53"/>
        <v>Invalid</v>
      </c>
      <c r="AS706" t="str">
        <f t="shared" si="54"/>
        <v>invalid date</v>
      </c>
      <c r="AT706" t="str">
        <f>IF(COUNTIFS( $A:$A,A706,$B:$B,B706,$C:$C,C706,$D:$D,D706,$E:$E,E706,$F:$F,F706,$G:$G,G706,$H:$H,H706,$I:$I,I706,$J:$J,J706,$K:$K,K706,$L:$L,L706,$M:$M,M706,$T:$T,T706,$U:$U,U706,$W:$W,W706,$Z:$Z,Z706,$AA:$AA,AA706,$AB:$AB,AB706,$AC:$AC,AC706,$AD:$AD,AD706,$AE:$AE,AE706,$AF:$AF,AF706,$AG:$AG,AG706,$AH:$AH,AH706,$AI:$AI,AI706)&gt;1,"Duplicate","Unique")</f>
        <v>Unique</v>
      </c>
    </row>
    <row r="707" spans="1:46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  <c r="W707" t="s">
        <v>3300</v>
      </c>
      <c r="Z707" t="s">
        <v>3303</v>
      </c>
      <c r="AA707" t="str">
        <v>Rohan Mehta</v>
      </c>
      <c r="AB707" t="str">
        <f>TRIM(PROPER(F:F))</f>
        <v>Consumer</v>
      </c>
      <c r="AC707" t="str">
        <f>TRIM(PROPER(G:G))</f>
        <v>North</v>
      </c>
      <c r="AD707" t="str">
        <f>TRIM(PROPER(H:H))</f>
        <v>Rajasthan</v>
      </c>
      <c r="AE707" t="str">
        <f>TRIM(PROPER(I:I))</f>
        <v>Jaipur</v>
      </c>
      <c r="AF707" t="str">
        <f>TRIM(PROPER(J:J))</f>
        <v>Office Supplies</v>
      </c>
      <c r="AG707" t="str">
        <f>TRIM(PROPER(K:K))</f>
        <v>Binders</v>
      </c>
      <c r="AH707" t="str">
        <f>TRIM(PROPER(L:L))</f>
        <v>Max Binders 411</v>
      </c>
      <c r="AI707" t="str">
        <f>TRIM(PROPER(M:M))</f>
        <v>Standard Class</v>
      </c>
      <c r="AJ707" s="5">
        <f>IF(OR(P707&lt;0,P707&gt;0.5),"invalid",P707)</f>
        <v>0.05</v>
      </c>
      <c r="AK707" s="6">
        <f>IFERROR(N707*O707*(1-AJ707), "NA")</f>
        <v>16015.8125</v>
      </c>
      <c r="AL707" s="6">
        <f>IFERROR(AK707-R707,"NA")</f>
        <v>4663.4325000000008</v>
      </c>
      <c r="AM707" s="5">
        <f t="shared" ref="AM707:AM770" si="55">IFERROR(AL707/AK707,"NA")</f>
        <v>0.29117676671102394</v>
      </c>
      <c r="AN707" t="str">
        <v>08-09-24</v>
      </c>
      <c r="AO707" t="str">
        <v>invalid date</v>
      </c>
      <c r="AP707" t="str">
        <f t="shared" ref="AP707:AP770" si="56">TEXT(AN707,"mmmm")</f>
        <v>September</v>
      </c>
      <c r="AQ707" t="str">
        <f t="shared" ref="AQ707:AQ770" si="57">TEXT(AN707,"yyyy")</f>
        <v>2024</v>
      </c>
      <c r="AR707" t="str">
        <f t="shared" ref="AR707:AR770" si="58">IF(OR(AN707="Invalid Date",AO707="Invalid Date"),"Invalid",(IF(AO707&lt;AN707,"anomaly"," ")))</f>
        <v>Invalid</v>
      </c>
      <c r="AS707" t="str">
        <f t="shared" ref="AS707:AS770" si="59">IFERROR(AO707-AN707, "invalid date")</f>
        <v>invalid date</v>
      </c>
      <c r="AT707" t="str">
        <f>IF(COUNTIFS( $A:$A,A707,$B:$B,B707,$C:$C,C707,$D:$D,D707,$E:$E,E707,$F:$F,F707,$G:$G,G707,$H:$H,H707,$I:$I,I707,$J:$J,J707,$K:$K,K707,$L:$L,L707,$M:$M,M707,$T:$T,T707,$U:$U,U707,$W:$W,W707,$Z:$Z,Z707,$AA:$AA,AA707,$AB:$AB,AB707,$AC:$AC,AC707,$AD:$AD,AD707,$AE:$AE,AE707,$AF:$AF,AF707,$AG:$AG,AG707,$AH:$AH,AH707,$AI:$AI,AI707)&gt;1,"Duplicate","Unique")</f>
        <v>Unique</v>
      </c>
    </row>
    <row r="708" spans="1:46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  <c r="W708" t="s">
        <v>3305</v>
      </c>
      <c r="Z708" t="s">
        <v>3307</v>
      </c>
      <c r="AA708" t="str">
        <v>Isha Nair</v>
      </c>
      <c r="AB708" t="str">
        <f>TRIM(PROPER(F:F))</f>
        <v>Small Business</v>
      </c>
      <c r="AC708" t="str">
        <f>TRIM(PROPER(G:G))</f>
        <v>East</v>
      </c>
      <c r="AD708" t="str">
        <f>TRIM(PROPER(H:H))</f>
        <v>Odisha</v>
      </c>
      <c r="AE708" t="str">
        <f>TRIM(PROPER(I:I))</f>
        <v>Bhubaneswar</v>
      </c>
      <c r="AF708" t="str">
        <f>TRIM(PROPER(J:J))</f>
        <v>Office Supplies</v>
      </c>
      <c r="AG708" t="str">
        <f>TRIM(PROPER(K:K))</f>
        <v>Paper</v>
      </c>
      <c r="AH708" t="str">
        <f>TRIM(PROPER(L:L))</f>
        <v>Max Paper 343</v>
      </c>
      <c r="AI708" t="str">
        <f>TRIM(PROPER(M:M))</f>
        <v>Same Day</v>
      </c>
      <c r="AJ708" s="5">
        <f>IF(OR(P708&lt;0,P708&gt;0.5),"invalid",P708)</f>
        <v>0.1</v>
      </c>
      <c r="AK708" s="6">
        <f>IFERROR(N708*O708*(1-AJ708), "NA")</f>
        <v>1901.4750000000001</v>
      </c>
      <c r="AL708" s="6">
        <f>IFERROR(AK708-R708,"NA")</f>
        <v>547.19500000000016</v>
      </c>
      <c r="AM708" s="5">
        <f t="shared" si="55"/>
        <v>0.28777396494826391</v>
      </c>
      <c r="AN708" t="str">
        <v>24-06-24</v>
      </c>
      <c r="AO708" t="str">
        <v>28-06-24</v>
      </c>
      <c r="AP708" t="str">
        <f t="shared" si="56"/>
        <v>June</v>
      </c>
      <c r="AQ708" t="str">
        <f t="shared" si="57"/>
        <v>2024</v>
      </c>
      <c r="AR708" t="str">
        <f t="shared" si="58"/>
        <v xml:space="preserve"> </v>
      </c>
      <c r="AS708">
        <f t="shared" si="59"/>
        <v>4</v>
      </c>
      <c r="AT708" t="str">
        <f>IF(COUNTIFS( $A:$A,A708,$B:$B,B708,$C:$C,C708,$D:$D,D708,$E:$E,E708,$F:$F,F708,$G:$G,G708,$H:$H,H708,$I:$I,I708,$J:$J,J708,$K:$K,K708,$L:$L,L708,$M:$M,M708,$T:$T,T708,$U:$U,U708,$W:$W,W708,$Z:$Z,Z708,$AA:$AA,AA708,$AB:$AB,AB708,$AC:$AC,AC708,$AD:$AD,AD708,$AE:$AE,AE708,$AF:$AF,AF708,$AG:$AG,AG708,$AH:$AH,AH708,$AI:$AI,AI708)&gt;1,"Duplicate","Unique")</f>
        <v>Unique</v>
      </c>
    </row>
    <row r="709" spans="1:46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  <c r="W709" t="s">
        <v>3309</v>
      </c>
      <c r="Z709" t="s">
        <v>3311</v>
      </c>
      <c r="AA709" t="str">
        <v>Vikram Iyer</v>
      </c>
      <c r="AB709" t="str">
        <f>TRIM(PROPER(F:F))</f>
        <v>Consumer</v>
      </c>
      <c r="AC709" t="str">
        <f>TRIM(PROPER(G:G))</f>
        <v>North</v>
      </c>
      <c r="AD709" t="str">
        <f>TRIM(PROPER(H:H))</f>
        <v>Rajasthan</v>
      </c>
      <c r="AE709" t="str">
        <f>TRIM(PROPER(I:I))</f>
        <v>Jaipur</v>
      </c>
      <c r="AF709" t="str">
        <f>TRIM(PROPER(J:J))</f>
        <v>Technology</v>
      </c>
      <c r="AG709" t="str">
        <f>TRIM(PROPER(K:K))</f>
        <v>Accessories</v>
      </c>
      <c r="AH709" t="str">
        <f>TRIM(PROPER(L:L))</f>
        <v>Pro Accessories 485</v>
      </c>
      <c r="AI709" t="str">
        <f>TRIM(PROPER(M:M))</f>
        <v>Same Day</v>
      </c>
      <c r="AJ709" s="5" t="str">
        <f>IF(OR(P709&lt;0,P709&gt;0.5),"invalid",P709)</f>
        <v>invalid</v>
      </c>
      <c r="AK709" s="6" t="str">
        <f>IFERROR(N709*O709*(1-AJ709), "NA")</f>
        <v>NA</v>
      </c>
      <c r="AL709" s="6" t="str">
        <f>IFERROR(AK709-R709,"NA")</f>
        <v>NA</v>
      </c>
      <c r="AM709" s="5" t="str">
        <f t="shared" si="55"/>
        <v>NA</v>
      </c>
      <c r="AN709" t="str">
        <v>24-06-25</v>
      </c>
      <c r="AO709" t="str">
        <v>invalid date</v>
      </c>
      <c r="AP709" t="str">
        <f t="shared" si="56"/>
        <v>June</v>
      </c>
      <c r="AQ709" t="str">
        <f t="shared" si="57"/>
        <v>2025</v>
      </c>
      <c r="AR709" t="str">
        <f t="shared" si="58"/>
        <v>Invalid</v>
      </c>
      <c r="AS709" t="str">
        <f t="shared" si="59"/>
        <v>invalid date</v>
      </c>
      <c r="AT709" t="str">
        <f>IF(COUNTIFS( $A:$A,A709,$B:$B,B709,$C:$C,C709,$D:$D,D709,$E:$E,E709,$F:$F,F709,$G:$G,G709,$H:$H,H709,$I:$I,I709,$J:$J,J709,$K:$K,K709,$L:$L,L709,$M:$M,M709,$T:$T,T709,$U:$U,U709,$W:$W,W709,$Z:$Z,Z709,$AA:$AA,AA709,$AB:$AB,AB709,$AC:$AC,AC709,$AD:$AD,AD709,$AE:$AE,AE709,$AF:$AF,AF709,$AG:$AG,AG709,$AH:$AH,AH709,$AI:$AI,AI709)&gt;1,"Duplicate","Unique")</f>
        <v>Unique</v>
      </c>
    </row>
    <row r="710" spans="1:46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  <c r="W710" t="s">
        <v>3313</v>
      </c>
      <c r="Z710" t="s">
        <v>3316</v>
      </c>
      <c r="AA710" t="str">
        <v>Sneha Kapoor</v>
      </c>
      <c r="AB710" t="str">
        <f>TRIM(PROPER(F:F))</f>
        <v>Consumer</v>
      </c>
      <c r="AC710" t="str">
        <f>TRIM(PROPER(G:G))</f>
        <v>East</v>
      </c>
      <c r="AD710" t="str">
        <f>TRIM(PROPER(H:H))</f>
        <v>Assam</v>
      </c>
      <c r="AE710" t="str">
        <f>TRIM(PROPER(I:I))</f>
        <v>Guwahati</v>
      </c>
      <c r="AF710" t="str">
        <f>TRIM(PROPER(J:J))</f>
        <v>Furniture</v>
      </c>
      <c r="AG710" t="str">
        <f>TRIM(PROPER(K:K))</f>
        <v>Bookcases</v>
      </c>
      <c r="AH710" t="str">
        <f>TRIM(PROPER(L:L))</f>
        <v>Elite Bookcases 113</v>
      </c>
      <c r="AI710" t="str">
        <f>TRIM(PROPER(M:M))</f>
        <v>First Class</v>
      </c>
      <c r="AJ710" s="5">
        <f>IF(OR(P710&lt;0,P710&gt;0.5),"invalid",P710)</f>
        <v>0.05</v>
      </c>
      <c r="AK710" s="6">
        <f>IFERROR(N710*O710*(1-AJ710), "NA")</f>
        <v>16559.108</v>
      </c>
      <c r="AL710" s="6">
        <f>IFERROR(AK710-R710,"NA")</f>
        <v>3325.3179999999993</v>
      </c>
      <c r="AM710" s="5">
        <f t="shared" si="55"/>
        <v>0.20081504390212318</v>
      </c>
      <c r="AN710" t="str">
        <v>invalid date</v>
      </c>
      <c r="AO710" t="str">
        <v>26-03-25</v>
      </c>
      <c r="AP710" t="str">
        <f t="shared" si="56"/>
        <v>invalid date</v>
      </c>
      <c r="AQ710" t="str">
        <f t="shared" si="57"/>
        <v>invalid date</v>
      </c>
      <c r="AR710" t="str">
        <f t="shared" si="58"/>
        <v>Invalid</v>
      </c>
      <c r="AS710" t="str">
        <f t="shared" si="59"/>
        <v>invalid date</v>
      </c>
      <c r="AT710" t="str">
        <f>IF(COUNTIFS( $A:$A,A710,$B:$B,B710,$C:$C,C710,$D:$D,D710,$E:$E,E710,$F:$F,F710,$G:$G,G710,$H:$H,H710,$I:$I,I710,$J:$J,J710,$K:$K,K710,$L:$L,L710,$M:$M,M710,$T:$T,T710,$U:$U,U710,$W:$W,W710,$Z:$Z,Z710,$AA:$AA,AA710,$AB:$AB,AB710,$AC:$AC,AC710,$AD:$AD,AD710,$AE:$AE,AE710,$AF:$AF,AF710,$AG:$AG,AG710,$AH:$AH,AH710,$AI:$AI,AI710)&gt;1,"Duplicate","Unique")</f>
        <v>Unique</v>
      </c>
    </row>
    <row r="711" spans="1:46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  <c r="W711" t="s">
        <v>3318</v>
      </c>
      <c r="Z711" t="s">
        <v>3319</v>
      </c>
      <c r="AA711" t="str">
        <v>Kabir Singh</v>
      </c>
      <c r="AB711" t="str">
        <f>TRIM(PROPER(F:F))</f>
        <v>Home Office</v>
      </c>
      <c r="AC711" t="str">
        <f>TRIM(PROPER(G:G))</f>
        <v>North</v>
      </c>
      <c r="AD711" t="str">
        <f>TRIM(PROPER(H:H))</f>
        <v>Punjab</v>
      </c>
      <c r="AE711" t="str">
        <f>TRIM(PROPER(I:I))</f>
        <v>Ludhiana</v>
      </c>
      <c r="AF711" t="str">
        <f>TRIM(PROPER(J:J))</f>
        <v>Technology</v>
      </c>
      <c r="AG711" t="str">
        <f>TRIM(PROPER(K:K))</f>
        <v>Phones</v>
      </c>
      <c r="AH711" t="str">
        <f>TRIM(PROPER(L:L))</f>
        <v>Eco Phones 787</v>
      </c>
      <c r="AI711" t="str">
        <f>TRIM(PROPER(M:M))</f>
        <v>Same Day</v>
      </c>
      <c r="AJ711" s="5">
        <f>IF(OR(P711&lt;0,P711&gt;0.5),"invalid",P711)</f>
        <v>0.15</v>
      </c>
      <c r="AK711" s="6">
        <f>IFERROR(N711*O711*(1-AJ711), "NA")</f>
        <v>8110.0879999999988</v>
      </c>
      <c r="AL711" s="6">
        <f>IFERROR(AK711-R711,"NA")</f>
        <v>1692.7679999999991</v>
      </c>
      <c r="AM711" s="5">
        <f t="shared" si="55"/>
        <v>0.2087237524426368</v>
      </c>
      <c r="AN711" t="str">
        <v>19-01-25</v>
      </c>
      <c r="AO711" t="str">
        <v>23-01-25</v>
      </c>
      <c r="AP711" t="str">
        <f t="shared" si="56"/>
        <v>January</v>
      </c>
      <c r="AQ711" t="str">
        <f t="shared" si="57"/>
        <v>2025</v>
      </c>
      <c r="AR711" t="str">
        <f t="shared" si="58"/>
        <v xml:space="preserve"> </v>
      </c>
      <c r="AS711">
        <f t="shared" si="59"/>
        <v>4</v>
      </c>
      <c r="AT711" t="str">
        <f>IF(COUNTIFS( $A:$A,A711,$B:$B,B711,$C:$C,C711,$D:$D,D711,$E:$E,E711,$F:$F,F711,$G:$G,G711,$H:$H,H711,$I:$I,I711,$J:$J,J711,$K:$K,K711,$L:$L,L711,$M:$M,M711,$T:$T,T711,$U:$U,U711,$W:$W,W711,$Z:$Z,Z711,$AA:$AA,AA711,$AB:$AB,AB711,$AC:$AC,AC711,$AD:$AD,AD711,$AE:$AE,AE711,$AF:$AF,AF711,$AG:$AG,AG711,$AH:$AH,AH711,$AI:$AI,AI711)&gt;1,"Duplicate","Unique")</f>
        <v>Unique</v>
      </c>
    </row>
    <row r="712" spans="1:46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  <c r="W712" t="s">
        <v>3321</v>
      </c>
      <c r="Z712" t="s">
        <v>3324</v>
      </c>
      <c r="AA712" t="str">
        <v>Vikram Iyer</v>
      </c>
      <c r="AB712" t="str">
        <f>TRIM(PROPER(F:F))</f>
        <v>Corporate</v>
      </c>
      <c r="AC712" t="str">
        <f>TRIM(PROPER(G:G))</f>
        <v>North</v>
      </c>
      <c r="AD712" t="str">
        <f>TRIM(PROPER(H:H))</f>
        <v>Punjab</v>
      </c>
      <c r="AE712" t="str">
        <f>TRIM(PROPER(I:I))</f>
        <v>Ludhiana</v>
      </c>
      <c r="AF712" t="str">
        <f>TRIM(PROPER(J:J))</f>
        <v>Office Supplies</v>
      </c>
      <c r="AG712" t="str">
        <f>TRIM(PROPER(K:K))</f>
        <v>Art</v>
      </c>
      <c r="AH712" t="str">
        <f>TRIM(PROPER(L:L))</f>
        <v>Smart Art 279</v>
      </c>
      <c r="AI712" t="str">
        <f>TRIM(PROPER(M:M))</f>
        <v>Second Class</v>
      </c>
      <c r="AJ712" s="5">
        <f>IF(OR(P712&lt;0,P712&gt;0.5),"invalid",P712)</f>
        <v>0.05</v>
      </c>
      <c r="AK712" s="6">
        <f>IFERROR(N712*O712*(1-AJ712), "NA")</f>
        <v>7406.01</v>
      </c>
      <c r="AL712" s="6">
        <f>IFERROR(AK712-R712,"NA")</f>
        <v>1464.2700000000004</v>
      </c>
      <c r="AM712" s="5">
        <f t="shared" si="55"/>
        <v>0.19771374869869207</v>
      </c>
      <c r="AN712" t="str">
        <v>07-12-24</v>
      </c>
      <c r="AO712" t="str">
        <v>invalid date</v>
      </c>
      <c r="AP712" t="str">
        <f t="shared" si="56"/>
        <v>December</v>
      </c>
      <c r="AQ712" t="str">
        <f t="shared" si="57"/>
        <v>2024</v>
      </c>
      <c r="AR712" t="str">
        <f t="shared" si="58"/>
        <v>Invalid</v>
      </c>
      <c r="AS712" t="str">
        <f t="shared" si="59"/>
        <v>invalid date</v>
      </c>
      <c r="AT712" t="str">
        <f>IF(COUNTIFS( $A:$A,A712,$B:$B,B712,$C:$C,C712,$D:$D,D712,$E:$E,E712,$F:$F,F712,$G:$G,G712,$H:$H,H712,$I:$I,I712,$J:$J,J712,$K:$K,K712,$L:$L,L712,$M:$M,M712,$T:$T,T712,$U:$U,U712,$W:$W,W712,$Z:$Z,Z712,$AA:$AA,AA712,$AB:$AB,AB712,$AC:$AC,AC712,$AD:$AD,AD712,$AE:$AE,AE712,$AF:$AF,AF712,$AG:$AG,AG712,$AH:$AH,AH712,$AI:$AI,AI712)&gt;1,"Duplicate","Unique")</f>
        <v>Unique</v>
      </c>
    </row>
    <row r="713" spans="1:46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  <c r="W713" t="s">
        <v>3326</v>
      </c>
      <c r="Z713" t="s">
        <v>3328</v>
      </c>
      <c r="AA713" t="str">
        <v>Kabir Singh</v>
      </c>
      <c r="AB713" t="str">
        <f>TRIM(PROPER(F:F))</f>
        <v>Corporate</v>
      </c>
      <c r="AC713" t="str">
        <f>TRIM(PROPER(G:G))</f>
        <v>East</v>
      </c>
      <c r="AD713" t="str">
        <f>TRIM(PROPER(H:H))</f>
        <v>West Bengal</v>
      </c>
      <c r="AE713" t="str">
        <f>TRIM(PROPER(I:I))</f>
        <v>Kolkata</v>
      </c>
      <c r="AF713" t="str">
        <f>TRIM(PROPER(J:J))</f>
        <v>Technology</v>
      </c>
      <c r="AG713" t="str">
        <f>TRIM(PROPER(K:K))</f>
        <v>Machines</v>
      </c>
      <c r="AH713" t="str">
        <f>TRIM(PROPER(L:L))</f>
        <v>Basic Machines 172</v>
      </c>
      <c r="AI713" t="str">
        <f>TRIM(PROPER(M:M))</f>
        <v>First Class</v>
      </c>
      <c r="AJ713" s="5">
        <f>IF(OR(P713&lt;0,P713&gt;0.5),"invalid",P713)</f>
        <v>0.05</v>
      </c>
      <c r="AK713" s="6">
        <f>IFERROR(N713*O713*(1-AJ713), "NA")</f>
        <v>4110.4124999999995</v>
      </c>
      <c r="AL713" s="6">
        <f>IFERROR(AK713-R713,"NA")</f>
        <v>1716.2724999999996</v>
      </c>
      <c r="AM713" s="5">
        <f t="shared" si="55"/>
        <v>0.41754264322619683</v>
      </c>
      <c r="AN713" t="str">
        <v>02-02-25</v>
      </c>
      <c r="AO713" t="str">
        <v>02-02-25</v>
      </c>
      <c r="AP713" t="str">
        <f t="shared" si="56"/>
        <v>February</v>
      </c>
      <c r="AQ713" t="str">
        <f t="shared" si="57"/>
        <v>2025</v>
      </c>
      <c r="AR713" t="str">
        <f t="shared" si="58"/>
        <v xml:space="preserve"> </v>
      </c>
      <c r="AS713">
        <f t="shared" si="59"/>
        <v>0</v>
      </c>
      <c r="AT713" t="str">
        <f>IF(COUNTIFS( $A:$A,A713,$B:$B,B713,$C:$C,C713,$D:$D,D713,$E:$E,E713,$F:$F,F713,$G:$G,G713,$H:$H,H713,$I:$I,I713,$J:$J,J713,$K:$K,K713,$L:$L,L713,$M:$M,M713,$T:$T,T713,$U:$U,U713,$W:$W,W713,$Z:$Z,Z713,$AA:$AA,AA713,$AB:$AB,AB713,$AC:$AC,AC713,$AD:$AD,AD713,$AE:$AE,AE713,$AF:$AF,AF713,$AG:$AG,AG713,$AH:$AH,AH713,$AI:$AI,AI713)&gt;1,"Duplicate","Unique")</f>
        <v>Unique</v>
      </c>
    </row>
    <row r="714" spans="1:46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  <c r="W714" t="s">
        <v>3330</v>
      </c>
      <c r="Z714" t="s">
        <v>3332</v>
      </c>
      <c r="AA714" t="str">
        <v>Isha Nair</v>
      </c>
      <c r="AB714" t="str">
        <f>TRIM(PROPER(F:F))</f>
        <v>Home Office</v>
      </c>
      <c r="AC714" t="str">
        <f>TRIM(PROPER(G:G))</f>
        <v>West</v>
      </c>
      <c r="AD714" t="str">
        <f>TRIM(PROPER(H:H))</f>
        <v>Madhya Pradesh</v>
      </c>
      <c r="AE714" t="str">
        <f>TRIM(PROPER(I:I))</f>
        <v>Indore</v>
      </c>
      <c r="AF714" t="str">
        <f>TRIM(PROPER(J:J))</f>
        <v>Furniture</v>
      </c>
      <c r="AG714" t="str">
        <f>TRIM(PROPER(K:K))</f>
        <v>Chairs</v>
      </c>
      <c r="AH714" t="str">
        <f>TRIM(PROPER(L:L))</f>
        <v>Smart Chairs 259</v>
      </c>
      <c r="AI714" t="str">
        <f>TRIM(PROPER(M:M))</f>
        <v>First Class</v>
      </c>
      <c r="AJ714" s="5">
        <f>IF(OR(P714&lt;0,P714&gt;0.5),"invalid",P714)</f>
        <v>0</v>
      </c>
      <c r="AK714" s="6">
        <f>IFERROR(N714*O714*(1-AJ714), "NA")</f>
        <v>9680.0199999999986</v>
      </c>
      <c r="AL714" s="6">
        <f>IFERROR(AK714-R714,"NA")</f>
        <v>2803.3599999999988</v>
      </c>
      <c r="AM714" s="5">
        <f t="shared" si="55"/>
        <v>0.28960270743242256</v>
      </c>
      <c r="AN714" t="str">
        <v>10-02-24</v>
      </c>
      <c r="AO714" t="str">
        <v>18-02-24</v>
      </c>
      <c r="AP714" t="str">
        <f t="shared" si="56"/>
        <v>February</v>
      </c>
      <c r="AQ714" t="str">
        <f t="shared" si="57"/>
        <v>2024</v>
      </c>
      <c r="AR714" t="str">
        <f t="shared" si="58"/>
        <v xml:space="preserve"> </v>
      </c>
      <c r="AS714">
        <f t="shared" si="59"/>
        <v>8</v>
      </c>
      <c r="AT714" t="str">
        <f>IF(COUNTIFS( $A:$A,A714,$B:$B,B714,$C:$C,C714,$D:$D,D714,$E:$E,E714,$F:$F,F714,$G:$G,G714,$H:$H,H714,$I:$I,I714,$J:$J,J714,$K:$K,K714,$L:$L,L714,$M:$M,M714,$T:$T,T714,$U:$U,U714,$W:$W,W714,$Z:$Z,Z714,$AA:$AA,AA714,$AB:$AB,AB714,$AC:$AC,AC714,$AD:$AD,AD714,$AE:$AE,AE714,$AF:$AF,AF714,$AG:$AG,AG714,$AH:$AH,AH714,$AI:$AI,AI714)&gt;1,"Duplicate","Unique")</f>
        <v>Unique</v>
      </c>
    </row>
    <row r="715" spans="1:46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  <c r="W715" t="s">
        <v>3334</v>
      </c>
      <c r="Z715" t="s">
        <v>903</v>
      </c>
      <c r="AA715" t="str">
        <v>Mira Das</v>
      </c>
      <c r="AB715" t="str">
        <f>TRIM(PROPER(F:F))</f>
        <v>Consumer</v>
      </c>
      <c r="AC715" t="str">
        <f>TRIM(PROPER(G:G))</f>
        <v>West</v>
      </c>
      <c r="AD715" t="str">
        <f>TRIM(PROPER(H:H))</f>
        <v>Rajasthan</v>
      </c>
      <c r="AE715" t="str">
        <f>TRIM(PROPER(I:I))</f>
        <v>Udaipur</v>
      </c>
      <c r="AF715" t="str">
        <f>TRIM(PROPER(J:J))</f>
        <v>Technology</v>
      </c>
      <c r="AG715" t="str">
        <f>TRIM(PROPER(K:K))</f>
        <v>Machines</v>
      </c>
      <c r="AH715" t="str">
        <f>TRIM(PROPER(L:L))</f>
        <v>Pro Machines 987</v>
      </c>
      <c r="AI715" t="str">
        <f>TRIM(PROPER(M:M))</f>
        <v>Second Class</v>
      </c>
      <c r="AJ715" s="5">
        <f>IF(OR(P715&lt;0,P715&gt;0.5),"invalid",P715)</f>
        <v>0.25</v>
      </c>
      <c r="AK715" s="6">
        <f>IFERROR(N715*O715*(1-AJ715), "NA")</f>
        <v>217.47750000000002</v>
      </c>
      <c r="AL715" s="6">
        <f>IFERROR(AK715-R715,"NA")</f>
        <v>85.347500000000025</v>
      </c>
      <c r="AM715" s="5">
        <f t="shared" si="55"/>
        <v>0.39244289639158081</v>
      </c>
      <c r="AN715" t="str">
        <v>06-06-25</v>
      </c>
      <c r="AO715" t="str">
        <v>06-10-25</v>
      </c>
      <c r="AP715" t="str">
        <f t="shared" si="56"/>
        <v>June</v>
      </c>
      <c r="AQ715" t="str">
        <f t="shared" si="57"/>
        <v>2025</v>
      </c>
      <c r="AR715" t="str">
        <f t="shared" si="58"/>
        <v xml:space="preserve"> </v>
      </c>
      <c r="AS715">
        <f t="shared" si="59"/>
        <v>122</v>
      </c>
      <c r="AT715" t="str">
        <f>IF(COUNTIFS( $A:$A,A715,$B:$B,B715,$C:$C,C715,$D:$D,D715,$E:$E,E715,$F:$F,F715,$G:$G,G715,$H:$H,H715,$I:$I,I715,$J:$J,J715,$K:$K,K715,$L:$L,L715,$M:$M,M715,$T:$T,T715,$U:$U,U715,$W:$W,W715,$Z:$Z,Z715,$AA:$AA,AA715,$AB:$AB,AB715,$AC:$AC,AC715,$AD:$AD,AD715,$AE:$AE,AE715,$AF:$AF,AF715,$AG:$AG,AG715,$AH:$AH,AH715,$AI:$AI,AI715)&gt;1,"Duplicate","Unique")</f>
        <v>Unique</v>
      </c>
    </row>
    <row r="716" spans="1:46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  <c r="W716" t="s">
        <v>3337</v>
      </c>
      <c r="Z716" t="s">
        <v>3338</v>
      </c>
      <c r="AA716" t="str">
        <v>Karan Malhotra</v>
      </c>
      <c r="AB716" t="str">
        <f>TRIM(PROPER(F:F))</f>
        <v>Home Office</v>
      </c>
      <c r="AC716" t="str">
        <f>TRIM(PROPER(G:G))</f>
        <v>North</v>
      </c>
      <c r="AD716" t="str">
        <f>TRIM(PROPER(H:H))</f>
        <v>Delhi</v>
      </c>
      <c r="AE716" t="str">
        <f>TRIM(PROPER(I:I))</f>
        <v>New Delhi</v>
      </c>
      <c r="AF716" t="str">
        <f>TRIM(PROPER(J:J))</f>
        <v>Technology</v>
      </c>
      <c r="AG716" t="str">
        <f>TRIM(PROPER(K:K))</f>
        <v>Copiers</v>
      </c>
      <c r="AH716" t="str">
        <f>TRIM(PROPER(L:L))</f>
        <v>Pro Copiers 206</v>
      </c>
      <c r="AI716" t="str">
        <f>TRIM(PROPER(M:M))</f>
        <v>Standard Class</v>
      </c>
      <c r="AJ716" s="5">
        <f>IF(OR(P716&lt;0,P716&gt;0.5),"invalid",P716)</f>
        <v>0</v>
      </c>
      <c r="AK716" s="6">
        <f>IFERROR(N716*O716*(1-AJ716), "NA")</f>
        <v>18675.18</v>
      </c>
      <c r="AL716" s="6">
        <f>IFERROR(AK716-R716,"NA")</f>
        <v>4700.4799999999996</v>
      </c>
      <c r="AM716" s="5">
        <f t="shared" si="55"/>
        <v>0.25169663692665878</v>
      </c>
      <c r="AN716" t="str">
        <v>22-03-25</v>
      </c>
      <c r="AO716" t="str">
        <v>23-03-25</v>
      </c>
      <c r="AP716" t="str">
        <f t="shared" si="56"/>
        <v>March</v>
      </c>
      <c r="AQ716" t="str">
        <f t="shared" si="57"/>
        <v>2025</v>
      </c>
      <c r="AR716" t="str">
        <f t="shared" si="58"/>
        <v xml:space="preserve"> </v>
      </c>
      <c r="AS716">
        <f t="shared" si="59"/>
        <v>1</v>
      </c>
      <c r="AT716" t="str">
        <f>IF(COUNTIFS( $A:$A,A716,$B:$B,B716,$C:$C,C716,$D:$D,D716,$E:$E,E716,$F:$F,F716,$G:$G,G716,$H:$H,H716,$I:$I,I716,$J:$J,J716,$K:$K,K716,$L:$L,L716,$M:$M,M716,$T:$T,T716,$U:$U,U716,$W:$W,W716,$Z:$Z,Z716,$AA:$AA,AA716,$AB:$AB,AB716,$AC:$AC,AC716,$AD:$AD,AD716,$AE:$AE,AE716,$AF:$AF,AF716,$AG:$AG,AG716,$AH:$AH,AH716,$AI:$AI,AI716)&gt;1,"Duplicate","Unique")</f>
        <v>Unique</v>
      </c>
    </row>
    <row r="717" spans="1:46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  <c r="W717" t="s">
        <v>3340</v>
      </c>
      <c r="Z717" t="s">
        <v>3341</v>
      </c>
      <c r="AA717" t="str">
        <v>Priya Menon</v>
      </c>
      <c r="AB717" t="str">
        <f>TRIM(PROPER(F:F))</f>
        <v>Consumer</v>
      </c>
      <c r="AC717" t="str">
        <f>TRIM(PROPER(G:G))</f>
        <v>North</v>
      </c>
      <c r="AD717" t="str">
        <f>TRIM(PROPER(H:H))</f>
        <v>Haryana</v>
      </c>
      <c r="AE717" t="str">
        <f>TRIM(PROPER(I:I))</f>
        <v>Gurugram</v>
      </c>
      <c r="AF717" t="str">
        <f>TRIM(PROPER(J:J))</f>
        <v>Furniture</v>
      </c>
      <c r="AG717" t="str">
        <f>TRIM(PROPER(K:K))</f>
        <v>Chairs</v>
      </c>
      <c r="AH717" t="str">
        <f>TRIM(PROPER(L:L))</f>
        <v>Max Chairs 372</v>
      </c>
      <c r="AI717" t="str">
        <f>TRIM(PROPER(M:M))</f>
        <v>Second Class</v>
      </c>
      <c r="AJ717" s="5">
        <f>IF(OR(P717&lt;0,P717&gt;0.5),"invalid",P717)</f>
        <v>0</v>
      </c>
      <c r="AK717" s="6">
        <f>IFERROR(N717*O717*(1-AJ717), "NA")</f>
        <v>19901.63</v>
      </c>
      <c r="AL717" s="6">
        <f>IFERROR(AK717-R717,"NA")</f>
        <v>4409.6000000000004</v>
      </c>
      <c r="AM717" s="5">
        <f t="shared" si="55"/>
        <v>0.22156979101711771</v>
      </c>
      <c r="AN717" t="str">
        <v>22-08-25</v>
      </c>
      <c r="AO717" t="str">
        <v>27-08-25</v>
      </c>
      <c r="AP717" t="str">
        <f t="shared" si="56"/>
        <v>August</v>
      </c>
      <c r="AQ717" t="str">
        <f t="shared" si="57"/>
        <v>2025</v>
      </c>
      <c r="AR717" t="str">
        <f t="shared" si="58"/>
        <v xml:space="preserve"> </v>
      </c>
      <c r="AS717">
        <f t="shared" si="59"/>
        <v>5</v>
      </c>
      <c r="AT717" t="str">
        <f>IF(COUNTIFS( $A:$A,A717,$B:$B,B717,$C:$C,C717,$D:$D,D717,$E:$E,E717,$F:$F,F717,$G:$G,G717,$H:$H,H717,$I:$I,I717,$J:$J,J717,$K:$K,K717,$L:$L,L717,$M:$M,M717,$T:$T,T717,$U:$U,U717,$W:$W,W717,$Z:$Z,Z717,$AA:$AA,AA717,$AB:$AB,AB717,$AC:$AC,AC717,$AD:$AD,AD717,$AE:$AE,AE717,$AF:$AF,AF717,$AG:$AG,AG717,$AH:$AH,AH717,$AI:$AI,AI717)&gt;1,"Duplicate","Unique")</f>
        <v>Unique</v>
      </c>
    </row>
    <row r="718" spans="1:46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  <c r="W718" t="s">
        <v>3343</v>
      </c>
      <c r="Z718" t="s">
        <v>3345</v>
      </c>
      <c r="AA718" t="str">
        <v>Diya Patel</v>
      </c>
      <c r="AB718" t="str">
        <f>TRIM(PROPER(F:F))</f>
        <v>Small Business</v>
      </c>
      <c r="AC718" t="str">
        <f>TRIM(PROPER(G:G))</f>
        <v>North</v>
      </c>
      <c r="AD718" t="str">
        <f>TRIM(PROPER(H:H))</f>
        <v>Haryana</v>
      </c>
      <c r="AE718" t="str">
        <f>TRIM(PROPER(I:I))</f>
        <v>Gurugram</v>
      </c>
      <c r="AF718" t="str">
        <f>TRIM(PROPER(J:J))</f>
        <v>Technology</v>
      </c>
      <c r="AG718" t="str">
        <f>TRIM(PROPER(K:K))</f>
        <v>Phones</v>
      </c>
      <c r="AH718" t="str">
        <f>TRIM(PROPER(L:L))</f>
        <v>Basic Phones 496</v>
      </c>
      <c r="AI718" t="str">
        <f>TRIM(PROPER(M:M))</f>
        <v>First Class</v>
      </c>
      <c r="AJ718" s="5">
        <f>IF(OR(P718&lt;0,P718&gt;0.5),"invalid",P718)</f>
        <v>0.15</v>
      </c>
      <c r="AK718" s="6">
        <f>IFERROR(N718*O718*(1-AJ718), "NA")</f>
        <v>2879.817</v>
      </c>
      <c r="AL718" s="6">
        <f>IFERROR(AK718-R718,"NA")</f>
        <v>1054.9369999999999</v>
      </c>
      <c r="AM718" s="5">
        <f t="shared" si="55"/>
        <v>0.3663208460815392</v>
      </c>
      <c r="AN718" t="str">
        <v>26-08-25</v>
      </c>
      <c r="AO718" t="str">
        <v>31-08-25</v>
      </c>
      <c r="AP718" t="str">
        <f t="shared" si="56"/>
        <v>August</v>
      </c>
      <c r="AQ718" t="str">
        <f t="shared" si="57"/>
        <v>2025</v>
      </c>
      <c r="AR718" t="str">
        <f t="shared" si="58"/>
        <v xml:space="preserve"> </v>
      </c>
      <c r="AS718">
        <f t="shared" si="59"/>
        <v>5</v>
      </c>
      <c r="AT718" t="str">
        <f>IF(COUNTIFS( $A:$A,A718,$B:$B,B718,$C:$C,C718,$D:$D,D718,$E:$E,E718,$F:$F,F718,$G:$G,G718,$H:$H,H718,$I:$I,I718,$J:$J,J718,$K:$K,K718,$L:$L,L718,$M:$M,M718,$T:$T,T718,$U:$U,U718,$W:$W,W718,$Z:$Z,Z718,$AA:$AA,AA718,$AB:$AB,AB718,$AC:$AC,AC718,$AD:$AD,AD718,$AE:$AE,AE718,$AF:$AF,AF718,$AG:$AG,AG718,$AH:$AH,AH718,$AI:$AI,AI718)&gt;1,"Duplicate","Unique")</f>
        <v>Unique</v>
      </c>
    </row>
    <row r="719" spans="1:46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  <c r="W719" t="s">
        <v>3347</v>
      </c>
      <c r="Z719" t="s">
        <v>3349</v>
      </c>
      <c r="AA719" t="str">
        <v>Kabir Singh</v>
      </c>
      <c r="AB719" t="str">
        <f>TRIM(PROPER(F:F))</f>
        <v>Small Business</v>
      </c>
      <c r="AC719" t="str">
        <f>TRIM(PROPER(G:G))</f>
        <v>North</v>
      </c>
      <c r="AD719" t="str">
        <f>TRIM(PROPER(H:H))</f>
        <v>Haryana</v>
      </c>
      <c r="AE719" t="str">
        <f>TRIM(PROPER(I:I))</f>
        <v>Gurugram</v>
      </c>
      <c r="AF719" t="str">
        <f>TRIM(PROPER(J:J))</f>
        <v>Technology</v>
      </c>
      <c r="AG719" t="str">
        <f>TRIM(PROPER(K:K))</f>
        <v>Machines</v>
      </c>
      <c r="AH719" t="str">
        <f>TRIM(PROPER(L:L))</f>
        <v>Prime Machines 612</v>
      </c>
      <c r="AI719" t="str">
        <f>TRIM(PROPER(M:M))</f>
        <v>Standard Class</v>
      </c>
      <c r="AJ719" s="5">
        <f>IF(OR(P719&lt;0,P719&gt;0.5),"invalid",P719)</f>
        <v>0.2</v>
      </c>
      <c r="AK719" s="6">
        <f>IFERROR(N719*O719*(1-AJ719), "NA")</f>
        <v>18712.223999999998</v>
      </c>
      <c r="AL719" s="6">
        <f>IFERROR(AK719-R719,"NA")</f>
        <v>6860.003999999999</v>
      </c>
      <c r="AM719" s="5">
        <f t="shared" si="55"/>
        <v>0.3666054874075898</v>
      </c>
      <c r="AN719" t="str">
        <v>12-10-25</v>
      </c>
      <c r="AO719" t="str">
        <v>15-10-25</v>
      </c>
      <c r="AP719" t="str">
        <f t="shared" si="56"/>
        <v>October</v>
      </c>
      <c r="AQ719" t="str">
        <f t="shared" si="57"/>
        <v>2025</v>
      </c>
      <c r="AR719" t="str">
        <f t="shared" si="58"/>
        <v xml:space="preserve"> </v>
      </c>
      <c r="AS719">
        <f t="shared" si="59"/>
        <v>3</v>
      </c>
      <c r="AT719" t="str">
        <f>IF(COUNTIFS( $A:$A,A719,$B:$B,B719,$C:$C,C719,$D:$D,D719,$E:$E,E719,$F:$F,F719,$G:$G,G719,$H:$H,H719,$I:$I,I719,$J:$J,J719,$K:$K,K719,$L:$L,L719,$M:$M,M719,$T:$T,T719,$U:$U,U719,$W:$W,W719,$Z:$Z,Z719,$AA:$AA,AA719,$AB:$AB,AB719,$AC:$AC,AC719,$AD:$AD,AD719,$AE:$AE,AE719,$AF:$AF,AF719,$AG:$AG,AG719,$AH:$AH,AH719,$AI:$AI,AI719)&gt;1,"Duplicate","Unique")</f>
        <v>Unique</v>
      </c>
    </row>
    <row r="720" spans="1:46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  <c r="W720" t="s">
        <v>3351</v>
      </c>
      <c r="Z720" t="s">
        <v>3353</v>
      </c>
      <c r="AA720" t="str">
        <v>Mira Das</v>
      </c>
      <c r="AB720" t="str">
        <f>TRIM(PROPER(F:F))</f>
        <v>Consumer</v>
      </c>
      <c r="AC720" t="str">
        <f>TRIM(PROPER(G:G))</f>
        <v>West</v>
      </c>
      <c r="AD720" t="str">
        <f>TRIM(PROPER(H:H))</f>
        <v>Maharashtra</v>
      </c>
      <c r="AE720" t="str">
        <f>TRIM(PROPER(I:I))</f>
        <v>Mumbai</v>
      </c>
      <c r="AF720" t="str">
        <f>TRIM(PROPER(J:J))</f>
        <v>Office Supplies</v>
      </c>
      <c r="AG720" t="str">
        <f>TRIM(PROPER(K:K))</f>
        <v>Art</v>
      </c>
      <c r="AH720" t="str">
        <f>TRIM(PROPER(L:L))</f>
        <v>Smart Art 866</v>
      </c>
      <c r="AI720" t="str">
        <f>TRIM(PROPER(M:M))</f>
        <v>Same Day</v>
      </c>
      <c r="AJ720" s="5">
        <f>IF(OR(P720&lt;0,P720&gt;0.5),"invalid",P720)</f>
        <v>0.2</v>
      </c>
      <c r="AK720" s="6">
        <f>IFERROR(N720*O720*(1-AJ720), "NA")</f>
        <v>4733.4479999999994</v>
      </c>
      <c r="AL720" s="6">
        <f>IFERROR(AK720-R720,"NA")</f>
        <v>1061.1279999999992</v>
      </c>
      <c r="AM720" s="5">
        <f t="shared" si="55"/>
        <v>0.22417654107534282</v>
      </c>
      <c r="AN720" t="str">
        <v>06-09-24</v>
      </c>
      <c r="AO720" t="str">
        <v>09-09-24</v>
      </c>
      <c r="AP720" t="str">
        <f t="shared" si="56"/>
        <v>September</v>
      </c>
      <c r="AQ720" t="str">
        <f t="shared" si="57"/>
        <v>2024</v>
      </c>
      <c r="AR720" t="str">
        <f t="shared" si="58"/>
        <v xml:space="preserve"> </v>
      </c>
      <c r="AS720">
        <f t="shared" si="59"/>
        <v>3</v>
      </c>
      <c r="AT720" t="str">
        <f>IF(COUNTIFS( $A:$A,A720,$B:$B,B720,$C:$C,C720,$D:$D,D720,$E:$E,E720,$F:$F,F720,$G:$G,G720,$H:$H,H720,$I:$I,I720,$J:$J,J720,$K:$K,K720,$L:$L,L720,$M:$M,M720,$T:$T,T720,$U:$U,U720,$W:$W,W720,$Z:$Z,Z720,$AA:$AA,AA720,$AB:$AB,AB720,$AC:$AC,AC720,$AD:$AD,AD720,$AE:$AE,AE720,$AF:$AF,AF720,$AG:$AG,AG720,$AH:$AH,AH720,$AI:$AI,AI720)&gt;1,"Duplicate","Unique")</f>
        <v>Unique</v>
      </c>
    </row>
    <row r="721" spans="1:46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  <c r="W721" t="s">
        <v>3355</v>
      </c>
      <c r="Z721" t="s">
        <v>185</v>
      </c>
      <c r="AA721" t="str">
        <v>Kabir Singh</v>
      </c>
      <c r="AB721" t="str">
        <f>TRIM(PROPER(F:F))</f>
        <v>Corporate</v>
      </c>
      <c r="AC721" t="str">
        <f>TRIM(PROPER(G:G))</f>
        <v>West</v>
      </c>
      <c r="AD721" t="str">
        <f>TRIM(PROPER(H:H))</f>
        <v>Gujarat</v>
      </c>
      <c r="AE721" t="str">
        <f>TRIM(PROPER(I:I))</f>
        <v>Ahmedabad</v>
      </c>
      <c r="AF721" t="str">
        <f>TRIM(PROPER(J:J))</f>
        <v>Office Supplies</v>
      </c>
      <c r="AG721" t="str">
        <f>TRIM(PROPER(K:K))</f>
        <v>Art</v>
      </c>
      <c r="AH721" t="str">
        <f>TRIM(PROPER(L:L))</f>
        <v>Pro Art 447</v>
      </c>
      <c r="AI721" t="str">
        <f>TRIM(PROPER(M:M))</f>
        <v>Same Day</v>
      </c>
      <c r="AJ721" s="5">
        <f>IF(OR(P721&lt;0,P721&gt;0.5),"invalid",P721)</f>
        <v>0.2</v>
      </c>
      <c r="AK721" s="6">
        <f>IFERROR(N721*O721*(1-AJ721), "NA")</f>
        <v>3795.8559999999998</v>
      </c>
      <c r="AL721" s="6">
        <f>IFERROR(AK721-R721,"NA")</f>
        <v>1530.9359999999997</v>
      </c>
      <c r="AM721" s="5">
        <f t="shared" si="55"/>
        <v>0.40331772332775528</v>
      </c>
      <c r="AN721" t="str">
        <v>08-09-25</v>
      </c>
      <c r="AO721" t="str">
        <v>09-09-25</v>
      </c>
      <c r="AP721" t="str">
        <f t="shared" si="56"/>
        <v>September</v>
      </c>
      <c r="AQ721" t="str">
        <f t="shared" si="57"/>
        <v>2025</v>
      </c>
      <c r="AR721" t="str">
        <f t="shared" si="58"/>
        <v xml:space="preserve"> </v>
      </c>
      <c r="AS721">
        <f t="shared" si="59"/>
        <v>1</v>
      </c>
      <c r="AT721" t="str">
        <f>IF(COUNTIFS( $A:$A,A721,$B:$B,B721,$C:$C,C721,$D:$D,D721,$E:$E,E721,$F:$F,F721,$G:$G,G721,$H:$H,H721,$I:$I,I721,$J:$J,J721,$K:$K,K721,$L:$L,L721,$M:$M,M721,$T:$T,T721,$U:$U,U721,$W:$W,W721,$Z:$Z,Z721,$AA:$AA,AA721,$AB:$AB,AB721,$AC:$AC,AC721,$AD:$AD,AD721,$AE:$AE,AE721,$AF:$AF,AF721,$AG:$AG,AG721,$AH:$AH,AH721,$AI:$AI,AI721)&gt;1,"Duplicate","Unique")</f>
        <v>Unique</v>
      </c>
    </row>
    <row r="722" spans="1:46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  <c r="W722" t="s">
        <v>3357</v>
      </c>
      <c r="Z722" t="s">
        <v>3359</v>
      </c>
      <c r="AA722" t="str">
        <v>Aditi Sen</v>
      </c>
      <c r="AB722" t="str">
        <f>TRIM(PROPER(F:F))</f>
        <v>Home Office</v>
      </c>
      <c r="AC722" t="str">
        <f>TRIM(PROPER(G:G))</f>
        <v>West</v>
      </c>
      <c r="AD722" t="str">
        <f>TRIM(PROPER(H:H))</f>
        <v>Madhya Pradesh</v>
      </c>
      <c r="AE722" t="str">
        <f>TRIM(PROPER(I:I))</f>
        <v>Indore</v>
      </c>
      <c r="AF722" t="str">
        <f>TRIM(PROPER(J:J))</f>
        <v>Technology</v>
      </c>
      <c r="AG722" t="str">
        <f>TRIM(PROPER(K:K))</f>
        <v>Copiers</v>
      </c>
      <c r="AH722" t="str">
        <f>TRIM(PROPER(L:L))</f>
        <v>Smart Copiers 196</v>
      </c>
      <c r="AI722" t="str">
        <f>TRIM(PROPER(M:M))</f>
        <v>Same Day</v>
      </c>
      <c r="AJ722" s="5">
        <f>IF(OR(P722&lt;0,P722&gt;0.5),"invalid",P722)</f>
        <v>0.15</v>
      </c>
      <c r="AK722" s="6">
        <f>IFERROR(N722*O722*(1-AJ722), "NA")</f>
        <v>15231.727999999999</v>
      </c>
      <c r="AL722" s="6">
        <f>IFERROR(AK722-R722,"NA")</f>
        <v>2780.268</v>
      </c>
      <c r="AM722" s="5">
        <f t="shared" si="55"/>
        <v>0.1825313582280356</v>
      </c>
      <c r="AN722" t="str">
        <v>16-07-24</v>
      </c>
      <c r="AO722" t="str">
        <v>invalid date</v>
      </c>
      <c r="AP722" t="str">
        <f t="shared" si="56"/>
        <v>July</v>
      </c>
      <c r="AQ722" t="str">
        <f t="shared" si="57"/>
        <v>2024</v>
      </c>
      <c r="AR722" t="str">
        <f t="shared" si="58"/>
        <v>Invalid</v>
      </c>
      <c r="AS722" t="str">
        <f t="shared" si="59"/>
        <v>invalid date</v>
      </c>
      <c r="AT722" t="str">
        <f>IF(COUNTIFS( $A:$A,A722,$B:$B,B722,$C:$C,C722,$D:$D,D722,$E:$E,E722,$F:$F,F722,$G:$G,G722,$H:$H,H722,$I:$I,I722,$J:$J,J722,$K:$K,K722,$L:$L,L722,$M:$M,M722,$T:$T,T722,$U:$U,U722,$W:$W,W722,$Z:$Z,Z722,$AA:$AA,AA722,$AB:$AB,AB722,$AC:$AC,AC722,$AD:$AD,AD722,$AE:$AE,AE722,$AF:$AF,AF722,$AG:$AG,AG722,$AH:$AH,AH722,$AI:$AI,AI722)&gt;1,"Duplicate","Unique")</f>
        <v>Unique</v>
      </c>
    </row>
    <row r="723" spans="1:46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  <c r="W723" t="s">
        <v>3361</v>
      </c>
      <c r="Z723" t="s">
        <v>3363</v>
      </c>
      <c r="AA723" t="str">
        <v>Sneha Kapoor</v>
      </c>
      <c r="AB723" t="str">
        <f>TRIM(PROPER(F:F))</f>
        <v>Consumer</v>
      </c>
      <c r="AC723" t="str">
        <f>TRIM(PROPER(G:G))</f>
        <v>South</v>
      </c>
      <c r="AD723" t="str">
        <f>TRIM(PROPER(H:H))</f>
        <v>Karnataka</v>
      </c>
      <c r="AE723" t="str">
        <f>TRIM(PROPER(I:I))</f>
        <v>Bengaluru</v>
      </c>
      <c r="AF723" t="str">
        <f>TRIM(PROPER(J:J))</f>
        <v>Technology</v>
      </c>
      <c r="AG723" t="str">
        <f>TRIM(PROPER(K:K))</f>
        <v>Copiers</v>
      </c>
      <c r="AH723" t="str">
        <f>TRIM(PROPER(L:L))</f>
        <v>Pro Copiers 532</v>
      </c>
      <c r="AI723" t="str">
        <f>TRIM(PROPER(M:M))</f>
        <v>First Class</v>
      </c>
      <c r="AJ723" s="5">
        <f>IF(OR(P723&lt;0,P723&gt;0.5),"invalid",P723)</f>
        <v>0</v>
      </c>
      <c r="AK723" s="6">
        <f>IFERROR(N723*O723*(1-AJ723), "NA")</f>
        <v>13649.75</v>
      </c>
      <c r="AL723" s="6">
        <f>IFERROR(AK723-R723,"NA")</f>
        <v>3361.7199999999993</v>
      </c>
      <c r="AM723" s="5">
        <f t="shared" si="55"/>
        <v>0.24628436418249414</v>
      </c>
      <c r="AN723" t="str">
        <v>19-06-25</v>
      </c>
      <c r="AO723" t="str">
        <v>23-06-25</v>
      </c>
      <c r="AP723" t="str">
        <f t="shared" si="56"/>
        <v>June</v>
      </c>
      <c r="AQ723" t="str">
        <f t="shared" si="57"/>
        <v>2025</v>
      </c>
      <c r="AR723" t="str">
        <f t="shared" si="58"/>
        <v xml:space="preserve"> </v>
      </c>
      <c r="AS723">
        <f t="shared" si="59"/>
        <v>4</v>
      </c>
      <c r="AT723" t="str">
        <f>IF(COUNTIFS( $A:$A,A723,$B:$B,B723,$C:$C,C723,$D:$D,D723,$E:$E,E723,$F:$F,F723,$G:$G,G723,$H:$H,H723,$I:$I,I723,$J:$J,J723,$K:$K,K723,$L:$L,L723,$M:$M,M723,$T:$T,T723,$U:$U,U723,$W:$W,W723,$Z:$Z,Z723,$AA:$AA,AA723,$AB:$AB,AB723,$AC:$AC,AC723,$AD:$AD,AD723,$AE:$AE,AE723,$AF:$AF,AF723,$AG:$AG,AG723,$AH:$AH,AH723,$AI:$AI,AI723)&gt;1,"Duplicate","Unique")</f>
        <v>Unique</v>
      </c>
    </row>
    <row r="724" spans="1:46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  <c r="W724" t="s">
        <v>3365</v>
      </c>
      <c r="Z724" t="s">
        <v>3367</v>
      </c>
      <c r="AA724" t="str">
        <v>Vikram Iyer</v>
      </c>
      <c r="AB724" t="str">
        <f>TRIM(PROPER(F:F))</f>
        <v>Consumer</v>
      </c>
      <c r="AC724" t="str">
        <f>TRIM(PROPER(G:G))</f>
        <v>East</v>
      </c>
      <c r="AD724" t="str">
        <f>TRIM(PROPER(H:H))</f>
        <v>West Bengal</v>
      </c>
      <c r="AE724" t="str">
        <f>TRIM(PROPER(I:I))</f>
        <v>Kolkata</v>
      </c>
      <c r="AF724" t="str">
        <f>TRIM(PROPER(J:J))</f>
        <v>Furniture</v>
      </c>
      <c r="AG724" t="str">
        <f>TRIM(PROPER(K:K))</f>
        <v>Chairs</v>
      </c>
      <c r="AH724" t="str">
        <f>TRIM(PROPER(L:L))</f>
        <v>Eco Chairs 442</v>
      </c>
      <c r="AI724" t="str">
        <f>TRIM(PROPER(M:M))</f>
        <v>Second Class</v>
      </c>
      <c r="AJ724" s="5">
        <f>IF(OR(P724&lt;0,P724&gt;0.5),"invalid",P724)</f>
        <v>0</v>
      </c>
      <c r="AK724" s="6">
        <f>IFERROR(N724*O724*(1-AJ724), "NA")</f>
        <v>4333.59</v>
      </c>
      <c r="AL724" s="6">
        <f>IFERROR(AK724-R724,"NA")</f>
        <v>1800</v>
      </c>
      <c r="AM724" s="5">
        <f t="shared" si="55"/>
        <v>0.41536001329152039</v>
      </c>
      <c r="AN724" t="str">
        <v>07-10-24</v>
      </c>
      <c r="AO724" t="str">
        <v>10-10-24</v>
      </c>
      <c r="AP724" t="str">
        <f t="shared" si="56"/>
        <v>October</v>
      </c>
      <c r="AQ724" t="str">
        <f t="shared" si="57"/>
        <v>2024</v>
      </c>
      <c r="AR724" t="str">
        <f t="shared" si="58"/>
        <v xml:space="preserve"> </v>
      </c>
      <c r="AS724">
        <f t="shared" si="59"/>
        <v>3</v>
      </c>
      <c r="AT724" t="str">
        <f>IF(COUNTIFS( $A:$A,A724,$B:$B,B724,$C:$C,C724,$D:$D,D724,$E:$E,E724,$F:$F,F724,$G:$G,G724,$H:$H,H724,$I:$I,I724,$J:$J,J724,$K:$K,K724,$L:$L,L724,$M:$M,M724,$T:$T,T724,$U:$U,U724,$W:$W,W724,$Z:$Z,Z724,$AA:$AA,AA724,$AB:$AB,AB724,$AC:$AC,AC724,$AD:$AD,AD724,$AE:$AE,AE724,$AF:$AF,AF724,$AG:$AG,AG724,$AH:$AH,AH724,$AI:$AI,AI724)&gt;1,"Duplicate","Unique")</f>
        <v>Unique</v>
      </c>
    </row>
    <row r="725" spans="1:46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  <c r="W725" t="s">
        <v>3369</v>
      </c>
      <c r="Z725" t="s">
        <v>3371</v>
      </c>
      <c r="AA725" t="str">
        <v>Kabir Singh</v>
      </c>
      <c r="AB725" t="str">
        <f>TRIM(PROPER(F:F))</f>
        <v>Home Office</v>
      </c>
      <c r="AC725" t="str">
        <f>TRIM(PROPER(G:G))</f>
        <v>East</v>
      </c>
      <c r="AD725" t="str">
        <f>TRIM(PROPER(H:H))</f>
        <v>Jharkhand</v>
      </c>
      <c r="AE725" t="str">
        <f>TRIM(PROPER(I:I))</f>
        <v>Ranchi</v>
      </c>
      <c r="AF725" t="str">
        <f>TRIM(PROPER(J:J))</f>
        <v>Technology</v>
      </c>
      <c r="AG725" t="str">
        <f>TRIM(PROPER(K:K))</f>
        <v>Accessories</v>
      </c>
      <c r="AH725" t="str">
        <f>TRIM(PROPER(L:L))</f>
        <v>Eco Accessories 364</v>
      </c>
      <c r="AI725" t="str">
        <f>TRIM(PROPER(M:M))</f>
        <v>Standard Class</v>
      </c>
      <c r="AJ725" s="5">
        <f>IF(OR(P725&lt;0,P725&gt;0.5),"invalid",P725)</f>
        <v>0.05</v>
      </c>
      <c r="AK725" s="6">
        <f>IFERROR(N725*O725*(1-AJ725), "NA")</f>
        <v>13634.000999999998</v>
      </c>
      <c r="AL725" s="6">
        <f>IFERROR(AK725-R725,"NA")</f>
        <v>4044.1909999999989</v>
      </c>
      <c r="AM725" s="5">
        <f t="shared" si="55"/>
        <v>0.29662539998346776</v>
      </c>
      <c r="AN725" t="str">
        <v>10-06-25</v>
      </c>
      <c r="AO725" t="str">
        <v>13-10-25</v>
      </c>
      <c r="AP725" t="str">
        <f t="shared" si="56"/>
        <v>June</v>
      </c>
      <c r="AQ725" t="str">
        <f t="shared" si="57"/>
        <v>2025</v>
      </c>
      <c r="AR725" t="str">
        <f t="shared" si="58"/>
        <v xml:space="preserve"> </v>
      </c>
      <c r="AS725">
        <f t="shared" si="59"/>
        <v>125</v>
      </c>
      <c r="AT725" t="str">
        <f>IF(COUNTIFS( $A:$A,A725,$B:$B,B725,$C:$C,C725,$D:$D,D725,$E:$E,E725,$F:$F,F725,$G:$G,G725,$H:$H,H725,$I:$I,I725,$J:$J,J725,$K:$K,K725,$L:$L,L725,$M:$M,M725,$T:$T,T725,$U:$U,U725,$W:$W,W725,$Z:$Z,Z725,$AA:$AA,AA725,$AB:$AB,AB725,$AC:$AC,AC725,$AD:$AD,AD725,$AE:$AE,AE725,$AF:$AF,AF725,$AG:$AG,AG725,$AH:$AH,AH725,$AI:$AI,AI725)&gt;1,"Duplicate","Unique")</f>
        <v>Unique</v>
      </c>
    </row>
    <row r="726" spans="1:46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  <c r="W726" t="s">
        <v>3373</v>
      </c>
      <c r="Z726" t="s">
        <v>3375</v>
      </c>
      <c r="AA726" t="str">
        <v>Karan Malhotra</v>
      </c>
      <c r="AB726" t="str">
        <f>TRIM(PROPER(F:F))</f>
        <v>Consumer</v>
      </c>
      <c r="AC726" t="str">
        <f>TRIM(PROPER(G:G))</f>
        <v>West</v>
      </c>
      <c r="AD726" t="str">
        <f>TRIM(PROPER(H:H))</f>
        <v>Goa</v>
      </c>
      <c r="AE726" t="str">
        <f>TRIM(PROPER(I:I))</f>
        <v>Panaji</v>
      </c>
      <c r="AF726" t="str">
        <f>TRIM(PROPER(J:J))</f>
        <v>Furniture</v>
      </c>
      <c r="AG726" t="str">
        <f>TRIM(PROPER(K:K))</f>
        <v>Furnishings</v>
      </c>
      <c r="AH726" t="str">
        <f>TRIM(PROPER(L:L))</f>
        <v>Elite Furnishings 921</v>
      </c>
      <c r="AI726" t="str">
        <f>TRIM(PROPER(M:M))</f>
        <v>Second Class</v>
      </c>
      <c r="AJ726" s="5">
        <f>IF(OR(P726&lt;0,P726&gt;0.5),"invalid",P726)</f>
        <v>0</v>
      </c>
      <c r="AK726" s="6">
        <f>IFERROR(N726*O726*(1-AJ726), "NA")</f>
        <v>760.29</v>
      </c>
      <c r="AL726" s="6">
        <f>IFERROR(AK726-R726,"NA")</f>
        <v>262.52</v>
      </c>
      <c r="AM726" s="5">
        <f t="shared" si="55"/>
        <v>0.34528929750489945</v>
      </c>
      <c r="AN726" t="str">
        <v>02-10-24</v>
      </c>
      <c r="AO726" t="str">
        <v>16-02-24</v>
      </c>
      <c r="AP726" t="str">
        <f t="shared" si="56"/>
        <v>October</v>
      </c>
      <c r="AQ726" t="str">
        <f t="shared" si="57"/>
        <v>2024</v>
      </c>
      <c r="AR726" t="str">
        <f t="shared" si="58"/>
        <v xml:space="preserve"> </v>
      </c>
      <c r="AS726">
        <f t="shared" si="59"/>
        <v>-229</v>
      </c>
      <c r="AT726" t="str">
        <f>IF(COUNTIFS( $A:$A,A726,$B:$B,B726,$C:$C,C726,$D:$D,D726,$E:$E,E726,$F:$F,F726,$G:$G,G726,$H:$H,H726,$I:$I,I726,$J:$J,J726,$K:$K,K726,$L:$L,L726,$M:$M,M726,$T:$T,T726,$U:$U,U726,$W:$W,W726,$Z:$Z,Z726,$AA:$AA,AA726,$AB:$AB,AB726,$AC:$AC,AC726,$AD:$AD,AD726,$AE:$AE,AE726,$AF:$AF,AF726,$AG:$AG,AG726,$AH:$AH,AH726,$AI:$AI,AI726)&gt;1,"Duplicate","Unique")</f>
        <v>Unique</v>
      </c>
    </row>
    <row r="727" spans="1:46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  <c r="W727" t="s">
        <v>3377</v>
      </c>
      <c r="Z727" t="s">
        <v>3379</v>
      </c>
      <c r="AA727" t="str">
        <v>Priya Menon</v>
      </c>
      <c r="AB727" t="str">
        <f>TRIM(PROPER(F:F))</f>
        <v>Corporate</v>
      </c>
      <c r="AC727" t="str">
        <f>TRIM(PROPER(G:G))</f>
        <v>South</v>
      </c>
      <c r="AD727" t="str">
        <f>TRIM(PROPER(H:H))</f>
        <v>Karnataka</v>
      </c>
      <c r="AE727" t="str">
        <f>TRIM(PROPER(I:I))</f>
        <v>Bengaluru</v>
      </c>
      <c r="AF727" t="str">
        <f>TRIM(PROPER(J:J))</f>
        <v>Furniture</v>
      </c>
      <c r="AG727" t="str">
        <f>TRIM(PROPER(K:K))</f>
        <v>Tables</v>
      </c>
      <c r="AH727" t="str">
        <f>TRIM(PROPER(L:L))</f>
        <v>Max Tables 309</v>
      </c>
      <c r="AI727" t="str">
        <f>TRIM(PROPER(M:M))</f>
        <v>Second Class</v>
      </c>
      <c r="AJ727" s="5">
        <f>IF(OR(P727&lt;0,P727&gt;0.5),"invalid",P727)</f>
        <v>0</v>
      </c>
      <c r="AK727" s="6">
        <f>IFERROR(N727*O727*(1-AJ727), "NA")</f>
        <v>14943.11</v>
      </c>
      <c r="AL727" s="6">
        <f>IFERROR(AK727-R727,"NA")</f>
        <v>6421.6100000000006</v>
      </c>
      <c r="AM727" s="5">
        <f t="shared" si="55"/>
        <v>0.42973718322357263</v>
      </c>
      <c r="AN727" t="str">
        <v>10-05-25</v>
      </c>
      <c r="AO727" t="str">
        <v>12-10-25</v>
      </c>
      <c r="AP727" t="str">
        <f t="shared" si="56"/>
        <v>May</v>
      </c>
      <c r="AQ727" t="str">
        <f t="shared" si="57"/>
        <v>2025</v>
      </c>
      <c r="AR727" t="str">
        <f t="shared" si="58"/>
        <v xml:space="preserve"> </v>
      </c>
      <c r="AS727">
        <f t="shared" si="59"/>
        <v>155</v>
      </c>
      <c r="AT727" t="str">
        <f>IF(COUNTIFS( $A:$A,A727,$B:$B,B727,$C:$C,C727,$D:$D,D727,$E:$E,E727,$F:$F,F727,$G:$G,G727,$H:$H,H727,$I:$I,I727,$J:$J,J727,$K:$K,K727,$L:$L,L727,$M:$M,M727,$T:$T,T727,$U:$U,U727,$W:$W,W727,$Z:$Z,Z727,$AA:$AA,AA727,$AB:$AB,AB727,$AC:$AC,AC727,$AD:$AD,AD727,$AE:$AE,AE727,$AF:$AF,AF727,$AG:$AG,AG727,$AH:$AH,AH727,$AI:$AI,AI727)&gt;1,"Duplicate","Unique")</f>
        <v>Unique</v>
      </c>
    </row>
    <row r="728" spans="1:46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  <c r="W728" t="s">
        <v>3381</v>
      </c>
      <c r="Z728" t="s">
        <v>3384</v>
      </c>
      <c r="AA728" t="str">
        <v>Kabir Singh</v>
      </c>
      <c r="AB728" t="str">
        <f>TRIM(PROPER(F:F))</f>
        <v>Home Office</v>
      </c>
      <c r="AC728" t="str">
        <f>TRIM(PROPER(G:G))</f>
        <v>West</v>
      </c>
      <c r="AD728" t="str">
        <f>TRIM(PROPER(H:H))</f>
        <v>Gujarat</v>
      </c>
      <c r="AE728" t="str">
        <f>TRIM(PROPER(I:I))</f>
        <v>Ahmedabad</v>
      </c>
      <c r="AF728" t="str">
        <f>TRIM(PROPER(J:J))</f>
        <v>Technology</v>
      </c>
      <c r="AG728" t="str">
        <f>TRIM(PROPER(K:K))</f>
        <v>Phones</v>
      </c>
      <c r="AH728" t="str">
        <f>TRIM(PROPER(L:L))</f>
        <v>Pro Phones 857</v>
      </c>
      <c r="AI728" t="str">
        <f>TRIM(PROPER(M:M))</f>
        <v>Standard Class</v>
      </c>
      <c r="AJ728" s="5">
        <f>IF(OR(P728&lt;0,P728&gt;0.5),"invalid",P728)</f>
        <v>0.2</v>
      </c>
      <c r="AK728" s="6">
        <f>IFERROR(N728*O728*(1-AJ728), "NA")</f>
        <v>8072</v>
      </c>
      <c r="AL728" s="6">
        <f>IFERROR(AK728-R728,"NA")</f>
        <v>2692.7799999999997</v>
      </c>
      <c r="AM728" s="5">
        <f t="shared" si="55"/>
        <v>0.33359514370664023</v>
      </c>
      <c r="AN728" t="str">
        <v>17-01-24</v>
      </c>
      <c r="AO728" t="str">
        <v>invalid date</v>
      </c>
      <c r="AP728" t="str">
        <f t="shared" si="56"/>
        <v>January</v>
      </c>
      <c r="AQ728" t="str">
        <f t="shared" si="57"/>
        <v>2024</v>
      </c>
      <c r="AR728" t="str">
        <f t="shared" si="58"/>
        <v>Invalid</v>
      </c>
      <c r="AS728" t="str">
        <f t="shared" si="59"/>
        <v>invalid date</v>
      </c>
      <c r="AT728" t="str">
        <f>IF(COUNTIFS( $A:$A,A728,$B:$B,B728,$C:$C,C728,$D:$D,D728,$E:$E,E728,$F:$F,F728,$G:$G,G728,$H:$H,H728,$I:$I,I728,$J:$J,J728,$K:$K,K728,$L:$L,L728,$M:$M,M728,$T:$T,T728,$U:$U,U728,$W:$W,W728,$Z:$Z,Z728,$AA:$AA,AA728,$AB:$AB,AB728,$AC:$AC,AC728,$AD:$AD,AD728,$AE:$AE,AE728,$AF:$AF,AF728,$AG:$AG,AG728,$AH:$AH,AH728,$AI:$AI,AI728)&gt;1,"Duplicate","Unique")</f>
        <v>Unique</v>
      </c>
    </row>
    <row r="729" spans="1:46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  <c r="W729" t="s">
        <v>3386</v>
      </c>
      <c r="Z729" t="s">
        <v>3388</v>
      </c>
      <c r="AA729" t="str">
        <v>Aarav Sharma</v>
      </c>
      <c r="AB729" t="str">
        <f>TRIM(PROPER(F:F))</f>
        <v>Small Business</v>
      </c>
      <c r="AC729" t="str">
        <f>TRIM(PROPER(G:G))</f>
        <v>East</v>
      </c>
      <c r="AD729" t="str">
        <f>TRIM(PROPER(H:H))</f>
        <v>Assam</v>
      </c>
      <c r="AE729" t="str">
        <f>TRIM(PROPER(I:I))</f>
        <v>Guwahati</v>
      </c>
      <c r="AF729" t="str">
        <f>TRIM(PROPER(J:J))</f>
        <v>Technology</v>
      </c>
      <c r="AG729" t="str">
        <f>TRIM(PROPER(K:K))</f>
        <v>Accessories</v>
      </c>
      <c r="AH729" t="str">
        <f>TRIM(PROPER(L:L))</f>
        <v>Max Accessories 567</v>
      </c>
      <c r="AI729" t="str">
        <f>TRIM(PROPER(M:M))</f>
        <v>Second Class</v>
      </c>
      <c r="AJ729" s="5">
        <f>IF(OR(P729&lt;0,P729&gt;0.5),"invalid",P729)</f>
        <v>0.05</v>
      </c>
      <c r="AK729" s="6">
        <f>IFERROR(N729*O729*(1-AJ729), "NA")</f>
        <v>28353.015999999996</v>
      </c>
      <c r="AL729" s="6">
        <f>IFERROR(AK729-R729,"NA")</f>
        <v>9095.1659999999974</v>
      </c>
      <c r="AM729" s="5">
        <f t="shared" si="55"/>
        <v>0.3207830165228277</v>
      </c>
      <c r="AN729" t="str">
        <v>13-10-24</v>
      </c>
      <c r="AO729" t="str">
        <v>13-10-24</v>
      </c>
      <c r="AP729" t="str">
        <f t="shared" si="56"/>
        <v>October</v>
      </c>
      <c r="AQ729" t="str">
        <f t="shared" si="57"/>
        <v>2024</v>
      </c>
      <c r="AR729" t="str">
        <f t="shared" si="58"/>
        <v xml:space="preserve"> </v>
      </c>
      <c r="AS729">
        <f t="shared" si="59"/>
        <v>0</v>
      </c>
      <c r="AT729" t="str">
        <f>IF(COUNTIFS( $A:$A,A729,$B:$B,B729,$C:$C,C729,$D:$D,D729,$E:$E,E729,$F:$F,F729,$G:$G,G729,$H:$H,H729,$I:$I,I729,$J:$J,J729,$K:$K,K729,$L:$L,L729,$M:$M,M729,$T:$T,T729,$U:$U,U729,$W:$W,W729,$Z:$Z,Z729,$AA:$AA,AA729,$AB:$AB,AB729,$AC:$AC,AC729,$AD:$AD,AD729,$AE:$AE,AE729,$AF:$AF,AF729,$AG:$AG,AG729,$AH:$AH,AH729,$AI:$AI,AI729)&gt;1,"Duplicate","Unique")</f>
        <v>Unique</v>
      </c>
    </row>
    <row r="730" spans="1:46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  <c r="W730" t="s">
        <v>3390</v>
      </c>
      <c r="Z730" t="s">
        <v>3391</v>
      </c>
      <c r="AA730" t="str">
        <v>Sneha Kapoor</v>
      </c>
      <c r="AB730" t="str">
        <f>TRIM(PROPER(F:F))</f>
        <v>Small Business</v>
      </c>
      <c r="AC730" t="str">
        <f>TRIM(PROPER(G:G))</f>
        <v>South</v>
      </c>
      <c r="AD730" t="str">
        <f>TRIM(PROPER(H:H))</f>
        <v>Karnataka</v>
      </c>
      <c r="AE730" t="str">
        <f>TRIM(PROPER(I:I))</f>
        <v>Bengaluru</v>
      </c>
      <c r="AF730" t="str">
        <f>TRIM(PROPER(J:J))</f>
        <v>Technology</v>
      </c>
      <c r="AG730" t="str">
        <f>TRIM(PROPER(K:K))</f>
        <v>Machines</v>
      </c>
      <c r="AH730" t="str">
        <f>TRIM(PROPER(L:L))</f>
        <v>Max Machines 200</v>
      </c>
      <c r="AI730" t="str">
        <f>TRIM(PROPER(M:M))</f>
        <v>First Class</v>
      </c>
      <c r="AJ730" s="5">
        <f>IF(OR(P730&lt;0,P730&gt;0.5),"invalid",P730)</f>
        <v>0.15</v>
      </c>
      <c r="AK730" s="6">
        <f>IFERROR(N730*O730*(1-AJ730), "NA")</f>
        <v>2008.567</v>
      </c>
      <c r="AL730" s="6">
        <f>IFERROR(AK730-R730,"NA")</f>
        <v>813.73700000000008</v>
      </c>
      <c r="AM730" s="5">
        <f t="shared" si="55"/>
        <v>0.40513311231340554</v>
      </c>
      <c r="AN730" t="str">
        <v>04-01-24</v>
      </c>
      <c r="AO730" t="str">
        <v>07-01-24</v>
      </c>
      <c r="AP730" t="str">
        <f t="shared" si="56"/>
        <v>January</v>
      </c>
      <c r="AQ730" t="str">
        <f t="shared" si="57"/>
        <v>2024</v>
      </c>
      <c r="AR730" t="str">
        <f t="shared" si="58"/>
        <v xml:space="preserve"> </v>
      </c>
      <c r="AS730">
        <f t="shared" si="59"/>
        <v>3</v>
      </c>
      <c r="AT730" t="str">
        <f>IF(COUNTIFS( $A:$A,A730,$B:$B,B730,$C:$C,C730,$D:$D,D730,$E:$E,E730,$F:$F,F730,$G:$G,G730,$H:$H,H730,$I:$I,I730,$J:$J,J730,$K:$K,K730,$L:$L,L730,$M:$M,M730,$T:$T,T730,$U:$U,U730,$W:$W,W730,$Z:$Z,Z730,$AA:$AA,AA730,$AB:$AB,AB730,$AC:$AC,AC730,$AD:$AD,AD730,$AE:$AE,AE730,$AF:$AF,AF730,$AG:$AG,AG730,$AH:$AH,AH730,$AI:$AI,AI730)&gt;1,"Duplicate","Unique")</f>
        <v>Unique</v>
      </c>
    </row>
    <row r="731" spans="1:46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  <c r="W731" t="s">
        <v>3393</v>
      </c>
      <c r="Z731" t="s">
        <v>3396</v>
      </c>
      <c r="AA731" t="str">
        <v>Ananya Rao</v>
      </c>
      <c r="AB731" t="str">
        <f>TRIM(PROPER(F:F))</f>
        <v>Corporate</v>
      </c>
      <c r="AC731" t="str">
        <f>TRIM(PROPER(G:G))</f>
        <v>South</v>
      </c>
      <c r="AD731" t="str">
        <f>TRIM(PROPER(H:H))</f>
        <v>Tamil Nadu</v>
      </c>
      <c r="AE731" t="str">
        <f>TRIM(PROPER(I:I))</f>
        <v>Chennai</v>
      </c>
      <c r="AF731" t="str">
        <f>TRIM(PROPER(J:J))</f>
        <v>Technology</v>
      </c>
      <c r="AG731" t="str">
        <f>TRIM(PROPER(K:K))</f>
        <v>Machines</v>
      </c>
      <c r="AH731" t="str">
        <f>TRIM(PROPER(L:L))</f>
        <v>Pro Machines 563</v>
      </c>
      <c r="AI731" t="str">
        <f>TRIM(PROPER(M:M))</f>
        <v>Same Day</v>
      </c>
      <c r="AJ731" s="5">
        <f>IF(OR(P731&lt;0,P731&gt;0.5),"invalid",P731)</f>
        <v>0.15</v>
      </c>
      <c r="AK731" s="6">
        <f>IFERROR(N731*O731*(1-AJ731), "NA")</f>
        <v>9234.2129999999997</v>
      </c>
      <c r="AL731" s="6">
        <f>IFERROR(AK731-R731,"NA")</f>
        <v>3717.6929999999993</v>
      </c>
      <c r="AM731" s="5">
        <f t="shared" si="55"/>
        <v>0.40259987505161504</v>
      </c>
      <c r="AN731" t="str">
        <v>17-05-25</v>
      </c>
      <c r="AO731" t="str">
        <v>25-05-25</v>
      </c>
      <c r="AP731" t="str">
        <f t="shared" si="56"/>
        <v>May</v>
      </c>
      <c r="AQ731" t="str">
        <f t="shared" si="57"/>
        <v>2025</v>
      </c>
      <c r="AR731" t="str">
        <f t="shared" si="58"/>
        <v xml:space="preserve"> </v>
      </c>
      <c r="AS731">
        <f t="shared" si="59"/>
        <v>8</v>
      </c>
      <c r="AT731" t="str">
        <f>IF(COUNTIFS( $A:$A,A731,$B:$B,B731,$C:$C,C731,$D:$D,D731,$E:$E,E731,$F:$F,F731,$G:$G,G731,$H:$H,H731,$I:$I,I731,$J:$J,J731,$K:$K,K731,$L:$L,L731,$M:$M,M731,$T:$T,T731,$U:$U,U731,$W:$W,W731,$Z:$Z,Z731,$AA:$AA,AA731,$AB:$AB,AB731,$AC:$AC,AC731,$AD:$AD,AD731,$AE:$AE,AE731,$AF:$AF,AF731,$AG:$AG,AG731,$AH:$AH,AH731,$AI:$AI,AI731)&gt;1,"Duplicate","Unique")</f>
        <v>Unique</v>
      </c>
    </row>
    <row r="732" spans="1:46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  <c r="W732" t="s">
        <v>3398</v>
      </c>
      <c r="Z732" t="s">
        <v>3400</v>
      </c>
      <c r="AA732" t="str">
        <v>Arjun Bose</v>
      </c>
      <c r="AB732" t="str">
        <f>TRIM(PROPER(F:F))</f>
        <v>Consumer</v>
      </c>
      <c r="AC732" t="str">
        <f>TRIM(PROPER(G:G))</f>
        <v>East</v>
      </c>
      <c r="AD732" t="str">
        <f>TRIM(PROPER(H:H))</f>
        <v>West Bengal</v>
      </c>
      <c r="AE732" t="str">
        <f>TRIM(PROPER(I:I))</f>
        <v>Kolkata</v>
      </c>
      <c r="AF732" t="str">
        <f>TRIM(PROPER(J:J))</f>
        <v>Office Supplies</v>
      </c>
      <c r="AG732" t="str">
        <f>TRIM(PROPER(K:K))</f>
        <v>Art</v>
      </c>
      <c r="AH732" t="str">
        <f>TRIM(PROPER(L:L))</f>
        <v>Elite Art 696</v>
      </c>
      <c r="AI732" t="str">
        <f>TRIM(PROPER(M:M))</f>
        <v>Second Class</v>
      </c>
      <c r="AJ732" s="5">
        <f>IF(OR(P732&lt;0,P732&gt;0.5),"invalid",P732)</f>
        <v>0.15</v>
      </c>
      <c r="AK732" s="6">
        <f>IFERROR(N732*O732*(1-AJ732), "NA")</f>
        <v>2658.8339999999998</v>
      </c>
      <c r="AL732" s="6">
        <f>IFERROR(AK732-R732,"NA")</f>
        <v>431.86400000000003</v>
      </c>
      <c r="AM732" s="5">
        <f t="shared" si="55"/>
        <v>0.16242608602116568</v>
      </c>
      <c r="AN732" t="str">
        <v>invalid date</v>
      </c>
      <c r="AO732" t="str">
        <v>24-06-25</v>
      </c>
      <c r="AP732" t="str">
        <f t="shared" si="56"/>
        <v>invalid date</v>
      </c>
      <c r="AQ732" t="str">
        <f t="shared" si="57"/>
        <v>invalid date</v>
      </c>
      <c r="AR732" t="str">
        <f t="shared" si="58"/>
        <v>Invalid</v>
      </c>
      <c r="AS732" t="str">
        <f t="shared" si="59"/>
        <v>invalid date</v>
      </c>
      <c r="AT732" t="str">
        <f>IF(COUNTIFS( $A:$A,A732,$B:$B,B732,$C:$C,C732,$D:$D,D732,$E:$E,E732,$F:$F,F732,$G:$G,G732,$H:$H,H732,$I:$I,I732,$J:$J,J732,$K:$K,K732,$L:$L,L732,$M:$M,M732,$T:$T,T732,$U:$U,U732,$W:$W,W732,$Z:$Z,Z732,$AA:$AA,AA732,$AB:$AB,AB732,$AC:$AC,AC732,$AD:$AD,AD732,$AE:$AE,AE732,$AF:$AF,AF732,$AG:$AG,AG732,$AH:$AH,AH732,$AI:$AI,AI732)&gt;1,"Duplicate","Unique")</f>
        <v>Unique</v>
      </c>
    </row>
    <row r="733" spans="1:46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  <c r="W733" t="s">
        <v>3402</v>
      </c>
      <c r="Z733" t="s">
        <v>3405</v>
      </c>
      <c r="AA733" t="str">
        <v>Ananya Rao</v>
      </c>
      <c r="AB733" t="str">
        <f>TRIM(PROPER(F:F))</f>
        <v>Corporate</v>
      </c>
      <c r="AC733" t="str">
        <f>TRIM(PROPER(G:G))</f>
        <v>East</v>
      </c>
      <c r="AD733" t="str">
        <f>TRIM(PROPER(H:H))</f>
        <v>Odisha</v>
      </c>
      <c r="AE733" t="str">
        <f>TRIM(PROPER(I:I))</f>
        <v>Bhubaneswar</v>
      </c>
      <c r="AF733" t="str">
        <f>TRIM(PROPER(J:J))</f>
        <v>Office Supplies</v>
      </c>
      <c r="AG733" t="str">
        <f>TRIM(PROPER(K:K))</f>
        <v>Binders</v>
      </c>
      <c r="AH733" t="str">
        <f>TRIM(PROPER(L:L))</f>
        <v>Eco Binders 178</v>
      </c>
      <c r="AI733" t="str">
        <f>TRIM(PROPER(M:M))</f>
        <v>First Class</v>
      </c>
      <c r="AJ733" s="5">
        <f>IF(OR(P733&lt;0,P733&gt;0.5),"invalid",P733)</f>
        <v>0.1</v>
      </c>
      <c r="AK733" s="6">
        <f>IFERROR(N733*O733*(1-AJ733), "NA")</f>
        <v>15756.048000000001</v>
      </c>
      <c r="AL733" s="6">
        <f>IFERROR(AK733-R733,"NA")</f>
        <v>5510.6080000000002</v>
      </c>
      <c r="AM733" s="5">
        <f t="shared" si="55"/>
        <v>0.3497455707167178</v>
      </c>
      <c r="AN733" t="str">
        <v>17-03-24</v>
      </c>
      <c r="AO733" t="str">
        <v>19-03-24</v>
      </c>
      <c r="AP733" t="str">
        <f t="shared" si="56"/>
        <v>March</v>
      </c>
      <c r="AQ733" t="str">
        <f t="shared" si="57"/>
        <v>2024</v>
      </c>
      <c r="AR733" t="str">
        <f t="shared" si="58"/>
        <v xml:space="preserve"> </v>
      </c>
      <c r="AS733">
        <f t="shared" si="59"/>
        <v>2</v>
      </c>
      <c r="AT733" t="str">
        <f>IF(COUNTIFS( $A:$A,A733,$B:$B,B733,$C:$C,C733,$D:$D,D733,$E:$E,E733,$F:$F,F733,$G:$G,G733,$H:$H,H733,$I:$I,I733,$J:$J,J733,$K:$K,K733,$L:$L,L733,$M:$M,M733,$T:$T,T733,$U:$U,U733,$W:$W,W733,$Z:$Z,Z733,$AA:$AA,AA733,$AB:$AB,AB733,$AC:$AC,AC733,$AD:$AD,AD733,$AE:$AE,AE733,$AF:$AF,AF733,$AG:$AG,AG733,$AH:$AH,AH733,$AI:$AI,AI733)&gt;1,"Duplicate","Unique")</f>
        <v>Unique</v>
      </c>
    </row>
    <row r="734" spans="1:46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  <c r="W734" t="s">
        <v>3407</v>
      </c>
      <c r="Z734" t="s">
        <v>3409</v>
      </c>
      <c r="AA734" t="str">
        <v>Arjun Bose</v>
      </c>
      <c r="AB734" t="str">
        <f>TRIM(PROPER(F:F))</f>
        <v>Small Business</v>
      </c>
      <c r="AC734" t="str">
        <f>TRIM(PROPER(G:G))</f>
        <v>North</v>
      </c>
      <c r="AD734" t="str">
        <f>TRIM(PROPER(H:H))</f>
        <v>Punjab</v>
      </c>
      <c r="AE734" t="str">
        <f>TRIM(PROPER(I:I))</f>
        <v>Ludhiana</v>
      </c>
      <c r="AF734" t="str">
        <f>TRIM(PROPER(J:J))</f>
        <v>Technology</v>
      </c>
      <c r="AG734" t="str">
        <f>TRIM(PROPER(K:K))</f>
        <v>Phones</v>
      </c>
      <c r="AH734" t="str">
        <f>TRIM(PROPER(L:L))</f>
        <v>Max Phones 678</v>
      </c>
      <c r="AI734" t="str">
        <f>TRIM(PROPER(M:M))</f>
        <v>Standard Class</v>
      </c>
      <c r="AJ734" s="5">
        <f>IF(OR(P734&lt;0,P734&gt;0.5),"invalid",P734)</f>
        <v>0</v>
      </c>
      <c r="AK734" s="6">
        <f>IFERROR(N734*O734*(1-AJ734), "NA")</f>
        <v>14787.78</v>
      </c>
      <c r="AL734" s="6">
        <f>IFERROR(AK734-R734,"NA")</f>
        <v>6191.130000000001</v>
      </c>
      <c r="AM734" s="5">
        <f t="shared" si="55"/>
        <v>0.41866527632950995</v>
      </c>
      <c r="AN734" t="str">
        <v>28-11-24</v>
      </c>
      <c r="AO734" t="str">
        <v>06-12-24</v>
      </c>
      <c r="AP734" t="str">
        <f t="shared" si="56"/>
        <v>November</v>
      </c>
      <c r="AQ734" t="str">
        <f t="shared" si="57"/>
        <v>2024</v>
      </c>
      <c r="AR734" t="str">
        <f t="shared" si="58"/>
        <v>anomaly</v>
      </c>
      <c r="AS734">
        <f t="shared" si="59"/>
        <v>8</v>
      </c>
      <c r="AT734" t="str">
        <f>IF(COUNTIFS( $A:$A,A734,$B:$B,B734,$C:$C,C734,$D:$D,D734,$E:$E,E734,$F:$F,F734,$G:$G,G734,$H:$H,H734,$I:$I,I734,$J:$J,J734,$K:$K,K734,$L:$L,L734,$M:$M,M734,$T:$T,T734,$U:$U,U734,$W:$W,W734,$Z:$Z,Z734,$AA:$AA,AA734,$AB:$AB,AB734,$AC:$AC,AC734,$AD:$AD,AD734,$AE:$AE,AE734,$AF:$AF,AF734,$AG:$AG,AG734,$AH:$AH,AH734,$AI:$AI,AI734)&gt;1,"Duplicate","Unique")</f>
        <v>Unique</v>
      </c>
    </row>
    <row r="735" spans="1:46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  <c r="W735" t="s">
        <v>3411</v>
      </c>
      <c r="Z735" t="s">
        <v>3413</v>
      </c>
      <c r="AA735" t="str">
        <v>Aarav Sharma</v>
      </c>
      <c r="AB735" t="str">
        <f>TRIM(PROPER(F:F))</f>
        <v>Home Office</v>
      </c>
      <c r="AC735" t="str">
        <f>TRIM(PROPER(G:G))</f>
        <v>North</v>
      </c>
      <c r="AD735" t="str">
        <f>TRIM(PROPER(H:H))</f>
        <v>Rajasthan</v>
      </c>
      <c r="AE735" t="str">
        <f>TRIM(PROPER(I:I))</f>
        <v>Jaipur</v>
      </c>
      <c r="AF735" t="str">
        <f>TRIM(PROPER(J:J))</f>
        <v>Furniture</v>
      </c>
      <c r="AG735" t="str">
        <f>TRIM(PROPER(K:K))</f>
        <v>Furnishings</v>
      </c>
      <c r="AH735" t="str">
        <f>TRIM(PROPER(L:L))</f>
        <v>Classic Furnishings 582</v>
      </c>
      <c r="AI735" t="str">
        <f>TRIM(PROPER(M:M))</f>
        <v>First Class</v>
      </c>
      <c r="AJ735" s="5">
        <f>IF(OR(P735&lt;0,P735&gt;0.5),"invalid",P735)</f>
        <v>0</v>
      </c>
      <c r="AK735" s="6">
        <f>IFERROR(N735*O735*(1-AJ735), "NA")</f>
        <v>25181.64</v>
      </c>
      <c r="AL735" s="6">
        <f>IFERROR(AK735-R735,"NA")</f>
        <v>9843.74</v>
      </c>
      <c r="AM735" s="5">
        <f t="shared" si="55"/>
        <v>0.39090940860086953</v>
      </c>
      <c r="AN735" t="str">
        <v>21-06-24</v>
      </c>
      <c r="AO735" t="str">
        <v>28-06-24</v>
      </c>
      <c r="AP735" t="str">
        <f t="shared" si="56"/>
        <v>June</v>
      </c>
      <c r="AQ735" t="str">
        <f t="shared" si="57"/>
        <v>2024</v>
      </c>
      <c r="AR735" t="str">
        <f t="shared" si="58"/>
        <v xml:space="preserve"> </v>
      </c>
      <c r="AS735">
        <f t="shared" si="59"/>
        <v>7</v>
      </c>
      <c r="AT735" t="str">
        <f>IF(COUNTIFS( $A:$A,A735,$B:$B,B735,$C:$C,C735,$D:$D,D735,$E:$E,E735,$F:$F,F735,$G:$G,G735,$H:$H,H735,$I:$I,I735,$J:$J,J735,$K:$K,K735,$L:$L,L735,$M:$M,M735,$T:$T,T735,$U:$U,U735,$W:$W,W735,$Z:$Z,Z735,$AA:$AA,AA735,$AB:$AB,AB735,$AC:$AC,AC735,$AD:$AD,AD735,$AE:$AE,AE735,$AF:$AF,AF735,$AG:$AG,AG735,$AH:$AH,AH735,$AI:$AI,AI735)&gt;1,"Duplicate","Unique")</f>
        <v>Unique</v>
      </c>
    </row>
    <row r="736" spans="1:46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  <c r="W736" t="s">
        <v>3415</v>
      </c>
      <c r="Z736" t="s">
        <v>3417</v>
      </c>
      <c r="AA736" t="str">
        <v>Ananya Rao</v>
      </c>
      <c r="AB736" t="str">
        <f>TRIM(PROPER(F:F))</f>
        <v>Small Business</v>
      </c>
      <c r="AC736" t="str">
        <f>TRIM(PROPER(G:G))</f>
        <v>North</v>
      </c>
      <c r="AD736" t="str">
        <f>TRIM(PROPER(H:H))</f>
        <v>Rajasthan</v>
      </c>
      <c r="AE736" t="str">
        <f>TRIM(PROPER(I:I))</f>
        <v>Jaipur</v>
      </c>
      <c r="AF736" t="str">
        <f>TRIM(PROPER(J:J))</f>
        <v>Technology</v>
      </c>
      <c r="AG736" t="str">
        <f>TRIM(PROPER(K:K))</f>
        <v>Accessories</v>
      </c>
      <c r="AH736" t="str">
        <f>TRIM(PROPER(L:L))</f>
        <v>Classic Accessories 981</v>
      </c>
      <c r="AI736" t="str">
        <f>TRIM(PROPER(M:M))</f>
        <v>First Class</v>
      </c>
      <c r="AJ736" s="5">
        <f>IF(OR(P736&lt;0,P736&gt;0.5),"invalid",P736)</f>
        <v>0.2</v>
      </c>
      <c r="AK736" s="6">
        <f>IFERROR(N736*O736*(1-AJ736), "NA")</f>
        <v>8837.9520000000011</v>
      </c>
      <c r="AL736" s="6">
        <f>IFERROR(AK736-R736,"NA")</f>
        <v>2680.6820000000007</v>
      </c>
      <c r="AM736" s="5">
        <f t="shared" si="55"/>
        <v>0.30331484036120587</v>
      </c>
      <c r="AN736" t="str">
        <v>24-08-24</v>
      </c>
      <c r="AO736" t="str">
        <v>24-08-24</v>
      </c>
      <c r="AP736" t="str">
        <f t="shared" si="56"/>
        <v>August</v>
      </c>
      <c r="AQ736" t="str">
        <f t="shared" si="57"/>
        <v>2024</v>
      </c>
      <c r="AR736" t="str">
        <f t="shared" si="58"/>
        <v xml:space="preserve"> </v>
      </c>
      <c r="AS736">
        <f t="shared" si="59"/>
        <v>0</v>
      </c>
      <c r="AT736" t="str">
        <f>IF(COUNTIFS( $A:$A,A736,$B:$B,B736,$C:$C,C736,$D:$D,D736,$E:$E,E736,$F:$F,F736,$G:$G,G736,$H:$H,H736,$I:$I,I736,$J:$J,J736,$K:$K,K736,$L:$L,L736,$M:$M,M736,$T:$T,T736,$U:$U,U736,$W:$W,W736,$Z:$Z,Z736,$AA:$AA,AA736,$AB:$AB,AB736,$AC:$AC,AC736,$AD:$AD,AD736,$AE:$AE,AE736,$AF:$AF,AF736,$AG:$AG,AG736,$AH:$AH,AH736,$AI:$AI,AI736)&gt;1,"Duplicate","Unique")</f>
        <v>Unique</v>
      </c>
    </row>
    <row r="737" spans="1:46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  <c r="W737" t="s">
        <v>3419</v>
      </c>
      <c r="Z737" t="s">
        <v>3421</v>
      </c>
      <c r="AA737" t="str">
        <v>Mira Das</v>
      </c>
      <c r="AB737" t="str">
        <f>TRIM(PROPER(F:F))</f>
        <v>Consumer</v>
      </c>
      <c r="AC737" t="str">
        <f>TRIM(PROPER(G:G))</f>
        <v>West</v>
      </c>
      <c r="AD737" t="str">
        <f>TRIM(PROPER(H:H))</f>
        <v>Maharashtra</v>
      </c>
      <c r="AE737" t="str">
        <f>TRIM(PROPER(I:I))</f>
        <v>Mumbai</v>
      </c>
      <c r="AF737" t="str">
        <f>TRIM(PROPER(J:J))</f>
        <v>Furniture</v>
      </c>
      <c r="AG737" t="str">
        <f>TRIM(PROPER(K:K))</f>
        <v>Tables</v>
      </c>
      <c r="AH737" t="str">
        <f>TRIM(PROPER(L:L))</f>
        <v>Classic Tables 534</v>
      </c>
      <c r="AI737" t="str">
        <f>TRIM(PROPER(M:M))</f>
        <v>Standard Class</v>
      </c>
      <c r="AJ737" s="5">
        <f>IF(OR(P737&lt;0,P737&gt;0.5),"invalid",P737)</f>
        <v>0.2</v>
      </c>
      <c r="AK737" s="6">
        <f>IFERROR(N737*O737*(1-AJ737), "NA")</f>
        <v>7275.7920000000004</v>
      </c>
      <c r="AL737" s="6">
        <f>IFERROR(AK737-R737,"NA")</f>
        <v>1122.9220000000005</v>
      </c>
      <c r="AM737" s="5">
        <f t="shared" si="55"/>
        <v>0.15433673749881804</v>
      </c>
      <c r="AN737" t="str">
        <v>11-08-24</v>
      </c>
      <c r="AO737" t="str">
        <v>19-08-24</v>
      </c>
      <c r="AP737" t="str">
        <f t="shared" si="56"/>
        <v>August</v>
      </c>
      <c r="AQ737" t="str">
        <f t="shared" si="57"/>
        <v>2024</v>
      </c>
      <c r="AR737" t="str">
        <f t="shared" si="58"/>
        <v xml:space="preserve"> </v>
      </c>
      <c r="AS737">
        <f t="shared" si="59"/>
        <v>8</v>
      </c>
      <c r="AT737" t="str">
        <f>IF(COUNTIFS( $A:$A,A737,$B:$B,B737,$C:$C,C737,$D:$D,D737,$E:$E,E737,$F:$F,F737,$G:$G,G737,$H:$H,H737,$I:$I,I737,$J:$J,J737,$K:$K,K737,$L:$L,L737,$M:$M,M737,$T:$T,T737,$U:$U,U737,$W:$W,W737,$Z:$Z,Z737,$AA:$AA,AA737,$AB:$AB,AB737,$AC:$AC,AC737,$AD:$AD,AD737,$AE:$AE,AE737,$AF:$AF,AF737,$AG:$AG,AG737,$AH:$AH,AH737,$AI:$AI,AI737)&gt;1,"Duplicate","Unique")</f>
        <v>Unique</v>
      </c>
    </row>
    <row r="738" spans="1:46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  <c r="W738" t="s">
        <v>3423</v>
      </c>
      <c r="Z738" t="s">
        <v>3425</v>
      </c>
      <c r="AA738" t="str">
        <v>Aditi Sen</v>
      </c>
      <c r="AB738" t="str">
        <f>TRIM(PROPER(F:F))</f>
        <v>Consumer</v>
      </c>
      <c r="AC738" t="str">
        <f>TRIM(PROPER(G:G))</f>
        <v>West</v>
      </c>
      <c r="AD738" t="str">
        <f>TRIM(PROPER(H:H))</f>
        <v>Maharashtra</v>
      </c>
      <c r="AE738" t="str">
        <f>TRIM(PROPER(I:I))</f>
        <v>Mumbai</v>
      </c>
      <c r="AF738" t="str">
        <f>TRIM(PROPER(J:J))</f>
        <v>Furniture</v>
      </c>
      <c r="AG738" t="str">
        <f>TRIM(PROPER(K:K))</f>
        <v>Chairs</v>
      </c>
      <c r="AH738" t="str">
        <f>TRIM(PROPER(L:L))</f>
        <v>Pro Chairs 383</v>
      </c>
      <c r="AI738" t="str">
        <f>TRIM(PROPER(M:M))</f>
        <v>Second Class</v>
      </c>
      <c r="AJ738" s="5">
        <f>IF(OR(P738&lt;0,P738&gt;0.5),"invalid",P738)</f>
        <v>0.1</v>
      </c>
      <c r="AK738" s="6">
        <f>IFERROR(N738*O738*(1-AJ738), "NA")</f>
        <v>2355.0750000000003</v>
      </c>
      <c r="AL738" s="6">
        <f>IFERROR(AK738-R738,"NA")</f>
        <v>1005.0450000000003</v>
      </c>
      <c r="AM738" s="5">
        <f t="shared" si="55"/>
        <v>0.42675710964618968</v>
      </c>
      <c r="AN738" t="str">
        <v>06-12-24</v>
      </c>
      <c r="AO738" t="str">
        <v>09-12-24</v>
      </c>
      <c r="AP738" t="str">
        <f t="shared" si="56"/>
        <v>December</v>
      </c>
      <c r="AQ738" t="str">
        <f t="shared" si="57"/>
        <v>2024</v>
      </c>
      <c r="AR738" t="str">
        <f t="shared" si="58"/>
        <v xml:space="preserve"> </v>
      </c>
      <c r="AS738">
        <f t="shared" si="59"/>
        <v>3</v>
      </c>
      <c r="AT738" t="str">
        <f>IF(COUNTIFS( $A:$A,A738,$B:$B,B738,$C:$C,C738,$D:$D,D738,$E:$E,E738,$F:$F,F738,$G:$G,G738,$H:$H,H738,$I:$I,I738,$J:$J,J738,$K:$K,K738,$L:$L,L738,$M:$M,M738,$T:$T,T738,$U:$U,U738,$W:$W,W738,$Z:$Z,Z738,$AA:$AA,AA738,$AB:$AB,AB738,$AC:$AC,AC738,$AD:$AD,AD738,$AE:$AE,AE738,$AF:$AF,AF738,$AG:$AG,AG738,$AH:$AH,AH738,$AI:$AI,AI738)&gt;1,"Duplicate","Unique")</f>
        <v>Unique</v>
      </c>
    </row>
    <row r="739" spans="1:46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  <c r="W739" t="s">
        <v>3427</v>
      </c>
      <c r="Z739" t="s">
        <v>3428</v>
      </c>
      <c r="AA739" t="str">
        <v>Isha Nair</v>
      </c>
      <c r="AB739" t="str">
        <f>TRIM(PROPER(F:F))</f>
        <v>Home Office</v>
      </c>
      <c r="AC739" t="str">
        <f>TRIM(PROPER(G:G))</f>
        <v>West</v>
      </c>
      <c r="AD739" t="str">
        <f>TRIM(PROPER(H:H))</f>
        <v>Maharashtra</v>
      </c>
      <c r="AE739" t="str">
        <f>TRIM(PROPER(I:I))</f>
        <v>Mumbai</v>
      </c>
      <c r="AF739" t="str">
        <f>TRIM(PROPER(J:J))</f>
        <v>Furniture</v>
      </c>
      <c r="AG739" t="str">
        <f>TRIM(PROPER(K:K))</f>
        <v>Chairs</v>
      </c>
      <c r="AH739" t="str">
        <f>TRIM(PROPER(L:L))</f>
        <v>Max Chairs 845</v>
      </c>
      <c r="AI739" t="str">
        <f>TRIM(PROPER(M:M))</f>
        <v>Same Day</v>
      </c>
      <c r="AJ739" s="5">
        <f>IF(OR(P739&lt;0,P739&gt;0.5),"invalid",P739)</f>
        <v>0</v>
      </c>
      <c r="AK739" s="6">
        <f>IFERROR(N739*O739*(1-AJ739), "NA")</f>
        <v>3609.12</v>
      </c>
      <c r="AL739" s="6">
        <f>IFERROR(AK739-R739,"NA")</f>
        <v>963.61999999999989</v>
      </c>
      <c r="AM739" s="5">
        <f t="shared" si="55"/>
        <v>0.2669958327791816</v>
      </c>
      <c r="AN739" t="str">
        <v>10-02-24</v>
      </c>
      <c r="AO739" t="str">
        <v>10-02-24</v>
      </c>
      <c r="AP739" t="str">
        <f t="shared" si="56"/>
        <v>February</v>
      </c>
      <c r="AQ739" t="str">
        <f t="shared" si="57"/>
        <v>2024</v>
      </c>
      <c r="AR739" t="str">
        <f t="shared" si="58"/>
        <v xml:space="preserve"> </v>
      </c>
      <c r="AS739">
        <f t="shared" si="59"/>
        <v>0</v>
      </c>
      <c r="AT739" t="str">
        <f>IF(COUNTIFS( $A:$A,A739,$B:$B,B739,$C:$C,C739,$D:$D,D739,$E:$E,E739,$F:$F,F739,$G:$G,G739,$H:$H,H739,$I:$I,I739,$J:$J,J739,$K:$K,K739,$L:$L,L739,$M:$M,M739,$T:$T,T739,$U:$U,U739,$W:$W,W739,$Z:$Z,Z739,$AA:$AA,AA739,$AB:$AB,AB739,$AC:$AC,AC739,$AD:$AD,AD739,$AE:$AE,AE739,$AF:$AF,AF739,$AG:$AG,AG739,$AH:$AH,AH739,$AI:$AI,AI739)&gt;1,"Duplicate","Unique")</f>
        <v>Unique</v>
      </c>
    </row>
    <row r="740" spans="1:46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  <c r="W740" t="s">
        <v>3430</v>
      </c>
      <c r="Z740" t="s">
        <v>3432</v>
      </c>
      <c r="AA740" t="str">
        <v>Priya Menon</v>
      </c>
      <c r="AB740" t="str">
        <f>TRIM(PROPER(F:F))</f>
        <v>Corporate</v>
      </c>
      <c r="AC740" t="str">
        <f>TRIM(PROPER(G:G))</f>
        <v>South</v>
      </c>
      <c r="AD740" t="str">
        <f>TRIM(PROPER(H:H))</f>
        <v>Kerala</v>
      </c>
      <c r="AE740" t="str">
        <f>TRIM(PROPER(I:I))</f>
        <v>Kochi</v>
      </c>
      <c r="AF740" t="str">
        <f>TRIM(PROPER(J:J))</f>
        <v>Office Supplies</v>
      </c>
      <c r="AG740" t="str">
        <f>TRIM(PROPER(K:K))</f>
        <v>Paper</v>
      </c>
      <c r="AH740" t="str">
        <f>TRIM(PROPER(L:L))</f>
        <v>Prime Paper 307</v>
      </c>
      <c r="AI740" t="str">
        <f>TRIM(PROPER(M:M))</f>
        <v>First Class</v>
      </c>
      <c r="AJ740" s="5">
        <f>IF(OR(P740&lt;0,P740&gt;0.5),"invalid",P740)</f>
        <v>0</v>
      </c>
      <c r="AK740" s="6">
        <f>IFERROR(N740*O740*(1-AJ740), "NA")</f>
        <v>2188.19</v>
      </c>
      <c r="AL740" s="6">
        <f>IFERROR(AK740-R740,"NA")</f>
        <v>889.35000000000014</v>
      </c>
      <c r="AM740" s="5">
        <f t="shared" si="55"/>
        <v>0.40643179979800664</v>
      </c>
      <c r="AN740" t="str">
        <v>20-02-25</v>
      </c>
      <c r="AO740" t="str">
        <v>invalid date</v>
      </c>
      <c r="AP740" t="str">
        <f t="shared" si="56"/>
        <v>February</v>
      </c>
      <c r="AQ740" t="str">
        <f t="shared" si="57"/>
        <v>2025</v>
      </c>
      <c r="AR740" t="str">
        <f t="shared" si="58"/>
        <v>Invalid</v>
      </c>
      <c r="AS740" t="str">
        <f t="shared" si="59"/>
        <v>invalid date</v>
      </c>
      <c r="AT740" t="str">
        <f>IF(COUNTIFS( $A:$A,A740,$B:$B,B740,$C:$C,C740,$D:$D,D740,$E:$E,E740,$F:$F,F740,$G:$G,G740,$H:$H,H740,$I:$I,I740,$J:$J,J740,$K:$K,K740,$L:$L,L740,$M:$M,M740,$T:$T,T740,$U:$U,U740,$W:$W,W740,$Z:$Z,Z740,$AA:$AA,AA740,$AB:$AB,AB740,$AC:$AC,AC740,$AD:$AD,AD740,$AE:$AE,AE740,$AF:$AF,AF740,$AG:$AG,AG740,$AH:$AH,AH740,$AI:$AI,AI740)&gt;1,"Duplicate","Unique")</f>
        <v>Unique</v>
      </c>
    </row>
    <row r="741" spans="1:46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  <c r="W741" t="s">
        <v>3434</v>
      </c>
      <c r="Z741" t="s">
        <v>3437</v>
      </c>
      <c r="AA741" t="str">
        <v>Neha Gupta</v>
      </c>
      <c r="AB741" t="str">
        <f>TRIM(PROPER(F:F))</f>
        <v>Corporate</v>
      </c>
      <c r="AC741" t="str">
        <f>TRIM(PROPER(G:G))</f>
        <v>North</v>
      </c>
      <c r="AD741" t="str">
        <f>TRIM(PROPER(H:H))</f>
        <v>Rajasthan</v>
      </c>
      <c r="AE741" t="str">
        <f>TRIM(PROPER(I:I))</f>
        <v>Jaipur</v>
      </c>
      <c r="AF741" t="str">
        <f>TRIM(PROPER(J:J))</f>
        <v>Technology</v>
      </c>
      <c r="AG741" t="str">
        <f>TRIM(PROPER(K:K))</f>
        <v>Phones</v>
      </c>
      <c r="AH741" t="str">
        <f>TRIM(PROPER(L:L))</f>
        <v>Basic Phones 859</v>
      </c>
      <c r="AI741" t="str">
        <f>TRIM(PROPER(M:M))</f>
        <v>Standard Class</v>
      </c>
      <c r="AJ741" s="5">
        <f>IF(OR(P741&lt;0,P741&gt;0.5),"invalid",P741)</f>
        <v>0.05</v>
      </c>
      <c r="AK741" s="6">
        <f>IFERROR(N741*O741*(1-AJ741), "NA")</f>
        <v>11370.835000000001</v>
      </c>
      <c r="AL741" s="6">
        <f>IFERROR(AK741-R741,"NA")</f>
        <v>3901.255000000001</v>
      </c>
      <c r="AM741" s="5">
        <f t="shared" si="55"/>
        <v>0.34309309738466881</v>
      </c>
      <c r="AN741" t="str">
        <v>03-12-24</v>
      </c>
      <c r="AO741" t="str">
        <v>12-10-24</v>
      </c>
      <c r="AP741" t="str">
        <f t="shared" si="56"/>
        <v>December</v>
      </c>
      <c r="AQ741" t="str">
        <f t="shared" si="57"/>
        <v>2024</v>
      </c>
      <c r="AR741" t="str">
        <f t="shared" si="58"/>
        <v xml:space="preserve"> </v>
      </c>
      <c r="AS741">
        <f t="shared" si="59"/>
        <v>-52</v>
      </c>
      <c r="AT741" t="str">
        <f>IF(COUNTIFS( $A:$A,A741,$B:$B,B741,$C:$C,C741,$D:$D,D741,$E:$E,E741,$F:$F,F741,$G:$G,G741,$H:$H,H741,$I:$I,I741,$J:$J,J741,$K:$K,K741,$L:$L,L741,$M:$M,M741,$T:$T,T741,$U:$U,U741,$W:$W,W741,$Z:$Z,Z741,$AA:$AA,AA741,$AB:$AB,AB741,$AC:$AC,AC741,$AD:$AD,AD741,$AE:$AE,AE741,$AF:$AF,AF741,$AG:$AG,AG741,$AH:$AH,AH741,$AI:$AI,AI741)&gt;1,"Duplicate","Unique")</f>
        <v>Unique</v>
      </c>
    </row>
    <row r="742" spans="1:46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  <c r="W742" t="s">
        <v>3439</v>
      </c>
      <c r="Z742" t="s">
        <v>778</v>
      </c>
      <c r="AA742" t="str">
        <v>Sneha Kapoor</v>
      </c>
      <c r="AB742" t="str">
        <f>TRIM(PROPER(F:F))</f>
        <v>Small Business</v>
      </c>
      <c r="AC742" t="str">
        <f>TRIM(PROPER(G:G))</f>
        <v>West</v>
      </c>
      <c r="AD742" t="str">
        <f>TRIM(PROPER(H:H))</f>
        <v>Maharashtra</v>
      </c>
      <c r="AE742" t="str">
        <f>TRIM(PROPER(I:I))</f>
        <v>Mumbai</v>
      </c>
      <c r="AF742" t="str">
        <f>TRIM(PROPER(J:J))</f>
        <v>Furniture</v>
      </c>
      <c r="AG742" t="str">
        <f>TRIM(PROPER(K:K))</f>
        <v>Chairs</v>
      </c>
      <c r="AH742" t="str">
        <f>TRIM(PROPER(L:L))</f>
        <v>Eco Chairs 883</v>
      </c>
      <c r="AI742" t="str">
        <f>TRIM(PROPER(M:M))</f>
        <v>First Class</v>
      </c>
      <c r="AJ742" s="5">
        <f>IF(OR(P742&lt;0,P742&gt;0.5),"invalid",P742)</f>
        <v>0.1</v>
      </c>
      <c r="AK742" s="6">
        <f>IFERROR(N742*O742*(1-AJ742), "NA")</f>
        <v>9298.8000000000011</v>
      </c>
      <c r="AL742" s="6">
        <f>IFERROR(AK742-R742,"NA")</f>
        <v>2750.3000000000011</v>
      </c>
      <c r="AM742" s="5">
        <f t="shared" si="55"/>
        <v>0.29576934658235482</v>
      </c>
      <c r="AN742" t="str">
        <v>02-04-24</v>
      </c>
      <c r="AO742" t="str">
        <v>04-02-24</v>
      </c>
      <c r="AP742" t="str">
        <f t="shared" si="56"/>
        <v>April</v>
      </c>
      <c r="AQ742" t="str">
        <f t="shared" si="57"/>
        <v>2024</v>
      </c>
      <c r="AR742" t="str">
        <f t="shared" si="58"/>
        <v xml:space="preserve"> </v>
      </c>
      <c r="AS742">
        <f t="shared" si="59"/>
        <v>-58</v>
      </c>
      <c r="AT742" t="str">
        <f>IF(COUNTIFS( $A:$A,A742,$B:$B,B742,$C:$C,C742,$D:$D,D742,$E:$E,E742,$F:$F,F742,$G:$G,G742,$H:$H,H742,$I:$I,I742,$J:$J,J742,$K:$K,K742,$L:$L,L742,$M:$M,M742,$T:$T,T742,$U:$U,U742,$W:$W,W742,$Z:$Z,Z742,$AA:$AA,AA742,$AB:$AB,AB742,$AC:$AC,AC742,$AD:$AD,AD742,$AE:$AE,AE742,$AF:$AF,AF742,$AG:$AG,AG742,$AH:$AH,AH742,$AI:$AI,AI742)&gt;1,"Duplicate","Unique")</f>
        <v>Unique</v>
      </c>
    </row>
    <row r="743" spans="1:46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  <c r="W743" t="s">
        <v>3442</v>
      </c>
      <c r="Z743" t="s">
        <v>3445</v>
      </c>
      <c r="AA743" t="str">
        <v>Isha Nair</v>
      </c>
      <c r="AB743" t="str">
        <f>TRIM(PROPER(F:F))</f>
        <v>Home Office</v>
      </c>
      <c r="AC743" t="str">
        <f>TRIM(PROPER(G:G))</f>
        <v>South</v>
      </c>
      <c r="AD743" t="str">
        <f>TRIM(PROPER(H:H))</f>
        <v>Tamil Nadu</v>
      </c>
      <c r="AE743" t="str">
        <f>TRIM(PROPER(I:I))</f>
        <v>Chennai</v>
      </c>
      <c r="AF743" t="str">
        <f>TRIM(PROPER(J:J))</f>
        <v>Furniture</v>
      </c>
      <c r="AG743" t="str">
        <f>TRIM(PROPER(K:K))</f>
        <v>Chairs</v>
      </c>
      <c r="AH743" t="str">
        <f>TRIM(PROPER(L:L))</f>
        <v>Max Chairs 706</v>
      </c>
      <c r="AI743" t="str">
        <f>TRIM(PROPER(M:M))</f>
        <v>Second Class</v>
      </c>
      <c r="AJ743" s="5">
        <f>IF(OR(P743&lt;0,P743&gt;0.5),"invalid",P743)</f>
        <v>0</v>
      </c>
      <c r="AK743" s="6">
        <f>IFERROR(N743*O743*(1-AJ743), "NA")</f>
        <v>8853.36</v>
      </c>
      <c r="AL743" s="6">
        <f>IFERROR(AK743-R743,"NA")</f>
        <v>3257.0200000000004</v>
      </c>
      <c r="AM743" s="5">
        <f t="shared" si="55"/>
        <v>0.36788518709280998</v>
      </c>
      <c r="AN743" t="str">
        <v>invalid date</v>
      </c>
      <c r="AO743" t="str">
        <v>25-04-25</v>
      </c>
      <c r="AP743" t="str">
        <f t="shared" si="56"/>
        <v>invalid date</v>
      </c>
      <c r="AQ743" t="str">
        <f t="shared" si="57"/>
        <v>invalid date</v>
      </c>
      <c r="AR743" t="str">
        <f t="shared" si="58"/>
        <v>Invalid</v>
      </c>
      <c r="AS743" t="str">
        <f t="shared" si="59"/>
        <v>invalid date</v>
      </c>
      <c r="AT743" t="str">
        <f>IF(COUNTIFS( $A:$A,A743,$B:$B,B743,$C:$C,C743,$D:$D,D743,$E:$E,E743,$F:$F,F743,$G:$G,G743,$H:$H,H743,$I:$I,I743,$J:$J,J743,$K:$K,K743,$L:$L,L743,$M:$M,M743,$T:$T,T743,$U:$U,U743,$W:$W,W743,$Z:$Z,Z743,$AA:$AA,AA743,$AB:$AB,AB743,$AC:$AC,AC743,$AD:$AD,AD743,$AE:$AE,AE743,$AF:$AF,AF743,$AG:$AG,AG743,$AH:$AH,AH743,$AI:$AI,AI743)&gt;1,"Duplicate","Unique")</f>
        <v>Unique</v>
      </c>
    </row>
    <row r="744" spans="1:46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  <c r="W744" t="s">
        <v>3447</v>
      </c>
      <c r="Z744" t="s">
        <v>3450</v>
      </c>
      <c r="AA744" t="str">
        <v>Karan Malhotra</v>
      </c>
      <c r="AB744" t="str">
        <f>TRIM(PROPER(F:F))</f>
        <v>Corporate</v>
      </c>
      <c r="AC744" t="str">
        <f>TRIM(PROPER(G:G))</f>
        <v>East</v>
      </c>
      <c r="AD744" t="str">
        <f>TRIM(PROPER(H:H))</f>
        <v>Odisha</v>
      </c>
      <c r="AE744" t="str">
        <f>TRIM(PROPER(I:I))</f>
        <v>Bhubaneswar</v>
      </c>
      <c r="AF744" t="str">
        <f>TRIM(PROPER(J:J))</f>
        <v>Office Supplies</v>
      </c>
      <c r="AG744" t="str">
        <f>TRIM(PROPER(K:K))</f>
        <v>Paper</v>
      </c>
      <c r="AH744" t="str">
        <f>TRIM(PROPER(L:L))</f>
        <v>Prime Paper 768</v>
      </c>
      <c r="AI744" t="str">
        <f>TRIM(PROPER(M:M))</f>
        <v>Standard Class</v>
      </c>
      <c r="AJ744" s="5">
        <f>IF(OR(P744&lt;0,P744&gt;0.5),"invalid",P744)</f>
        <v>0</v>
      </c>
      <c r="AK744" s="6">
        <f>IFERROR(N744*O744*(1-AJ744), "NA")</f>
        <v>9043.7999999999993</v>
      </c>
      <c r="AL744" s="6">
        <f>IFERROR(AK744-R744,"NA")</f>
        <v>3130.4199999999992</v>
      </c>
      <c r="AM744" s="5">
        <f t="shared" si="55"/>
        <v>0.34613989694597397</v>
      </c>
      <c r="AN744" t="str">
        <v>invalid date</v>
      </c>
      <c r="AO744" t="str">
        <v>22-10-24</v>
      </c>
      <c r="AP744" t="str">
        <f t="shared" si="56"/>
        <v>invalid date</v>
      </c>
      <c r="AQ744" t="str">
        <f t="shared" si="57"/>
        <v>invalid date</v>
      </c>
      <c r="AR744" t="str">
        <f t="shared" si="58"/>
        <v>Invalid</v>
      </c>
      <c r="AS744" t="str">
        <f t="shared" si="59"/>
        <v>invalid date</v>
      </c>
      <c r="AT744" t="str">
        <f>IF(COUNTIFS( $A:$A,A744,$B:$B,B744,$C:$C,C744,$D:$D,D744,$E:$E,E744,$F:$F,F744,$G:$G,G744,$H:$H,H744,$I:$I,I744,$J:$J,J744,$K:$K,K744,$L:$L,L744,$M:$M,M744,$T:$T,T744,$U:$U,U744,$W:$W,W744,$Z:$Z,Z744,$AA:$AA,AA744,$AB:$AB,AB744,$AC:$AC,AC744,$AD:$AD,AD744,$AE:$AE,AE744,$AF:$AF,AF744,$AG:$AG,AG744,$AH:$AH,AH744,$AI:$AI,AI744)&gt;1,"Duplicate","Unique")</f>
        <v>Unique</v>
      </c>
    </row>
    <row r="745" spans="1:46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  <c r="W745" t="s">
        <v>3453</v>
      </c>
      <c r="Z745" t="s">
        <v>3454</v>
      </c>
      <c r="AA745" t="str">
        <v>Sneha Kapoor</v>
      </c>
      <c r="AB745" t="str">
        <f>TRIM(PROPER(F:F))</f>
        <v>Consumer</v>
      </c>
      <c r="AC745" t="str">
        <f>TRIM(PROPER(G:G))</f>
        <v>North</v>
      </c>
      <c r="AD745" t="str">
        <f>TRIM(PROPER(H:H))</f>
        <v>Uttar Pradesh</v>
      </c>
      <c r="AE745" t="str">
        <f>TRIM(PROPER(I:I))</f>
        <v>Noida</v>
      </c>
      <c r="AF745" t="str">
        <f>TRIM(PROPER(J:J))</f>
        <v>Office Supplies</v>
      </c>
      <c r="AG745" t="str">
        <f>TRIM(PROPER(K:K))</f>
        <v>Art</v>
      </c>
      <c r="AH745" t="str">
        <f>TRIM(PROPER(L:L))</f>
        <v>Basic Art 764</v>
      </c>
      <c r="AI745" t="str">
        <f>TRIM(PROPER(M:M))</f>
        <v>Standard Class</v>
      </c>
      <c r="AJ745" s="5">
        <f>IF(OR(P745&lt;0,P745&gt;0.5),"invalid",P745)</f>
        <v>0.25</v>
      </c>
      <c r="AK745" s="6">
        <f>IFERROR(N745*O745*(1-AJ745), "NA")</f>
        <v>2211.2999999999997</v>
      </c>
      <c r="AL745" s="6">
        <f>IFERROR(AK745-R745,"NA")</f>
        <v>475.65999999999963</v>
      </c>
      <c r="AM745" s="5">
        <f t="shared" si="55"/>
        <v>0.21510423732645942</v>
      </c>
      <c r="AN745" t="str">
        <v>02-12-25</v>
      </c>
      <c r="AO745" t="str">
        <v>14-02-25</v>
      </c>
      <c r="AP745" t="str">
        <f t="shared" si="56"/>
        <v>December</v>
      </c>
      <c r="AQ745" t="str">
        <f t="shared" si="57"/>
        <v>2025</v>
      </c>
      <c r="AR745" t="str">
        <f t="shared" si="58"/>
        <v xml:space="preserve"> </v>
      </c>
      <c r="AS745">
        <f t="shared" si="59"/>
        <v>-291</v>
      </c>
      <c r="AT745" t="str">
        <f>IF(COUNTIFS( $A:$A,A745,$B:$B,B745,$C:$C,C745,$D:$D,D745,$E:$E,E745,$F:$F,F745,$G:$G,G745,$H:$H,H745,$I:$I,I745,$J:$J,J745,$K:$K,K745,$L:$L,L745,$M:$M,M745,$T:$T,T745,$U:$U,U745,$W:$W,W745,$Z:$Z,Z745,$AA:$AA,AA745,$AB:$AB,AB745,$AC:$AC,AC745,$AD:$AD,AD745,$AE:$AE,AE745,$AF:$AF,AF745,$AG:$AG,AG745,$AH:$AH,AH745,$AI:$AI,AI745)&gt;1,"Duplicate","Unique")</f>
        <v>Unique</v>
      </c>
    </row>
    <row r="746" spans="1:46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  <c r="W746" t="s">
        <v>3456</v>
      </c>
      <c r="Z746" t="s">
        <v>3458</v>
      </c>
      <c r="AA746" t="str">
        <v>Mira Das</v>
      </c>
      <c r="AB746" t="str">
        <f>TRIM(PROPER(F:F))</f>
        <v>Home Office</v>
      </c>
      <c r="AC746" t="str">
        <f>TRIM(PROPER(G:G))</f>
        <v>North</v>
      </c>
      <c r="AD746" t="str">
        <f>TRIM(PROPER(H:H))</f>
        <v>Punjab</v>
      </c>
      <c r="AE746" t="str">
        <f>TRIM(PROPER(I:I))</f>
        <v>Ludhiana</v>
      </c>
      <c r="AF746" t="str">
        <f>TRIM(PROPER(J:J))</f>
        <v>Office Supplies</v>
      </c>
      <c r="AG746" t="str">
        <f>TRIM(PROPER(K:K))</f>
        <v>Binders</v>
      </c>
      <c r="AH746" t="str">
        <f>TRIM(PROPER(L:L))</f>
        <v>Prime Binders 181</v>
      </c>
      <c r="AI746" t="str">
        <f>TRIM(PROPER(M:M))</f>
        <v>First Class</v>
      </c>
      <c r="AJ746" s="5">
        <f>IF(OR(P746&lt;0,P746&gt;0.5),"invalid",P746)</f>
        <v>0.1</v>
      </c>
      <c r="AK746" s="6">
        <f>IFERROR(N746*O746*(1-AJ746), "NA")</f>
        <v>12158.504999999999</v>
      </c>
      <c r="AL746" s="6">
        <f>IFERROR(AK746-R746,"NA")</f>
        <v>1898.4349999999995</v>
      </c>
      <c r="AM746" s="5">
        <f t="shared" si="55"/>
        <v>0.15614049589155901</v>
      </c>
      <c r="AN746" t="str">
        <v>17-08-25</v>
      </c>
      <c r="AO746" t="str">
        <v>20-08-25</v>
      </c>
      <c r="AP746" t="str">
        <f t="shared" si="56"/>
        <v>August</v>
      </c>
      <c r="AQ746" t="str">
        <f t="shared" si="57"/>
        <v>2025</v>
      </c>
      <c r="AR746" t="str">
        <f t="shared" si="58"/>
        <v xml:space="preserve"> </v>
      </c>
      <c r="AS746">
        <f t="shared" si="59"/>
        <v>3</v>
      </c>
      <c r="AT746" t="str">
        <f>IF(COUNTIFS( $A:$A,A746,$B:$B,B746,$C:$C,C746,$D:$D,D746,$E:$E,E746,$F:$F,F746,$G:$G,G746,$H:$H,H746,$I:$I,I746,$J:$J,J746,$K:$K,K746,$L:$L,L746,$M:$M,M746,$T:$T,T746,$U:$U,U746,$W:$W,W746,$Z:$Z,Z746,$AA:$AA,AA746,$AB:$AB,AB746,$AC:$AC,AC746,$AD:$AD,AD746,$AE:$AE,AE746,$AF:$AF,AF746,$AG:$AG,AG746,$AH:$AH,AH746,$AI:$AI,AI746)&gt;1,"Duplicate","Unique")</f>
        <v>Unique</v>
      </c>
    </row>
    <row r="747" spans="1:46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  <c r="W747" t="s">
        <v>3460</v>
      </c>
      <c r="Z747" t="s">
        <v>3463</v>
      </c>
      <c r="AA747" t="str">
        <v>Mira Das</v>
      </c>
      <c r="AB747" t="str">
        <f>TRIM(PROPER(F:F))</f>
        <v>Small Business</v>
      </c>
      <c r="AC747" t="str">
        <f>TRIM(PROPER(G:G))</f>
        <v>East</v>
      </c>
      <c r="AD747" t="str">
        <f>TRIM(PROPER(H:H))</f>
        <v>Assam</v>
      </c>
      <c r="AE747" t="str">
        <f>TRIM(PROPER(I:I))</f>
        <v>Guwahati</v>
      </c>
      <c r="AF747" t="str">
        <f>TRIM(PROPER(J:J))</f>
        <v>Technology</v>
      </c>
      <c r="AG747" t="str">
        <f>TRIM(PROPER(K:K))</f>
        <v>Copiers</v>
      </c>
      <c r="AH747" t="str">
        <f>TRIM(PROPER(L:L))</f>
        <v>Max Copiers 866</v>
      </c>
      <c r="AI747" t="str">
        <f>TRIM(PROPER(M:M))</f>
        <v>Standard Class</v>
      </c>
      <c r="AJ747" s="5">
        <f>IF(OR(P747&lt;0,P747&gt;0.5),"invalid",P747)</f>
        <v>0.2</v>
      </c>
      <c r="AK747" s="6">
        <f>IFERROR(N747*O747*(1-AJ747), "NA")</f>
        <v>1736.616</v>
      </c>
      <c r="AL747" s="6">
        <f>IFERROR(AK747-R747,"NA")</f>
        <v>677.096</v>
      </c>
      <c r="AM747" s="5">
        <f t="shared" si="55"/>
        <v>0.38989390861307277</v>
      </c>
      <c r="AN747" t="str">
        <v>24-10-24</v>
      </c>
      <c r="AO747" t="str">
        <v>28-10-24</v>
      </c>
      <c r="AP747" t="str">
        <f t="shared" si="56"/>
        <v>October</v>
      </c>
      <c r="AQ747" t="str">
        <f t="shared" si="57"/>
        <v>2024</v>
      </c>
      <c r="AR747" t="str">
        <f t="shared" si="58"/>
        <v xml:space="preserve"> </v>
      </c>
      <c r="AS747">
        <f t="shared" si="59"/>
        <v>4</v>
      </c>
      <c r="AT747" t="str">
        <f>IF(COUNTIFS( $A:$A,A747,$B:$B,B747,$C:$C,C747,$D:$D,D747,$E:$E,E747,$F:$F,F747,$G:$G,G747,$H:$H,H747,$I:$I,I747,$J:$J,J747,$K:$K,K747,$L:$L,L747,$M:$M,M747,$T:$T,T747,$U:$U,U747,$W:$W,W747,$Z:$Z,Z747,$AA:$AA,AA747,$AB:$AB,AB747,$AC:$AC,AC747,$AD:$AD,AD747,$AE:$AE,AE747,$AF:$AF,AF747,$AG:$AG,AG747,$AH:$AH,AH747,$AI:$AI,AI747)&gt;1,"Duplicate","Unique")</f>
        <v>Unique</v>
      </c>
    </row>
    <row r="748" spans="1:46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  <c r="W748" t="s">
        <v>3465</v>
      </c>
      <c r="Z748" t="s">
        <v>3053</v>
      </c>
      <c r="AA748" t="str">
        <v>Aarav Sharma</v>
      </c>
      <c r="AB748" t="str">
        <f>TRIM(PROPER(F:F))</f>
        <v>Home Office</v>
      </c>
      <c r="AC748" t="str">
        <f>TRIM(PROPER(G:G))</f>
        <v>East</v>
      </c>
      <c r="AD748" t="str">
        <f>TRIM(PROPER(H:H))</f>
        <v>West Bengal</v>
      </c>
      <c r="AE748" t="str">
        <f>TRIM(PROPER(I:I))</f>
        <v>Kolkata</v>
      </c>
      <c r="AF748" t="str">
        <f>TRIM(PROPER(J:J))</f>
        <v>Office Supplies</v>
      </c>
      <c r="AG748" t="str">
        <f>TRIM(PROPER(K:K))</f>
        <v>Paper</v>
      </c>
      <c r="AH748" t="str">
        <f>TRIM(PROPER(L:L))</f>
        <v>Pro Paper 662</v>
      </c>
      <c r="AI748" t="str">
        <f>TRIM(PROPER(M:M))</f>
        <v>Standard Class</v>
      </c>
      <c r="AJ748" s="5">
        <f>IF(OR(P748&lt;0,P748&gt;0.5),"invalid",P748)</f>
        <v>0.2</v>
      </c>
      <c r="AK748" s="6">
        <f>IFERROR(N748*O748*(1-AJ748), "NA")</f>
        <v>8266.2080000000005</v>
      </c>
      <c r="AL748" s="6">
        <f>IFERROR(AK748-R748,"NA")</f>
        <v>2029.8880000000008</v>
      </c>
      <c r="AM748" s="5">
        <f t="shared" si="55"/>
        <v>0.24556459261610653</v>
      </c>
      <c r="AN748" t="str">
        <v>04-01-25</v>
      </c>
      <c r="AO748" t="str">
        <v>10-01-25</v>
      </c>
      <c r="AP748" t="str">
        <f t="shared" si="56"/>
        <v>January</v>
      </c>
      <c r="AQ748" t="str">
        <f t="shared" si="57"/>
        <v>2025</v>
      </c>
      <c r="AR748" t="str">
        <f t="shared" si="58"/>
        <v xml:space="preserve"> </v>
      </c>
      <c r="AS748">
        <f t="shared" si="59"/>
        <v>6</v>
      </c>
      <c r="AT748" t="str">
        <f>IF(COUNTIFS( $A:$A,A748,$B:$B,B748,$C:$C,C748,$D:$D,D748,$E:$E,E748,$F:$F,F748,$G:$G,G748,$H:$H,H748,$I:$I,I748,$J:$J,J748,$K:$K,K748,$L:$L,L748,$M:$M,M748,$T:$T,T748,$U:$U,U748,$W:$W,W748,$Z:$Z,Z748,$AA:$AA,AA748,$AB:$AB,AB748,$AC:$AC,AC748,$AD:$AD,AD748,$AE:$AE,AE748,$AF:$AF,AF748,$AG:$AG,AG748,$AH:$AH,AH748,$AI:$AI,AI748)&gt;1,"Duplicate","Unique")</f>
        <v>Unique</v>
      </c>
    </row>
    <row r="749" spans="1:46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  <c r="W749" t="s">
        <v>3468</v>
      </c>
      <c r="Z749" t="s">
        <v>3471</v>
      </c>
      <c r="AA749" t="str">
        <v>Isha Nair</v>
      </c>
      <c r="AB749" t="str">
        <f>TRIM(PROPER(F:F))</f>
        <v>Home Office</v>
      </c>
      <c r="AC749" t="str">
        <f>TRIM(PROPER(G:G))</f>
        <v>East</v>
      </c>
      <c r="AD749" t="str">
        <f>TRIM(PROPER(H:H))</f>
        <v>Odisha</v>
      </c>
      <c r="AE749" t="str">
        <f>TRIM(PROPER(I:I))</f>
        <v>Bhubaneswar</v>
      </c>
      <c r="AF749" t="str">
        <f>TRIM(PROPER(J:J))</f>
        <v>Office Supplies</v>
      </c>
      <c r="AG749" t="str">
        <f>TRIM(PROPER(K:K))</f>
        <v>Paper</v>
      </c>
      <c r="AH749" t="str">
        <f>TRIM(PROPER(L:L))</f>
        <v>Classic Paper 388</v>
      </c>
      <c r="AI749" t="str">
        <f>TRIM(PROPER(M:M))</f>
        <v>Same Day</v>
      </c>
      <c r="AJ749" s="5">
        <f>IF(OR(P749&lt;0,P749&gt;0.5),"invalid",P749)</f>
        <v>0.15</v>
      </c>
      <c r="AK749" s="6">
        <f>IFERROR(N749*O749*(1-AJ749), "NA")</f>
        <v>10022.044</v>
      </c>
      <c r="AL749" s="6">
        <f>IFERROR(AK749-R749,"NA")</f>
        <v>4445.0640000000003</v>
      </c>
      <c r="AM749" s="5">
        <f t="shared" si="55"/>
        <v>0.44352868536597928</v>
      </c>
      <c r="AN749" t="str">
        <v>01-05-24</v>
      </c>
      <c r="AO749" t="str">
        <v>07-05-24</v>
      </c>
      <c r="AP749" t="str">
        <f t="shared" si="56"/>
        <v>May</v>
      </c>
      <c r="AQ749" t="str">
        <f t="shared" si="57"/>
        <v>2024</v>
      </c>
      <c r="AR749" t="str">
        <f t="shared" si="58"/>
        <v xml:space="preserve"> </v>
      </c>
      <c r="AS749">
        <f t="shared" si="59"/>
        <v>6</v>
      </c>
      <c r="AT749" t="str">
        <f>IF(COUNTIFS( $A:$A,A749,$B:$B,B749,$C:$C,C749,$D:$D,D749,$E:$E,E749,$F:$F,F749,$G:$G,G749,$H:$H,H749,$I:$I,I749,$J:$J,J749,$K:$K,K749,$L:$L,L749,$M:$M,M749,$T:$T,T749,$U:$U,U749,$W:$W,W749,$Z:$Z,Z749,$AA:$AA,AA749,$AB:$AB,AB749,$AC:$AC,AC749,$AD:$AD,AD749,$AE:$AE,AE749,$AF:$AF,AF749,$AG:$AG,AG749,$AH:$AH,AH749,$AI:$AI,AI749)&gt;1,"Duplicate","Unique")</f>
        <v>Unique</v>
      </c>
    </row>
    <row r="750" spans="1:46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  <c r="W750" t="s">
        <v>3473</v>
      </c>
      <c r="Z750" t="s">
        <v>3476</v>
      </c>
      <c r="AA750" t="str">
        <v>Diya Patel</v>
      </c>
      <c r="AB750" t="str">
        <f>TRIM(PROPER(F:F))</f>
        <v>Home Office</v>
      </c>
      <c r="AC750" t="str">
        <f>TRIM(PROPER(G:G))</f>
        <v>North</v>
      </c>
      <c r="AD750" t="str">
        <f>TRIM(PROPER(H:H))</f>
        <v>Haryana</v>
      </c>
      <c r="AE750" t="str">
        <f>TRIM(PROPER(I:I))</f>
        <v>Gurugram</v>
      </c>
      <c r="AF750" t="str">
        <f>TRIM(PROPER(J:J))</f>
        <v>Technology</v>
      </c>
      <c r="AG750" t="str">
        <f>TRIM(PROPER(K:K))</f>
        <v>Phones</v>
      </c>
      <c r="AH750" t="str">
        <f>TRIM(PROPER(L:L))</f>
        <v>Pro Phones 765</v>
      </c>
      <c r="AI750" t="str">
        <f>TRIM(PROPER(M:M))</f>
        <v>Second Class</v>
      </c>
      <c r="AJ750" s="5">
        <f>IF(OR(P750&lt;0,P750&gt;0.5),"invalid",P750)</f>
        <v>0.25</v>
      </c>
      <c r="AK750" s="6">
        <f>IFERROR(N750*O750*(1-AJ750), "NA")</f>
        <v>2886.0299999999997</v>
      </c>
      <c r="AL750" s="6">
        <f>IFERROR(AK750-R750,"NA")</f>
        <v>821.19999999999982</v>
      </c>
      <c r="AM750" s="5">
        <f t="shared" si="55"/>
        <v>0.28454312671732446</v>
      </c>
      <c r="AN750" t="str">
        <v>30-05-24</v>
      </c>
      <c r="AO750" t="str">
        <v>invalid date</v>
      </c>
      <c r="AP750" t="str">
        <f t="shared" si="56"/>
        <v>May</v>
      </c>
      <c r="AQ750" t="str">
        <f t="shared" si="57"/>
        <v>2024</v>
      </c>
      <c r="AR750" t="str">
        <f t="shared" si="58"/>
        <v>Invalid</v>
      </c>
      <c r="AS750" t="str">
        <f t="shared" si="59"/>
        <v>invalid date</v>
      </c>
      <c r="AT750" t="str">
        <f>IF(COUNTIFS( $A:$A,A750,$B:$B,B750,$C:$C,C750,$D:$D,D750,$E:$E,E750,$F:$F,F750,$G:$G,G750,$H:$H,H750,$I:$I,I750,$J:$J,J750,$K:$K,K750,$L:$L,L750,$M:$M,M750,$T:$T,T750,$U:$U,U750,$W:$W,W750,$Z:$Z,Z750,$AA:$AA,AA750,$AB:$AB,AB750,$AC:$AC,AC750,$AD:$AD,AD750,$AE:$AE,AE750,$AF:$AF,AF750,$AG:$AG,AG750,$AH:$AH,AH750,$AI:$AI,AI750)&gt;1,"Duplicate","Unique")</f>
        <v>Unique</v>
      </c>
    </row>
    <row r="751" spans="1:46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  <c r="W751" t="s">
        <v>3478</v>
      </c>
      <c r="Z751" t="s">
        <v>3481</v>
      </c>
      <c r="AA751" t="str">
        <v>Aditi Sen</v>
      </c>
      <c r="AB751" t="str">
        <f>TRIM(PROPER(F:F))</f>
        <v>Home Office</v>
      </c>
      <c r="AC751" t="str">
        <f>TRIM(PROPER(G:G))</f>
        <v>East</v>
      </c>
      <c r="AD751" t="str">
        <f>TRIM(PROPER(H:H))</f>
        <v>Assam</v>
      </c>
      <c r="AE751" t="str">
        <f>TRIM(PROPER(I:I))</f>
        <v>Guwahati</v>
      </c>
      <c r="AF751" t="str">
        <f>TRIM(PROPER(J:J))</f>
        <v>Technology</v>
      </c>
      <c r="AG751" t="str">
        <f>TRIM(PROPER(K:K))</f>
        <v>Machines</v>
      </c>
      <c r="AH751" t="str">
        <f>TRIM(PROPER(L:L))</f>
        <v>Classic Machines 543</v>
      </c>
      <c r="AI751" t="str">
        <f>TRIM(PROPER(M:M))</f>
        <v>Standard Class</v>
      </c>
      <c r="AJ751" s="5">
        <f>IF(OR(P751&lt;0,P751&gt;0.5),"invalid",P751)</f>
        <v>0.15</v>
      </c>
      <c r="AK751" s="6">
        <f>IFERROR(N751*O751*(1-AJ751), "NA")</f>
        <v>1459.1949999999999</v>
      </c>
      <c r="AL751" s="6">
        <f>IFERROR(AK751-R751,"NA")</f>
        <v>403.40499999999997</v>
      </c>
      <c r="AM751" s="5">
        <f t="shared" si="55"/>
        <v>0.27645722470266137</v>
      </c>
      <c r="AN751" t="str">
        <v>21-03-24</v>
      </c>
      <c r="AO751" t="str">
        <v>25-03-24</v>
      </c>
      <c r="AP751" t="str">
        <f t="shared" si="56"/>
        <v>March</v>
      </c>
      <c r="AQ751" t="str">
        <f t="shared" si="57"/>
        <v>2024</v>
      </c>
      <c r="AR751" t="str">
        <f t="shared" si="58"/>
        <v xml:space="preserve"> </v>
      </c>
      <c r="AS751">
        <f t="shared" si="59"/>
        <v>4</v>
      </c>
      <c r="AT751" t="str">
        <f>IF(COUNTIFS( $A:$A,A751,$B:$B,B751,$C:$C,C751,$D:$D,D751,$E:$E,E751,$F:$F,F751,$G:$G,G751,$H:$H,H751,$I:$I,I751,$J:$J,J751,$K:$K,K751,$L:$L,L751,$M:$M,M751,$T:$T,T751,$U:$U,U751,$W:$W,W751,$Z:$Z,Z751,$AA:$AA,AA751,$AB:$AB,AB751,$AC:$AC,AC751,$AD:$AD,AD751,$AE:$AE,AE751,$AF:$AF,AF751,$AG:$AG,AG751,$AH:$AH,AH751,$AI:$AI,AI751)&gt;1,"Duplicate","Unique")</f>
        <v>Unique</v>
      </c>
    </row>
    <row r="752" spans="1:46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  <c r="W752" t="s">
        <v>3483</v>
      </c>
      <c r="Z752" t="s">
        <v>3485</v>
      </c>
      <c r="AA752" t="str">
        <v>Aarav Sharma</v>
      </c>
      <c r="AB752" t="str">
        <f>TRIM(PROPER(F:F))</f>
        <v>Home Office</v>
      </c>
      <c r="AC752" t="str">
        <f>TRIM(PROPER(G:G))</f>
        <v>South</v>
      </c>
      <c r="AD752" t="str">
        <f>TRIM(PROPER(H:H))</f>
        <v>Telangana</v>
      </c>
      <c r="AE752" t="str">
        <f>TRIM(PROPER(I:I))</f>
        <v>Hyderabad</v>
      </c>
      <c r="AF752" t="str">
        <f>TRIM(PROPER(J:J))</f>
        <v>Technology</v>
      </c>
      <c r="AG752" t="str">
        <f>TRIM(PROPER(K:K))</f>
        <v>Accessories</v>
      </c>
      <c r="AH752" t="str">
        <f>TRIM(PROPER(L:L))</f>
        <v>Max Accessories 291</v>
      </c>
      <c r="AI752" t="str">
        <f>TRIM(PROPER(M:M))</f>
        <v>First Class</v>
      </c>
      <c r="AJ752" s="5">
        <f>IF(OR(P752&lt;0,P752&gt;0.5),"invalid",P752)</f>
        <v>0.15</v>
      </c>
      <c r="AK752" s="6">
        <f>IFERROR(N752*O752*(1-AJ752), "NA")</f>
        <v>26696.323999999997</v>
      </c>
      <c r="AL752" s="6">
        <f>IFERROR(AK752-R752,"NA")</f>
        <v>3971.8039999999964</v>
      </c>
      <c r="AM752" s="5">
        <f t="shared" si="55"/>
        <v>0.14877718745097629</v>
      </c>
      <c r="AN752" t="str">
        <v>06-02-25</v>
      </c>
      <c r="AO752" t="str">
        <v>02-06-25</v>
      </c>
      <c r="AP752" t="str">
        <f t="shared" si="56"/>
        <v>February</v>
      </c>
      <c r="AQ752" t="str">
        <f t="shared" si="57"/>
        <v>2025</v>
      </c>
      <c r="AR752" t="str">
        <f t="shared" si="58"/>
        <v>anomaly</v>
      </c>
      <c r="AS752">
        <f t="shared" si="59"/>
        <v>116</v>
      </c>
      <c r="AT752" t="str">
        <f>IF(COUNTIFS( $A:$A,A752,$B:$B,B752,$C:$C,C752,$D:$D,D752,$E:$E,E752,$F:$F,F752,$G:$G,G752,$H:$H,H752,$I:$I,I752,$J:$J,J752,$K:$K,K752,$L:$L,L752,$M:$M,M752,$T:$T,T752,$U:$U,U752,$W:$W,W752,$Z:$Z,Z752,$AA:$AA,AA752,$AB:$AB,AB752,$AC:$AC,AC752,$AD:$AD,AD752,$AE:$AE,AE752,$AF:$AF,AF752,$AG:$AG,AG752,$AH:$AH,AH752,$AI:$AI,AI752)&gt;1,"Duplicate","Unique")</f>
        <v>Unique</v>
      </c>
    </row>
    <row r="753" spans="1:46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  <c r="W753" t="s">
        <v>3487</v>
      </c>
      <c r="Z753" t="s">
        <v>3489</v>
      </c>
      <c r="AA753" t="str">
        <v>Priya Menon</v>
      </c>
      <c r="AB753" t="str">
        <f>TRIM(PROPER(F:F))</f>
        <v>Home Office</v>
      </c>
      <c r="AC753" t="s">
        <v>4111</v>
      </c>
      <c r="AD753" t="str">
        <f>TRIM(PROPER(H:H))</f>
        <v>Uttar Pradesh</v>
      </c>
      <c r="AE753" t="str">
        <f>TRIM(PROPER(I:I))</f>
        <v>Noida</v>
      </c>
      <c r="AF753" t="str">
        <f>TRIM(PROPER(J:J))</f>
        <v>Technology</v>
      </c>
      <c r="AG753" t="str">
        <f>TRIM(PROPER(K:K))</f>
        <v>Machines</v>
      </c>
      <c r="AH753" t="str">
        <f>TRIM(PROPER(L:L))</f>
        <v>Eco Machines 414</v>
      </c>
      <c r="AI753" t="s">
        <v>4111</v>
      </c>
      <c r="AJ753" s="5">
        <f>IF(OR(P753&lt;0,P753&gt;0.5),"invalid",P753)</f>
        <v>0.05</v>
      </c>
      <c r="AK753" s="6">
        <f>IFERROR(N753*O753*(1-AJ753), "NA")</f>
        <v>8445.2624999999989</v>
      </c>
      <c r="AL753" s="6">
        <f>IFERROR(AK753-R753,"NA")</f>
        <v>1507.6624999999985</v>
      </c>
      <c r="AM753" s="5">
        <f t="shared" si="55"/>
        <v>0.17852168597482893</v>
      </c>
      <c r="AN753" t="str">
        <v>18-07-25</v>
      </c>
      <c r="AO753" t="str">
        <v>19-07-25</v>
      </c>
      <c r="AP753" t="str">
        <f t="shared" si="56"/>
        <v>July</v>
      </c>
      <c r="AQ753" t="str">
        <f t="shared" si="57"/>
        <v>2025</v>
      </c>
      <c r="AR753" t="str">
        <f t="shared" si="58"/>
        <v xml:space="preserve"> </v>
      </c>
      <c r="AS753">
        <f t="shared" si="59"/>
        <v>1</v>
      </c>
      <c r="AT753" t="str">
        <f>IF(COUNTIFS( $A:$A,A753,$B:$B,B753,$C:$C,C753,$D:$D,D753,$E:$E,E753,$F:$F,F753,$G:$G,G753,$H:$H,H753,$I:$I,I753,$J:$J,J753,$K:$K,K753,$L:$L,L753,$M:$M,M753,$T:$T,T753,$U:$U,U753,$W:$W,W753,$Z:$Z,Z753,$AA:$AA,AA753,$AB:$AB,AB753,$AC:$AC,AC753,$AD:$AD,AD753,$AE:$AE,AE753,$AF:$AF,AF753,$AG:$AG,AG753,$AH:$AH,AH753,$AI:$AI,AI753)&gt;1,"Duplicate","Unique")</f>
        <v>Unique</v>
      </c>
    </row>
    <row r="754" spans="1:46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  <c r="W754" t="s">
        <v>3491</v>
      </c>
      <c r="Z754" t="s">
        <v>3492</v>
      </c>
      <c r="AA754" t="str">
        <v>Aditi Sen</v>
      </c>
      <c r="AB754" t="str">
        <f>TRIM(PROPER(F:F))</f>
        <v>Corporate</v>
      </c>
      <c r="AC754" t="str">
        <f>TRIM(PROPER(G:G))</f>
        <v>West</v>
      </c>
      <c r="AD754" t="str">
        <f>TRIM(PROPER(H:H))</f>
        <v>Gujarat</v>
      </c>
      <c r="AE754" t="str">
        <f>TRIM(PROPER(I:I))</f>
        <v>Ahmedabad</v>
      </c>
      <c r="AF754" t="str">
        <f>TRIM(PROPER(J:J))</f>
        <v>Office Supplies</v>
      </c>
      <c r="AG754" t="str">
        <f>TRIM(PROPER(K:K))</f>
        <v>Storage</v>
      </c>
      <c r="AH754" t="str">
        <f>TRIM(PROPER(L:L))</f>
        <v>Basic Storage 273</v>
      </c>
      <c r="AI754" t="str">
        <f>TRIM(PROPER(M:M))</f>
        <v>First Class</v>
      </c>
      <c r="AJ754" s="5">
        <f>IF(OR(P754&lt;0,P754&gt;0.5),"invalid",P754)</f>
        <v>0.05</v>
      </c>
      <c r="AK754" s="6">
        <f>IFERROR(N754*O754*(1-AJ754), "NA")</f>
        <v>11709.794999999998</v>
      </c>
      <c r="AL754" s="6">
        <f>IFERROR(AK754-R754,"NA")</f>
        <v>3337.5049999999974</v>
      </c>
      <c r="AM754" s="5">
        <f t="shared" si="55"/>
        <v>0.28501822619439521</v>
      </c>
      <c r="AN754" t="str">
        <v>24-03-24</v>
      </c>
      <c r="AO754" t="str">
        <v>27-03-24</v>
      </c>
      <c r="AP754" t="str">
        <f t="shared" si="56"/>
        <v>March</v>
      </c>
      <c r="AQ754" t="str">
        <f t="shared" si="57"/>
        <v>2024</v>
      </c>
      <c r="AR754" t="str">
        <f t="shared" si="58"/>
        <v xml:space="preserve"> </v>
      </c>
      <c r="AS754">
        <f t="shared" si="59"/>
        <v>3</v>
      </c>
      <c r="AT754" t="str">
        <f>IF(COUNTIFS( $A:$A,A754,$B:$B,B754,$C:$C,C754,$D:$D,D754,$E:$E,E754,$F:$F,F754,$G:$G,G754,$H:$H,H754,$I:$I,I754,$J:$J,J754,$K:$K,K754,$L:$L,L754,$M:$M,M754,$T:$T,T754,$U:$U,U754,$W:$W,W754,$Z:$Z,Z754,$AA:$AA,AA754,$AB:$AB,AB754,$AC:$AC,AC754,$AD:$AD,AD754,$AE:$AE,AE754,$AF:$AF,AF754,$AG:$AG,AG754,$AH:$AH,AH754,$AI:$AI,AI754)&gt;1,"Duplicate","Unique")</f>
        <v>Unique</v>
      </c>
    </row>
    <row r="755" spans="1:46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  <c r="W755" t="s">
        <v>3494</v>
      </c>
      <c r="Z755" t="s">
        <v>3495</v>
      </c>
      <c r="AA755" t="str">
        <v>Aditi Sen</v>
      </c>
      <c r="AB755" t="str">
        <f>TRIM(PROPER(F:F))</f>
        <v>Corporate</v>
      </c>
      <c r="AC755" t="str">
        <f>TRIM(PROPER(G:G))</f>
        <v>North</v>
      </c>
      <c r="AD755" t="str">
        <f>TRIM(PROPER(H:H))</f>
        <v>Delhi</v>
      </c>
      <c r="AE755" t="str">
        <f>TRIM(PROPER(I:I))</f>
        <v>New Delhi</v>
      </c>
      <c r="AF755" t="str">
        <f>TRIM(PROPER(J:J))</f>
        <v>Furniture</v>
      </c>
      <c r="AG755" t="str">
        <f>TRIM(PROPER(K:K))</f>
        <v>Furnishings</v>
      </c>
      <c r="AH755" t="str">
        <f>TRIM(PROPER(L:L))</f>
        <v>Elite Furnishings 588</v>
      </c>
      <c r="AI755" t="str">
        <f>TRIM(PROPER(M:M))</f>
        <v>Second Class</v>
      </c>
      <c r="AJ755" s="5">
        <f>IF(OR(P755&lt;0,P755&gt;0.5),"invalid",P755)</f>
        <v>0.15</v>
      </c>
      <c r="AK755" s="6">
        <f>IFERROR(N755*O755*(1-AJ755), "NA")</f>
        <v>2593.9109999999996</v>
      </c>
      <c r="AL755" s="6">
        <f>IFERROR(AK755-R755,"NA")</f>
        <v>745.43099999999959</v>
      </c>
      <c r="AM755" s="5">
        <f t="shared" si="55"/>
        <v>0.28737724617382776</v>
      </c>
      <c r="AN755" t="str">
        <v>11-08-24</v>
      </c>
      <c r="AO755" t="str">
        <v>10-08-24</v>
      </c>
      <c r="AP755" t="str">
        <f t="shared" si="56"/>
        <v>August</v>
      </c>
      <c r="AQ755" t="str">
        <f t="shared" si="57"/>
        <v>2024</v>
      </c>
      <c r="AR755" t="str">
        <f t="shared" si="58"/>
        <v>anomaly</v>
      </c>
      <c r="AS755">
        <f t="shared" si="59"/>
        <v>-1</v>
      </c>
      <c r="AT755" t="str">
        <f>IF(COUNTIFS( $A:$A,A755,$B:$B,B755,$C:$C,C755,$D:$D,D755,$E:$E,E755,$F:$F,F755,$G:$G,G755,$H:$H,H755,$I:$I,I755,$J:$J,J755,$K:$K,K755,$L:$L,L755,$M:$M,M755,$T:$T,T755,$U:$U,U755,$W:$W,W755,$Z:$Z,Z755,$AA:$AA,AA755,$AB:$AB,AB755,$AC:$AC,AC755,$AD:$AD,AD755,$AE:$AE,AE755,$AF:$AF,AF755,$AG:$AG,AG755,$AH:$AH,AH755,$AI:$AI,AI755)&gt;1,"Duplicate","Unique")</f>
        <v>Unique</v>
      </c>
    </row>
    <row r="756" spans="1:46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  <c r="W756" t="s">
        <v>3497</v>
      </c>
      <c r="Z756" t="s">
        <v>3499</v>
      </c>
      <c r="AA756" t="str">
        <v>Neha Gupta</v>
      </c>
      <c r="AB756" t="str">
        <f>TRIM(PROPER(F:F))</f>
        <v>Corporate</v>
      </c>
      <c r="AC756" t="str">
        <f>TRIM(PROPER(G:G))</f>
        <v>South</v>
      </c>
      <c r="AD756" t="str">
        <f>TRIM(PROPER(H:H))</f>
        <v>Kerala</v>
      </c>
      <c r="AE756" t="str">
        <f>TRIM(PROPER(I:I))</f>
        <v>Kochi</v>
      </c>
      <c r="AF756" t="str">
        <f>TRIM(PROPER(J:J))</f>
        <v>Office Supplies</v>
      </c>
      <c r="AG756" t="str">
        <f>TRIM(PROPER(K:K))</f>
        <v>Storage</v>
      </c>
      <c r="AH756" t="str">
        <f>TRIM(PROPER(L:L))</f>
        <v>Elite Storage 857</v>
      </c>
      <c r="AI756" t="str">
        <f>TRIM(PROPER(M:M))</f>
        <v>Standard Class</v>
      </c>
      <c r="AJ756" s="5">
        <f>IF(OR(P756&lt;0,P756&gt;0.5),"invalid",P756)</f>
        <v>0.25</v>
      </c>
      <c r="AK756" s="6">
        <f>IFERROR(N756*O756*(1-AJ756), "NA")</f>
        <v>2674.02</v>
      </c>
      <c r="AL756" s="6">
        <f>IFERROR(AK756-R756,"NA")</f>
        <v>466.44999999999982</v>
      </c>
      <c r="AM756" s="5">
        <f t="shared" si="55"/>
        <v>0.17443773793763689</v>
      </c>
      <c r="AN756" t="str">
        <v>06-04-25</v>
      </c>
      <c r="AO756" t="str">
        <v>06-04-25</v>
      </c>
      <c r="AP756" t="str">
        <f t="shared" si="56"/>
        <v>April</v>
      </c>
      <c r="AQ756" t="str">
        <f t="shared" si="57"/>
        <v>2025</v>
      </c>
      <c r="AR756" t="str">
        <f t="shared" si="58"/>
        <v xml:space="preserve"> </v>
      </c>
      <c r="AS756">
        <f t="shared" si="59"/>
        <v>0</v>
      </c>
      <c r="AT756" t="str">
        <f>IF(COUNTIFS( $A:$A,A756,$B:$B,B756,$C:$C,C756,$D:$D,D756,$E:$E,E756,$F:$F,F756,$G:$G,G756,$H:$H,H756,$I:$I,I756,$J:$J,J756,$K:$K,K756,$L:$L,L756,$M:$M,M756,$T:$T,T756,$U:$U,U756,$W:$W,W756,$Z:$Z,Z756,$AA:$AA,AA756,$AB:$AB,AB756,$AC:$AC,AC756,$AD:$AD,AD756,$AE:$AE,AE756,$AF:$AF,AF756,$AG:$AG,AG756,$AH:$AH,AH756,$AI:$AI,AI756)&gt;1,"Duplicate","Unique")</f>
        <v>Unique</v>
      </c>
    </row>
    <row r="757" spans="1:46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  <c r="W757" t="s">
        <v>3501</v>
      </c>
      <c r="Z757" t="s">
        <v>3502</v>
      </c>
      <c r="AA757" t="str">
        <v>Priya Menon</v>
      </c>
      <c r="AB757" t="str">
        <f>TRIM(PROPER(F:F))</f>
        <v>Home Office</v>
      </c>
      <c r="AC757" t="str">
        <f>TRIM(PROPER(G:G))</f>
        <v>West</v>
      </c>
      <c r="AD757" t="str">
        <f>TRIM(PROPER(H:H))</f>
        <v>Madhya Pradesh</v>
      </c>
      <c r="AE757" t="str">
        <f>TRIM(PROPER(I:I))</f>
        <v>Indore</v>
      </c>
      <c r="AF757" t="str">
        <f>TRIM(PROPER(J:J))</f>
        <v>Office Supplies</v>
      </c>
      <c r="AG757" t="str">
        <f>TRIM(PROPER(K:K))</f>
        <v>Storage</v>
      </c>
      <c r="AH757" t="str">
        <f>TRIM(PROPER(L:L))</f>
        <v>Prime Storage 183</v>
      </c>
      <c r="AI757" t="str">
        <f>TRIM(PROPER(M:M))</f>
        <v>Second Class</v>
      </c>
      <c r="AJ757" s="5">
        <f>IF(OR(P757&lt;0,P757&gt;0.5),"invalid",P757)</f>
        <v>0.2</v>
      </c>
      <c r="AK757" s="6">
        <f>IFERROR(N757*O757*(1-AJ757), "NA")</f>
        <v>9926.9599999999991</v>
      </c>
      <c r="AL757" s="6">
        <f>IFERROR(AK757-R757,"NA")</f>
        <v>1931.9799999999996</v>
      </c>
      <c r="AM757" s="5">
        <f t="shared" si="55"/>
        <v>0.19461950083409219</v>
      </c>
      <c r="AN757" t="str">
        <v>20-07-25</v>
      </c>
      <c r="AO757" t="str">
        <v>24-07-25</v>
      </c>
      <c r="AP757" t="str">
        <f t="shared" si="56"/>
        <v>July</v>
      </c>
      <c r="AQ757" t="str">
        <f t="shared" si="57"/>
        <v>2025</v>
      </c>
      <c r="AR757" t="str">
        <f t="shared" si="58"/>
        <v xml:space="preserve"> </v>
      </c>
      <c r="AS757">
        <f t="shared" si="59"/>
        <v>4</v>
      </c>
      <c r="AT757" t="str">
        <f>IF(COUNTIFS( $A:$A,A757,$B:$B,B757,$C:$C,C757,$D:$D,D757,$E:$E,E757,$F:$F,F757,$G:$G,G757,$H:$H,H757,$I:$I,I757,$J:$J,J757,$K:$K,K757,$L:$L,L757,$M:$M,M757,$T:$T,T757,$U:$U,U757,$W:$W,W757,$Z:$Z,Z757,$AA:$AA,AA757,$AB:$AB,AB757,$AC:$AC,AC757,$AD:$AD,AD757,$AE:$AE,AE757,$AF:$AF,AF757,$AG:$AG,AG757,$AH:$AH,AH757,$AI:$AI,AI757)&gt;1,"Duplicate","Unique")</f>
        <v>Unique</v>
      </c>
    </row>
    <row r="758" spans="1:46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  <c r="W758" t="s">
        <v>3504</v>
      </c>
      <c r="Z758" t="s">
        <v>3507</v>
      </c>
      <c r="AA758" t="str">
        <v>Rohan Mehta</v>
      </c>
      <c r="AB758" t="str">
        <f>TRIM(PROPER(F:F))</f>
        <v>Consumer</v>
      </c>
      <c r="AC758" t="str">
        <f>TRIM(PROPER(G:G))</f>
        <v>North</v>
      </c>
      <c r="AD758" t="str">
        <f>TRIM(PROPER(H:H))</f>
        <v>Rajasthan</v>
      </c>
      <c r="AE758" t="str">
        <f>TRIM(PROPER(I:I))</f>
        <v>Jaipur</v>
      </c>
      <c r="AF758" t="str">
        <f>TRIM(PROPER(J:J))</f>
        <v>Technology</v>
      </c>
      <c r="AG758" t="str">
        <f>TRIM(PROPER(K:K))</f>
        <v>Accessories</v>
      </c>
      <c r="AH758" t="str">
        <f>TRIM(PROPER(L:L))</f>
        <v>Smart Accessories 362</v>
      </c>
      <c r="AI758" t="str">
        <f>TRIM(PROPER(M:M))</f>
        <v>Same Day</v>
      </c>
      <c r="AJ758" s="5">
        <f>IF(OR(P758&lt;0,P758&gt;0.5),"invalid",P758)</f>
        <v>0.2</v>
      </c>
      <c r="AK758" s="6">
        <f>IFERROR(N758*O758*(1-AJ758), "NA")</f>
        <v>12191.76</v>
      </c>
      <c r="AL758" s="6">
        <f>IFERROR(AK758-R758,"NA")</f>
        <v>1734.2700000000004</v>
      </c>
      <c r="AM758" s="5">
        <f t="shared" si="55"/>
        <v>0.14224935530226976</v>
      </c>
      <c r="AN758" t="str">
        <v>invalid date</v>
      </c>
      <c r="AO758" t="str">
        <v>11-01-24</v>
      </c>
      <c r="AP758" t="str">
        <f t="shared" si="56"/>
        <v>invalid date</v>
      </c>
      <c r="AQ758" t="str">
        <f t="shared" si="57"/>
        <v>invalid date</v>
      </c>
      <c r="AR758" t="str">
        <f t="shared" si="58"/>
        <v>Invalid</v>
      </c>
      <c r="AS758" t="str">
        <f t="shared" si="59"/>
        <v>invalid date</v>
      </c>
      <c r="AT758" t="str">
        <f>IF(COUNTIFS( $A:$A,A758,$B:$B,B758,$C:$C,C758,$D:$D,D758,$E:$E,E758,$F:$F,F758,$G:$G,G758,$H:$H,H758,$I:$I,I758,$J:$J,J758,$K:$K,K758,$L:$L,L758,$M:$M,M758,$T:$T,T758,$U:$U,U758,$W:$W,W758,$Z:$Z,Z758,$AA:$AA,AA758,$AB:$AB,AB758,$AC:$AC,AC758,$AD:$AD,AD758,$AE:$AE,AE758,$AF:$AF,AF758,$AG:$AG,AG758,$AH:$AH,AH758,$AI:$AI,AI758)&gt;1,"Duplicate","Unique")</f>
        <v>Unique</v>
      </c>
    </row>
    <row r="759" spans="1:46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  <c r="W759" t="s">
        <v>3509</v>
      </c>
      <c r="Z759" t="s">
        <v>3512</v>
      </c>
      <c r="AA759" t="str">
        <v>Aditi Sen</v>
      </c>
      <c r="AB759" t="str">
        <f>TRIM(PROPER(F:F))</f>
        <v>Small Business</v>
      </c>
      <c r="AC759" t="str">
        <f>TRIM(PROPER(G:G))</f>
        <v>South</v>
      </c>
      <c r="AD759" t="str">
        <f>TRIM(PROPER(H:H))</f>
        <v>Kerala</v>
      </c>
      <c r="AE759" t="str">
        <f>TRIM(PROPER(I:I))</f>
        <v>Kochi</v>
      </c>
      <c r="AF759" t="str">
        <f>TRIM(PROPER(J:J))</f>
        <v>Furniture</v>
      </c>
      <c r="AG759" t="str">
        <f>TRIM(PROPER(K:K))</f>
        <v>Bookcases</v>
      </c>
      <c r="AH759" t="str">
        <f>TRIM(PROPER(L:L))</f>
        <v>Classic Bookcases 310</v>
      </c>
      <c r="AI759" t="str">
        <f>TRIM(PROPER(M:M))</f>
        <v>Standard Class</v>
      </c>
      <c r="AJ759" s="5">
        <f>IF(OR(P759&lt;0,P759&gt;0.5),"invalid",P759)</f>
        <v>0.25</v>
      </c>
      <c r="AK759" s="6">
        <f>IFERROR(N759*O759*(1-AJ759), "NA")</f>
        <v>4285.7550000000001</v>
      </c>
      <c r="AL759" s="6">
        <f>IFERROR(AK759-R759,"NA")</f>
        <v>1899.4250000000002</v>
      </c>
      <c r="AM759" s="5">
        <f t="shared" si="55"/>
        <v>0.44319495631458172</v>
      </c>
      <c r="AN759" t="str">
        <v>01-08-25</v>
      </c>
      <c r="AO759" t="str">
        <v>03-08-25</v>
      </c>
      <c r="AP759" t="str">
        <f t="shared" si="56"/>
        <v>August</v>
      </c>
      <c r="AQ759" t="str">
        <f t="shared" si="57"/>
        <v>2025</v>
      </c>
      <c r="AR759" t="str">
        <f t="shared" si="58"/>
        <v xml:space="preserve"> </v>
      </c>
      <c r="AS759">
        <f t="shared" si="59"/>
        <v>2</v>
      </c>
      <c r="AT759" t="str">
        <f>IF(COUNTIFS( $A:$A,A759,$B:$B,B759,$C:$C,C759,$D:$D,D759,$E:$E,E759,$F:$F,F759,$G:$G,G759,$H:$H,H759,$I:$I,I759,$J:$J,J759,$K:$K,K759,$L:$L,L759,$M:$M,M759,$T:$T,T759,$U:$U,U759,$W:$W,W759,$Z:$Z,Z759,$AA:$AA,AA759,$AB:$AB,AB759,$AC:$AC,AC759,$AD:$AD,AD759,$AE:$AE,AE759,$AF:$AF,AF759,$AG:$AG,AG759,$AH:$AH,AH759,$AI:$AI,AI759)&gt;1,"Duplicate","Unique")</f>
        <v>Unique</v>
      </c>
    </row>
    <row r="760" spans="1:46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  <c r="W760" t="s">
        <v>3514</v>
      </c>
      <c r="Z760" t="s">
        <v>3516</v>
      </c>
      <c r="AA760" t="str">
        <v>Aarav Sharma</v>
      </c>
      <c r="AB760" t="str">
        <f>TRIM(PROPER(F:F))</f>
        <v>Small Business</v>
      </c>
      <c r="AC760" t="str">
        <f>TRIM(PROPER(G:G))</f>
        <v>South</v>
      </c>
      <c r="AD760" t="str">
        <f>TRIM(PROPER(H:H))</f>
        <v>Karnataka</v>
      </c>
      <c r="AE760" t="str">
        <f>TRIM(PROPER(I:I))</f>
        <v>Bengaluru</v>
      </c>
      <c r="AF760" t="str">
        <f>TRIM(PROPER(J:J))</f>
        <v>Furniture</v>
      </c>
      <c r="AG760" t="str">
        <f>TRIM(PROPER(K:K))</f>
        <v>Chairs</v>
      </c>
      <c r="AH760" t="str">
        <f>TRIM(PROPER(L:L))</f>
        <v>Prime Chairs 721</v>
      </c>
      <c r="AI760" t="str">
        <f>TRIM(PROPER(M:M))</f>
        <v>Standard Class</v>
      </c>
      <c r="AJ760" s="5">
        <f>IF(OR(P760&lt;0,P760&gt;0.5),"invalid",P760)</f>
        <v>0</v>
      </c>
      <c r="AK760" s="6">
        <f>IFERROR(N760*O760*(1-AJ760), "NA")</f>
        <v>4166.91</v>
      </c>
      <c r="AL760" s="6">
        <f>IFERROR(AK760-R760,"NA")</f>
        <v>754.27999999999975</v>
      </c>
      <c r="AM760" s="5">
        <f t="shared" si="55"/>
        <v>0.18101662862888801</v>
      </c>
      <c r="AN760" t="str">
        <v>02-05-24</v>
      </c>
      <c r="AO760" t="str">
        <v>10-05-24</v>
      </c>
      <c r="AP760" t="str">
        <f t="shared" si="56"/>
        <v>May</v>
      </c>
      <c r="AQ760" t="str">
        <f t="shared" si="57"/>
        <v>2024</v>
      </c>
      <c r="AR760" t="str">
        <f t="shared" si="58"/>
        <v xml:space="preserve"> </v>
      </c>
      <c r="AS760">
        <f t="shared" si="59"/>
        <v>8</v>
      </c>
      <c r="AT760" t="str">
        <f>IF(COUNTIFS( $A:$A,A760,$B:$B,B760,$C:$C,C760,$D:$D,D760,$E:$E,E760,$F:$F,F760,$G:$G,G760,$H:$H,H760,$I:$I,I760,$J:$J,J760,$K:$K,K760,$L:$L,L760,$M:$M,M760,$T:$T,T760,$U:$U,U760,$W:$W,W760,$Z:$Z,Z760,$AA:$AA,AA760,$AB:$AB,AB760,$AC:$AC,AC760,$AD:$AD,AD760,$AE:$AE,AE760,$AF:$AF,AF760,$AG:$AG,AG760,$AH:$AH,AH760,$AI:$AI,AI760)&gt;1,"Duplicate","Unique")</f>
        <v>Unique</v>
      </c>
    </row>
    <row r="761" spans="1:46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  <c r="W761" t="s">
        <v>3518</v>
      </c>
      <c r="Z761" t="s">
        <v>3520</v>
      </c>
      <c r="AA761" t="str">
        <v>Arjun Bose</v>
      </c>
      <c r="AB761" t="str">
        <f>TRIM(PROPER(F:F))</f>
        <v>Home Office</v>
      </c>
      <c r="AC761" t="str">
        <f>TRIM(PROPER(G:G))</f>
        <v>South</v>
      </c>
      <c r="AD761" t="str">
        <f>TRIM(PROPER(H:H))</f>
        <v>Karnataka</v>
      </c>
      <c r="AE761" t="str">
        <f>TRIM(PROPER(I:I))</f>
        <v>Bengaluru</v>
      </c>
      <c r="AF761" t="str">
        <f>TRIM(PROPER(J:J))</f>
        <v>Furniture</v>
      </c>
      <c r="AG761" t="str">
        <f>TRIM(PROPER(K:K))</f>
        <v>Tables</v>
      </c>
      <c r="AH761" t="str">
        <f>TRIM(PROPER(L:L))</f>
        <v>Prime Tables 797</v>
      </c>
      <c r="AI761" t="str">
        <f>TRIM(PROPER(M:M))</f>
        <v>Second Class</v>
      </c>
      <c r="AJ761" s="5">
        <f>IF(OR(P761&lt;0,P761&gt;0.5),"invalid",P761)</f>
        <v>0.25</v>
      </c>
      <c r="AK761" s="6">
        <f>IFERROR(N761*O761*(1-AJ761), "NA")</f>
        <v>14947.537500000002</v>
      </c>
      <c r="AL761" s="6">
        <f>IFERROR(AK761-R761,"NA")</f>
        <v>5509.0775000000031</v>
      </c>
      <c r="AM761" s="5">
        <f t="shared" si="55"/>
        <v>0.36856087499362367</v>
      </c>
      <c r="AN761" t="str">
        <v>19-07-24</v>
      </c>
      <c r="AO761" t="str">
        <v>26-07-24</v>
      </c>
      <c r="AP761" t="str">
        <f t="shared" si="56"/>
        <v>July</v>
      </c>
      <c r="AQ761" t="str">
        <f t="shared" si="57"/>
        <v>2024</v>
      </c>
      <c r="AR761" t="str">
        <f t="shared" si="58"/>
        <v xml:space="preserve"> </v>
      </c>
      <c r="AS761">
        <f t="shared" si="59"/>
        <v>7</v>
      </c>
      <c r="AT761" t="str">
        <f>IF(COUNTIFS( $A:$A,A761,$B:$B,B761,$C:$C,C761,$D:$D,D761,$E:$E,E761,$F:$F,F761,$G:$G,G761,$H:$H,H761,$I:$I,I761,$J:$J,J761,$K:$K,K761,$L:$L,L761,$M:$M,M761,$T:$T,T761,$U:$U,U761,$W:$W,W761,$Z:$Z,Z761,$AA:$AA,AA761,$AB:$AB,AB761,$AC:$AC,AC761,$AD:$AD,AD761,$AE:$AE,AE761,$AF:$AF,AF761,$AG:$AG,AG761,$AH:$AH,AH761,$AI:$AI,AI761)&gt;1,"Duplicate","Unique")</f>
        <v>Unique</v>
      </c>
    </row>
    <row r="762" spans="1:46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  <c r="W762" t="s">
        <v>3522</v>
      </c>
      <c r="Z762" t="s">
        <v>3524</v>
      </c>
      <c r="AA762" t="str">
        <v>Aditi Sen</v>
      </c>
      <c r="AB762" t="str">
        <f>TRIM(PROPER(F:F))</f>
        <v>Home Office</v>
      </c>
      <c r="AC762" t="str">
        <f>TRIM(PROPER(G:G))</f>
        <v>East</v>
      </c>
      <c r="AD762" t="str">
        <f>TRIM(PROPER(H:H))</f>
        <v>Assam</v>
      </c>
      <c r="AE762" t="str">
        <f>TRIM(PROPER(I:I))</f>
        <v>Guwahati</v>
      </c>
      <c r="AF762" t="str">
        <f>TRIM(PROPER(J:J))</f>
        <v>Office Supplies</v>
      </c>
      <c r="AG762" t="str">
        <f>TRIM(PROPER(K:K))</f>
        <v>Art</v>
      </c>
      <c r="AH762" t="str">
        <f>TRIM(PROPER(L:L))</f>
        <v>Max Art 926</v>
      </c>
      <c r="AI762" t="str">
        <f>TRIM(PROPER(M:M))</f>
        <v>Second Class</v>
      </c>
      <c r="AJ762" s="5">
        <f>IF(OR(P762&lt;0,P762&gt;0.5),"invalid",P762)</f>
        <v>0</v>
      </c>
      <c r="AK762" s="6">
        <f>IFERROR(N762*O762*(1-AJ762), "NA")</f>
        <v>13462.12</v>
      </c>
      <c r="AL762" s="6">
        <f>IFERROR(AK762-R762,"NA")</f>
        <v>5861.4900000000007</v>
      </c>
      <c r="AM762" s="5">
        <f t="shared" si="55"/>
        <v>0.43540616188237813</v>
      </c>
      <c r="AN762" t="str">
        <v>28-08-24</v>
      </c>
      <c r="AO762" t="str">
        <v>02-09-24</v>
      </c>
      <c r="AP762" t="str">
        <f t="shared" si="56"/>
        <v>August</v>
      </c>
      <c r="AQ762" t="str">
        <f t="shared" si="57"/>
        <v>2024</v>
      </c>
      <c r="AR762" t="str">
        <f t="shared" si="58"/>
        <v>anomaly</v>
      </c>
      <c r="AS762">
        <f t="shared" si="59"/>
        <v>5</v>
      </c>
      <c r="AT762" t="str">
        <f>IF(COUNTIFS( $A:$A,A762,$B:$B,B762,$C:$C,C762,$D:$D,D762,$E:$E,E762,$F:$F,F762,$G:$G,G762,$H:$H,H762,$I:$I,I762,$J:$J,J762,$K:$K,K762,$L:$L,L762,$M:$M,M762,$T:$T,T762,$U:$U,U762,$W:$W,W762,$Z:$Z,Z762,$AA:$AA,AA762,$AB:$AB,AB762,$AC:$AC,AC762,$AD:$AD,AD762,$AE:$AE,AE762,$AF:$AF,AF762,$AG:$AG,AG762,$AH:$AH,AH762,$AI:$AI,AI762)&gt;1,"Duplicate","Unique")</f>
        <v>Unique</v>
      </c>
    </row>
    <row r="763" spans="1:46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  <c r="W763" t="s">
        <v>3526</v>
      </c>
      <c r="Z763" t="s">
        <v>3528</v>
      </c>
      <c r="AA763" t="str">
        <v>Isha Nair</v>
      </c>
      <c r="AB763" t="str">
        <f>TRIM(PROPER(F:F))</f>
        <v>Consumer</v>
      </c>
      <c r="AC763" t="str">
        <f>TRIM(PROPER(G:G))</f>
        <v>South</v>
      </c>
      <c r="AD763" t="str">
        <f>TRIM(PROPER(H:H))</f>
        <v>Karnataka</v>
      </c>
      <c r="AE763" t="str">
        <f>TRIM(PROPER(I:I))</f>
        <v>Bengaluru</v>
      </c>
      <c r="AF763" t="str">
        <f>TRIM(PROPER(J:J))</f>
        <v>Technology</v>
      </c>
      <c r="AG763" t="str">
        <f>TRIM(PROPER(K:K))</f>
        <v>Machines</v>
      </c>
      <c r="AH763" t="str">
        <f>TRIM(PROPER(L:L))</f>
        <v>Max Machines 364</v>
      </c>
      <c r="AI763" t="str">
        <f>TRIM(PROPER(M:M))</f>
        <v>First Class</v>
      </c>
      <c r="AJ763" s="5">
        <f>IF(OR(P763&lt;0,P763&gt;0.5),"invalid",P763)</f>
        <v>0</v>
      </c>
      <c r="AK763" s="6">
        <f>IFERROR(N763*O763*(1-AJ763), "NA")</f>
        <v>7467.36</v>
      </c>
      <c r="AL763" s="6">
        <f>IFERROR(AK763-R763,"NA")</f>
        <v>2456.75</v>
      </c>
      <c r="AM763" s="5">
        <f t="shared" si="55"/>
        <v>0.32899846799940008</v>
      </c>
      <c r="AN763" t="str">
        <v>27-08-25</v>
      </c>
      <c r="AO763" t="str">
        <v>invalid date</v>
      </c>
      <c r="AP763" t="str">
        <f t="shared" si="56"/>
        <v>August</v>
      </c>
      <c r="AQ763" t="str">
        <f t="shared" si="57"/>
        <v>2025</v>
      </c>
      <c r="AR763" t="str">
        <f t="shared" si="58"/>
        <v>Invalid</v>
      </c>
      <c r="AS763" t="str">
        <f t="shared" si="59"/>
        <v>invalid date</v>
      </c>
      <c r="AT763" t="str">
        <f>IF(COUNTIFS( $A:$A,A763,$B:$B,B763,$C:$C,C763,$D:$D,D763,$E:$E,E763,$F:$F,F763,$G:$G,G763,$H:$H,H763,$I:$I,I763,$J:$J,J763,$K:$K,K763,$L:$L,L763,$M:$M,M763,$T:$T,T763,$U:$U,U763,$W:$W,W763,$Z:$Z,Z763,$AA:$AA,AA763,$AB:$AB,AB763,$AC:$AC,AC763,$AD:$AD,AD763,$AE:$AE,AE763,$AF:$AF,AF763,$AG:$AG,AG763,$AH:$AH,AH763,$AI:$AI,AI763)&gt;1,"Duplicate","Unique")</f>
        <v>Unique</v>
      </c>
    </row>
    <row r="764" spans="1:46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  <c r="W764" t="s">
        <v>3530</v>
      </c>
      <c r="Z764" t="s">
        <v>3533</v>
      </c>
      <c r="AA764" t="str">
        <v>Diya Patel</v>
      </c>
      <c r="AB764" t="str">
        <f>TRIM(PROPER(F:F))</f>
        <v>Corporate</v>
      </c>
      <c r="AC764" t="str">
        <f>TRIM(PROPER(G:G))</f>
        <v>West</v>
      </c>
      <c r="AD764" t="str">
        <f>TRIM(PROPER(H:H))</f>
        <v>Madhya Pradesh</v>
      </c>
      <c r="AE764" t="str">
        <f>TRIM(PROPER(I:I))</f>
        <v>Indore</v>
      </c>
      <c r="AF764" t="str">
        <f>TRIM(PROPER(J:J))</f>
        <v>Technology</v>
      </c>
      <c r="AG764" t="str">
        <f>TRIM(PROPER(K:K))</f>
        <v>Machines</v>
      </c>
      <c r="AH764" t="str">
        <f>TRIM(PROPER(L:L))</f>
        <v>Classic Machines 122</v>
      </c>
      <c r="AI764" t="str">
        <f>TRIM(PROPER(M:M))</f>
        <v>Second Class</v>
      </c>
      <c r="AJ764" s="5">
        <f>IF(OR(P764&lt;0,P764&gt;0.5),"invalid",P764)</f>
        <v>0.2</v>
      </c>
      <c r="AK764" s="6">
        <f>IFERROR(N764*O764*(1-AJ764), "NA")</f>
        <v>5910.5920000000006</v>
      </c>
      <c r="AL764" s="6">
        <f>IFERROR(AK764-R764,"NA")</f>
        <v>1135.152000000001</v>
      </c>
      <c r="AM764" s="5">
        <f t="shared" si="55"/>
        <v>0.19205385856442145</v>
      </c>
      <c r="AN764" t="str">
        <v>01-01-24</v>
      </c>
      <c r="AO764" t="str">
        <v>05-01-24</v>
      </c>
      <c r="AP764" t="str">
        <f t="shared" si="56"/>
        <v>January</v>
      </c>
      <c r="AQ764" t="str">
        <f t="shared" si="57"/>
        <v>2024</v>
      </c>
      <c r="AR764" t="str">
        <f t="shared" si="58"/>
        <v xml:space="preserve"> </v>
      </c>
      <c r="AS764">
        <f t="shared" si="59"/>
        <v>4</v>
      </c>
      <c r="AT764" t="str">
        <f>IF(COUNTIFS( $A:$A,A764,$B:$B,B764,$C:$C,C764,$D:$D,D764,$E:$E,E764,$F:$F,F764,$G:$G,G764,$H:$H,H764,$I:$I,I764,$J:$J,J764,$K:$K,K764,$L:$L,L764,$M:$M,M764,$T:$T,T764,$U:$U,U764,$W:$W,W764,$Z:$Z,Z764,$AA:$AA,AA764,$AB:$AB,AB764,$AC:$AC,AC764,$AD:$AD,AD764,$AE:$AE,AE764,$AF:$AF,AF764,$AG:$AG,AG764,$AH:$AH,AH764,$AI:$AI,AI764)&gt;1,"Duplicate","Unique")</f>
        <v>Unique</v>
      </c>
    </row>
    <row r="765" spans="1:46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  <c r="W765" t="s">
        <v>3535</v>
      </c>
      <c r="Z765" t="s">
        <v>3538</v>
      </c>
      <c r="AA765" t="str">
        <v>Diya Patel</v>
      </c>
      <c r="AB765" t="str">
        <f>TRIM(PROPER(F:F))</f>
        <v>Consumer</v>
      </c>
      <c r="AC765" t="str">
        <f>TRIM(PROPER(G:G))</f>
        <v>North</v>
      </c>
      <c r="AD765" t="str">
        <f>TRIM(PROPER(H:H))</f>
        <v>Rajasthan</v>
      </c>
      <c r="AE765" t="str">
        <f>TRIM(PROPER(I:I))</f>
        <v>Jaipur</v>
      </c>
      <c r="AF765" t="str">
        <f>TRIM(PROPER(J:J))</f>
        <v>Furniture</v>
      </c>
      <c r="AG765" t="str">
        <f>TRIM(PROPER(K:K))</f>
        <v>Furnishings</v>
      </c>
      <c r="AH765" t="str">
        <f>TRIM(PROPER(L:L))</f>
        <v>Elite Furnishings 169</v>
      </c>
      <c r="AI765" t="str">
        <f>TRIM(PROPER(M:M))</f>
        <v>Same Day</v>
      </c>
      <c r="AJ765" s="5">
        <f>IF(OR(P765&lt;0,P765&gt;0.5),"invalid",P765)</f>
        <v>0</v>
      </c>
      <c r="AK765" s="6">
        <f>IFERROR(N765*O765*(1-AJ765), "NA")</f>
        <v>16454.88</v>
      </c>
      <c r="AL765" s="6">
        <f>IFERROR(AK765-R765,"NA")</f>
        <v>4373.34</v>
      </c>
      <c r="AM765" s="5">
        <f t="shared" si="55"/>
        <v>0.26577769026574488</v>
      </c>
      <c r="AN765" t="str">
        <v>23-08-25</v>
      </c>
      <c r="AO765" t="str">
        <v>25-08-25</v>
      </c>
      <c r="AP765" t="str">
        <f t="shared" si="56"/>
        <v>August</v>
      </c>
      <c r="AQ765" t="str">
        <f t="shared" si="57"/>
        <v>2025</v>
      </c>
      <c r="AR765" t="str">
        <f t="shared" si="58"/>
        <v xml:space="preserve"> </v>
      </c>
      <c r="AS765">
        <f t="shared" si="59"/>
        <v>2</v>
      </c>
      <c r="AT765" t="str">
        <f>IF(COUNTIFS( $A:$A,A765,$B:$B,B765,$C:$C,C765,$D:$D,D765,$E:$E,E765,$F:$F,F765,$G:$G,G765,$H:$H,H765,$I:$I,I765,$J:$J,J765,$K:$K,K765,$L:$L,L765,$M:$M,M765,$T:$T,T765,$U:$U,U765,$W:$W,W765,$Z:$Z,Z765,$AA:$AA,AA765,$AB:$AB,AB765,$AC:$AC,AC765,$AD:$AD,AD765,$AE:$AE,AE765,$AF:$AF,AF765,$AG:$AG,AG765,$AH:$AH,AH765,$AI:$AI,AI765)&gt;1,"Duplicate","Unique")</f>
        <v>Unique</v>
      </c>
    </row>
    <row r="766" spans="1:46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  <c r="W766" t="s">
        <v>3540</v>
      </c>
      <c r="Z766" t="s">
        <v>1354</v>
      </c>
      <c r="AA766" t="str">
        <v>Priya Menon</v>
      </c>
      <c r="AB766" t="str">
        <f>TRIM(PROPER(F:F))</f>
        <v>Corporate</v>
      </c>
      <c r="AC766" t="str">
        <f>TRIM(PROPER(G:G))</f>
        <v>South</v>
      </c>
      <c r="AD766" t="str">
        <f>TRIM(PROPER(H:H))</f>
        <v>Kerala</v>
      </c>
      <c r="AE766" t="str">
        <f>TRIM(PROPER(I:I))</f>
        <v>Kochi</v>
      </c>
      <c r="AF766" t="str">
        <f>TRIM(PROPER(J:J))</f>
        <v>Furniture</v>
      </c>
      <c r="AG766" t="str">
        <f>TRIM(PROPER(K:K))</f>
        <v>Bookcases</v>
      </c>
      <c r="AH766" t="str">
        <f>TRIM(PROPER(L:L))</f>
        <v>Pro Bookcases 615</v>
      </c>
      <c r="AI766" t="str">
        <f>TRIM(PROPER(M:M))</f>
        <v>First Class</v>
      </c>
      <c r="AJ766" s="5">
        <f>IF(OR(P766&lt;0,P766&gt;0.5),"invalid",P766)</f>
        <v>0.05</v>
      </c>
      <c r="AK766" s="6">
        <f>IFERROR(N766*O766*(1-AJ766), "NA")</f>
        <v>25159.8</v>
      </c>
      <c r="AL766" s="6">
        <f>IFERROR(AK766-R766,"NA")</f>
        <v>3552.9699999999975</v>
      </c>
      <c r="AM766" s="5">
        <f t="shared" si="55"/>
        <v>0.14121614639226057</v>
      </c>
      <c r="AN766" t="str">
        <v>13-04-25</v>
      </c>
      <c r="AO766" t="str">
        <v>13-04-25</v>
      </c>
      <c r="AP766" t="str">
        <f t="shared" si="56"/>
        <v>April</v>
      </c>
      <c r="AQ766" t="str">
        <f t="shared" si="57"/>
        <v>2025</v>
      </c>
      <c r="AR766" t="str">
        <f t="shared" si="58"/>
        <v xml:space="preserve"> </v>
      </c>
      <c r="AS766">
        <f t="shared" si="59"/>
        <v>0</v>
      </c>
      <c r="AT766" t="str">
        <f>IF(COUNTIFS( $A:$A,A766,$B:$B,B766,$C:$C,C766,$D:$D,D766,$E:$E,E766,$F:$F,F766,$G:$G,G766,$H:$H,H766,$I:$I,I766,$J:$J,J766,$K:$K,K766,$L:$L,L766,$M:$M,M766,$T:$T,T766,$U:$U,U766,$W:$W,W766,$Z:$Z,Z766,$AA:$AA,AA766,$AB:$AB,AB766,$AC:$AC,AC766,$AD:$AD,AD766,$AE:$AE,AE766,$AF:$AF,AF766,$AG:$AG,AG766,$AH:$AH,AH766,$AI:$AI,AI766)&gt;1,"Duplicate","Unique")</f>
        <v>Unique</v>
      </c>
    </row>
    <row r="767" spans="1:46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  <c r="W767" t="s">
        <v>3542</v>
      </c>
      <c r="Z767" t="s">
        <v>3545</v>
      </c>
      <c r="AA767" t="str">
        <v>Vikram Iyer</v>
      </c>
      <c r="AB767" t="str">
        <f>TRIM(PROPER(F:F))</f>
        <v>Corporate</v>
      </c>
      <c r="AC767" t="str">
        <f>TRIM(PROPER(G:G))</f>
        <v>East</v>
      </c>
      <c r="AD767" t="str">
        <f>TRIM(PROPER(H:H))</f>
        <v>Jharkhand</v>
      </c>
      <c r="AE767" t="str">
        <f>TRIM(PROPER(I:I))</f>
        <v>Ranchi</v>
      </c>
      <c r="AF767" t="str">
        <f>TRIM(PROPER(J:J))</f>
        <v>Office Supplies</v>
      </c>
      <c r="AG767" t="str">
        <f>TRIM(PROPER(K:K))</f>
        <v>Labels</v>
      </c>
      <c r="AH767" t="str">
        <f>TRIM(PROPER(L:L))</f>
        <v>Max Labels 136</v>
      </c>
      <c r="AI767" t="str">
        <f>TRIM(PROPER(M:M))</f>
        <v>First Class</v>
      </c>
      <c r="AJ767" s="5">
        <f>IF(OR(P767&lt;0,P767&gt;0.5),"invalid",P767)</f>
        <v>0</v>
      </c>
      <c r="AK767" s="6">
        <f>IFERROR(N767*O767*(1-AJ767), "NA")</f>
        <v>1824.42</v>
      </c>
      <c r="AL767" s="6">
        <f>IFERROR(AK767-R767,"NA")</f>
        <v>609.55000000000018</v>
      </c>
      <c r="AM767" s="5">
        <f t="shared" si="55"/>
        <v>0.33410618169061956</v>
      </c>
      <c r="AN767" t="str">
        <v>29-06-25</v>
      </c>
      <c r="AO767" t="str">
        <v>03-07-25</v>
      </c>
      <c r="AP767" t="str">
        <f t="shared" si="56"/>
        <v>June</v>
      </c>
      <c r="AQ767" t="str">
        <f t="shared" si="57"/>
        <v>2025</v>
      </c>
      <c r="AR767" t="str">
        <f t="shared" si="58"/>
        <v>anomaly</v>
      </c>
      <c r="AS767">
        <f t="shared" si="59"/>
        <v>4</v>
      </c>
      <c r="AT767" t="str">
        <f>IF(COUNTIFS( $A:$A,A767,$B:$B,B767,$C:$C,C767,$D:$D,D767,$E:$E,E767,$F:$F,F767,$G:$G,G767,$H:$H,H767,$I:$I,I767,$J:$J,J767,$K:$K,K767,$L:$L,L767,$M:$M,M767,$T:$T,T767,$U:$U,U767,$W:$W,W767,$Z:$Z,Z767,$AA:$AA,AA767,$AB:$AB,AB767,$AC:$AC,AC767,$AD:$AD,AD767,$AE:$AE,AE767,$AF:$AF,AF767,$AG:$AG,AG767,$AH:$AH,AH767,$AI:$AI,AI767)&gt;1,"Duplicate","Unique")</f>
        <v>Unique</v>
      </c>
    </row>
    <row r="768" spans="1:46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  <c r="W768" t="s">
        <v>3547</v>
      </c>
      <c r="Z768" t="s">
        <v>3549</v>
      </c>
      <c r="AA768" t="str">
        <v>Mira Das</v>
      </c>
      <c r="AB768" t="str">
        <f>TRIM(PROPER(F:F))</f>
        <v>Corporate</v>
      </c>
      <c r="AC768" t="str">
        <f>TRIM(PROPER(G:G))</f>
        <v>West</v>
      </c>
      <c r="AD768" t="str">
        <f>TRIM(PROPER(H:H))</f>
        <v>Gujarat</v>
      </c>
      <c r="AE768" t="str">
        <f>TRIM(PROPER(I:I))</f>
        <v>Ahmedabad</v>
      </c>
      <c r="AF768" t="str">
        <f>TRIM(PROPER(J:J))</f>
        <v>Office Supplies</v>
      </c>
      <c r="AG768" t="str">
        <f>TRIM(PROPER(K:K))</f>
        <v>Art</v>
      </c>
      <c r="AH768" t="str">
        <f>TRIM(PROPER(L:L))</f>
        <v>Prime Art 380</v>
      </c>
      <c r="AI768" t="str">
        <f>TRIM(PROPER(M:M))</f>
        <v>Second Class</v>
      </c>
      <c r="AJ768" s="5">
        <f>IF(OR(P768&lt;0,P768&gt;0.5),"invalid",P768)</f>
        <v>0.2</v>
      </c>
      <c r="AK768" s="6">
        <f>IFERROR(N768*O768*(1-AJ768), "NA")</f>
        <v>16617.312000000002</v>
      </c>
      <c r="AL768" s="6">
        <f>IFERROR(AK768-R768,"NA")</f>
        <v>7421.5820000000022</v>
      </c>
      <c r="AM768" s="5">
        <f t="shared" si="55"/>
        <v>0.44661747940942564</v>
      </c>
      <c r="AN768" t="str">
        <v>17-09-24</v>
      </c>
      <c r="AO768" t="str">
        <v>24-09-24</v>
      </c>
      <c r="AP768" t="str">
        <f t="shared" si="56"/>
        <v>September</v>
      </c>
      <c r="AQ768" t="str">
        <f t="shared" si="57"/>
        <v>2024</v>
      </c>
      <c r="AR768" t="str">
        <f t="shared" si="58"/>
        <v xml:space="preserve"> </v>
      </c>
      <c r="AS768">
        <f t="shared" si="59"/>
        <v>7</v>
      </c>
      <c r="AT768" t="str">
        <f>IF(COUNTIFS( $A:$A,A768,$B:$B,B768,$C:$C,C768,$D:$D,D768,$E:$E,E768,$F:$F,F768,$G:$G,G768,$H:$H,H768,$I:$I,I768,$J:$J,J768,$K:$K,K768,$L:$L,L768,$M:$M,M768,$T:$T,T768,$U:$U,U768,$W:$W,W768,$Z:$Z,Z768,$AA:$AA,AA768,$AB:$AB,AB768,$AC:$AC,AC768,$AD:$AD,AD768,$AE:$AE,AE768,$AF:$AF,AF768,$AG:$AG,AG768,$AH:$AH,AH768,$AI:$AI,AI768)&gt;1,"Duplicate","Unique")</f>
        <v>Unique</v>
      </c>
    </row>
    <row r="769" spans="1:46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  <c r="W769" t="s">
        <v>3551</v>
      </c>
      <c r="Z769" t="s">
        <v>3553</v>
      </c>
      <c r="AA769" t="str">
        <v>Ananya Rao</v>
      </c>
      <c r="AB769" t="str">
        <f>TRIM(PROPER(F:F))</f>
        <v>Home Office</v>
      </c>
      <c r="AC769" t="str">
        <f>TRIM(PROPER(G:G))</f>
        <v>North</v>
      </c>
      <c r="AD769" t="str">
        <f>TRIM(PROPER(H:H))</f>
        <v>Uttar Pradesh</v>
      </c>
      <c r="AE769" t="str">
        <f>TRIM(PROPER(I:I))</f>
        <v>Noida</v>
      </c>
      <c r="AF769" t="str">
        <f>TRIM(PROPER(J:J))</f>
        <v>Office Supplies</v>
      </c>
      <c r="AG769" t="str">
        <f>TRIM(PROPER(K:K))</f>
        <v>Binders</v>
      </c>
      <c r="AH769" t="str">
        <f>TRIM(PROPER(L:L))</f>
        <v>Classic Binders 234</v>
      </c>
      <c r="AI769" t="str">
        <f>TRIM(PROPER(M:M))</f>
        <v>Standard Class</v>
      </c>
      <c r="AJ769" s="5">
        <f>IF(OR(P769&lt;0,P769&gt;0.5),"invalid",P769)</f>
        <v>0.25</v>
      </c>
      <c r="AK769" s="6">
        <f>IFERROR(N769*O769*(1-AJ769), "NA")</f>
        <v>933.43499999999995</v>
      </c>
      <c r="AL769" s="6">
        <f>IFERROR(AK769-R769,"NA")</f>
        <v>350.34499999999991</v>
      </c>
      <c r="AM769" s="5">
        <f t="shared" si="55"/>
        <v>0.3753287588316272</v>
      </c>
      <c r="AN769" t="str">
        <v>03-05-24</v>
      </c>
      <c r="AO769" t="str">
        <v>05-06-24</v>
      </c>
      <c r="AP769" t="str">
        <f t="shared" si="56"/>
        <v>May</v>
      </c>
      <c r="AQ769" t="str">
        <f t="shared" si="57"/>
        <v>2024</v>
      </c>
      <c r="AR769" t="str">
        <f t="shared" si="58"/>
        <v xml:space="preserve"> </v>
      </c>
      <c r="AS769">
        <f t="shared" si="59"/>
        <v>33</v>
      </c>
      <c r="AT769" t="str">
        <f>IF(COUNTIFS( $A:$A,A769,$B:$B,B769,$C:$C,C769,$D:$D,D769,$E:$E,E769,$F:$F,F769,$G:$G,G769,$H:$H,H769,$I:$I,I769,$J:$J,J769,$K:$K,K769,$L:$L,L769,$M:$M,M769,$T:$T,T769,$U:$U,U769,$W:$W,W769,$Z:$Z,Z769,$AA:$AA,AA769,$AB:$AB,AB769,$AC:$AC,AC769,$AD:$AD,AD769,$AE:$AE,AE769,$AF:$AF,AF769,$AG:$AG,AG769,$AH:$AH,AH769,$AI:$AI,AI769)&gt;1,"Duplicate","Unique")</f>
        <v>Unique</v>
      </c>
    </row>
    <row r="770" spans="1:46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  <c r="W770" t="s">
        <v>3555</v>
      </c>
      <c r="Z770" t="s">
        <v>3557</v>
      </c>
      <c r="AA770" t="str">
        <v>Sneha Kapoor</v>
      </c>
      <c r="AB770" t="str">
        <f>TRIM(PROPER(F:F))</f>
        <v>Home Office</v>
      </c>
      <c r="AC770" t="str">
        <f>TRIM(PROPER(G:G))</f>
        <v>East</v>
      </c>
      <c r="AD770" t="str">
        <f>TRIM(PROPER(H:H))</f>
        <v>Jharkhand</v>
      </c>
      <c r="AE770" t="str">
        <f>TRIM(PROPER(I:I))</f>
        <v>Ranchi</v>
      </c>
      <c r="AF770" t="str">
        <f>TRIM(PROPER(J:J))</f>
        <v>Office Supplies</v>
      </c>
      <c r="AG770" t="str">
        <f>TRIM(PROPER(K:K))</f>
        <v>Paper</v>
      </c>
      <c r="AH770" t="str">
        <f>TRIM(PROPER(L:L))</f>
        <v>Classic Paper 280</v>
      </c>
      <c r="AI770" t="str">
        <f>TRIM(PROPER(M:M))</f>
        <v>Same Day</v>
      </c>
      <c r="AJ770" s="5">
        <f>IF(OR(P770&lt;0,P770&gt;0.5),"invalid",P770)</f>
        <v>0.1</v>
      </c>
      <c r="AK770" s="6">
        <f>IFERROR(N770*O770*(1-AJ770), "NA")</f>
        <v>14554.08</v>
      </c>
      <c r="AL770" s="6">
        <f>IFERROR(AK770-R770,"NA")</f>
        <v>3387.24</v>
      </c>
      <c r="AM770" s="5">
        <f t="shared" si="55"/>
        <v>0.23273473830018798</v>
      </c>
      <c r="AN770" t="str">
        <v>02-04-25</v>
      </c>
      <c r="AO770" t="str">
        <v>04-04-25</v>
      </c>
      <c r="AP770" t="str">
        <f t="shared" si="56"/>
        <v>April</v>
      </c>
      <c r="AQ770" t="str">
        <f t="shared" si="57"/>
        <v>2025</v>
      </c>
      <c r="AR770" t="str">
        <f t="shared" si="58"/>
        <v xml:space="preserve"> </v>
      </c>
      <c r="AS770">
        <f t="shared" si="59"/>
        <v>2</v>
      </c>
      <c r="AT770" t="str">
        <f>IF(COUNTIFS( $A:$A,A770,$B:$B,B770,$C:$C,C770,$D:$D,D770,$E:$E,E770,$F:$F,F770,$G:$G,G770,$H:$H,H770,$I:$I,I770,$J:$J,J770,$K:$K,K770,$L:$L,L770,$M:$M,M770,$T:$T,T770,$U:$U,U770,$W:$W,W770,$Z:$Z,Z770,$AA:$AA,AA770,$AB:$AB,AB770,$AC:$AC,AC770,$AD:$AD,AD770,$AE:$AE,AE770,$AF:$AF,AF770,$AG:$AG,AG770,$AH:$AH,AH770,$AI:$AI,AI770)&gt;1,"Duplicate","Unique")</f>
        <v>Unique</v>
      </c>
    </row>
    <row r="771" spans="1:46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  <c r="W771" t="s">
        <v>3559</v>
      </c>
      <c r="Z771" t="s">
        <v>3561</v>
      </c>
      <c r="AA771" t="str">
        <v>Priya Menon</v>
      </c>
      <c r="AB771" t="str">
        <f>TRIM(PROPER(F:F))</f>
        <v>Home Office</v>
      </c>
      <c r="AC771" t="str">
        <f>TRIM(PROPER(G:G))</f>
        <v>West</v>
      </c>
      <c r="AD771" t="str">
        <f>TRIM(PROPER(H:H))</f>
        <v>Goa</v>
      </c>
      <c r="AE771" t="str">
        <f>TRIM(PROPER(I:I))</f>
        <v>Panaji</v>
      </c>
      <c r="AF771" t="str">
        <f>TRIM(PROPER(J:J))</f>
        <v>Furniture</v>
      </c>
      <c r="AG771" t="str">
        <f>TRIM(PROPER(K:K))</f>
        <v>Bookcases</v>
      </c>
      <c r="AH771" t="str">
        <f>TRIM(PROPER(L:L))</f>
        <v>Classic Bookcases 922</v>
      </c>
      <c r="AI771" t="str">
        <f>TRIM(PROPER(M:M))</f>
        <v>Same Day</v>
      </c>
      <c r="AJ771" s="5">
        <f>IF(OR(P771&lt;0,P771&gt;0.5),"invalid",P771)</f>
        <v>0.25</v>
      </c>
      <c r="AK771" s="6">
        <f>IFERROR(N771*O771*(1-AJ771), "NA")</f>
        <v>8128.6875</v>
      </c>
      <c r="AL771" s="6">
        <f>IFERROR(AK771-R771,"NA")</f>
        <v>3057.0275000000001</v>
      </c>
      <c r="AM771" s="5">
        <f t="shared" ref="AM771:AM834" si="60">IFERROR(AL771/AK771,"NA")</f>
        <v>0.3760788565189645</v>
      </c>
      <c r="AN771" t="str">
        <v>05-11-24</v>
      </c>
      <c r="AO771" t="str">
        <v>13-05-24</v>
      </c>
      <c r="AP771" t="str">
        <f t="shared" ref="AP771:AP834" si="61">TEXT(AN771,"mmmm")</f>
        <v>November</v>
      </c>
      <c r="AQ771" t="str">
        <f t="shared" ref="AQ771:AQ834" si="62">TEXT(AN771,"yyyy")</f>
        <v>2024</v>
      </c>
      <c r="AR771" t="str">
        <f t="shared" ref="AR771:AR834" si="63">IF(OR(AN771="Invalid Date",AO771="Invalid Date"),"Invalid",(IF(AO771&lt;AN771,"anomaly"," ")))</f>
        <v xml:space="preserve"> </v>
      </c>
      <c r="AS771">
        <f t="shared" ref="AS771:AS834" si="64">IFERROR(AO771-AN771, "invalid date")</f>
        <v>-176</v>
      </c>
      <c r="AT771" t="str">
        <f>IF(COUNTIFS( $A:$A,A771,$B:$B,B771,$C:$C,C771,$D:$D,D771,$E:$E,E771,$F:$F,F771,$G:$G,G771,$H:$H,H771,$I:$I,I771,$J:$J,J771,$K:$K,K771,$L:$L,L771,$M:$M,M771,$T:$T,T771,$U:$U,U771,$W:$W,W771,$Z:$Z,Z771,$AA:$AA,AA771,$AB:$AB,AB771,$AC:$AC,AC771,$AD:$AD,AD771,$AE:$AE,AE771,$AF:$AF,AF771,$AG:$AG,AG771,$AH:$AH,AH771,$AI:$AI,AI771)&gt;1,"Duplicate","Unique")</f>
        <v>Unique</v>
      </c>
    </row>
    <row r="772" spans="1:46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  <c r="W772" t="s">
        <v>3563</v>
      </c>
      <c r="Z772" t="s">
        <v>3564</v>
      </c>
      <c r="AA772" t="str">
        <v>Neha Gupta</v>
      </c>
      <c r="AB772" t="str">
        <f>TRIM(PROPER(F:F))</f>
        <v>Consumer</v>
      </c>
      <c r="AC772" t="str">
        <f>TRIM(PROPER(G:G))</f>
        <v>North</v>
      </c>
      <c r="AD772" t="str">
        <f>TRIM(PROPER(H:H))</f>
        <v>Uttar Pradesh</v>
      </c>
      <c r="AE772" t="str">
        <f>TRIM(PROPER(I:I))</f>
        <v>Noida</v>
      </c>
      <c r="AF772" t="str">
        <f>TRIM(PROPER(J:J))</f>
        <v>Technology</v>
      </c>
      <c r="AG772" t="str">
        <f>TRIM(PROPER(K:K))</f>
        <v>Copiers</v>
      </c>
      <c r="AH772" t="str">
        <f>TRIM(PROPER(L:L))</f>
        <v>Eco Copiers 396</v>
      </c>
      <c r="AI772" t="str">
        <f>TRIM(PROPER(M:M))</f>
        <v>First Class</v>
      </c>
      <c r="AJ772" s="5">
        <f>IF(OR(P772&lt;0,P772&gt;0.5),"invalid",P772)</f>
        <v>0</v>
      </c>
      <c r="AK772" s="6">
        <f>IFERROR(N772*O772*(1-AJ772), "NA")</f>
        <v>3452</v>
      </c>
      <c r="AL772" s="6">
        <f>IFERROR(AK772-R772,"NA")</f>
        <v>1075.3800000000001</v>
      </c>
      <c r="AM772" s="5">
        <f t="shared" si="60"/>
        <v>0.3115237543453071</v>
      </c>
      <c r="AN772" t="str">
        <v>invalid date</v>
      </c>
      <c r="AO772" t="str">
        <v>17-02-24</v>
      </c>
      <c r="AP772" t="str">
        <f t="shared" si="61"/>
        <v>invalid date</v>
      </c>
      <c r="AQ772" t="str">
        <f t="shared" si="62"/>
        <v>invalid date</v>
      </c>
      <c r="AR772" t="str">
        <f t="shared" si="63"/>
        <v>Invalid</v>
      </c>
      <c r="AS772" t="str">
        <f t="shared" si="64"/>
        <v>invalid date</v>
      </c>
      <c r="AT772" t="str">
        <f>IF(COUNTIFS( $A:$A,A772,$B:$B,B772,$C:$C,C772,$D:$D,D772,$E:$E,E772,$F:$F,F772,$G:$G,G772,$H:$H,H772,$I:$I,I772,$J:$J,J772,$K:$K,K772,$L:$L,L772,$M:$M,M772,$T:$T,T772,$U:$U,U772,$W:$W,W772,$Z:$Z,Z772,$AA:$AA,AA772,$AB:$AB,AB772,$AC:$AC,AC772,$AD:$AD,AD772,$AE:$AE,AE772,$AF:$AF,AF772,$AG:$AG,AG772,$AH:$AH,AH772,$AI:$AI,AI772)&gt;1,"Duplicate","Unique")</f>
        <v>Unique</v>
      </c>
    </row>
    <row r="773" spans="1:46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  <c r="W773" t="s">
        <v>3566</v>
      </c>
      <c r="Z773" t="s">
        <v>691</v>
      </c>
      <c r="AA773" t="str">
        <v>Ananya Rao</v>
      </c>
      <c r="AB773" t="str">
        <f>TRIM(PROPER(F:F))</f>
        <v>Consumer</v>
      </c>
      <c r="AC773" t="str">
        <f>TRIM(PROPER(G:G))</f>
        <v>North</v>
      </c>
      <c r="AD773" t="str">
        <f>TRIM(PROPER(H:H))</f>
        <v>Haryana</v>
      </c>
      <c r="AE773" t="str">
        <f>TRIM(PROPER(I:I))</f>
        <v>Gurugram</v>
      </c>
      <c r="AF773" t="str">
        <f>TRIM(PROPER(J:J))</f>
        <v>Technology</v>
      </c>
      <c r="AG773" t="str">
        <f>TRIM(PROPER(K:K))</f>
        <v>Machines</v>
      </c>
      <c r="AH773" t="str">
        <f>TRIM(PROPER(L:L))</f>
        <v>Basic Machines 401</v>
      </c>
      <c r="AI773" t="str">
        <f>TRIM(PROPER(M:M))</f>
        <v>Second Class</v>
      </c>
      <c r="AJ773" s="5">
        <f>IF(OR(P773&lt;0,P773&gt;0.5),"invalid",P773)</f>
        <v>0</v>
      </c>
      <c r="AK773" s="6">
        <f>IFERROR(N773*O773*(1-AJ773), "NA")</f>
        <v>8525.64</v>
      </c>
      <c r="AL773" s="6">
        <f>IFERROR(AK773-R773,"NA")</f>
        <v>5004.9499999999989</v>
      </c>
      <c r="AM773" s="5">
        <f t="shared" si="60"/>
        <v>0.58704683753946907</v>
      </c>
      <c r="AN773" t="str">
        <v>12-07-24</v>
      </c>
      <c r="AO773" t="str">
        <v>14-07-24</v>
      </c>
      <c r="AP773" t="str">
        <f t="shared" si="61"/>
        <v>July</v>
      </c>
      <c r="AQ773" t="str">
        <f t="shared" si="62"/>
        <v>2024</v>
      </c>
      <c r="AR773" t="str">
        <f t="shared" si="63"/>
        <v xml:space="preserve"> </v>
      </c>
      <c r="AS773">
        <f t="shared" si="64"/>
        <v>2</v>
      </c>
      <c r="AT773" t="str">
        <f>IF(COUNTIFS( $A:$A,A773,$B:$B,B773,$C:$C,C773,$D:$D,D773,$E:$E,E773,$F:$F,F773,$G:$G,G773,$H:$H,H773,$I:$I,I773,$J:$J,J773,$K:$K,K773,$L:$L,L773,$M:$M,M773,$T:$T,T773,$U:$U,U773,$W:$W,W773,$Z:$Z,Z773,$AA:$AA,AA773,$AB:$AB,AB773,$AC:$AC,AC773,$AD:$AD,AD773,$AE:$AE,AE773,$AF:$AF,AF773,$AG:$AG,AG773,$AH:$AH,AH773,$AI:$AI,AI773)&gt;1,"Duplicate","Unique")</f>
        <v>Unique</v>
      </c>
    </row>
    <row r="774" spans="1:46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  <c r="W774" t="s">
        <v>3569</v>
      </c>
      <c r="Z774" t="s">
        <v>3570</v>
      </c>
      <c r="AA774" t="str">
        <v>Diya Patel</v>
      </c>
      <c r="AB774" t="str">
        <f>TRIM(PROPER(F:F))</f>
        <v>Consumer</v>
      </c>
      <c r="AC774" t="str">
        <f>TRIM(PROPER(G:G))</f>
        <v>South</v>
      </c>
      <c r="AD774" t="str">
        <f>TRIM(PROPER(H:H))</f>
        <v>Tamil Nadu</v>
      </c>
      <c r="AE774" t="str">
        <f>TRIM(PROPER(I:I))</f>
        <v>Chennai</v>
      </c>
      <c r="AF774" t="str">
        <f>TRIM(PROPER(J:J))</f>
        <v>Furniture</v>
      </c>
      <c r="AG774" t="str">
        <f>TRIM(PROPER(K:K))</f>
        <v>Chairs</v>
      </c>
      <c r="AH774" t="str">
        <f>TRIM(PROPER(L:L))</f>
        <v>Basic Chairs 279</v>
      </c>
      <c r="AI774" t="str">
        <f>TRIM(PROPER(M:M))</f>
        <v>Same Day</v>
      </c>
      <c r="AJ774" s="5">
        <f>IF(OR(P774&lt;0,P774&gt;0.5),"invalid",P774)</f>
        <v>0.05</v>
      </c>
      <c r="AK774" s="6">
        <f>IFERROR(N774*O774*(1-AJ774), "NA")</f>
        <v>3708.0589999999997</v>
      </c>
      <c r="AL774" s="6">
        <f>IFERROR(AK774-R774,"NA")</f>
        <v>947.76899999999978</v>
      </c>
      <c r="AM774" s="5">
        <f t="shared" si="60"/>
        <v>0.25559706574248142</v>
      </c>
      <c r="AN774" t="str">
        <v>invalid date</v>
      </c>
      <c r="AO774" t="str">
        <v>19-07-25</v>
      </c>
      <c r="AP774" t="str">
        <f t="shared" si="61"/>
        <v>invalid date</v>
      </c>
      <c r="AQ774" t="str">
        <f t="shared" si="62"/>
        <v>invalid date</v>
      </c>
      <c r="AR774" t="str">
        <f t="shared" si="63"/>
        <v>Invalid</v>
      </c>
      <c r="AS774" t="str">
        <f t="shared" si="64"/>
        <v>invalid date</v>
      </c>
      <c r="AT774" t="str">
        <f>IF(COUNTIFS( $A:$A,A774,$B:$B,B774,$C:$C,C774,$D:$D,D774,$E:$E,E774,$F:$F,F774,$G:$G,G774,$H:$H,H774,$I:$I,I774,$J:$J,J774,$K:$K,K774,$L:$L,L774,$M:$M,M774,$T:$T,T774,$U:$U,U774,$W:$W,W774,$Z:$Z,Z774,$AA:$AA,AA774,$AB:$AB,AB774,$AC:$AC,AC774,$AD:$AD,AD774,$AE:$AE,AE774,$AF:$AF,AF774,$AG:$AG,AG774,$AH:$AH,AH774,$AI:$AI,AI774)&gt;1,"Duplicate","Unique")</f>
        <v>Unique</v>
      </c>
    </row>
    <row r="775" spans="1:46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  <c r="W775" t="s">
        <v>3572</v>
      </c>
      <c r="Z775" t="s">
        <v>3575</v>
      </c>
      <c r="AA775" t="str">
        <v>Karan Malhotra</v>
      </c>
      <c r="AB775" t="str">
        <f>TRIM(PROPER(F:F))</f>
        <v>Home Office</v>
      </c>
      <c r="AC775" t="str">
        <f>TRIM(PROPER(G:G))</f>
        <v>West</v>
      </c>
      <c r="AD775" t="str">
        <f>TRIM(PROPER(H:H))</f>
        <v>Gujarat</v>
      </c>
      <c r="AE775" t="str">
        <f>TRIM(PROPER(I:I))</f>
        <v>Ahmedabad</v>
      </c>
      <c r="AF775" t="str">
        <f>TRIM(PROPER(J:J))</f>
        <v>Technology</v>
      </c>
      <c r="AG775" t="str">
        <f>TRIM(PROPER(K:K))</f>
        <v>Phones</v>
      </c>
      <c r="AH775" t="str">
        <f>TRIM(PROPER(L:L))</f>
        <v>Basic Phones 753</v>
      </c>
      <c r="AI775" t="s">
        <v>4095</v>
      </c>
      <c r="AJ775" s="5">
        <f>IF(OR(P775&lt;0,P775&gt;0.5),"invalid",P775)</f>
        <v>0.2</v>
      </c>
      <c r="AK775" s="6">
        <f>IFERROR(N775*O775*(1-AJ775), "NA")</f>
        <v>9424.2240000000002</v>
      </c>
      <c r="AL775" s="6">
        <f>IFERROR(AK775-R775,"NA")</f>
        <v>3245.3040000000001</v>
      </c>
      <c r="AM775" s="5">
        <f t="shared" si="60"/>
        <v>0.3443576892909167</v>
      </c>
      <c r="AN775" t="str">
        <v>21-02-25</v>
      </c>
      <c r="AO775" t="str">
        <v>21-02-25</v>
      </c>
      <c r="AP775" t="str">
        <f t="shared" si="61"/>
        <v>February</v>
      </c>
      <c r="AQ775" t="str">
        <f t="shared" si="62"/>
        <v>2025</v>
      </c>
      <c r="AR775" t="str">
        <f t="shared" si="63"/>
        <v xml:space="preserve"> </v>
      </c>
      <c r="AS775">
        <f t="shared" si="64"/>
        <v>0</v>
      </c>
      <c r="AT775" t="str">
        <f>IF(COUNTIFS( $A:$A,A775,$B:$B,B775,$C:$C,C775,$D:$D,D775,$E:$E,E775,$F:$F,F775,$G:$G,G775,$H:$H,H775,$I:$I,I775,$J:$J,J775,$K:$K,K775,$L:$L,L775,$M:$M,M775,$T:$T,T775,$U:$U,U775,$W:$W,W775,$Z:$Z,Z775,$AA:$AA,AA775,$AB:$AB,AB775,$AC:$AC,AC775,$AD:$AD,AD775,$AE:$AE,AE775,$AF:$AF,AF775,$AG:$AG,AG775,$AH:$AH,AH775,$AI:$AI,AI775)&gt;1,"Duplicate","Unique")</f>
        <v>Unique</v>
      </c>
    </row>
    <row r="776" spans="1:46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  <c r="W776" t="s">
        <v>3577</v>
      </c>
      <c r="Z776" t="s">
        <v>3579</v>
      </c>
      <c r="AA776" t="str">
        <v>Kabir Singh</v>
      </c>
      <c r="AB776" t="str">
        <f>TRIM(PROPER(F:F))</f>
        <v>Consumer</v>
      </c>
      <c r="AC776" t="str">
        <f>TRIM(PROPER(G:G))</f>
        <v>West</v>
      </c>
      <c r="AD776" t="str">
        <f>TRIM(PROPER(H:H))</f>
        <v>Rajasthan</v>
      </c>
      <c r="AE776" t="str">
        <f>TRIM(PROPER(I:I))</f>
        <v>Udaipur</v>
      </c>
      <c r="AF776" t="str">
        <f>TRIM(PROPER(J:J))</f>
        <v>Technology</v>
      </c>
      <c r="AG776" t="str">
        <f>TRIM(PROPER(K:K))</f>
        <v>Machines</v>
      </c>
      <c r="AH776" t="str">
        <f>TRIM(PROPER(L:L))</f>
        <v>Smart Machines 789</v>
      </c>
      <c r="AI776" t="s">
        <v>4095</v>
      </c>
      <c r="AJ776" s="5">
        <f>IF(OR(P776&lt;0,P776&gt;0.5),"invalid",P776)</f>
        <v>0.2</v>
      </c>
      <c r="AK776" s="6">
        <f>IFERROR(N776*O776*(1-AJ776), "NA")</f>
        <v>7752.6</v>
      </c>
      <c r="AL776" s="6">
        <f>IFERROR(AK776-R776,"NA")</f>
        <v>3063.3</v>
      </c>
      <c r="AM776" s="5">
        <f t="shared" si="60"/>
        <v>0.39513195573098059</v>
      </c>
      <c r="AN776" t="str">
        <v>07-08-25</v>
      </c>
      <c r="AO776" t="str">
        <v>07-08-25</v>
      </c>
      <c r="AP776" t="str">
        <f t="shared" si="61"/>
        <v>August</v>
      </c>
      <c r="AQ776" t="str">
        <f t="shared" si="62"/>
        <v>2025</v>
      </c>
      <c r="AR776" t="str">
        <f t="shared" si="63"/>
        <v xml:space="preserve"> </v>
      </c>
      <c r="AS776">
        <f t="shared" si="64"/>
        <v>0</v>
      </c>
      <c r="AT776" t="str">
        <f>IF(COUNTIFS( $A:$A,A776,$B:$B,B776,$C:$C,C776,$D:$D,D776,$E:$E,E776,$F:$F,F776,$G:$G,G776,$H:$H,H776,$I:$I,I776,$J:$J,J776,$K:$K,K776,$L:$L,L776,$M:$M,M776,$T:$T,T776,$U:$U,U776,$W:$W,W776,$Z:$Z,Z776,$AA:$AA,AA776,$AB:$AB,AB776,$AC:$AC,AC776,$AD:$AD,AD776,$AE:$AE,AE776,$AF:$AF,AF776,$AG:$AG,AG776,$AH:$AH,AH776,$AI:$AI,AI776)&gt;1,"Duplicate","Unique")</f>
        <v>Unique</v>
      </c>
    </row>
    <row r="777" spans="1:46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  <c r="W777" t="s">
        <v>3581</v>
      </c>
      <c r="Z777" t="s">
        <v>3584</v>
      </c>
      <c r="AA777" t="str">
        <v>Arjun Bose</v>
      </c>
      <c r="AB777" t="str">
        <f>TRIM(PROPER(F:F))</f>
        <v>Consumer</v>
      </c>
      <c r="AC777" t="str">
        <f>TRIM(PROPER(G:G))</f>
        <v>North</v>
      </c>
      <c r="AD777" t="str">
        <f>TRIM(PROPER(H:H))</f>
        <v>Haryana</v>
      </c>
      <c r="AE777" t="str">
        <f>TRIM(PROPER(I:I))</f>
        <v>Gurugram</v>
      </c>
      <c r="AF777" t="str">
        <f>TRIM(PROPER(J:J))</f>
        <v>Technology</v>
      </c>
      <c r="AG777" t="str">
        <f>TRIM(PROPER(K:K))</f>
        <v>Accessories</v>
      </c>
      <c r="AH777" t="str">
        <f>TRIM(PROPER(L:L))</f>
        <v>Elite Accessories 312</v>
      </c>
      <c r="AI777" t="str">
        <f>TRIM(PROPER(M:M))</f>
        <v>Standard Class</v>
      </c>
      <c r="AJ777" s="5">
        <f>IF(OR(P777&lt;0,P777&gt;0.5),"invalid",P777)</f>
        <v>0.25</v>
      </c>
      <c r="AK777" s="6">
        <f>IFERROR(N777*O777*(1-AJ777), "NA")</f>
        <v>23736.720000000001</v>
      </c>
      <c r="AL777" s="6">
        <f>IFERROR(AK777-R777,"NA")</f>
        <v>9845.8200000000015</v>
      </c>
      <c r="AM777" s="5">
        <f t="shared" si="60"/>
        <v>0.41479277676106896</v>
      </c>
      <c r="AN777" t="str">
        <v>14-04-24</v>
      </c>
      <c r="AO777" t="str">
        <v>22-04-24</v>
      </c>
      <c r="AP777" t="str">
        <f t="shared" si="61"/>
        <v>April</v>
      </c>
      <c r="AQ777" t="str">
        <f t="shared" si="62"/>
        <v>2024</v>
      </c>
      <c r="AR777" t="str">
        <f t="shared" si="63"/>
        <v xml:space="preserve"> </v>
      </c>
      <c r="AS777">
        <f t="shared" si="64"/>
        <v>8</v>
      </c>
      <c r="AT777" t="str">
        <f>IF(COUNTIFS( $A:$A,A777,$B:$B,B777,$C:$C,C777,$D:$D,D777,$E:$E,E777,$F:$F,F777,$G:$G,G777,$H:$H,H777,$I:$I,I777,$J:$J,J777,$K:$K,K777,$L:$L,L777,$M:$M,M777,$T:$T,T777,$U:$U,U777,$W:$W,W777,$Z:$Z,Z777,$AA:$AA,AA777,$AB:$AB,AB777,$AC:$AC,AC777,$AD:$AD,AD777,$AE:$AE,AE777,$AF:$AF,AF777,$AG:$AG,AG777,$AH:$AH,AH777,$AI:$AI,AI777)&gt;1,"Duplicate","Unique")</f>
        <v>Unique</v>
      </c>
    </row>
    <row r="778" spans="1:46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  <c r="W778" t="s">
        <v>3586</v>
      </c>
      <c r="Z778" t="s">
        <v>3588</v>
      </c>
      <c r="AA778" t="str">
        <v>Aditi Sen</v>
      </c>
      <c r="AB778" t="str">
        <f>TRIM(PROPER(F:F))</f>
        <v>Small Business</v>
      </c>
      <c r="AC778" t="str">
        <f>TRIM(PROPER(G:G))</f>
        <v>North</v>
      </c>
      <c r="AD778" t="str">
        <f>TRIM(PROPER(H:H))</f>
        <v>Rajasthan</v>
      </c>
      <c r="AE778" t="str">
        <f>TRIM(PROPER(I:I))</f>
        <v>Jaipur</v>
      </c>
      <c r="AF778" t="str">
        <f>TRIM(PROPER(J:J))</f>
        <v>Technology</v>
      </c>
      <c r="AG778" t="str">
        <f>TRIM(PROPER(K:K))</f>
        <v>Copiers</v>
      </c>
      <c r="AH778" t="str">
        <f>TRIM(PROPER(L:L))</f>
        <v>Eco Copiers 528</v>
      </c>
      <c r="AI778" t="str">
        <f>TRIM(PROPER(M:M))</f>
        <v>Second Class</v>
      </c>
      <c r="AJ778" s="5">
        <f>IF(OR(P778&lt;0,P778&gt;0.5),"invalid",P778)</f>
        <v>0</v>
      </c>
      <c r="AK778" s="6">
        <f>IFERROR(N778*O778*(1-AJ778), "NA")</f>
        <v>26999.91</v>
      </c>
      <c r="AL778" s="6">
        <f>IFERROR(AK778-R778,"NA")</f>
        <v>9183.93</v>
      </c>
      <c r="AM778" s="5">
        <f t="shared" si="60"/>
        <v>0.34014668937785347</v>
      </c>
      <c r="AN778" t="str">
        <v>08-06-25</v>
      </c>
      <c r="AO778" t="str">
        <v>invalid date</v>
      </c>
      <c r="AP778" t="str">
        <f t="shared" si="61"/>
        <v>June</v>
      </c>
      <c r="AQ778" t="str">
        <f t="shared" si="62"/>
        <v>2025</v>
      </c>
      <c r="AR778" t="str">
        <f t="shared" si="63"/>
        <v>Invalid</v>
      </c>
      <c r="AS778" t="str">
        <f t="shared" si="64"/>
        <v>invalid date</v>
      </c>
      <c r="AT778" t="str">
        <f>IF(COUNTIFS( $A:$A,A778,$B:$B,B778,$C:$C,C778,$D:$D,D778,$E:$E,E778,$F:$F,F778,$G:$G,G778,$H:$H,H778,$I:$I,I778,$J:$J,J778,$K:$K,K778,$L:$L,L778,$M:$M,M778,$T:$T,T778,$U:$U,U778,$W:$W,W778,$Z:$Z,Z778,$AA:$AA,AA778,$AB:$AB,AB778,$AC:$AC,AC778,$AD:$AD,AD778,$AE:$AE,AE778,$AF:$AF,AF778,$AG:$AG,AG778,$AH:$AH,AH778,$AI:$AI,AI778)&gt;1,"Duplicate","Unique")</f>
        <v>Unique</v>
      </c>
    </row>
    <row r="779" spans="1:46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  <c r="W779" t="s">
        <v>3590</v>
      </c>
      <c r="Z779" t="s">
        <v>3592</v>
      </c>
      <c r="AA779" t="str">
        <v>Kabir Singh</v>
      </c>
      <c r="AB779" t="str">
        <f>TRIM(PROPER(F:F))</f>
        <v>Small Business</v>
      </c>
      <c r="AC779" t="str">
        <f>TRIM(PROPER(G:G))</f>
        <v>West</v>
      </c>
      <c r="AD779" t="str">
        <f>TRIM(PROPER(H:H))</f>
        <v>Madhya Pradesh</v>
      </c>
      <c r="AE779" t="str">
        <f>TRIM(PROPER(I:I))</f>
        <v>Indore</v>
      </c>
      <c r="AF779" t="str">
        <f>TRIM(PROPER(J:J))</f>
        <v>Technology</v>
      </c>
      <c r="AG779" t="str">
        <f>TRIM(PROPER(K:K))</f>
        <v>Accessories</v>
      </c>
      <c r="AH779" t="str">
        <f>TRIM(PROPER(L:L))</f>
        <v>Elite Accessories 226</v>
      </c>
      <c r="AI779" t="str">
        <f>TRIM(PROPER(M:M))</f>
        <v>Second Class</v>
      </c>
      <c r="AJ779" s="5">
        <f>IF(OR(P779&lt;0,P779&gt;0.5),"invalid",P779)</f>
        <v>0.15</v>
      </c>
      <c r="AK779" s="6">
        <f>IFERROR(N779*O779*(1-AJ779), "NA")</f>
        <v>5065.116</v>
      </c>
      <c r="AL779" s="6">
        <f>IFERROR(AK779-R779,"NA")</f>
        <v>1534.9960000000001</v>
      </c>
      <c r="AM779" s="5">
        <f t="shared" si="60"/>
        <v>0.30305248685321323</v>
      </c>
      <c r="AN779" t="str">
        <v>04-02-24</v>
      </c>
      <c r="AO779" t="str">
        <v>06-02-24</v>
      </c>
      <c r="AP779" t="str">
        <f t="shared" si="61"/>
        <v>February</v>
      </c>
      <c r="AQ779" t="str">
        <f t="shared" si="62"/>
        <v>2024</v>
      </c>
      <c r="AR779" t="str">
        <f t="shared" si="63"/>
        <v xml:space="preserve"> </v>
      </c>
      <c r="AS779">
        <f t="shared" si="64"/>
        <v>2</v>
      </c>
      <c r="AT779" t="str">
        <f>IF(COUNTIFS( $A:$A,A779,$B:$B,B779,$C:$C,C779,$D:$D,D779,$E:$E,E779,$F:$F,F779,$G:$G,G779,$H:$H,H779,$I:$I,I779,$J:$J,J779,$K:$K,K779,$L:$L,L779,$M:$M,M779,$T:$T,T779,$U:$U,U779,$W:$W,W779,$Z:$Z,Z779,$AA:$AA,AA779,$AB:$AB,AB779,$AC:$AC,AC779,$AD:$AD,AD779,$AE:$AE,AE779,$AF:$AF,AF779,$AG:$AG,AG779,$AH:$AH,AH779,$AI:$AI,AI779)&gt;1,"Duplicate","Unique")</f>
        <v>Unique</v>
      </c>
    </row>
    <row r="780" spans="1:46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  <c r="W780" t="s">
        <v>3594</v>
      </c>
      <c r="Z780" t="s">
        <v>3596</v>
      </c>
      <c r="AA780" t="str">
        <v>Karan Malhotra</v>
      </c>
      <c r="AB780" t="str">
        <f>TRIM(PROPER(F:F))</f>
        <v>Small Business</v>
      </c>
      <c r="AC780" t="str">
        <f>TRIM(PROPER(G:G))</f>
        <v>North</v>
      </c>
      <c r="AD780" t="str">
        <f>TRIM(PROPER(H:H))</f>
        <v>Haryana</v>
      </c>
      <c r="AE780" t="str">
        <f>TRIM(PROPER(I:I))</f>
        <v>Gurugram</v>
      </c>
      <c r="AF780" t="str">
        <f>TRIM(PROPER(J:J))</f>
        <v>Technology</v>
      </c>
      <c r="AG780" t="str">
        <f>TRIM(PROPER(K:K))</f>
        <v>Copiers</v>
      </c>
      <c r="AH780" t="str">
        <f>TRIM(PROPER(L:L))</f>
        <v>Pro Copiers 298</v>
      </c>
      <c r="AI780" t="str">
        <f>TRIM(PROPER(M:M))</f>
        <v>Second Class</v>
      </c>
      <c r="AJ780" s="5">
        <f>IF(OR(P780&lt;0,P780&gt;0.5),"invalid",P780)</f>
        <v>0</v>
      </c>
      <c r="AK780" s="6">
        <f>IFERROR(N780*O780*(1-AJ780), "NA")</f>
        <v>6707.52</v>
      </c>
      <c r="AL780" s="6">
        <f>IFERROR(AK780-R780,"NA")</f>
        <v>1034.9500000000007</v>
      </c>
      <c r="AM780" s="5">
        <f t="shared" si="60"/>
        <v>0.15429696817899918</v>
      </c>
      <c r="AN780" t="str">
        <v>invalid date</v>
      </c>
      <c r="AO780" t="str">
        <v>24-07-24</v>
      </c>
      <c r="AP780" t="str">
        <f t="shared" si="61"/>
        <v>invalid date</v>
      </c>
      <c r="AQ780" t="str">
        <f t="shared" si="62"/>
        <v>invalid date</v>
      </c>
      <c r="AR780" t="str">
        <f t="shared" si="63"/>
        <v>Invalid</v>
      </c>
      <c r="AS780" t="str">
        <f t="shared" si="64"/>
        <v>invalid date</v>
      </c>
      <c r="AT780" t="str">
        <f>IF(COUNTIFS( $A:$A,A780,$B:$B,B780,$C:$C,C780,$D:$D,D780,$E:$E,E780,$F:$F,F780,$G:$G,G780,$H:$H,H780,$I:$I,I780,$J:$J,J780,$K:$K,K780,$L:$L,L780,$M:$M,M780,$T:$T,T780,$U:$U,U780,$W:$W,W780,$Z:$Z,Z780,$AA:$AA,AA780,$AB:$AB,AB780,$AC:$AC,AC780,$AD:$AD,AD780,$AE:$AE,AE780,$AF:$AF,AF780,$AG:$AG,AG780,$AH:$AH,AH780,$AI:$AI,AI780)&gt;1,"Duplicate","Unique")</f>
        <v>Unique</v>
      </c>
    </row>
    <row r="781" spans="1:46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  <c r="W781" t="s">
        <v>3598</v>
      </c>
      <c r="Z781" t="s">
        <v>3600</v>
      </c>
      <c r="AA781" t="str">
        <v>Priya Menon</v>
      </c>
      <c r="AB781" t="str">
        <f>TRIM(PROPER(F:F))</f>
        <v>Small Business</v>
      </c>
      <c r="AC781" t="str">
        <f>TRIM(PROPER(G:G))</f>
        <v>South</v>
      </c>
      <c r="AD781" t="str">
        <f>TRIM(PROPER(H:H))</f>
        <v>Andhra Pradesh</v>
      </c>
      <c r="AE781" t="str">
        <f>TRIM(PROPER(I:I))</f>
        <v>Vijayawada</v>
      </c>
      <c r="AF781" t="str">
        <f>TRIM(PROPER(J:J))</f>
        <v>Furniture</v>
      </c>
      <c r="AG781" t="str">
        <f>TRIM(PROPER(K:K))</f>
        <v>Chairs</v>
      </c>
      <c r="AH781" t="str">
        <f>TRIM(PROPER(L:L))</f>
        <v>Prime Chairs 331</v>
      </c>
      <c r="AI781" t="str">
        <f>TRIM(PROPER(M:M))</f>
        <v>Standard Class</v>
      </c>
      <c r="AJ781" s="5">
        <f>IF(OR(P781&lt;0,P781&gt;0.5),"invalid",P781)</f>
        <v>0.05</v>
      </c>
      <c r="AK781" s="6">
        <f>IFERROR(N781*O781*(1-AJ781), "NA")</f>
        <v>11983.451999999999</v>
      </c>
      <c r="AL781" s="6">
        <f>IFERROR(AK781-R781,"NA")</f>
        <v>3410.5519999999997</v>
      </c>
      <c r="AM781" s="5">
        <f t="shared" si="60"/>
        <v>0.2846051371507976</v>
      </c>
      <c r="AN781" t="str">
        <v>invalid date</v>
      </c>
      <c r="AO781" t="str">
        <v>20-01-24</v>
      </c>
      <c r="AP781" t="str">
        <f t="shared" si="61"/>
        <v>invalid date</v>
      </c>
      <c r="AQ781" t="str">
        <f t="shared" si="62"/>
        <v>invalid date</v>
      </c>
      <c r="AR781" t="str">
        <f t="shared" si="63"/>
        <v>Invalid</v>
      </c>
      <c r="AS781" t="str">
        <f t="shared" si="64"/>
        <v>invalid date</v>
      </c>
      <c r="AT781" t="str">
        <f>IF(COUNTIFS( $A:$A,A781,$B:$B,B781,$C:$C,C781,$D:$D,D781,$E:$E,E781,$F:$F,F781,$G:$G,G781,$H:$H,H781,$I:$I,I781,$J:$J,J781,$K:$K,K781,$L:$L,L781,$M:$M,M781,$T:$T,T781,$U:$U,U781,$W:$W,W781,$Z:$Z,Z781,$AA:$AA,AA781,$AB:$AB,AB781,$AC:$AC,AC781,$AD:$AD,AD781,$AE:$AE,AE781,$AF:$AF,AF781,$AG:$AG,AG781,$AH:$AH,AH781,$AI:$AI,AI781)&gt;1,"Duplicate","Unique")</f>
        <v>Unique</v>
      </c>
    </row>
    <row r="782" spans="1:46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  <c r="W782" t="s">
        <v>3602</v>
      </c>
      <c r="Z782" t="s">
        <v>3604</v>
      </c>
      <c r="AA782" t="str">
        <v>Diya Patel</v>
      </c>
      <c r="AB782" t="str">
        <f>TRIM(PROPER(F:F))</f>
        <v>Small Business</v>
      </c>
      <c r="AC782" t="str">
        <f>TRIM(PROPER(G:G))</f>
        <v>West</v>
      </c>
      <c r="AD782" t="str">
        <f>TRIM(PROPER(H:H))</f>
        <v>Rajasthan</v>
      </c>
      <c r="AE782" t="str">
        <f>TRIM(PROPER(I:I))</f>
        <v>Udaipur</v>
      </c>
      <c r="AF782" t="str">
        <f>TRIM(PROPER(J:J))</f>
        <v>Furniture</v>
      </c>
      <c r="AG782" t="str">
        <f>TRIM(PROPER(K:K))</f>
        <v>Chairs</v>
      </c>
      <c r="AH782" t="str">
        <f>TRIM(PROPER(L:L))</f>
        <v>Classic Chairs 798</v>
      </c>
      <c r="AI782" t="str">
        <f>TRIM(PROPER(M:M))</f>
        <v>Same Day</v>
      </c>
      <c r="AJ782" s="5">
        <f>IF(OR(P782&lt;0,P782&gt;0.5),"invalid",P782)</f>
        <v>0.2</v>
      </c>
      <c r="AK782" s="6">
        <f>IFERROR(N782*O782*(1-AJ782), "NA")</f>
        <v>1364.576</v>
      </c>
      <c r="AL782" s="6">
        <f>IFERROR(AK782-R782,"NA")</f>
        <v>386.41600000000005</v>
      </c>
      <c r="AM782" s="5">
        <f t="shared" si="60"/>
        <v>0.28317660577351506</v>
      </c>
      <c r="AN782" t="str">
        <v>04-08-24</v>
      </c>
      <c r="AO782" t="str">
        <v>08-10-24</v>
      </c>
      <c r="AP782" t="str">
        <f t="shared" si="61"/>
        <v>August</v>
      </c>
      <c r="AQ782" t="str">
        <f t="shared" si="62"/>
        <v>2024</v>
      </c>
      <c r="AR782" t="str">
        <f t="shared" si="63"/>
        <v xml:space="preserve"> </v>
      </c>
      <c r="AS782">
        <f t="shared" si="64"/>
        <v>65</v>
      </c>
      <c r="AT782" t="str">
        <f>IF(COUNTIFS( $A:$A,A782,$B:$B,B782,$C:$C,C782,$D:$D,D782,$E:$E,E782,$F:$F,F782,$G:$G,G782,$H:$H,H782,$I:$I,I782,$J:$J,J782,$K:$K,K782,$L:$L,L782,$M:$M,M782,$T:$T,T782,$U:$U,U782,$W:$W,W782,$Z:$Z,Z782,$AA:$AA,AA782,$AB:$AB,AB782,$AC:$AC,AC782,$AD:$AD,AD782,$AE:$AE,AE782,$AF:$AF,AF782,$AG:$AG,AG782,$AH:$AH,AH782,$AI:$AI,AI782)&gt;1,"Duplicate","Unique")</f>
        <v>Unique</v>
      </c>
    </row>
    <row r="783" spans="1:46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  <c r="W783" t="s">
        <v>3606</v>
      </c>
      <c r="Z783" t="s">
        <v>3608</v>
      </c>
      <c r="AA783" t="str">
        <v>Karan Malhotra</v>
      </c>
      <c r="AB783" t="str">
        <f>TRIM(PROPER(F:F))</f>
        <v>Home Office</v>
      </c>
      <c r="AC783" t="str">
        <f>TRIM(PROPER(G:G))</f>
        <v>West</v>
      </c>
      <c r="AD783" t="str">
        <f>TRIM(PROPER(H:H))</f>
        <v>Rajasthan</v>
      </c>
      <c r="AE783" t="str">
        <f>TRIM(PROPER(I:I))</f>
        <v>Udaipur</v>
      </c>
      <c r="AF783" t="str">
        <f>TRIM(PROPER(J:J))</f>
        <v>Office Supplies</v>
      </c>
      <c r="AG783" t="str">
        <f>TRIM(PROPER(K:K))</f>
        <v>Labels</v>
      </c>
      <c r="AH783" t="str">
        <f>TRIM(PROPER(L:L))</f>
        <v>Classic Labels 204</v>
      </c>
      <c r="AI783" t="str">
        <f>TRIM(PROPER(M:M))</f>
        <v>First Class</v>
      </c>
      <c r="AJ783" s="5">
        <f>IF(OR(P783&lt;0,P783&gt;0.5),"invalid",P783)</f>
        <v>0.25</v>
      </c>
      <c r="AK783" s="6">
        <f>IFERROR(N783*O783*(1-AJ783), "NA")</f>
        <v>862.64999999999986</v>
      </c>
      <c r="AL783" s="6">
        <f>IFERROR(AK783-R783,"NA")</f>
        <v>258.91999999999985</v>
      </c>
      <c r="AM783" s="5">
        <f t="shared" si="60"/>
        <v>0.30014490233582553</v>
      </c>
      <c r="AN783" t="str">
        <v>02-02-24</v>
      </c>
      <c r="AO783" t="str">
        <v>10-02-24</v>
      </c>
      <c r="AP783" t="str">
        <f t="shared" si="61"/>
        <v>February</v>
      </c>
      <c r="AQ783" t="str">
        <f t="shared" si="62"/>
        <v>2024</v>
      </c>
      <c r="AR783" t="str">
        <f t="shared" si="63"/>
        <v xml:space="preserve"> </v>
      </c>
      <c r="AS783">
        <f t="shared" si="64"/>
        <v>8</v>
      </c>
      <c r="AT783" t="str">
        <f>IF(COUNTIFS( $A:$A,A783,$B:$B,B783,$C:$C,C783,$D:$D,D783,$E:$E,E783,$F:$F,F783,$G:$G,G783,$H:$H,H783,$I:$I,I783,$J:$J,J783,$K:$K,K783,$L:$L,L783,$M:$M,M783,$T:$T,T783,$U:$U,U783,$W:$W,W783,$Z:$Z,Z783,$AA:$AA,AA783,$AB:$AB,AB783,$AC:$AC,AC783,$AD:$AD,AD783,$AE:$AE,AE783,$AF:$AF,AF783,$AG:$AG,AG783,$AH:$AH,AH783,$AI:$AI,AI783)&gt;1,"Duplicate","Unique")</f>
        <v>Unique</v>
      </c>
    </row>
    <row r="784" spans="1:46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  <c r="W784" t="s">
        <v>3610</v>
      </c>
      <c r="Z784" t="s">
        <v>3612</v>
      </c>
      <c r="AA784" t="str">
        <v>Mira Das</v>
      </c>
      <c r="AB784" t="str">
        <f>TRIM(PROPER(F:F))</f>
        <v>Corporate</v>
      </c>
      <c r="AC784" t="str">
        <f>TRIM(PROPER(G:G))</f>
        <v>East</v>
      </c>
      <c r="AD784" t="str">
        <f>TRIM(PROPER(H:H))</f>
        <v>West Bengal</v>
      </c>
      <c r="AE784" t="str">
        <f>TRIM(PROPER(I:I))</f>
        <v>Kolkata</v>
      </c>
      <c r="AF784" t="str">
        <f>TRIM(PROPER(J:J))</f>
        <v>Technology</v>
      </c>
      <c r="AG784" t="str">
        <f>TRIM(PROPER(K:K))</f>
        <v>Copiers</v>
      </c>
      <c r="AH784" t="str">
        <f>TRIM(PROPER(L:L))</f>
        <v>Basic Copiers 254</v>
      </c>
      <c r="AI784" t="str">
        <f>TRIM(PROPER(M:M))</f>
        <v>Standard Class</v>
      </c>
      <c r="AJ784" s="5">
        <f>IF(OR(P784&lt;0,P784&gt;0.5),"invalid",P784)</f>
        <v>0.15</v>
      </c>
      <c r="AK784" s="6">
        <f>IFERROR(N784*O784*(1-AJ784), "NA")</f>
        <v>1138.3709999999999</v>
      </c>
      <c r="AL784" s="6">
        <f>IFERROR(AK784-R784,"NA")</f>
        <v>341.03099999999984</v>
      </c>
      <c r="AM784" s="5">
        <f t="shared" si="60"/>
        <v>0.29957808131092578</v>
      </c>
      <c r="AN784" t="str">
        <v>14-03-25</v>
      </c>
      <c r="AO784" t="str">
        <v>invalid date</v>
      </c>
      <c r="AP784" t="str">
        <f t="shared" si="61"/>
        <v>March</v>
      </c>
      <c r="AQ784" t="str">
        <f t="shared" si="62"/>
        <v>2025</v>
      </c>
      <c r="AR784" t="str">
        <f t="shared" si="63"/>
        <v>Invalid</v>
      </c>
      <c r="AS784" t="str">
        <f t="shared" si="64"/>
        <v>invalid date</v>
      </c>
      <c r="AT784" t="str">
        <f>IF(COUNTIFS( $A:$A,A784,$B:$B,B784,$C:$C,C784,$D:$D,D784,$E:$E,E784,$F:$F,F784,$G:$G,G784,$H:$H,H784,$I:$I,I784,$J:$J,J784,$K:$K,K784,$L:$L,L784,$M:$M,M784,$T:$T,T784,$U:$U,U784,$W:$W,W784,$Z:$Z,Z784,$AA:$AA,AA784,$AB:$AB,AB784,$AC:$AC,AC784,$AD:$AD,AD784,$AE:$AE,AE784,$AF:$AF,AF784,$AG:$AG,AG784,$AH:$AH,AH784,$AI:$AI,AI784)&gt;1,"Duplicate","Unique")</f>
        <v>Unique</v>
      </c>
    </row>
    <row r="785" spans="1:46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  <c r="W785" t="s">
        <v>3614</v>
      </c>
      <c r="Z785" t="s">
        <v>3617</v>
      </c>
      <c r="AA785" t="str">
        <v>Aarav Sharma</v>
      </c>
      <c r="AB785" t="str">
        <f>TRIM(PROPER(F:F))</f>
        <v>Small Business</v>
      </c>
      <c r="AC785" t="str">
        <f>TRIM(PROPER(G:G))</f>
        <v>East</v>
      </c>
      <c r="AD785" t="str">
        <f>TRIM(PROPER(H:H))</f>
        <v>Bihar</v>
      </c>
      <c r="AE785" t="str">
        <f>TRIM(PROPER(I:I))</f>
        <v>Patna</v>
      </c>
      <c r="AF785" t="str">
        <f>TRIM(PROPER(J:J))</f>
        <v>Office Supplies</v>
      </c>
      <c r="AG785" t="str">
        <f>TRIM(PROPER(K:K))</f>
        <v>Art</v>
      </c>
      <c r="AH785" t="str">
        <f>TRIM(PROPER(L:L))</f>
        <v>Basic Art 709</v>
      </c>
      <c r="AI785" t="str">
        <f>TRIM(PROPER(M:M))</f>
        <v>Second Class</v>
      </c>
      <c r="AJ785" s="5">
        <f>IF(OR(P785&lt;0,P785&gt;0.5),"invalid",P785)</f>
        <v>0.05</v>
      </c>
      <c r="AK785" s="6">
        <f>IFERROR(N785*O785*(1-AJ785), "NA")</f>
        <v>2452.8334999999997</v>
      </c>
      <c r="AL785" s="6">
        <f>IFERROR(AK785-R785,"NA")</f>
        <v>546.13349999999969</v>
      </c>
      <c r="AM785" s="5">
        <f t="shared" si="60"/>
        <v>0.22265412634000625</v>
      </c>
      <c r="AN785" t="str">
        <v>07-06-24</v>
      </c>
      <c r="AO785" t="str">
        <v>07-06-24</v>
      </c>
      <c r="AP785" t="str">
        <f t="shared" si="61"/>
        <v>June</v>
      </c>
      <c r="AQ785" t="str">
        <f t="shared" si="62"/>
        <v>2024</v>
      </c>
      <c r="AR785" t="str">
        <f t="shared" si="63"/>
        <v xml:space="preserve"> </v>
      </c>
      <c r="AS785">
        <f t="shared" si="64"/>
        <v>0</v>
      </c>
      <c r="AT785" t="str">
        <f>IF(COUNTIFS( $A:$A,A785,$B:$B,B785,$C:$C,C785,$D:$D,D785,$E:$E,E785,$F:$F,F785,$G:$G,G785,$H:$H,H785,$I:$I,I785,$J:$J,J785,$K:$K,K785,$L:$L,L785,$M:$M,M785,$T:$T,T785,$U:$U,U785,$W:$W,W785,$Z:$Z,Z785,$AA:$AA,AA785,$AB:$AB,AB785,$AC:$AC,AC785,$AD:$AD,AD785,$AE:$AE,AE785,$AF:$AF,AF785,$AG:$AG,AG785,$AH:$AH,AH785,$AI:$AI,AI785)&gt;1,"Duplicate","Unique")</f>
        <v>Unique</v>
      </c>
    </row>
    <row r="786" spans="1:46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  <c r="W786" t="s">
        <v>3619</v>
      </c>
      <c r="Z786" t="s">
        <v>3621</v>
      </c>
      <c r="AA786" t="str">
        <v>Priya Menon</v>
      </c>
      <c r="AB786" t="str">
        <f>TRIM(PROPER(F:F))</f>
        <v>Corporate</v>
      </c>
      <c r="AC786" t="str">
        <f>TRIM(PROPER(G:G))</f>
        <v>North</v>
      </c>
      <c r="AD786" t="str">
        <f>TRIM(PROPER(H:H))</f>
        <v>Punjab</v>
      </c>
      <c r="AE786" t="str">
        <f>TRIM(PROPER(I:I))</f>
        <v>Ludhiana</v>
      </c>
      <c r="AF786" t="str">
        <f>TRIM(PROPER(J:J))</f>
        <v>Technology</v>
      </c>
      <c r="AG786" t="str">
        <f>TRIM(PROPER(K:K))</f>
        <v>Copiers</v>
      </c>
      <c r="AH786" t="str">
        <f>TRIM(PROPER(L:L))</f>
        <v>Max Copiers 551</v>
      </c>
      <c r="AI786" t="str">
        <f>TRIM(PROPER(M:M))</f>
        <v>First Class</v>
      </c>
      <c r="AJ786" s="5">
        <f>IF(OR(P786&lt;0,P786&gt;0.5),"invalid",P786)</f>
        <v>0.05</v>
      </c>
      <c r="AK786" s="6">
        <f>IFERROR(N786*O786*(1-AJ786), "NA")</f>
        <v>1589.0840000000001</v>
      </c>
      <c r="AL786" s="6">
        <f>IFERROR(AK786-R786,"NA")</f>
        <v>504.42399999999998</v>
      </c>
      <c r="AM786" s="5">
        <f t="shared" si="60"/>
        <v>0.31743067075120002</v>
      </c>
      <c r="AN786" t="str">
        <v>10-04-25</v>
      </c>
      <c r="AO786" t="str">
        <v>05-10-25</v>
      </c>
      <c r="AP786" t="str">
        <f t="shared" si="61"/>
        <v>April</v>
      </c>
      <c r="AQ786" t="str">
        <f t="shared" si="62"/>
        <v>2025</v>
      </c>
      <c r="AR786" t="str">
        <f t="shared" si="63"/>
        <v>anomaly</v>
      </c>
      <c r="AS786">
        <f t="shared" si="64"/>
        <v>178</v>
      </c>
      <c r="AT786" t="str">
        <f>IF(COUNTIFS( $A:$A,A786,$B:$B,B786,$C:$C,C786,$D:$D,D786,$E:$E,E786,$F:$F,F786,$G:$G,G786,$H:$H,H786,$I:$I,I786,$J:$J,J786,$K:$K,K786,$L:$L,L786,$M:$M,M786,$T:$T,T786,$U:$U,U786,$W:$W,W786,$Z:$Z,Z786,$AA:$AA,AA786,$AB:$AB,AB786,$AC:$AC,AC786,$AD:$AD,AD786,$AE:$AE,AE786,$AF:$AF,AF786,$AG:$AG,AG786,$AH:$AH,AH786,$AI:$AI,AI786)&gt;1,"Duplicate","Unique")</f>
        <v>Unique</v>
      </c>
    </row>
    <row r="787" spans="1:46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  <c r="W787" t="s">
        <v>3624</v>
      </c>
      <c r="Z787" t="s">
        <v>3626</v>
      </c>
      <c r="AA787" t="str">
        <v>Diya Patel</v>
      </c>
      <c r="AB787" t="str">
        <f>TRIM(PROPER(F:F))</f>
        <v>Small Business</v>
      </c>
      <c r="AC787" t="str">
        <f>TRIM(PROPER(G:G))</f>
        <v>North</v>
      </c>
      <c r="AD787" t="str">
        <f>TRIM(PROPER(H:H))</f>
        <v>Haryana</v>
      </c>
      <c r="AE787" t="str">
        <f>TRIM(PROPER(I:I))</f>
        <v>Gurugram</v>
      </c>
      <c r="AF787" t="str">
        <f>TRIM(PROPER(J:J))</f>
        <v>Office Supplies</v>
      </c>
      <c r="AG787" t="str">
        <f>TRIM(PROPER(K:K))</f>
        <v>Storage</v>
      </c>
      <c r="AH787" t="str">
        <f>TRIM(PROPER(L:L))</f>
        <v>Eco Storage 183</v>
      </c>
      <c r="AI787" t="str">
        <f>TRIM(PROPER(M:M))</f>
        <v>Same Day</v>
      </c>
      <c r="AJ787" s="5">
        <f>IF(OR(P787&lt;0,P787&gt;0.5),"invalid",P787)</f>
        <v>0.25</v>
      </c>
      <c r="AK787" s="6">
        <f>IFERROR(N787*O787*(1-AJ787), "NA")</f>
        <v>4519.41</v>
      </c>
      <c r="AL787" s="6">
        <f>IFERROR(AK787-R787,"NA")</f>
        <v>1015.25</v>
      </c>
      <c r="AM787" s="5">
        <f t="shared" si="60"/>
        <v>0.22464215461752751</v>
      </c>
      <c r="AN787" t="str">
        <v>23-05-24</v>
      </c>
      <c r="AO787" t="str">
        <v>29-05-24</v>
      </c>
      <c r="AP787" t="str">
        <f t="shared" si="61"/>
        <v>May</v>
      </c>
      <c r="AQ787" t="str">
        <f t="shared" si="62"/>
        <v>2024</v>
      </c>
      <c r="AR787" t="str">
        <f t="shared" si="63"/>
        <v xml:space="preserve"> </v>
      </c>
      <c r="AS787">
        <f t="shared" si="64"/>
        <v>6</v>
      </c>
      <c r="AT787" t="str">
        <f>IF(COUNTIFS( $A:$A,A787,$B:$B,B787,$C:$C,C787,$D:$D,D787,$E:$E,E787,$F:$F,F787,$G:$G,G787,$H:$H,H787,$I:$I,I787,$J:$J,J787,$K:$K,K787,$L:$L,L787,$M:$M,M787,$T:$T,T787,$U:$U,U787,$W:$W,W787,$Z:$Z,Z787,$AA:$AA,AA787,$AB:$AB,AB787,$AC:$AC,AC787,$AD:$AD,AD787,$AE:$AE,AE787,$AF:$AF,AF787,$AG:$AG,AG787,$AH:$AH,AH787,$AI:$AI,AI787)&gt;1,"Duplicate","Unique")</f>
        <v>Unique</v>
      </c>
    </row>
    <row r="788" spans="1:46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  <c r="W788" t="s">
        <v>3628</v>
      </c>
      <c r="Z788" t="s">
        <v>3629</v>
      </c>
      <c r="AA788" t="str">
        <v>Ananya Rao</v>
      </c>
      <c r="AB788" t="str">
        <f>TRIM(PROPER(F:F))</f>
        <v>Corporate</v>
      </c>
      <c r="AC788" t="str">
        <f>TRIM(PROPER(G:G))</f>
        <v>North</v>
      </c>
      <c r="AD788" t="str">
        <f>TRIM(PROPER(H:H))</f>
        <v>Rajasthan</v>
      </c>
      <c r="AE788" t="str">
        <f>TRIM(PROPER(I:I))</f>
        <v>Jaipur</v>
      </c>
      <c r="AF788" t="str">
        <f>TRIM(PROPER(J:J))</f>
        <v>Furniture</v>
      </c>
      <c r="AG788" t="str">
        <f>TRIM(PROPER(K:K))</f>
        <v>Furnishings</v>
      </c>
      <c r="AH788" t="str">
        <f>TRIM(PROPER(L:L))</f>
        <v>Pro Furnishings 233</v>
      </c>
      <c r="AI788" t="s">
        <v>4095</v>
      </c>
      <c r="AJ788" s="5">
        <f>IF(OR(P788&lt;0,P788&gt;0.5),"invalid",P788)</f>
        <v>0.05</v>
      </c>
      <c r="AK788" s="6">
        <f>IFERROR(N788*O788*(1-AJ788), "NA")</f>
        <v>2718.71</v>
      </c>
      <c r="AL788" s="6">
        <f>IFERROR(AK788-R788,"NA")</f>
        <v>653.65999999999985</v>
      </c>
      <c r="AM788" s="5">
        <f t="shared" si="60"/>
        <v>0.24043020403058799</v>
      </c>
      <c r="AN788" t="str">
        <v>07-06-25</v>
      </c>
      <c r="AO788" t="str">
        <v>08-07-25</v>
      </c>
      <c r="AP788" t="str">
        <f t="shared" si="61"/>
        <v>June</v>
      </c>
      <c r="AQ788" t="str">
        <f t="shared" si="62"/>
        <v>2025</v>
      </c>
      <c r="AR788" t="str">
        <f t="shared" si="63"/>
        <v xml:space="preserve"> </v>
      </c>
      <c r="AS788">
        <f t="shared" si="64"/>
        <v>31</v>
      </c>
      <c r="AT788" t="str">
        <f>IF(COUNTIFS( $A:$A,A788,$B:$B,B788,$C:$C,C788,$D:$D,D788,$E:$E,E788,$F:$F,F788,$G:$G,G788,$H:$H,H788,$I:$I,I788,$J:$J,J788,$K:$K,K788,$L:$L,L788,$M:$M,M788,$T:$T,T788,$U:$U,U788,$W:$W,W788,$Z:$Z,Z788,$AA:$AA,AA788,$AB:$AB,AB788,$AC:$AC,AC788,$AD:$AD,AD788,$AE:$AE,AE788,$AF:$AF,AF788,$AG:$AG,AG788,$AH:$AH,AH788,$AI:$AI,AI788)&gt;1,"Duplicate","Unique")</f>
        <v>Unique</v>
      </c>
    </row>
    <row r="789" spans="1:46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  <c r="W789" t="s">
        <v>3631</v>
      </c>
      <c r="Z789" t="s">
        <v>3633</v>
      </c>
      <c r="AA789" t="str">
        <v>Ananya Rao</v>
      </c>
      <c r="AB789" t="str">
        <f>TRIM(PROPER(F:F))</f>
        <v>Home Office</v>
      </c>
      <c r="AC789" t="str">
        <f>TRIM(PROPER(G:G))</f>
        <v>East</v>
      </c>
      <c r="AD789" t="str">
        <f>TRIM(PROPER(H:H))</f>
        <v>Bihar</v>
      </c>
      <c r="AE789" t="str">
        <f>TRIM(PROPER(I:I))</f>
        <v>Patna</v>
      </c>
      <c r="AF789" t="str">
        <f>TRIM(PROPER(J:J))</f>
        <v>Office Supplies</v>
      </c>
      <c r="AG789" t="str">
        <f>TRIM(PROPER(K:K))</f>
        <v>Paper</v>
      </c>
      <c r="AH789" t="str">
        <f>TRIM(PROPER(L:L))</f>
        <v>Prime Paper 878</v>
      </c>
      <c r="AI789" t="str">
        <f>TRIM(PROPER(M:M))</f>
        <v>Second Class</v>
      </c>
      <c r="AJ789" s="5">
        <f>IF(OR(P789&lt;0,P789&gt;0.5),"invalid",P789)</f>
        <v>0.05</v>
      </c>
      <c r="AK789" s="6">
        <f>IFERROR(N789*O789*(1-AJ789), "NA")</f>
        <v>7065.6629999999996</v>
      </c>
      <c r="AL789" s="6">
        <f>IFERROR(AK789-R789,"NA")</f>
        <v>2150.3929999999991</v>
      </c>
      <c r="AM789" s="5">
        <f t="shared" si="60"/>
        <v>0.30434412170521002</v>
      </c>
      <c r="AN789" t="str">
        <v>12-09-24</v>
      </c>
      <c r="AO789" t="str">
        <v>18-09-24</v>
      </c>
      <c r="AP789" t="str">
        <f t="shared" si="61"/>
        <v>September</v>
      </c>
      <c r="AQ789" t="str">
        <f t="shared" si="62"/>
        <v>2024</v>
      </c>
      <c r="AR789" t="str">
        <f t="shared" si="63"/>
        <v xml:space="preserve"> </v>
      </c>
      <c r="AS789">
        <f t="shared" si="64"/>
        <v>6</v>
      </c>
      <c r="AT789" t="str">
        <f>IF(COUNTIFS( $A:$A,A789,$B:$B,B789,$C:$C,C789,$D:$D,D789,$E:$E,E789,$F:$F,F789,$G:$G,G789,$H:$H,H789,$I:$I,I789,$J:$J,J789,$K:$K,K789,$L:$L,L789,$M:$M,M789,$T:$T,T789,$U:$U,U789,$W:$W,W789,$Z:$Z,Z789,$AA:$AA,AA789,$AB:$AB,AB789,$AC:$AC,AC789,$AD:$AD,AD789,$AE:$AE,AE789,$AF:$AF,AF789,$AG:$AG,AG789,$AH:$AH,AH789,$AI:$AI,AI789)&gt;1,"Duplicate","Unique")</f>
        <v>Unique</v>
      </c>
    </row>
    <row r="790" spans="1:46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  <c r="W790" t="s">
        <v>3635</v>
      </c>
      <c r="Z790" t="s">
        <v>3636</v>
      </c>
      <c r="AA790" t="str">
        <v>Isha Nair</v>
      </c>
      <c r="AB790" t="str">
        <f>TRIM(PROPER(F:F))</f>
        <v>Corporate</v>
      </c>
      <c r="AC790" t="str">
        <f>TRIM(PROPER(G:G))</f>
        <v>North</v>
      </c>
      <c r="AD790" t="str">
        <f>TRIM(PROPER(H:H))</f>
        <v>Uttar Pradesh</v>
      </c>
      <c r="AE790" t="str">
        <f>TRIM(PROPER(I:I))</f>
        <v>Noida</v>
      </c>
      <c r="AF790" t="str">
        <f>TRIM(PROPER(J:J))</f>
        <v>Furniture</v>
      </c>
      <c r="AG790" t="str">
        <f>TRIM(PROPER(K:K))</f>
        <v>Chairs</v>
      </c>
      <c r="AH790" t="str">
        <f>TRIM(PROPER(L:L))</f>
        <v>Smart Chairs 353</v>
      </c>
      <c r="AI790" t="str">
        <f>TRIM(PROPER(M:M))</f>
        <v>Standard Class</v>
      </c>
      <c r="AJ790" s="5">
        <f>IF(OR(P790&lt;0,P790&gt;0.5),"invalid",P790)</f>
        <v>0.1</v>
      </c>
      <c r="AK790" s="6">
        <f>IFERROR(N790*O790*(1-AJ790), "NA")</f>
        <v>17911.007999999998</v>
      </c>
      <c r="AL790" s="6">
        <f>IFERROR(AK790-R790,"NA")</f>
        <v>6364.9579999999987</v>
      </c>
      <c r="AM790" s="5">
        <f t="shared" si="60"/>
        <v>0.35536570582738836</v>
      </c>
      <c r="AN790" t="str">
        <v>01-08-24</v>
      </c>
      <c r="AO790" t="str">
        <v>02-08-24</v>
      </c>
      <c r="AP790" t="str">
        <f t="shared" si="61"/>
        <v>August</v>
      </c>
      <c r="AQ790" t="str">
        <f t="shared" si="62"/>
        <v>2024</v>
      </c>
      <c r="AR790" t="str">
        <f t="shared" si="63"/>
        <v xml:space="preserve"> </v>
      </c>
      <c r="AS790">
        <f t="shared" si="64"/>
        <v>1</v>
      </c>
      <c r="AT790" t="str">
        <f>IF(COUNTIFS( $A:$A,A790,$B:$B,B790,$C:$C,C790,$D:$D,D790,$E:$E,E790,$F:$F,F790,$G:$G,G790,$H:$H,H790,$I:$I,I790,$J:$J,J790,$K:$K,K790,$L:$L,L790,$M:$M,M790,$T:$T,T790,$U:$U,U790,$W:$W,W790,$Z:$Z,Z790,$AA:$AA,AA790,$AB:$AB,AB790,$AC:$AC,AC790,$AD:$AD,AD790,$AE:$AE,AE790,$AF:$AF,AF790,$AG:$AG,AG790,$AH:$AH,AH790,$AI:$AI,AI790)&gt;1,"Duplicate","Unique")</f>
        <v>Unique</v>
      </c>
    </row>
    <row r="791" spans="1:46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  <c r="W791" t="s">
        <v>3638</v>
      </c>
      <c r="Z791" t="s">
        <v>3640</v>
      </c>
      <c r="AA791" t="str">
        <v>Priya Menon</v>
      </c>
      <c r="AB791" t="str">
        <f>TRIM(PROPER(F:F))</f>
        <v>Home Office</v>
      </c>
      <c r="AC791" t="s">
        <v>4111</v>
      </c>
      <c r="AD791" t="str">
        <f>TRIM(PROPER(H:H))</f>
        <v>Rajasthan</v>
      </c>
      <c r="AE791" t="str">
        <f>TRIM(PROPER(I:I))</f>
        <v>Udaipur</v>
      </c>
      <c r="AF791" t="str">
        <f>TRIM(PROPER(J:J))</f>
        <v>Technology</v>
      </c>
      <c r="AG791" t="str">
        <f>TRIM(PROPER(K:K))</f>
        <v>Copiers</v>
      </c>
      <c r="AH791" t="str">
        <f>TRIM(PROPER(L:L))</f>
        <v>Smart Copiers 408</v>
      </c>
      <c r="AI791" t="str">
        <f>TRIM(PROPER(M:M))</f>
        <v>Same Day</v>
      </c>
      <c r="AJ791" s="5">
        <f>IF(OR(P791&lt;0,P791&gt;0.5),"invalid",P791)</f>
        <v>0</v>
      </c>
      <c r="AK791" s="6">
        <f>IFERROR(N791*O791*(1-AJ791), "NA")</f>
        <v>14149.92</v>
      </c>
      <c r="AL791" s="6">
        <f>IFERROR(AK791-R791,"NA")</f>
        <v>4683.41</v>
      </c>
      <c r="AM791" s="5">
        <f t="shared" si="60"/>
        <v>0.33098491016203624</v>
      </c>
      <c r="AN791" t="str">
        <v>07-03-25</v>
      </c>
      <c r="AO791" t="str">
        <v>08-03-25</v>
      </c>
      <c r="AP791" t="str">
        <f t="shared" si="61"/>
        <v>March</v>
      </c>
      <c r="AQ791" t="str">
        <f t="shared" si="62"/>
        <v>2025</v>
      </c>
      <c r="AR791" t="str">
        <f t="shared" si="63"/>
        <v xml:space="preserve"> </v>
      </c>
      <c r="AS791">
        <f t="shared" si="64"/>
        <v>1</v>
      </c>
      <c r="AT791" t="str">
        <f>IF(COUNTIFS( $A:$A,A791,$B:$B,B791,$C:$C,C791,$D:$D,D791,$E:$E,E791,$F:$F,F791,$G:$G,G791,$H:$H,H791,$I:$I,I791,$J:$J,J791,$K:$K,K791,$L:$L,L791,$M:$M,M791,$T:$T,T791,$U:$U,U791,$W:$W,W791,$Z:$Z,Z791,$AA:$AA,AA791,$AB:$AB,AB791,$AC:$AC,AC791,$AD:$AD,AD791,$AE:$AE,AE791,$AF:$AF,AF791,$AG:$AG,AG791,$AH:$AH,AH791,$AI:$AI,AI791)&gt;1,"Duplicate","Unique")</f>
        <v>Unique</v>
      </c>
    </row>
    <row r="792" spans="1:46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  <c r="W792" t="s">
        <v>3642</v>
      </c>
      <c r="Z792" t="s">
        <v>3645</v>
      </c>
      <c r="AA792" t="str">
        <v>Rahul Verma</v>
      </c>
      <c r="AB792" t="str">
        <f>TRIM(PROPER(F:F))</f>
        <v>Corporate</v>
      </c>
      <c r="AC792" t="str">
        <f>TRIM(PROPER(G:G))</f>
        <v>South</v>
      </c>
      <c r="AD792" t="str">
        <f>TRIM(PROPER(H:H))</f>
        <v>Andhra Pradesh</v>
      </c>
      <c r="AE792" t="str">
        <f>TRIM(PROPER(I:I))</f>
        <v>Vijayawada</v>
      </c>
      <c r="AF792" t="str">
        <f>TRIM(PROPER(J:J))</f>
        <v>Office Supplies</v>
      </c>
      <c r="AG792" t="str">
        <f>TRIM(PROPER(K:K))</f>
        <v>Art</v>
      </c>
      <c r="AH792" t="str">
        <f>TRIM(PROPER(L:L))</f>
        <v>Classic Art 781</v>
      </c>
      <c r="AI792" t="str">
        <f>TRIM(PROPER(M:M))</f>
        <v>Standard Class</v>
      </c>
      <c r="AJ792" s="5">
        <f>IF(OR(P792&lt;0,P792&gt;0.5),"invalid",P792)</f>
        <v>0.2</v>
      </c>
      <c r="AK792" s="6">
        <f>IFERROR(N792*O792*(1-AJ792), "NA")</f>
        <v>4272.576</v>
      </c>
      <c r="AL792" s="6">
        <f>IFERROR(AK792-R792,"NA")</f>
        <v>943.65599999999995</v>
      </c>
      <c r="AM792" s="5">
        <f t="shared" si="60"/>
        <v>0.22086347908147214</v>
      </c>
      <c r="AN792" t="str">
        <v>31-05-24</v>
      </c>
      <c r="AO792" t="str">
        <v>02-06-24</v>
      </c>
      <c r="AP792" t="str">
        <f t="shared" si="61"/>
        <v>May</v>
      </c>
      <c r="AQ792" t="str">
        <f t="shared" si="62"/>
        <v>2024</v>
      </c>
      <c r="AR792" t="str">
        <f t="shared" si="63"/>
        <v>anomaly</v>
      </c>
      <c r="AS792">
        <f t="shared" si="64"/>
        <v>2</v>
      </c>
      <c r="AT792" t="str">
        <f>IF(COUNTIFS( $A:$A,A792,$B:$B,B792,$C:$C,C792,$D:$D,D792,$E:$E,E792,$F:$F,F792,$G:$G,G792,$H:$H,H792,$I:$I,I792,$J:$J,J792,$K:$K,K792,$L:$L,L792,$M:$M,M792,$T:$T,T792,$U:$U,U792,$W:$W,W792,$Z:$Z,Z792,$AA:$AA,AA792,$AB:$AB,AB792,$AC:$AC,AC792,$AD:$AD,AD792,$AE:$AE,AE792,$AF:$AF,AF792,$AG:$AG,AG792,$AH:$AH,AH792,$AI:$AI,AI792)&gt;1,"Duplicate","Unique")</f>
        <v>Unique</v>
      </c>
    </row>
    <row r="793" spans="1:46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  <c r="W793" t="s">
        <v>3647</v>
      </c>
      <c r="Z793" t="s">
        <v>3649</v>
      </c>
      <c r="AA793" t="str">
        <v>Rahul Verma</v>
      </c>
      <c r="AB793" t="str">
        <f>TRIM(PROPER(F:F))</f>
        <v>Home Office</v>
      </c>
      <c r="AC793" t="str">
        <f>TRIM(PROPER(G:G))</f>
        <v>South</v>
      </c>
      <c r="AD793" t="str">
        <f>TRIM(PROPER(H:H))</f>
        <v>Karnataka</v>
      </c>
      <c r="AE793" t="str">
        <f>TRIM(PROPER(I:I))</f>
        <v>Bengaluru</v>
      </c>
      <c r="AF793" t="str">
        <f>TRIM(PROPER(J:J))</f>
        <v>Furniture</v>
      </c>
      <c r="AG793" t="str">
        <f>TRIM(PROPER(K:K))</f>
        <v>Bookcases</v>
      </c>
      <c r="AH793" t="str">
        <f>TRIM(PROPER(L:L))</f>
        <v>Eco Bookcases 144</v>
      </c>
      <c r="AI793" t="str">
        <f>TRIM(PROPER(M:M))</f>
        <v>Same Day</v>
      </c>
      <c r="AJ793" s="5">
        <f>IF(OR(P793&lt;0,P793&gt;0.5),"invalid",P793)</f>
        <v>0.25</v>
      </c>
      <c r="AK793" s="6">
        <f>IFERROR(N793*O793*(1-AJ793), "NA")</f>
        <v>9352.619999999999</v>
      </c>
      <c r="AL793" s="6">
        <f>IFERROR(AK793-R793,"NA")</f>
        <v>4083.2099999999991</v>
      </c>
      <c r="AM793" s="5">
        <f t="shared" si="60"/>
        <v>0.43658461479243243</v>
      </c>
      <c r="AN793" t="str">
        <v>02-10-24</v>
      </c>
      <c r="AO793" t="str">
        <v>06-10-24</v>
      </c>
      <c r="AP793" t="str">
        <f t="shared" si="61"/>
        <v>October</v>
      </c>
      <c r="AQ793" t="str">
        <f t="shared" si="62"/>
        <v>2024</v>
      </c>
      <c r="AR793" t="str">
        <f t="shared" si="63"/>
        <v xml:space="preserve"> </v>
      </c>
      <c r="AS793">
        <f t="shared" si="64"/>
        <v>4</v>
      </c>
      <c r="AT793" t="str">
        <f>IF(COUNTIFS( $A:$A,A793,$B:$B,B793,$C:$C,C793,$D:$D,D793,$E:$E,E793,$F:$F,F793,$G:$G,G793,$H:$H,H793,$I:$I,I793,$J:$J,J793,$K:$K,K793,$L:$L,L793,$M:$M,M793,$T:$T,T793,$U:$U,U793,$W:$W,W793,$Z:$Z,Z793,$AA:$AA,AA793,$AB:$AB,AB793,$AC:$AC,AC793,$AD:$AD,AD793,$AE:$AE,AE793,$AF:$AF,AF793,$AG:$AG,AG793,$AH:$AH,AH793,$AI:$AI,AI793)&gt;1,"Duplicate","Unique")</f>
        <v>Unique</v>
      </c>
    </row>
    <row r="794" spans="1:46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  <c r="W794" t="s">
        <v>3651</v>
      </c>
      <c r="Z794" t="s">
        <v>3653</v>
      </c>
      <c r="AA794" t="str">
        <v>Arjun Bose</v>
      </c>
      <c r="AB794" t="str">
        <f>TRIM(PROPER(F:F))</f>
        <v>Small Business</v>
      </c>
      <c r="AC794" t="str">
        <f>TRIM(PROPER(G:G))</f>
        <v>East</v>
      </c>
      <c r="AD794" t="str">
        <f>TRIM(PROPER(H:H))</f>
        <v>Assam</v>
      </c>
      <c r="AE794" t="str">
        <f>TRIM(PROPER(I:I))</f>
        <v>Guwahati</v>
      </c>
      <c r="AF794" t="str">
        <f>TRIM(PROPER(J:J))</f>
        <v>Furniture</v>
      </c>
      <c r="AG794" t="str">
        <f>TRIM(PROPER(K:K))</f>
        <v>Furnishings</v>
      </c>
      <c r="AH794" t="str">
        <f>TRIM(PROPER(L:L))</f>
        <v>Elite Furnishings 852</v>
      </c>
      <c r="AI794" t="str">
        <f>TRIM(PROPER(M:M))</f>
        <v>Second Class</v>
      </c>
      <c r="AJ794" s="5">
        <f>IF(OR(P794&lt;0,P794&gt;0.5),"invalid",P794)</f>
        <v>0.2</v>
      </c>
      <c r="AK794" s="6">
        <f>IFERROR(N794*O794*(1-AJ794), "NA")</f>
        <v>2800.8960000000002</v>
      </c>
      <c r="AL794" s="6">
        <f>IFERROR(AK794-R794,"NA")</f>
        <v>1064.9160000000002</v>
      </c>
      <c r="AM794" s="5">
        <f t="shared" si="60"/>
        <v>0.38020547710446945</v>
      </c>
      <c r="AN794" t="str">
        <v>04-06-25</v>
      </c>
      <c r="AO794" t="str">
        <v>08-06-25</v>
      </c>
      <c r="AP794" t="str">
        <f t="shared" si="61"/>
        <v>June</v>
      </c>
      <c r="AQ794" t="str">
        <f t="shared" si="62"/>
        <v>2025</v>
      </c>
      <c r="AR794" t="str">
        <f t="shared" si="63"/>
        <v xml:space="preserve"> </v>
      </c>
      <c r="AS794">
        <f t="shared" si="64"/>
        <v>4</v>
      </c>
      <c r="AT794" t="str">
        <f>IF(COUNTIFS( $A:$A,A794,$B:$B,B794,$C:$C,C794,$D:$D,D794,$E:$E,E794,$F:$F,F794,$G:$G,G794,$H:$H,H794,$I:$I,I794,$J:$J,J794,$K:$K,K794,$L:$L,L794,$M:$M,M794,$T:$T,T794,$U:$U,U794,$W:$W,W794,$Z:$Z,Z794,$AA:$AA,AA794,$AB:$AB,AB794,$AC:$AC,AC794,$AD:$AD,AD794,$AE:$AE,AE794,$AF:$AF,AF794,$AG:$AG,AG794,$AH:$AH,AH794,$AI:$AI,AI794)&gt;1,"Duplicate","Unique")</f>
        <v>Unique</v>
      </c>
    </row>
    <row r="795" spans="1:46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  <c r="W795" t="s">
        <v>3655</v>
      </c>
      <c r="Z795" t="s">
        <v>3657</v>
      </c>
      <c r="AA795" t="str">
        <v>Vikram Iyer</v>
      </c>
      <c r="AB795" t="str">
        <f>TRIM(PROPER(F:F))</f>
        <v>Corporate</v>
      </c>
      <c r="AC795" t="str">
        <f>TRIM(PROPER(G:G))</f>
        <v>North</v>
      </c>
      <c r="AD795" t="str">
        <f>TRIM(PROPER(H:H))</f>
        <v>Rajasthan</v>
      </c>
      <c r="AE795" t="str">
        <f>TRIM(PROPER(I:I))</f>
        <v>Jaipur</v>
      </c>
      <c r="AF795" t="str">
        <f>TRIM(PROPER(J:J))</f>
        <v>Technology</v>
      </c>
      <c r="AG795" t="str">
        <f>TRIM(PROPER(K:K))</f>
        <v>Copiers</v>
      </c>
      <c r="AH795" t="str">
        <f>TRIM(PROPER(L:L))</f>
        <v>Basic Copiers 238</v>
      </c>
      <c r="AI795" t="str">
        <f>TRIM(PROPER(M:M))</f>
        <v>Second Class</v>
      </c>
      <c r="AJ795" s="5">
        <f>IF(OR(P795&lt;0,P795&gt;0.5),"invalid",P795)</f>
        <v>0</v>
      </c>
      <c r="AK795" s="6">
        <f>IFERROR(N795*O795*(1-AJ795), "NA")</f>
        <v>21511.599999999999</v>
      </c>
      <c r="AL795" s="6">
        <f>IFERROR(AK795-R795,"NA")</f>
        <v>6103.1299999999992</v>
      </c>
      <c r="AM795" s="5">
        <f t="shared" si="60"/>
        <v>0.28371343833094703</v>
      </c>
      <c r="AN795" t="str">
        <v>28-05-24</v>
      </c>
      <c r="AO795" t="str">
        <v>03-06-24</v>
      </c>
      <c r="AP795" t="str">
        <f t="shared" si="61"/>
        <v>May</v>
      </c>
      <c r="AQ795" t="str">
        <f t="shared" si="62"/>
        <v>2024</v>
      </c>
      <c r="AR795" t="str">
        <f t="shared" si="63"/>
        <v>anomaly</v>
      </c>
      <c r="AS795">
        <f t="shared" si="64"/>
        <v>6</v>
      </c>
      <c r="AT795" t="str">
        <f>IF(COUNTIFS( $A:$A,A795,$B:$B,B795,$C:$C,C795,$D:$D,D795,$E:$E,E795,$F:$F,F795,$G:$G,G795,$H:$H,H795,$I:$I,I795,$J:$J,J795,$K:$K,K795,$L:$L,L795,$M:$M,M795,$T:$T,T795,$U:$U,U795,$W:$W,W795,$Z:$Z,Z795,$AA:$AA,AA795,$AB:$AB,AB795,$AC:$AC,AC795,$AD:$AD,AD795,$AE:$AE,AE795,$AF:$AF,AF795,$AG:$AG,AG795,$AH:$AH,AH795,$AI:$AI,AI795)&gt;1,"Duplicate","Unique")</f>
        <v>Unique</v>
      </c>
    </row>
    <row r="796" spans="1:46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  <c r="W796" t="s">
        <v>3659</v>
      </c>
      <c r="Z796" t="s">
        <v>3661</v>
      </c>
      <c r="AA796" t="str">
        <v>Sneha Kapoor</v>
      </c>
      <c r="AB796" t="str">
        <f>TRIM(PROPER(F:F))</f>
        <v>Corporate</v>
      </c>
      <c r="AC796" t="str">
        <f>TRIM(PROPER(G:G))</f>
        <v>East</v>
      </c>
      <c r="AD796" t="str">
        <f>TRIM(PROPER(H:H))</f>
        <v>Assam</v>
      </c>
      <c r="AE796" t="str">
        <f>TRIM(PROPER(I:I))</f>
        <v>Guwahati</v>
      </c>
      <c r="AF796" t="str">
        <f>TRIM(PROPER(J:J))</f>
        <v>Office Supplies</v>
      </c>
      <c r="AG796" t="str">
        <f>TRIM(PROPER(K:K))</f>
        <v>Paper</v>
      </c>
      <c r="AH796" t="str">
        <f>TRIM(PROPER(L:L))</f>
        <v>Elite Paper 847</v>
      </c>
      <c r="AI796" t="str">
        <f>TRIM(PROPER(M:M))</f>
        <v>Standard Class</v>
      </c>
      <c r="AJ796" s="5">
        <f>IF(OR(P796&lt;0,P796&gt;0.5),"invalid",P796)</f>
        <v>0.15</v>
      </c>
      <c r="AK796" s="6">
        <f>IFERROR(N796*O796*(1-AJ796), "NA")</f>
        <v>7279.3574999999992</v>
      </c>
      <c r="AL796" s="6">
        <f>IFERROR(AK796-R796,"NA")</f>
        <v>2408.9674999999988</v>
      </c>
      <c r="AM796" s="5">
        <f t="shared" si="60"/>
        <v>0.33093133562955235</v>
      </c>
      <c r="AN796" t="str">
        <v>22-06-25</v>
      </c>
      <c r="AO796" t="str">
        <v>24-06-25</v>
      </c>
      <c r="AP796" t="str">
        <f t="shared" si="61"/>
        <v>June</v>
      </c>
      <c r="AQ796" t="str">
        <f t="shared" si="62"/>
        <v>2025</v>
      </c>
      <c r="AR796" t="str">
        <f t="shared" si="63"/>
        <v xml:space="preserve"> </v>
      </c>
      <c r="AS796">
        <f t="shared" si="64"/>
        <v>2</v>
      </c>
      <c r="AT796" t="str">
        <f>IF(COUNTIFS( $A:$A,A796,$B:$B,B796,$C:$C,C796,$D:$D,D796,$E:$E,E796,$F:$F,F796,$G:$G,G796,$H:$H,H796,$I:$I,I796,$J:$J,J796,$K:$K,K796,$L:$L,L796,$M:$M,M796,$T:$T,T796,$U:$U,U796,$W:$W,W796,$Z:$Z,Z796,$AA:$AA,AA796,$AB:$AB,AB796,$AC:$AC,AC796,$AD:$AD,AD796,$AE:$AE,AE796,$AF:$AF,AF796,$AG:$AG,AG796,$AH:$AH,AH796,$AI:$AI,AI796)&gt;1,"Duplicate","Unique")</f>
        <v>Unique</v>
      </c>
    </row>
    <row r="797" spans="1:46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  <c r="W797" t="s">
        <v>3663</v>
      </c>
      <c r="Z797" t="s">
        <v>3665</v>
      </c>
      <c r="AA797" t="str">
        <v>Diya Patel</v>
      </c>
      <c r="AB797" t="str">
        <f>TRIM(PROPER(F:F))</f>
        <v>Home Office</v>
      </c>
      <c r="AC797" t="str">
        <f>TRIM(PROPER(G:G))</f>
        <v>East</v>
      </c>
      <c r="AD797" t="str">
        <f>TRIM(PROPER(H:H))</f>
        <v>Odisha</v>
      </c>
      <c r="AE797" t="str">
        <f>TRIM(PROPER(I:I))</f>
        <v>Bhubaneswar</v>
      </c>
      <c r="AF797" t="str">
        <f>TRIM(PROPER(J:J))</f>
        <v>Technology</v>
      </c>
      <c r="AG797" t="str">
        <f>TRIM(PROPER(K:K))</f>
        <v>Copiers</v>
      </c>
      <c r="AH797" t="str">
        <f>TRIM(PROPER(L:L))</f>
        <v>Pro Copiers 653</v>
      </c>
      <c r="AI797" t="str">
        <f>TRIM(PROPER(M:M))</f>
        <v>Same Day</v>
      </c>
      <c r="AJ797" s="5">
        <f>IF(OR(P797&lt;0,P797&gt;0.5),"invalid",P797)</f>
        <v>0</v>
      </c>
      <c r="AK797" s="6">
        <f>IFERROR(N797*O797*(1-AJ797), "NA")</f>
        <v>26051.94</v>
      </c>
      <c r="AL797" s="6">
        <f>IFERROR(AK797-R797,"NA")</f>
        <v>9168.3499999999985</v>
      </c>
      <c r="AM797" s="5">
        <f t="shared" si="60"/>
        <v>0.3519258066769691</v>
      </c>
      <c r="AN797" t="str">
        <v>30-07-24</v>
      </c>
      <c r="AO797" t="str">
        <v>30-07-24</v>
      </c>
      <c r="AP797" t="str">
        <f t="shared" si="61"/>
        <v>July</v>
      </c>
      <c r="AQ797" t="str">
        <f t="shared" si="62"/>
        <v>2024</v>
      </c>
      <c r="AR797" t="str">
        <f t="shared" si="63"/>
        <v xml:space="preserve"> </v>
      </c>
      <c r="AS797">
        <f t="shared" si="64"/>
        <v>0</v>
      </c>
      <c r="AT797" t="str">
        <f>IF(COUNTIFS( $A:$A,A797,$B:$B,B797,$C:$C,C797,$D:$D,D797,$E:$E,E797,$F:$F,F797,$G:$G,G797,$H:$H,H797,$I:$I,I797,$J:$J,J797,$K:$K,K797,$L:$L,L797,$M:$M,M797,$T:$T,T797,$U:$U,U797,$W:$W,W797,$Z:$Z,Z797,$AA:$AA,AA797,$AB:$AB,AB797,$AC:$AC,AC797,$AD:$AD,AD797,$AE:$AE,AE797,$AF:$AF,AF797,$AG:$AG,AG797,$AH:$AH,AH797,$AI:$AI,AI797)&gt;1,"Duplicate","Unique")</f>
        <v>Unique</v>
      </c>
    </row>
    <row r="798" spans="1:46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  <c r="W798" t="s">
        <v>3667</v>
      </c>
      <c r="Z798" t="s">
        <v>3669</v>
      </c>
      <c r="AA798" t="str">
        <v>Rohan Mehta</v>
      </c>
      <c r="AB798" t="str">
        <f>TRIM(PROPER(F:F))</f>
        <v>Small Business</v>
      </c>
      <c r="AC798" t="str">
        <f>TRIM(PROPER(G:G))</f>
        <v>South</v>
      </c>
      <c r="AD798" t="str">
        <f>TRIM(PROPER(H:H))</f>
        <v>Andhra Pradesh</v>
      </c>
      <c r="AE798" t="str">
        <f>TRIM(PROPER(I:I))</f>
        <v>Vijayawada</v>
      </c>
      <c r="AF798" t="str">
        <f>TRIM(PROPER(J:J))</f>
        <v>Technology</v>
      </c>
      <c r="AG798" t="str">
        <f>TRIM(PROPER(K:K))</f>
        <v>Machines</v>
      </c>
      <c r="AH798" t="str">
        <f>TRIM(PROPER(L:L))</f>
        <v>Elite Machines 459</v>
      </c>
      <c r="AI798" t="str">
        <f>TRIM(PROPER(M:M))</f>
        <v>First Class</v>
      </c>
      <c r="AJ798" s="5">
        <f>IF(OR(P798&lt;0,P798&gt;0.5),"invalid",P798)</f>
        <v>0.15</v>
      </c>
      <c r="AK798" s="6">
        <f>IFERROR(N798*O798*(1-AJ798), "NA")</f>
        <v>9661.6439999999984</v>
      </c>
      <c r="AL798" s="6">
        <f>IFERROR(AK798-R798,"NA")</f>
        <v>3357.873999999998</v>
      </c>
      <c r="AM798" s="5">
        <f t="shared" si="60"/>
        <v>0.34754685641491223</v>
      </c>
      <c r="AN798" t="str">
        <v>invalid date</v>
      </c>
      <c r="AO798" t="str">
        <v>30-03-24</v>
      </c>
      <c r="AP798" t="str">
        <f t="shared" si="61"/>
        <v>invalid date</v>
      </c>
      <c r="AQ798" t="str">
        <f t="shared" si="62"/>
        <v>invalid date</v>
      </c>
      <c r="AR798" t="str">
        <f t="shared" si="63"/>
        <v>Invalid</v>
      </c>
      <c r="AS798" t="str">
        <f t="shared" si="64"/>
        <v>invalid date</v>
      </c>
      <c r="AT798" t="str">
        <f>IF(COUNTIFS( $A:$A,A798,$B:$B,B798,$C:$C,C798,$D:$D,D798,$E:$E,E798,$F:$F,F798,$G:$G,G798,$H:$H,H798,$I:$I,I798,$J:$J,J798,$K:$K,K798,$L:$L,L798,$M:$M,M798,$T:$T,T798,$U:$U,U798,$W:$W,W798,$Z:$Z,Z798,$AA:$AA,AA798,$AB:$AB,AB798,$AC:$AC,AC798,$AD:$AD,AD798,$AE:$AE,AE798,$AF:$AF,AF798,$AG:$AG,AG798,$AH:$AH,AH798,$AI:$AI,AI798)&gt;1,"Duplicate","Unique")</f>
        <v>Unique</v>
      </c>
    </row>
    <row r="799" spans="1:46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  <c r="W799" t="s">
        <v>3671</v>
      </c>
      <c r="Z799" t="s">
        <v>3673</v>
      </c>
      <c r="AA799" t="str">
        <v>Aarav Sharma</v>
      </c>
      <c r="AB799" t="str">
        <f>TRIM(PROPER(F:F))</f>
        <v>Consumer</v>
      </c>
      <c r="AC799" t="str">
        <f>TRIM(PROPER(G:G))</f>
        <v>East</v>
      </c>
      <c r="AD799" t="str">
        <f>TRIM(PROPER(H:H))</f>
        <v>Odisha</v>
      </c>
      <c r="AE799" t="str">
        <f>TRIM(PROPER(I:I))</f>
        <v>Bhubaneswar</v>
      </c>
      <c r="AF799" t="str">
        <f>TRIM(PROPER(J:J))</f>
        <v>Office Supplies</v>
      </c>
      <c r="AG799" t="str">
        <f>TRIM(PROPER(K:K))</f>
        <v>Binders</v>
      </c>
      <c r="AH799" t="str">
        <f>TRIM(PROPER(L:L))</f>
        <v>Elite Binders 764</v>
      </c>
      <c r="AI799" t="str">
        <f>TRIM(PROPER(M:M))</f>
        <v>First Class</v>
      </c>
      <c r="AJ799" s="5">
        <f>IF(OR(P799&lt;0,P799&gt;0.5),"invalid",P799)</f>
        <v>0</v>
      </c>
      <c r="AK799" s="6">
        <f>IFERROR(N799*O799*(1-AJ799), "NA")</f>
        <v>13714.96</v>
      </c>
      <c r="AL799" s="6">
        <f>IFERROR(AK799-R799,"NA")</f>
        <v>3164.49</v>
      </c>
      <c r="AM799" s="5">
        <f t="shared" si="60"/>
        <v>0.23073271814135804</v>
      </c>
      <c r="AN799" t="str">
        <v>18-04-24</v>
      </c>
      <c r="AO799" t="str">
        <v>22-04-24</v>
      </c>
      <c r="AP799" t="str">
        <f t="shared" si="61"/>
        <v>April</v>
      </c>
      <c r="AQ799" t="str">
        <f t="shared" si="62"/>
        <v>2024</v>
      </c>
      <c r="AR799" t="str">
        <f t="shared" si="63"/>
        <v xml:space="preserve"> </v>
      </c>
      <c r="AS799">
        <f t="shared" si="64"/>
        <v>4</v>
      </c>
      <c r="AT799" t="str">
        <f>IF(COUNTIFS( $A:$A,A799,$B:$B,B799,$C:$C,C799,$D:$D,D799,$E:$E,E799,$F:$F,F799,$G:$G,G799,$H:$H,H799,$I:$I,I799,$J:$J,J799,$K:$K,K799,$L:$L,L799,$M:$M,M799,$T:$T,T799,$U:$U,U799,$W:$W,W799,$Z:$Z,Z799,$AA:$AA,AA799,$AB:$AB,AB799,$AC:$AC,AC799,$AD:$AD,AD799,$AE:$AE,AE799,$AF:$AF,AF799,$AG:$AG,AG799,$AH:$AH,AH799,$AI:$AI,AI799)&gt;1,"Duplicate","Unique")</f>
        <v>Unique</v>
      </c>
    </row>
    <row r="800" spans="1:46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  <c r="W800" t="s">
        <v>3675</v>
      </c>
      <c r="Z800" t="s">
        <v>3678</v>
      </c>
      <c r="AA800" t="str">
        <v>Aditi Sen</v>
      </c>
      <c r="AB800" t="str">
        <f>TRIM(PROPER(F:F))</f>
        <v>Corporate</v>
      </c>
      <c r="AC800" t="str">
        <f>TRIM(PROPER(G:G))</f>
        <v>North</v>
      </c>
      <c r="AD800" t="str">
        <f>TRIM(PROPER(H:H))</f>
        <v>Delhi</v>
      </c>
      <c r="AE800" t="str">
        <f>TRIM(PROPER(I:I))</f>
        <v>New Delhi</v>
      </c>
      <c r="AF800" t="str">
        <f>TRIM(PROPER(J:J))</f>
        <v>Furniture</v>
      </c>
      <c r="AG800" t="str">
        <f>TRIM(PROPER(K:K))</f>
        <v>Furnishings</v>
      </c>
      <c r="AH800" t="str">
        <f>TRIM(PROPER(L:L))</f>
        <v>Classic Furnishings 348</v>
      </c>
      <c r="AI800" t="str">
        <f>TRIM(PROPER(M:M))</f>
        <v>Standard Class</v>
      </c>
      <c r="AJ800" s="5">
        <f>IF(OR(P800&lt;0,P800&gt;0.5),"invalid",P800)</f>
        <v>0</v>
      </c>
      <c r="AK800" s="6">
        <f>IFERROR(N800*O800*(1-AJ800), "NA")</f>
        <v>15354.449999999999</v>
      </c>
      <c r="AL800" s="6">
        <f>IFERROR(AK800-R800,"NA")</f>
        <v>5697.9499999999989</v>
      </c>
      <c r="AM800" s="5">
        <f t="shared" si="60"/>
        <v>0.37109437329243311</v>
      </c>
      <c r="AN800" t="str">
        <v>11-07-25</v>
      </c>
      <c r="AO800" t="str">
        <v>09-07-25</v>
      </c>
      <c r="AP800" t="str">
        <f t="shared" si="61"/>
        <v>July</v>
      </c>
      <c r="AQ800" t="str">
        <f t="shared" si="62"/>
        <v>2025</v>
      </c>
      <c r="AR800" t="str">
        <f t="shared" si="63"/>
        <v>anomaly</v>
      </c>
      <c r="AS800">
        <f t="shared" si="64"/>
        <v>-2</v>
      </c>
      <c r="AT800" t="str">
        <f>IF(COUNTIFS( $A:$A,A800,$B:$B,B800,$C:$C,C800,$D:$D,D800,$E:$E,E800,$F:$F,F800,$G:$G,G800,$H:$H,H800,$I:$I,I800,$J:$J,J800,$K:$K,K800,$L:$L,L800,$M:$M,M800,$T:$T,T800,$U:$U,U800,$W:$W,W800,$Z:$Z,Z800,$AA:$AA,AA800,$AB:$AB,AB800,$AC:$AC,AC800,$AD:$AD,AD800,$AE:$AE,AE800,$AF:$AF,AF800,$AG:$AG,AG800,$AH:$AH,AH800,$AI:$AI,AI800)&gt;1,"Duplicate","Unique")</f>
        <v>Unique</v>
      </c>
    </row>
    <row r="801" spans="1:46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  <c r="W801" t="s">
        <v>3680</v>
      </c>
      <c r="Z801" t="s">
        <v>3681</v>
      </c>
      <c r="AA801" t="str">
        <v>Isha Nair</v>
      </c>
      <c r="AB801" t="str">
        <f>TRIM(PROPER(F:F))</f>
        <v>Home Office</v>
      </c>
      <c r="AC801" t="str">
        <f>TRIM(PROPER(G:G))</f>
        <v>North</v>
      </c>
      <c r="AD801" t="str">
        <f>TRIM(PROPER(H:H))</f>
        <v>Haryana</v>
      </c>
      <c r="AE801" t="str">
        <f>TRIM(PROPER(I:I))</f>
        <v>Gurugram</v>
      </c>
      <c r="AF801" t="str">
        <f>TRIM(PROPER(J:J))</f>
        <v>Technology</v>
      </c>
      <c r="AG801" t="str">
        <f>TRIM(PROPER(K:K))</f>
        <v>Accessories</v>
      </c>
      <c r="AH801" t="str">
        <f>TRIM(PROPER(L:L))</f>
        <v>Smart Accessories 487</v>
      </c>
      <c r="AI801" t="s">
        <v>4095</v>
      </c>
      <c r="AJ801" s="5">
        <f>IF(OR(P801&lt;0,P801&gt;0.5),"invalid",P801)</f>
        <v>0.05</v>
      </c>
      <c r="AK801" s="6">
        <f>IFERROR(N801*O801*(1-AJ801), "NA")</f>
        <v>4595.1975000000002</v>
      </c>
      <c r="AL801" s="6">
        <f>IFERROR(AK801-R801,"NA")</f>
        <v>707.78750000000036</v>
      </c>
      <c r="AM801" s="5">
        <f t="shared" si="60"/>
        <v>0.15402765604742785</v>
      </c>
      <c r="AN801" t="str">
        <v>10-10-24</v>
      </c>
      <c r="AO801" t="str">
        <v>17-10-24</v>
      </c>
      <c r="AP801" t="str">
        <f t="shared" si="61"/>
        <v>October</v>
      </c>
      <c r="AQ801" t="str">
        <f t="shared" si="62"/>
        <v>2024</v>
      </c>
      <c r="AR801" t="str">
        <f t="shared" si="63"/>
        <v xml:space="preserve"> </v>
      </c>
      <c r="AS801">
        <f t="shared" si="64"/>
        <v>7</v>
      </c>
      <c r="AT801" t="str">
        <f>IF(COUNTIFS( $A:$A,A801,$B:$B,B801,$C:$C,C801,$D:$D,D801,$E:$E,E801,$F:$F,F801,$G:$G,G801,$H:$H,H801,$I:$I,I801,$J:$J,J801,$K:$K,K801,$L:$L,L801,$M:$M,M801,$T:$T,T801,$U:$U,U801,$W:$W,W801,$Z:$Z,Z801,$AA:$AA,AA801,$AB:$AB,AB801,$AC:$AC,AC801,$AD:$AD,AD801,$AE:$AE,AE801,$AF:$AF,AF801,$AG:$AG,AG801,$AH:$AH,AH801,$AI:$AI,AI801)&gt;1,"Duplicate","Unique")</f>
        <v>Unique</v>
      </c>
    </row>
    <row r="802" spans="1:46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  <c r="W802" t="s">
        <v>3683</v>
      </c>
      <c r="Z802" t="s">
        <v>3686</v>
      </c>
      <c r="AA802" t="str">
        <v>Vikram Iyer</v>
      </c>
      <c r="AB802" t="str">
        <f>TRIM(PROPER(F:F))</f>
        <v>Small Business</v>
      </c>
      <c r="AC802" t="str">
        <f>TRIM(PROPER(G:G))</f>
        <v>West</v>
      </c>
      <c r="AD802" t="str">
        <f>TRIM(PROPER(H:H))</f>
        <v>Maharashtra</v>
      </c>
      <c r="AE802" t="str">
        <f>TRIM(PROPER(I:I))</f>
        <v>Mumbai</v>
      </c>
      <c r="AF802" t="str">
        <f>TRIM(PROPER(J:J))</f>
        <v>Office Supplies</v>
      </c>
      <c r="AG802" t="str">
        <f>TRIM(PROPER(K:K))</f>
        <v>Storage</v>
      </c>
      <c r="AH802" t="str">
        <f>TRIM(PROPER(L:L))</f>
        <v>Elite Storage 825</v>
      </c>
      <c r="AI802" t="str">
        <f>TRIM(PROPER(M:M))</f>
        <v>Second Class</v>
      </c>
      <c r="AJ802" s="5">
        <f>IF(OR(P802&lt;0,P802&gt;0.5),"invalid",P802)</f>
        <v>0.15</v>
      </c>
      <c r="AK802" s="6">
        <f>IFERROR(N802*O802*(1-AJ802), "NA")</f>
        <v>21234.971999999998</v>
      </c>
      <c r="AL802" s="6">
        <f>IFERROR(AK802-R802,"NA")</f>
        <v>4498.8819999999978</v>
      </c>
      <c r="AM802" s="5">
        <f t="shared" si="60"/>
        <v>0.21186192286950029</v>
      </c>
      <c r="AN802" t="str">
        <v>01-03-24</v>
      </c>
      <c r="AO802" t="str">
        <v>07-03-24</v>
      </c>
      <c r="AP802" t="str">
        <f t="shared" si="61"/>
        <v>March</v>
      </c>
      <c r="AQ802" t="str">
        <f t="shared" si="62"/>
        <v>2024</v>
      </c>
      <c r="AR802" t="str">
        <f t="shared" si="63"/>
        <v xml:space="preserve"> </v>
      </c>
      <c r="AS802">
        <f t="shared" si="64"/>
        <v>6</v>
      </c>
      <c r="AT802" t="str">
        <f>IF(COUNTIFS( $A:$A,A802,$B:$B,B802,$C:$C,C802,$D:$D,D802,$E:$E,E802,$F:$F,F802,$G:$G,G802,$H:$H,H802,$I:$I,I802,$J:$J,J802,$K:$K,K802,$L:$L,L802,$M:$M,M802,$T:$T,T802,$U:$U,U802,$W:$W,W802,$Z:$Z,Z802,$AA:$AA,AA802,$AB:$AB,AB802,$AC:$AC,AC802,$AD:$AD,AD802,$AE:$AE,AE802,$AF:$AF,AF802,$AG:$AG,AG802,$AH:$AH,AH802,$AI:$AI,AI802)&gt;1,"Duplicate","Unique")</f>
        <v>Unique</v>
      </c>
    </row>
    <row r="803" spans="1:46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  <c r="W803" t="s">
        <v>3688</v>
      </c>
      <c r="Z803" t="s">
        <v>3690</v>
      </c>
      <c r="AA803" t="str">
        <v>Aarav Sharma</v>
      </c>
      <c r="AB803" t="str">
        <f>TRIM(PROPER(F:F))</f>
        <v>Home Office</v>
      </c>
      <c r="AC803" t="str">
        <f>TRIM(PROPER(G:G))</f>
        <v>East</v>
      </c>
      <c r="AD803" t="str">
        <f>TRIM(PROPER(H:H))</f>
        <v>Odisha</v>
      </c>
      <c r="AE803" t="str">
        <f>TRIM(PROPER(I:I))</f>
        <v>Bhubaneswar</v>
      </c>
      <c r="AF803" t="str">
        <f>TRIM(PROPER(J:J))</f>
        <v>Technology</v>
      </c>
      <c r="AG803" t="str">
        <f>TRIM(PROPER(K:K))</f>
        <v>Accessories</v>
      </c>
      <c r="AH803" t="str">
        <f>TRIM(PROPER(L:L))</f>
        <v>Pro Accessories 500</v>
      </c>
      <c r="AI803" t="str">
        <f>TRIM(PROPER(M:M))</f>
        <v>Second Class</v>
      </c>
      <c r="AJ803" s="5">
        <f>IF(OR(P803&lt;0,P803&gt;0.5),"invalid",P803)</f>
        <v>0.2</v>
      </c>
      <c r="AK803" s="6">
        <f>IFERROR(N803*O803*(1-AJ803), "NA")</f>
        <v>8093.304000000001</v>
      </c>
      <c r="AL803" s="6">
        <f>IFERROR(AK803-R803,"NA")</f>
        <v>2040.8740000000007</v>
      </c>
      <c r="AM803" s="5">
        <f t="shared" si="60"/>
        <v>0.25216821214179036</v>
      </c>
      <c r="AN803" t="str">
        <v>08-10-25</v>
      </c>
      <c r="AO803" t="str">
        <v>15-10-25</v>
      </c>
      <c r="AP803" t="str">
        <f t="shared" si="61"/>
        <v>October</v>
      </c>
      <c r="AQ803" t="str">
        <f t="shared" si="62"/>
        <v>2025</v>
      </c>
      <c r="AR803" t="str">
        <f t="shared" si="63"/>
        <v xml:space="preserve"> </v>
      </c>
      <c r="AS803">
        <f t="shared" si="64"/>
        <v>7</v>
      </c>
      <c r="AT803" t="str">
        <f>IF(COUNTIFS( $A:$A,A803,$B:$B,B803,$C:$C,C803,$D:$D,D803,$E:$E,E803,$F:$F,F803,$G:$G,G803,$H:$H,H803,$I:$I,I803,$J:$J,J803,$K:$K,K803,$L:$L,L803,$M:$M,M803,$T:$T,T803,$U:$U,U803,$W:$W,W803,$Z:$Z,Z803,$AA:$AA,AA803,$AB:$AB,AB803,$AC:$AC,AC803,$AD:$AD,AD803,$AE:$AE,AE803,$AF:$AF,AF803,$AG:$AG,AG803,$AH:$AH,AH803,$AI:$AI,AI803)&gt;1,"Duplicate","Unique")</f>
        <v>Unique</v>
      </c>
    </row>
    <row r="804" spans="1:46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  <c r="W804" t="s">
        <v>3692</v>
      </c>
      <c r="Z804" t="s">
        <v>3694</v>
      </c>
      <c r="AA804" t="str">
        <v>Rohan Mehta</v>
      </c>
      <c r="AB804" t="str">
        <f>TRIM(PROPER(F:F))</f>
        <v>Small Business</v>
      </c>
      <c r="AC804" t="str">
        <f>TRIM(PROPER(G:G))</f>
        <v>East</v>
      </c>
      <c r="AD804" t="str">
        <f>TRIM(PROPER(H:H))</f>
        <v>Assam</v>
      </c>
      <c r="AE804" t="str">
        <f>TRIM(PROPER(I:I))</f>
        <v>Guwahati</v>
      </c>
      <c r="AF804" t="str">
        <f>TRIM(PROPER(J:J))</f>
        <v>Furniture</v>
      </c>
      <c r="AG804" t="str">
        <f>TRIM(PROPER(K:K))</f>
        <v>Furnishings</v>
      </c>
      <c r="AH804" t="str">
        <f>TRIM(PROPER(L:L))</f>
        <v>Pro Furnishings 909</v>
      </c>
      <c r="AI804" t="str">
        <f>TRIM(PROPER(M:M))</f>
        <v>Second Class</v>
      </c>
      <c r="AJ804" s="5">
        <f>IF(OR(P804&lt;0,P804&gt;0.5),"invalid",P804)</f>
        <v>0</v>
      </c>
      <c r="AK804" s="6">
        <f>IFERROR(N804*O804*(1-AJ804), "NA")</f>
        <v>8651.4600000000009</v>
      </c>
      <c r="AL804" s="6">
        <f>IFERROR(AK804-R804,"NA")</f>
        <v>3396.8400000000011</v>
      </c>
      <c r="AM804" s="5">
        <f t="shared" si="60"/>
        <v>0.39263199506210522</v>
      </c>
      <c r="AN804" t="str">
        <v>16-02-25</v>
      </c>
      <c r="AO804" t="str">
        <v>16-02-25</v>
      </c>
      <c r="AP804" t="str">
        <f t="shared" si="61"/>
        <v>February</v>
      </c>
      <c r="AQ804" t="str">
        <f t="shared" si="62"/>
        <v>2025</v>
      </c>
      <c r="AR804" t="str">
        <f t="shared" si="63"/>
        <v xml:space="preserve"> </v>
      </c>
      <c r="AS804">
        <f t="shared" si="64"/>
        <v>0</v>
      </c>
      <c r="AT804" t="str">
        <f>IF(COUNTIFS( $A:$A,A804,$B:$B,B804,$C:$C,C804,$D:$D,D804,$E:$E,E804,$F:$F,F804,$G:$G,G804,$H:$H,H804,$I:$I,I804,$J:$J,J804,$K:$K,K804,$L:$L,L804,$M:$M,M804,$T:$T,T804,$U:$U,U804,$W:$W,W804,$Z:$Z,Z804,$AA:$AA,AA804,$AB:$AB,AB804,$AC:$AC,AC804,$AD:$AD,AD804,$AE:$AE,AE804,$AF:$AF,AF804,$AG:$AG,AG804,$AH:$AH,AH804,$AI:$AI,AI804)&gt;1,"Duplicate","Unique")</f>
        <v>Unique</v>
      </c>
    </row>
    <row r="805" spans="1:46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  <c r="W805" t="s">
        <v>3697</v>
      </c>
      <c r="Z805" t="s">
        <v>3699</v>
      </c>
      <c r="AA805" t="str">
        <v>Rohan Mehta</v>
      </c>
      <c r="AB805" t="str">
        <f>TRIM(PROPER(F:F))</f>
        <v>Consumer</v>
      </c>
      <c r="AC805" t="s">
        <v>4111</v>
      </c>
      <c r="AD805" t="str">
        <f>TRIM(PROPER(H:H))</f>
        <v>Jharkhand</v>
      </c>
      <c r="AE805" t="str">
        <f>TRIM(PROPER(I:I))</f>
        <v>Ranchi</v>
      </c>
      <c r="AF805" t="str">
        <f>TRIM(PROPER(J:J))</f>
        <v>Office Supplies</v>
      </c>
      <c r="AG805" t="str">
        <f>TRIM(PROPER(K:K))</f>
        <v>Labels</v>
      </c>
      <c r="AH805" t="str">
        <f>TRIM(PROPER(L:L))</f>
        <v>Basic Labels 359</v>
      </c>
      <c r="AI805" t="str">
        <f>TRIM(PROPER(M:M))</f>
        <v>First Class</v>
      </c>
      <c r="AJ805" s="5">
        <f>IF(OR(P805&lt;0,P805&gt;0.5),"invalid",P805)</f>
        <v>0</v>
      </c>
      <c r="AK805" s="6">
        <f>IFERROR(N805*O805*(1-AJ805), "NA")</f>
        <v>4306.6499999999996</v>
      </c>
      <c r="AL805" s="6">
        <f>IFERROR(AK805-R805,"NA")</f>
        <v>1737.8299999999995</v>
      </c>
      <c r="AM805" s="5">
        <f t="shared" si="60"/>
        <v>0.40352245945224235</v>
      </c>
      <c r="AN805" t="str">
        <v>09-12-24</v>
      </c>
      <c r="AO805" t="str">
        <v>13-12-24</v>
      </c>
      <c r="AP805" t="str">
        <f t="shared" si="61"/>
        <v>December</v>
      </c>
      <c r="AQ805" t="str">
        <f t="shared" si="62"/>
        <v>2024</v>
      </c>
      <c r="AR805" t="str">
        <f t="shared" si="63"/>
        <v xml:space="preserve"> </v>
      </c>
      <c r="AS805">
        <f t="shared" si="64"/>
        <v>4</v>
      </c>
      <c r="AT805" t="str">
        <f>IF(COUNTIFS( $A:$A,A805,$B:$B,B805,$C:$C,C805,$D:$D,D805,$E:$E,E805,$F:$F,F805,$G:$G,G805,$H:$H,H805,$I:$I,I805,$J:$J,J805,$K:$K,K805,$L:$L,L805,$M:$M,M805,$T:$T,T805,$U:$U,U805,$W:$W,W805,$Z:$Z,Z805,$AA:$AA,AA805,$AB:$AB,AB805,$AC:$AC,AC805,$AD:$AD,AD805,$AE:$AE,AE805,$AF:$AF,AF805,$AG:$AG,AG805,$AH:$AH,AH805,$AI:$AI,AI805)&gt;1,"Duplicate","Unique")</f>
        <v>Unique</v>
      </c>
    </row>
    <row r="806" spans="1:46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  <c r="W806" t="s">
        <v>3701</v>
      </c>
      <c r="Z806" t="s">
        <v>3702</v>
      </c>
      <c r="AA806" t="str">
        <v>Rahul Verma</v>
      </c>
      <c r="AB806" t="str">
        <f>TRIM(PROPER(F:F))</f>
        <v>Home Office</v>
      </c>
      <c r="AC806" t="str">
        <f>TRIM(PROPER(G:G))</f>
        <v>South</v>
      </c>
      <c r="AD806" t="str">
        <f>TRIM(PROPER(H:H))</f>
        <v>Telangana</v>
      </c>
      <c r="AE806" t="str">
        <f>TRIM(PROPER(I:I))</f>
        <v>Hyderabad</v>
      </c>
      <c r="AF806" t="str">
        <f>TRIM(PROPER(J:J))</f>
        <v>Furniture</v>
      </c>
      <c r="AG806" t="str">
        <f>TRIM(PROPER(K:K))</f>
        <v>Furnishings</v>
      </c>
      <c r="AH806" t="str">
        <f>TRIM(PROPER(L:L))</f>
        <v>Eco Furnishings 541</v>
      </c>
      <c r="AI806" t="str">
        <f>TRIM(PROPER(M:M))</f>
        <v>Standard Class</v>
      </c>
      <c r="AJ806" s="5">
        <f>IF(OR(P806&lt;0,P806&gt;0.5),"invalid",P806)</f>
        <v>0.05</v>
      </c>
      <c r="AK806" s="6">
        <f>IFERROR(N806*O806*(1-AJ806), "NA")</f>
        <v>1948.0889999999997</v>
      </c>
      <c r="AL806" s="6">
        <f>IFERROR(AK806-R806,"NA")</f>
        <v>441.00899999999979</v>
      </c>
      <c r="AM806" s="5">
        <f t="shared" si="60"/>
        <v>0.22638031424642296</v>
      </c>
      <c r="AN806" t="str">
        <v>10-09-25</v>
      </c>
      <c r="AO806" t="str">
        <v>18-09-25</v>
      </c>
      <c r="AP806" t="str">
        <f t="shared" si="61"/>
        <v>September</v>
      </c>
      <c r="AQ806" t="str">
        <f t="shared" si="62"/>
        <v>2025</v>
      </c>
      <c r="AR806" t="str">
        <f t="shared" si="63"/>
        <v xml:space="preserve"> </v>
      </c>
      <c r="AS806">
        <f t="shared" si="64"/>
        <v>8</v>
      </c>
      <c r="AT806" t="str">
        <f>IF(COUNTIFS( $A:$A,A806,$B:$B,B806,$C:$C,C806,$D:$D,D806,$E:$E,E806,$F:$F,F806,$G:$G,G806,$H:$H,H806,$I:$I,I806,$J:$J,J806,$K:$K,K806,$L:$L,L806,$M:$M,M806,$T:$T,T806,$U:$U,U806,$W:$W,W806,$Z:$Z,Z806,$AA:$AA,AA806,$AB:$AB,AB806,$AC:$AC,AC806,$AD:$AD,AD806,$AE:$AE,AE806,$AF:$AF,AF806,$AG:$AG,AG806,$AH:$AH,AH806,$AI:$AI,AI806)&gt;1,"Duplicate","Unique")</f>
        <v>Unique</v>
      </c>
    </row>
    <row r="807" spans="1:46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  <c r="W807" t="s">
        <v>3704</v>
      </c>
      <c r="Z807" t="s">
        <v>3520</v>
      </c>
      <c r="AA807" t="str">
        <v>Priya Menon</v>
      </c>
      <c r="AB807" t="str">
        <f>TRIM(PROPER(F:F))</f>
        <v>Home Office</v>
      </c>
      <c r="AC807" t="str">
        <f>TRIM(PROPER(G:G))</f>
        <v>East</v>
      </c>
      <c r="AD807" t="str">
        <f>TRIM(PROPER(H:H))</f>
        <v>Assam</v>
      </c>
      <c r="AE807" t="str">
        <f>TRIM(PROPER(I:I))</f>
        <v>Guwahati</v>
      </c>
      <c r="AF807" t="str">
        <f>TRIM(PROPER(J:J))</f>
        <v>Office Supplies</v>
      </c>
      <c r="AG807" t="str">
        <f>TRIM(PROPER(K:K))</f>
        <v>Binders</v>
      </c>
      <c r="AH807" t="str">
        <f>TRIM(PROPER(L:L))</f>
        <v>Classic Binders 103</v>
      </c>
      <c r="AI807" t="str">
        <f>TRIM(PROPER(M:M))</f>
        <v>Second Class</v>
      </c>
      <c r="AJ807" s="5">
        <f>IF(OR(P807&lt;0,P807&gt;0.5),"invalid",P807)</f>
        <v>0.25</v>
      </c>
      <c r="AK807" s="6">
        <f>IFERROR(N807*O807*(1-AJ807), "NA")</f>
        <v>3045.09</v>
      </c>
      <c r="AL807" s="6">
        <f>IFERROR(AK807-R807,"NA")</f>
        <v>444</v>
      </c>
      <c r="AM807" s="5">
        <f t="shared" si="60"/>
        <v>0.14580849827098705</v>
      </c>
      <c r="AN807" t="str">
        <v>06-04-25</v>
      </c>
      <c r="AO807" t="str">
        <v>07-04-25</v>
      </c>
      <c r="AP807" t="str">
        <f t="shared" si="61"/>
        <v>April</v>
      </c>
      <c r="AQ807" t="str">
        <f t="shared" si="62"/>
        <v>2025</v>
      </c>
      <c r="AR807" t="str">
        <f t="shared" si="63"/>
        <v xml:space="preserve"> </v>
      </c>
      <c r="AS807">
        <f t="shared" si="64"/>
        <v>1</v>
      </c>
      <c r="AT807" t="str">
        <f>IF(COUNTIFS( $A:$A,A807,$B:$B,B807,$C:$C,C807,$D:$D,D807,$E:$E,E807,$F:$F,F807,$G:$G,G807,$H:$H,H807,$I:$I,I807,$J:$J,J807,$K:$K,K807,$L:$L,L807,$M:$M,M807,$T:$T,T807,$U:$U,U807,$W:$W,W807,$Z:$Z,Z807,$AA:$AA,AA807,$AB:$AB,AB807,$AC:$AC,AC807,$AD:$AD,AD807,$AE:$AE,AE807,$AF:$AF,AF807,$AG:$AG,AG807,$AH:$AH,AH807,$AI:$AI,AI807)&gt;1,"Duplicate","Unique")</f>
        <v>Unique</v>
      </c>
    </row>
    <row r="808" spans="1:46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  <c r="W808" t="s">
        <v>3706</v>
      </c>
      <c r="Z808" t="s">
        <v>3709</v>
      </c>
      <c r="AA808" t="str">
        <v>Isha Nair</v>
      </c>
      <c r="AB808" t="str">
        <f>TRIM(PROPER(F:F))</f>
        <v>Home Office</v>
      </c>
      <c r="AC808" t="str">
        <f>TRIM(PROPER(G:G))</f>
        <v>North</v>
      </c>
      <c r="AD808" t="str">
        <f>TRIM(PROPER(H:H))</f>
        <v>Rajasthan</v>
      </c>
      <c r="AE808" t="str">
        <f>TRIM(PROPER(I:I))</f>
        <v>Jaipur</v>
      </c>
      <c r="AF808" t="str">
        <f>TRIM(PROPER(J:J))</f>
        <v>Technology</v>
      </c>
      <c r="AG808" t="str">
        <f>TRIM(PROPER(K:K))</f>
        <v>Copiers</v>
      </c>
      <c r="AH808" t="str">
        <f>TRIM(PROPER(L:L))</f>
        <v>Max Copiers 560</v>
      </c>
      <c r="AI808" t="str">
        <f>TRIM(PROPER(M:M))</f>
        <v>Standard Class</v>
      </c>
      <c r="AJ808" s="5">
        <f>IF(OR(P808&lt;0,P808&gt;0.5),"invalid",P808)</f>
        <v>0.2</v>
      </c>
      <c r="AK808" s="6">
        <f>IFERROR(N808*O808*(1-AJ808), "NA")</f>
        <v>2932.7759999999998</v>
      </c>
      <c r="AL808" s="6">
        <f>IFERROR(AK808-R808,"NA")</f>
        <v>1032.4259999999999</v>
      </c>
      <c r="AM808" s="5">
        <f t="shared" si="60"/>
        <v>0.35203029484692999</v>
      </c>
      <c r="AN808" t="str">
        <v>09-11-24</v>
      </c>
      <c r="AO808" t="str">
        <v>15-11-24</v>
      </c>
      <c r="AP808" t="str">
        <f t="shared" si="61"/>
        <v>November</v>
      </c>
      <c r="AQ808" t="str">
        <f t="shared" si="62"/>
        <v>2024</v>
      </c>
      <c r="AR808" t="str">
        <f t="shared" si="63"/>
        <v xml:space="preserve"> </v>
      </c>
      <c r="AS808">
        <f t="shared" si="64"/>
        <v>6</v>
      </c>
      <c r="AT808" t="str">
        <f>IF(COUNTIFS( $A:$A,A808,$B:$B,B808,$C:$C,C808,$D:$D,D808,$E:$E,E808,$F:$F,F808,$G:$G,G808,$H:$H,H808,$I:$I,I808,$J:$J,J808,$K:$K,K808,$L:$L,L808,$M:$M,M808,$T:$T,T808,$U:$U,U808,$W:$W,W808,$Z:$Z,Z808,$AA:$AA,AA808,$AB:$AB,AB808,$AC:$AC,AC808,$AD:$AD,AD808,$AE:$AE,AE808,$AF:$AF,AF808,$AG:$AG,AG808,$AH:$AH,AH808,$AI:$AI,AI808)&gt;1,"Duplicate","Unique")</f>
        <v>Unique</v>
      </c>
    </row>
    <row r="809" spans="1:46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  <c r="W809" t="s">
        <v>3711</v>
      </c>
      <c r="Z809" t="s">
        <v>3712</v>
      </c>
      <c r="AA809" t="str">
        <v>Karan Malhotra</v>
      </c>
      <c r="AB809" t="str">
        <f>TRIM(PROPER(F:F))</f>
        <v>Small Business</v>
      </c>
      <c r="AC809" t="str">
        <f>TRIM(PROPER(G:G))</f>
        <v>South</v>
      </c>
      <c r="AD809" t="str">
        <f>TRIM(PROPER(H:H))</f>
        <v>Telangana</v>
      </c>
      <c r="AE809" t="str">
        <f>TRIM(PROPER(I:I))</f>
        <v>Hyderabad</v>
      </c>
      <c r="AF809" t="str">
        <f>TRIM(PROPER(J:J))</f>
        <v>Office Supplies</v>
      </c>
      <c r="AG809" t="str">
        <f>TRIM(PROPER(K:K))</f>
        <v>Labels</v>
      </c>
      <c r="AH809" t="str">
        <f>TRIM(PROPER(L:L))</f>
        <v>Smart Labels 436</v>
      </c>
      <c r="AI809" t="str">
        <f>TRIM(PROPER(M:M))</f>
        <v>Standard Class</v>
      </c>
      <c r="AJ809" s="5">
        <f>IF(OR(P809&lt;0,P809&gt;0.5),"invalid",P809)</f>
        <v>0.1</v>
      </c>
      <c r="AK809" s="6">
        <f>IFERROR(N809*O809*(1-AJ809), "NA")</f>
        <v>4379.3640000000005</v>
      </c>
      <c r="AL809" s="6">
        <f>IFERROR(AK809-R809,"NA")</f>
        <v>655.43400000000065</v>
      </c>
      <c r="AM809" s="5">
        <f t="shared" si="60"/>
        <v>0.14966419781502532</v>
      </c>
      <c r="AN809" t="str">
        <v>07-02-25</v>
      </c>
      <c r="AO809" t="str">
        <v>08-02-25</v>
      </c>
      <c r="AP809" t="str">
        <f t="shared" si="61"/>
        <v>February</v>
      </c>
      <c r="AQ809" t="str">
        <f t="shared" si="62"/>
        <v>2025</v>
      </c>
      <c r="AR809" t="str">
        <f t="shared" si="63"/>
        <v xml:space="preserve"> </v>
      </c>
      <c r="AS809">
        <f t="shared" si="64"/>
        <v>1</v>
      </c>
      <c r="AT809" t="str">
        <f>IF(COUNTIFS( $A:$A,A809,$B:$B,B809,$C:$C,C809,$D:$D,D809,$E:$E,E809,$F:$F,F809,$G:$G,G809,$H:$H,H809,$I:$I,I809,$J:$J,J809,$K:$K,K809,$L:$L,L809,$M:$M,M809,$T:$T,T809,$U:$U,U809,$W:$W,W809,$Z:$Z,Z809,$AA:$AA,AA809,$AB:$AB,AB809,$AC:$AC,AC809,$AD:$AD,AD809,$AE:$AE,AE809,$AF:$AF,AF809,$AG:$AG,AG809,$AH:$AH,AH809,$AI:$AI,AI809)&gt;1,"Duplicate","Unique")</f>
        <v>Unique</v>
      </c>
    </row>
    <row r="810" spans="1:46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  <c r="W810" t="s">
        <v>3715</v>
      </c>
      <c r="Z810" t="s">
        <v>3717</v>
      </c>
      <c r="AA810" t="str">
        <v>Aarav Sharma</v>
      </c>
      <c r="AB810" t="str">
        <f>TRIM(PROPER(F:F))</f>
        <v>Small Business</v>
      </c>
      <c r="AC810" t="str">
        <f>TRIM(PROPER(G:G))</f>
        <v>South</v>
      </c>
      <c r="AD810" t="str">
        <f>TRIM(PROPER(H:H))</f>
        <v>Tamil Nadu</v>
      </c>
      <c r="AE810" t="str">
        <f>TRIM(PROPER(I:I))</f>
        <v>Chennai</v>
      </c>
      <c r="AF810" t="str">
        <f>TRIM(PROPER(J:J))</f>
        <v>Furniture</v>
      </c>
      <c r="AG810" t="str">
        <f>TRIM(PROPER(K:K))</f>
        <v>Furnishings</v>
      </c>
      <c r="AH810" t="str">
        <f>TRIM(PROPER(L:L))</f>
        <v>Pro Furnishings 386</v>
      </c>
      <c r="AI810" t="str">
        <f>TRIM(PROPER(M:M))</f>
        <v>First Class</v>
      </c>
      <c r="AJ810" s="5">
        <f>IF(OR(P810&lt;0,P810&gt;0.5),"invalid",P810)</f>
        <v>0.2</v>
      </c>
      <c r="AK810" s="6">
        <f>IFERROR(N810*O810*(1-AJ810), "NA")</f>
        <v>5472.768</v>
      </c>
      <c r="AL810" s="6">
        <f>IFERROR(AK810-R810,"NA")</f>
        <v>995.4380000000001</v>
      </c>
      <c r="AM810" s="5">
        <f t="shared" si="60"/>
        <v>0.18188931085695575</v>
      </c>
      <c r="AN810" t="str">
        <v>31-08-25</v>
      </c>
      <c r="AO810" t="str">
        <v>28-08-25</v>
      </c>
      <c r="AP810" t="str">
        <f t="shared" si="61"/>
        <v>August</v>
      </c>
      <c r="AQ810" t="str">
        <f t="shared" si="62"/>
        <v>2025</v>
      </c>
      <c r="AR810" t="str">
        <f t="shared" si="63"/>
        <v>anomaly</v>
      </c>
      <c r="AS810">
        <f t="shared" si="64"/>
        <v>-3</v>
      </c>
      <c r="AT810" t="str">
        <f>IF(COUNTIFS( $A:$A,A810,$B:$B,B810,$C:$C,C810,$D:$D,D810,$E:$E,E810,$F:$F,F810,$G:$G,G810,$H:$H,H810,$I:$I,I810,$J:$J,J810,$K:$K,K810,$L:$L,L810,$M:$M,M810,$T:$T,T810,$U:$U,U810,$W:$W,W810,$Z:$Z,Z810,$AA:$AA,AA810,$AB:$AB,AB810,$AC:$AC,AC810,$AD:$AD,AD810,$AE:$AE,AE810,$AF:$AF,AF810,$AG:$AG,AG810,$AH:$AH,AH810,$AI:$AI,AI810)&gt;1,"Duplicate","Unique")</f>
        <v>Unique</v>
      </c>
    </row>
    <row r="811" spans="1:46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  <c r="W811" t="s">
        <v>3719</v>
      </c>
      <c r="Z811" t="s">
        <v>3720</v>
      </c>
      <c r="AA811" t="str">
        <v>Arjun Bose</v>
      </c>
      <c r="AB811" t="str">
        <f>TRIM(PROPER(F:F))</f>
        <v>Small Business</v>
      </c>
      <c r="AC811" t="s">
        <v>4111</v>
      </c>
      <c r="AD811" t="str">
        <f>TRIM(PROPER(H:H))</f>
        <v>Punjab</v>
      </c>
      <c r="AE811" t="str">
        <f>TRIM(PROPER(I:I))</f>
        <v>Ludhiana</v>
      </c>
      <c r="AF811" t="str">
        <f>TRIM(PROPER(J:J))</f>
        <v>Office Supplies</v>
      </c>
      <c r="AG811" t="str">
        <f>TRIM(PROPER(K:K))</f>
        <v>Binders</v>
      </c>
      <c r="AH811" t="str">
        <f>TRIM(PROPER(L:L))</f>
        <v>Eco Binders 601</v>
      </c>
      <c r="AI811" t="str">
        <f>TRIM(PROPER(M:M))</f>
        <v>Second Class</v>
      </c>
      <c r="AJ811" s="5">
        <f>IF(OR(P811&lt;0,P811&gt;0.5),"invalid",P811)</f>
        <v>0.1</v>
      </c>
      <c r="AK811" s="6">
        <f>IFERROR(N811*O811*(1-AJ811), "NA")</f>
        <v>7377.1020000000008</v>
      </c>
      <c r="AL811" s="6">
        <f>IFERROR(AK811-R811,"NA")</f>
        <v>2291.8920000000007</v>
      </c>
      <c r="AM811" s="5">
        <f t="shared" si="60"/>
        <v>0.31067646888981615</v>
      </c>
      <c r="AN811" t="str">
        <v>25-06-25</v>
      </c>
      <c r="AO811" t="str">
        <v>25-06-25</v>
      </c>
      <c r="AP811" t="str">
        <f t="shared" si="61"/>
        <v>June</v>
      </c>
      <c r="AQ811" t="str">
        <f t="shared" si="62"/>
        <v>2025</v>
      </c>
      <c r="AR811" t="str">
        <f t="shared" si="63"/>
        <v xml:space="preserve"> </v>
      </c>
      <c r="AS811">
        <f t="shared" si="64"/>
        <v>0</v>
      </c>
      <c r="AT811" t="str">
        <f>IF(COUNTIFS( $A:$A,A811,$B:$B,B811,$C:$C,C811,$D:$D,D811,$E:$E,E811,$F:$F,F811,$G:$G,G811,$H:$H,H811,$I:$I,I811,$J:$J,J811,$K:$K,K811,$L:$L,L811,$M:$M,M811,$T:$T,T811,$U:$U,U811,$W:$W,W811,$Z:$Z,Z811,$AA:$AA,AA811,$AB:$AB,AB811,$AC:$AC,AC811,$AD:$AD,AD811,$AE:$AE,AE811,$AF:$AF,AF811,$AG:$AG,AG811,$AH:$AH,AH811,$AI:$AI,AI811)&gt;1,"Duplicate","Unique")</f>
        <v>Unique</v>
      </c>
    </row>
    <row r="812" spans="1:46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  <c r="W812" t="s">
        <v>3722</v>
      </c>
      <c r="Z812" t="s">
        <v>2534</v>
      </c>
      <c r="AA812" t="str">
        <v>Kabir Singh</v>
      </c>
      <c r="AB812" t="str">
        <f>TRIM(PROPER(F:F))</f>
        <v>Home Office</v>
      </c>
      <c r="AC812" t="str">
        <f>TRIM(PROPER(G:G))</f>
        <v>West</v>
      </c>
      <c r="AD812" t="str">
        <f>TRIM(PROPER(H:H))</f>
        <v>Gujarat</v>
      </c>
      <c r="AE812" t="str">
        <f>TRIM(PROPER(I:I))</f>
        <v>Ahmedabad</v>
      </c>
      <c r="AF812" t="str">
        <f>TRIM(PROPER(J:J))</f>
        <v>Technology</v>
      </c>
      <c r="AG812" t="str">
        <f>TRIM(PROPER(K:K))</f>
        <v>Copiers</v>
      </c>
      <c r="AH812" t="str">
        <f>TRIM(PROPER(L:L))</f>
        <v>Pro Copiers 867</v>
      </c>
      <c r="AI812" t="str">
        <f>TRIM(PROPER(M:M))</f>
        <v>First Class</v>
      </c>
      <c r="AJ812" s="5">
        <f>IF(OR(P812&lt;0,P812&gt;0.5),"invalid",P812)</f>
        <v>0.25</v>
      </c>
      <c r="AK812" s="6">
        <f>IFERROR(N812*O812*(1-AJ812), "NA")</f>
        <v>2363.8874999999998</v>
      </c>
      <c r="AL812" s="6">
        <f>IFERROR(AK812-R812,"NA")</f>
        <v>892.37749999999983</v>
      </c>
      <c r="AM812" s="5">
        <f t="shared" si="60"/>
        <v>0.37750421710000998</v>
      </c>
      <c r="AN812" t="str">
        <v>04-03-24</v>
      </c>
      <c r="AO812" t="str">
        <v>08-04-24</v>
      </c>
      <c r="AP812" t="str">
        <f t="shared" si="61"/>
        <v>March</v>
      </c>
      <c r="AQ812" t="str">
        <f t="shared" si="62"/>
        <v>2024</v>
      </c>
      <c r="AR812" t="str">
        <f t="shared" si="63"/>
        <v xml:space="preserve"> </v>
      </c>
      <c r="AS812">
        <f t="shared" si="64"/>
        <v>35</v>
      </c>
      <c r="AT812" t="str">
        <f>IF(COUNTIFS( $A:$A,A812,$B:$B,B812,$C:$C,C812,$D:$D,D812,$E:$E,E812,$F:$F,F812,$G:$G,G812,$H:$H,H812,$I:$I,I812,$J:$J,J812,$K:$K,K812,$L:$L,L812,$M:$M,M812,$T:$T,T812,$U:$U,U812,$W:$W,W812,$Z:$Z,Z812,$AA:$AA,AA812,$AB:$AB,AB812,$AC:$AC,AC812,$AD:$AD,AD812,$AE:$AE,AE812,$AF:$AF,AF812,$AG:$AG,AG812,$AH:$AH,AH812,$AI:$AI,AI812)&gt;1,"Duplicate","Unique")</f>
        <v>Unique</v>
      </c>
    </row>
    <row r="813" spans="1:46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  <c r="W813" t="s">
        <v>3726</v>
      </c>
      <c r="Z813" t="s">
        <v>3729</v>
      </c>
      <c r="AA813" t="str">
        <v>Rohan Mehta</v>
      </c>
      <c r="AB813" t="str">
        <f>TRIM(PROPER(F:F))</f>
        <v>Home Office</v>
      </c>
      <c r="AC813" t="str">
        <f>TRIM(PROPER(G:G))</f>
        <v>North</v>
      </c>
      <c r="AD813" t="str">
        <f>TRIM(PROPER(H:H))</f>
        <v>Haryana</v>
      </c>
      <c r="AE813" t="str">
        <f>TRIM(PROPER(I:I))</f>
        <v>Gurugram</v>
      </c>
      <c r="AF813" t="str">
        <f>TRIM(PROPER(J:J))</f>
        <v>Technology</v>
      </c>
      <c r="AG813" t="str">
        <f>TRIM(PROPER(K:K))</f>
        <v>Accessories</v>
      </c>
      <c r="AH813" t="str">
        <f>TRIM(PROPER(L:L))</f>
        <v>Eco Accessories 122</v>
      </c>
      <c r="AI813" t="str">
        <f>TRIM(PROPER(M:M))</f>
        <v>First Class</v>
      </c>
      <c r="AJ813" s="5">
        <f>IF(OR(P813&lt;0,P813&gt;0.5),"invalid",P813)</f>
        <v>0.2</v>
      </c>
      <c r="AK813" s="6">
        <f>IFERROR(N813*O813*(1-AJ813), "NA")</f>
        <v>2577.2000000000003</v>
      </c>
      <c r="AL813" s="6">
        <f>IFERROR(AK813-R813,"NA")</f>
        <v>1101.3300000000004</v>
      </c>
      <c r="AM813" s="5">
        <f t="shared" si="60"/>
        <v>0.42733586838429316</v>
      </c>
      <c r="AN813" t="str">
        <v>12-12-24</v>
      </c>
      <c r="AO813" t="str">
        <v>19-12-24</v>
      </c>
      <c r="AP813" t="str">
        <f t="shared" si="61"/>
        <v>December</v>
      </c>
      <c r="AQ813" t="str">
        <f t="shared" si="62"/>
        <v>2024</v>
      </c>
      <c r="AR813" t="str">
        <f t="shared" si="63"/>
        <v xml:space="preserve"> </v>
      </c>
      <c r="AS813">
        <f t="shared" si="64"/>
        <v>7</v>
      </c>
      <c r="AT813" t="str">
        <f>IF(COUNTIFS( $A:$A,A813,$B:$B,B813,$C:$C,C813,$D:$D,D813,$E:$E,E813,$F:$F,F813,$G:$G,G813,$H:$H,H813,$I:$I,I813,$J:$J,J813,$K:$K,K813,$L:$L,L813,$M:$M,M813,$T:$T,T813,$U:$U,U813,$W:$W,W813,$Z:$Z,Z813,$AA:$AA,AA813,$AB:$AB,AB813,$AC:$AC,AC813,$AD:$AD,AD813,$AE:$AE,AE813,$AF:$AF,AF813,$AG:$AG,AG813,$AH:$AH,AH813,$AI:$AI,AI813)&gt;1,"Duplicate","Unique")</f>
        <v>Unique</v>
      </c>
    </row>
    <row r="814" spans="1:46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  <c r="W814" t="s">
        <v>3731</v>
      </c>
      <c r="Z814" t="s">
        <v>3733</v>
      </c>
      <c r="AA814" t="str">
        <v>Sneha Kapoor</v>
      </c>
      <c r="AB814" t="str">
        <f>TRIM(PROPER(F:F))</f>
        <v>Small Business</v>
      </c>
      <c r="AC814" t="str">
        <f>TRIM(PROPER(G:G))</f>
        <v>East</v>
      </c>
      <c r="AD814" t="str">
        <f>TRIM(PROPER(H:H))</f>
        <v>Jharkhand</v>
      </c>
      <c r="AE814" t="str">
        <f>TRIM(PROPER(I:I))</f>
        <v>Ranchi</v>
      </c>
      <c r="AF814" t="str">
        <f>TRIM(PROPER(J:J))</f>
        <v>Furniture</v>
      </c>
      <c r="AG814" t="str">
        <f>TRIM(PROPER(K:K))</f>
        <v>Tables</v>
      </c>
      <c r="AH814" t="str">
        <f>TRIM(PROPER(L:L))</f>
        <v>Basic Tables 127</v>
      </c>
      <c r="AI814" t="str">
        <f>TRIM(PROPER(M:M))</f>
        <v>First Class</v>
      </c>
      <c r="AJ814" s="5">
        <f>IF(OR(P814&lt;0,P814&gt;0.5),"invalid",P814)</f>
        <v>0</v>
      </c>
      <c r="AK814" s="6">
        <f>IFERROR(N814*O814*(1-AJ814), "NA")</f>
        <v>17827.759999999998</v>
      </c>
      <c r="AL814" s="6">
        <f>IFERROR(AK814-R814,"NA")</f>
        <v>3705.6299999999992</v>
      </c>
      <c r="AM814" s="5">
        <f t="shared" si="60"/>
        <v>0.20785729671029896</v>
      </c>
      <c r="AN814" t="str">
        <v>15-06-24</v>
      </c>
      <c r="AO814" t="str">
        <v>20-06-24</v>
      </c>
      <c r="AP814" t="str">
        <f t="shared" si="61"/>
        <v>June</v>
      </c>
      <c r="AQ814" t="str">
        <f t="shared" si="62"/>
        <v>2024</v>
      </c>
      <c r="AR814" t="str">
        <f t="shared" si="63"/>
        <v xml:space="preserve"> </v>
      </c>
      <c r="AS814">
        <f t="shared" si="64"/>
        <v>5</v>
      </c>
      <c r="AT814" t="str">
        <f>IF(COUNTIFS( $A:$A,A814,$B:$B,B814,$C:$C,C814,$D:$D,D814,$E:$E,E814,$F:$F,F814,$G:$G,G814,$H:$H,H814,$I:$I,I814,$J:$J,J814,$K:$K,K814,$L:$L,L814,$M:$M,M814,$T:$T,T814,$U:$U,U814,$W:$W,W814,$Z:$Z,Z814,$AA:$AA,AA814,$AB:$AB,AB814,$AC:$AC,AC814,$AD:$AD,AD814,$AE:$AE,AE814,$AF:$AF,AF814,$AG:$AG,AG814,$AH:$AH,AH814,$AI:$AI,AI814)&gt;1,"Duplicate","Unique")</f>
        <v>Unique</v>
      </c>
    </row>
    <row r="815" spans="1:46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  <c r="W815" t="s">
        <v>3735</v>
      </c>
      <c r="Z815" t="s">
        <v>3738</v>
      </c>
      <c r="AA815" t="str">
        <v>Rohan Mehta</v>
      </c>
      <c r="AB815" t="str">
        <f>TRIM(PROPER(F:F))</f>
        <v>Consumer</v>
      </c>
      <c r="AC815" t="str">
        <f>TRIM(PROPER(G:G))</f>
        <v>East</v>
      </c>
      <c r="AD815" t="str">
        <f>TRIM(PROPER(H:H))</f>
        <v>Odisha</v>
      </c>
      <c r="AE815" t="str">
        <f>TRIM(PROPER(I:I))</f>
        <v>Bhubaneswar</v>
      </c>
      <c r="AF815" t="str">
        <f>TRIM(PROPER(J:J))</f>
        <v>Furniture</v>
      </c>
      <c r="AG815" t="str">
        <f>TRIM(PROPER(K:K))</f>
        <v>Bookcases</v>
      </c>
      <c r="AH815" t="str">
        <f>TRIM(PROPER(L:L))</f>
        <v>Elite Bookcases 988</v>
      </c>
      <c r="AI815" t="str">
        <f>TRIM(PROPER(M:M))</f>
        <v>Standard Class</v>
      </c>
      <c r="AJ815" s="5">
        <f>IF(OR(P815&lt;0,P815&gt;0.5),"invalid",P815)</f>
        <v>0</v>
      </c>
      <c r="AK815" s="6">
        <f>IFERROR(N815*O815*(1-AJ815), "NA")</f>
        <v>2675.34</v>
      </c>
      <c r="AL815" s="6">
        <f>IFERROR(AK815-R815,"NA")</f>
        <v>1079.4700000000003</v>
      </c>
      <c r="AM815" s="5">
        <f t="shared" si="60"/>
        <v>0.40348890234512258</v>
      </c>
      <c r="AN815" t="str">
        <v>04-06-25</v>
      </c>
      <c r="AO815" t="str">
        <v>10-04-25</v>
      </c>
      <c r="AP815" t="str">
        <f t="shared" si="61"/>
        <v>June</v>
      </c>
      <c r="AQ815" t="str">
        <f t="shared" si="62"/>
        <v>2025</v>
      </c>
      <c r="AR815" t="str">
        <f t="shared" si="63"/>
        <v xml:space="preserve"> </v>
      </c>
      <c r="AS815">
        <f t="shared" si="64"/>
        <v>-55</v>
      </c>
      <c r="AT815" t="str">
        <f>IF(COUNTIFS( $A:$A,A815,$B:$B,B815,$C:$C,C815,$D:$D,D815,$E:$E,E815,$F:$F,F815,$G:$G,G815,$H:$H,H815,$I:$I,I815,$J:$J,J815,$K:$K,K815,$L:$L,L815,$M:$M,M815,$T:$T,T815,$U:$U,U815,$W:$W,W815,$Z:$Z,Z815,$AA:$AA,AA815,$AB:$AB,AB815,$AC:$AC,AC815,$AD:$AD,AD815,$AE:$AE,AE815,$AF:$AF,AF815,$AG:$AG,AG815,$AH:$AH,AH815,$AI:$AI,AI815)&gt;1,"Duplicate","Unique")</f>
        <v>Unique</v>
      </c>
    </row>
    <row r="816" spans="1:46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  <c r="W816" t="s">
        <v>3739</v>
      </c>
      <c r="Z816" t="s">
        <v>3740</v>
      </c>
      <c r="AA816" t="str">
        <v>Arjun Bose</v>
      </c>
      <c r="AB816" t="str">
        <f>TRIM(PROPER(F:F))</f>
        <v>Consumer</v>
      </c>
      <c r="AC816" t="str">
        <f>TRIM(PROPER(G:G))</f>
        <v>West</v>
      </c>
      <c r="AD816" t="str">
        <f>TRIM(PROPER(H:H))</f>
        <v>Madhya Pradesh</v>
      </c>
      <c r="AE816" t="str">
        <f>TRIM(PROPER(I:I))</f>
        <v>Indore</v>
      </c>
      <c r="AF816" t="str">
        <f>TRIM(PROPER(J:J))</f>
        <v>Office Supplies</v>
      </c>
      <c r="AG816" t="str">
        <f>TRIM(PROPER(K:K))</f>
        <v>Labels</v>
      </c>
      <c r="AH816" t="str">
        <f>TRIM(PROPER(L:L))</f>
        <v>Smart Labels 126</v>
      </c>
      <c r="AI816" t="str">
        <f>TRIM(PROPER(M:M))</f>
        <v>First Class</v>
      </c>
      <c r="AJ816" s="5">
        <f>IF(OR(P816&lt;0,P816&gt;0.5),"invalid",P816)</f>
        <v>0.25</v>
      </c>
      <c r="AK816" s="6">
        <f>IFERROR(N816*O816*(1-AJ816), "NA")</f>
        <v>3563.91</v>
      </c>
      <c r="AL816" s="6">
        <f>IFERROR(AK816-R816,"NA")</f>
        <v>924.21</v>
      </c>
      <c r="AM816" s="5">
        <f t="shared" si="60"/>
        <v>0.25932473042248544</v>
      </c>
      <c r="AN816" t="str">
        <v>06-08-25</v>
      </c>
      <c r="AO816" t="str">
        <v>11-08-25</v>
      </c>
      <c r="AP816" t="str">
        <f t="shared" si="61"/>
        <v>August</v>
      </c>
      <c r="AQ816" t="str">
        <f t="shared" si="62"/>
        <v>2025</v>
      </c>
      <c r="AR816" t="str">
        <f t="shared" si="63"/>
        <v xml:space="preserve"> </v>
      </c>
      <c r="AS816">
        <f t="shared" si="64"/>
        <v>5</v>
      </c>
      <c r="AT816" t="str">
        <f>IF(COUNTIFS( $A:$A,A816,$B:$B,B816,$C:$C,C816,$D:$D,D816,$E:$E,E816,$F:$F,F816,$G:$G,G816,$H:$H,H816,$I:$I,I816,$J:$J,J816,$K:$K,K816,$L:$L,L816,$M:$M,M816,$T:$T,T816,$U:$U,U816,$W:$W,W816,$Z:$Z,Z816,$AA:$AA,AA816,$AB:$AB,AB816,$AC:$AC,AC816,$AD:$AD,AD816,$AE:$AE,AE816,$AF:$AF,AF816,$AG:$AG,AG816,$AH:$AH,AH816,$AI:$AI,AI816)&gt;1,"Duplicate","Unique")</f>
        <v>Unique</v>
      </c>
    </row>
    <row r="817" spans="1:46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  <c r="W817" t="s">
        <v>3742</v>
      </c>
      <c r="Z817" t="s">
        <v>3744</v>
      </c>
      <c r="AA817" t="str">
        <v>Diya Patel</v>
      </c>
      <c r="AB817" t="str">
        <f>TRIM(PROPER(F:F))</f>
        <v>Consumer</v>
      </c>
      <c r="AC817" t="str">
        <f>TRIM(PROPER(G:G))</f>
        <v>East</v>
      </c>
      <c r="AD817" t="str">
        <f>TRIM(PROPER(H:H))</f>
        <v>Odisha</v>
      </c>
      <c r="AE817" t="str">
        <f>TRIM(PROPER(I:I))</f>
        <v>Bhubaneswar</v>
      </c>
      <c r="AF817" t="str">
        <f>TRIM(PROPER(J:J))</f>
        <v>Technology</v>
      </c>
      <c r="AG817" t="str">
        <f>TRIM(PROPER(K:K))</f>
        <v>Machines</v>
      </c>
      <c r="AH817" t="str">
        <f>TRIM(PROPER(L:L))</f>
        <v>Max Machines 569</v>
      </c>
      <c r="AI817" t="str">
        <f>TRIM(PROPER(M:M))</f>
        <v>Standard Class</v>
      </c>
      <c r="AJ817" s="5">
        <f>IF(OR(P817&lt;0,P817&gt;0.5),"invalid",P817)</f>
        <v>0.15</v>
      </c>
      <c r="AK817" s="6">
        <f>IFERROR(N817*O817*(1-AJ817), "NA")</f>
        <v>4259.0694999999996</v>
      </c>
      <c r="AL817" s="6">
        <f>IFERROR(AK817-R817,"NA")</f>
        <v>1128.7494999999994</v>
      </c>
      <c r="AM817" s="5">
        <f t="shared" si="60"/>
        <v>0.26502255950507486</v>
      </c>
      <c r="AN817" t="str">
        <v>04-01-24</v>
      </c>
      <c r="AO817" t="str">
        <v>08-04-24</v>
      </c>
      <c r="AP817" t="str">
        <f t="shared" si="61"/>
        <v>January</v>
      </c>
      <c r="AQ817" t="str">
        <f t="shared" si="62"/>
        <v>2024</v>
      </c>
      <c r="AR817" t="str">
        <f t="shared" si="63"/>
        <v xml:space="preserve"> </v>
      </c>
      <c r="AS817">
        <f t="shared" si="64"/>
        <v>95</v>
      </c>
      <c r="AT817" t="str">
        <f>IF(COUNTIFS( $A:$A,A817,$B:$B,B817,$C:$C,C817,$D:$D,D817,$E:$E,E817,$F:$F,F817,$G:$G,G817,$H:$H,H817,$I:$I,I817,$J:$J,J817,$K:$K,K817,$L:$L,L817,$M:$M,M817,$T:$T,T817,$U:$U,U817,$W:$W,W817,$Z:$Z,Z817,$AA:$AA,AA817,$AB:$AB,AB817,$AC:$AC,AC817,$AD:$AD,AD817,$AE:$AE,AE817,$AF:$AF,AF817,$AG:$AG,AG817,$AH:$AH,AH817,$AI:$AI,AI817)&gt;1,"Duplicate","Unique")</f>
        <v>Unique</v>
      </c>
    </row>
    <row r="818" spans="1:46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  <c r="W818" t="s">
        <v>3746</v>
      </c>
      <c r="Z818" t="s">
        <v>3749</v>
      </c>
      <c r="AA818" t="str">
        <v>Rahul Verma</v>
      </c>
      <c r="AB818" t="str">
        <f>TRIM(PROPER(F:F))</f>
        <v>Small Business</v>
      </c>
      <c r="AC818" t="str">
        <f>TRIM(PROPER(G:G))</f>
        <v>East</v>
      </c>
      <c r="AD818" t="str">
        <f>TRIM(PROPER(H:H))</f>
        <v>Jharkhand</v>
      </c>
      <c r="AE818" t="str">
        <f>TRIM(PROPER(I:I))</f>
        <v>Ranchi</v>
      </c>
      <c r="AF818" t="str">
        <f>TRIM(PROPER(J:J))</f>
        <v>Furniture</v>
      </c>
      <c r="AG818" t="str">
        <f>TRIM(PROPER(K:K))</f>
        <v>Furnishings</v>
      </c>
      <c r="AH818" t="str">
        <f>TRIM(PROPER(L:L))</f>
        <v>Basic Furnishings 306</v>
      </c>
      <c r="AI818" t="str">
        <f>TRIM(PROPER(M:M))</f>
        <v>First Class</v>
      </c>
      <c r="AJ818" s="5">
        <f>IF(OR(P818&lt;0,P818&gt;0.5),"invalid",P818)</f>
        <v>0.1</v>
      </c>
      <c r="AK818" s="6">
        <f>IFERROR(N818*O818*(1-AJ818), "NA")</f>
        <v>786.87</v>
      </c>
      <c r="AL818" s="6">
        <f>IFERROR(AK818-R818,"NA")</f>
        <v>288.37</v>
      </c>
      <c r="AM818" s="5">
        <f t="shared" si="60"/>
        <v>0.36647730883119195</v>
      </c>
      <c r="AN818" t="str">
        <v>invalid date</v>
      </c>
      <c r="AO818" t="str">
        <v>30-11-24</v>
      </c>
      <c r="AP818" t="str">
        <f t="shared" si="61"/>
        <v>invalid date</v>
      </c>
      <c r="AQ818" t="str">
        <f t="shared" si="62"/>
        <v>invalid date</v>
      </c>
      <c r="AR818" t="str">
        <f t="shared" si="63"/>
        <v>Invalid</v>
      </c>
      <c r="AS818" t="str">
        <f t="shared" si="64"/>
        <v>invalid date</v>
      </c>
      <c r="AT818" t="str">
        <f>IF(COUNTIFS( $A:$A,A818,$B:$B,B818,$C:$C,C818,$D:$D,D818,$E:$E,E818,$F:$F,F818,$G:$G,G818,$H:$H,H818,$I:$I,I818,$J:$J,J818,$K:$K,K818,$L:$L,L818,$M:$M,M818,$T:$T,T818,$U:$U,U818,$W:$W,W818,$Z:$Z,Z818,$AA:$AA,AA818,$AB:$AB,AB818,$AC:$AC,AC818,$AD:$AD,AD818,$AE:$AE,AE818,$AF:$AF,AF818,$AG:$AG,AG818,$AH:$AH,AH818,$AI:$AI,AI818)&gt;1,"Duplicate","Unique")</f>
        <v>Unique</v>
      </c>
    </row>
    <row r="819" spans="1:46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  <c r="W819" t="s">
        <v>3751</v>
      </c>
      <c r="Z819" t="s">
        <v>3754</v>
      </c>
      <c r="AA819" t="str">
        <v>Sneha Kapoor</v>
      </c>
      <c r="AB819" t="str">
        <f>TRIM(PROPER(F:F))</f>
        <v>Consumer</v>
      </c>
      <c r="AC819" t="str">
        <f>TRIM(PROPER(G:G))</f>
        <v>East</v>
      </c>
      <c r="AD819" t="str">
        <f>TRIM(PROPER(H:H))</f>
        <v>Bihar</v>
      </c>
      <c r="AE819" t="str">
        <f>TRIM(PROPER(I:I))</f>
        <v>Patna</v>
      </c>
      <c r="AF819" t="str">
        <f>TRIM(PROPER(J:J))</f>
        <v>Office Supplies</v>
      </c>
      <c r="AG819" t="str">
        <f>TRIM(PROPER(K:K))</f>
        <v>Binders</v>
      </c>
      <c r="AH819" t="str">
        <f>TRIM(PROPER(L:L))</f>
        <v>Classic Binders 873</v>
      </c>
      <c r="AI819" t="str">
        <f>TRIM(PROPER(M:M))</f>
        <v>Standard Class</v>
      </c>
      <c r="AJ819" s="5">
        <f>IF(OR(P819&lt;0,P819&gt;0.5),"invalid",P819)</f>
        <v>0.25</v>
      </c>
      <c r="AK819" s="6">
        <f>IFERROR(N819*O819*(1-AJ819), "NA")</f>
        <v>8233.6049999999996</v>
      </c>
      <c r="AL819" s="6">
        <f>IFERROR(AK819-R819,"NA")</f>
        <v>3519.8149999999996</v>
      </c>
      <c r="AM819" s="5">
        <f t="shared" si="60"/>
        <v>0.42749378917254349</v>
      </c>
      <c r="AN819" t="str">
        <v>05-04-25</v>
      </c>
      <c r="AO819" t="str">
        <v>04-05-25</v>
      </c>
      <c r="AP819" t="str">
        <f t="shared" si="61"/>
        <v>April</v>
      </c>
      <c r="AQ819" t="str">
        <f t="shared" si="62"/>
        <v>2025</v>
      </c>
      <c r="AR819" t="str">
        <f t="shared" si="63"/>
        <v>anomaly</v>
      </c>
      <c r="AS819">
        <f t="shared" si="64"/>
        <v>29</v>
      </c>
      <c r="AT819" t="str">
        <f>IF(COUNTIFS( $A:$A,A819,$B:$B,B819,$C:$C,C819,$D:$D,D819,$E:$E,E819,$F:$F,F819,$G:$G,G819,$H:$H,H819,$I:$I,I819,$J:$J,J819,$K:$K,K819,$L:$L,L819,$M:$M,M819,$T:$T,T819,$U:$U,U819,$W:$W,W819,$Z:$Z,Z819,$AA:$AA,AA819,$AB:$AB,AB819,$AC:$AC,AC819,$AD:$AD,AD819,$AE:$AE,AE819,$AF:$AF,AF819,$AG:$AG,AG819,$AH:$AH,AH819,$AI:$AI,AI819)&gt;1,"Duplicate","Unique")</f>
        <v>Unique</v>
      </c>
    </row>
    <row r="820" spans="1:46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  <c r="W820" t="s">
        <v>3756</v>
      </c>
      <c r="Z820" t="s">
        <v>3758</v>
      </c>
      <c r="AA820" t="str">
        <v>Priya Menon</v>
      </c>
      <c r="AB820" t="str">
        <f>TRIM(PROPER(F:F))</f>
        <v>Small Business</v>
      </c>
      <c r="AC820" t="str">
        <f>TRIM(PROPER(G:G))</f>
        <v>West</v>
      </c>
      <c r="AD820" t="str">
        <f>TRIM(PROPER(H:H))</f>
        <v>Maharashtra</v>
      </c>
      <c r="AE820" t="str">
        <f>TRIM(PROPER(I:I))</f>
        <v>Mumbai</v>
      </c>
      <c r="AF820" t="str">
        <f>TRIM(PROPER(J:J))</f>
        <v>Office Supplies</v>
      </c>
      <c r="AG820" t="str">
        <f>TRIM(PROPER(K:K))</f>
        <v>Labels</v>
      </c>
      <c r="AH820" t="str">
        <f>TRIM(PROPER(L:L))</f>
        <v>Pro Labels 611</v>
      </c>
      <c r="AI820" t="str">
        <f>TRIM(PROPER(M:M))</f>
        <v>First Class</v>
      </c>
      <c r="AJ820" s="5" t="str">
        <f>IF(OR(P820&lt;0,P820&gt;0.5),"invalid",P820)</f>
        <v>invalid</v>
      </c>
      <c r="AK820" s="6" t="str">
        <f>IFERROR(N820*O820*(1-AJ820), "NA")</f>
        <v>NA</v>
      </c>
      <c r="AL820" s="6" t="str">
        <f>IFERROR(AK820-R820,"NA")</f>
        <v>NA</v>
      </c>
      <c r="AM820" s="5" t="str">
        <f t="shared" si="60"/>
        <v>NA</v>
      </c>
      <c r="AN820" t="str">
        <v>29-09-24</v>
      </c>
      <c r="AO820" t="str">
        <v>05-10-24</v>
      </c>
      <c r="AP820" t="str">
        <f t="shared" si="61"/>
        <v>September</v>
      </c>
      <c r="AQ820" t="str">
        <f t="shared" si="62"/>
        <v>2024</v>
      </c>
      <c r="AR820" t="str">
        <f t="shared" si="63"/>
        <v>anomaly</v>
      </c>
      <c r="AS820">
        <f t="shared" si="64"/>
        <v>6</v>
      </c>
      <c r="AT820" t="str">
        <f>IF(COUNTIFS( $A:$A,A820,$B:$B,B820,$C:$C,C820,$D:$D,D820,$E:$E,E820,$F:$F,F820,$G:$G,G820,$H:$H,H820,$I:$I,I820,$J:$J,J820,$K:$K,K820,$L:$L,L820,$M:$M,M820,$T:$T,T820,$U:$U,U820,$W:$W,W820,$Z:$Z,Z820,$AA:$AA,AA820,$AB:$AB,AB820,$AC:$AC,AC820,$AD:$AD,AD820,$AE:$AE,AE820,$AF:$AF,AF820,$AG:$AG,AG820,$AH:$AH,AH820,$AI:$AI,AI820)&gt;1,"Duplicate","Unique")</f>
        <v>Unique</v>
      </c>
    </row>
    <row r="821" spans="1:46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  <c r="W821" t="s">
        <v>3760</v>
      </c>
      <c r="Z821" t="s">
        <v>3762</v>
      </c>
      <c r="AA821" t="str">
        <v>Karan Malhotra</v>
      </c>
      <c r="AB821" t="str">
        <f>TRIM(PROPER(F:F))</f>
        <v>Home Office</v>
      </c>
      <c r="AC821" t="str">
        <f>TRIM(PROPER(G:G))</f>
        <v>South</v>
      </c>
      <c r="AD821" t="str">
        <f>TRIM(PROPER(H:H))</f>
        <v>Kerala</v>
      </c>
      <c r="AE821" t="str">
        <f>TRIM(PROPER(I:I))</f>
        <v>Kochi</v>
      </c>
      <c r="AF821" t="str">
        <f>TRIM(PROPER(J:J))</f>
        <v>Technology</v>
      </c>
      <c r="AG821" t="str">
        <f>TRIM(PROPER(K:K))</f>
        <v>Machines</v>
      </c>
      <c r="AH821" t="str">
        <f>TRIM(PROPER(L:L))</f>
        <v>Prime Machines 524</v>
      </c>
      <c r="AI821" t="str">
        <f>TRIM(PROPER(M:M))</f>
        <v>Standard Class</v>
      </c>
      <c r="AJ821" s="5">
        <f>IF(OR(P821&lt;0,P821&gt;0.5),"invalid",P821)</f>
        <v>0</v>
      </c>
      <c r="AK821" s="6">
        <f>IFERROR(N821*O821*(1-AJ821), "NA")</f>
        <v>33968.080000000002</v>
      </c>
      <c r="AL821" s="6">
        <f>IFERROR(AK821-R821,"NA")</f>
        <v>7065.6400000000031</v>
      </c>
      <c r="AM821" s="5">
        <f t="shared" si="60"/>
        <v>0.20800822419165294</v>
      </c>
      <c r="AN821" t="str">
        <v>invalid date</v>
      </c>
      <c r="AO821" t="str">
        <v>31-07-24</v>
      </c>
      <c r="AP821" t="str">
        <f t="shared" si="61"/>
        <v>invalid date</v>
      </c>
      <c r="AQ821" t="str">
        <f t="shared" si="62"/>
        <v>invalid date</v>
      </c>
      <c r="AR821" t="str">
        <f t="shared" si="63"/>
        <v>Invalid</v>
      </c>
      <c r="AS821" t="str">
        <f t="shared" si="64"/>
        <v>invalid date</v>
      </c>
      <c r="AT821" t="str">
        <f>IF(COUNTIFS( $A:$A,A821,$B:$B,B821,$C:$C,C821,$D:$D,D821,$E:$E,E821,$F:$F,F821,$G:$G,G821,$H:$H,H821,$I:$I,I821,$J:$J,J821,$K:$K,K821,$L:$L,L821,$M:$M,M821,$T:$T,T821,$U:$U,U821,$W:$W,W821,$Z:$Z,Z821,$AA:$AA,AA821,$AB:$AB,AB821,$AC:$AC,AC821,$AD:$AD,AD821,$AE:$AE,AE821,$AF:$AF,AF821,$AG:$AG,AG821,$AH:$AH,AH821,$AI:$AI,AI821)&gt;1,"Duplicate","Unique")</f>
        <v>Unique</v>
      </c>
    </row>
    <row r="822" spans="1:46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  <c r="W822" t="s">
        <v>3765</v>
      </c>
      <c r="Z822" t="s">
        <v>3768</v>
      </c>
      <c r="AA822" t="str">
        <v>Ananya Rao</v>
      </c>
      <c r="AB822" t="str">
        <f>TRIM(PROPER(F:F))</f>
        <v>Home Office</v>
      </c>
      <c r="AC822" t="str">
        <f>TRIM(PROPER(G:G))</f>
        <v>North</v>
      </c>
      <c r="AD822" t="str">
        <f>TRIM(PROPER(H:H))</f>
        <v>Uttar Pradesh</v>
      </c>
      <c r="AE822" t="str">
        <f>TRIM(PROPER(I:I))</f>
        <v>Noida</v>
      </c>
      <c r="AF822" t="str">
        <f>TRIM(PROPER(J:J))</f>
        <v>Furniture</v>
      </c>
      <c r="AG822" t="str">
        <f>TRIM(PROPER(K:K))</f>
        <v>Bookcases</v>
      </c>
      <c r="AH822" t="str">
        <f>TRIM(PROPER(L:L))</f>
        <v>Classic Bookcases 882</v>
      </c>
      <c r="AI822" t="str">
        <f>TRIM(PROPER(M:M))</f>
        <v>Standard Class</v>
      </c>
      <c r="AJ822" s="5">
        <f>IF(OR(P822&lt;0,P822&gt;0.5),"invalid",P822)</f>
        <v>0.2</v>
      </c>
      <c r="AK822" s="6">
        <f>IFERROR(N822*O822*(1-AJ822), "NA")</f>
        <v>511.31200000000001</v>
      </c>
      <c r="AL822" s="6">
        <f>IFERROR(AK822-R822,"NA")</f>
        <v>74.882000000000005</v>
      </c>
      <c r="AM822" s="5">
        <f t="shared" si="60"/>
        <v>0.14645069937728825</v>
      </c>
      <c r="AN822" t="str">
        <v>06-02-25</v>
      </c>
      <c r="AO822" t="str">
        <v>10-02-25</v>
      </c>
      <c r="AP822" t="str">
        <f t="shared" si="61"/>
        <v>February</v>
      </c>
      <c r="AQ822" t="str">
        <f t="shared" si="62"/>
        <v>2025</v>
      </c>
      <c r="AR822" t="str">
        <f t="shared" si="63"/>
        <v xml:space="preserve"> </v>
      </c>
      <c r="AS822">
        <f t="shared" si="64"/>
        <v>4</v>
      </c>
      <c r="AT822" t="str">
        <f>IF(COUNTIFS( $A:$A,A822,$B:$B,B822,$C:$C,C822,$D:$D,D822,$E:$E,E822,$F:$F,F822,$G:$G,G822,$H:$H,H822,$I:$I,I822,$J:$J,J822,$K:$K,K822,$L:$L,L822,$M:$M,M822,$T:$T,T822,$U:$U,U822,$W:$W,W822,$Z:$Z,Z822,$AA:$AA,AA822,$AB:$AB,AB822,$AC:$AC,AC822,$AD:$AD,AD822,$AE:$AE,AE822,$AF:$AF,AF822,$AG:$AG,AG822,$AH:$AH,AH822,$AI:$AI,AI822)&gt;1,"Duplicate","Unique")</f>
        <v>Unique</v>
      </c>
    </row>
    <row r="823" spans="1:46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  <c r="W823" t="s">
        <v>3770</v>
      </c>
      <c r="Z823" t="s">
        <v>3773</v>
      </c>
      <c r="AA823" t="str">
        <v>Aarav Sharma</v>
      </c>
      <c r="AB823" t="str">
        <f>TRIM(PROPER(F:F))</f>
        <v>Corporate</v>
      </c>
      <c r="AC823" t="str">
        <f>TRIM(PROPER(G:G))</f>
        <v>South</v>
      </c>
      <c r="AD823" t="str">
        <f>TRIM(PROPER(H:H))</f>
        <v>Karnataka</v>
      </c>
      <c r="AE823" t="str">
        <f>TRIM(PROPER(I:I))</f>
        <v>Bengaluru</v>
      </c>
      <c r="AF823" t="str">
        <f>TRIM(PROPER(J:J))</f>
        <v>Technology</v>
      </c>
      <c r="AG823" t="str">
        <f>TRIM(PROPER(K:K))</f>
        <v>Accessories</v>
      </c>
      <c r="AH823" t="str">
        <f>TRIM(PROPER(L:L))</f>
        <v>Classic Accessories 471</v>
      </c>
      <c r="AI823" t="str">
        <f>TRIM(PROPER(M:M))</f>
        <v>First Class</v>
      </c>
      <c r="AJ823" s="5">
        <f>IF(OR(P823&lt;0,P823&gt;0.5),"invalid",P823)</f>
        <v>0.2</v>
      </c>
      <c r="AK823" s="6">
        <f>IFERROR(N823*O823*(1-AJ823), "NA")</f>
        <v>10877.944000000001</v>
      </c>
      <c r="AL823" s="6">
        <f>IFERROR(AK823-R823,"NA")</f>
        <v>1767.8040000000019</v>
      </c>
      <c r="AM823" s="5">
        <f t="shared" si="60"/>
        <v>0.16251269541376584</v>
      </c>
      <c r="AN823" t="str">
        <v>03-07-24</v>
      </c>
      <c r="AO823" t="str">
        <v>06-07-24</v>
      </c>
      <c r="AP823" t="str">
        <f t="shared" si="61"/>
        <v>July</v>
      </c>
      <c r="AQ823" t="str">
        <f t="shared" si="62"/>
        <v>2024</v>
      </c>
      <c r="AR823" t="str">
        <f t="shared" si="63"/>
        <v xml:space="preserve"> </v>
      </c>
      <c r="AS823">
        <f t="shared" si="64"/>
        <v>3</v>
      </c>
      <c r="AT823" t="str">
        <f>IF(COUNTIFS( $A:$A,A823,$B:$B,B823,$C:$C,C823,$D:$D,D823,$E:$E,E823,$F:$F,F823,$G:$G,G823,$H:$H,H823,$I:$I,I823,$J:$J,J823,$K:$K,K823,$L:$L,L823,$M:$M,M823,$T:$T,T823,$U:$U,U823,$W:$W,W823,$Z:$Z,Z823,$AA:$AA,AA823,$AB:$AB,AB823,$AC:$AC,AC823,$AD:$AD,AD823,$AE:$AE,AE823,$AF:$AF,AF823,$AG:$AG,AG823,$AH:$AH,AH823,$AI:$AI,AI823)&gt;1,"Duplicate","Unique")</f>
        <v>Unique</v>
      </c>
    </row>
    <row r="824" spans="1:46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  <c r="W824" t="s">
        <v>3775</v>
      </c>
      <c r="Z824" t="s">
        <v>3778</v>
      </c>
      <c r="AA824" t="str">
        <v>Mira Das</v>
      </c>
      <c r="AB824" t="str">
        <f>TRIM(PROPER(F:F))</f>
        <v>Corporate</v>
      </c>
      <c r="AC824" t="str">
        <f>TRIM(PROPER(G:G))</f>
        <v>East</v>
      </c>
      <c r="AD824" t="str">
        <f>TRIM(PROPER(H:H))</f>
        <v>Assam</v>
      </c>
      <c r="AE824" t="str">
        <f>TRIM(PROPER(I:I))</f>
        <v>Guwahati</v>
      </c>
      <c r="AF824" t="str">
        <f>TRIM(PROPER(J:J))</f>
        <v>Furniture</v>
      </c>
      <c r="AG824" t="str">
        <f>TRIM(PROPER(K:K))</f>
        <v>Furnishings</v>
      </c>
      <c r="AH824" t="str">
        <f>TRIM(PROPER(L:L))</f>
        <v>Smart Furnishings 175</v>
      </c>
      <c r="AI824" t="str">
        <f>TRIM(PROPER(M:M))</f>
        <v>Second Class</v>
      </c>
      <c r="AJ824" s="5">
        <f>IF(OR(P824&lt;0,P824&gt;0.5),"invalid",P824)</f>
        <v>0.2</v>
      </c>
      <c r="AK824" s="6">
        <f>IFERROR(N824*O824*(1-AJ824), "NA")</f>
        <v>10246.528</v>
      </c>
      <c r="AL824" s="6">
        <f>IFERROR(AK824-R824,"NA")</f>
        <v>1612.1080000000002</v>
      </c>
      <c r="AM824" s="5">
        <f t="shared" si="60"/>
        <v>0.15733212264681268</v>
      </c>
      <c r="AN824" t="str">
        <v>10-12-24</v>
      </c>
      <c r="AO824" t="str">
        <v>08-10-24</v>
      </c>
      <c r="AP824" t="str">
        <f t="shared" si="61"/>
        <v>December</v>
      </c>
      <c r="AQ824" t="str">
        <f t="shared" si="62"/>
        <v>2024</v>
      </c>
      <c r="AR824" t="str">
        <f t="shared" si="63"/>
        <v>anomaly</v>
      </c>
      <c r="AS824">
        <f t="shared" si="64"/>
        <v>-63</v>
      </c>
      <c r="AT824" t="str">
        <f>IF(COUNTIFS( $A:$A,A824,$B:$B,B824,$C:$C,C824,$D:$D,D824,$E:$E,E824,$F:$F,F824,$G:$G,G824,$H:$H,H824,$I:$I,I824,$J:$J,J824,$K:$K,K824,$L:$L,L824,$M:$M,M824,$T:$T,T824,$U:$U,U824,$W:$W,W824,$Z:$Z,Z824,$AA:$AA,AA824,$AB:$AB,AB824,$AC:$AC,AC824,$AD:$AD,AD824,$AE:$AE,AE824,$AF:$AF,AF824,$AG:$AG,AG824,$AH:$AH,AH824,$AI:$AI,AI824)&gt;1,"Duplicate","Unique")</f>
        <v>Unique</v>
      </c>
    </row>
    <row r="825" spans="1:46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  <c r="W825" t="s">
        <v>3780</v>
      </c>
      <c r="Z825" t="s">
        <v>3782</v>
      </c>
      <c r="AA825" t="str">
        <v>Mira Das</v>
      </c>
      <c r="AB825" t="str">
        <f>TRIM(PROPER(F:F))</f>
        <v>Home Office</v>
      </c>
      <c r="AC825" t="str">
        <f>TRIM(PROPER(G:G))</f>
        <v>West</v>
      </c>
      <c r="AD825" t="str">
        <f>TRIM(PROPER(H:H))</f>
        <v>Goa</v>
      </c>
      <c r="AE825" t="str">
        <f>TRIM(PROPER(I:I))</f>
        <v>Panaji</v>
      </c>
      <c r="AF825" t="str">
        <f>TRIM(PROPER(J:J))</f>
        <v>Office Supplies</v>
      </c>
      <c r="AG825" t="str">
        <f>TRIM(PROPER(K:K))</f>
        <v>Paper</v>
      </c>
      <c r="AH825" t="str">
        <f>TRIM(PROPER(L:L))</f>
        <v>Basic Paper 899</v>
      </c>
      <c r="AI825" t="str">
        <f>TRIM(PROPER(M:M))</f>
        <v>Same Day</v>
      </c>
      <c r="AJ825" s="5">
        <f>IF(OR(P825&lt;0,P825&gt;0.5),"invalid",P825)</f>
        <v>0.15</v>
      </c>
      <c r="AK825" s="6">
        <f>IFERROR(N825*O825*(1-AJ825), "NA")</f>
        <v>1704.2415000000001</v>
      </c>
      <c r="AL825" s="6">
        <f>IFERROR(AK825-R825,"NA")</f>
        <v>746.69150000000013</v>
      </c>
      <c r="AM825" s="5">
        <f t="shared" si="60"/>
        <v>0.43813714194848563</v>
      </c>
      <c r="AN825" t="str">
        <v>06-01-25</v>
      </c>
      <c r="AO825" t="str">
        <v>12-01-25</v>
      </c>
      <c r="AP825" t="str">
        <f t="shared" si="61"/>
        <v>January</v>
      </c>
      <c r="AQ825" t="str">
        <f t="shared" si="62"/>
        <v>2025</v>
      </c>
      <c r="AR825" t="str">
        <f t="shared" si="63"/>
        <v xml:space="preserve"> </v>
      </c>
      <c r="AS825">
        <f t="shared" si="64"/>
        <v>6</v>
      </c>
      <c r="AT825" t="str">
        <f>IF(COUNTIFS( $A:$A,A825,$B:$B,B825,$C:$C,C825,$D:$D,D825,$E:$E,E825,$F:$F,F825,$G:$G,G825,$H:$H,H825,$I:$I,I825,$J:$J,J825,$K:$K,K825,$L:$L,L825,$M:$M,M825,$T:$T,T825,$U:$U,U825,$W:$W,W825,$Z:$Z,Z825,$AA:$AA,AA825,$AB:$AB,AB825,$AC:$AC,AC825,$AD:$AD,AD825,$AE:$AE,AE825,$AF:$AF,AF825,$AG:$AG,AG825,$AH:$AH,AH825,$AI:$AI,AI825)&gt;1,"Duplicate","Unique")</f>
        <v>Unique</v>
      </c>
    </row>
    <row r="826" spans="1:46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  <c r="W826" t="s">
        <v>3784</v>
      </c>
      <c r="Z826" t="s">
        <v>3786</v>
      </c>
      <c r="AA826" t="str">
        <v>Priya Menon</v>
      </c>
      <c r="AB826" t="str">
        <f>TRIM(PROPER(F:F))</f>
        <v>Consumer</v>
      </c>
      <c r="AC826" t="str">
        <f>TRIM(PROPER(G:G))</f>
        <v>West</v>
      </c>
      <c r="AD826" t="str">
        <f>TRIM(PROPER(H:H))</f>
        <v>Goa</v>
      </c>
      <c r="AE826" t="str">
        <f>TRIM(PROPER(I:I))</f>
        <v>Panaji</v>
      </c>
      <c r="AF826" t="str">
        <f>TRIM(PROPER(J:J))</f>
        <v>Office Supplies</v>
      </c>
      <c r="AG826" t="str">
        <f>TRIM(PROPER(K:K))</f>
        <v>Paper</v>
      </c>
      <c r="AH826" t="str">
        <f>TRIM(PROPER(L:L))</f>
        <v>Pro Paper 267</v>
      </c>
      <c r="AI826" t="str">
        <f>TRIM(PROPER(M:M))</f>
        <v>First Class</v>
      </c>
      <c r="AJ826" s="5">
        <f>IF(OR(P826&lt;0,P826&gt;0.5),"invalid",P826)</f>
        <v>0.05</v>
      </c>
      <c r="AK826" s="6">
        <f>IFERROR(N826*O826*(1-AJ826), "NA")</f>
        <v>33719.223999999995</v>
      </c>
      <c r="AL826" s="6">
        <f>IFERROR(AK826-R826,"NA")</f>
        <v>4794.7939999999944</v>
      </c>
      <c r="AM826" s="5">
        <f t="shared" si="60"/>
        <v>0.14219763776295669</v>
      </c>
      <c r="AN826" t="str">
        <v>21-03-25</v>
      </c>
      <c r="AO826" t="str">
        <v>22-03-25</v>
      </c>
      <c r="AP826" t="str">
        <f t="shared" si="61"/>
        <v>March</v>
      </c>
      <c r="AQ826" t="str">
        <f t="shared" si="62"/>
        <v>2025</v>
      </c>
      <c r="AR826" t="str">
        <f t="shared" si="63"/>
        <v xml:space="preserve"> </v>
      </c>
      <c r="AS826">
        <f t="shared" si="64"/>
        <v>1</v>
      </c>
      <c r="AT826" t="str">
        <f>IF(COUNTIFS( $A:$A,A826,$B:$B,B826,$C:$C,C826,$D:$D,D826,$E:$E,E826,$F:$F,F826,$G:$G,G826,$H:$H,H826,$I:$I,I826,$J:$J,J826,$K:$K,K826,$L:$L,L826,$M:$M,M826,$T:$T,T826,$U:$U,U826,$W:$W,W826,$Z:$Z,Z826,$AA:$AA,AA826,$AB:$AB,AB826,$AC:$AC,AC826,$AD:$AD,AD826,$AE:$AE,AE826,$AF:$AF,AF826,$AG:$AG,AG826,$AH:$AH,AH826,$AI:$AI,AI826)&gt;1,"Duplicate","Unique")</f>
        <v>Unique</v>
      </c>
    </row>
    <row r="827" spans="1:46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  <c r="W827" t="s">
        <v>3788</v>
      </c>
      <c r="Z827" t="s">
        <v>3791</v>
      </c>
      <c r="AA827" t="str">
        <v>Vikram Iyer</v>
      </c>
      <c r="AB827" t="str">
        <f>TRIM(PROPER(F:F))</f>
        <v>Small Business</v>
      </c>
      <c r="AC827" t="str">
        <f>TRIM(PROPER(G:G))</f>
        <v>North</v>
      </c>
      <c r="AD827" t="str">
        <f>TRIM(PROPER(H:H))</f>
        <v>Uttar Pradesh</v>
      </c>
      <c r="AE827" t="str">
        <f>TRIM(PROPER(I:I))</f>
        <v>Noida</v>
      </c>
      <c r="AF827" t="str">
        <f>TRIM(PROPER(J:J))</f>
        <v>Technology</v>
      </c>
      <c r="AG827" t="str">
        <f>TRIM(PROPER(K:K))</f>
        <v>Machines</v>
      </c>
      <c r="AH827" t="str">
        <f>TRIM(PROPER(L:L))</f>
        <v>Basic Machines 832</v>
      </c>
      <c r="AI827" t="str">
        <f>TRIM(PROPER(M:M))</f>
        <v>First Class</v>
      </c>
      <c r="AJ827" s="5">
        <f>IF(OR(P827&lt;0,P827&gt;0.5),"invalid",P827)</f>
        <v>0</v>
      </c>
      <c r="AK827" s="6">
        <f>IFERROR(N827*O827*(1-AJ827), "NA")</f>
        <v>2720.17</v>
      </c>
      <c r="AL827" s="6">
        <f>IFERROR(AK827-R827,"NA")</f>
        <v>885.94</v>
      </c>
      <c r="AM827" s="5">
        <f t="shared" si="60"/>
        <v>0.3256928794891496</v>
      </c>
      <c r="AN827" t="str">
        <v>16-04-25</v>
      </c>
      <c r="AO827" t="str">
        <v>17-04-25</v>
      </c>
      <c r="AP827" t="str">
        <f t="shared" si="61"/>
        <v>April</v>
      </c>
      <c r="AQ827" t="str">
        <f t="shared" si="62"/>
        <v>2025</v>
      </c>
      <c r="AR827" t="str">
        <f t="shared" si="63"/>
        <v xml:space="preserve"> </v>
      </c>
      <c r="AS827">
        <f t="shared" si="64"/>
        <v>1</v>
      </c>
      <c r="AT827" t="str">
        <f>IF(COUNTIFS( $A:$A,A827,$B:$B,B827,$C:$C,C827,$D:$D,D827,$E:$E,E827,$F:$F,F827,$G:$G,G827,$H:$H,H827,$I:$I,I827,$J:$J,J827,$K:$K,K827,$L:$L,L827,$M:$M,M827,$T:$T,T827,$U:$U,U827,$W:$W,W827,$Z:$Z,Z827,$AA:$AA,AA827,$AB:$AB,AB827,$AC:$AC,AC827,$AD:$AD,AD827,$AE:$AE,AE827,$AF:$AF,AF827,$AG:$AG,AG827,$AH:$AH,AH827,$AI:$AI,AI827)&gt;1,"Duplicate","Unique")</f>
        <v>Unique</v>
      </c>
    </row>
    <row r="828" spans="1:46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  <c r="W828" t="s">
        <v>3793</v>
      </c>
      <c r="Z828" t="s">
        <v>3795</v>
      </c>
      <c r="AA828" t="str">
        <v>Aditi Sen</v>
      </c>
      <c r="AB828" t="str">
        <f>TRIM(PROPER(F:F))</f>
        <v>Consumer</v>
      </c>
      <c r="AC828" t="str">
        <f>TRIM(PROPER(G:G))</f>
        <v>West</v>
      </c>
      <c r="AD828" t="str">
        <f>TRIM(PROPER(H:H))</f>
        <v>Rajasthan</v>
      </c>
      <c r="AE828" t="str">
        <f>TRIM(PROPER(I:I))</f>
        <v>Udaipur</v>
      </c>
      <c r="AF828" t="str">
        <f>TRIM(PROPER(J:J))</f>
        <v>Technology</v>
      </c>
      <c r="AG828" t="str">
        <f>TRIM(PROPER(K:K))</f>
        <v>Accessories</v>
      </c>
      <c r="AH828" t="str">
        <f>TRIM(PROPER(L:L))</f>
        <v>Elite Accessories 790</v>
      </c>
      <c r="AI828" t="str">
        <f>TRIM(PROPER(M:M))</f>
        <v>Standard Class</v>
      </c>
      <c r="AJ828" s="5">
        <f>IF(OR(P828&lt;0,P828&gt;0.5),"invalid",P828)</f>
        <v>0.25</v>
      </c>
      <c r="AK828" s="6">
        <f>IFERROR(N828*O828*(1-AJ828), "NA")</f>
        <v>8213.0249999999996</v>
      </c>
      <c r="AL828" s="6">
        <f>IFERROR(AK828-R828,"NA")</f>
        <v>2643.7249999999995</v>
      </c>
      <c r="AM828" s="5">
        <f t="shared" si="60"/>
        <v>0.32189418636860345</v>
      </c>
      <c r="AN828" t="str">
        <v>10-08-25</v>
      </c>
      <c r="AO828" t="str">
        <v>14-08-25</v>
      </c>
      <c r="AP828" t="str">
        <f t="shared" si="61"/>
        <v>August</v>
      </c>
      <c r="AQ828" t="str">
        <f t="shared" si="62"/>
        <v>2025</v>
      </c>
      <c r="AR828" t="str">
        <f t="shared" si="63"/>
        <v xml:space="preserve"> </v>
      </c>
      <c r="AS828">
        <f t="shared" si="64"/>
        <v>4</v>
      </c>
      <c r="AT828" t="str">
        <f>IF(COUNTIFS( $A:$A,A828,$B:$B,B828,$C:$C,C828,$D:$D,D828,$E:$E,E828,$F:$F,F828,$G:$G,G828,$H:$H,H828,$I:$I,I828,$J:$J,J828,$K:$K,K828,$L:$L,L828,$M:$M,M828,$T:$T,T828,$U:$U,U828,$W:$W,W828,$Z:$Z,Z828,$AA:$AA,AA828,$AB:$AB,AB828,$AC:$AC,AC828,$AD:$AD,AD828,$AE:$AE,AE828,$AF:$AF,AF828,$AG:$AG,AG828,$AH:$AH,AH828,$AI:$AI,AI828)&gt;1,"Duplicate","Unique")</f>
        <v>Unique</v>
      </c>
    </row>
    <row r="829" spans="1:46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  <c r="W829" t="s">
        <v>3797</v>
      </c>
      <c r="Z829" t="s">
        <v>3799</v>
      </c>
      <c r="AA829" t="str">
        <v>Priya Menon</v>
      </c>
      <c r="AB829" t="str">
        <f>TRIM(PROPER(F:F))</f>
        <v>Home Office</v>
      </c>
      <c r="AC829" t="str">
        <f>TRIM(PROPER(G:G))</f>
        <v>South</v>
      </c>
      <c r="AD829" t="str">
        <f>TRIM(PROPER(H:H))</f>
        <v>Tamil Nadu</v>
      </c>
      <c r="AE829" t="str">
        <f>TRIM(PROPER(I:I))</f>
        <v>Chennai</v>
      </c>
      <c r="AF829" t="str">
        <f>TRIM(PROPER(J:J))</f>
        <v>Office Supplies</v>
      </c>
      <c r="AG829" t="str">
        <f>TRIM(PROPER(K:K))</f>
        <v>Paper</v>
      </c>
      <c r="AH829" t="str">
        <f>TRIM(PROPER(L:L))</f>
        <v>Basic Paper 707</v>
      </c>
      <c r="AI829" t="str">
        <f>TRIM(PROPER(M:M))</f>
        <v>Same Day</v>
      </c>
      <c r="AJ829" s="5">
        <f>IF(OR(P829&lt;0,P829&gt;0.5),"invalid",P829)</f>
        <v>0.25</v>
      </c>
      <c r="AK829" s="6">
        <f>IFERROR(N829*O829*(1-AJ829), "NA")</f>
        <v>633.66750000000002</v>
      </c>
      <c r="AL829" s="6">
        <f>IFERROR(AK829-R829,"NA")</f>
        <v>113.19749999999999</v>
      </c>
      <c r="AM829" s="5">
        <f t="shared" si="60"/>
        <v>0.17863863934950111</v>
      </c>
      <c r="AN829" t="str">
        <v>24-11-24</v>
      </c>
      <c r="AO829" t="str">
        <v>01-12-24</v>
      </c>
      <c r="AP829" t="str">
        <f t="shared" si="61"/>
        <v>November</v>
      </c>
      <c r="AQ829" t="str">
        <f t="shared" si="62"/>
        <v>2024</v>
      </c>
      <c r="AR829" t="str">
        <f t="shared" si="63"/>
        <v>anomaly</v>
      </c>
      <c r="AS829">
        <f t="shared" si="64"/>
        <v>7</v>
      </c>
      <c r="AT829" t="str">
        <f>IF(COUNTIFS( $A:$A,A829,$B:$B,B829,$C:$C,C829,$D:$D,D829,$E:$E,E829,$F:$F,F829,$G:$G,G829,$H:$H,H829,$I:$I,I829,$J:$J,J829,$K:$K,K829,$L:$L,L829,$M:$M,M829,$T:$T,T829,$U:$U,U829,$W:$W,W829,$Z:$Z,Z829,$AA:$AA,AA829,$AB:$AB,AB829,$AC:$AC,AC829,$AD:$AD,AD829,$AE:$AE,AE829,$AF:$AF,AF829,$AG:$AG,AG829,$AH:$AH,AH829,$AI:$AI,AI829)&gt;1,"Duplicate","Unique")</f>
        <v>Unique</v>
      </c>
    </row>
    <row r="830" spans="1:46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  <c r="W830" t="s">
        <v>3801</v>
      </c>
      <c r="Z830" t="s">
        <v>3804</v>
      </c>
      <c r="AA830" t="str">
        <v>Karan Malhotra</v>
      </c>
      <c r="AB830" t="str">
        <f>TRIM(PROPER(F:F))</f>
        <v>Corporate</v>
      </c>
      <c r="AC830" t="str">
        <f>TRIM(PROPER(G:G))</f>
        <v>East</v>
      </c>
      <c r="AD830" t="str">
        <f>TRIM(PROPER(H:H))</f>
        <v>Odisha</v>
      </c>
      <c r="AE830" t="str">
        <f>TRIM(PROPER(I:I))</f>
        <v>Bhubaneswar</v>
      </c>
      <c r="AF830" t="str">
        <f>TRIM(PROPER(J:J))</f>
        <v>Furniture</v>
      </c>
      <c r="AG830" t="str">
        <f>TRIM(PROPER(K:K))</f>
        <v>Chairs</v>
      </c>
      <c r="AH830" t="str">
        <f>TRIM(PROPER(L:L))</f>
        <v>Elite Chairs 979</v>
      </c>
      <c r="AI830" t="str">
        <f>TRIM(PROPER(M:M))</f>
        <v>Second Class</v>
      </c>
      <c r="AJ830" s="5">
        <f>IF(OR(P830&lt;0,P830&gt;0.5),"invalid",P830)</f>
        <v>0.05</v>
      </c>
      <c r="AK830" s="6">
        <f>IFERROR(N830*O830*(1-AJ830), "NA")</f>
        <v>25216.534</v>
      </c>
      <c r="AL830" s="6">
        <f>IFERROR(AK830-R830,"NA")</f>
        <v>10999.593999999999</v>
      </c>
      <c r="AM830" s="5">
        <f t="shared" si="60"/>
        <v>0.4362056260388521</v>
      </c>
      <c r="AN830" t="str">
        <v>10-10-25</v>
      </c>
      <c r="AO830" t="str">
        <v>11-10-25</v>
      </c>
      <c r="AP830" t="str">
        <f t="shared" si="61"/>
        <v>October</v>
      </c>
      <c r="AQ830" t="str">
        <f t="shared" si="62"/>
        <v>2025</v>
      </c>
      <c r="AR830" t="str">
        <f t="shared" si="63"/>
        <v xml:space="preserve"> </v>
      </c>
      <c r="AS830">
        <f t="shared" si="64"/>
        <v>1</v>
      </c>
      <c r="AT830" t="str">
        <f>IF(COUNTIFS( $A:$A,A830,$B:$B,B830,$C:$C,C830,$D:$D,D830,$E:$E,E830,$F:$F,F830,$G:$G,G830,$H:$H,H830,$I:$I,I830,$J:$J,J830,$K:$K,K830,$L:$L,L830,$M:$M,M830,$T:$T,T830,$U:$U,U830,$W:$W,W830,$Z:$Z,Z830,$AA:$AA,AA830,$AB:$AB,AB830,$AC:$AC,AC830,$AD:$AD,AD830,$AE:$AE,AE830,$AF:$AF,AF830,$AG:$AG,AG830,$AH:$AH,AH830,$AI:$AI,AI830)&gt;1,"Duplicate","Unique")</f>
        <v>Unique</v>
      </c>
    </row>
    <row r="831" spans="1:46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  <c r="W831" t="s">
        <v>3806</v>
      </c>
      <c r="Z831" t="s">
        <v>3808</v>
      </c>
      <c r="AA831" t="str">
        <v>Aditi Sen</v>
      </c>
      <c r="AB831" t="str">
        <f>TRIM(PROPER(F:F))</f>
        <v>Small Business</v>
      </c>
      <c r="AC831" t="str">
        <f>TRIM(PROPER(G:G))</f>
        <v>West</v>
      </c>
      <c r="AD831" t="str">
        <f>TRIM(PROPER(H:H))</f>
        <v>Goa</v>
      </c>
      <c r="AE831" t="str">
        <f>TRIM(PROPER(I:I))</f>
        <v>Panaji</v>
      </c>
      <c r="AF831" t="str">
        <f>TRIM(PROPER(J:J))</f>
        <v>Furniture</v>
      </c>
      <c r="AG831" t="str">
        <f>TRIM(PROPER(K:K))</f>
        <v>Furnishings</v>
      </c>
      <c r="AH831" t="str">
        <f>TRIM(PROPER(L:L))</f>
        <v>Pro Furnishings 192</v>
      </c>
      <c r="AI831" t="str">
        <f>TRIM(PROPER(M:M))</f>
        <v>Second Class</v>
      </c>
      <c r="AJ831" s="5">
        <f>IF(OR(P831&lt;0,P831&gt;0.5),"invalid",P831)</f>
        <v>0.1</v>
      </c>
      <c r="AK831" s="6">
        <f>IFERROR(N831*O831*(1-AJ831), "NA")</f>
        <v>6521.3820000000005</v>
      </c>
      <c r="AL831" s="6">
        <f>IFERROR(AK831-R831,"NA")</f>
        <v>2010.2820000000002</v>
      </c>
      <c r="AM831" s="5">
        <f t="shared" si="60"/>
        <v>0.30826012032418892</v>
      </c>
      <c r="AN831" t="str">
        <v>invalid date</v>
      </c>
      <c r="AO831" t="str">
        <v>28-02-24</v>
      </c>
      <c r="AP831" t="str">
        <f t="shared" si="61"/>
        <v>invalid date</v>
      </c>
      <c r="AQ831" t="str">
        <f t="shared" si="62"/>
        <v>invalid date</v>
      </c>
      <c r="AR831" t="str">
        <f t="shared" si="63"/>
        <v>Invalid</v>
      </c>
      <c r="AS831" t="str">
        <f t="shared" si="64"/>
        <v>invalid date</v>
      </c>
      <c r="AT831" t="str">
        <f>IF(COUNTIFS( $A:$A,A831,$B:$B,B831,$C:$C,C831,$D:$D,D831,$E:$E,E831,$F:$F,F831,$G:$G,G831,$H:$H,H831,$I:$I,I831,$J:$J,J831,$K:$K,K831,$L:$L,L831,$M:$M,M831,$T:$T,T831,$U:$U,U831,$W:$W,W831,$Z:$Z,Z831,$AA:$AA,AA831,$AB:$AB,AB831,$AC:$AC,AC831,$AD:$AD,AD831,$AE:$AE,AE831,$AF:$AF,AF831,$AG:$AG,AG831,$AH:$AH,AH831,$AI:$AI,AI831)&gt;1,"Duplicate","Unique")</f>
        <v>Unique</v>
      </c>
    </row>
    <row r="832" spans="1:46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  <c r="W832" t="s">
        <v>3810</v>
      </c>
      <c r="Z832" t="s">
        <v>3811</v>
      </c>
      <c r="AA832" t="str">
        <v>Aditi Sen</v>
      </c>
      <c r="AB832" t="str">
        <f>TRIM(PROPER(F:F))</f>
        <v>Small Business</v>
      </c>
      <c r="AC832" t="s">
        <v>4111</v>
      </c>
      <c r="AD832" t="str">
        <f>TRIM(PROPER(H:H))</f>
        <v>Tamil Nadu</v>
      </c>
      <c r="AE832" t="str">
        <f>TRIM(PROPER(I:I))</f>
        <v>Chennai</v>
      </c>
      <c r="AF832" t="str">
        <f>TRIM(PROPER(J:J))</f>
        <v>Technology</v>
      </c>
      <c r="AG832" t="str">
        <f>TRIM(PROPER(K:K))</f>
        <v>Machines</v>
      </c>
      <c r="AH832" t="str">
        <f>TRIM(PROPER(L:L))</f>
        <v>Smart Machines 951</v>
      </c>
      <c r="AI832" t="str">
        <f>TRIM(PROPER(M:M))</f>
        <v>First Class</v>
      </c>
      <c r="AJ832" s="5">
        <f>IF(OR(P832&lt;0,P832&gt;0.5),"invalid",P832)</f>
        <v>0.1</v>
      </c>
      <c r="AK832" s="6">
        <f>IFERROR(N832*O832*(1-AJ832), "NA")</f>
        <v>12867.552000000001</v>
      </c>
      <c r="AL832" s="6">
        <f>IFERROR(AK832-R832,"NA")</f>
        <v>2798.612000000001</v>
      </c>
      <c r="AM832" s="5">
        <f t="shared" si="60"/>
        <v>0.21749373929089236</v>
      </c>
      <c r="AN832" t="str">
        <v>15-07-25</v>
      </c>
      <c r="AO832" t="str">
        <v>18-07-25</v>
      </c>
      <c r="AP832" t="str">
        <f t="shared" si="61"/>
        <v>July</v>
      </c>
      <c r="AQ832" t="str">
        <f t="shared" si="62"/>
        <v>2025</v>
      </c>
      <c r="AR832" t="str">
        <f t="shared" si="63"/>
        <v xml:space="preserve"> </v>
      </c>
      <c r="AS832">
        <f t="shared" si="64"/>
        <v>3</v>
      </c>
      <c r="AT832" t="str">
        <f>IF(COUNTIFS( $A:$A,A832,$B:$B,B832,$C:$C,C832,$D:$D,D832,$E:$E,E832,$F:$F,F832,$G:$G,G832,$H:$H,H832,$I:$I,I832,$J:$J,J832,$K:$K,K832,$L:$L,L832,$M:$M,M832,$T:$T,T832,$U:$U,U832,$W:$W,W832,$Z:$Z,Z832,$AA:$AA,AA832,$AB:$AB,AB832,$AC:$AC,AC832,$AD:$AD,AD832,$AE:$AE,AE832,$AF:$AF,AF832,$AG:$AG,AG832,$AH:$AH,AH832,$AI:$AI,AI832)&gt;1,"Duplicate","Unique")</f>
        <v>Unique</v>
      </c>
    </row>
    <row r="833" spans="1:46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  <c r="W833" t="s">
        <v>3813</v>
      </c>
      <c r="Z833" t="s">
        <v>3814</v>
      </c>
      <c r="AA833" t="str">
        <v>Diya Patel</v>
      </c>
      <c r="AB833" t="str">
        <f>TRIM(PROPER(F:F))</f>
        <v>Home Office</v>
      </c>
      <c r="AC833" t="s">
        <v>4111</v>
      </c>
      <c r="AD833" t="str">
        <f>TRIM(PROPER(H:H))</f>
        <v>Haryana</v>
      </c>
      <c r="AE833" t="str">
        <f>TRIM(PROPER(I:I))</f>
        <v>Gurugram</v>
      </c>
      <c r="AF833" t="str">
        <f>TRIM(PROPER(J:J))</f>
        <v>Furniture</v>
      </c>
      <c r="AG833" t="str">
        <f>TRIM(PROPER(K:K))</f>
        <v>Chairs</v>
      </c>
      <c r="AH833" t="str">
        <f>TRIM(PROPER(L:L))</f>
        <v>Smart Chairs 794</v>
      </c>
      <c r="AI833" t="str">
        <f>TRIM(PROPER(M:M))</f>
        <v>First Class</v>
      </c>
      <c r="AJ833" s="5">
        <f>IF(OR(P833&lt;0,P833&gt;0.5),"invalid",P833)</f>
        <v>0.15</v>
      </c>
      <c r="AK833" s="6">
        <f>IFERROR(N833*O833*(1-AJ833), "NA")</f>
        <v>26489.654999999999</v>
      </c>
      <c r="AL833" s="6">
        <f>IFERROR(AK833-R833,"NA")</f>
        <v>10671.195</v>
      </c>
      <c r="AM833" s="5">
        <f t="shared" si="60"/>
        <v>0.40284386489744772</v>
      </c>
      <c r="AN833" t="str">
        <v>04-03-25</v>
      </c>
      <c r="AO833" t="str">
        <v>03-04-25</v>
      </c>
      <c r="AP833" t="str">
        <f t="shared" si="61"/>
        <v>March</v>
      </c>
      <c r="AQ833" t="str">
        <f t="shared" si="62"/>
        <v>2025</v>
      </c>
      <c r="AR833" t="str">
        <f t="shared" si="63"/>
        <v>anomaly</v>
      </c>
      <c r="AS833">
        <f t="shared" si="64"/>
        <v>30</v>
      </c>
      <c r="AT833" t="str">
        <f>IF(COUNTIFS( $A:$A,A833,$B:$B,B833,$C:$C,C833,$D:$D,D833,$E:$E,E833,$F:$F,F833,$G:$G,G833,$H:$H,H833,$I:$I,I833,$J:$J,J833,$K:$K,K833,$L:$L,L833,$M:$M,M833,$T:$T,T833,$U:$U,U833,$W:$W,W833,$Z:$Z,Z833,$AA:$AA,AA833,$AB:$AB,AB833,$AC:$AC,AC833,$AD:$AD,AD833,$AE:$AE,AE833,$AF:$AF,AF833,$AG:$AG,AG833,$AH:$AH,AH833,$AI:$AI,AI833)&gt;1,"Duplicate","Unique")</f>
        <v>Unique</v>
      </c>
    </row>
    <row r="834" spans="1:46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  <c r="W834" t="s">
        <v>3816</v>
      </c>
      <c r="Z834" t="s">
        <v>3819</v>
      </c>
      <c r="AA834" t="str">
        <v>Kabir Singh</v>
      </c>
      <c r="AB834" t="str">
        <f>TRIM(PROPER(F:F))</f>
        <v>Small Business</v>
      </c>
      <c r="AC834" t="str">
        <f>TRIM(PROPER(G:G))</f>
        <v>South</v>
      </c>
      <c r="AD834" t="str">
        <f>TRIM(PROPER(H:H))</f>
        <v>Andhra Pradesh</v>
      </c>
      <c r="AE834" t="str">
        <f>TRIM(PROPER(I:I))</f>
        <v>Vijayawada</v>
      </c>
      <c r="AF834" t="str">
        <f>TRIM(PROPER(J:J))</f>
        <v>Technology</v>
      </c>
      <c r="AG834" t="str">
        <f>TRIM(PROPER(K:K))</f>
        <v>Phones</v>
      </c>
      <c r="AH834" t="str">
        <f>TRIM(PROPER(L:L))</f>
        <v>Max Phones 919</v>
      </c>
      <c r="AI834" t="str">
        <f>TRIM(PROPER(M:M))</f>
        <v>Second Class</v>
      </c>
      <c r="AJ834" s="5">
        <f>IF(OR(P834&lt;0,P834&gt;0.5),"invalid",P834)</f>
        <v>0.05</v>
      </c>
      <c r="AK834" s="6">
        <f>IFERROR(N834*O834*(1-AJ834), "NA")</f>
        <v>36782.271000000008</v>
      </c>
      <c r="AL834" s="6">
        <f>IFERROR(AK834-R834,"NA")</f>
        <v>10879.461000000007</v>
      </c>
      <c r="AM834" s="5">
        <f t="shared" si="60"/>
        <v>0.29578002402298664</v>
      </c>
      <c r="AN834" t="str">
        <v>26-05-25</v>
      </c>
      <c r="AO834" t="str">
        <v>28-05-25</v>
      </c>
      <c r="AP834" t="str">
        <f t="shared" si="61"/>
        <v>May</v>
      </c>
      <c r="AQ834" t="str">
        <f t="shared" si="62"/>
        <v>2025</v>
      </c>
      <c r="AR834" t="str">
        <f t="shared" si="63"/>
        <v xml:space="preserve"> </v>
      </c>
      <c r="AS834">
        <f t="shared" si="64"/>
        <v>2</v>
      </c>
      <c r="AT834" t="str">
        <f>IF(COUNTIFS( $A:$A,A834,$B:$B,B834,$C:$C,C834,$D:$D,D834,$E:$E,E834,$F:$F,F834,$G:$G,G834,$H:$H,H834,$I:$I,I834,$J:$J,J834,$K:$K,K834,$L:$L,L834,$M:$M,M834,$T:$T,T834,$U:$U,U834,$W:$W,W834,$Z:$Z,Z834,$AA:$AA,AA834,$AB:$AB,AB834,$AC:$AC,AC834,$AD:$AD,AD834,$AE:$AE,AE834,$AF:$AF,AF834,$AG:$AG,AG834,$AH:$AH,AH834,$AI:$AI,AI834)&gt;1,"Duplicate","Unique")</f>
        <v>Unique</v>
      </c>
    </row>
    <row r="835" spans="1:46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  <c r="W835" t="s">
        <v>3821</v>
      </c>
      <c r="Z835" t="s">
        <v>3824</v>
      </c>
      <c r="AA835" t="str">
        <v>Rahul Verma</v>
      </c>
      <c r="AB835" t="str">
        <f>TRIM(PROPER(F:F))</f>
        <v>Home Office</v>
      </c>
      <c r="AC835" t="str">
        <f>TRIM(PROPER(G:G))</f>
        <v>East</v>
      </c>
      <c r="AD835" t="str">
        <f>TRIM(PROPER(H:H))</f>
        <v>West Bengal</v>
      </c>
      <c r="AE835" t="str">
        <f>TRIM(PROPER(I:I))</f>
        <v>Kolkata</v>
      </c>
      <c r="AF835" t="str">
        <f>TRIM(PROPER(J:J))</f>
        <v>Furniture</v>
      </c>
      <c r="AG835" t="str">
        <f>TRIM(PROPER(K:K))</f>
        <v>Bookcases</v>
      </c>
      <c r="AH835" t="str">
        <f>TRIM(PROPER(L:L))</f>
        <v>Basic Bookcases 499</v>
      </c>
      <c r="AI835" t="str">
        <f>TRIM(PROPER(M:M))</f>
        <v>First Class</v>
      </c>
      <c r="AJ835" s="5">
        <f>IF(OR(P835&lt;0,P835&gt;0.5),"invalid",P835)</f>
        <v>0</v>
      </c>
      <c r="AK835" s="6">
        <f>IFERROR(N835*O835*(1-AJ835), "NA")</f>
        <v>23696.400000000001</v>
      </c>
      <c r="AL835" s="6">
        <f>IFERROR(AK835-R835,"NA")</f>
        <v>5586.630000000001</v>
      </c>
      <c r="AM835" s="5">
        <f t="shared" ref="AM835:AM898" si="65">IFERROR(AL835/AK835,"NA")</f>
        <v>0.23575859624246723</v>
      </c>
      <c r="AN835" t="str">
        <v>04-06-24</v>
      </c>
      <c r="AO835" t="str">
        <v>06-04-24</v>
      </c>
      <c r="AP835" t="str">
        <f t="shared" ref="AP835:AP898" si="66">TEXT(AN835,"mmmm")</f>
        <v>June</v>
      </c>
      <c r="AQ835" t="str">
        <f t="shared" ref="AQ835:AQ898" si="67">TEXT(AN835,"yyyy")</f>
        <v>2024</v>
      </c>
      <c r="AR835" t="str">
        <f t="shared" ref="AR835:AR898" si="68">IF(OR(AN835="Invalid Date",AO835="Invalid Date"),"Invalid",(IF(AO835&lt;AN835,"anomaly"," ")))</f>
        <v xml:space="preserve"> </v>
      </c>
      <c r="AS835">
        <f t="shared" ref="AS835:AS898" si="69">IFERROR(AO835-AN835, "invalid date")</f>
        <v>-59</v>
      </c>
      <c r="AT835" t="str">
        <f>IF(COUNTIFS( $A:$A,A835,$B:$B,B835,$C:$C,C835,$D:$D,D835,$E:$E,E835,$F:$F,F835,$G:$G,G835,$H:$H,H835,$I:$I,I835,$J:$J,J835,$K:$K,K835,$L:$L,L835,$M:$M,M835,$T:$T,T835,$U:$U,U835,$W:$W,W835,$Z:$Z,Z835,$AA:$AA,AA835,$AB:$AB,AB835,$AC:$AC,AC835,$AD:$AD,AD835,$AE:$AE,AE835,$AF:$AF,AF835,$AG:$AG,AG835,$AH:$AH,AH835,$AI:$AI,AI835)&gt;1,"Duplicate","Unique")</f>
        <v>Unique</v>
      </c>
    </row>
    <row r="836" spans="1:46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  <c r="W836" t="s">
        <v>3826</v>
      </c>
      <c r="Z836" t="s">
        <v>3828</v>
      </c>
      <c r="AA836" t="str">
        <v>Aarav Sharma</v>
      </c>
      <c r="AB836" t="str">
        <f>TRIM(PROPER(F:F))</f>
        <v>Home Office</v>
      </c>
      <c r="AC836" t="str">
        <f>TRIM(PROPER(G:G))</f>
        <v>South</v>
      </c>
      <c r="AD836" t="str">
        <f>TRIM(PROPER(H:H))</f>
        <v>Telangana</v>
      </c>
      <c r="AE836" t="str">
        <f>TRIM(PROPER(I:I))</f>
        <v>Hyderabad</v>
      </c>
      <c r="AF836" t="str">
        <f>TRIM(PROPER(J:J))</f>
        <v>Office Supplies</v>
      </c>
      <c r="AG836" t="str">
        <f>TRIM(PROPER(K:K))</f>
        <v>Art</v>
      </c>
      <c r="AH836" t="str">
        <f>TRIM(PROPER(L:L))</f>
        <v>Basic Art 143</v>
      </c>
      <c r="AI836" t="str">
        <f>TRIM(PROPER(M:M))</f>
        <v>First Class</v>
      </c>
      <c r="AJ836" s="5">
        <f>IF(OR(P836&lt;0,P836&gt;0.5),"invalid",P836)</f>
        <v>0</v>
      </c>
      <c r="AK836" s="6">
        <f>IFERROR(N836*O836*(1-AJ836), "NA")</f>
        <v>4047.66</v>
      </c>
      <c r="AL836" s="6">
        <f>IFERROR(AK836-R836,"NA")</f>
        <v>968.73</v>
      </c>
      <c r="AM836" s="5">
        <f t="shared" si="65"/>
        <v>0.23933087265234729</v>
      </c>
      <c r="AN836" t="str">
        <v>18-10-24</v>
      </c>
      <c r="AO836" t="str">
        <v>22-10-24</v>
      </c>
      <c r="AP836" t="str">
        <f t="shared" si="66"/>
        <v>October</v>
      </c>
      <c r="AQ836" t="str">
        <f t="shared" si="67"/>
        <v>2024</v>
      </c>
      <c r="AR836" t="str">
        <f t="shared" si="68"/>
        <v xml:space="preserve"> </v>
      </c>
      <c r="AS836">
        <f t="shared" si="69"/>
        <v>4</v>
      </c>
      <c r="AT836" t="str">
        <f>IF(COUNTIFS( $A:$A,A836,$B:$B,B836,$C:$C,C836,$D:$D,D836,$E:$E,E836,$F:$F,F836,$G:$G,G836,$H:$H,H836,$I:$I,I836,$J:$J,J836,$K:$K,K836,$L:$L,L836,$M:$M,M836,$T:$T,T836,$U:$U,U836,$W:$W,W836,$Z:$Z,Z836,$AA:$AA,AA836,$AB:$AB,AB836,$AC:$AC,AC836,$AD:$AD,AD836,$AE:$AE,AE836,$AF:$AF,AF836,$AG:$AG,AG836,$AH:$AH,AH836,$AI:$AI,AI836)&gt;1,"Duplicate","Unique")</f>
        <v>Unique</v>
      </c>
    </row>
    <row r="837" spans="1:46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  <c r="W837" t="s">
        <v>3830</v>
      </c>
      <c r="Z837" t="s">
        <v>3831</v>
      </c>
      <c r="AA837" t="str">
        <v>Priya Menon</v>
      </c>
      <c r="AB837" t="str">
        <f>TRIM(PROPER(F:F))</f>
        <v>Small Business</v>
      </c>
      <c r="AC837" t="str">
        <f>TRIM(PROPER(G:G))</f>
        <v>East</v>
      </c>
      <c r="AD837" t="str">
        <f>TRIM(PROPER(H:H))</f>
        <v>Assam</v>
      </c>
      <c r="AE837" t="str">
        <f>TRIM(PROPER(I:I))</f>
        <v>Guwahati</v>
      </c>
      <c r="AF837" t="str">
        <f>TRIM(PROPER(J:J))</f>
        <v>Technology</v>
      </c>
      <c r="AG837" t="str">
        <f>TRIM(PROPER(K:K))</f>
        <v>Phones</v>
      </c>
      <c r="AH837" t="str">
        <f>TRIM(PROPER(L:L))</f>
        <v>Prime Phones 338</v>
      </c>
      <c r="AI837" t="str">
        <f>TRIM(PROPER(M:M))</f>
        <v>Second Class</v>
      </c>
      <c r="AJ837" s="5">
        <f>IF(OR(P837&lt;0,P837&gt;0.5),"invalid",P837)</f>
        <v>0.05</v>
      </c>
      <c r="AK837" s="6">
        <f>IFERROR(N837*O837*(1-AJ837), "NA")</f>
        <v>10038.773499999999</v>
      </c>
      <c r="AL837" s="6">
        <f>IFERROR(AK837-R837,"NA")</f>
        <v>4365.673499999999</v>
      </c>
      <c r="AM837" s="5">
        <f t="shared" si="65"/>
        <v>0.43488116352062323</v>
      </c>
      <c r="AN837" t="str">
        <v>invalid date</v>
      </c>
      <c r="AO837" t="str">
        <v>04-10-25</v>
      </c>
      <c r="AP837" t="str">
        <f t="shared" si="66"/>
        <v>invalid date</v>
      </c>
      <c r="AQ837" t="str">
        <f t="shared" si="67"/>
        <v>invalid date</v>
      </c>
      <c r="AR837" t="str">
        <f t="shared" si="68"/>
        <v>Invalid</v>
      </c>
      <c r="AS837" t="str">
        <f t="shared" si="69"/>
        <v>invalid date</v>
      </c>
      <c r="AT837" t="str">
        <f>IF(COUNTIFS( $A:$A,A837,$B:$B,B837,$C:$C,C837,$D:$D,D837,$E:$E,E837,$F:$F,F837,$G:$G,G837,$H:$H,H837,$I:$I,I837,$J:$J,J837,$K:$K,K837,$L:$L,L837,$M:$M,M837,$T:$T,T837,$U:$U,U837,$W:$W,W837,$Z:$Z,Z837,$AA:$AA,AA837,$AB:$AB,AB837,$AC:$AC,AC837,$AD:$AD,AD837,$AE:$AE,AE837,$AF:$AF,AF837,$AG:$AG,AG837,$AH:$AH,AH837,$AI:$AI,AI837)&gt;1,"Duplicate","Unique")</f>
        <v>Unique</v>
      </c>
    </row>
    <row r="838" spans="1:46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  <c r="W838" t="s">
        <v>3833</v>
      </c>
      <c r="Z838" t="s">
        <v>3835</v>
      </c>
      <c r="AA838" t="str">
        <v>Isha Nair</v>
      </c>
      <c r="AB838" t="str">
        <f>TRIM(PROPER(F:F))</f>
        <v>Small Business</v>
      </c>
      <c r="AC838" t="str">
        <f>TRIM(PROPER(G:G))</f>
        <v>North</v>
      </c>
      <c r="AD838" t="str">
        <f>TRIM(PROPER(H:H))</f>
        <v>Rajasthan</v>
      </c>
      <c r="AE838" t="str">
        <f>TRIM(PROPER(I:I))</f>
        <v>Jaipur</v>
      </c>
      <c r="AF838" t="str">
        <f>TRIM(PROPER(J:J))</f>
        <v>Office Supplies</v>
      </c>
      <c r="AG838" t="str">
        <f>TRIM(PROPER(K:K))</f>
        <v>Labels</v>
      </c>
      <c r="AH838" t="str">
        <f>TRIM(PROPER(L:L))</f>
        <v>Smart Labels 814</v>
      </c>
      <c r="AI838" t="str">
        <f>TRIM(PROPER(M:M))</f>
        <v>Second Class</v>
      </c>
      <c r="AJ838" s="5">
        <f>IF(OR(P838&lt;0,P838&gt;0.5),"invalid",P838)</f>
        <v>0</v>
      </c>
      <c r="AK838" s="6">
        <f>IFERROR(N838*O838*(1-AJ838), "NA")</f>
        <v>1074.22</v>
      </c>
      <c r="AL838" s="6">
        <f>IFERROR(AK838-R838,"NA")</f>
        <v>223.36</v>
      </c>
      <c r="AM838" s="5">
        <f t="shared" si="65"/>
        <v>0.20792761259332354</v>
      </c>
      <c r="AN838" t="str">
        <v>15-12-24</v>
      </c>
      <c r="AO838" t="str">
        <v>18-12-24</v>
      </c>
      <c r="AP838" t="str">
        <f t="shared" si="66"/>
        <v>December</v>
      </c>
      <c r="AQ838" t="str">
        <f t="shared" si="67"/>
        <v>2024</v>
      </c>
      <c r="AR838" t="str">
        <f t="shared" si="68"/>
        <v xml:space="preserve"> </v>
      </c>
      <c r="AS838">
        <f t="shared" si="69"/>
        <v>3</v>
      </c>
      <c r="AT838" t="str">
        <f>IF(COUNTIFS( $A:$A,A838,$B:$B,B838,$C:$C,C838,$D:$D,D838,$E:$E,E838,$F:$F,F838,$G:$G,G838,$H:$H,H838,$I:$I,I838,$J:$J,J838,$K:$K,K838,$L:$L,L838,$M:$M,M838,$T:$T,T838,$U:$U,U838,$W:$W,W838,$Z:$Z,Z838,$AA:$AA,AA838,$AB:$AB,AB838,$AC:$AC,AC838,$AD:$AD,AD838,$AE:$AE,AE838,$AF:$AF,AF838,$AG:$AG,AG838,$AH:$AH,AH838,$AI:$AI,AI838)&gt;1,"Duplicate","Unique")</f>
        <v>Unique</v>
      </c>
    </row>
    <row r="839" spans="1:46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  <c r="W839" t="s">
        <v>3837</v>
      </c>
      <c r="Z839" t="s">
        <v>3839</v>
      </c>
      <c r="AA839" t="str">
        <v>Karan Malhotra</v>
      </c>
      <c r="AB839" t="str">
        <f>TRIM(PROPER(F:F))</f>
        <v>Home Office</v>
      </c>
      <c r="AC839" t="str">
        <f>TRIM(PROPER(G:G))</f>
        <v>West</v>
      </c>
      <c r="AD839" t="str">
        <f>TRIM(PROPER(H:H))</f>
        <v>Maharashtra</v>
      </c>
      <c r="AE839" t="str">
        <f>TRIM(PROPER(I:I))</f>
        <v>Mumbai</v>
      </c>
      <c r="AF839" t="str">
        <f>TRIM(PROPER(J:J))</f>
        <v>Office Supplies</v>
      </c>
      <c r="AG839" t="str">
        <f>TRIM(PROPER(K:K))</f>
        <v>Paper</v>
      </c>
      <c r="AH839" t="str">
        <f>TRIM(PROPER(L:L))</f>
        <v>Prime Paper 812</v>
      </c>
      <c r="AI839" t="str">
        <f>TRIM(PROPER(M:M))</f>
        <v>First Class</v>
      </c>
      <c r="AJ839" s="5">
        <f>IF(OR(P839&lt;0,P839&gt;0.5),"invalid",P839)</f>
        <v>0.25</v>
      </c>
      <c r="AK839" s="6">
        <f>IFERROR(N839*O839*(1-AJ839), "NA")</f>
        <v>9399.6674999999996</v>
      </c>
      <c r="AL839" s="6">
        <f>IFERROR(AK839-R839,"NA")</f>
        <v>2859.2974999999997</v>
      </c>
      <c r="AM839" s="5">
        <f t="shared" si="65"/>
        <v>0.30419134506619516</v>
      </c>
      <c r="AN839" t="str">
        <v>27-09-25</v>
      </c>
      <c r="AO839" t="str">
        <v>invalid date</v>
      </c>
      <c r="AP839" t="str">
        <f t="shared" si="66"/>
        <v>September</v>
      </c>
      <c r="AQ839" t="str">
        <f t="shared" si="67"/>
        <v>2025</v>
      </c>
      <c r="AR839" t="str">
        <f t="shared" si="68"/>
        <v>Invalid</v>
      </c>
      <c r="AS839" t="str">
        <f t="shared" si="69"/>
        <v>invalid date</v>
      </c>
      <c r="AT839" t="str">
        <f>IF(COUNTIFS( $A:$A,A839,$B:$B,B839,$C:$C,C839,$D:$D,D839,$E:$E,E839,$F:$F,F839,$G:$G,G839,$H:$H,H839,$I:$I,I839,$J:$J,J839,$K:$K,K839,$L:$L,L839,$M:$M,M839,$T:$T,T839,$U:$U,U839,$W:$W,W839,$Z:$Z,Z839,$AA:$AA,AA839,$AB:$AB,AB839,$AC:$AC,AC839,$AD:$AD,AD839,$AE:$AE,AE839,$AF:$AF,AF839,$AG:$AG,AG839,$AH:$AH,AH839,$AI:$AI,AI839)&gt;1,"Duplicate","Unique")</f>
        <v>Unique</v>
      </c>
    </row>
    <row r="840" spans="1:46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  <c r="W840" t="s">
        <v>3841</v>
      </c>
      <c r="Z840" t="s">
        <v>3843</v>
      </c>
      <c r="AA840" t="str">
        <v>Ananya Rao</v>
      </c>
      <c r="AB840" t="str">
        <f>TRIM(PROPER(F:F))</f>
        <v>Small Business</v>
      </c>
      <c r="AC840" t="str">
        <f>TRIM(PROPER(G:G))</f>
        <v>West</v>
      </c>
      <c r="AD840" t="str">
        <f>TRIM(PROPER(H:H))</f>
        <v>Goa</v>
      </c>
      <c r="AE840" t="str">
        <f>TRIM(PROPER(I:I))</f>
        <v>Panaji</v>
      </c>
      <c r="AF840" t="str">
        <f>TRIM(PROPER(J:J))</f>
        <v>Office Supplies</v>
      </c>
      <c r="AG840" t="str">
        <f>TRIM(PROPER(K:K))</f>
        <v>Paper</v>
      </c>
      <c r="AH840" t="str">
        <f>TRIM(PROPER(L:L))</f>
        <v>Pro Paper 355</v>
      </c>
      <c r="AI840" t="str">
        <f>TRIM(PROPER(M:M))</f>
        <v>Same Day</v>
      </c>
      <c r="AJ840" s="5">
        <f>IF(OR(P840&lt;0,P840&gt;0.5),"invalid",P840)</f>
        <v>0</v>
      </c>
      <c r="AK840" s="6">
        <f>IFERROR(N840*O840*(1-AJ840), "NA")</f>
        <v>1470.57</v>
      </c>
      <c r="AL840" s="6">
        <f>IFERROR(AK840-R840,"NA")</f>
        <v>636.54999999999995</v>
      </c>
      <c r="AM840" s="5">
        <f t="shared" si="65"/>
        <v>0.43285936745615644</v>
      </c>
      <c r="AN840" t="str">
        <v>04-03-25</v>
      </c>
      <c r="AO840" t="str">
        <v>07-04-25</v>
      </c>
      <c r="AP840" t="str">
        <f t="shared" si="66"/>
        <v>March</v>
      </c>
      <c r="AQ840" t="str">
        <f t="shared" si="67"/>
        <v>2025</v>
      </c>
      <c r="AR840" t="str">
        <f t="shared" si="68"/>
        <v xml:space="preserve"> </v>
      </c>
      <c r="AS840">
        <f t="shared" si="69"/>
        <v>34</v>
      </c>
      <c r="AT840" t="str">
        <f>IF(COUNTIFS( $A:$A,A840,$B:$B,B840,$C:$C,C840,$D:$D,D840,$E:$E,E840,$F:$F,F840,$G:$G,G840,$H:$H,H840,$I:$I,I840,$J:$J,J840,$K:$K,K840,$L:$L,L840,$M:$M,M840,$T:$T,T840,$U:$U,U840,$W:$W,W840,$Z:$Z,Z840,$AA:$AA,AA840,$AB:$AB,AB840,$AC:$AC,AC840,$AD:$AD,AD840,$AE:$AE,AE840,$AF:$AF,AF840,$AG:$AG,AG840,$AH:$AH,AH840,$AI:$AI,AI840)&gt;1,"Duplicate","Unique")</f>
        <v>Unique</v>
      </c>
    </row>
    <row r="841" spans="1:46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  <c r="W841" t="s">
        <v>3845</v>
      </c>
      <c r="Z841" t="s">
        <v>3848</v>
      </c>
      <c r="AA841" t="str">
        <v>Rohan Mehta</v>
      </c>
      <c r="AB841" t="str">
        <f>TRIM(PROPER(F:F))</f>
        <v>Home Office</v>
      </c>
      <c r="AC841" t="str">
        <f>TRIM(PROPER(G:G))</f>
        <v>East</v>
      </c>
      <c r="AD841" t="str">
        <f>TRIM(PROPER(H:H))</f>
        <v>Odisha</v>
      </c>
      <c r="AE841" t="str">
        <f>TRIM(PROPER(I:I))</f>
        <v>Bhubaneswar</v>
      </c>
      <c r="AF841" t="str">
        <f>TRIM(PROPER(J:J))</f>
        <v>Technology</v>
      </c>
      <c r="AG841" t="str">
        <f>TRIM(PROPER(K:K))</f>
        <v>Phones</v>
      </c>
      <c r="AH841" t="str">
        <f>TRIM(PROPER(L:L))</f>
        <v>Basic Phones 398</v>
      </c>
      <c r="AI841" t="str">
        <f>TRIM(PROPER(M:M))</f>
        <v>Standard Class</v>
      </c>
      <c r="AJ841" s="5">
        <f>IF(OR(P841&lt;0,P841&gt;0.5),"invalid",P841)</f>
        <v>0.1</v>
      </c>
      <c r="AK841" s="6">
        <f>IFERROR(N841*O841*(1-AJ841), "NA")</f>
        <v>3826.2959999999998</v>
      </c>
      <c r="AL841" s="6">
        <f>IFERROR(AK841-R841,"NA")</f>
        <v>1632.1759999999999</v>
      </c>
      <c r="AM841" s="5">
        <f t="shared" si="65"/>
        <v>0.42656814841298218</v>
      </c>
      <c r="AN841" t="str">
        <v>invalid date</v>
      </c>
      <c r="AO841" t="str">
        <v>22-09-24</v>
      </c>
      <c r="AP841" t="str">
        <f t="shared" si="66"/>
        <v>invalid date</v>
      </c>
      <c r="AQ841" t="str">
        <f t="shared" si="67"/>
        <v>invalid date</v>
      </c>
      <c r="AR841" t="str">
        <f t="shared" si="68"/>
        <v>Invalid</v>
      </c>
      <c r="AS841" t="str">
        <f t="shared" si="69"/>
        <v>invalid date</v>
      </c>
      <c r="AT841" t="str">
        <f>IF(COUNTIFS( $A:$A,A841,$B:$B,B841,$C:$C,C841,$D:$D,D841,$E:$E,E841,$F:$F,F841,$G:$G,G841,$H:$H,H841,$I:$I,I841,$J:$J,J841,$K:$K,K841,$L:$L,L841,$M:$M,M841,$T:$T,T841,$U:$U,U841,$W:$W,W841,$Z:$Z,Z841,$AA:$AA,AA841,$AB:$AB,AB841,$AC:$AC,AC841,$AD:$AD,AD841,$AE:$AE,AE841,$AF:$AF,AF841,$AG:$AG,AG841,$AH:$AH,AH841,$AI:$AI,AI841)&gt;1,"Duplicate","Unique")</f>
        <v>Unique</v>
      </c>
    </row>
    <row r="842" spans="1:46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  <c r="W842" t="s">
        <v>3850</v>
      </c>
      <c r="Z842" t="s">
        <v>3851</v>
      </c>
      <c r="AA842" t="str">
        <v>Neha Gupta</v>
      </c>
      <c r="AB842" t="str">
        <f>TRIM(PROPER(F:F))</f>
        <v>Home Office</v>
      </c>
      <c r="AC842" t="str">
        <f>TRIM(PROPER(G:G))</f>
        <v>North</v>
      </c>
      <c r="AD842" t="str">
        <f>TRIM(PROPER(H:H))</f>
        <v>Delhi</v>
      </c>
      <c r="AE842" t="str">
        <f>TRIM(PROPER(I:I))</f>
        <v>New Delhi</v>
      </c>
      <c r="AF842" t="str">
        <f>TRIM(PROPER(J:J))</f>
        <v>Furniture</v>
      </c>
      <c r="AG842" t="str">
        <f>TRIM(PROPER(K:K))</f>
        <v>Chairs</v>
      </c>
      <c r="AH842" t="str">
        <f>TRIM(PROPER(L:L))</f>
        <v>Classic Chairs 204</v>
      </c>
      <c r="AI842" t="str">
        <f>TRIM(PROPER(M:M))</f>
        <v>Same Day</v>
      </c>
      <c r="AJ842" s="5">
        <f>IF(OR(P842&lt;0,P842&gt;0.5),"invalid",P842)</f>
        <v>0</v>
      </c>
      <c r="AK842" s="6">
        <f>IFERROR(N842*O842*(1-AJ842), "NA")</f>
        <v>6336.44</v>
      </c>
      <c r="AL842" s="6">
        <f>IFERROR(AK842-R842,"NA")</f>
        <v>1655.7599999999993</v>
      </c>
      <c r="AM842" s="5">
        <f t="shared" si="65"/>
        <v>0.26130761121386764</v>
      </c>
      <c r="AN842" t="str">
        <v>19-09-25</v>
      </c>
      <c r="AO842" t="str">
        <v>19-09-25</v>
      </c>
      <c r="AP842" t="str">
        <f t="shared" si="66"/>
        <v>September</v>
      </c>
      <c r="AQ842" t="str">
        <f t="shared" si="67"/>
        <v>2025</v>
      </c>
      <c r="AR842" t="str">
        <f t="shared" si="68"/>
        <v xml:space="preserve"> </v>
      </c>
      <c r="AS842">
        <f t="shared" si="69"/>
        <v>0</v>
      </c>
      <c r="AT842" t="str">
        <f>IF(COUNTIFS( $A:$A,A842,$B:$B,B842,$C:$C,C842,$D:$D,D842,$E:$E,E842,$F:$F,F842,$G:$G,G842,$H:$H,H842,$I:$I,I842,$J:$J,J842,$K:$K,K842,$L:$L,L842,$M:$M,M842,$T:$T,T842,$U:$U,U842,$W:$W,W842,$Z:$Z,Z842,$AA:$AA,AA842,$AB:$AB,AB842,$AC:$AC,AC842,$AD:$AD,AD842,$AE:$AE,AE842,$AF:$AF,AF842,$AG:$AG,AG842,$AH:$AH,AH842,$AI:$AI,AI842)&gt;1,"Duplicate","Unique")</f>
        <v>Unique</v>
      </c>
    </row>
    <row r="843" spans="1:46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  <c r="W843" t="s">
        <v>3853</v>
      </c>
      <c r="Z843" t="s">
        <v>3856</v>
      </c>
      <c r="AA843" t="str">
        <v>Ananya Rao</v>
      </c>
      <c r="AB843" t="str">
        <f>TRIM(PROPER(F:F))</f>
        <v>Small Business</v>
      </c>
      <c r="AC843" t="str">
        <f>TRIM(PROPER(G:G))</f>
        <v>East</v>
      </c>
      <c r="AD843" t="str">
        <f>TRIM(PROPER(H:H))</f>
        <v>Bihar</v>
      </c>
      <c r="AE843" t="str">
        <f>TRIM(PROPER(I:I))</f>
        <v>Patna</v>
      </c>
      <c r="AF843" t="str">
        <f>TRIM(PROPER(J:J))</f>
        <v>Office Supplies</v>
      </c>
      <c r="AG843" t="str">
        <f>TRIM(PROPER(K:K))</f>
        <v>Art</v>
      </c>
      <c r="AH843" t="str">
        <f>TRIM(PROPER(L:L))</f>
        <v>Max Art 339</v>
      </c>
      <c r="AI843" t="str">
        <f>TRIM(PROPER(M:M))</f>
        <v>Standard Class</v>
      </c>
      <c r="AJ843" s="5">
        <f>IF(OR(P843&lt;0,P843&gt;0.5),"invalid",P843)</f>
        <v>0.25</v>
      </c>
      <c r="AK843" s="6">
        <f>IFERROR(N843*O843*(1-AJ843), "NA")</f>
        <v>21850.829999999998</v>
      </c>
      <c r="AL843" s="6">
        <f>IFERROR(AK843-R843,"NA")</f>
        <v>5250.6999999999971</v>
      </c>
      <c r="AM843" s="5">
        <f t="shared" si="65"/>
        <v>0.2402975081495759</v>
      </c>
      <c r="AN843" t="str">
        <v>06-02-25</v>
      </c>
      <c r="AO843" t="str">
        <v>12-02-25</v>
      </c>
      <c r="AP843" t="str">
        <f t="shared" si="66"/>
        <v>February</v>
      </c>
      <c r="AQ843" t="str">
        <f t="shared" si="67"/>
        <v>2025</v>
      </c>
      <c r="AR843" t="str">
        <f t="shared" si="68"/>
        <v xml:space="preserve"> </v>
      </c>
      <c r="AS843">
        <f t="shared" si="69"/>
        <v>6</v>
      </c>
      <c r="AT843" t="str">
        <f>IF(COUNTIFS( $A:$A,A843,$B:$B,B843,$C:$C,C843,$D:$D,D843,$E:$E,E843,$F:$F,F843,$G:$G,G843,$H:$H,H843,$I:$I,I843,$J:$J,J843,$K:$K,K843,$L:$L,L843,$M:$M,M843,$T:$T,T843,$U:$U,U843,$W:$W,W843,$Z:$Z,Z843,$AA:$AA,AA843,$AB:$AB,AB843,$AC:$AC,AC843,$AD:$AD,AD843,$AE:$AE,AE843,$AF:$AF,AF843,$AG:$AG,AG843,$AH:$AH,AH843,$AI:$AI,AI843)&gt;1,"Duplicate","Unique")</f>
        <v>Unique</v>
      </c>
    </row>
    <row r="844" spans="1:46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  <c r="W844" t="s">
        <v>3858</v>
      </c>
      <c r="Z844" t="s">
        <v>3861</v>
      </c>
      <c r="AA844" t="str">
        <v>kabir singh</v>
      </c>
      <c r="AB844" t="str">
        <f>TRIM(PROPER(F:F))</f>
        <v>Consumer</v>
      </c>
      <c r="AC844" t="str">
        <f>TRIM(PROPER(G:G))</f>
        <v>North</v>
      </c>
      <c r="AD844" t="str">
        <f>TRIM(PROPER(H:H))</f>
        <v>Haryana</v>
      </c>
      <c r="AE844" t="str">
        <f>TRIM(PROPER(I:I))</f>
        <v>Gurugram</v>
      </c>
      <c r="AF844" t="str">
        <f>TRIM(PROPER(J:J))</f>
        <v>Technology</v>
      </c>
      <c r="AG844" t="str">
        <f>TRIM(PROPER(K:K))</f>
        <v>Machines</v>
      </c>
      <c r="AH844" t="str">
        <f>TRIM(PROPER(L:L))</f>
        <v>Smart Machines 581</v>
      </c>
      <c r="AI844" t="str">
        <f>TRIM(PROPER(M:M))</f>
        <v>First Class</v>
      </c>
      <c r="AJ844" s="5">
        <f>IF(OR(P844&lt;0,P844&gt;0.5),"invalid",P844)</f>
        <v>0.15</v>
      </c>
      <c r="AK844" s="6">
        <f>IFERROR(N844*O844*(1-AJ844), "NA")</f>
        <v>7453.0719999999992</v>
      </c>
      <c r="AL844" s="6">
        <f>IFERROR(AK844-R844,"NA")</f>
        <v>2319.2919999999995</v>
      </c>
      <c r="AM844" s="5">
        <f t="shared" si="65"/>
        <v>0.31118604516365866</v>
      </c>
      <c r="AN844" t="str">
        <v>31-03-24</v>
      </c>
      <c r="AO844" t="str">
        <v>invalid date</v>
      </c>
      <c r="AP844" t="str">
        <f t="shared" si="66"/>
        <v>March</v>
      </c>
      <c r="AQ844" t="str">
        <f t="shared" si="67"/>
        <v>2024</v>
      </c>
      <c r="AR844" t="str">
        <f t="shared" si="68"/>
        <v>Invalid</v>
      </c>
      <c r="AS844" t="str">
        <f t="shared" si="69"/>
        <v>invalid date</v>
      </c>
      <c r="AT844" t="str">
        <f>IF(COUNTIFS( $A:$A,A844,$B:$B,B844,$C:$C,C844,$D:$D,D844,$E:$E,E844,$F:$F,F844,$G:$G,G844,$H:$H,H844,$I:$I,I844,$J:$J,J844,$K:$K,K844,$L:$L,L844,$M:$M,M844,$T:$T,T844,$U:$U,U844,$W:$W,W844,$Z:$Z,Z844,$AA:$AA,AA844,$AB:$AB,AB844,$AC:$AC,AC844,$AD:$AD,AD844,$AE:$AE,AE844,$AF:$AF,AF844,$AG:$AG,AG844,$AH:$AH,AH844,$AI:$AI,AI844)&gt;1,"Duplicate","Unique")</f>
        <v>Unique</v>
      </c>
    </row>
    <row r="845" spans="1:46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  <c r="W845" t="s">
        <v>3864</v>
      </c>
      <c r="Z845" t="s">
        <v>3866</v>
      </c>
      <c r="AA845" t="str">
        <v>Priya Menon</v>
      </c>
      <c r="AB845" t="str">
        <f>TRIM(PROPER(F:F))</f>
        <v>Small Business</v>
      </c>
      <c r="AC845" t="str">
        <f>TRIM(PROPER(G:G))</f>
        <v>North</v>
      </c>
      <c r="AD845" t="str">
        <f>TRIM(PROPER(H:H))</f>
        <v>Uttar Pradesh</v>
      </c>
      <c r="AE845" t="str">
        <f>TRIM(PROPER(I:I))</f>
        <v>Noida</v>
      </c>
      <c r="AF845" t="str">
        <f>TRIM(PROPER(J:J))</f>
        <v>Technology</v>
      </c>
      <c r="AG845" t="str">
        <f>TRIM(PROPER(K:K))</f>
        <v>Phones</v>
      </c>
      <c r="AH845" t="str">
        <f>TRIM(PROPER(L:L))</f>
        <v>Prime Phones 482</v>
      </c>
      <c r="AI845" t="str">
        <f>TRIM(PROPER(M:M))</f>
        <v>First Class</v>
      </c>
      <c r="AJ845" s="5" t="str">
        <f>IF(OR(P845&lt;0,P845&gt;0.5),"invalid",P845)</f>
        <v>invalid</v>
      </c>
      <c r="AK845" s="6" t="str">
        <f>IFERROR(N845*O845*(1-AJ845), "NA")</f>
        <v>NA</v>
      </c>
      <c r="AL845" s="6" t="str">
        <f>IFERROR(AK845-R845,"NA")</f>
        <v>NA</v>
      </c>
      <c r="AM845" s="5" t="str">
        <f t="shared" si="65"/>
        <v>NA</v>
      </c>
      <c r="AN845" t="str">
        <v>18-07-25</v>
      </c>
      <c r="AO845" t="str">
        <v>25-07-25</v>
      </c>
      <c r="AP845" t="str">
        <f t="shared" si="66"/>
        <v>July</v>
      </c>
      <c r="AQ845" t="str">
        <f t="shared" si="67"/>
        <v>2025</v>
      </c>
      <c r="AR845" t="str">
        <f t="shared" si="68"/>
        <v xml:space="preserve"> </v>
      </c>
      <c r="AS845">
        <f t="shared" si="69"/>
        <v>7</v>
      </c>
      <c r="AT845" t="str">
        <f>IF(COUNTIFS( $A:$A,A845,$B:$B,B845,$C:$C,C845,$D:$D,D845,$E:$E,E845,$F:$F,F845,$G:$G,G845,$H:$H,H845,$I:$I,I845,$J:$J,J845,$K:$K,K845,$L:$L,L845,$M:$M,M845,$T:$T,T845,$U:$U,U845,$W:$W,W845,$Z:$Z,Z845,$AA:$AA,AA845,$AB:$AB,AB845,$AC:$AC,AC845,$AD:$AD,AD845,$AE:$AE,AE845,$AF:$AF,AF845,$AG:$AG,AG845,$AH:$AH,AH845,$AI:$AI,AI845)&gt;1,"Duplicate","Unique")</f>
        <v>Unique</v>
      </c>
    </row>
    <row r="846" spans="1:46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  <c r="W846" t="s">
        <v>3868</v>
      </c>
      <c r="Z846" t="s">
        <v>3871</v>
      </c>
      <c r="AA846" t="str">
        <v>Aditi Sen</v>
      </c>
      <c r="AB846" t="str">
        <f>TRIM(PROPER(F:F))</f>
        <v>Home Office</v>
      </c>
      <c r="AC846" t="str">
        <f>TRIM(PROPER(G:G))</f>
        <v>West</v>
      </c>
      <c r="AD846" t="str">
        <f>TRIM(PROPER(H:H))</f>
        <v>Goa</v>
      </c>
      <c r="AE846" t="str">
        <f>TRIM(PROPER(I:I))</f>
        <v>Panaji</v>
      </c>
      <c r="AF846" t="str">
        <f>TRIM(PROPER(J:J))</f>
        <v>Office Supplies</v>
      </c>
      <c r="AG846" t="str">
        <f>TRIM(PROPER(K:K))</f>
        <v>Art</v>
      </c>
      <c r="AH846" t="str">
        <f>TRIM(PROPER(L:L))</f>
        <v>Pro Art 588</v>
      </c>
      <c r="AI846" t="str">
        <f>TRIM(PROPER(M:M))</f>
        <v>First Class</v>
      </c>
      <c r="AJ846" s="5">
        <f>IF(OR(P846&lt;0,P846&gt;0.5),"invalid",P846)</f>
        <v>0</v>
      </c>
      <c r="AK846" s="6">
        <f>IFERROR(N846*O846*(1-AJ846), "NA")</f>
        <v>3515.15</v>
      </c>
      <c r="AL846" s="6">
        <f>IFERROR(AK846-R846,"NA")</f>
        <v>1298.81</v>
      </c>
      <c r="AM846" s="5">
        <f t="shared" si="65"/>
        <v>0.36948921098672882</v>
      </c>
      <c r="AN846" t="str">
        <v>20-01-25</v>
      </c>
      <c r="AO846" t="str">
        <v>25-01-25</v>
      </c>
      <c r="AP846" t="str">
        <f t="shared" si="66"/>
        <v>January</v>
      </c>
      <c r="AQ846" t="str">
        <f t="shared" si="67"/>
        <v>2025</v>
      </c>
      <c r="AR846" t="str">
        <f t="shared" si="68"/>
        <v xml:space="preserve"> </v>
      </c>
      <c r="AS846">
        <f t="shared" si="69"/>
        <v>5</v>
      </c>
      <c r="AT846" t="str">
        <f>IF(COUNTIFS( $A:$A,A846,$B:$B,B846,$C:$C,C846,$D:$D,D846,$E:$E,E846,$F:$F,F846,$G:$G,G846,$H:$H,H846,$I:$I,I846,$J:$J,J846,$K:$K,K846,$L:$L,L846,$M:$M,M846,$T:$T,T846,$U:$U,U846,$W:$W,W846,$Z:$Z,Z846,$AA:$AA,AA846,$AB:$AB,AB846,$AC:$AC,AC846,$AD:$AD,AD846,$AE:$AE,AE846,$AF:$AF,AF846,$AG:$AG,AG846,$AH:$AH,AH846,$AI:$AI,AI846)&gt;1,"Duplicate","Unique")</f>
        <v>Unique</v>
      </c>
    </row>
    <row r="847" spans="1:46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  <c r="W847" t="s">
        <v>3873</v>
      </c>
      <c r="Z847" t="s">
        <v>893</v>
      </c>
      <c r="AA847" t="str">
        <v>Karan Malhotra</v>
      </c>
      <c r="AB847" t="str">
        <f>TRIM(PROPER(F:F))</f>
        <v>Consumer</v>
      </c>
      <c r="AC847" t="str">
        <f>TRIM(PROPER(G:G))</f>
        <v>East</v>
      </c>
      <c r="AD847" t="str">
        <f>TRIM(PROPER(H:H))</f>
        <v>Odisha</v>
      </c>
      <c r="AE847" t="str">
        <f>TRIM(PROPER(I:I))</f>
        <v>Bhubaneswar</v>
      </c>
      <c r="AF847" t="str">
        <f>TRIM(PROPER(J:J))</f>
        <v>Furniture</v>
      </c>
      <c r="AG847" t="str">
        <f>TRIM(PROPER(K:K))</f>
        <v>Tables</v>
      </c>
      <c r="AH847" t="str">
        <f>TRIM(PROPER(L:L))</f>
        <v>Eco Tables 792</v>
      </c>
      <c r="AI847" t="str">
        <f>TRIM(PROPER(M:M))</f>
        <v>First Class</v>
      </c>
      <c r="AJ847" s="5">
        <f>IF(OR(P847&lt;0,P847&gt;0.5),"invalid",P847)</f>
        <v>0.25</v>
      </c>
      <c r="AK847" s="6">
        <f>IFERROR(N847*O847*(1-AJ847), "NA")</f>
        <v>24409.552499999998</v>
      </c>
      <c r="AL847" s="6">
        <f>IFERROR(AK847-R847,"NA")</f>
        <v>7251.9724999999962</v>
      </c>
      <c r="AM847" s="5">
        <f t="shared" si="65"/>
        <v>0.29709567596538267</v>
      </c>
      <c r="AN847" t="str">
        <v>23-02-24</v>
      </c>
      <c r="AO847" t="str">
        <v>27-02-24</v>
      </c>
      <c r="AP847" t="str">
        <f t="shared" si="66"/>
        <v>February</v>
      </c>
      <c r="AQ847" t="str">
        <f t="shared" si="67"/>
        <v>2024</v>
      </c>
      <c r="AR847" t="str">
        <f t="shared" si="68"/>
        <v xml:space="preserve"> </v>
      </c>
      <c r="AS847">
        <f t="shared" si="69"/>
        <v>4</v>
      </c>
      <c r="AT847" t="str">
        <f>IF(COUNTIFS( $A:$A,A847,$B:$B,B847,$C:$C,C847,$D:$D,D847,$E:$E,E847,$F:$F,F847,$G:$G,G847,$H:$H,H847,$I:$I,I847,$J:$J,J847,$K:$K,K847,$L:$L,L847,$M:$M,M847,$T:$T,T847,$U:$U,U847,$W:$W,W847,$Z:$Z,Z847,$AA:$AA,AA847,$AB:$AB,AB847,$AC:$AC,AC847,$AD:$AD,AD847,$AE:$AE,AE847,$AF:$AF,AF847,$AG:$AG,AG847,$AH:$AH,AH847,$AI:$AI,AI847)&gt;1,"Duplicate","Unique")</f>
        <v>Unique</v>
      </c>
    </row>
    <row r="848" spans="1:46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  <c r="W848" t="s">
        <v>3876</v>
      </c>
      <c r="Z848" t="s">
        <v>3879</v>
      </c>
      <c r="AA848" t="str">
        <v>Priya Menon</v>
      </c>
      <c r="AB848" t="str">
        <f>TRIM(PROPER(F:F))</f>
        <v>Small Business</v>
      </c>
      <c r="AC848" t="str">
        <f>TRIM(PROPER(G:G))</f>
        <v>West</v>
      </c>
      <c r="AD848" t="str">
        <f>TRIM(PROPER(H:H))</f>
        <v>Gujarat</v>
      </c>
      <c r="AE848" t="str">
        <f>TRIM(PROPER(I:I))</f>
        <v>Ahmedabad</v>
      </c>
      <c r="AF848" t="str">
        <f>TRIM(PROPER(J:J))</f>
        <v>Furniture</v>
      </c>
      <c r="AG848" t="str">
        <f>TRIM(PROPER(K:K))</f>
        <v>Bookcases</v>
      </c>
      <c r="AH848" t="str">
        <f>TRIM(PROPER(L:L))</f>
        <v>Prime Bookcases 177</v>
      </c>
      <c r="AI848" t="str">
        <f>TRIM(PROPER(M:M))</f>
        <v>Standard Class</v>
      </c>
      <c r="AJ848" s="5">
        <f>IF(OR(P848&lt;0,P848&gt;0.5),"invalid",P848)</f>
        <v>0</v>
      </c>
      <c r="AK848" s="6">
        <f>IFERROR(N848*O848*(1-AJ848), "NA")</f>
        <v>7955.04</v>
      </c>
      <c r="AL848" s="6">
        <f>IFERROR(AK848-R848,"NA")</f>
        <v>2374.3599999999997</v>
      </c>
      <c r="AM848" s="5">
        <f t="shared" si="65"/>
        <v>0.29847241497214339</v>
      </c>
      <c r="AN848" t="str">
        <v>14-04-24</v>
      </c>
      <c r="AO848" t="str">
        <v>22-04-24</v>
      </c>
      <c r="AP848" t="str">
        <f t="shared" si="66"/>
        <v>April</v>
      </c>
      <c r="AQ848" t="str">
        <f t="shared" si="67"/>
        <v>2024</v>
      </c>
      <c r="AR848" t="str">
        <f t="shared" si="68"/>
        <v xml:space="preserve"> </v>
      </c>
      <c r="AS848">
        <f t="shared" si="69"/>
        <v>8</v>
      </c>
      <c r="AT848" t="str">
        <f>IF(COUNTIFS( $A:$A,A848,$B:$B,B848,$C:$C,C848,$D:$D,D848,$E:$E,E848,$F:$F,F848,$G:$G,G848,$H:$H,H848,$I:$I,I848,$J:$J,J848,$K:$K,K848,$L:$L,L848,$M:$M,M848,$T:$T,T848,$U:$U,U848,$W:$W,W848,$Z:$Z,Z848,$AA:$AA,AA848,$AB:$AB,AB848,$AC:$AC,AC848,$AD:$AD,AD848,$AE:$AE,AE848,$AF:$AF,AF848,$AG:$AG,AG848,$AH:$AH,AH848,$AI:$AI,AI848)&gt;1,"Duplicate","Unique")</f>
        <v>Unique</v>
      </c>
    </row>
    <row r="849" spans="1:46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  <c r="W849" t="s">
        <v>3881</v>
      </c>
      <c r="Z849" t="s">
        <v>3884</v>
      </c>
      <c r="AA849" t="str">
        <v>Diya Patel</v>
      </c>
      <c r="AB849" t="str">
        <f>TRIM(PROPER(F:F))</f>
        <v>Home Office</v>
      </c>
      <c r="AC849" t="str">
        <f>TRIM(PROPER(G:G))</f>
        <v>East</v>
      </c>
      <c r="AD849" t="str">
        <f>TRIM(PROPER(H:H))</f>
        <v>Odisha</v>
      </c>
      <c r="AE849" t="str">
        <f>TRIM(PROPER(I:I))</f>
        <v>Bhubaneswar</v>
      </c>
      <c r="AF849" t="str">
        <f>TRIM(PROPER(J:J))</f>
        <v>Furniture</v>
      </c>
      <c r="AG849" t="str">
        <f>TRIM(PROPER(K:K))</f>
        <v>Tables</v>
      </c>
      <c r="AH849" t="str">
        <f>TRIM(PROPER(L:L))</f>
        <v>Pro Tables 828</v>
      </c>
      <c r="AI849" t="str">
        <f>TRIM(PROPER(M:M))</f>
        <v>Second Class</v>
      </c>
      <c r="AJ849" s="5">
        <f>IF(OR(P849&lt;0,P849&gt;0.5),"invalid",P849)</f>
        <v>0.2</v>
      </c>
      <c r="AK849" s="6">
        <f>IFERROR(N849*O849*(1-AJ849), "NA")</f>
        <v>336.12800000000004</v>
      </c>
      <c r="AL849" s="6">
        <f>IFERROR(AK849-R849,"NA")</f>
        <v>93.938000000000045</v>
      </c>
      <c r="AM849" s="5">
        <f t="shared" si="65"/>
        <v>0.27947091584158423</v>
      </c>
      <c r="AN849" t="str">
        <v>20-05-25</v>
      </c>
      <c r="AO849" t="str">
        <v>invalid date</v>
      </c>
      <c r="AP849" t="str">
        <f t="shared" si="66"/>
        <v>May</v>
      </c>
      <c r="AQ849" t="str">
        <f t="shared" si="67"/>
        <v>2025</v>
      </c>
      <c r="AR849" t="str">
        <f t="shared" si="68"/>
        <v>Invalid</v>
      </c>
      <c r="AS849" t="str">
        <f t="shared" si="69"/>
        <v>invalid date</v>
      </c>
      <c r="AT849" t="str">
        <f>IF(COUNTIFS( $A:$A,A849,$B:$B,B849,$C:$C,C849,$D:$D,D849,$E:$E,E849,$F:$F,F849,$G:$G,G849,$H:$H,H849,$I:$I,I849,$J:$J,J849,$K:$K,K849,$L:$L,L849,$M:$M,M849,$T:$T,T849,$U:$U,U849,$W:$W,W849,$Z:$Z,Z849,$AA:$AA,AA849,$AB:$AB,AB849,$AC:$AC,AC849,$AD:$AD,AD849,$AE:$AE,AE849,$AF:$AF,AF849,$AG:$AG,AG849,$AH:$AH,AH849,$AI:$AI,AI849)&gt;1,"Duplicate","Unique")</f>
        <v>Unique</v>
      </c>
    </row>
    <row r="850" spans="1:46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  <c r="W850" t="s">
        <v>3886</v>
      </c>
      <c r="Z850" t="s">
        <v>3888</v>
      </c>
      <c r="AA850" t="str">
        <v>Rahul Verma</v>
      </c>
      <c r="AB850" t="str">
        <f>TRIM(PROPER(F:F))</f>
        <v>Home Office</v>
      </c>
      <c r="AC850" t="str">
        <f>TRIM(PROPER(G:G))</f>
        <v>South</v>
      </c>
      <c r="AD850" t="str">
        <f>TRIM(PROPER(H:H))</f>
        <v>Tamil Nadu</v>
      </c>
      <c r="AE850" t="str">
        <f>TRIM(PROPER(I:I))</f>
        <v>Chennai</v>
      </c>
      <c r="AF850" t="str">
        <f>TRIM(PROPER(J:J))</f>
        <v>Furniture</v>
      </c>
      <c r="AG850" t="str">
        <f>TRIM(PROPER(K:K))</f>
        <v>Furnishings</v>
      </c>
      <c r="AH850" t="str">
        <f>TRIM(PROPER(L:L))</f>
        <v>Elite Furnishings 480</v>
      </c>
      <c r="AI850" t="str">
        <f>TRIM(PROPER(M:M))</f>
        <v>Second Class</v>
      </c>
      <c r="AJ850" s="5">
        <f>IF(OR(P850&lt;0,P850&gt;0.5),"invalid",P850)</f>
        <v>0.25</v>
      </c>
      <c r="AK850" s="6">
        <f>IFERROR(N850*O850*(1-AJ850), "NA")</f>
        <v>1308.2624999999998</v>
      </c>
      <c r="AL850" s="6">
        <f>IFERROR(AK850-R850,"NA")</f>
        <v>224.70249999999987</v>
      </c>
      <c r="AM850" s="5">
        <f t="shared" si="65"/>
        <v>0.17175643267310645</v>
      </c>
      <c r="AN850" t="str">
        <v>27-05-25</v>
      </c>
      <c r="AO850" t="str">
        <v>29-05-25</v>
      </c>
      <c r="AP850" t="str">
        <f t="shared" si="66"/>
        <v>May</v>
      </c>
      <c r="AQ850" t="str">
        <f t="shared" si="67"/>
        <v>2025</v>
      </c>
      <c r="AR850" t="str">
        <f t="shared" si="68"/>
        <v xml:space="preserve"> </v>
      </c>
      <c r="AS850">
        <f t="shared" si="69"/>
        <v>2</v>
      </c>
      <c r="AT850" t="str">
        <f>IF(COUNTIFS( $A:$A,A850,$B:$B,B850,$C:$C,C850,$D:$D,D850,$E:$E,E850,$F:$F,F850,$G:$G,G850,$H:$H,H850,$I:$I,I850,$J:$J,J850,$K:$K,K850,$L:$L,L850,$M:$M,M850,$T:$T,T850,$U:$U,U850,$W:$W,W850,$Z:$Z,Z850,$AA:$AA,AA850,$AB:$AB,AB850,$AC:$AC,AC850,$AD:$AD,AD850,$AE:$AE,AE850,$AF:$AF,AF850,$AG:$AG,AG850,$AH:$AH,AH850,$AI:$AI,AI850)&gt;1,"Duplicate","Unique")</f>
        <v>Unique</v>
      </c>
    </row>
    <row r="851" spans="1:46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  <c r="W851" t="s">
        <v>3890</v>
      </c>
      <c r="Z851" t="s">
        <v>3892</v>
      </c>
      <c r="AA851" t="str">
        <v>Isha Nair</v>
      </c>
      <c r="AB851" t="str">
        <f>TRIM(PROPER(F:F))</f>
        <v>Home Office</v>
      </c>
      <c r="AC851" t="str">
        <f>TRIM(PROPER(G:G))</f>
        <v>West</v>
      </c>
      <c r="AD851" t="str">
        <f>TRIM(PROPER(H:H))</f>
        <v>Gujarat</v>
      </c>
      <c r="AE851" t="str">
        <f>TRIM(PROPER(I:I))</f>
        <v>Ahmedabad</v>
      </c>
      <c r="AF851" t="str">
        <f>TRIM(PROPER(J:J))</f>
        <v>Furniture</v>
      </c>
      <c r="AG851" t="str">
        <f>TRIM(PROPER(K:K))</f>
        <v>Bookcases</v>
      </c>
      <c r="AH851" t="str">
        <f>TRIM(PROPER(L:L))</f>
        <v>Prime Bookcases 755</v>
      </c>
      <c r="AI851" t="str">
        <f>TRIM(PROPER(M:M))</f>
        <v>Standard Class</v>
      </c>
      <c r="AJ851" s="5">
        <f>IF(OR(P851&lt;0,P851&gt;0.5),"invalid",P851)</f>
        <v>0.2</v>
      </c>
      <c r="AK851" s="6">
        <f>IFERROR(N851*O851*(1-AJ851), "NA")</f>
        <v>1631.1120000000001</v>
      </c>
      <c r="AL851" s="6">
        <f>IFERROR(AK851-R851,"NA")</f>
        <v>732.38200000000006</v>
      </c>
      <c r="AM851" s="5">
        <f t="shared" si="65"/>
        <v>0.44900779345624336</v>
      </c>
      <c r="AN851" t="str">
        <v>06-03-24</v>
      </c>
      <c r="AO851" t="str">
        <v>12-03-24</v>
      </c>
      <c r="AP851" t="str">
        <f t="shared" si="66"/>
        <v>March</v>
      </c>
      <c r="AQ851" t="str">
        <f t="shared" si="67"/>
        <v>2024</v>
      </c>
      <c r="AR851" t="str">
        <f t="shared" si="68"/>
        <v xml:space="preserve"> </v>
      </c>
      <c r="AS851">
        <f t="shared" si="69"/>
        <v>6</v>
      </c>
      <c r="AT851" t="str">
        <f>IF(COUNTIFS( $A:$A,A851,$B:$B,B851,$C:$C,C851,$D:$D,D851,$E:$E,E851,$F:$F,F851,$G:$G,G851,$H:$H,H851,$I:$I,I851,$J:$J,J851,$K:$K,K851,$L:$L,L851,$M:$M,M851,$T:$T,T851,$U:$U,U851,$W:$W,W851,$Z:$Z,Z851,$AA:$AA,AA851,$AB:$AB,AB851,$AC:$AC,AC851,$AD:$AD,AD851,$AE:$AE,AE851,$AF:$AF,AF851,$AG:$AG,AG851,$AH:$AH,AH851,$AI:$AI,AI851)&gt;1,"Duplicate","Unique")</f>
        <v>Unique</v>
      </c>
    </row>
    <row r="852" spans="1:46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  <c r="W852" t="s">
        <v>3894</v>
      </c>
      <c r="Z852" t="s">
        <v>3895</v>
      </c>
      <c r="AA852" t="str">
        <v>Priya Menon</v>
      </c>
      <c r="AB852" t="str">
        <f>TRIM(PROPER(F:F))</f>
        <v>Home Office</v>
      </c>
      <c r="AC852" t="str">
        <f>TRIM(PROPER(G:G))</f>
        <v>East</v>
      </c>
      <c r="AD852" t="str">
        <f>TRIM(PROPER(H:H))</f>
        <v>West Bengal</v>
      </c>
      <c r="AE852" t="str">
        <f>TRIM(PROPER(I:I))</f>
        <v>Kolkata</v>
      </c>
      <c r="AF852" t="str">
        <f>TRIM(PROPER(J:J))</f>
        <v>Office Supplies</v>
      </c>
      <c r="AG852" t="str">
        <f>TRIM(PROPER(K:K))</f>
        <v>Paper</v>
      </c>
      <c r="AH852" t="str">
        <f>TRIM(PROPER(L:L))</f>
        <v>Prime Paper 317</v>
      </c>
      <c r="AI852" t="str">
        <f>TRIM(PROPER(M:M))</f>
        <v>First Class</v>
      </c>
      <c r="AJ852" s="5">
        <f>IF(OR(P852&lt;0,P852&gt;0.5),"invalid",P852)</f>
        <v>0</v>
      </c>
      <c r="AK852" s="6">
        <f>IFERROR(N852*O852*(1-AJ852), "NA")</f>
        <v>7266.0599999999995</v>
      </c>
      <c r="AL852" s="6">
        <f>IFERROR(AK852-R852,"NA")</f>
        <v>1049.1699999999992</v>
      </c>
      <c r="AM852" s="5">
        <f t="shared" si="65"/>
        <v>0.14439324750965438</v>
      </c>
      <c r="AN852" t="str">
        <v>30-06-24</v>
      </c>
      <c r="AO852" t="str">
        <v>03-07-24</v>
      </c>
      <c r="AP852" t="str">
        <f t="shared" si="66"/>
        <v>June</v>
      </c>
      <c r="AQ852" t="str">
        <f t="shared" si="67"/>
        <v>2024</v>
      </c>
      <c r="AR852" t="str">
        <f t="shared" si="68"/>
        <v>anomaly</v>
      </c>
      <c r="AS852">
        <f t="shared" si="69"/>
        <v>3</v>
      </c>
      <c r="AT852" t="str">
        <f>IF(COUNTIFS( $A:$A,A852,$B:$B,B852,$C:$C,C852,$D:$D,D852,$E:$E,E852,$F:$F,F852,$G:$G,G852,$H:$H,H852,$I:$I,I852,$J:$J,J852,$K:$K,K852,$L:$L,L852,$M:$M,M852,$T:$T,T852,$U:$U,U852,$W:$W,W852,$Z:$Z,Z852,$AA:$AA,AA852,$AB:$AB,AB852,$AC:$AC,AC852,$AD:$AD,AD852,$AE:$AE,AE852,$AF:$AF,AF852,$AG:$AG,AG852,$AH:$AH,AH852,$AI:$AI,AI852)&gt;1,"Duplicate","Unique")</f>
        <v>Unique</v>
      </c>
    </row>
    <row r="853" spans="1:46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  <c r="W853" t="s">
        <v>3897</v>
      </c>
      <c r="Z853" t="s">
        <v>3898</v>
      </c>
      <c r="AA853" t="str">
        <v>Karan Malhotra</v>
      </c>
      <c r="AB853" t="str">
        <f>TRIM(PROPER(F:F))</f>
        <v>Small Business</v>
      </c>
      <c r="AC853" t="str">
        <f>TRIM(PROPER(G:G))</f>
        <v>West</v>
      </c>
      <c r="AD853" t="str">
        <f>TRIM(PROPER(H:H))</f>
        <v>Gujarat</v>
      </c>
      <c r="AE853" t="str">
        <f>TRIM(PROPER(I:I))</f>
        <v>Ahmedabad</v>
      </c>
      <c r="AF853" t="str">
        <f>TRIM(PROPER(J:J))</f>
        <v>Technology</v>
      </c>
      <c r="AG853" t="str">
        <f>TRIM(PROPER(K:K))</f>
        <v>Accessories</v>
      </c>
      <c r="AH853" t="str">
        <f>TRIM(PROPER(L:L))</f>
        <v>Classic Accessories 933</v>
      </c>
      <c r="AI853" t="str">
        <f>TRIM(PROPER(M:M))</f>
        <v>First Class</v>
      </c>
      <c r="AJ853" s="5">
        <f>IF(OR(P853&lt;0,P853&gt;0.5),"invalid",P853)</f>
        <v>0.2</v>
      </c>
      <c r="AK853" s="6">
        <f>IFERROR(N853*O853*(1-AJ853), "NA")</f>
        <v>1858.08</v>
      </c>
      <c r="AL853" s="6">
        <f>IFERROR(AK853-R853,"NA")</f>
        <v>267.32999999999993</v>
      </c>
      <c r="AM853" s="5">
        <f t="shared" si="65"/>
        <v>0.14387432188065097</v>
      </c>
      <c r="AN853" t="str">
        <v>26-03-24</v>
      </c>
      <c r="AO853" t="str">
        <v>01-04-24</v>
      </c>
      <c r="AP853" t="str">
        <f t="shared" si="66"/>
        <v>March</v>
      </c>
      <c r="AQ853" t="str">
        <f t="shared" si="67"/>
        <v>2024</v>
      </c>
      <c r="AR853" t="str">
        <f t="shared" si="68"/>
        <v>anomaly</v>
      </c>
      <c r="AS853">
        <f t="shared" si="69"/>
        <v>6</v>
      </c>
      <c r="AT853" t="str">
        <f>IF(COUNTIFS( $A:$A,A853,$B:$B,B853,$C:$C,C853,$D:$D,D853,$E:$E,E853,$F:$F,F853,$G:$G,G853,$H:$H,H853,$I:$I,I853,$J:$J,J853,$K:$K,K853,$L:$L,L853,$M:$M,M853,$T:$T,T853,$U:$U,U853,$W:$W,W853,$Z:$Z,Z853,$AA:$AA,AA853,$AB:$AB,AB853,$AC:$AC,AC853,$AD:$AD,AD853,$AE:$AE,AE853,$AF:$AF,AF853,$AG:$AG,AG853,$AH:$AH,AH853,$AI:$AI,AI853)&gt;1,"Duplicate","Unique")</f>
        <v>Unique</v>
      </c>
    </row>
    <row r="854" spans="1:46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  <c r="W854" t="s">
        <v>3900</v>
      </c>
      <c r="Z854" t="s">
        <v>3902</v>
      </c>
      <c r="AA854" t="str">
        <v>Ananya Rao</v>
      </c>
      <c r="AB854" t="str">
        <f>TRIM(PROPER(F:F))</f>
        <v>Consumer</v>
      </c>
      <c r="AC854" t="str">
        <f>TRIM(PROPER(G:G))</f>
        <v>East</v>
      </c>
      <c r="AD854" t="str">
        <f>TRIM(PROPER(H:H))</f>
        <v>Assam</v>
      </c>
      <c r="AE854" t="str">
        <f>TRIM(PROPER(I:I))</f>
        <v>Guwahati</v>
      </c>
      <c r="AF854" t="str">
        <f>TRIM(PROPER(J:J))</f>
        <v>Furniture</v>
      </c>
      <c r="AG854" t="str">
        <f>TRIM(PROPER(K:K))</f>
        <v>Tables</v>
      </c>
      <c r="AH854" t="str">
        <f>TRIM(PROPER(L:L))</f>
        <v>Smart Tables 513</v>
      </c>
      <c r="AI854" t="str">
        <f>TRIM(PROPER(M:M))</f>
        <v>Second Class</v>
      </c>
      <c r="AJ854" s="5">
        <f>IF(OR(P854&lt;0,P854&gt;0.5),"invalid",P854)</f>
        <v>0.15</v>
      </c>
      <c r="AK854" s="6">
        <f>IFERROR(N854*O854*(1-AJ854), "NA")</f>
        <v>25021.832500000004</v>
      </c>
      <c r="AL854" s="6">
        <f>IFERROR(AK854-R854,"NA")</f>
        <v>9477.3925000000036</v>
      </c>
      <c r="AM854" s="5">
        <f t="shared" si="65"/>
        <v>0.37876492459135447</v>
      </c>
      <c r="AN854" t="str">
        <v>01-04-24</v>
      </c>
      <c r="AO854" t="str">
        <v>08-04-24</v>
      </c>
      <c r="AP854" t="str">
        <f t="shared" si="66"/>
        <v>April</v>
      </c>
      <c r="AQ854" t="str">
        <f t="shared" si="67"/>
        <v>2024</v>
      </c>
      <c r="AR854" t="str">
        <f t="shared" si="68"/>
        <v xml:space="preserve"> </v>
      </c>
      <c r="AS854">
        <f t="shared" si="69"/>
        <v>7</v>
      </c>
      <c r="AT854" t="str">
        <f>IF(COUNTIFS( $A:$A,A854,$B:$B,B854,$C:$C,C854,$D:$D,D854,$E:$E,E854,$F:$F,F854,$G:$G,G854,$H:$H,H854,$I:$I,I854,$J:$J,J854,$K:$K,K854,$L:$L,L854,$M:$M,M854,$T:$T,T854,$U:$U,U854,$W:$W,W854,$Z:$Z,Z854,$AA:$AA,AA854,$AB:$AB,AB854,$AC:$AC,AC854,$AD:$AD,AD854,$AE:$AE,AE854,$AF:$AF,AF854,$AG:$AG,AG854,$AH:$AH,AH854,$AI:$AI,AI854)&gt;1,"Duplicate","Unique")</f>
        <v>Unique</v>
      </c>
    </row>
    <row r="855" spans="1:46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  <c r="W855" t="s">
        <v>3904</v>
      </c>
      <c r="Z855" t="s">
        <v>3906</v>
      </c>
      <c r="AA855" t="str">
        <v>Arjun Bose</v>
      </c>
      <c r="AB855" t="str">
        <f>TRIM(PROPER(F:F))</f>
        <v>Corporate</v>
      </c>
      <c r="AC855" t="str">
        <f>TRIM(PROPER(G:G))</f>
        <v>South</v>
      </c>
      <c r="AD855" t="str">
        <f>TRIM(PROPER(H:H))</f>
        <v>Tamil Nadu</v>
      </c>
      <c r="AE855" t="str">
        <f>TRIM(PROPER(I:I))</f>
        <v>Chennai</v>
      </c>
      <c r="AF855" t="str">
        <f>TRIM(PROPER(J:J))</f>
        <v>Technology</v>
      </c>
      <c r="AG855" t="str">
        <f>TRIM(PROPER(K:K))</f>
        <v>Accessories</v>
      </c>
      <c r="AH855" t="str">
        <f>TRIM(PROPER(L:L))</f>
        <v>Elite Accessories 708</v>
      </c>
      <c r="AI855" t="str">
        <f>TRIM(PROPER(M:M))</f>
        <v>Same Day</v>
      </c>
      <c r="AJ855" s="5">
        <f>IF(OR(P855&lt;0,P855&gt;0.5),"invalid",P855)</f>
        <v>0.2</v>
      </c>
      <c r="AK855" s="6">
        <f>IFERROR(N855*O855*(1-AJ855), "NA")</f>
        <v>3710.72</v>
      </c>
      <c r="AL855" s="6">
        <f>IFERROR(AK855-R855,"NA")</f>
        <v>595.42999999999984</v>
      </c>
      <c r="AM855" s="5">
        <f t="shared" si="65"/>
        <v>0.16046212055881334</v>
      </c>
      <c r="AN855" t="str">
        <v>16-05-25</v>
      </c>
      <c r="AO855" t="str">
        <v>invalid date</v>
      </c>
      <c r="AP855" t="str">
        <f t="shared" si="66"/>
        <v>May</v>
      </c>
      <c r="AQ855" t="str">
        <f t="shared" si="67"/>
        <v>2025</v>
      </c>
      <c r="AR855" t="str">
        <f t="shared" si="68"/>
        <v>Invalid</v>
      </c>
      <c r="AS855" t="str">
        <f t="shared" si="69"/>
        <v>invalid date</v>
      </c>
      <c r="AT855" t="str">
        <f>IF(COUNTIFS( $A:$A,A855,$B:$B,B855,$C:$C,C855,$D:$D,D855,$E:$E,E855,$F:$F,F855,$G:$G,G855,$H:$H,H855,$I:$I,I855,$J:$J,J855,$K:$K,K855,$L:$L,L855,$M:$M,M855,$T:$T,T855,$U:$U,U855,$W:$W,W855,$Z:$Z,Z855,$AA:$AA,AA855,$AB:$AB,AB855,$AC:$AC,AC855,$AD:$AD,AD855,$AE:$AE,AE855,$AF:$AF,AF855,$AG:$AG,AG855,$AH:$AH,AH855,$AI:$AI,AI855)&gt;1,"Duplicate","Unique")</f>
        <v>Unique</v>
      </c>
    </row>
    <row r="856" spans="1:46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  <c r="W856" t="s">
        <v>3908</v>
      </c>
      <c r="Z856" t="s">
        <v>3911</v>
      </c>
      <c r="AA856" t="str">
        <v>Priya Menon</v>
      </c>
      <c r="AB856" t="str">
        <f>TRIM(PROPER(F:F))</f>
        <v>Consumer</v>
      </c>
      <c r="AC856" t="str">
        <f>TRIM(PROPER(G:G))</f>
        <v>South</v>
      </c>
      <c r="AD856" t="str">
        <f>TRIM(PROPER(H:H))</f>
        <v>Karnataka</v>
      </c>
      <c r="AE856" t="str">
        <f>TRIM(PROPER(I:I))</f>
        <v>Bengaluru</v>
      </c>
      <c r="AF856" t="str">
        <f>TRIM(PROPER(J:J))</f>
        <v>Furniture</v>
      </c>
      <c r="AG856" t="str">
        <f>TRIM(PROPER(K:K))</f>
        <v>Bookcases</v>
      </c>
      <c r="AH856" t="str">
        <f>TRIM(PROPER(L:L))</f>
        <v>Max Bookcases 381</v>
      </c>
      <c r="AI856" t="str">
        <f>TRIM(PROPER(M:M))</f>
        <v>Second Class</v>
      </c>
      <c r="AJ856" s="5">
        <f>IF(OR(P856&lt;0,P856&gt;0.5),"invalid",P856)</f>
        <v>0.05</v>
      </c>
      <c r="AK856" s="6">
        <f>IFERROR(N856*O856*(1-AJ856), "NA")</f>
        <v>8487.8319999999985</v>
      </c>
      <c r="AL856" s="6">
        <f>IFERROR(AK856-R856,"NA")</f>
        <v>3242.1119999999983</v>
      </c>
      <c r="AM856" s="5">
        <f t="shared" si="65"/>
        <v>0.38197174496384928</v>
      </c>
      <c r="AN856" t="str">
        <v>invalid date</v>
      </c>
      <c r="AO856" t="str">
        <v>04-02-25</v>
      </c>
      <c r="AP856" t="str">
        <f t="shared" si="66"/>
        <v>invalid date</v>
      </c>
      <c r="AQ856" t="str">
        <f t="shared" si="67"/>
        <v>invalid date</v>
      </c>
      <c r="AR856" t="str">
        <f t="shared" si="68"/>
        <v>Invalid</v>
      </c>
      <c r="AS856" t="str">
        <f t="shared" si="69"/>
        <v>invalid date</v>
      </c>
      <c r="AT856" t="str">
        <f>IF(COUNTIFS( $A:$A,A856,$B:$B,B856,$C:$C,C856,$D:$D,D856,$E:$E,E856,$F:$F,F856,$G:$G,G856,$H:$H,H856,$I:$I,I856,$J:$J,J856,$K:$K,K856,$L:$L,L856,$M:$M,M856,$T:$T,T856,$U:$U,U856,$W:$W,W856,$Z:$Z,Z856,$AA:$AA,AA856,$AB:$AB,AB856,$AC:$AC,AC856,$AD:$AD,AD856,$AE:$AE,AE856,$AF:$AF,AF856,$AG:$AG,AG856,$AH:$AH,AH856,$AI:$AI,AI856)&gt;1,"Duplicate","Unique")</f>
        <v>Unique</v>
      </c>
    </row>
    <row r="857" spans="1:46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  <c r="W857" t="s">
        <v>3913</v>
      </c>
      <c r="Z857" t="s">
        <v>1716</v>
      </c>
      <c r="AA857" t="str">
        <v>Rahul Verma</v>
      </c>
      <c r="AB857" t="str">
        <f>TRIM(PROPER(F:F))</f>
        <v>Consumer</v>
      </c>
      <c r="AC857" t="str">
        <f>TRIM(PROPER(G:G))</f>
        <v>North</v>
      </c>
      <c r="AD857" t="str">
        <f>TRIM(PROPER(H:H))</f>
        <v>Rajasthan</v>
      </c>
      <c r="AE857" t="str">
        <f>TRIM(PROPER(I:I))</f>
        <v>Jaipur</v>
      </c>
      <c r="AF857" t="str">
        <f>TRIM(PROPER(J:J))</f>
        <v>Office Supplies</v>
      </c>
      <c r="AG857" t="str">
        <f>TRIM(PROPER(K:K))</f>
        <v>Labels</v>
      </c>
      <c r="AH857" t="str">
        <f>TRIM(PROPER(L:L))</f>
        <v>Classic Labels 215</v>
      </c>
      <c r="AI857" t="str">
        <f>TRIM(PROPER(M:M))</f>
        <v>Second Class</v>
      </c>
      <c r="AJ857" s="5">
        <f>IF(OR(P857&lt;0,P857&gt;0.5),"invalid",P857)</f>
        <v>0.25</v>
      </c>
      <c r="AK857" s="6">
        <f>IFERROR(N857*O857*(1-AJ857), "NA")</f>
        <v>3110.2950000000001</v>
      </c>
      <c r="AL857" s="6">
        <f>IFERROR(AK857-R857,"NA")</f>
        <v>1009.2649999999999</v>
      </c>
      <c r="AM857" s="5">
        <f t="shared" si="65"/>
        <v>0.32449172827657824</v>
      </c>
      <c r="AN857" t="str">
        <v>25-07-24</v>
      </c>
      <c r="AO857" t="str">
        <v>02-08-24</v>
      </c>
      <c r="AP857" t="str">
        <f t="shared" si="66"/>
        <v>July</v>
      </c>
      <c r="AQ857" t="str">
        <f t="shared" si="67"/>
        <v>2024</v>
      </c>
      <c r="AR857" t="str">
        <f t="shared" si="68"/>
        <v>anomaly</v>
      </c>
      <c r="AS857">
        <f t="shared" si="69"/>
        <v>8</v>
      </c>
      <c r="AT857" t="str">
        <f>IF(COUNTIFS( $A:$A,A857,$B:$B,B857,$C:$C,C857,$D:$D,D857,$E:$E,E857,$F:$F,F857,$G:$G,G857,$H:$H,H857,$I:$I,I857,$J:$J,J857,$K:$K,K857,$L:$L,L857,$M:$M,M857,$T:$T,T857,$U:$U,U857,$W:$W,W857,$Z:$Z,Z857,$AA:$AA,AA857,$AB:$AB,AB857,$AC:$AC,AC857,$AD:$AD,AD857,$AE:$AE,AE857,$AF:$AF,AF857,$AG:$AG,AG857,$AH:$AH,AH857,$AI:$AI,AI857)&gt;1,"Duplicate","Unique")</f>
        <v>Unique</v>
      </c>
    </row>
    <row r="858" spans="1:46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  <c r="W858" t="s">
        <v>3917</v>
      </c>
      <c r="Z858" t="s">
        <v>1979</v>
      </c>
      <c r="AA858" t="str">
        <v>Rohan Mehta</v>
      </c>
      <c r="AB858" t="str">
        <f>TRIM(PROPER(F:F))</f>
        <v>Home Office</v>
      </c>
      <c r="AC858" t="str">
        <f>TRIM(PROPER(G:G))</f>
        <v>South</v>
      </c>
      <c r="AD858" t="str">
        <f>TRIM(PROPER(H:H))</f>
        <v>Tamil Nadu</v>
      </c>
      <c r="AE858" t="str">
        <f>TRIM(PROPER(I:I))</f>
        <v>Chennai</v>
      </c>
      <c r="AF858" t="str">
        <f>TRIM(PROPER(J:J))</f>
        <v>Office Supplies</v>
      </c>
      <c r="AG858" t="str">
        <f>TRIM(PROPER(K:K))</f>
        <v>Storage</v>
      </c>
      <c r="AH858" t="str">
        <f>TRIM(PROPER(L:L))</f>
        <v>Classic Storage 918</v>
      </c>
      <c r="AI858" t="str">
        <f>TRIM(PROPER(M:M))</f>
        <v>Standard Class</v>
      </c>
      <c r="AJ858" s="5" t="str">
        <f>IF(OR(P858&lt;0,P858&gt;0.5),"invalid",P858)</f>
        <v>invalid</v>
      </c>
      <c r="AK858" s="6" t="str">
        <f>IFERROR(N858*O858*(1-AJ858), "NA")</f>
        <v>NA</v>
      </c>
      <c r="AL858" s="6" t="str">
        <f>IFERROR(AK858-R858,"NA")</f>
        <v>NA</v>
      </c>
      <c r="AM858" s="5" t="str">
        <f t="shared" si="65"/>
        <v>NA</v>
      </c>
      <c r="AN858" t="str">
        <v>12-06-24</v>
      </c>
      <c r="AO858" t="str">
        <v>19-06-24</v>
      </c>
      <c r="AP858" t="str">
        <f t="shared" si="66"/>
        <v>June</v>
      </c>
      <c r="AQ858" t="str">
        <f t="shared" si="67"/>
        <v>2024</v>
      </c>
      <c r="AR858" t="str">
        <f t="shared" si="68"/>
        <v xml:space="preserve"> </v>
      </c>
      <c r="AS858">
        <f t="shared" si="69"/>
        <v>7</v>
      </c>
      <c r="AT858" t="str">
        <f>IF(COUNTIFS( $A:$A,A858,$B:$B,B858,$C:$C,C858,$D:$D,D858,$E:$E,E858,$F:$F,F858,$G:$G,G858,$H:$H,H858,$I:$I,I858,$J:$J,J858,$K:$K,K858,$L:$L,L858,$M:$M,M858,$T:$T,T858,$U:$U,U858,$W:$W,W858,$Z:$Z,Z858,$AA:$AA,AA858,$AB:$AB,AB858,$AC:$AC,AC858,$AD:$AD,AD858,$AE:$AE,AE858,$AF:$AF,AF858,$AG:$AG,AG858,$AH:$AH,AH858,$AI:$AI,AI858)&gt;1,"Duplicate","Unique")</f>
        <v>Unique</v>
      </c>
    </row>
    <row r="859" spans="1:46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  <c r="W859" t="s">
        <v>3920</v>
      </c>
      <c r="Z859" t="s">
        <v>3235</v>
      </c>
      <c r="AA859" t="str">
        <v>Sneha Kapoor</v>
      </c>
      <c r="AB859" t="str">
        <f>TRIM(PROPER(F:F))</f>
        <v>Home Office</v>
      </c>
      <c r="AC859" t="str">
        <f>TRIM(PROPER(G:G))</f>
        <v>South</v>
      </c>
      <c r="AD859" t="str">
        <f>TRIM(PROPER(H:H))</f>
        <v>Kerala</v>
      </c>
      <c r="AE859" t="str">
        <f>TRIM(PROPER(I:I))</f>
        <v>Kochi</v>
      </c>
      <c r="AF859" t="str">
        <f>TRIM(PROPER(J:J))</f>
        <v>Office Supplies</v>
      </c>
      <c r="AG859" t="str">
        <f>TRIM(PROPER(K:K))</f>
        <v>Storage</v>
      </c>
      <c r="AH859" t="str">
        <f>TRIM(PROPER(L:L))</f>
        <v>Max Storage 223</v>
      </c>
      <c r="AI859" t="str">
        <f>TRIM(PROPER(M:M))</f>
        <v>First Class</v>
      </c>
      <c r="AJ859" s="5">
        <f>IF(OR(P859&lt;0,P859&gt;0.5),"invalid",P859)</f>
        <v>0.25</v>
      </c>
      <c r="AK859" s="6">
        <f>IFERROR(N859*O859*(1-AJ859), "NA")</f>
        <v>12190.365</v>
      </c>
      <c r="AL859" s="6">
        <f>IFERROR(AK859-R859,"NA")</f>
        <v>2013.375</v>
      </c>
      <c r="AM859" s="5">
        <f t="shared" si="65"/>
        <v>0.16516117441930575</v>
      </c>
      <c r="AN859" t="str">
        <v>04-06-24</v>
      </c>
      <c r="AO859" t="str">
        <v>04-06-24</v>
      </c>
      <c r="AP859" t="str">
        <f t="shared" si="66"/>
        <v>June</v>
      </c>
      <c r="AQ859" t="str">
        <f t="shared" si="67"/>
        <v>2024</v>
      </c>
      <c r="AR859" t="str">
        <f t="shared" si="68"/>
        <v xml:space="preserve"> </v>
      </c>
      <c r="AS859">
        <f t="shared" si="69"/>
        <v>0</v>
      </c>
      <c r="AT859" t="str">
        <f>IF(COUNTIFS( $A:$A,A859,$B:$B,B859,$C:$C,C859,$D:$D,D859,$E:$E,E859,$F:$F,F859,$G:$G,G859,$H:$H,H859,$I:$I,I859,$J:$J,J859,$K:$K,K859,$L:$L,L859,$M:$M,M859,$T:$T,T859,$U:$U,U859,$W:$W,W859,$Z:$Z,Z859,$AA:$AA,AA859,$AB:$AB,AB859,$AC:$AC,AC859,$AD:$AD,AD859,$AE:$AE,AE859,$AF:$AF,AF859,$AG:$AG,AG859,$AH:$AH,AH859,$AI:$AI,AI859)&gt;1,"Duplicate","Unique")</f>
        <v>Unique</v>
      </c>
    </row>
    <row r="860" spans="1:46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  <c r="W860" t="s">
        <v>3924</v>
      </c>
      <c r="Z860" t="s">
        <v>3925</v>
      </c>
      <c r="AA860" t="str">
        <v>Arjun Bose</v>
      </c>
      <c r="AB860" t="str">
        <f>TRIM(PROPER(F:F))</f>
        <v>Consumer</v>
      </c>
      <c r="AC860" t="str">
        <f>TRIM(PROPER(G:G))</f>
        <v>East</v>
      </c>
      <c r="AD860" t="str">
        <f>TRIM(PROPER(H:H))</f>
        <v>Odisha</v>
      </c>
      <c r="AE860" t="str">
        <f>TRIM(PROPER(I:I))</f>
        <v>Bhubaneswar</v>
      </c>
      <c r="AF860" t="str">
        <f>TRIM(PROPER(J:J))</f>
        <v>Technology</v>
      </c>
      <c r="AG860" t="str">
        <f>TRIM(PROPER(K:K))</f>
        <v>Accessories</v>
      </c>
      <c r="AH860" t="str">
        <f>TRIM(PROPER(L:L))</f>
        <v>Basic Accessories 602</v>
      </c>
      <c r="AI860" t="str">
        <f>TRIM(PROPER(M:M))</f>
        <v>Second Class</v>
      </c>
      <c r="AJ860" s="5">
        <f>IF(OR(P860&lt;0,P860&gt;0.5),"invalid",P860)</f>
        <v>0</v>
      </c>
      <c r="AK860" s="6">
        <f>IFERROR(N860*O860*(1-AJ860), "NA")</f>
        <v>11619.44</v>
      </c>
      <c r="AL860" s="6">
        <f>IFERROR(AK860-R860,"NA")</f>
        <v>4435.1200000000008</v>
      </c>
      <c r="AM860" s="5">
        <f t="shared" si="65"/>
        <v>0.3816982574031107</v>
      </c>
      <c r="AN860" t="str">
        <v>05-02-24</v>
      </c>
      <c r="AO860" t="str">
        <v>09-05-24</v>
      </c>
      <c r="AP860" t="str">
        <f t="shared" si="66"/>
        <v>February</v>
      </c>
      <c r="AQ860" t="str">
        <f t="shared" si="67"/>
        <v>2024</v>
      </c>
      <c r="AR860" t="str">
        <f t="shared" si="68"/>
        <v xml:space="preserve"> </v>
      </c>
      <c r="AS860">
        <f t="shared" si="69"/>
        <v>94</v>
      </c>
      <c r="AT860" t="str">
        <f>IF(COUNTIFS( $A:$A,A860,$B:$B,B860,$C:$C,C860,$D:$D,D860,$E:$E,E860,$F:$F,F860,$G:$G,G860,$H:$H,H860,$I:$I,I860,$J:$J,J860,$K:$K,K860,$L:$L,L860,$M:$M,M860,$T:$T,T860,$U:$U,U860,$W:$W,W860,$Z:$Z,Z860,$AA:$AA,AA860,$AB:$AB,AB860,$AC:$AC,AC860,$AD:$AD,AD860,$AE:$AE,AE860,$AF:$AF,AF860,$AG:$AG,AG860,$AH:$AH,AH860,$AI:$AI,AI860)&gt;1,"Duplicate","Unique")</f>
        <v>Unique</v>
      </c>
    </row>
    <row r="861" spans="1:46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  <c r="W861" t="s">
        <v>3927</v>
      </c>
      <c r="Z861" t="s">
        <v>3929</v>
      </c>
      <c r="AA861" t="str">
        <v>Aditi Sen</v>
      </c>
      <c r="AB861" t="str">
        <f>TRIM(PROPER(F:F))</f>
        <v>Corporate</v>
      </c>
      <c r="AC861" t="str">
        <f>TRIM(PROPER(G:G))</f>
        <v>South</v>
      </c>
      <c r="AD861" t="str">
        <f>TRIM(PROPER(H:H))</f>
        <v>Tamil Nadu</v>
      </c>
      <c r="AE861" t="str">
        <f>TRIM(PROPER(I:I))</f>
        <v>Chennai</v>
      </c>
      <c r="AF861" t="str">
        <f>TRIM(PROPER(J:J))</f>
        <v>Technology</v>
      </c>
      <c r="AG861" t="str">
        <f>TRIM(PROPER(K:K))</f>
        <v>Phones</v>
      </c>
      <c r="AH861" t="str">
        <f>TRIM(PROPER(L:L))</f>
        <v>Elite Phones 394</v>
      </c>
      <c r="AI861" t="str">
        <f>TRIM(PROPER(M:M))</f>
        <v>Standard Class</v>
      </c>
      <c r="AJ861" s="5">
        <f>IF(OR(P861&lt;0,P861&gt;0.5),"invalid",P861)</f>
        <v>0.05</v>
      </c>
      <c r="AK861" s="6">
        <f>IFERROR(N861*O861*(1-AJ861), "NA")</f>
        <v>25075.439999999995</v>
      </c>
      <c r="AL861" s="6">
        <f>IFERROR(AK861-R861,"NA")</f>
        <v>8792.6999999999953</v>
      </c>
      <c r="AM861" s="5">
        <f t="shared" si="65"/>
        <v>0.35064987892535471</v>
      </c>
      <c r="AN861" t="str">
        <v>invalid date</v>
      </c>
      <c r="AO861" t="str">
        <v>01-11-24</v>
      </c>
      <c r="AP861" t="str">
        <f t="shared" si="66"/>
        <v>invalid date</v>
      </c>
      <c r="AQ861" t="str">
        <f t="shared" si="67"/>
        <v>invalid date</v>
      </c>
      <c r="AR861" t="str">
        <f t="shared" si="68"/>
        <v>Invalid</v>
      </c>
      <c r="AS861" t="str">
        <f t="shared" si="69"/>
        <v>invalid date</v>
      </c>
      <c r="AT861" t="str">
        <f>IF(COUNTIFS( $A:$A,A861,$B:$B,B861,$C:$C,C861,$D:$D,D861,$E:$E,E861,$F:$F,F861,$G:$G,G861,$H:$H,H861,$I:$I,I861,$J:$J,J861,$K:$K,K861,$L:$L,L861,$M:$M,M861,$T:$T,T861,$U:$U,U861,$W:$W,W861,$Z:$Z,Z861,$AA:$AA,AA861,$AB:$AB,AB861,$AC:$AC,AC861,$AD:$AD,AD861,$AE:$AE,AE861,$AF:$AF,AF861,$AG:$AG,AG861,$AH:$AH,AH861,$AI:$AI,AI861)&gt;1,"Duplicate","Unique")</f>
        <v>Unique</v>
      </c>
    </row>
    <row r="862" spans="1:46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  <c r="W862" t="s">
        <v>3931</v>
      </c>
      <c r="Z862" t="s">
        <v>3933</v>
      </c>
      <c r="AA862" t="str">
        <v>Vikram Iyer</v>
      </c>
      <c r="AB862" t="str">
        <f>TRIM(PROPER(F:F))</f>
        <v>Home Office</v>
      </c>
      <c r="AC862" t="str">
        <f>TRIM(PROPER(G:G))</f>
        <v>North</v>
      </c>
      <c r="AD862" t="str">
        <f>TRIM(PROPER(H:H))</f>
        <v>Uttar Pradesh</v>
      </c>
      <c r="AE862" t="str">
        <f>TRIM(PROPER(I:I))</f>
        <v>Noida</v>
      </c>
      <c r="AF862" t="str">
        <f>TRIM(PROPER(J:J))</f>
        <v>Office Supplies</v>
      </c>
      <c r="AG862" t="str">
        <f>TRIM(PROPER(K:K))</f>
        <v>Storage</v>
      </c>
      <c r="AH862" t="str">
        <f>TRIM(PROPER(L:L))</f>
        <v>Classic Storage 194</v>
      </c>
      <c r="AI862" t="str">
        <f>TRIM(PROPER(M:M))</f>
        <v>Second Class</v>
      </c>
      <c r="AJ862" s="5">
        <f>IF(OR(P862&lt;0,P862&gt;0.5),"invalid",P862)</f>
        <v>0.05</v>
      </c>
      <c r="AK862" s="6">
        <f>IFERROR(N862*O862*(1-AJ862), "NA")</f>
        <v>4177.4539999999997</v>
      </c>
      <c r="AL862" s="6">
        <f>IFERROR(AK862-R862,"NA")</f>
        <v>1877.9539999999997</v>
      </c>
      <c r="AM862" s="5">
        <f t="shared" si="65"/>
        <v>0.44954510570313877</v>
      </c>
      <c r="AN862" t="str">
        <v>02-02-24</v>
      </c>
      <c r="AO862" t="str">
        <v>04-02-24</v>
      </c>
      <c r="AP862" t="str">
        <f t="shared" si="66"/>
        <v>February</v>
      </c>
      <c r="AQ862" t="str">
        <f t="shared" si="67"/>
        <v>2024</v>
      </c>
      <c r="AR862" t="str">
        <f t="shared" si="68"/>
        <v xml:space="preserve"> </v>
      </c>
      <c r="AS862">
        <f t="shared" si="69"/>
        <v>2</v>
      </c>
      <c r="AT862" t="str">
        <f>IF(COUNTIFS( $A:$A,A862,$B:$B,B862,$C:$C,C862,$D:$D,D862,$E:$E,E862,$F:$F,F862,$G:$G,G862,$H:$H,H862,$I:$I,I862,$J:$J,J862,$K:$K,K862,$L:$L,L862,$M:$M,M862,$T:$T,T862,$U:$U,U862,$W:$W,W862,$Z:$Z,Z862,$AA:$AA,AA862,$AB:$AB,AB862,$AC:$AC,AC862,$AD:$AD,AD862,$AE:$AE,AE862,$AF:$AF,AF862,$AG:$AG,AG862,$AH:$AH,AH862,$AI:$AI,AI862)&gt;1,"Duplicate","Unique")</f>
        <v>Unique</v>
      </c>
    </row>
    <row r="863" spans="1:46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  <c r="W863" t="s">
        <v>3935</v>
      </c>
      <c r="Z863" t="s">
        <v>3938</v>
      </c>
      <c r="AA863" t="str">
        <v>Priya Menon</v>
      </c>
      <c r="AB863" t="str">
        <f>TRIM(PROPER(F:F))</f>
        <v>Home Office</v>
      </c>
      <c r="AC863" t="str">
        <f>TRIM(PROPER(G:G))</f>
        <v>North</v>
      </c>
      <c r="AD863" t="str">
        <f>TRIM(PROPER(H:H))</f>
        <v>Delhi</v>
      </c>
      <c r="AE863" t="str">
        <f>TRIM(PROPER(I:I))</f>
        <v>New Delhi</v>
      </c>
      <c r="AF863" t="str">
        <f>TRIM(PROPER(J:J))</f>
        <v>Furniture</v>
      </c>
      <c r="AG863" t="str">
        <f>TRIM(PROPER(K:K))</f>
        <v>Furnishings</v>
      </c>
      <c r="AH863" t="str">
        <f>TRIM(PROPER(L:L))</f>
        <v>Smart Furnishings 892</v>
      </c>
      <c r="AI863" t="str">
        <f>TRIM(PROPER(M:M))</f>
        <v>Same Day</v>
      </c>
      <c r="AJ863" s="5">
        <f>IF(OR(P863&lt;0,P863&gt;0.5),"invalid",P863)</f>
        <v>0.2</v>
      </c>
      <c r="AK863" s="6">
        <f>IFERROR(N863*O863*(1-AJ863), "NA")</f>
        <v>10898.175999999999</v>
      </c>
      <c r="AL863" s="6">
        <f>IFERROR(AK863-R863,"NA")</f>
        <v>4666.7659999999996</v>
      </c>
      <c r="AM863" s="5">
        <f t="shared" si="65"/>
        <v>0.42821532704188298</v>
      </c>
      <c r="AN863" t="str">
        <v>08-03-25</v>
      </c>
      <c r="AO863" t="str">
        <v>09-03-25</v>
      </c>
      <c r="AP863" t="str">
        <f t="shared" si="66"/>
        <v>March</v>
      </c>
      <c r="AQ863" t="str">
        <f t="shared" si="67"/>
        <v>2025</v>
      </c>
      <c r="AR863" t="str">
        <f t="shared" si="68"/>
        <v xml:space="preserve"> </v>
      </c>
      <c r="AS863">
        <f t="shared" si="69"/>
        <v>1</v>
      </c>
      <c r="AT863" t="str">
        <f>IF(COUNTIFS( $A:$A,A863,$B:$B,B863,$C:$C,C863,$D:$D,D863,$E:$E,E863,$F:$F,F863,$G:$G,G863,$H:$H,H863,$I:$I,I863,$J:$J,J863,$K:$K,K863,$L:$L,L863,$M:$M,M863,$T:$T,T863,$U:$U,U863,$W:$W,W863,$Z:$Z,Z863,$AA:$AA,AA863,$AB:$AB,AB863,$AC:$AC,AC863,$AD:$AD,AD863,$AE:$AE,AE863,$AF:$AF,AF863,$AG:$AG,AG863,$AH:$AH,AH863,$AI:$AI,AI863)&gt;1,"Duplicate","Unique")</f>
        <v>Unique</v>
      </c>
    </row>
    <row r="864" spans="1:46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  <c r="W864" t="s">
        <v>3940</v>
      </c>
      <c r="Z864" t="s">
        <v>3942</v>
      </c>
      <c r="AA864" t="str">
        <v>Priya Menon</v>
      </c>
      <c r="AB864" t="str">
        <f>TRIM(PROPER(F:F))</f>
        <v>Small Business</v>
      </c>
      <c r="AC864" t="str">
        <f>TRIM(PROPER(G:G))</f>
        <v>East</v>
      </c>
      <c r="AD864" t="str">
        <f>TRIM(PROPER(H:H))</f>
        <v>Jharkhand</v>
      </c>
      <c r="AE864" t="str">
        <f>TRIM(PROPER(I:I))</f>
        <v>Ranchi</v>
      </c>
      <c r="AF864" t="str">
        <f>TRIM(PROPER(J:J))</f>
        <v>Office Supplies</v>
      </c>
      <c r="AG864" t="str">
        <f>TRIM(PROPER(K:K))</f>
        <v>Binders</v>
      </c>
      <c r="AH864" t="str">
        <f>TRIM(PROPER(L:L))</f>
        <v>Pro Binders 488</v>
      </c>
      <c r="AI864" t="str">
        <f>TRIM(PROPER(M:M))</f>
        <v>First Class</v>
      </c>
      <c r="AJ864" s="5">
        <f>IF(OR(P864&lt;0,P864&gt;0.5),"invalid",P864)</f>
        <v>0</v>
      </c>
      <c r="AK864" s="6">
        <f>IFERROR(N864*O864*(1-AJ864), "NA")</f>
        <v>6975.7000000000007</v>
      </c>
      <c r="AL864" s="6">
        <f>IFERROR(AK864-R864,"NA")</f>
        <v>2177.8200000000006</v>
      </c>
      <c r="AM864" s="5">
        <f t="shared" si="65"/>
        <v>0.3122009260719355</v>
      </c>
      <c r="AN864" t="str">
        <v>26-03-25</v>
      </c>
      <c r="AO864" t="str">
        <v>31-03-25</v>
      </c>
      <c r="AP864" t="str">
        <f t="shared" si="66"/>
        <v>March</v>
      </c>
      <c r="AQ864" t="str">
        <f t="shared" si="67"/>
        <v>2025</v>
      </c>
      <c r="AR864" t="str">
        <f t="shared" si="68"/>
        <v xml:space="preserve"> </v>
      </c>
      <c r="AS864">
        <f t="shared" si="69"/>
        <v>5</v>
      </c>
      <c r="AT864" t="str">
        <f>IF(COUNTIFS( $A:$A,A864,$B:$B,B864,$C:$C,C864,$D:$D,D864,$E:$E,E864,$F:$F,F864,$G:$G,G864,$H:$H,H864,$I:$I,I864,$J:$J,J864,$K:$K,K864,$L:$L,L864,$M:$M,M864,$T:$T,T864,$U:$U,U864,$W:$W,W864,$Z:$Z,Z864,$AA:$AA,AA864,$AB:$AB,AB864,$AC:$AC,AC864,$AD:$AD,AD864,$AE:$AE,AE864,$AF:$AF,AF864,$AG:$AG,AG864,$AH:$AH,AH864,$AI:$AI,AI864)&gt;1,"Duplicate","Unique")</f>
        <v>Unique</v>
      </c>
    </row>
    <row r="865" spans="1:46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  <c r="W865" t="s">
        <v>3944</v>
      </c>
      <c r="Z865" t="s">
        <v>3946</v>
      </c>
      <c r="AA865" t="str">
        <v>Aarav Sharma</v>
      </c>
      <c r="AB865" t="str">
        <f>TRIM(PROPER(F:F))</f>
        <v>Home Office</v>
      </c>
      <c r="AC865" t="str">
        <f>TRIM(PROPER(G:G))</f>
        <v>West</v>
      </c>
      <c r="AD865" t="str">
        <f>TRIM(PROPER(H:H))</f>
        <v>Madhya Pradesh</v>
      </c>
      <c r="AE865" t="str">
        <f>TRIM(PROPER(I:I))</f>
        <v>Indore</v>
      </c>
      <c r="AF865" t="str">
        <f>TRIM(PROPER(J:J))</f>
        <v>Furniture</v>
      </c>
      <c r="AG865" t="str">
        <f>TRIM(PROPER(K:K))</f>
        <v>Furnishings</v>
      </c>
      <c r="AH865" t="str">
        <f>TRIM(PROPER(L:L))</f>
        <v>Prime Furnishings 679</v>
      </c>
      <c r="AI865" t="str">
        <f>TRIM(PROPER(M:M))</f>
        <v>Same Day</v>
      </c>
      <c r="AJ865" s="5">
        <f>IF(OR(P865&lt;0,P865&gt;0.5),"invalid",P865)</f>
        <v>0</v>
      </c>
      <c r="AK865" s="6">
        <f>IFERROR(N865*O865*(1-AJ865), "NA")</f>
        <v>8811.69</v>
      </c>
      <c r="AL865" s="6">
        <f>IFERROR(AK865-R865,"NA")</f>
        <v>2045.7800000000007</v>
      </c>
      <c r="AM865" s="5">
        <f t="shared" si="65"/>
        <v>0.23216658779416893</v>
      </c>
      <c r="AN865" t="str">
        <v>09-06-25</v>
      </c>
      <c r="AO865" t="str">
        <v>09-08-25</v>
      </c>
      <c r="AP865" t="str">
        <f t="shared" si="66"/>
        <v>June</v>
      </c>
      <c r="AQ865" t="str">
        <f t="shared" si="67"/>
        <v>2025</v>
      </c>
      <c r="AR865" t="str">
        <f t="shared" si="68"/>
        <v xml:space="preserve"> </v>
      </c>
      <c r="AS865">
        <f t="shared" si="69"/>
        <v>61</v>
      </c>
      <c r="AT865" t="str">
        <f>IF(COUNTIFS( $A:$A,A865,$B:$B,B865,$C:$C,C865,$D:$D,D865,$E:$E,E865,$F:$F,F865,$G:$G,G865,$H:$H,H865,$I:$I,I865,$J:$J,J865,$K:$K,K865,$L:$L,L865,$M:$M,M865,$T:$T,T865,$U:$U,U865,$W:$W,W865,$Z:$Z,Z865,$AA:$AA,AA865,$AB:$AB,AB865,$AC:$AC,AC865,$AD:$AD,AD865,$AE:$AE,AE865,$AF:$AF,AF865,$AG:$AG,AG865,$AH:$AH,AH865,$AI:$AI,AI865)&gt;1,"Duplicate","Unique")</f>
        <v>Unique</v>
      </c>
    </row>
    <row r="866" spans="1:46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  <c r="W866" t="s">
        <v>3948</v>
      </c>
      <c r="Z866" t="s">
        <v>3950</v>
      </c>
      <c r="AA866" t="str">
        <v>Vikram Iyer</v>
      </c>
      <c r="AB866" t="str">
        <f>TRIM(PROPER(F:F))</f>
        <v>Consumer</v>
      </c>
      <c r="AC866" t="str">
        <f>TRIM(PROPER(G:G))</f>
        <v>South</v>
      </c>
      <c r="AD866" t="str">
        <f>TRIM(PROPER(H:H))</f>
        <v>Tamil Nadu</v>
      </c>
      <c r="AE866" t="str">
        <f>TRIM(PROPER(I:I))</f>
        <v>Chennai</v>
      </c>
      <c r="AF866" t="str">
        <f>TRIM(PROPER(J:J))</f>
        <v>Technology</v>
      </c>
      <c r="AG866" t="str">
        <f>TRIM(PROPER(K:K))</f>
        <v>Phones</v>
      </c>
      <c r="AH866" t="str">
        <f>TRIM(PROPER(L:L))</f>
        <v>Smart Phones 158</v>
      </c>
      <c r="AI866" t="str">
        <f>TRIM(PROPER(M:M))</f>
        <v>First Class</v>
      </c>
      <c r="AJ866" s="5">
        <f>IF(OR(P866&lt;0,P866&gt;0.5),"invalid",P866)</f>
        <v>0</v>
      </c>
      <c r="AK866" s="6">
        <f>IFERROR(N866*O866*(1-AJ866), "NA")</f>
        <v>17034.349999999999</v>
      </c>
      <c r="AL866" s="6">
        <f>IFERROR(AK866-R866,"NA")</f>
        <v>2402.989999999998</v>
      </c>
      <c r="AM866" s="5">
        <f t="shared" si="65"/>
        <v>0.14106731398615141</v>
      </c>
      <c r="AN866" t="str">
        <v>02-09-25</v>
      </c>
      <c r="AO866" t="str">
        <v>05-09-25</v>
      </c>
      <c r="AP866" t="str">
        <f t="shared" si="66"/>
        <v>September</v>
      </c>
      <c r="AQ866" t="str">
        <f t="shared" si="67"/>
        <v>2025</v>
      </c>
      <c r="AR866" t="str">
        <f t="shared" si="68"/>
        <v xml:space="preserve"> </v>
      </c>
      <c r="AS866">
        <f t="shared" si="69"/>
        <v>3</v>
      </c>
      <c r="AT866" t="str">
        <f>IF(COUNTIFS( $A:$A,A866,$B:$B,B866,$C:$C,C866,$D:$D,D866,$E:$E,E866,$F:$F,F866,$G:$G,G866,$H:$H,H866,$I:$I,I866,$J:$J,J866,$K:$K,K866,$L:$L,L866,$M:$M,M866,$T:$T,T866,$U:$U,U866,$W:$W,W866,$Z:$Z,Z866,$AA:$AA,AA866,$AB:$AB,AB866,$AC:$AC,AC866,$AD:$AD,AD866,$AE:$AE,AE866,$AF:$AF,AF866,$AG:$AG,AG866,$AH:$AH,AH866,$AI:$AI,AI866)&gt;1,"Duplicate","Unique")</f>
        <v>Unique</v>
      </c>
    </row>
    <row r="867" spans="1:46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  <c r="W867" t="s">
        <v>3952</v>
      </c>
      <c r="Z867" t="s">
        <v>3953</v>
      </c>
      <c r="AA867" t="str">
        <v>Kabir Singh</v>
      </c>
      <c r="AB867" t="str">
        <f>TRIM(PROPER(F:F))</f>
        <v>Consumer</v>
      </c>
      <c r="AC867" t="str">
        <f>TRIM(PROPER(G:G))</f>
        <v>West</v>
      </c>
      <c r="AD867" t="str">
        <f>TRIM(PROPER(H:H))</f>
        <v>Maharashtra</v>
      </c>
      <c r="AE867" t="str">
        <f>TRIM(PROPER(I:I))</f>
        <v>Mumbai</v>
      </c>
      <c r="AF867" t="str">
        <f>TRIM(PROPER(J:J))</f>
        <v>Office Supplies</v>
      </c>
      <c r="AG867" t="str">
        <f>TRIM(PROPER(K:K))</f>
        <v>Labels</v>
      </c>
      <c r="AH867" t="str">
        <f>TRIM(PROPER(L:L))</f>
        <v>Classic Labels 218</v>
      </c>
      <c r="AI867" t="str">
        <f>TRIM(PROPER(M:M))</f>
        <v>Second Class</v>
      </c>
      <c r="AJ867" s="5">
        <f>IF(OR(P867&lt;0,P867&gt;0.5),"invalid",P867)</f>
        <v>0</v>
      </c>
      <c r="AK867" s="6">
        <f>IFERROR(N867*O867*(1-AJ867), "NA")</f>
        <v>7984.08</v>
      </c>
      <c r="AL867" s="6">
        <f>IFERROR(AK867-R867,"NA")</f>
        <v>2326.0299999999997</v>
      </c>
      <c r="AM867" s="5">
        <f t="shared" si="65"/>
        <v>0.29133350367230787</v>
      </c>
      <c r="AN867" t="str">
        <v>06-02-25</v>
      </c>
      <c r="AO867" t="str">
        <v>14-02-25</v>
      </c>
      <c r="AP867" t="str">
        <f t="shared" si="66"/>
        <v>February</v>
      </c>
      <c r="AQ867" t="str">
        <f t="shared" si="67"/>
        <v>2025</v>
      </c>
      <c r="AR867" t="str">
        <f t="shared" si="68"/>
        <v xml:space="preserve"> </v>
      </c>
      <c r="AS867">
        <f t="shared" si="69"/>
        <v>8</v>
      </c>
      <c r="AT867" t="str">
        <f>IF(COUNTIFS( $A:$A,A867,$B:$B,B867,$C:$C,C867,$D:$D,D867,$E:$E,E867,$F:$F,F867,$G:$G,G867,$H:$H,H867,$I:$I,I867,$J:$J,J867,$K:$K,K867,$L:$L,L867,$M:$M,M867,$T:$T,T867,$U:$U,U867,$W:$W,W867,$Z:$Z,Z867,$AA:$AA,AA867,$AB:$AB,AB867,$AC:$AC,AC867,$AD:$AD,AD867,$AE:$AE,AE867,$AF:$AF,AF867,$AG:$AG,AG867,$AH:$AH,AH867,$AI:$AI,AI867)&gt;1,"Duplicate","Unique")</f>
        <v>Unique</v>
      </c>
    </row>
    <row r="868" spans="1:46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  <c r="W868" t="s">
        <v>3955</v>
      </c>
      <c r="Z868" t="s">
        <v>3957</v>
      </c>
      <c r="AA868" t="str">
        <v>Priya Menon</v>
      </c>
      <c r="AB868" t="str">
        <f>TRIM(PROPER(F:F))</f>
        <v>Consumer</v>
      </c>
      <c r="AC868" t="str">
        <f>TRIM(PROPER(G:G))</f>
        <v>East</v>
      </c>
      <c r="AD868" t="str">
        <f>TRIM(PROPER(H:H))</f>
        <v>Bihar</v>
      </c>
      <c r="AE868" t="str">
        <f>TRIM(PROPER(I:I))</f>
        <v>Patna</v>
      </c>
      <c r="AF868" t="str">
        <f>TRIM(PROPER(J:J))</f>
        <v>Furniture</v>
      </c>
      <c r="AG868" t="str">
        <f>TRIM(PROPER(K:K))</f>
        <v>Bookcases</v>
      </c>
      <c r="AH868" t="str">
        <f>TRIM(PROPER(L:L))</f>
        <v>Smart Bookcases 552</v>
      </c>
      <c r="AI868" t="str">
        <f>TRIM(PROPER(M:M))</f>
        <v>First Class</v>
      </c>
      <c r="AJ868" s="5">
        <f>IF(OR(P868&lt;0,P868&gt;0.5),"invalid",P868)</f>
        <v>0.2</v>
      </c>
      <c r="AK868" s="6">
        <f>IFERROR(N868*O868*(1-AJ868), "NA")</f>
        <v>21912.263999999999</v>
      </c>
      <c r="AL868" s="6">
        <f>IFERROR(AK868-R868,"NA")</f>
        <v>5544.4839999999986</v>
      </c>
      <c r="AM868" s="5">
        <f t="shared" si="65"/>
        <v>0.25303108797885965</v>
      </c>
      <c r="AN868" t="str">
        <v>invalid date</v>
      </c>
      <c r="AO868" t="str">
        <v>06-03-25</v>
      </c>
      <c r="AP868" t="str">
        <f t="shared" si="66"/>
        <v>invalid date</v>
      </c>
      <c r="AQ868" t="str">
        <f t="shared" si="67"/>
        <v>invalid date</v>
      </c>
      <c r="AR868" t="str">
        <f t="shared" si="68"/>
        <v>Invalid</v>
      </c>
      <c r="AS868" t="str">
        <f t="shared" si="69"/>
        <v>invalid date</v>
      </c>
      <c r="AT868" t="str">
        <f>IF(COUNTIFS( $A:$A,A868,$B:$B,B868,$C:$C,C868,$D:$D,D868,$E:$E,E868,$F:$F,F868,$G:$G,G868,$H:$H,H868,$I:$I,I868,$J:$J,J868,$K:$K,K868,$L:$L,L868,$M:$M,M868,$T:$T,T868,$U:$U,U868,$W:$W,W868,$Z:$Z,Z868,$AA:$AA,AA868,$AB:$AB,AB868,$AC:$AC,AC868,$AD:$AD,AD868,$AE:$AE,AE868,$AF:$AF,AF868,$AG:$AG,AG868,$AH:$AH,AH868,$AI:$AI,AI868)&gt;1,"Duplicate","Unique")</f>
        <v>Unique</v>
      </c>
    </row>
    <row r="869" spans="1:46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  <c r="W869" t="s">
        <v>3959</v>
      </c>
      <c r="Z869" t="s">
        <v>3962</v>
      </c>
      <c r="AA869" t="str">
        <v>Rahul Verma</v>
      </c>
      <c r="AB869" t="str">
        <f>TRIM(PROPER(F:F))</f>
        <v>Home Office</v>
      </c>
      <c r="AC869" t="str">
        <f>TRIM(PROPER(G:G))</f>
        <v>South</v>
      </c>
      <c r="AD869" t="str">
        <f>TRIM(PROPER(H:H))</f>
        <v>Andhra Pradesh</v>
      </c>
      <c r="AE869" t="str">
        <f>TRIM(PROPER(I:I))</f>
        <v>Vijayawada</v>
      </c>
      <c r="AF869" t="str">
        <f>TRIM(PROPER(J:J))</f>
        <v>Technology</v>
      </c>
      <c r="AG869" t="str">
        <f>TRIM(PROPER(K:K))</f>
        <v>Accessories</v>
      </c>
      <c r="AH869" t="str">
        <f>TRIM(PROPER(L:L))</f>
        <v>Eco Accessories 389</v>
      </c>
      <c r="AI869" t="str">
        <f>TRIM(PROPER(M:M))</f>
        <v>Same Day</v>
      </c>
      <c r="AJ869" s="5">
        <f>IF(OR(P869&lt;0,P869&gt;0.5),"invalid",P869)</f>
        <v>0.25</v>
      </c>
      <c r="AK869" s="6">
        <f>IFERROR(N869*O869*(1-AJ869), "NA")</f>
        <v>4695.7049999999999</v>
      </c>
      <c r="AL869" s="6">
        <f>IFERROR(AK869-R869,"NA")</f>
        <v>824.01499999999987</v>
      </c>
      <c r="AM869" s="5">
        <f t="shared" si="65"/>
        <v>0.17548270174553127</v>
      </c>
      <c r="AN869" t="str">
        <v>21-11-24</v>
      </c>
      <c r="AO869" t="str">
        <v>22-11-24</v>
      </c>
      <c r="AP869" t="str">
        <f t="shared" si="66"/>
        <v>November</v>
      </c>
      <c r="AQ869" t="str">
        <f t="shared" si="67"/>
        <v>2024</v>
      </c>
      <c r="AR869" t="str">
        <f t="shared" si="68"/>
        <v xml:space="preserve"> </v>
      </c>
      <c r="AS869">
        <f t="shared" si="69"/>
        <v>1</v>
      </c>
      <c r="AT869" t="str">
        <f>IF(COUNTIFS( $A:$A,A869,$B:$B,B869,$C:$C,C869,$D:$D,D869,$E:$E,E869,$F:$F,F869,$G:$G,G869,$H:$H,H869,$I:$I,I869,$J:$J,J869,$K:$K,K869,$L:$L,L869,$M:$M,M869,$T:$T,T869,$U:$U,U869,$W:$W,W869,$Z:$Z,Z869,$AA:$AA,AA869,$AB:$AB,AB869,$AC:$AC,AC869,$AD:$AD,AD869,$AE:$AE,AE869,$AF:$AF,AF869,$AG:$AG,AG869,$AH:$AH,AH869,$AI:$AI,AI869)&gt;1,"Duplicate","Unique")</f>
        <v>Unique</v>
      </c>
    </row>
    <row r="870" spans="1:46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  <c r="W870" t="s">
        <v>3964</v>
      </c>
      <c r="Z870" t="s">
        <v>3965</v>
      </c>
      <c r="AA870" t="str">
        <v>Vikram Iyer</v>
      </c>
      <c r="AB870" t="str">
        <f>TRIM(PROPER(F:F))</f>
        <v>Home Office</v>
      </c>
      <c r="AC870" t="str">
        <f>TRIM(PROPER(G:G))</f>
        <v>South</v>
      </c>
      <c r="AD870" t="str">
        <f>TRIM(PROPER(H:H))</f>
        <v>Karnataka</v>
      </c>
      <c r="AE870" t="str">
        <f>TRIM(PROPER(I:I))</f>
        <v>Bengaluru</v>
      </c>
      <c r="AF870" t="str">
        <f>TRIM(PROPER(J:J))</f>
        <v>Office Supplies</v>
      </c>
      <c r="AG870" t="str">
        <f>TRIM(PROPER(K:K))</f>
        <v>Storage</v>
      </c>
      <c r="AH870" t="str">
        <f>TRIM(PROPER(L:L))</f>
        <v>Elite Storage 187</v>
      </c>
      <c r="AI870" t="str">
        <f>TRIM(PROPER(M:M))</f>
        <v>Same Day</v>
      </c>
      <c r="AJ870" s="5">
        <f>IF(OR(P870&lt;0,P870&gt;0.5),"invalid",P870)</f>
        <v>0.05</v>
      </c>
      <c r="AK870" s="6">
        <f>IFERROR(N870*O870*(1-AJ870), "NA")</f>
        <v>1923.2369999999999</v>
      </c>
      <c r="AL870" s="6">
        <f>IFERROR(AK870-R870,"NA")</f>
        <v>829.57699999999977</v>
      </c>
      <c r="AM870" s="5">
        <f t="shared" si="65"/>
        <v>0.43134413491420964</v>
      </c>
      <c r="AN870" t="str">
        <v>11-04-25</v>
      </c>
      <c r="AO870" t="str">
        <v>15-04-25</v>
      </c>
      <c r="AP870" t="str">
        <f t="shared" si="66"/>
        <v>April</v>
      </c>
      <c r="AQ870" t="str">
        <f t="shared" si="67"/>
        <v>2025</v>
      </c>
      <c r="AR870" t="str">
        <f t="shared" si="68"/>
        <v xml:space="preserve"> </v>
      </c>
      <c r="AS870">
        <f t="shared" si="69"/>
        <v>4</v>
      </c>
      <c r="AT870" t="str">
        <f>IF(COUNTIFS( $A:$A,A870,$B:$B,B870,$C:$C,C870,$D:$D,D870,$E:$E,E870,$F:$F,F870,$G:$G,G870,$H:$H,H870,$I:$I,I870,$J:$J,J870,$K:$K,K870,$L:$L,L870,$M:$M,M870,$T:$T,T870,$U:$U,U870,$W:$W,W870,$Z:$Z,Z870,$AA:$AA,AA870,$AB:$AB,AB870,$AC:$AC,AC870,$AD:$AD,AD870,$AE:$AE,AE870,$AF:$AF,AF870,$AG:$AG,AG870,$AH:$AH,AH870,$AI:$AI,AI870)&gt;1,"Duplicate","Unique")</f>
        <v>Unique</v>
      </c>
    </row>
    <row r="871" spans="1:46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  <c r="W871" t="s">
        <v>3967</v>
      </c>
      <c r="Z871" t="s">
        <v>3969</v>
      </c>
      <c r="AA871" t="str">
        <v>Rohan Mehta</v>
      </c>
      <c r="AB871" t="str">
        <f>TRIM(PROPER(F:F))</f>
        <v>Home Office</v>
      </c>
      <c r="AC871" t="s">
        <v>4111</v>
      </c>
      <c r="AD871" t="str">
        <f>TRIM(PROPER(H:H))</f>
        <v>Delhi</v>
      </c>
      <c r="AE871" t="str">
        <f>TRIM(PROPER(I:I))</f>
        <v>New Delhi</v>
      </c>
      <c r="AF871" t="str">
        <f>TRIM(PROPER(J:J))</f>
        <v>Furniture</v>
      </c>
      <c r="AG871" t="str">
        <f>TRIM(PROPER(K:K))</f>
        <v>Chairs</v>
      </c>
      <c r="AH871" t="str">
        <f>TRIM(PROPER(L:L))</f>
        <v>Max Chairs 487</v>
      </c>
      <c r="AI871" t="str">
        <f>TRIM(PROPER(M:M))</f>
        <v>Same Day</v>
      </c>
      <c r="AJ871" s="5">
        <f>IF(OR(P871&lt;0,P871&gt;0.5),"invalid",P871)</f>
        <v>0.1</v>
      </c>
      <c r="AK871" s="6">
        <f>IFERROR(N871*O871*(1-AJ871), "NA")</f>
        <v>4301.91</v>
      </c>
      <c r="AL871" s="6">
        <f>IFERROR(AK871-R871,"NA")</f>
        <v>1927.5099999999998</v>
      </c>
      <c r="AM871" s="5">
        <f t="shared" si="65"/>
        <v>0.44805911792668834</v>
      </c>
      <c r="AN871" t="str">
        <v>03-06-25</v>
      </c>
      <c r="AO871" t="str">
        <v>07-03-25</v>
      </c>
      <c r="AP871" t="str">
        <f t="shared" si="66"/>
        <v>June</v>
      </c>
      <c r="AQ871" t="str">
        <f t="shared" si="67"/>
        <v>2025</v>
      </c>
      <c r="AR871" t="str">
        <f t="shared" si="68"/>
        <v xml:space="preserve"> </v>
      </c>
      <c r="AS871">
        <f t="shared" si="69"/>
        <v>-88</v>
      </c>
      <c r="AT871" t="str">
        <f>IF(COUNTIFS( $A:$A,A871,$B:$B,B871,$C:$C,C871,$D:$D,D871,$E:$E,E871,$F:$F,F871,$G:$G,G871,$H:$H,H871,$I:$I,I871,$J:$J,J871,$K:$K,K871,$L:$L,L871,$M:$M,M871,$T:$T,T871,$U:$U,U871,$W:$W,W871,$Z:$Z,Z871,$AA:$AA,AA871,$AB:$AB,AB871,$AC:$AC,AC871,$AD:$AD,AD871,$AE:$AE,AE871,$AF:$AF,AF871,$AG:$AG,AG871,$AH:$AH,AH871,$AI:$AI,AI871)&gt;1,"Duplicate","Unique")</f>
        <v>Unique</v>
      </c>
    </row>
    <row r="872" spans="1:46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  <c r="W872" t="s">
        <v>3970</v>
      </c>
      <c r="Z872" t="s">
        <v>3973</v>
      </c>
      <c r="AA872" t="str">
        <v>Vikram Iyer</v>
      </c>
      <c r="AB872" t="str">
        <f>TRIM(PROPER(F:F))</f>
        <v>Corporate</v>
      </c>
      <c r="AC872" t="str">
        <f>TRIM(PROPER(G:G))</f>
        <v>West</v>
      </c>
      <c r="AD872" t="str">
        <f>TRIM(PROPER(H:H))</f>
        <v>Goa</v>
      </c>
      <c r="AE872" t="str">
        <f>TRIM(PROPER(I:I))</f>
        <v>Panaji</v>
      </c>
      <c r="AF872" t="str">
        <f>TRIM(PROPER(J:J))</f>
        <v>Furniture</v>
      </c>
      <c r="AG872" t="str">
        <f>TRIM(PROPER(K:K))</f>
        <v>Tables</v>
      </c>
      <c r="AH872" t="str">
        <f>TRIM(PROPER(L:L))</f>
        <v>Max Tables 281</v>
      </c>
      <c r="AI872" t="str">
        <f>TRIM(PROPER(M:M))</f>
        <v>Standard Class</v>
      </c>
      <c r="AJ872" s="5">
        <f>IF(OR(P872&lt;0,P872&gt;0.5),"invalid",P872)</f>
        <v>0.15</v>
      </c>
      <c r="AK872" s="6">
        <f>IFERROR(N872*O872*(1-AJ872), "NA")</f>
        <v>22436.838</v>
      </c>
      <c r="AL872" s="6">
        <f>IFERROR(AK872-R872,"NA")</f>
        <v>4982.1680000000015</v>
      </c>
      <c r="AM872" s="5">
        <f t="shared" si="65"/>
        <v>0.22205303617203109</v>
      </c>
      <c r="AN872" t="str">
        <v>06-06-25</v>
      </c>
      <c r="AO872" t="str">
        <v>07-06-25</v>
      </c>
      <c r="AP872" t="str">
        <f t="shared" si="66"/>
        <v>June</v>
      </c>
      <c r="AQ872" t="str">
        <f t="shared" si="67"/>
        <v>2025</v>
      </c>
      <c r="AR872" t="str">
        <f t="shared" si="68"/>
        <v xml:space="preserve"> </v>
      </c>
      <c r="AS872">
        <f t="shared" si="69"/>
        <v>1</v>
      </c>
      <c r="AT872" t="str">
        <f>IF(COUNTIFS( $A:$A,A872,$B:$B,B872,$C:$C,C872,$D:$D,D872,$E:$E,E872,$F:$F,F872,$G:$G,G872,$H:$H,H872,$I:$I,I872,$J:$J,J872,$K:$K,K872,$L:$L,L872,$M:$M,M872,$T:$T,T872,$U:$U,U872,$W:$W,W872,$Z:$Z,Z872,$AA:$AA,AA872,$AB:$AB,AB872,$AC:$AC,AC872,$AD:$AD,AD872,$AE:$AE,AE872,$AF:$AF,AF872,$AG:$AG,AG872,$AH:$AH,AH872,$AI:$AI,AI872)&gt;1,"Duplicate","Unique")</f>
        <v>Unique</v>
      </c>
    </row>
    <row r="873" spans="1:46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  <c r="W873" t="s">
        <v>3975</v>
      </c>
      <c r="Z873" t="s">
        <v>3795</v>
      </c>
      <c r="AA873" t="str">
        <v>Neha Gupta</v>
      </c>
      <c r="AB873" t="str">
        <f>TRIM(PROPER(F:F))</f>
        <v>Small Business</v>
      </c>
      <c r="AC873" t="str">
        <f>TRIM(PROPER(G:G))</f>
        <v>South</v>
      </c>
      <c r="AD873" t="str">
        <f>TRIM(PROPER(H:H))</f>
        <v>Telangana</v>
      </c>
      <c r="AE873" t="str">
        <f>TRIM(PROPER(I:I))</f>
        <v>Hyderabad</v>
      </c>
      <c r="AF873" t="str">
        <f>TRIM(PROPER(J:J))</f>
        <v>Technology</v>
      </c>
      <c r="AG873" t="str">
        <f>TRIM(PROPER(K:K))</f>
        <v>Accessories</v>
      </c>
      <c r="AH873" t="str">
        <f>TRIM(PROPER(L:L))</f>
        <v>Pro Accessories 325</v>
      </c>
      <c r="AI873" t="str">
        <f>TRIM(PROPER(M:M))</f>
        <v>First Class</v>
      </c>
      <c r="AJ873" s="5">
        <f>IF(OR(P873&lt;0,P873&gt;0.5),"invalid",P873)</f>
        <v>0</v>
      </c>
      <c r="AK873" s="6">
        <f>IFERROR(N873*O873*(1-AJ873), "NA")</f>
        <v>19676.07</v>
      </c>
      <c r="AL873" s="6">
        <f>IFERROR(AK873-R873,"NA")</f>
        <v>7217.4499999999989</v>
      </c>
      <c r="AM873" s="5">
        <f t="shared" si="65"/>
        <v>0.36681359641432454</v>
      </c>
      <c r="AN873" t="str">
        <v>invalid date</v>
      </c>
      <c r="AO873" t="str">
        <v>22-02-24</v>
      </c>
      <c r="AP873" t="str">
        <f t="shared" si="66"/>
        <v>invalid date</v>
      </c>
      <c r="AQ873" t="str">
        <f t="shared" si="67"/>
        <v>invalid date</v>
      </c>
      <c r="AR873" t="str">
        <f t="shared" si="68"/>
        <v>Invalid</v>
      </c>
      <c r="AS873" t="str">
        <f t="shared" si="69"/>
        <v>invalid date</v>
      </c>
      <c r="AT873" t="str">
        <f>IF(COUNTIFS( $A:$A,A873,$B:$B,B873,$C:$C,C873,$D:$D,D873,$E:$E,E873,$F:$F,F873,$G:$G,G873,$H:$H,H873,$I:$I,I873,$J:$J,J873,$K:$K,K873,$L:$L,L873,$M:$M,M873,$T:$T,T873,$U:$U,U873,$W:$W,W873,$Z:$Z,Z873,$AA:$AA,AA873,$AB:$AB,AB873,$AC:$AC,AC873,$AD:$AD,AD873,$AE:$AE,AE873,$AF:$AF,AF873,$AG:$AG,AG873,$AH:$AH,AH873,$AI:$AI,AI873)&gt;1,"Duplicate","Unique")</f>
        <v>Unique</v>
      </c>
    </row>
    <row r="874" spans="1:46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  <c r="W874" t="s">
        <v>3978</v>
      </c>
      <c r="Z874" t="s">
        <v>2962</v>
      </c>
      <c r="AA874" t="str">
        <v>Karan Malhotra</v>
      </c>
      <c r="AB874" t="str">
        <f>TRIM(PROPER(F:F))</f>
        <v>Corporate</v>
      </c>
      <c r="AC874" t="str">
        <f>TRIM(PROPER(G:G))</f>
        <v>East</v>
      </c>
      <c r="AD874" t="str">
        <f>TRIM(PROPER(H:H))</f>
        <v>West Bengal</v>
      </c>
      <c r="AE874" t="str">
        <f>TRIM(PROPER(I:I))</f>
        <v>Kolkata</v>
      </c>
      <c r="AF874" t="str">
        <f>TRIM(PROPER(J:J))</f>
        <v>Furniture</v>
      </c>
      <c r="AG874" t="str">
        <f>TRIM(PROPER(K:K))</f>
        <v>Furnishings</v>
      </c>
      <c r="AH874" t="str">
        <f>TRIM(PROPER(L:L))</f>
        <v>Prime Furnishings 178</v>
      </c>
      <c r="AI874" t="str">
        <f>TRIM(PROPER(M:M))</f>
        <v>Standard Class</v>
      </c>
      <c r="AJ874" s="5">
        <f>IF(OR(P874&lt;0,P874&gt;0.5),"invalid",P874)</f>
        <v>0.2</v>
      </c>
      <c r="AK874" s="6">
        <f>IFERROR(N874*O874*(1-AJ874), "NA")</f>
        <v>8848.08</v>
      </c>
      <c r="AL874" s="6">
        <f>IFERROR(AK874-R874,"NA")</f>
        <v>3156.5199999999995</v>
      </c>
      <c r="AM874" s="5">
        <f t="shared" si="65"/>
        <v>0.35674632236598219</v>
      </c>
      <c r="AN874" t="str">
        <v>11-01-24</v>
      </c>
      <c r="AO874" t="str">
        <v>02-11-24</v>
      </c>
      <c r="AP874" t="str">
        <f t="shared" si="66"/>
        <v>January</v>
      </c>
      <c r="AQ874" t="str">
        <f t="shared" si="67"/>
        <v>2024</v>
      </c>
      <c r="AR874" t="str">
        <f t="shared" si="68"/>
        <v>anomaly</v>
      </c>
      <c r="AS874">
        <f t="shared" si="69"/>
        <v>296</v>
      </c>
      <c r="AT874" t="str">
        <f>IF(COUNTIFS( $A:$A,A874,$B:$B,B874,$C:$C,C874,$D:$D,D874,$E:$E,E874,$F:$F,F874,$G:$G,G874,$H:$H,H874,$I:$I,I874,$J:$J,J874,$K:$K,K874,$L:$L,L874,$M:$M,M874,$T:$T,T874,$U:$U,U874,$W:$W,W874,$Z:$Z,Z874,$AA:$AA,AA874,$AB:$AB,AB874,$AC:$AC,AC874,$AD:$AD,AD874,$AE:$AE,AE874,$AF:$AF,AF874,$AG:$AG,AG874,$AH:$AH,AH874,$AI:$AI,AI874)&gt;1,"Duplicate","Unique")</f>
        <v>Unique</v>
      </c>
    </row>
    <row r="875" spans="1:46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  <c r="W875" t="s">
        <v>3981</v>
      </c>
      <c r="Z875" t="s">
        <v>3984</v>
      </c>
      <c r="AA875" t="str">
        <v>Aditi Sen</v>
      </c>
      <c r="AB875" t="str">
        <f>TRIM(PROPER(F:F))</f>
        <v>Home Office</v>
      </c>
      <c r="AC875" t="str">
        <f>TRIM(PROPER(G:G))</f>
        <v>West</v>
      </c>
      <c r="AD875" t="str">
        <f>TRIM(PROPER(H:H))</f>
        <v>Gujarat</v>
      </c>
      <c r="AE875" t="str">
        <f>TRIM(PROPER(I:I))</f>
        <v>Ahmedabad</v>
      </c>
      <c r="AF875" t="str">
        <f>TRIM(PROPER(J:J))</f>
        <v>Office Supplies</v>
      </c>
      <c r="AG875" t="str">
        <f>TRIM(PROPER(K:K))</f>
        <v>Storage</v>
      </c>
      <c r="AH875" t="str">
        <f>TRIM(PROPER(L:L))</f>
        <v>Elite Storage 144</v>
      </c>
      <c r="AI875" t="str">
        <f>TRIM(PROPER(M:M))</f>
        <v>Second Class</v>
      </c>
      <c r="AJ875" s="5">
        <f>IF(OR(P875&lt;0,P875&gt;0.5),"invalid",P875)</f>
        <v>0.1</v>
      </c>
      <c r="AK875" s="6">
        <f>IFERROR(N875*O875*(1-AJ875), "NA")</f>
        <v>4487.8319999999994</v>
      </c>
      <c r="AL875" s="6">
        <f>IFERROR(AK875-R875,"NA")</f>
        <v>1854.0519999999992</v>
      </c>
      <c r="AM875" s="5">
        <f t="shared" si="65"/>
        <v>0.41312865543986482</v>
      </c>
      <c r="AN875" t="str">
        <v>01-02-25</v>
      </c>
      <c r="AO875" t="str">
        <v>08-02-25</v>
      </c>
      <c r="AP875" t="str">
        <f t="shared" si="66"/>
        <v>February</v>
      </c>
      <c r="AQ875" t="str">
        <f t="shared" si="67"/>
        <v>2025</v>
      </c>
      <c r="AR875" t="str">
        <f t="shared" si="68"/>
        <v xml:space="preserve"> </v>
      </c>
      <c r="AS875">
        <f t="shared" si="69"/>
        <v>7</v>
      </c>
      <c r="AT875" t="str">
        <f>IF(COUNTIFS( $A:$A,A875,$B:$B,B875,$C:$C,C875,$D:$D,D875,$E:$E,E875,$F:$F,F875,$G:$G,G875,$H:$H,H875,$I:$I,I875,$J:$J,J875,$K:$K,K875,$L:$L,L875,$M:$M,M875,$T:$T,T875,$U:$U,U875,$W:$W,W875,$Z:$Z,Z875,$AA:$AA,AA875,$AB:$AB,AB875,$AC:$AC,AC875,$AD:$AD,AD875,$AE:$AE,AE875,$AF:$AF,AF875,$AG:$AG,AG875,$AH:$AH,AH875,$AI:$AI,AI875)&gt;1,"Duplicate","Unique")</f>
        <v>Unique</v>
      </c>
    </row>
    <row r="876" spans="1:46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  <c r="W876" t="s">
        <v>3986</v>
      </c>
      <c r="Z876" t="s">
        <v>3987</v>
      </c>
      <c r="AA876" t="str">
        <v>Vikram Iyer</v>
      </c>
      <c r="AB876" t="str">
        <f>TRIM(PROPER(F:F))</f>
        <v>Small Business</v>
      </c>
      <c r="AC876" t="str">
        <f>TRIM(PROPER(G:G))</f>
        <v>West</v>
      </c>
      <c r="AD876" t="str">
        <f>TRIM(PROPER(H:H))</f>
        <v>Maharashtra</v>
      </c>
      <c r="AE876" t="str">
        <f>TRIM(PROPER(I:I))</f>
        <v>Mumbai</v>
      </c>
      <c r="AF876" t="str">
        <f>TRIM(PROPER(J:J))</f>
        <v>Office Supplies</v>
      </c>
      <c r="AG876" t="str">
        <f>TRIM(PROPER(K:K))</f>
        <v>Paper</v>
      </c>
      <c r="AH876" t="str">
        <f>TRIM(PROPER(L:L))</f>
        <v>Elite Paper 309</v>
      </c>
      <c r="AI876" t="str">
        <f>TRIM(PROPER(M:M))</f>
        <v>Standard Class</v>
      </c>
      <c r="AJ876" s="5">
        <f>IF(OR(P876&lt;0,P876&gt;0.5),"invalid",P876)</f>
        <v>0.05</v>
      </c>
      <c r="AK876" s="6">
        <f>IFERROR(N876*O876*(1-AJ876), "NA")</f>
        <v>29829.088</v>
      </c>
      <c r="AL876" s="6">
        <f>IFERROR(AK876-R876,"NA")</f>
        <v>9118.9079999999994</v>
      </c>
      <c r="AM876" s="5">
        <f t="shared" si="65"/>
        <v>0.30570522303598419</v>
      </c>
      <c r="AN876" t="str">
        <v>15-07-25</v>
      </c>
      <c r="AO876" t="str">
        <v>16-07-25</v>
      </c>
      <c r="AP876" t="str">
        <f t="shared" si="66"/>
        <v>July</v>
      </c>
      <c r="AQ876" t="str">
        <f t="shared" si="67"/>
        <v>2025</v>
      </c>
      <c r="AR876" t="str">
        <f t="shared" si="68"/>
        <v xml:space="preserve"> </v>
      </c>
      <c r="AS876">
        <f t="shared" si="69"/>
        <v>1</v>
      </c>
      <c r="AT876" t="str">
        <f>IF(COUNTIFS( $A:$A,A876,$B:$B,B876,$C:$C,C876,$D:$D,D876,$E:$E,E876,$F:$F,F876,$G:$G,G876,$H:$H,H876,$I:$I,I876,$J:$J,J876,$K:$K,K876,$L:$L,L876,$M:$M,M876,$T:$T,T876,$U:$U,U876,$W:$W,W876,$Z:$Z,Z876,$AA:$AA,AA876,$AB:$AB,AB876,$AC:$AC,AC876,$AD:$AD,AD876,$AE:$AE,AE876,$AF:$AF,AF876,$AG:$AG,AG876,$AH:$AH,AH876,$AI:$AI,AI876)&gt;1,"Duplicate","Unique")</f>
        <v>Unique</v>
      </c>
    </row>
    <row r="877" spans="1:46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  <c r="W877" t="s">
        <v>3989</v>
      </c>
      <c r="Z877" t="s">
        <v>3992</v>
      </c>
      <c r="AA877" t="str">
        <v>Mira Das</v>
      </c>
      <c r="AB877" t="str">
        <f>TRIM(PROPER(F:F))</f>
        <v>Corporate</v>
      </c>
      <c r="AC877" t="str">
        <f>TRIM(PROPER(G:G))</f>
        <v>West</v>
      </c>
      <c r="AD877" t="str">
        <f>TRIM(PROPER(H:H))</f>
        <v>Maharashtra</v>
      </c>
      <c r="AE877" t="str">
        <f>TRIM(PROPER(I:I))</f>
        <v>Mumbai</v>
      </c>
      <c r="AF877" t="str">
        <f>TRIM(PROPER(J:J))</f>
        <v>Technology</v>
      </c>
      <c r="AG877" t="str">
        <f>TRIM(PROPER(K:K))</f>
        <v>Copiers</v>
      </c>
      <c r="AH877" t="str">
        <f>TRIM(PROPER(L:L))</f>
        <v>Elite Copiers 752</v>
      </c>
      <c r="AI877" t="str">
        <f>TRIM(PROPER(M:M))</f>
        <v>First Class</v>
      </c>
      <c r="AJ877" s="5">
        <f>IF(OR(P877&lt;0,P877&gt;0.5),"invalid",P877)</f>
        <v>0.2</v>
      </c>
      <c r="AK877" s="6">
        <f>IFERROR(N877*O877*(1-AJ877), "NA")</f>
        <v>21574.672000000002</v>
      </c>
      <c r="AL877" s="6">
        <f>IFERROR(AK877-R877,"NA")</f>
        <v>6901.8420000000024</v>
      </c>
      <c r="AM877" s="5">
        <f t="shared" si="65"/>
        <v>0.31990484026825539</v>
      </c>
      <c r="AN877" t="str">
        <v>10-08-24</v>
      </c>
      <c r="AO877" t="str">
        <v>08-11-24</v>
      </c>
      <c r="AP877" t="str">
        <f t="shared" si="66"/>
        <v>August</v>
      </c>
      <c r="AQ877" t="str">
        <f t="shared" si="67"/>
        <v>2024</v>
      </c>
      <c r="AR877" t="str">
        <f t="shared" si="68"/>
        <v>anomaly</v>
      </c>
      <c r="AS877">
        <f t="shared" si="69"/>
        <v>90</v>
      </c>
      <c r="AT877" t="str">
        <f>IF(COUNTIFS( $A:$A,A877,$B:$B,B877,$C:$C,C877,$D:$D,D877,$E:$E,E877,$F:$F,F877,$G:$G,G877,$H:$H,H877,$I:$I,I877,$J:$J,J877,$K:$K,K877,$L:$L,L877,$M:$M,M877,$T:$T,T877,$U:$U,U877,$W:$W,W877,$Z:$Z,Z877,$AA:$AA,AA877,$AB:$AB,AB877,$AC:$AC,AC877,$AD:$AD,AD877,$AE:$AE,AE877,$AF:$AF,AF877,$AG:$AG,AG877,$AH:$AH,AH877,$AI:$AI,AI877)&gt;1,"Duplicate","Unique")</f>
        <v>Unique</v>
      </c>
    </row>
    <row r="878" spans="1:46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  <c r="W878" t="s">
        <v>3994</v>
      </c>
      <c r="Z878" t="s">
        <v>3997</v>
      </c>
      <c r="AA878" t="str">
        <v>Priya Menon</v>
      </c>
      <c r="AB878" t="str">
        <f>TRIM(PROPER(F:F))</f>
        <v>Consumer</v>
      </c>
      <c r="AC878" t="str">
        <f>TRIM(PROPER(G:G))</f>
        <v>West</v>
      </c>
      <c r="AD878" t="str">
        <f>TRIM(PROPER(H:H))</f>
        <v>Rajasthan</v>
      </c>
      <c r="AE878" t="str">
        <f>TRIM(PROPER(I:I))</f>
        <v>Udaipur</v>
      </c>
      <c r="AF878" t="str">
        <f>TRIM(PROPER(J:J))</f>
        <v>Furniture</v>
      </c>
      <c r="AG878" t="str">
        <f>TRIM(PROPER(K:K))</f>
        <v>Chairs</v>
      </c>
      <c r="AH878" t="str">
        <f>TRIM(PROPER(L:L))</f>
        <v>Pro Chairs 316</v>
      </c>
      <c r="AI878" t="str">
        <f>TRIM(PROPER(M:M))</f>
        <v>First Class</v>
      </c>
      <c r="AJ878" s="5">
        <f>IF(OR(P878&lt;0,P878&gt;0.5),"invalid",P878)</f>
        <v>0</v>
      </c>
      <c r="AK878" s="6">
        <f>IFERROR(N878*O878*(1-AJ878), "NA")</f>
        <v>22741.32</v>
      </c>
      <c r="AL878" s="6">
        <f>IFERROR(AK878-R878,"NA")</f>
        <v>6352.75</v>
      </c>
      <c r="AM878" s="5">
        <f t="shared" si="65"/>
        <v>0.27934834037777928</v>
      </c>
      <c r="AN878" t="str">
        <v>invalid date</v>
      </c>
      <c r="AO878" t="str">
        <v>20-11-24</v>
      </c>
      <c r="AP878" t="str">
        <f t="shared" si="66"/>
        <v>invalid date</v>
      </c>
      <c r="AQ878" t="str">
        <f t="shared" si="67"/>
        <v>invalid date</v>
      </c>
      <c r="AR878" t="str">
        <f t="shared" si="68"/>
        <v>Invalid</v>
      </c>
      <c r="AS878" t="str">
        <f t="shared" si="69"/>
        <v>invalid date</v>
      </c>
      <c r="AT878" t="str">
        <f>IF(COUNTIFS( $A:$A,A878,$B:$B,B878,$C:$C,C878,$D:$D,D878,$E:$E,E878,$F:$F,F878,$G:$G,G878,$H:$H,H878,$I:$I,I878,$J:$J,J878,$K:$K,K878,$L:$L,L878,$M:$M,M878,$T:$T,T878,$U:$U,U878,$W:$W,W878,$Z:$Z,Z878,$AA:$AA,AA878,$AB:$AB,AB878,$AC:$AC,AC878,$AD:$AD,AD878,$AE:$AE,AE878,$AF:$AF,AF878,$AG:$AG,AG878,$AH:$AH,AH878,$AI:$AI,AI878)&gt;1,"Duplicate","Unique")</f>
        <v>Unique</v>
      </c>
    </row>
    <row r="879" spans="1:46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  <c r="W879" t="s">
        <v>3998</v>
      </c>
      <c r="Z879" t="s">
        <v>4000</v>
      </c>
      <c r="AA879" t="str">
        <v>Aarav Sharma</v>
      </c>
      <c r="AB879" t="str">
        <f>TRIM(PROPER(F:F))</f>
        <v>Consumer</v>
      </c>
      <c r="AC879" t="str">
        <f>TRIM(PROPER(G:G))</f>
        <v>West</v>
      </c>
      <c r="AD879" t="str">
        <f>TRIM(PROPER(H:H))</f>
        <v>Rajasthan</v>
      </c>
      <c r="AE879" t="str">
        <f>TRIM(PROPER(I:I))</f>
        <v>Udaipur</v>
      </c>
      <c r="AF879" t="str">
        <f>TRIM(PROPER(J:J))</f>
        <v>Office Supplies</v>
      </c>
      <c r="AG879" t="str">
        <f>TRIM(PROPER(K:K))</f>
        <v>Storage</v>
      </c>
      <c r="AH879" t="str">
        <f>TRIM(PROPER(L:L))</f>
        <v>Max Storage 438</v>
      </c>
      <c r="AI879" t="str">
        <f>TRIM(PROPER(M:M))</f>
        <v>Second Class</v>
      </c>
      <c r="AJ879" s="5">
        <f>IF(OR(P879&lt;0,P879&gt;0.5),"invalid",P879)</f>
        <v>0.1</v>
      </c>
      <c r="AK879" s="6">
        <f>IFERROR(N879*O879*(1-AJ879), "NA")</f>
        <v>3641.5439999999999</v>
      </c>
      <c r="AL879" s="6">
        <f>IFERROR(AK879-R879,"NA")</f>
        <v>951.17399999999998</v>
      </c>
      <c r="AM879" s="5">
        <f t="shared" si="65"/>
        <v>0.26120074342092253</v>
      </c>
      <c r="AN879" t="str">
        <v>26-08-25</v>
      </c>
      <c r="AO879" t="str">
        <v>03-09-25</v>
      </c>
      <c r="AP879" t="str">
        <f t="shared" si="66"/>
        <v>August</v>
      </c>
      <c r="AQ879" t="str">
        <f t="shared" si="67"/>
        <v>2025</v>
      </c>
      <c r="AR879" t="str">
        <f t="shared" si="68"/>
        <v>anomaly</v>
      </c>
      <c r="AS879">
        <f t="shared" si="69"/>
        <v>8</v>
      </c>
      <c r="AT879" t="str">
        <f>IF(COUNTIFS( $A:$A,A879,$B:$B,B879,$C:$C,C879,$D:$D,D879,$E:$E,E879,$F:$F,F879,$G:$G,G879,$H:$H,H879,$I:$I,I879,$J:$J,J879,$K:$K,K879,$L:$L,L879,$M:$M,M879,$T:$T,T879,$U:$U,U879,$W:$W,W879,$Z:$Z,Z879,$AA:$AA,AA879,$AB:$AB,AB879,$AC:$AC,AC879,$AD:$AD,AD879,$AE:$AE,AE879,$AF:$AF,AF879,$AG:$AG,AG879,$AH:$AH,AH879,$AI:$AI,AI879)&gt;1,"Duplicate","Unique")</f>
        <v>Unique</v>
      </c>
    </row>
    <row r="880" spans="1:46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  <c r="W880" t="s">
        <v>4002</v>
      </c>
      <c r="Z880" t="s">
        <v>4003</v>
      </c>
      <c r="AA880" t="str">
        <v>Karan Malhotra</v>
      </c>
      <c r="AB880" t="str">
        <f>TRIM(PROPER(F:F))</f>
        <v>Corporate</v>
      </c>
      <c r="AC880" t="str">
        <f>TRIM(PROPER(G:G))</f>
        <v>East</v>
      </c>
      <c r="AD880" t="str">
        <f>TRIM(PROPER(H:H))</f>
        <v>West Bengal</v>
      </c>
      <c r="AE880" t="str">
        <f>TRIM(PROPER(I:I))</f>
        <v>Kolkata</v>
      </c>
      <c r="AF880" t="str">
        <f>TRIM(PROPER(J:J))</f>
        <v>Office Supplies</v>
      </c>
      <c r="AG880" t="str">
        <f>TRIM(PROPER(K:K))</f>
        <v>Paper</v>
      </c>
      <c r="AH880" t="str">
        <f>TRIM(PROPER(L:L))</f>
        <v>Basic Paper 904</v>
      </c>
      <c r="AI880" t="str">
        <f>TRIM(PROPER(M:M))</f>
        <v>First Class</v>
      </c>
      <c r="AJ880" s="5">
        <f>IF(OR(P880&lt;0,P880&gt;0.5),"invalid",P880)</f>
        <v>0.05</v>
      </c>
      <c r="AK880" s="6">
        <f>IFERROR(N880*O880*(1-AJ880), "NA")</f>
        <v>11834.796</v>
      </c>
      <c r="AL880" s="6">
        <f>IFERROR(AK880-R880,"NA")</f>
        <v>2512.4359999999997</v>
      </c>
      <c r="AM880" s="5">
        <f t="shared" si="65"/>
        <v>0.21229229468763125</v>
      </c>
      <c r="AN880" t="str">
        <v>22-01-24</v>
      </c>
      <c r="AO880" t="str">
        <v>22-01-24</v>
      </c>
      <c r="AP880" t="str">
        <f t="shared" si="66"/>
        <v>January</v>
      </c>
      <c r="AQ880" t="str">
        <f t="shared" si="67"/>
        <v>2024</v>
      </c>
      <c r="AR880" t="str">
        <f t="shared" si="68"/>
        <v xml:space="preserve"> </v>
      </c>
      <c r="AS880">
        <f t="shared" si="69"/>
        <v>0</v>
      </c>
      <c r="AT880" t="str">
        <f>IF(COUNTIFS( $A:$A,A880,$B:$B,B880,$C:$C,C880,$D:$D,D880,$E:$E,E880,$F:$F,F880,$G:$G,G880,$H:$H,H880,$I:$I,I880,$J:$J,J880,$K:$K,K880,$L:$L,L880,$M:$M,M880,$T:$T,T880,$U:$U,U880,$W:$W,W880,$Z:$Z,Z880,$AA:$AA,AA880,$AB:$AB,AB880,$AC:$AC,AC880,$AD:$AD,AD880,$AE:$AE,AE880,$AF:$AF,AF880,$AG:$AG,AG880,$AH:$AH,AH880,$AI:$AI,AI880)&gt;1,"Duplicate","Unique")</f>
        <v>Unique</v>
      </c>
    </row>
    <row r="881" spans="1:46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  <c r="W881" t="s">
        <v>4005</v>
      </c>
      <c r="Z881" t="s">
        <v>4007</v>
      </c>
      <c r="AA881" t="str">
        <v>Ananya Rao</v>
      </c>
      <c r="AB881" t="str">
        <f>TRIM(PROPER(F:F))</f>
        <v>Home Office</v>
      </c>
      <c r="AC881" t="str">
        <f>TRIM(PROPER(G:G))</f>
        <v>North</v>
      </c>
      <c r="AD881" t="str">
        <f>TRIM(PROPER(H:H))</f>
        <v>Uttar Pradesh</v>
      </c>
      <c r="AE881" t="str">
        <f>TRIM(PROPER(I:I))</f>
        <v>Noida</v>
      </c>
      <c r="AF881" t="str">
        <f>TRIM(PROPER(J:J))</f>
        <v>Office Supplies</v>
      </c>
      <c r="AG881" t="str">
        <f>TRIM(PROPER(K:K))</f>
        <v>Art</v>
      </c>
      <c r="AH881" t="str">
        <f>TRIM(PROPER(L:L))</f>
        <v>Smart Art 990</v>
      </c>
      <c r="AI881" t="str">
        <f>TRIM(PROPER(M:M))</f>
        <v>Standard Class</v>
      </c>
      <c r="AJ881" s="5">
        <f>IF(OR(P881&lt;0,P881&gt;0.5),"invalid",P881)</f>
        <v>0.15</v>
      </c>
      <c r="AK881" s="6">
        <f>IFERROR(N881*O881*(1-AJ881), "NA")</f>
        <v>6028.3530000000001</v>
      </c>
      <c r="AL881" s="6">
        <f>IFERROR(AK881-R881,"NA")</f>
        <v>1594.723</v>
      </c>
      <c r="AM881" s="5">
        <f t="shared" si="65"/>
        <v>0.26453709661660491</v>
      </c>
      <c r="AN881" t="str">
        <v>27-08-25</v>
      </c>
      <c r="AO881" t="str">
        <v>invalid date</v>
      </c>
      <c r="AP881" t="str">
        <f t="shared" si="66"/>
        <v>August</v>
      </c>
      <c r="AQ881" t="str">
        <f t="shared" si="67"/>
        <v>2025</v>
      </c>
      <c r="AR881" t="str">
        <f t="shared" si="68"/>
        <v>Invalid</v>
      </c>
      <c r="AS881" t="str">
        <f t="shared" si="69"/>
        <v>invalid date</v>
      </c>
      <c r="AT881" t="str">
        <f>IF(COUNTIFS( $A:$A,A881,$B:$B,B881,$C:$C,C881,$D:$D,D881,$E:$E,E881,$F:$F,F881,$G:$G,G881,$H:$H,H881,$I:$I,I881,$J:$J,J881,$K:$K,K881,$L:$L,L881,$M:$M,M881,$T:$T,T881,$U:$U,U881,$W:$W,W881,$Z:$Z,Z881,$AA:$AA,AA881,$AB:$AB,AB881,$AC:$AC,AC881,$AD:$AD,AD881,$AE:$AE,AE881,$AF:$AF,AF881,$AG:$AG,AG881,$AH:$AH,AH881,$AI:$AI,AI881)&gt;1,"Duplicate","Unique")</f>
        <v>Unique</v>
      </c>
    </row>
    <row r="882" spans="1:46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  <c r="W882" t="s">
        <v>4009</v>
      </c>
      <c r="Z882" t="s">
        <v>4011</v>
      </c>
      <c r="AA882" t="str">
        <v>Aarav Sharma</v>
      </c>
      <c r="AB882" t="str">
        <f>TRIM(PROPER(F:F))</f>
        <v>Small Business</v>
      </c>
      <c r="AC882" t="s">
        <v>4111</v>
      </c>
      <c r="AD882" t="str">
        <f>TRIM(PROPER(H:H))</f>
        <v>Punjab</v>
      </c>
      <c r="AE882" t="str">
        <f>TRIM(PROPER(I:I))</f>
        <v>Ludhiana</v>
      </c>
      <c r="AF882" t="str">
        <f>TRIM(PROPER(J:J))</f>
        <v>Furniture</v>
      </c>
      <c r="AG882" t="str">
        <f>TRIM(PROPER(K:K))</f>
        <v>Chairs</v>
      </c>
      <c r="AH882" t="str">
        <f>TRIM(PROPER(L:L))</f>
        <v>Basic Chairs 327</v>
      </c>
      <c r="AI882" t="str">
        <f>TRIM(PROPER(M:M))</f>
        <v>First Class</v>
      </c>
      <c r="AJ882" s="5">
        <f>IF(OR(P882&lt;0,P882&gt;0.5),"invalid",P882)</f>
        <v>0</v>
      </c>
      <c r="AK882" s="6">
        <f>IFERROR(N882*O882*(1-AJ882), "NA")</f>
        <v>16173.85</v>
      </c>
      <c r="AL882" s="6">
        <f>IFERROR(AK882-R882,"NA")</f>
        <v>2537.5100000000002</v>
      </c>
      <c r="AM882" s="5">
        <f t="shared" si="65"/>
        <v>0.15688967067210344</v>
      </c>
      <c r="AN882" t="str">
        <v>08-03-24</v>
      </c>
      <c r="AO882" t="str">
        <v>invalid date</v>
      </c>
      <c r="AP882" t="str">
        <f t="shared" si="66"/>
        <v>March</v>
      </c>
      <c r="AQ882" t="str">
        <f t="shared" si="67"/>
        <v>2024</v>
      </c>
      <c r="AR882" t="str">
        <f t="shared" si="68"/>
        <v>Invalid</v>
      </c>
      <c r="AS882" t="str">
        <f t="shared" si="69"/>
        <v>invalid date</v>
      </c>
      <c r="AT882" t="str">
        <f>IF(COUNTIFS( $A:$A,A882,$B:$B,B882,$C:$C,C882,$D:$D,D882,$E:$E,E882,$F:$F,F882,$G:$G,G882,$H:$H,H882,$I:$I,I882,$J:$J,J882,$K:$K,K882,$L:$L,L882,$M:$M,M882,$T:$T,T882,$U:$U,U882,$W:$W,W882,$Z:$Z,Z882,$AA:$AA,AA882,$AB:$AB,AB882,$AC:$AC,AC882,$AD:$AD,AD882,$AE:$AE,AE882,$AF:$AF,AF882,$AG:$AG,AG882,$AH:$AH,AH882,$AI:$AI,AI882)&gt;1,"Duplicate","Unique")</f>
        <v>Unique</v>
      </c>
    </row>
    <row r="883" spans="1:46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  <c r="W883" t="s">
        <v>4013</v>
      </c>
      <c r="Z883" t="s">
        <v>4015</v>
      </c>
      <c r="AA883" t="str">
        <v>Ananya Rao</v>
      </c>
      <c r="AB883" t="str">
        <f>TRIM(PROPER(F:F))</f>
        <v>Small Business</v>
      </c>
      <c r="AC883" t="str">
        <f>TRIM(PROPER(G:G))</f>
        <v>South</v>
      </c>
      <c r="AD883" t="str">
        <f>TRIM(PROPER(H:H))</f>
        <v>Andhra Pradesh</v>
      </c>
      <c r="AE883" t="str">
        <f>TRIM(PROPER(I:I))</f>
        <v>Vijayawada</v>
      </c>
      <c r="AF883" t="str">
        <f>TRIM(PROPER(J:J))</f>
        <v>Technology</v>
      </c>
      <c r="AG883" t="str">
        <f>TRIM(PROPER(K:K))</f>
        <v>Copiers</v>
      </c>
      <c r="AH883" t="str">
        <f>TRIM(PROPER(L:L))</f>
        <v>Eco Copiers 987</v>
      </c>
      <c r="AI883" t="str">
        <f>TRIM(PROPER(M:M))</f>
        <v>Second Class</v>
      </c>
      <c r="AJ883" s="5">
        <f>IF(OR(P883&lt;0,P883&gt;0.5),"invalid",P883)</f>
        <v>0.25</v>
      </c>
      <c r="AK883" s="6">
        <f>IFERROR(N883*O883*(1-AJ883), "NA")</f>
        <v>25155.5625</v>
      </c>
      <c r="AL883" s="6">
        <f>IFERROR(AK883-R883,"NA")</f>
        <v>7562.8725000000013</v>
      </c>
      <c r="AM883" s="5">
        <f t="shared" si="65"/>
        <v>0.30064414182747856</v>
      </c>
      <c r="AN883" t="str">
        <v>01-12-24</v>
      </c>
      <c r="AO883" t="str">
        <v>05-12-24</v>
      </c>
      <c r="AP883" t="str">
        <f t="shared" si="66"/>
        <v>December</v>
      </c>
      <c r="AQ883" t="str">
        <f t="shared" si="67"/>
        <v>2024</v>
      </c>
      <c r="AR883" t="str">
        <f t="shared" si="68"/>
        <v xml:space="preserve"> </v>
      </c>
      <c r="AS883">
        <f t="shared" si="69"/>
        <v>4</v>
      </c>
      <c r="AT883" t="str">
        <f>IF(COUNTIFS( $A:$A,A883,$B:$B,B883,$C:$C,C883,$D:$D,D883,$E:$E,E883,$F:$F,F883,$G:$G,G883,$H:$H,H883,$I:$I,I883,$J:$J,J883,$K:$K,K883,$L:$L,L883,$M:$M,M883,$T:$T,T883,$U:$U,U883,$W:$W,W883,$Z:$Z,Z883,$AA:$AA,AA883,$AB:$AB,AB883,$AC:$AC,AC883,$AD:$AD,AD883,$AE:$AE,AE883,$AF:$AF,AF883,$AG:$AG,AG883,$AH:$AH,AH883,$AI:$AI,AI883)&gt;1,"Duplicate","Unique")</f>
        <v>Unique</v>
      </c>
    </row>
    <row r="884" spans="1:46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  <c r="W884" t="s">
        <v>4017</v>
      </c>
      <c r="Z884" t="s">
        <v>4019</v>
      </c>
      <c r="AA884" t="str">
        <v>Sneha Kapoor</v>
      </c>
      <c r="AB884" t="str">
        <f>TRIM(PROPER(F:F))</f>
        <v>Corporate</v>
      </c>
      <c r="AC884" t="str">
        <f>TRIM(PROPER(G:G))</f>
        <v>East</v>
      </c>
      <c r="AD884" t="str">
        <f>TRIM(PROPER(H:H))</f>
        <v>Bihar</v>
      </c>
      <c r="AE884" t="str">
        <f>TRIM(PROPER(I:I))</f>
        <v>Patna</v>
      </c>
      <c r="AF884" t="str">
        <f>TRIM(PROPER(J:J))</f>
        <v>Technology</v>
      </c>
      <c r="AG884" t="str">
        <f>TRIM(PROPER(K:K))</f>
        <v>Accessories</v>
      </c>
      <c r="AH884" t="str">
        <f>TRIM(PROPER(L:L))</f>
        <v>Basic Accessories 607</v>
      </c>
      <c r="AI884" t="str">
        <f>TRIM(PROPER(M:M))</f>
        <v>Standard Class</v>
      </c>
      <c r="AJ884" s="5">
        <f>IF(OR(P884&lt;0,P884&gt;0.5),"invalid",P884)</f>
        <v>0</v>
      </c>
      <c r="AK884" s="6">
        <f>IFERROR(N884*O884*(1-AJ884), "NA")</f>
        <v>7649.8</v>
      </c>
      <c r="AL884" s="6">
        <f>IFERROR(AK884-R884,"NA")</f>
        <v>2755.2700000000004</v>
      </c>
      <c r="AM884" s="5">
        <f t="shared" si="65"/>
        <v>0.36017542942299152</v>
      </c>
      <c r="AN884" t="str">
        <v>02-02-25</v>
      </c>
      <c r="AO884" t="str">
        <v>02-10-25</v>
      </c>
      <c r="AP884" t="str">
        <f t="shared" si="66"/>
        <v>February</v>
      </c>
      <c r="AQ884" t="str">
        <f t="shared" si="67"/>
        <v>2025</v>
      </c>
      <c r="AR884" t="str">
        <f t="shared" si="68"/>
        <v xml:space="preserve"> </v>
      </c>
      <c r="AS884">
        <f t="shared" si="69"/>
        <v>242</v>
      </c>
      <c r="AT884" t="str">
        <f>IF(COUNTIFS( $A:$A,A884,$B:$B,B884,$C:$C,C884,$D:$D,D884,$E:$E,E884,$F:$F,F884,$G:$G,G884,$H:$H,H884,$I:$I,I884,$J:$J,J884,$K:$K,K884,$L:$L,L884,$M:$M,M884,$T:$T,T884,$U:$U,U884,$W:$W,W884,$Z:$Z,Z884,$AA:$AA,AA884,$AB:$AB,AB884,$AC:$AC,AC884,$AD:$AD,AD884,$AE:$AE,AE884,$AF:$AF,AF884,$AG:$AG,AG884,$AH:$AH,AH884,$AI:$AI,AI884)&gt;1,"Duplicate","Unique")</f>
        <v>Unique</v>
      </c>
    </row>
    <row r="885" spans="1:46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  <c r="W885" t="s">
        <v>4021</v>
      </c>
      <c r="Z885" t="s">
        <v>4024</v>
      </c>
      <c r="AA885" t="str">
        <v>Aarav Sharma</v>
      </c>
      <c r="AB885" t="str">
        <f>TRIM(PROPER(F:F))</f>
        <v>Small Business</v>
      </c>
      <c r="AC885" t="str">
        <f>TRIM(PROPER(G:G))</f>
        <v>West</v>
      </c>
      <c r="AD885" t="str">
        <f>TRIM(PROPER(H:H))</f>
        <v>Goa</v>
      </c>
      <c r="AE885" t="str">
        <f>TRIM(PROPER(I:I))</f>
        <v>Panaji</v>
      </c>
      <c r="AF885" t="str">
        <f>TRIM(PROPER(J:J))</f>
        <v>Office Supplies</v>
      </c>
      <c r="AG885" t="str">
        <f>TRIM(PROPER(K:K))</f>
        <v>Storage</v>
      </c>
      <c r="AH885" t="str">
        <f>TRIM(PROPER(L:L))</f>
        <v>Classic Storage 211</v>
      </c>
      <c r="AI885" t="str">
        <f>TRIM(PROPER(M:M))</f>
        <v>Same Day</v>
      </c>
      <c r="AJ885" s="5">
        <f>IF(OR(P885&lt;0,P885&gt;0.5),"invalid",P885)</f>
        <v>0</v>
      </c>
      <c r="AK885" s="6">
        <f>IFERROR(N885*O885*(1-AJ885), "NA")</f>
        <v>1620.87</v>
      </c>
      <c r="AL885" s="6">
        <f>IFERROR(AK885-R885,"NA")</f>
        <v>517.26</v>
      </c>
      <c r="AM885" s="5">
        <f t="shared" si="65"/>
        <v>0.31912491439782342</v>
      </c>
      <c r="AN885" t="str">
        <v>28-04-25</v>
      </c>
      <c r="AO885" t="str">
        <v>05-01-25</v>
      </c>
      <c r="AP885" t="str">
        <f t="shared" si="66"/>
        <v>April</v>
      </c>
      <c r="AQ885" t="str">
        <f t="shared" si="67"/>
        <v>2025</v>
      </c>
      <c r="AR885" t="str">
        <f t="shared" si="68"/>
        <v>anomaly</v>
      </c>
      <c r="AS885">
        <f t="shared" si="69"/>
        <v>-113</v>
      </c>
      <c r="AT885" t="str">
        <f>IF(COUNTIFS( $A:$A,A885,$B:$B,B885,$C:$C,C885,$D:$D,D885,$E:$E,E885,$F:$F,F885,$G:$G,G885,$H:$H,H885,$I:$I,I885,$J:$J,J885,$K:$K,K885,$L:$L,L885,$M:$M,M885,$T:$T,T885,$U:$U,U885,$W:$W,W885,$Z:$Z,Z885,$AA:$AA,AA885,$AB:$AB,AB885,$AC:$AC,AC885,$AD:$AD,AD885,$AE:$AE,AE885,$AF:$AF,AF885,$AG:$AG,AG885,$AH:$AH,AH885,$AI:$AI,AI885)&gt;1,"Duplicate","Unique")</f>
        <v>Unique</v>
      </c>
    </row>
    <row r="886" spans="1:46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  <c r="W886" t="s">
        <v>4026</v>
      </c>
      <c r="Z886" t="s">
        <v>4029</v>
      </c>
      <c r="AA886" t="str">
        <v>Neha Gupta</v>
      </c>
      <c r="AB886" t="str">
        <f>TRIM(PROPER(F:F))</f>
        <v>Home Office</v>
      </c>
      <c r="AC886" t="str">
        <f>TRIM(PROPER(G:G))</f>
        <v>South</v>
      </c>
      <c r="AD886" t="str">
        <f>TRIM(PROPER(H:H))</f>
        <v>Karnataka</v>
      </c>
      <c r="AE886" t="str">
        <f>TRIM(PROPER(I:I))</f>
        <v>Bengaluru</v>
      </c>
      <c r="AF886" t="str">
        <f>TRIM(PROPER(J:J))</f>
        <v>Office Supplies</v>
      </c>
      <c r="AG886" t="str">
        <f>TRIM(PROPER(K:K))</f>
        <v>Storage</v>
      </c>
      <c r="AH886" t="str">
        <f>TRIM(PROPER(L:L))</f>
        <v>Eco Storage 783</v>
      </c>
      <c r="AI886" t="str">
        <f>TRIM(PROPER(M:M))</f>
        <v>Same Day</v>
      </c>
      <c r="AJ886" s="5">
        <f>IF(OR(P886&lt;0,P886&gt;0.5),"invalid",P886)</f>
        <v>0.15</v>
      </c>
      <c r="AK886" s="6">
        <f>IFERROR(N886*O886*(1-AJ886), "NA")</f>
        <v>3567.518</v>
      </c>
      <c r="AL886" s="6">
        <f>IFERROR(AK886-R886,"NA")</f>
        <v>1155.7179999999998</v>
      </c>
      <c r="AM886" s="5">
        <f t="shared" si="65"/>
        <v>0.32395575859743381</v>
      </c>
      <c r="AN886" t="str">
        <v>18-01-25</v>
      </c>
      <c r="AO886" t="str">
        <v>25-01-25</v>
      </c>
      <c r="AP886" t="str">
        <f t="shared" si="66"/>
        <v>January</v>
      </c>
      <c r="AQ886" t="str">
        <f t="shared" si="67"/>
        <v>2025</v>
      </c>
      <c r="AR886" t="str">
        <f t="shared" si="68"/>
        <v xml:space="preserve"> </v>
      </c>
      <c r="AS886">
        <f t="shared" si="69"/>
        <v>7</v>
      </c>
      <c r="AT886" t="str">
        <f>IF(COUNTIFS( $A:$A,A886,$B:$B,B886,$C:$C,C886,$D:$D,D886,$E:$E,E886,$F:$F,F886,$G:$G,G886,$H:$H,H886,$I:$I,I886,$J:$J,J886,$K:$K,K886,$L:$L,L886,$M:$M,M886,$T:$T,T886,$U:$U,U886,$W:$W,W886,$Z:$Z,Z886,$AA:$AA,AA886,$AB:$AB,AB886,$AC:$AC,AC886,$AD:$AD,AD886,$AE:$AE,AE886,$AF:$AF,AF886,$AG:$AG,AG886,$AH:$AH,AH886,$AI:$AI,AI886)&gt;1,"Duplicate","Unique")</f>
        <v>Unique</v>
      </c>
    </row>
    <row r="887" spans="1:46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  <c r="W887" t="s">
        <v>4031</v>
      </c>
      <c r="Z887" t="s">
        <v>4033</v>
      </c>
      <c r="AA887" t="str">
        <v>Diya Patel</v>
      </c>
      <c r="AB887" t="str">
        <f>TRIM(PROPER(F:F))</f>
        <v>Consumer</v>
      </c>
      <c r="AC887" t="str">
        <f>TRIM(PROPER(G:G))</f>
        <v>North</v>
      </c>
      <c r="AD887" t="str">
        <f>TRIM(PROPER(H:H))</f>
        <v>Rajasthan</v>
      </c>
      <c r="AE887" t="str">
        <f>TRIM(PROPER(I:I))</f>
        <v>Jaipur</v>
      </c>
      <c r="AF887" t="str">
        <f>TRIM(PROPER(J:J))</f>
        <v>Furniture</v>
      </c>
      <c r="AG887" t="str">
        <f>TRIM(PROPER(K:K))</f>
        <v>Tables</v>
      </c>
      <c r="AH887" t="str">
        <f>TRIM(PROPER(L:L))</f>
        <v>Pro Tables 866</v>
      </c>
      <c r="AI887" t="str">
        <f>TRIM(PROPER(M:M))</f>
        <v>Standard Class</v>
      </c>
      <c r="AJ887" s="5">
        <f>IF(OR(P887&lt;0,P887&gt;0.5),"invalid",P887)</f>
        <v>0.25</v>
      </c>
      <c r="AK887" s="6">
        <f>IFERROR(N887*O887*(1-AJ887), "NA")</f>
        <v>1625.31</v>
      </c>
      <c r="AL887" s="6">
        <f>IFERROR(AK887-R887,"NA")</f>
        <v>467.41999999999985</v>
      </c>
      <c r="AM887" s="5">
        <f t="shared" si="65"/>
        <v>0.28758821394072509</v>
      </c>
      <c r="AN887" t="str">
        <v>05-01-24</v>
      </c>
      <c r="AO887" t="str">
        <v>05-01-24</v>
      </c>
      <c r="AP887" t="str">
        <f t="shared" si="66"/>
        <v>January</v>
      </c>
      <c r="AQ887" t="str">
        <f t="shared" si="67"/>
        <v>2024</v>
      </c>
      <c r="AR887" t="str">
        <f t="shared" si="68"/>
        <v xml:space="preserve"> </v>
      </c>
      <c r="AS887">
        <f t="shared" si="69"/>
        <v>0</v>
      </c>
      <c r="AT887" t="str">
        <f>IF(COUNTIFS( $A:$A,A887,$B:$B,B887,$C:$C,C887,$D:$D,D887,$E:$E,E887,$F:$F,F887,$G:$G,G887,$H:$H,H887,$I:$I,I887,$J:$J,J887,$K:$K,K887,$L:$L,L887,$M:$M,M887,$T:$T,T887,$U:$U,U887,$W:$W,W887,$Z:$Z,Z887,$AA:$AA,AA887,$AB:$AB,AB887,$AC:$AC,AC887,$AD:$AD,AD887,$AE:$AE,AE887,$AF:$AF,AF887,$AG:$AG,AG887,$AH:$AH,AH887,$AI:$AI,AI887)&gt;1,"Duplicate","Unique")</f>
        <v>Unique</v>
      </c>
    </row>
    <row r="888" spans="1:46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  <c r="W888" t="s">
        <v>4035</v>
      </c>
      <c r="Z888" t="s">
        <v>4038</v>
      </c>
      <c r="AA888" t="str">
        <v>Arjun Bose</v>
      </c>
      <c r="AB888" t="str">
        <f>TRIM(PROPER(F:F))</f>
        <v>Home Office</v>
      </c>
      <c r="AC888" t="str">
        <f>TRIM(PROPER(G:G))</f>
        <v>South</v>
      </c>
      <c r="AD888" t="str">
        <f>TRIM(PROPER(H:H))</f>
        <v>Tamil Nadu</v>
      </c>
      <c r="AE888" t="str">
        <f>TRIM(PROPER(I:I))</f>
        <v>Chennai</v>
      </c>
      <c r="AF888" t="str">
        <f>TRIM(PROPER(J:J))</f>
        <v>Technology</v>
      </c>
      <c r="AG888" t="str">
        <f>TRIM(PROPER(K:K))</f>
        <v>Accessories</v>
      </c>
      <c r="AH888" t="str">
        <f>TRIM(PROPER(L:L))</f>
        <v>Max Accessories 541</v>
      </c>
      <c r="AI888" t="str">
        <f>TRIM(PROPER(M:M))</f>
        <v>First Class</v>
      </c>
      <c r="AJ888" s="5">
        <f>IF(OR(P888&lt;0,P888&gt;0.5),"invalid",P888)</f>
        <v>0.15</v>
      </c>
      <c r="AK888" s="6">
        <f>IFERROR(N888*O888*(1-AJ888), "NA")</f>
        <v>23739.904999999999</v>
      </c>
      <c r="AL888" s="6">
        <f>IFERROR(AK888-R888,"NA")</f>
        <v>6023.3849999999984</v>
      </c>
      <c r="AM888" s="5">
        <f t="shared" si="65"/>
        <v>0.25372405660427028</v>
      </c>
      <c r="AN888" t="str">
        <v>26-04-25</v>
      </c>
      <c r="AO888" t="str">
        <v>03-05-25</v>
      </c>
      <c r="AP888" t="str">
        <f t="shared" si="66"/>
        <v>April</v>
      </c>
      <c r="AQ888" t="str">
        <f t="shared" si="67"/>
        <v>2025</v>
      </c>
      <c r="AR888" t="str">
        <f t="shared" si="68"/>
        <v>anomaly</v>
      </c>
      <c r="AS888">
        <f t="shared" si="69"/>
        <v>7</v>
      </c>
      <c r="AT888" t="str">
        <f>IF(COUNTIFS( $A:$A,A888,$B:$B,B888,$C:$C,C888,$D:$D,D888,$E:$E,E888,$F:$F,F888,$G:$G,G888,$H:$H,H888,$I:$I,I888,$J:$J,J888,$K:$K,K888,$L:$L,L888,$M:$M,M888,$T:$T,T888,$U:$U,U888,$W:$W,W888,$Z:$Z,Z888,$AA:$AA,AA888,$AB:$AB,AB888,$AC:$AC,AC888,$AD:$AD,AD888,$AE:$AE,AE888,$AF:$AF,AF888,$AG:$AG,AG888,$AH:$AH,AH888,$AI:$AI,AI888)&gt;1,"Duplicate","Unique")</f>
        <v>Unique</v>
      </c>
    </row>
    <row r="889" spans="1:46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  <c r="W889" t="s">
        <v>4040</v>
      </c>
      <c r="Z889" t="s">
        <v>4041</v>
      </c>
      <c r="AA889" t="str">
        <v>Aarav Sharma</v>
      </c>
      <c r="AB889" t="str">
        <f>TRIM(PROPER(F:F))</f>
        <v>Small Business</v>
      </c>
      <c r="AC889" t="str">
        <f>TRIM(PROPER(G:G))</f>
        <v>South</v>
      </c>
      <c r="AD889" t="str">
        <f>TRIM(PROPER(H:H))</f>
        <v>Andhra Pradesh</v>
      </c>
      <c r="AE889" t="str">
        <f>TRIM(PROPER(I:I))</f>
        <v>Vijayawada</v>
      </c>
      <c r="AF889" t="str">
        <f>TRIM(PROPER(J:J))</f>
        <v>Office Supplies</v>
      </c>
      <c r="AG889" t="str">
        <f>TRIM(PROPER(K:K))</f>
        <v>Art</v>
      </c>
      <c r="AH889" t="str">
        <f>TRIM(PROPER(L:L))</f>
        <v>Prime Art 596</v>
      </c>
      <c r="AI889" t="str">
        <f>TRIM(PROPER(M:M))</f>
        <v>Standard Class</v>
      </c>
      <c r="AJ889" s="5">
        <f>IF(OR(P889&lt;0,P889&gt;0.5),"invalid",P889)</f>
        <v>0</v>
      </c>
      <c r="AK889" s="6">
        <f>IFERROR(N889*O889*(1-AJ889), "NA")</f>
        <v>16704.52</v>
      </c>
      <c r="AL889" s="6">
        <f>IFERROR(AK889-R889,"NA")</f>
        <v>6546.24</v>
      </c>
      <c r="AM889" s="5">
        <f t="shared" si="65"/>
        <v>0.39188435225914897</v>
      </c>
      <c r="AN889" t="str">
        <v>12-06-24</v>
      </c>
      <c r="AO889" t="str">
        <v>18-06-24</v>
      </c>
      <c r="AP889" t="str">
        <f t="shared" si="66"/>
        <v>June</v>
      </c>
      <c r="AQ889" t="str">
        <f t="shared" si="67"/>
        <v>2024</v>
      </c>
      <c r="AR889" t="str">
        <f t="shared" si="68"/>
        <v xml:space="preserve"> </v>
      </c>
      <c r="AS889">
        <f t="shared" si="69"/>
        <v>6</v>
      </c>
      <c r="AT889" t="str">
        <f>IF(COUNTIFS( $A:$A,A889,$B:$B,B889,$C:$C,C889,$D:$D,D889,$E:$E,E889,$F:$F,F889,$G:$G,G889,$H:$H,H889,$I:$I,I889,$J:$J,J889,$K:$K,K889,$L:$L,L889,$M:$M,M889,$T:$T,T889,$U:$U,U889,$W:$W,W889,$Z:$Z,Z889,$AA:$AA,AA889,$AB:$AB,AB889,$AC:$AC,AC889,$AD:$AD,AD889,$AE:$AE,AE889,$AF:$AF,AF889,$AG:$AG,AG889,$AH:$AH,AH889,$AI:$AI,AI889)&gt;1,"Duplicate","Unique")</f>
        <v>Unique</v>
      </c>
    </row>
    <row r="890" spans="1:46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  <c r="W890" t="s">
        <v>4043</v>
      </c>
      <c r="Z890" t="s">
        <v>4045</v>
      </c>
      <c r="AA890" t="str">
        <v>Rahul Verma</v>
      </c>
      <c r="AB890" t="str">
        <f>TRIM(PROPER(F:F))</f>
        <v>Small Business</v>
      </c>
      <c r="AC890" t="str">
        <f>TRIM(PROPER(G:G))</f>
        <v>West</v>
      </c>
      <c r="AD890" t="str">
        <f>TRIM(PROPER(H:H))</f>
        <v>Maharashtra</v>
      </c>
      <c r="AE890" t="str">
        <f>TRIM(PROPER(I:I))</f>
        <v>Mumbai</v>
      </c>
      <c r="AF890" t="str">
        <f>TRIM(PROPER(J:J))</f>
        <v>Office Supplies</v>
      </c>
      <c r="AG890" t="str">
        <f>TRIM(PROPER(K:K))</f>
        <v>Art</v>
      </c>
      <c r="AH890" t="str">
        <f>TRIM(PROPER(L:L))</f>
        <v>Pro Art 620</v>
      </c>
      <c r="AI890" t="str">
        <f>TRIM(PROPER(M:M))</f>
        <v>Standard Class</v>
      </c>
      <c r="AJ890" s="5">
        <f>IF(OR(P890&lt;0,P890&gt;0.5),"invalid",P890)</f>
        <v>0.1</v>
      </c>
      <c r="AK890" s="6">
        <f>IFERROR(N890*O890*(1-AJ890), "NA")</f>
        <v>12685.103999999999</v>
      </c>
      <c r="AL890" s="6">
        <f>IFERROR(AK890-R890,"NA")</f>
        <v>1905.5439999999999</v>
      </c>
      <c r="AM890" s="5">
        <f t="shared" si="65"/>
        <v>0.15021902855506741</v>
      </c>
      <c r="AN890" t="str">
        <v>06-08-25</v>
      </c>
      <c r="AO890" t="str">
        <v>07-08-25</v>
      </c>
      <c r="AP890" t="str">
        <f t="shared" si="66"/>
        <v>August</v>
      </c>
      <c r="AQ890" t="str">
        <f t="shared" si="67"/>
        <v>2025</v>
      </c>
      <c r="AR890" t="str">
        <f t="shared" si="68"/>
        <v xml:space="preserve"> </v>
      </c>
      <c r="AS890">
        <f t="shared" si="69"/>
        <v>1</v>
      </c>
      <c r="AT890" t="str">
        <f>IF(COUNTIFS( $A:$A,A890,$B:$B,B890,$C:$C,C890,$D:$D,D890,$E:$E,E890,$F:$F,F890,$G:$G,G890,$H:$H,H890,$I:$I,I890,$J:$J,J890,$K:$K,K890,$L:$L,L890,$M:$M,M890,$T:$T,T890,$U:$U,U890,$W:$W,W890,$Z:$Z,Z890,$AA:$AA,AA890,$AB:$AB,AB890,$AC:$AC,AC890,$AD:$AD,AD890,$AE:$AE,AE890,$AF:$AF,AF890,$AG:$AG,AG890,$AH:$AH,AH890,$AI:$AI,AI890)&gt;1,"Duplicate","Unique")</f>
        <v>Unique</v>
      </c>
    </row>
    <row r="891" spans="1:46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  <c r="W891" t="s">
        <v>4047</v>
      </c>
      <c r="Z891" t="s">
        <v>1349</v>
      </c>
      <c r="AA891" t="str">
        <v>Aditi Sen</v>
      </c>
      <c r="AB891" t="str">
        <f>TRIM(PROPER(F:F))</f>
        <v>Home Office</v>
      </c>
      <c r="AC891" t="str">
        <f>TRIM(PROPER(G:G))</f>
        <v>West</v>
      </c>
      <c r="AD891" t="str">
        <f>TRIM(PROPER(H:H))</f>
        <v>Madhya Pradesh</v>
      </c>
      <c r="AE891" t="str">
        <f>TRIM(PROPER(I:I))</f>
        <v>Indore</v>
      </c>
      <c r="AF891" t="str">
        <f>TRIM(PROPER(J:J))</f>
        <v>Office Supplies</v>
      </c>
      <c r="AG891" t="str">
        <f>TRIM(PROPER(K:K))</f>
        <v>Storage</v>
      </c>
      <c r="AH891" t="str">
        <f>TRIM(PROPER(L:L))</f>
        <v>Prime Storage 806</v>
      </c>
      <c r="AI891" t="str">
        <f>TRIM(PROPER(M:M))</f>
        <v>First Class</v>
      </c>
      <c r="AJ891" s="5">
        <f>IF(OR(P891&lt;0,P891&gt;0.5),"invalid",P891)</f>
        <v>0.25</v>
      </c>
      <c r="AK891" s="6">
        <f>IFERROR(N891*O891*(1-AJ891), "NA")</f>
        <v>5883.12</v>
      </c>
      <c r="AL891" s="6">
        <f>IFERROR(AK891-R891,"NA")</f>
        <v>1235.21</v>
      </c>
      <c r="AM891" s="5">
        <f t="shared" si="65"/>
        <v>0.20995832143488491</v>
      </c>
      <c r="AN891" t="str">
        <v>10-03-25</v>
      </c>
      <c r="AO891" t="str">
        <v>03-11-25</v>
      </c>
      <c r="AP891" t="str">
        <f t="shared" si="66"/>
        <v>March</v>
      </c>
      <c r="AQ891" t="str">
        <f t="shared" si="67"/>
        <v>2025</v>
      </c>
      <c r="AR891" t="str">
        <f t="shared" si="68"/>
        <v>anomaly</v>
      </c>
      <c r="AS891">
        <f t="shared" si="69"/>
        <v>238</v>
      </c>
      <c r="AT891" t="str">
        <f>IF(COUNTIFS( $A:$A,A891,$B:$B,B891,$C:$C,C891,$D:$D,D891,$E:$E,E891,$F:$F,F891,$G:$G,G891,$H:$H,H891,$I:$I,I891,$J:$J,J891,$K:$K,K891,$L:$L,L891,$M:$M,M891,$T:$T,T891,$U:$U,U891,$W:$W,W891,$Z:$Z,Z891,$AA:$AA,AA891,$AB:$AB,AB891,$AC:$AC,AC891,$AD:$AD,AD891,$AE:$AE,AE891,$AF:$AF,AF891,$AG:$AG,AG891,$AH:$AH,AH891,$AI:$AI,AI891)&gt;1,"Duplicate","Unique")</f>
        <v>Unique</v>
      </c>
    </row>
    <row r="892" spans="1:46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  <c r="W892" t="s">
        <v>4051</v>
      </c>
      <c r="Z892" t="s">
        <v>4052</v>
      </c>
      <c r="AA892" t="str">
        <v>Karan Malhotra</v>
      </c>
      <c r="AB892" t="str">
        <f>TRIM(PROPER(F:F))</f>
        <v>Consumer</v>
      </c>
      <c r="AC892" t="str">
        <f>TRIM(PROPER(G:G))</f>
        <v>West</v>
      </c>
      <c r="AD892" t="str">
        <f>TRIM(PROPER(H:H))</f>
        <v>Goa</v>
      </c>
      <c r="AE892" t="str">
        <f>TRIM(PROPER(I:I))</f>
        <v>Panaji</v>
      </c>
      <c r="AF892" t="str">
        <f>TRIM(PROPER(J:J))</f>
        <v>Office Supplies</v>
      </c>
      <c r="AG892" t="str">
        <f>TRIM(PROPER(K:K))</f>
        <v>Storage</v>
      </c>
      <c r="AH892" t="str">
        <f>TRIM(PROPER(L:L))</f>
        <v>Smart Storage 288</v>
      </c>
      <c r="AI892" t="str">
        <f>TRIM(PROPER(M:M))</f>
        <v>Standard Class</v>
      </c>
      <c r="AJ892" s="5">
        <f>IF(OR(P892&lt;0,P892&gt;0.5),"invalid",P892)</f>
        <v>0.2</v>
      </c>
      <c r="AK892" s="6">
        <f>IFERROR(N892*O892*(1-AJ892), "NA")</f>
        <v>13965.888000000001</v>
      </c>
      <c r="AL892" s="6">
        <f>IFERROR(AK892-R892,"NA")</f>
        <v>2319.768</v>
      </c>
      <c r="AM892" s="5">
        <f t="shared" si="65"/>
        <v>0.16610243473239938</v>
      </c>
      <c r="AN892" t="str">
        <v>15-05-24</v>
      </c>
      <c r="AO892" t="str">
        <v>21-05-24</v>
      </c>
      <c r="AP892" t="str">
        <f t="shared" si="66"/>
        <v>May</v>
      </c>
      <c r="AQ892" t="str">
        <f t="shared" si="67"/>
        <v>2024</v>
      </c>
      <c r="AR892" t="str">
        <f t="shared" si="68"/>
        <v xml:space="preserve"> </v>
      </c>
      <c r="AS892">
        <f t="shared" si="69"/>
        <v>6</v>
      </c>
      <c r="AT892" t="str">
        <f>IF(COUNTIFS( $A:$A,A892,$B:$B,B892,$C:$C,C892,$D:$D,D892,$E:$E,E892,$F:$F,F892,$G:$G,G892,$H:$H,H892,$I:$I,I892,$J:$J,J892,$K:$K,K892,$L:$L,L892,$M:$M,M892,$T:$T,T892,$U:$U,U892,$W:$W,W892,$Z:$Z,Z892,$AA:$AA,AA892,$AB:$AB,AB892,$AC:$AC,AC892,$AD:$AD,AD892,$AE:$AE,AE892,$AF:$AF,AF892,$AG:$AG,AG892,$AH:$AH,AH892,$AI:$AI,AI892)&gt;1,"Duplicate","Unique")</f>
        <v>Unique</v>
      </c>
    </row>
    <row r="893" spans="1:46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  <c r="W893" t="s">
        <v>4054</v>
      </c>
      <c r="Z893" t="s">
        <v>4055</v>
      </c>
      <c r="AA893" t="str">
        <v>Kabir Singh</v>
      </c>
      <c r="AB893" t="str">
        <f>TRIM(PROPER(F:F))</f>
        <v>Corporate</v>
      </c>
      <c r="AC893" t="str">
        <f>TRIM(PROPER(G:G))</f>
        <v>South</v>
      </c>
      <c r="AD893" t="str">
        <f>TRIM(PROPER(H:H))</f>
        <v>Tamil Nadu</v>
      </c>
      <c r="AE893" t="str">
        <f>TRIM(PROPER(I:I))</f>
        <v>Chennai</v>
      </c>
      <c r="AF893" t="str">
        <f>TRIM(PROPER(J:J))</f>
        <v>Technology</v>
      </c>
      <c r="AG893" t="str">
        <f>TRIM(PROPER(K:K))</f>
        <v>Machines</v>
      </c>
      <c r="AH893" t="str">
        <f>TRIM(PROPER(L:L))</f>
        <v>Elite Machines 281</v>
      </c>
      <c r="AI893" t="str">
        <f>TRIM(PROPER(M:M))</f>
        <v>Same Day</v>
      </c>
      <c r="AJ893" s="5">
        <f>IF(OR(P893&lt;0,P893&gt;0.5),"invalid",P893)</f>
        <v>0.1</v>
      </c>
      <c r="AK893" s="6">
        <f>IFERROR(N893*O893*(1-AJ893), "NA")</f>
        <v>10835.865</v>
      </c>
      <c r="AL893" s="6">
        <f>IFERROR(AK893-R893,"NA")</f>
        <v>4415.9449999999997</v>
      </c>
      <c r="AM893" s="5">
        <f t="shared" si="65"/>
        <v>0.40753045557507406</v>
      </c>
      <c r="AN893" t="str">
        <v>08-10-24</v>
      </c>
      <c r="AO893" t="str">
        <v>09-10-24</v>
      </c>
      <c r="AP893" t="str">
        <f t="shared" si="66"/>
        <v>October</v>
      </c>
      <c r="AQ893" t="str">
        <f t="shared" si="67"/>
        <v>2024</v>
      </c>
      <c r="AR893" t="str">
        <f t="shared" si="68"/>
        <v xml:space="preserve"> </v>
      </c>
      <c r="AS893">
        <f t="shared" si="69"/>
        <v>1</v>
      </c>
      <c r="AT893" t="str">
        <f>IF(COUNTIFS( $A:$A,A893,$B:$B,B893,$C:$C,C893,$D:$D,D893,$E:$E,E893,$F:$F,F893,$G:$G,G893,$H:$H,H893,$I:$I,I893,$J:$J,J893,$K:$K,K893,$L:$L,L893,$M:$M,M893,$T:$T,T893,$U:$U,U893,$W:$W,W893,$Z:$Z,Z893,$AA:$AA,AA893,$AB:$AB,AB893,$AC:$AC,AC893,$AD:$AD,AD893,$AE:$AE,AE893,$AF:$AF,AF893,$AG:$AG,AG893,$AH:$AH,AH893,$AI:$AI,AI893)&gt;1,"Duplicate","Unique")</f>
        <v>Unique</v>
      </c>
    </row>
    <row r="894" spans="1:46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  <c r="W894" t="s">
        <v>4057</v>
      </c>
      <c r="Z894" t="s">
        <v>4059</v>
      </c>
      <c r="AA894" t="str">
        <v>Isha Nair</v>
      </c>
      <c r="AB894" t="str">
        <f>TRIM(PROPER(F:F))</f>
        <v>Small Business</v>
      </c>
      <c r="AC894" t="str">
        <f>TRIM(PROPER(G:G))</f>
        <v>East</v>
      </c>
      <c r="AD894" t="str">
        <f>TRIM(PROPER(H:H))</f>
        <v>Jharkhand</v>
      </c>
      <c r="AE894" t="str">
        <f>TRIM(PROPER(I:I))</f>
        <v>Ranchi</v>
      </c>
      <c r="AF894" t="str">
        <f>TRIM(PROPER(J:J))</f>
        <v>Technology</v>
      </c>
      <c r="AG894" t="str">
        <f>TRIM(PROPER(K:K))</f>
        <v>Copiers</v>
      </c>
      <c r="AH894" t="str">
        <f>TRIM(PROPER(L:L))</f>
        <v>Elite Copiers 221</v>
      </c>
      <c r="AI894" t="str">
        <f>TRIM(PROPER(M:M))</f>
        <v>Same Day</v>
      </c>
      <c r="AJ894" s="5">
        <f>IF(OR(P894&lt;0,P894&gt;0.5),"invalid",P894)</f>
        <v>0.2</v>
      </c>
      <c r="AK894" s="6">
        <f>IFERROR(N894*O894*(1-AJ894), "NA")</f>
        <v>581.51200000000006</v>
      </c>
      <c r="AL894" s="6">
        <f>IFERROR(AK894-R894,"NA")</f>
        <v>157.65200000000004</v>
      </c>
      <c r="AM894" s="5">
        <f t="shared" si="65"/>
        <v>0.27110704508247468</v>
      </c>
      <c r="AN894" t="str">
        <v>04-12-25</v>
      </c>
      <c r="AO894" t="str">
        <v>invalid date</v>
      </c>
      <c r="AP894" t="str">
        <f t="shared" si="66"/>
        <v>December</v>
      </c>
      <c r="AQ894" t="str">
        <f t="shared" si="67"/>
        <v>2025</v>
      </c>
      <c r="AR894" t="str">
        <f t="shared" si="68"/>
        <v>Invalid</v>
      </c>
      <c r="AS894" t="str">
        <f t="shared" si="69"/>
        <v>invalid date</v>
      </c>
      <c r="AT894" t="str">
        <f>IF(COUNTIFS( $A:$A,A894,$B:$B,B894,$C:$C,C894,$D:$D,D894,$E:$E,E894,$F:$F,F894,$G:$G,G894,$H:$H,H894,$I:$I,I894,$J:$J,J894,$K:$K,K894,$L:$L,L894,$M:$M,M894,$T:$T,T894,$U:$U,U894,$W:$W,W894,$Z:$Z,Z894,$AA:$AA,AA894,$AB:$AB,AB894,$AC:$AC,AC894,$AD:$AD,AD894,$AE:$AE,AE894,$AF:$AF,AF894,$AG:$AG,AG894,$AH:$AH,AH894,$AI:$AI,AI894)&gt;1,"Duplicate","Unique")</f>
        <v>Unique</v>
      </c>
    </row>
    <row r="895" spans="1:46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  <c r="W895" t="s">
        <v>4061</v>
      </c>
      <c r="Z895" t="s">
        <v>4064</v>
      </c>
      <c r="AA895" t="str">
        <v>Aarav Sharma</v>
      </c>
      <c r="AB895" t="str">
        <f>TRIM(PROPER(F:F))</f>
        <v>Corporate</v>
      </c>
      <c r="AC895" t="str">
        <f>TRIM(PROPER(G:G))</f>
        <v>South</v>
      </c>
      <c r="AD895" t="str">
        <f>TRIM(PROPER(H:H))</f>
        <v>Karnataka</v>
      </c>
      <c r="AE895" t="str">
        <f>TRIM(PROPER(I:I))</f>
        <v>Bengaluru</v>
      </c>
      <c r="AF895" t="str">
        <f>TRIM(PROPER(J:J))</f>
        <v>Furniture</v>
      </c>
      <c r="AG895" t="str">
        <f>TRIM(PROPER(K:K))</f>
        <v>Tables</v>
      </c>
      <c r="AH895" t="str">
        <f>TRIM(PROPER(L:L))</f>
        <v>Max Tables 291</v>
      </c>
      <c r="AI895" t="str">
        <f>TRIM(PROPER(M:M))</f>
        <v>Second Class</v>
      </c>
      <c r="AJ895" s="5">
        <f>IF(OR(P895&lt;0,P895&gt;0.5),"invalid",P895)</f>
        <v>0.05</v>
      </c>
      <c r="AK895" s="6">
        <f>IFERROR(N895*O895*(1-AJ895), "NA")</f>
        <v>1127.1465000000001</v>
      </c>
      <c r="AL895" s="6">
        <f>IFERROR(AK895-R895,"NA")</f>
        <v>281.52650000000006</v>
      </c>
      <c r="AM895" s="5">
        <f t="shared" si="65"/>
        <v>0.24976921810962466</v>
      </c>
      <c r="AN895" t="str">
        <v>06-06-24</v>
      </c>
      <c r="AO895" t="str">
        <v>08-06-24</v>
      </c>
      <c r="AP895" t="str">
        <f t="shared" si="66"/>
        <v>June</v>
      </c>
      <c r="AQ895" t="str">
        <f t="shared" si="67"/>
        <v>2024</v>
      </c>
      <c r="AR895" t="str">
        <f t="shared" si="68"/>
        <v xml:space="preserve"> </v>
      </c>
      <c r="AS895">
        <f t="shared" si="69"/>
        <v>2</v>
      </c>
      <c r="AT895" t="str">
        <f>IF(COUNTIFS( $A:$A,A895,$B:$B,B895,$C:$C,C895,$D:$D,D895,$E:$E,E895,$F:$F,F895,$G:$G,G895,$H:$H,H895,$I:$I,I895,$J:$J,J895,$K:$K,K895,$L:$L,L895,$M:$M,M895,$T:$T,T895,$U:$U,U895,$W:$W,W895,$Z:$Z,Z895,$AA:$AA,AA895,$AB:$AB,AB895,$AC:$AC,AC895,$AD:$AD,AD895,$AE:$AE,AE895,$AF:$AF,AF895,$AG:$AG,AG895,$AH:$AH,AH895,$AI:$AI,AI895)&gt;1,"Duplicate","Unique")</f>
        <v>Unique</v>
      </c>
    </row>
    <row r="896" spans="1:46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  <c r="W896" t="s">
        <v>4066</v>
      </c>
      <c r="Z896" t="s">
        <v>4068</v>
      </c>
      <c r="AA896" t="str">
        <v>Isha Nair</v>
      </c>
      <c r="AB896" t="str">
        <f>TRIM(PROPER(F:F))</f>
        <v>Home Office</v>
      </c>
      <c r="AC896" t="str">
        <f>TRIM(PROPER(G:G))</f>
        <v>South</v>
      </c>
      <c r="AD896" t="str">
        <f>TRIM(PROPER(H:H))</f>
        <v>Telangana</v>
      </c>
      <c r="AE896" t="str">
        <f>TRIM(PROPER(I:I))</f>
        <v>Hyderabad</v>
      </c>
      <c r="AF896" t="str">
        <f>TRIM(PROPER(J:J))</f>
        <v>Furniture</v>
      </c>
      <c r="AG896" t="str">
        <f>TRIM(PROPER(K:K))</f>
        <v>Tables</v>
      </c>
      <c r="AH896" t="str">
        <f>TRIM(PROPER(L:L))</f>
        <v>Classic Tables 638</v>
      </c>
      <c r="AI896" t="str">
        <f>TRIM(PROPER(M:M))</f>
        <v>First Class</v>
      </c>
      <c r="AJ896" s="5">
        <f>IF(OR(P896&lt;0,P896&gt;0.5),"invalid",P896)</f>
        <v>0</v>
      </c>
      <c r="AK896" s="6">
        <f>IFERROR(N896*O896*(1-AJ896), "NA")</f>
        <v>25524.300000000003</v>
      </c>
      <c r="AL896" s="6">
        <f>IFERROR(AK896-R896,"NA")</f>
        <v>8812.3700000000026</v>
      </c>
      <c r="AM896" s="5">
        <f t="shared" si="65"/>
        <v>0.34525413037771857</v>
      </c>
      <c r="AN896" t="str">
        <v>22-02-24</v>
      </c>
      <c r="AO896" t="str">
        <v>invalid date</v>
      </c>
      <c r="AP896" t="str">
        <f t="shared" si="66"/>
        <v>February</v>
      </c>
      <c r="AQ896" t="str">
        <f t="shared" si="67"/>
        <v>2024</v>
      </c>
      <c r="AR896" t="str">
        <f t="shared" si="68"/>
        <v>Invalid</v>
      </c>
      <c r="AS896" t="str">
        <f t="shared" si="69"/>
        <v>invalid date</v>
      </c>
      <c r="AT896" t="str">
        <f>IF(COUNTIFS( $A:$A,A896,$B:$B,B896,$C:$C,C896,$D:$D,D896,$E:$E,E896,$F:$F,F896,$G:$G,G896,$H:$H,H896,$I:$I,I896,$J:$J,J896,$K:$K,K896,$L:$L,L896,$M:$M,M896,$T:$T,T896,$U:$U,U896,$W:$W,W896,$Z:$Z,Z896,$AA:$AA,AA896,$AB:$AB,AB896,$AC:$AC,AC896,$AD:$AD,AD896,$AE:$AE,AE896,$AF:$AF,AF896,$AG:$AG,AG896,$AH:$AH,AH896,$AI:$AI,AI896)&gt;1,"Duplicate","Unique")</f>
        <v>Unique</v>
      </c>
    </row>
    <row r="897" spans="1:46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  <c r="W897" t="s">
        <v>4070</v>
      </c>
      <c r="Z897" t="s">
        <v>4072</v>
      </c>
      <c r="AA897" t="str">
        <v>Arjun Bose</v>
      </c>
      <c r="AB897" t="str">
        <f>TRIM(PROPER(F:F))</f>
        <v>Consumer</v>
      </c>
      <c r="AC897" t="str">
        <f>TRIM(PROPER(G:G))</f>
        <v>South</v>
      </c>
      <c r="AD897" t="str">
        <f>TRIM(PROPER(H:H))</f>
        <v>Kerala</v>
      </c>
      <c r="AE897" t="str">
        <f>TRIM(PROPER(I:I))</f>
        <v>Kochi</v>
      </c>
      <c r="AF897" t="str">
        <f>TRIM(PROPER(J:J))</f>
        <v>Furniture</v>
      </c>
      <c r="AG897" t="str">
        <f>TRIM(PROPER(K:K))</f>
        <v>Chairs</v>
      </c>
      <c r="AH897" t="str">
        <f>TRIM(PROPER(L:L))</f>
        <v>Basic Chairs 212</v>
      </c>
      <c r="AI897" t="str">
        <f>TRIM(PROPER(M:M))</f>
        <v>Same Day</v>
      </c>
      <c r="AJ897" s="5">
        <f>IF(OR(P897&lt;0,P897&gt;0.5),"invalid",P897)</f>
        <v>0.15</v>
      </c>
      <c r="AK897" s="6">
        <f>IFERROR(N897*O897*(1-AJ897), "NA")</f>
        <v>2418.0119999999997</v>
      </c>
      <c r="AL897" s="6">
        <f>IFERROR(AK897-R897,"NA")</f>
        <v>976.12199999999962</v>
      </c>
      <c r="AM897" s="5">
        <f t="shared" si="65"/>
        <v>0.40368782288921634</v>
      </c>
      <c r="AN897" t="str">
        <v>05-11-24</v>
      </c>
      <c r="AO897" t="str">
        <v>11-10-24</v>
      </c>
      <c r="AP897" t="str">
        <f t="shared" si="66"/>
        <v>November</v>
      </c>
      <c r="AQ897" t="str">
        <f t="shared" si="67"/>
        <v>2024</v>
      </c>
      <c r="AR897" t="str">
        <f t="shared" si="68"/>
        <v xml:space="preserve"> </v>
      </c>
      <c r="AS897">
        <f t="shared" si="69"/>
        <v>-25</v>
      </c>
      <c r="AT897" t="str">
        <f>IF(COUNTIFS( $A:$A,A897,$B:$B,B897,$C:$C,C897,$D:$D,D897,$E:$E,E897,$F:$F,F897,$G:$G,G897,$H:$H,H897,$I:$I,I897,$J:$J,J897,$K:$K,K897,$L:$L,L897,$M:$M,M897,$T:$T,T897,$U:$U,U897,$W:$W,W897,$Z:$Z,Z897,$AA:$AA,AA897,$AB:$AB,AB897,$AC:$AC,AC897,$AD:$AD,AD897,$AE:$AE,AE897,$AF:$AF,AF897,$AG:$AG,AG897,$AH:$AH,AH897,$AI:$AI,AI897)&gt;1,"Duplicate","Unique")</f>
        <v>Unique</v>
      </c>
    </row>
    <row r="898" spans="1:46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  <c r="W898" t="s">
        <v>4074</v>
      </c>
      <c r="Z898" t="s">
        <v>4076</v>
      </c>
      <c r="AA898" t="str">
        <v>Ananya Rao</v>
      </c>
      <c r="AB898" t="str">
        <f>TRIM(PROPER(F:F))</f>
        <v>Small Business</v>
      </c>
      <c r="AC898" t="str">
        <f>TRIM(PROPER(G:G))</f>
        <v>South</v>
      </c>
      <c r="AD898" t="str">
        <f>TRIM(PROPER(H:H))</f>
        <v>Tamil Nadu</v>
      </c>
      <c r="AE898" t="str">
        <f>TRIM(PROPER(I:I))</f>
        <v>Chennai</v>
      </c>
      <c r="AF898" t="str">
        <f>TRIM(PROPER(J:J))</f>
        <v>Technology</v>
      </c>
      <c r="AG898" t="str">
        <f>TRIM(PROPER(K:K))</f>
        <v>Copiers</v>
      </c>
      <c r="AH898" t="str">
        <f>TRIM(PROPER(L:L))</f>
        <v>Max Copiers 121</v>
      </c>
      <c r="AI898" t="str">
        <f>TRIM(PROPER(M:M))</f>
        <v>Second Class</v>
      </c>
      <c r="AJ898" s="5">
        <f>IF(OR(P898&lt;0,P898&gt;0.5),"invalid",P898)</f>
        <v>0.05</v>
      </c>
      <c r="AK898" s="6">
        <f>IFERROR(N898*O898*(1-AJ898), "NA")</f>
        <v>3508.3784999999998</v>
      </c>
      <c r="AL898" s="6">
        <f>IFERROR(AK898-R898,"NA")</f>
        <v>680.31849999999986</v>
      </c>
      <c r="AM898" s="5">
        <f t="shared" si="65"/>
        <v>0.19391251542557336</v>
      </c>
      <c r="AN898" t="str">
        <v>invalid date</v>
      </c>
      <c r="AO898" t="str">
        <v>25-12-24</v>
      </c>
      <c r="AP898" t="str">
        <f t="shared" si="66"/>
        <v>invalid date</v>
      </c>
      <c r="AQ898" t="str">
        <f t="shared" si="67"/>
        <v>invalid date</v>
      </c>
      <c r="AR898" t="str">
        <f t="shared" si="68"/>
        <v>Invalid</v>
      </c>
      <c r="AS898" t="str">
        <f t="shared" si="69"/>
        <v>invalid date</v>
      </c>
      <c r="AT898" t="str">
        <f>IF(COUNTIFS( $A:$A,A898,$B:$B,B898,$C:$C,C898,$D:$D,D898,$E:$E,E898,$F:$F,F898,$G:$G,G898,$H:$H,H898,$I:$I,I898,$J:$J,J898,$K:$K,K898,$L:$L,L898,$M:$M,M898,$T:$T,T898,$U:$U,U898,$W:$W,W898,$Z:$Z,Z898,$AA:$AA,AA898,$AB:$AB,AB898,$AC:$AC,AC898,$AD:$AD,AD898,$AE:$AE,AE898,$AF:$AF,AF898,$AG:$AG,AG898,$AH:$AH,AH898,$AI:$AI,AI898)&gt;1,"Duplicate","Unique")</f>
        <v>Unique</v>
      </c>
    </row>
    <row r="899" spans="1:46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  <c r="W899" t="s">
        <v>4078</v>
      </c>
      <c r="Z899" t="s">
        <v>3200</v>
      </c>
      <c r="AA899" t="str">
        <v>Rohan Mehta</v>
      </c>
      <c r="AB899" t="str">
        <f>TRIM(PROPER(F:F))</f>
        <v>Corporate</v>
      </c>
      <c r="AC899" t="str">
        <f>TRIM(PROPER(G:G))</f>
        <v>North</v>
      </c>
      <c r="AD899" t="str">
        <f>TRIM(PROPER(H:H))</f>
        <v>Haryana</v>
      </c>
      <c r="AE899" t="str">
        <f>TRIM(PROPER(I:I))</f>
        <v>Gurugram</v>
      </c>
      <c r="AF899" t="str">
        <f>TRIM(PROPER(J:J))</f>
        <v>Office Supplies</v>
      </c>
      <c r="AG899" t="str">
        <f>TRIM(PROPER(K:K))</f>
        <v>Paper</v>
      </c>
      <c r="AH899" t="str">
        <f>TRIM(PROPER(L:L))</f>
        <v>Eco Paper 747</v>
      </c>
      <c r="AI899" t="str">
        <f>TRIM(PROPER(M:M))</f>
        <v>First Class</v>
      </c>
      <c r="AJ899" s="5">
        <f>IF(OR(P899&lt;0,P899&gt;0.5),"invalid",P899)</f>
        <v>0.05</v>
      </c>
      <c r="AK899" s="6">
        <f>IFERROR(N899*O899*(1-AJ899), "NA")</f>
        <v>6789.27</v>
      </c>
      <c r="AL899" s="6">
        <f>IFERROR(AK899-R899,"NA")</f>
        <v>1162.8400000000001</v>
      </c>
      <c r="AM899" s="5">
        <f t="shared" ref="AM899:AM901" si="70">IFERROR(AL899/AK899,"NA")</f>
        <v>0.17127614603631908</v>
      </c>
      <c r="AN899" t="str">
        <v>invalid date</v>
      </c>
      <c r="AO899" t="str">
        <v>03-05-25</v>
      </c>
      <c r="AP899" t="str">
        <f t="shared" ref="AP899:AP901" si="71">TEXT(AN899,"mmmm")</f>
        <v>invalid date</v>
      </c>
      <c r="AQ899" t="str">
        <f t="shared" ref="AQ899:AQ901" si="72">TEXT(AN899,"yyyy")</f>
        <v>invalid date</v>
      </c>
      <c r="AR899" t="str">
        <f t="shared" ref="AR899:AR901" si="73">IF(OR(AN899="Invalid Date",AO899="Invalid Date"),"Invalid",(IF(AO899&lt;AN899,"anomaly"," ")))</f>
        <v>Invalid</v>
      </c>
      <c r="AS899" t="str">
        <f t="shared" ref="AS899:AS901" si="74">IFERROR(AO899-AN899, "invalid date")</f>
        <v>invalid date</v>
      </c>
      <c r="AT899" t="str">
        <f>IF(COUNTIFS( $A:$A,A899,$B:$B,B899,$C:$C,C899,$D:$D,D899,$E:$E,E899,$F:$F,F899,$G:$G,G899,$H:$H,H899,$I:$I,I899,$J:$J,J899,$K:$K,K899,$L:$L,L899,$M:$M,M899,$T:$T,T899,$U:$U,U899,$W:$W,W899,$Z:$Z,Z899,$AA:$AA,AA899,$AB:$AB,AB899,$AC:$AC,AC899,$AD:$AD,AD899,$AE:$AE,AE899,$AF:$AF,AF899,$AG:$AG,AG899,$AH:$AH,AH899,$AI:$AI,AI899)&gt;1,"Duplicate","Unique")</f>
        <v>Unique</v>
      </c>
    </row>
    <row r="900" spans="1:46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  <c r="W900" t="s">
        <v>4081</v>
      </c>
      <c r="Z900" t="s">
        <v>4082</v>
      </c>
      <c r="AA900" t="str">
        <v>Vikram Iyer</v>
      </c>
      <c r="AB900" t="str">
        <f>TRIM(PROPER(F:F))</f>
        <v>Consumer</v>
      </c>
      <c r="AC900" t="str">
        <f>TRIM(PROPER(G:G))</f>
        <v>North</v>
      </c>
      <c r="AD900" t="str">
        <f>TRIM(PROPER(H:H))</f>
        <v>Delhi</v>
      </c>
      <c r="AE900" t="str">
        <f>TRIM(PROPER(I:I))</f>
        <v>New Delhi</v>
      </c>
      <c r="AF900" t="str">
        <f>TRIM(PROPER(J:J))</f>
        <v>Furniture</v>
      </c>
      <c r="AG900" t="str">
        <f>TRIM(PROPER(K:K))</f>
        <v>Tables</v>
      </c>
      <c r="AH900" t="str">
        <f>TRIM(PROPER(L:L))</f>
        <v>Classic Tables 535</v>
      </c>
      <c r="AI900" t="str">
        <f>TRIM(PROPER(M:M))</f>
        <v>First Class</v>
      </c>
      <c r="AJ900" s="5">
        <f>IF(OR(P900&lt;0,P900&gt;0.5),"invalid",P900)</f>
        <v>0.2</v>
      </c>
      <c r="AK900" s="6">
        <f>IFERROR(N900*O900*(1-AJ900), "NA")</f>
        <v>4917.4400000000005</v>
      </c>
      <c r="AL900" s="6">
        <f>IFERROR(AK900-R900,"NA")</f>
        <v>1070.6700000000005</v>
      </c>
      <c r="AM900" s="5">
        <f t="shared" si="70"/>
        <v>0.21772914361944434</v>
      </c>
      <c r="AN900" t="str">
        <v>02-06-24</v>
      </c>
      <c r="AO900" t="str">
        <v>06-08-24</v>
      </c>
      <c r="AP900" t="str">
        <f t="shared" si="71"/>
        <v>June</v>
      </c>
      <c r="AQ900" t="str">
        <f t="shared" si="72"/>
        <v>2024</v>
      </c>
      <c r="AR900" t="str">
        <f t="shared" si="73"/>
        <v xml:space="preserve"> </v>
      </c>
      <c r="AS900">
        <f t="shared" si="74"/>
        <v>65</v>
      </c>
      <c r="AT900" t="str">
        <f>IF(COUNTIFS( $A:$A,A900,$B:$B,B900,$C:$C,C900,$D:$D,D900,$E:$E,E900,$F:$F,F900,$G:$G,G900,$H:$H,H900,$I:$I,I900,$J:$J,J900,$K:$K,K900,$L:$L,L900,$M:$M,M900,$T:$T,T900,$U:$U,U900,$W:$W,W900,$Z:$Z,Z900,$AA:$AA,AA900,$AB:$AB,AB900,$AC:$AC,AC900,$AD:$AD,AD900,$AE:$AE,AE900,$AF:$AF,AF900,$AG:$AG,AG900,$AH:$AH,AH900,$AI:$AI,AI900)&gt;1,"Duplicate","Unique")</f>
        <v>Unique</v>
      </c>
    </row>
    <row r="901" spans="1:46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  <c r="W901" t="s">
        <v>4084</v>
      </c>
      <c r="Z901" t="s">
        <v>4086</v>
      </c>
      <c r="AA901" t="str">
        <v>Karan Malhotra</v>
      </c>
      <c r="AB901" t="str">
        <f>TRIM(PROPER(F:F))</f>
        <v>Consumer</v>
      </c>
      <c r="AC901" t="str">
        <f>TRIM(PROPER(G:G))</f>
        <v>North</v>
      </c>
      <c r="AD901" t="str">
        <f>TRIM(PROPER(H:H))</f>
        <v>Punjab</v>
      </c>
      <c r="AE901" t="str">
        <f>TRIM(PROPER(I:I))</f>
        <v>Ludhiana</v>
      </c>
      <c r="AF901" t="str">
        <f>TRIM(PROPER(J:J))</f>
        <v>Furniture</v>
      </c>
      <c r="AG901" t="str">
        <f>TRIM(PROPER(K:K))</f>
        <v>Chairs</v>
      </c>
      <c r="AH901" t="str">
        <f>TRIM(PROPER(L:L))</f>
        <v>Elite Chairs 971</v>
      </c>
      <c r="AI901" t="str">
        <f>TRIM(PROPER(M:M))</f>
        <v>First Class</v>
      </c>
      <c r="AJ901" s="5">
        <f>IF(OR(P901&lt;0,P901&gt;0.5),"invalid",P901)</f>
        <v>0.25</v>
      </c>
      <c r="AK901" s="6">
        <f>IFERROR(N901*O901*(1-AJ901), "NA")</f>
        <v>3304.05</v>
      </c>
      <c r="AL901" s="6">
        <f>IFERROR(AK901-R901,"NA")</f>
        <v>1024.6400000000003</v>
      </c>
      <c r="AM901" s="5">
        <f t="shared" si="70"/>
        <v>0.31011637233092726</v>
      </c>
      <c r="AN901" t="str">
        <v>27-05-25</v>
      </c>
      <c r="AO901" t="str">
        <v>06-03-25</v>
      </c>
      <c r="AP901" t="str">
        <f t="shared" si="71"/>
        <v>May</v>
      </c>
      <c r="AQ901" t="str">
        <f t="shared" si="72"/>
        <v>2025</v>
      </c>
      <c r="AR901" t="str">
        <f t="shared" si="73"/>
        <v>anomaly</v>
      </c>
      <c r="AS901">
        <f t="shared" si="74"/>
        <v>-82</v>
      </c>
      <c r="AT901" t="str">
        <f>IF(COUNTIFS( $A:$A,A901,$B:$B,B901,$C:$C,C901,$D:$D,D901,$E:$E,E901,$F:$F,F901,$G:$G,G901,$H:$H,H901,$I:$I,I901,$J:$J,J901,$K:$K,K901,$L:$L,L901,$M:$M,M901,$T:$T,T901,$U:$U,U901,$W:$W,W901,$Z:$Z,Z901,$AA:$AA,AA901,$AB:$AB,AB901,$AC:$AC,AC901,$AD:$AD,AD901,$AE:$AE,AE901,$AF:$AF,AF901,$AG:$AG,AG901,$AH:$AH,AH901,$AI:$AI,AI901)&gt;1,"Duplicate","Unique")</f>
        <v>Unique</v>
      </c>
    </row>
    <row r="902" spans="1:46">
      <c r="AJ902" s="4"/>
    </row>
  </sheetData>
  <autoFilter ref="Z1:AI901" xr:uid="{0330C595-606B-454B-8527-E3DED4925348}"/>
  <conditionalFormatting sqref="AN2:AO901">
    <cfRule type="containsText" dxfId="2" priority="3" operator="containsText" text="invalid date">
      <formula>NOT(ISERROR(SEARCH("invalid date",AN2)))</formula>
    </cfRule>
  </conditionalFormatting>
  <conditionalFormatting sqref="I23">
    <cfRule type="duplicateValues" dxfId="1" priority="1"/>
  </conditionalFormatting>
  <conditionalFormatting sqref="W2:W90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pivot_summary</vt:lpstr>
      <vt:lpstr>data_quality_report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Barkha Srivastava</dc:creator>
  <cp:lastModifiedBy>Barkha Srivastava</cp:lastModifiedBy>
  <dcterms:created xsi:type="dcterms:W3CDTF">2026-06-25T16:00:05Z</dcterms:created>
  <dcterms:modified xsi:type="dcterms:W3CDTF">2026-06-26T10:27:07Z</dcterms:modified>
</cp:coreProperties>
</file>